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updateLinks="always"/>
  <mc:AlternateContent xmlns:mc="http://schemas.openxmlformats.org/markup-compatibility/2006">
    <mc:Choice Requires="x15">
      <x15ac:absPath xmlns:x15ac="http://schemas.microsoft.com/office/spreadsheetml/2010/11/ac" url="https://systemicenvs.sharepoint.com/sites/DataOperations/Shared Documents/Budget Models/Foundation 10M Investment/"/>
    </mc:Choice>
  </mc:AlternateContent>
  <xr:revisionPtr revIDLastSave="0" documentId="8_{5A05E92E-7173-4254-920D-7E0EF5458C4E}" xr6:coauthVersionLast="47" xr6:coauthVersionMax="47" xr10:uidLastSave="{00000000-0000-0000-0000-000000000000}"/>
  <bookViews>
    <workbookView xWindow="0" yWindow="780" windowWidth="41120" windowHeight="25800" firstSheet="1" activeTab="1" xr2:uid="{00000000-000D-0000-FFFF-FFFF00000000}"/>
  </bookViews>
  <sheets>
    <sheet name="Processor Cost - Schedule" sheetId="5" r:id="rId1"/>
    <sheet name="Sheet1" sheetId="7" r:id="rId2"/>
    <sheet name="IMPORT_OK Model" sheetId="6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8" i="5" l="1"/>
  <c r="N150" i="5" s="1"/>
  <c r="O148" i="5"/>
  <c r="O150" i="5" s="1"/>
  <c r="P148" i="5"/>
  <c r="P150" i="5" s="1"/>
  <c r="Q148" i="5"/>
  <c r="Q150" i="5" s="1"/>
  <c r="N141" i="5"/>
  <c r="O141" i="5"/>
  <c r="P141" i="5"/>
  <c r="Q141" i="5"/>
  <c r="N118" i="5"/>
  <c r="O118" i="5"/>
  <c r="P118" i="5"/>
  <c r="Q118" i="5"/>
  <c r="N102" i="5"/>
  <c r="O102" i="5"/>
  <c r="P102" i="5"/>
  <c r="Q102" i="5"/>
  <c r="C7" i="5"/>
  <c r="N85" i="5"/>
  <c r="O85" i="5"/>
  <c r="P85" i="5"/>
  <c r="Q85" i="5"/>
  <c r="N71" i="5"/>
  <c r="O71" i="5"/>
  <c r="P71" i="5"/>
  <c r="Q71" i="5"/>
  <c r="N7" i="5"/>
  <c r="O7" i="5"/>
  <c r="P7" i="5"/>
  <c r="Q7" i="5"/>
  <c r="N6" i="5"/>
  <c r="O6" i="5"/>
  <c r="P6" i="5"/>
  <c r="Q6" i="5"/>
  <c r="N73" i="5"/>
  <c r="N4" i="5" s="1"/>
  <c r="O73" i="5"/>
  <c r="O4" i="5" s="1"/>
  <c r="P73" i="5"/>
  <c r="P4" i="5" s="1"/>
  <c r="Q73" i="5"/>
  <c r="Q4" i="5" s="1"/>
  <c r="I3" i="5"/>
  <c r="J3" i="5"/>
  <c r="K3" i="5"/>
  <c r="L3" i="5"/>
  <c r="M3" i="5"/>
  <c r="N3" i="5"/>
  <c r="O3" i="5"/>
  <c r="P3" i="5"/>
  <c r="Q3" i="5"/>
  <c r="C6" i="5"/>
  <c r="C5" i="5"/>
  <c r="C4" i="5"/>
  <c r="C3" i="5"/>
  <c r="G78" i="5"/>
  <c r="H78" i="5"/>
  <c r="I78" i="5"/>
  <c r="J78" i="5"/>
  <c r="K78" i="5"/>
  <c r="L78" i="5"/>
  <c r="M78" i="5"/>
  <c r="G79" i="5"/>
  <c r="H79" i="5"/>
  <c r="I79" i="5"/>
  <c r="J79" i="5"/>
  <c r="K79" i="5"/>
  <c r="L79" i="5"/>
  <c r="M79" i="5"/>
  <c r="G80" i="5"/>
  <c r="H80" i="5"/>
  <c r="I80" i="5"/>
  <c r="J80" i="5"/>
  <c r="K80" i="5"/>
  <c r="L80" i="5"/>
  <c r="M80" i="5"/>
  <c r="G81" i="5"/>
  <c r="H81" i="5"/>
  <c r="I81" i="5"/>
  <c r="J81" i="5"/>
  <c r="K81" i="5"/>
  <c r="L81" i="5"/>
  <c r="M81" i="5"/>
  <c r="G82" i="5"/>
  <c r="H82" i="5"/>
  <c r="I82" i="5"/>
  <c r="J82" i="5"/>
  <c r="K82" i="5"/>
  <c r="L82" i="5"/>
  <c r="M82" i="5"/>
  <c r="F79" i="5"/>
  <c r="F80" i="5"/>
  <c r="F81" i="5"/>
  <c r="F82" i="5"/>
  <c r="F78" i="5"/>
  <c r="I71" i="5"/>
  <c r="J71" i="5"/>
  <c r="K71" i="5"/>
  <c r="L71" i="5"/>
  <c r="M71" i="5"/>
  <c r="G85" i="5"/>
  <c r="H85" i="5"/>
  <c r="I85" i="5"/>
  <c r="J85" i="5"/>
  <c r="K85" i="5"/>
  <c r="L85" i="5"/>
  <c r="M85" i="5"/>
  <c r="G102" i="5"/>
  <c r="H102" i="5"/>
  <c r="I102" i="5"/>
  <c r="J102" i="5"/>
  <c r="F102" i="5"/>
  <c r="D60" i="5"/>
  <c r="G111" i="5"/>
  <c r="H111" i="5"/>
  <c r="I111" i="5"/>
  <c r="J111" i="5"/>
  <c r="K111" i="5"/>
  <c r="L111" i="5"/>
  <c r="M111" i="5"/>
  <c r="G109" i="5"/>
  <c r="H109" i="5"/>
  <c r="I109" i="5"/>
  <c r="J109" i="5"/>
  <c r="K109" i="5"/>
  <c r="L109" i="5"/>
  <c r="M109" i="5"/>
  <c r="F111" i="5"/>
  <c r="F109" i="5"/>
  <c r="F116" i="5"/>
  <c r="K100" i="5"/>
  <c r="K99" i="5"/>
  <c r="F83" i="5"/>
  <c r="F85" i="5" s="1"/>
  <c r="G88" i="5"/>
  <c r="H88" i="5"/>
  <c r="I88" i="5"/>
  <c r="J88" i="5"/>
  <c r="K88" i="5"/>
  <c r="L88" i="5"/>
  <c r="M88" i="5"/>
  <c r="F88" i="5"/>
  <c r="G93" i="5"/>
  <c r="H93" i="5"/>
  <c r="I93" i="5"/>
  <c r="J93" i="5"/>
  <c r="K93" i="5"/>
  <c r="L93" i="5"/>
  <c r="M93" i="5"/>
  <c r="F93" i="5"/>
  <c r="G92" i="5"/>
  <c r="H92" i="5"/>
  <c r="I92" i="5"/>
  <c r="J92" i="5"/>
  <c r="K92" i="5"/>
  <c r="L92" i="5"/>
  <c r="M92" i="5"/>
  <c r="F92" i="5"/>
  <c r="G91" i="5"/>
  <c r="H91" i="5"/>
  <c r="I91" i="5"/>
  <c r="J91" i="5"/>
  <c r="K91" i="5"/>
  <c r="L91" i="5"/>
  <c r="M91" i="5"/>
  <c r="F91" i="5"/>
  <c r="H89" i="5"/>
  <c r="I89" i="5"/>
  <c r="J89" i="5"/>
  <c r="K89" i="5"/>
  <c r="L89" i="5"/>
  <c r="M89" i="5"/>
  <c r="N89" i="5"/>
  <c r="N95" i="5" s="1"/>
  <c r="N104" i="5" s="1"/>
  <c r="N5" i="5" s="1"/>
  <c r="O89" i="5"/>
  <c r="O95" i="5" s="1"/>
  <c r="O104" i="5" s="1"/>
  <c r="O5" i="5" s="1"/>
  <c r="P89" i="5"/>
  <c r="P95" i="5" s="1"/>
  <c r="P104" i="5" s="1"/>
  <c r="P5" i="5" s="1"/>
  <c r="Q89" i="5"/>
  <c r="Q95" i="5" s="1"/>
  <c r="Q104" i="5" s="1"/>
  <c r="Q5" i="5" s="1"/>
  <c r="G89" i="5"/>
  <c r="F89" i="5"/>
  <c r="D57" i="5"/>
  <c r="M98" i="5"/>
  <c r="M102" i="5" s="1"/>
  <c r="K98" i="5"/>
  <c r="K102" i="5" s="1"/>
  <c r="L98" i="5"/>
  <c r="L102" i="5" s="1"/>
  <c r="D64" i="5"/>
  <c r="F124" i="5"/>
  <c r="G124" i="5"/>
  <c r="H124" i="5"/>
  <c r="I124" i="5"/>
  <c r="J124" i="5"/>
  <c r="K124" i="5"/>
  <c r="L124" i="5"/>
  <c r="M124" i="5"/>
  <c r="F125" i="5"/>
  <c r="G125" i="5"/>
  <c r="H125" i="5"/>
  <c r="I125" i="5"/>
  <c r="J125" i="5"/>
  <c r="K125" i="5"/>
  <c r="L125" i="5"/>
  <c r="M125" i="5"/>
  <c r="F126" i="5"/>
  <c r="G126" i="5"/>
  <c r="H126" i="5"/>
  <c r="I126" i="5"/>
  <c r="J126" i="5"/>
  <c r="K126" i="5"/>
  <c r="L126" i="5"/>
  <c r="M126" i="5"/>
  <c r="F127" i="5"/>
  <c r="G127" i="5"/>
  <c r="H127" i="5"/>
  <c r="I127" i="5"/>
  <c r="J127" i="5"/>
  <c r="K127" i="5"/>
  <c r="L127" i="5"/>
  <c r="M127" i="5"/>
  <c r="F128" i="5"/>
  <c r="G128" i="5"/>
  <c r="H128" i="5"/>
  <c r="I128" i="5"/>
  <c r="J128" i="5"/>
  <c r="K128" i="5"/>
  <c r="L128" i="5"/>
  <c r="M128" i="5"/>
  <c r="F129" i="5"/>
  <c r="G129" i="5"/>
  <c r="H129" i="5"/>
  <c r="I129" i="5"/>
  <c r="J129" i="5"/>
  <c r="K129" i="5"/>
  <c r="L129" i="5"/>
  <c r="M129" i="5"/>
  <c r="F130" i="5"/>
  <c r="G130" i="5"/>
  <c r="H130" i="5"/>
  <c r="I130" i="5"/>
  <c r="J130" i="5"/>
  <c r="K130" i="5"/>
  <c r="L130" i="5"/>
  <c r="M130" i="5"/>
  <c r="F131" i="5"/>
  <c r="G131" i="5"/>
  <c r="H131" i="5"/>
  <c r="I131" i="5"/>
  <c r="J131" i="5"/>
  <c r="K131" i="5"/>
  <c r="L131" i="5"/>
  <c r="M131" i="5"/>
  <c r="F132" i="5"/>
  <c r="G132" i="5"/>
  <c r="H132" i="5"/>
  <c r="I132" i="5"/>
  <c r="J132" i="5"/>
  <c r="K132" i="5"/>
  <c r="L132" i="5"/>
  <c r="M132" i="5"/>
  <c r="F133" i="5"/>
  <c r="G133" i="5"/>
  <c r="H133" i="5"/>
  <c r="I133" i="5"/>
  <c r="J133" i="5"/>
  <c r="K133" i="5"/>
  <c r="L133" i="5"/>
  <c r="M133" i="5"/>
  <c r="F134" i="5"/>
  <c r="G134" i="5"/>
  <c r="H134" i="5"/>
  <c r="I134" i="5"/>
  <c r="J134" i="5"/>
  <c r="K134" i="5"/>
  <c r="L134" i="5"/>
  <c r="M134" i="5"/>
  <c r="F135" i="5"/>
  <c r="G135" i="5"/>
  <c r="H135" i="5"/>
  <c r="I135" i="5"/>
  <c r="J135" i="5"/>
  <c r="K135" i="5"/>
  <c r="L135" i="5"/>
  <c r="M135" i="5"/>
  <c r="F136" i="5"/>
  <c r="G136" i="5"/>
  <c r="H136" i="5"/>
  <c r="I136" i="5"/>
  <c r="J136" i="5"/>
  <c r="K136" i="5"/>
  <c r="L136" i="5"/>
  <c r="M136" i="5"/>
  <c r="F137" i="5"/>
  <c r="G137" i="5"/>
  <c r="H137" i="5"/>
  <c r="I137" i="5"/>
  <c r="J137" i="5"/>
  <c r="K137" i="5"/>
  <c r="L137" i="5"/>
  <c r="M137" i="5"/>
  <c r="F138" i="5"/>
  <c r="G138" i="5"/>
  <c r="H138" i="5"/>
  <c r="I138" i="5"/>
  <c r="J138" i="5"/>
  <c r="K138" i="5"/>
  <c r="L138" i="5"/>
  <c r="M138" i="5"/>
  <c r="J139" i="5"/>
  <c r="K139" i="5"/>
  <c r="L139" i="5"/>
  <c r="M139" i="5"/>
  <c r="G123" i="5"/>
  <c r="H123" i="5"/>
  <c r="I123" i="5"/>
  <c r="J123" i="5"/>
  <c r="K123" i="5"/>
  <c r="L123" i="5"/>
  <c r="M123" i="5"/>
  <c r="F123" i="5"/>
  <c r="D69" i="5"/>
  <c r="D68" i="5"/>
  <c r="D67" i="5"/>
  <c r="D66" i="5"/>
  <c r="D65" i="5"/>
  <c r="D63" i="5"/>
  <c r="D62" i="5"/>
  <c r="F62" i="5" s="1"/>
  <c r="D61" i="5"/>
  <c r="D15" i="5"/>
  <c r="D16" i="5"/>
  <c r="D17" i="5"/>
  <c r="D18" i="5"/>
  <c r="D20" i="5"/>
  <c r="D22" i="5"/>
  <c r="D23" i="5"/>
  <c r="D25" i="5"/>
  <c r="F25" i="5" s="1"/>
  <c r="D26" i="5"/>
  <c r="F26" i="5" s="1"/>
  <c r="D27" i="5"/>
  <c r="F27" i="5" s="1"/>
  <c r="D28" i="5"/>
  <c r="F28" i="5" s="1"/>
  <c r="D29" i="5"/>
  <c r="F29" i="5" s="1"/>
  <c r="D30" i="5"/>
  <c r="F30" i="5" s="1"/>
  <c r="D31" i="5"/>
  <c r="F31" i="5" s="1"/>
  <c r="D32" i="5"/>
  <c r="F32" i="5" s="1"/>
  <c r="D33" i="5"/>
  <c r="F33" i="5" s="1"/>
  <c r="D34" i="5"/>
  <c r="F34" i="5" s="1"/>
  <c r="D36" i="5"/>
  <c r="D37" i="5"/>
  <c r="D38" i="5"/>
  <c r="D39" i="5"/>
  <c r="D40" i="5"/>
  <c r="D42" i="5"/>
  <c r="D43" i="5"/>
  <c r="D44" i="5"/>
  <c r="D46" i="5"/>
  <c r="D47" i="5"/>
  <c r="D48" i="5"/>
  <c r="BF342" i="6"/>
  <c r="BG342" i="6" s="1"/>
  <c r="BH342" i="6" s="1"/>
  <c r="BI342" i="6" s="1"/>
  <c r="BJ342" i="6" s="1"/>
  <c r="BK342" i="6" s="1"/>
  <c r="BL342" i="6" s="1"/>
  <c r="BM342" i="6" s="1"/>
  <c r="AT342" i="6"/>
  <c r="AU342" i="6" s="1"/>
  <c r="AV342" i="6" s="1"/>
  <c r="AW342" i="6" s="1"/>
  <c r="AX342" i="6" s="1"/>
  <c r="AY342" i="6" s="1"/>
  <c r="AZ342" i="6" s="1"/>
  <c r="BA342" i="6" s="1"/>
  <c r="BB342" i="6" s="1"/>
  <c r="BC342" i="6" s="1"/>
  <c r="BD342" i="6" s="1"/>
  <c r="AH342" i="6"/>
  <c r="AI342" i="6" s="1"/>
  <c r="AJ342" i="6" s="1"/>
  <c r="AK342" i="6" s="1"/>
  <c r="AL342" i="6" s="1"/>
  <c r="AM342" i="6" s="1"/>
  <c r="AN342" i="6" s="1"/>
  <c r="AO342" i="6" s="1"/>
  <c r="AP342" i="6" s="1"/>
  <c r="AQ342" i="6" s="1"/>
  <c r="AR342" i="6" s="1"/>
  <c r="V342" i="6"/>
  <c r="W342" i="6" s="1"/>
  <c r="X342" i="6" s="1"/>
  <c r="Y342" i="6" s="1"/>
  <c r="Z342" i="6" s="1"/>
  <c r="AA342" i="6" s="1"/>
  <c r="AB342" i="6" s="1"/>
  <c r="AC342" i="6" s="1"/>
  <c r="AD342" i="6" s="1"/>
  <c r="AE342" i="6" s="1"/>
  <c r="AF342" i="6" s="1"/>
  <c r="F342" i="6"/>
  <c r="G342" i="6" s="1"/>
  <c r="H342" i="6" s="1"/>
  <c r="I342" i="6" s="1"/>
  <c r="J342" i="6" s="1"/>
  <c r="K342" i="6" s="1"/>
  <c r="L342" i="6" s="1"/>
  <c r="M342" i="6" s="1"/>
  <c r="N342" i="6" s="1"/>
  <c r="O342" i="6" s="1"/>
  <c r="P342" i="6" s="1"/>
  <c r="Q342" i="6" s="1"/>
  <c r="R342" i="6" s="1"/>
  <c r="S342" i="6" s="1"/>
  <c r="T342" i="6" s="1"/>
  <c r="F333" i="6"/>
  <c r="G333" i="6" s="1"/>
  <c r="H333" i="6" s="1"/>
  <c r="I333" i="6" s="1"/>
  <c r="J333" i="6" s="1"/>
  <c r="K333" i="6" s="1"/>
  <c r="L333" i="6" s="1"/>
  <c r="M333" i="6" s="1"/>
  <c r="N333" i="6" s="1"/>
  <c r="O333" i="6" s="1"/>
  <c r="P333" i="6" s="1"/>
  <c r="Q333" i="6" s="1"/>
  <c r="R333" i="6" s="1"/>
  <c r="S333" i="6" s="1"/>
  <c r="T333" i="6" s="1"/>
  <c r="U333" i="6" s="1"/>
  <c r="V333" i="6" s="1"/>
  <c r="W333" i="6" s="1"/>
  <c r="X333" i="6" s="1"/>
  <c r="Y333" i="6" s="1"/>
  <c r="Z333" i="6" s="1"/>
  <c r="AA333" i="6" s="1"/>
  <c r="AB333" i="6" s="1"/>
  <c r="AC333" i="6" s="1"/>
  <c r="AD333" i="6" s="1"/>
  <c r="AE333" i="6" s="1"/>
  <c r="AF333" i="6" s="1"/>
  <c r="AG333" i="6" s="1"/>
  <c r="AH333" i="6" s="1"/>
  <c r="AI333" i="6" s="1"/>
  <c r="AJ333" i="6" s="1"/>
  <c r="AK333" i="6" s="1"/>
  <c r="AL333" i="6" s="1"/>
  <c r="AM333" i="6" s="1"/>
  <c r="AN333" i="6" s="1"/>
  <c r="AO333" i="6" s="1"/>
  <c r="AP333" i="6" s="1"/>
  <c r="AQ333" i="6" s="1"/>
  <c r="AR333" i="6" s="1"/>
  <c r="AS333" i="6" s="1"/>
  <c r="AT333" i="6" s="1"/>
  <c r="AU333" i="6" s="1"/>
  <c r="AV333" i="6" s="1"/>
  <c r="AW333" i="6" s="1"/>
  <c r="AX333" i="6" s="1"/>
  <c r="AY333" i="6" s="1"/>
  <c r="AZ333" i="6" s="1"/>
  <c r="BA333" i="6" s="1"/>
  <c r="BB333" i="6" s="1"/>
  <c r="BC333" i="6" s="1"/>
  <c r="BD333" i="6" s="1"/>
  <c r="BE333" i="6" s="1"/>
  <c r="BF333" i="6" s="1"/>
  <c r="BG333" i="6" s="1"/>
  <c r="BH333" i="6" s="1"/>
  <c r="BI333" i="6" s="1"/>
  <c r="BJ333" i="6" s="1"/>
  <c r="BK333" i="6" s="1"/>
  <c r="BL333" i="6" s="1"/>
  <c r="BM333" i="6" s="1"/>
  <c r="F332" i="6"/>
  <c r="G332" i="6" s="1"/>
  <c r="H332" i="6" s="1"/>
  <c r="I332" i="6" s="1"/>
  <c r="J332" i="6" s="1"/>
  <c r="K332" i="6" s="1"/>
  <c r="L332" i="6" s="1"/>
  <c r="M332" i="6" s="1"/>
  <c r="N332" i="6" s="1"/>
  <c r="O332" i="6" s="1"/>
  <c r="P332" i="6" s="1"/>
  <c r="Q332" i="6" s="1"/>
  <c r="R332" i="6" s="1"/>
  <c r="S332" i="6" s="1"/>
  <c r="T332" i="6" s="1"/>
  <c r="U332" i="6" s="1"/>
  <c r="V332" i="6" s="1"/>
  <c r="W332" i="6" s="1"/>
  <c r="X332" i="6" s="1"/>
  <c r="Y332" i="6" s="1"/>
  <c r="Z332" i="6" s="1"/>
  <c r="AA332" i="6" s="1"/>
  <c r="AB332" i="6" s="1"/>
  <c r="AC332" i="6" s="1"/>
  <c r="AD332" i="6" s="1"/>
  <c r="AE332" i="6" s="1"/>
  <c r="AF332" i="6" s="1"/>
  <c r="AG332" i="6" s="1"/>
  <c r="AH332" i="6" s="1"/>
  <c r="AI332" i="6" s="1"/>
  <c r="AJ332" i="6" s="1"/>
  <c r="AK332" i="6" s="1"/>
  <c r="AL332" i="6" s="1"/>
  <c r="AM332" i="6" s="1"/>
  <c r="AN332" i="6" s="1"/>
  <c r="AO332" i="6" s="1"/>
  <c r="AP332" i="6" s="1"/>
  <c r="AQ332" i="6" s="1"/>
  <c r="AR332" i="6" s="1"/>
  <c r="AS332" i="6" s="1"/>
  <c r="AT332" i="6" s="1"/>
  <c r="AU332" i="6" s="1"/>
  <c r="AV332" i="6" s="1"/>
  <c r="AW332" i="6" s="1"/>
  <c r="AX332" i="6" s="1"/>
  <c r="AY332" i="6" s="1"/>
  <c r="AZ332" i="6" s="1"/>
  <c r="BA332" i="6" s="1"/>
  <c r="BB332" i="6" s="1"/>
  <c r="BC332" i="6" s="1"/>
  <c r="BD332" i="6" s="1"/>
  <c r="BE332" i="6" s="1"/>
  <c r="BF332" i="6" s="1"/>
  <c r="BG332" i="6" s="1"/>
  <c r="BH332" i="6" s="1"/>
  <c r="BI332" i="6" s="1"/>
  <c r="BJ332" i="6" s="1"/>
  <c r="BK332" i="6" s="1"/>
  <c r="BL332" i="6" s="1"/>
  <c r="BM332" i="6" s="1"/>
  <c r="L331" i="6"/>
  <c r="M331" i="6" s="1"/>
  <c r="N331" i="6" s="1"/>
  <c r="O331" i="6" s="1"/>
  <c r="P331" i="6" s="1"/>
  <c r="Q331" i="6" s="1"/>
  <c r="R331" i="6" s="1"/>
  <c r="S331" i="6" s="1"/>
  <c r="T331" i="6" s="1"/>
  <c r="U331" i="6" s="1"/>
  <c r="V331" i="6" s="1"/>
  <c r="W331" i="6" s="1"/>
  <c r="X331" i="6" s="1"/>
  <c r="Y331" i="6" s="1"/>
  <c r="Z331" i="6" s="1"/>
  <c r="AA331" i="6" s="1"/>
  <c r="AB331" i="6" s="1"/>
  <c r="AC331" i="6" s="1"/>
  <c r="AD331" i="6" s="1"/>
  <c r="AE331" i="6" s="1"/>
  <c r="AF331" i="6" s="1"/>
  <c r="AG331" i="6" s="1"/>
  <c r="AH331" i="6" s="1"/>
  <c r="AI331" i="6" s="1"/>
  <c r="AJ331" i="6" s="1"/>
  <c r="AK331" i="6" s="1"/>
  <c r="AL331" i="6" s="1"/>
  <c r="AM331" i="6" s="1"/>
  <c r="AN331" i="6" s="1"/>
  <c r="AO331" i="6" s="1"/>
  <c r="AP331" i="6" s="1"/>
  <c r="AQ331" i="6" s="1"/>
  <c r="AR331" i="6" s="1"/>
  <c r="AS331" i="6" s="1"/>
  <c r="AT331" i="6" s="1"/>
  <c r="AU331" i="6" s="1"/>
  <c r="AV331" i="6" s="1"/>
  <c r="AW331" i="6" s="1"/>
  <c r="AX331" i="6" s="1"/>
  <c r="AY331" i="6" s="1"/>
  <c r="AZ331" i="6" s="1"/>
  <c r="BA331" i="6" s="1"/>
  <c r="BB331" i="6" s="1"/>
  <c r="BC331" i="6" s="1"/>
  <c r="BD331" i="6" s="1"/>
  <c r="BE331" i="6" s="1"/>
  <c r="BF331" i="6" s="1"/>
  <c r="BG331" i="6" s="1"/>
  <c r="BH331" i="6" s="1"/>
  <c r="BI331" i="6" s="1"/>
  <c r="BJ331" i="6" s="1"/>
  <c r="BK331" i="6" s="1"/>
  <c r="BL331" i="6" s="1"/>
  <c r="BM331" i="6" s="1"/>
  <c r="F331" i="6"/>
  <c r="G331" i="6" s="1"/>
  <c r="H331" i="6" s="1"/>
  <c r="I331" i="6" s="1"/>
  <c r="J331" i="6" s="1"/>
  <c r="K331" i="6" s="1"/>
  <c r="BF330" i="6"/>
  <c r="BG330" i="6" s="1"/>
  <c r="BH330" i="6" s="1"/>
  <c r="BI330" i="6" s="1"/>
  <c r="BJ330" i="6" s="1"/>
  <c r="BK330" i="6" s="1"/>
  <c r="BL330" i="6" s="1"/>
  <c r="BM330" i="6" s="1"/>
  <c r="AQ330" i="6"/>
  <c r="AR330" i="6" s="1"/>
  <c r="AS330" i="6" s="1"/>
  <c r="AT330" i="6" s="1"/>
  <c r="AU330" i="6" s="1"/>
  <c r="AV330" i="6" s="1"/>
  <c r="AW330" i="6" s="1"/>
  <c r="AX330" i="6" s="1"/>
  <c r="AY330" i="6" s="1"/>
  <c r="AZ330" i="6" s="1"/>
  <c r="BA330" i="6" s="1"/>
  <c r="BB330" i="6" s="1"/>
  <c r="BC330" i="6" s="1"/>
  <c r="BD330" i="6" s="1"/>
  <c r="AE330" i="6"/>
  <c r="AF330" i="6" s="1"/>
  <c r="AG330" i="6" s="1"/>
  <c r="AH330" i="6" s="1"/>
  <c r="AI330" i="6" s="1"/>
  <c r="AJ330" i="6" s="1"/>
  <c r="AK330" i="6" s="1"/>
  <c r="AL330" i="6" s="1"/>
  <c r="AM330" i="6" s="1"/>
  <c r="AN330" i="6" s="1"/>
  <c r="AO330" i="6" s="1"/>
  <c r="T330" i="6"/>
  <c r="U330" i="6" s="1"/>
  <c r="V330" i="6" s="1"/>
  <c r="W330" i="6" s="1"/>
  <c r="X330" i="6" s="1"/>
  <c r="Y330" i="6" s="1"/>
  <c r="Z330" i="6" s="1"/>
  <c r="AA330" i="6" s="1"/>
  <c r="AB330" i="6" s="1"/>
  <c r="AC330" i="6" s="1"/>
  <c r="Q330" i="6"/>
  <c r="F330" i="6"/>
  <c r="G330" i="6" s="1"/>
  <c r="H330" i="6" s="1"/>
  <c r="I330" i="6" s="1"/>
  <c r="J330" i="6" s="1"/>
  <c r="K330" i="6" s="1"/>
  <c r="F321" i="6"/>
  <c r="G321" i="6" s="1"/>
  <c r="H321" i="6" s="1"/>
  <c r="I321" i="6" s="1"/>
  <c r="J321" i="6" s="1"/>
  <c r="K321" i="6" s="1"/>
  <c r="L321" i="6" s="1"/>
  <c r="M321" i="6" s="1"/>
  <c r="N321" i="6" s="1"/>
  <c r="O321" i="6" s="1"/>
  <c r="P321" i="6" s="1"/>
  <c r="Q321" i="6" s="1"/>
  <c r="R321" i="6" s="1"/>
  <c r="S321" i="6" s="1"/>
  <c r="T321" i="6" s="1"/>
  <c r="U321" i="6" s="1"/>
  <c r="V321" i="6" s="1"/>
  <c r="W321" i="6" s="1"/>
  <c r="X321" i="6" s="1"/>
  <c r="Y321" i="6" s="1"/>
  <c r="Z321" i="6" s="1"/>
  <c r="AA321" i="6" s="1"/>
  <c r="AB321" i="6" s="1"/>
  <c r="AC321" i="6" s="1"/>
  <c r="AD321" i="6" s="1"/>
  <c r="AE321" i="6" s="1"/>
  <c r="AF321" i="6" s="1"/>
  <c r="AG321" i="6" s="1"/>
  <c r="AH321" i="6" s="1"/>
  <c r="AI321" i="6" s="1"/>
  <c r="AJ321" i="6" s="1"/>
  <c r="AK321" i="6" s="1"/>
  <c r="AL321" i="6" s="1"/>
  <c r="AM321" i="6" s="1"/>
  <c r="AN321" i="6" s="1"/>
  <c r="AO321" i="6" s="1"/>
  <c r="AP321" i="6" s="1"/>
  <c r="AQ321" i="6" s="1"/>
  <c r="AR321" i="6" s="1"/>
  <c r="AS321" i="6" s="1"/>
  <c r="AT321" i="6" s="1"/>
  <c r="AU321" i="6" s="1"/>
  <c r="AV321" i="6" s="1"/>
  <c r="AW321" i="6" s="1"/>
  <c r="AX321" i="6" s="1"/>
  <c r="AY321" i="6" s="1"/>
  <c r="AZ321" i="6" s="1"/>
  <c r="BA321" i="6" s="1"/>
  <c r="BB321" i="6" s="1"/>
  <c r="BC321" i="6" s="1"/>
  <c r="BD321" i="6" s="1"/>
  <c r="BE321" i="6" s="1"/>
  <c r="BF321" i="6" s="1"/>
  <c r="BG321" i="6" s="1"/>
  <c r="BH321" i="6" s="1"/>
  <c r="BI321" i="6" s="1"/>
  <c r="BJ321" i="6" s="1"/>
  <c r="BK321" i="6" s="1"/>
  <c r="BL321" i="6" s="1"/>
  <c r="BM321" i="6" s="1"/>
  <c r="F320" i="6"/>
  <c r="G320" i="6" s="1"/>
  <c r="H320" i="6" s="1"/>
  <c r="I320" i="6" s="1"/>
  <c r="J320" i="6" s="1"/>
  <c r="K320" i="6" s="1"/>
  <c r="L320" i="6" s="1"/>
  <c r="M320" i="6" s="1"/>
  <c r="N320" i="6" s="1"/>
  <c r="O320" i="6" s="1"/>
  <c r="P320" i="6" s="1"/>
  <c r="Q320" i="6" s="1"/>
  <c r="R320" i="6" s="1"/>
  <c r="S320" i="6" s="1"/>
  <c r="T320" i="6" s="1"/>
  <c r="U320" i="6" s="1"/>
  <c r="V320" i="6" s="1"/>
  <c r="W320" i="6" s="1"/>
  <c r="X320" i="6" s="1"/>
  <c r="Y320" i="6" s="1"/>
  <c r="Z320" i="6" s="1"/>
  <c r="AA320" i="6" s="1"/>
  <c r="AB320" i="6" s="1"/>
  <c r="AC320" i="6" s="1"/>
  <c r="AD320" i="6" s="1"/>
  <c r="AE320" i="6" s="1"/>
  <c r="AF320" i="6" s="1"/>
  <c r="AG320" i="6" s="1"/>
  <c r="AH320" i="6" s="1"/>
  <c r="AI320" i="6" s="1"/>
  <c r="AJ320" i="6" s="1"/>
  <c r="AK320" i="6" s="1"/>
  <c r="AL320" i="6" s="1"/>
  <c r="AM320" i="6" s="1"/>
  <c r="AN320" i="6" s="1"/>
  <c r="AO320" i="6" s="1"/>
  <c r="AP320" i="6" s="1"/>
  <c r="AQ320" i="6" s="1"/>
  <c r="AR320" i="6" s="1"/>
  <c r="AS320" i="6" s="1"/>
  <c r="AT320" i="6" s="1"/>
  <c r="AU320" i="6" s="1"/>
  <c r="AV320" i="6" s="1"/>
  <c r="AW320" i="6" s="1"/>
  <c r="AX320" i="6" s="1"/>
  <c r="AY320" i="6" s="1"/>
  <c r="AZ320" i="6" s="1"/>
  <c r="BA320" i="6" s="1"/>
  <c r="BB320" i="6" s="1"/>
  <c r="BC320" i="6" s="1"/>
  <c r="BD320" i="6" s="1"/>
  <c r="BE320" i="6" s="1"/>
  <c r="BF320" i="6" s="1"/>
  <c r="BG320" i="6" s="1"/>
  <c r="BH320" i="6" s="1"/>
  <c r="BI320" i="6" s="1"/>
  <c r="BJ320" i="6" s="1"/>
  <c r="BK320" i="6" s="1"/>
  <c r="BL320" i="6" s="1"/>
  <c r="BM320" i="6" s="1"/>
  <c r="F319" i="6"/>
  <c r="F315" i="6"/>
  <c r="G315" i="6" s="1"/>
  <c r="H315" i="6" s="1"/>
  <c r="I315" i="6" s="1"/>
  <c r="J315" i="6" s="1"/>
  <c r="K315" i="6" s="1"/>
  <c r="L315" i="6" s="1"/>
  <c r="M315" i="6" s="1"/>
  <c r="N315" i="6" s="1"/>
  <c r="O315" i="6" s="1"/>
  <c r="P315" i="6" s="1"/>
  <c r="Q315" i="6" s="1"/>
  <c r="R315" i="6" s="1"/>
  <c r="S315" i="6" s="1"/>
  <c r="T315" i="6" s="1"/>
  <c r="U315" i="6" s="1"/>
  <c r="V315" i="6" s="1"/>
  <c r="W315" i="6" s="1"/>
  <c r="X315" i="6" s="1"/>
  <c r="Y315" i="6" s="1"/>
  <c r="Z315" i="6" s="1"/>
  <c r="AA315" i="6" s="1"/>
  <c r="AB315" i="6" s="1"/>
  <c r="AC315" i="6" s="1"/>
  <c r="AD315" i="6" s="1"/>
  <c r="AE315" i="6" s="1"/>
  <c r="AF315" i="6" s="1"/>
  <c r="AG315" i="6" s="1"/>
  <c r="AH315" i="6" s="1"/>
  <c r="AI315" i="6" s="1"/>
  <c r="AJ315" i="6" s="1"/>
  <c r="AK315" i="6" s="1"/>
  <c r="AL315" i="6" s="1"/>
  <c r="AM315" i="6" s="1"/>
  <c r="AN315" i="6" s="1"/>
  <c r="AO315" i="6" s="1"/>
  <c r="AP315" i="6" s="1"/>
  <c r="AQ315" i="6" s="1"/>
  <c r="AR315" i="6" s="1"/>
  <c r="AS315" i="6" s="1"/>
  <c r="AT315" i="6" s="1"/>
  <c r="AU315" i="6" s="1"/>
  <c r="AV315" i="6" s="1"/>
  <c r="AW315" i="6" s="1"/>
  <c r="AX315" i="6" s="1"/>
  <c r="AY315" i="6" s="1"/>
  <c r="AZ315" i="6" s="1"/>
  <c r="BA315" i="6" s="1"/>
  <c r="BB315" i="6" s="1"/>
  <c r="BC315" i="6" s="1"/>
  <c r="BD315" i="6" s="1"/>
  <c r="BE315" i="6" s="1"/>
  <c r="BF315" i="6" s="1"/>
  <c r="BG315" i="6" s="1"/>
  <c r="BH315" i="6" s="1"/>
  <c r="BI315" i="6" s="1"/>
  <c r="BJ315" i="6" s="1"/>
  <c r="BK315" i="6" s="1"/>
  <c r="BL315" i="6" s="1"/>
  <c r="BM315" i="6" s="1"/>
  <c r="AN309" i="6"/>
  <c r="AO309" i="6" s="1"/>
  <c r="AP309" i="6" s="1"/>
  <c r="AQ309" i="6" s="1"/>
  <c r="AR309" i="6" s="1"/>
  <c r="AS309" i="6" s="1"/>
  <c r="AT309" i="6" s="1"/>
  <c r="AU309" i="6" s="1"/>
  <c r="AV309" i="6" s="1"/>
  <c r="AW309" i="6" s="1"/>
  <c r="AX309" i="6" s="1"/>
  <c r="AY309" i="6" s="1"/>
  <c r="AZ309" i="6" s="1"/>
  <c r="BA309" i="6" s="1"/>
  <c r="BB309" i="6" s="1"/>
  <c r="BC309" i="6" s="1"/>
  <c r="BD309" i="6" s="1"/>
  <c r="BE309" i="6" s="1"/>
  <c r="BF309" i="6" s="1"/>
  <c r="BG309" i="6" s="1"/>
  <c r="BH309" i="6" s="1"/>
  <c r="BI309" i="6" s="1"/>
  <c r="BJ309" i="6" s="1"/>
  <c r="BK309" i="6" s="1"/>
  <c r="BL309" i="6" s="1"/>
  <c r="BM309" i="6" s="1"/>
  <c r="Q309" i="6"/>
  <c r="R309" i="6" s="1"/>
  <c r="S309" i="6" s="1"/>
  <c r="T309" i="6" s="1"/>
  <c r="U309" i="6" s="1"/>
  <c r="V309" i="6" s="1"/>
  <c r="W309" i="6" s="1"/>
  <c r="X309" i="6" s="1"/>
  <c r="Y309" i="6" s="1"/>
  <c r="Z309" i="6" s="1"/>
  <c r="AA309" i="6" s="1"/>
  <c r="AB309" i="6" s="1"/>
  <c r="AC309" i="6" s="1"/>
  <c r="AD309" i="6" s="1"/>
  <c r="AE309" i="6" s="1"/>
  <c r="AF309" i="6" s="1"/>
  <c r="AG309" i="6" s="1"/>
  <c r="AH309" i="6" s="1"/>
  <c r="AI309" i="6" s="1"/>
  <c r="AJ309" i="6" s="1"/>
  <c r="AK309" i="6" s="1"/>
  <c r="AL309" i="6" s="1"/>
  <c r="F307" i="6"/>
  <c r="L276" i="6"/>
  <c r="M276" i="6" s="1"/>
  <c r="N276" i="6" s="1"/>
  <c r="O276" i="6" s="1"/>
  <c r="P276" i="6" s="1"/>
  <c r="Q276" i="6" s="1"/>
  <c r="R276" i="6" s="1"/>
  <c r="S276" i="6" s="1"/>
  <c r="T276" i="6" s="1"/>
  <c r="U276" i="6" s="1"/>
  <c r="V276" i="6" s="1"/>
  <c r="W276" i="6" s="1"/>
  <c r="X276" i="6" s="1"/>
  <c r="Y276" i="6" s="1"/>
  <c r="Z276" i="6" s="1"/>
  <c r="AA276" i="6" s="1"/>
  <c r="AB276" i="6" s="1"/>
  <c r="AC276" i="6" s="1"/>
  <c r="AD276" i="6" s="1"/>
  <c r="AE276" i="6" s="1"/>
  <c r="AF276" i="6" s="1"/>
  <c r="AG276" i="6" s="1"/>
  <c r="AH276" i="6" s="1"/>
  <c r="AI276" i="6" s="1"/>
  <c r="AJ276" i="6" s="1"/>
  <c r="AK276" i="6" s="1"/>
  <c r="AL276" i="6" s="1"/>
  <c r="AM276" i="6" s="1"/>
  <c r="AN276" i="6" s="1"/>
  <c r="AO276" i="6" s="1"/>
  <c r="AP276" i="6" s="1"/>
  <c r="AQ276" i="6" s="1"/>
  <c r="AR276" i="6" s="1"/>
  <c r="AS276" i="6" s="1"/>
  <c r="AT276" i="6" s="1"/>
  <c r="AU276" i="6" s="1"/>
  <c r="AV276" i="6" s="1"/>
  <c r="AW276" i="6" s="1"/>
  <c r="AX276" i="6" s="1"/>
  <c r="AY276" i="6" s="1"/>
  <c r="AZ276" i="6" s="1"/>
  <c r="BA276" i="6" s="1"/>
  <c r="BB276" i="6" s="1"/>
  <c r="BC276" i="6" s="1"/>
  <c r="BD276" i="6" s="1"/>
  <c r="BE276" i="6" s="1"/>
  <c r="BF276" i="6" s="1"/>
  <c r="BG276" i="6" s="1"/>
  <c r="BH276" i="6" s="1"/>
  <c r="BI276" i="6" s="1"/>
  <c r="BJ276" i="6" s="1"/>
  <c r="BK276" i="6" s="1"/>
  <c r="BL276" i="6" s="1"/>
  <c r="BM276" i="6" s="1"/>
  <c r="E276" i="6"/>
  <c r="L251" i="6"/>
  <c r="K251" i="6"/>
  <c r="J251" i="6"/>
  <c r="I251" i="6"/>
  <c r="H251" i="6"/>
  <c r="G251" i="6"/>
  <c r="F251" i="6"/>
  <c r="AN249" i="6"/>
  <c r="AO249" i="6" s="1"/>
  <c r="AP249" i="6" s="1"/>
  <c r="AQ249" i="6" s="1"/>
  <c r="AR249" i="6" s="1"/>
  <c r="AS249" i="6" s="1"/>
  <c r="AT249" i="6" s="1"/>
  <c r="AU249" i="6" s="1"/>
  <c r="AV249" i="6" s="1"/>
  <c r="AW249" i="6" s="1"/>
  <c r="AX249" i="6" s="1"/>
  <c r="AY249" i="6" s="1"/>
  <c r="AZ249" i="6" s="1"/>
  <c r="BA249" i="6" s="1"/>
  <c r="BB249" i="6" s="1"/>
  <c r="BC249" i="6" s="1"/>
  <c r="BD249" i="6" s="1"/>
  <c r="BE249" i="6" s="1"/>
  <c r="BF249" i="6" s="1"/>
  <c r="BG249" i="6" s="1"/>
  <c r="BH249" i="6" s="1"/>
  <c r="BI249" i="6" s="1"/>
  <c r="BJ249" i="6" s="1"/>
  <c r="BK249" i="6" s="1"/>
  <c r="BL249" i="6" s="1"/>
  <c r="BM249" i="6" s="1"/>
  <c r="AL249" i="6"/>
  <c r="AB249" i="6"/>
  <c r="AC249" i="6" s="1"/>
  <c r="AD249" i="6" s="1"/>
  <c r="AE249" i="6" s="1"/>
  <c r="AF249" i="6" s="1"/>
  <c r="AG249" i="6" s="1"/>
  <c r="AH249" i="6" s="1"/>
  <c r="AI249" i="6" s="1"/>
  <c r="Y249" i="6"/>
  <c r="Z249" i="6" s="1"/>
  <c r="W249" i="6"/>
  <c r="U249" i="6"/>
  <c r="S249" i="6"/>
  <c r="Q249" i="6"/>
  <c r="M249" i="6"/>
  <c r="N249" i="6" s="1"/>
  <c r="BF248" i="6"/>
  <c r="BG248" i="6" s="1"/>
  <c r="BH248" i="6" s="1"/>
  <c r="BI248" i="6" s="1"/>
  <c r="BJ248" i="6" s="1"/>
  <c r="BK248" i="6" s="1"/>
  <c r="BL248" i="6" s="1"/>
  <c r="BM248" i="6" s="1"/>
  <c r="AT248" i="6"/>
  <c r="AU248" i="6" s="1"/>
  <c r="AV248" i="6" s="1"/>
  <c r="AW248" i="6" s="1"/>
  <c r="AX248" i="6" s="1"/>
  <c r="AY248" i="6" s="1"/>
  <c r="AZ248" i="6" s="1"/>
  <c r="BA248" i="6" s="1"/>
  <c r="BB248" i="6" s="1"/>
  <c r="BC248" i="6" s="1"/>
  <c r="BD248" i="6" s="1"/>
  <c r="AH248" i="6"/>
  <c r="AI248" i="6" s="1"/>
  <c r="AJ248" i="6" s="1"/>
  <c r="AK248" i="6" s="1"/>
  <c r="AL248" i="6" s="1"/>
  <c r="AM248" i="6" s="1"/>
  <c r="AN248" i="6" s="1"/>
  <c r="AO248" i="6" s="1"/>
  <c r="AP248" i="6" s="1"/>
  <c r="AQ248" i="6" s="1"/>
  <c r="AR248" i="6" s="1"/>
  <c r="V248" i="6"/>
  <c r="W248" i="6" s="1"/>
  <c r="X248" i="6" s="1"/>
  <c r="Y248" i="6" s="1"/>
  <c r="Z248" i="6" s="1"/>
  <c r="AA248" i="6" s="1"/>
  <c r="AB248" i="6" s="1"/>
  <c r="AC248" i="6" s="1"/>
  <c r="AD248" i="6" s="1"/>
  <c r="AE248" i="6" s="1"/>
  <c r="AF248" i="6" s="1"/>
  <c r="M248" i="6"/>
  <c r="N248" i="6" s="1"/>
  <c r="O248" i="6" s="1"/>
  <c r="P248" i="6" s="1"/>
  <c r="Q248" i="6" s="1"/>
  <c r="R248" i="6" s="1"/>
  <c r="S248" i="6" s="1"/>
  <c r="T248" i="6" s="1"/>
  <c r="BG247" i="6"/>
  <c r="BH247" i="6" s="1"/>
  <c r="BI247" i="6" s="1"/>
  <c r="BJ247" i="6" s="1"/>
  <c r="BK247" i="6" s="1"/>
  <c r="BL247" i="6" s="1"/>
  <c r="BM247" i="6" s="1"/>
  <c r="AN247" i="6"/>
  <c r="AO247" i="6" s="1"/>
  <c r="AP247" i="6" s="1"/>
  <c r="AQ247" i="6" s="1"/>
  <c r="AR247" i="6" s="1"/>
  <c r="AS247" i="6" s="1"/>
  <c r="AT247" i="6" s="1"/>
  <c r="AU247" i="6" s="1"/>
  <c r="AV247" i="6" s="1"/>
  <c r="AW247" i="6" s="1"/>
  <c r="AX247" i="6" s="1"/>
  <c r="AY247" i="6" s="1"/>
  <c r="AZ247" i="6" s="1"/>
  <c r="BA247" i="6" s="1"/>
  <c r="BB247" i="6" s="1"/>
  <c r="BC247" i="6" s="1"/>
  <c r="BD247" i="6" s="1"/>
  <c r="BE247" i="6" s="1"/>
  <c r="AK247" i="6"/>
  <c r="AL247" i="6" s="1"/>
  <c r="AE247" i="6"/>
  <c r="AF247" i="6" s="1"/>
  <c r="AG247" i="6" s="1"/>
  <c r="AH247" i="6" s="1"/>
  <c r="AI247" i="6" s="1"/>
  <c r="AC247" i="6"/>
  <c r="S247" i="6"/>
  <c r="Q247" i="6"/>
  <c r="M247" i="6"/>
  <c r="N247" i="6" s="1"/>
  <c r="BF246" i="6"/>
  <c r="BG246" i="6" s="1"/>
  <c r="BH246" i="6" s="1"/>
  <c r="BI246" i="6" s="1"/>
  <c r="BJ246" i="6" s="1"/>
  <c r="BK246" i="6" s="1"/>
  <c r="BL246" i="6" s="1"/>
  <c r="BM246" i="6" s="1"/>
  <c r="AT246" i="6"/>
  <c r="AU246" i="6" s="1"/>
  <c r="AV246" i="6" s="1"/>
  <c r="AW246" i="6" s="1"/>
  <c r="AX246" i="6" s="1"/>
  <c r="AY246" i="6" s="1"/>
  <c r="AZ246" i="6" s="1"/>
  <c r="BA246" i="6" s="1"/>
  <c r="BB246" i="6" s="1"/>
  <c r="BC246" i="6" s="1"/>
  <c r="BD246" i="6" s="1"/>
  <c r="AH246" i="6"/>
  <c r="AI246" i="6" s="1"/>
  <c r="AJ246" i="6" s="1"/>
  <c r="AK246" i="6" s="1"/>
  <c r="AL246" i="6" s="1"/>
  <c r="AM246" i="6" s="1"/>
  <c r="AN246" i="6" s="1"/>
  <c r="AO246" i="6" s="1"/>
  <c r="AP246" i="6" s="1"/>
  <c r="AQ246" i="6" s="1"/>
  <c r="AR246" i="6" s="1"/>
  <c r="V246" i="6"/>
  <c r="W246" i="6" s="1"/>
  <c r="X246" i="6" s="1"/>
  <c r="Y246" i="6" s="1"/>
  <c r="Z246" i="6" s="1"/>
  <c r="AA246" i="6" s="1"/>
  <c r="AB246" i="6" s="1"/>
  <c r="AC246" i="6" s="1"/>
  <c r="AD246" i="6" s="1"/>
  <c r="AE246" i="6" s="1"/>
  <c r="AF246" i="6" s="1"/>
  <c r="M246" i="6"/>
  <c r="N246" i="6" s="1"/>
  <c r="O246" i="6" s="1"/>
  <c r="P246" i="6" s="1"/>
  <c r="Q246" i="6" s="1"/>
  <c r="R246" i="6" s="1"/>
  <c r="S246" i="6" s="1"/>
  <c r="T246" i="6" s="1"/>
  <c r="AN245" i="6"/>
  <c r="AO245" i="6" s="1"/>
  <c r="AP245" i="6" s="1"/>
  <c r="AQ245" i="6" s="1"/>
  <c r="AR245" i="6" s="1"/>
  <c r="AS245" i="6" s="1"/>
  <c r="AT245" i="6" s="1"/>
  <c r="AU245" i="6" s="1"/>
  <c r="AV245" i="6" s="1"/>
  <c r="AW245" i="6" s="1"/>
  <c r="AX245" i="6" s="1"/>
  <c r="AY245" i="6" s="1"/>
  <c r="AZ245" i="6" s="1"/>
  <c r="BA245" i="6" s="1"/>
  <c r="BB245" i="6" s="1"/>
  <c r="BC245" i="6" s="1"/>
  <c r="BD245" i="6" s="1"/>
  <c r="BE245" i="6" s="1"/>
  <c r="BF245" i="6" s="1"/>
  <c r="BG245" i="6" s="1"/>
  <c r="BH245" i="6" s="1"/>
  <c r="BI245" i="6" s="1"/>
  <c r="BJ245" i="6" s="1"/>
  <c r="BK245" i="6" s="1"/>
  <c r="BL245" i="6" s="1"/>
  <c r="BM245" i="6" s="1"/>
  <c r="AK245" i="6"/>
  <c r="AL245" i="6" s="1"/>
  <c r="AB245" i="6"/>
  <c r="AC245" i="6" s="1"/>
  <c r="AD245" i="6" s="1"/>
  <c r="AE245" i="6" s="1"/>
  <c r="AF245" i="6" s="1"/>
  <c r="AG245" i="6" s="1"/>
  <c r="AH245" i="6" s="1"/>
  <c r="AI245" i="6" s="1"/>
  <c r="Y245" i="6"/>
  <c r="Z245" i="6" s="1"/>
  <c r="W245" i="6"/>
  <c r="U245" i="6"/>
  <c r="S245" i="6"/>
  <c r="Q245" i="6"/>
  <c r="M245" i="6"/>
  <c r="N245" i="6" s="1"/>
  <c r="BF244" i="6"/>
  <c r="BG244" i="6" s="1"/>
  <c r="BH244" i="6" s="1"/>
  <c r="BI244" i="6" s="1"/>
  <c r="BJ244" i="6" s="1"/>
  <c r="BK244" i="6" s="1"/>
  <c r="BL244" i="6" s="1"/>
  <c r="BM244" i="6" s="1"/>
  <c r="AT244" i="6"/>
  <c r="AU244" i="6" s="1"/>
  <c r="AV244" i="6" s="1"/>
  <c r="AW244" i="6" s="1"/>
  <c r="AX244" i="6" s="1"/>
  <c r="AY244" i="6" s="1"/>
  <c r="AZ244" i="6" s="1"/>
  <c r="BA244" i="6" s="1"/>
  <c r="BB244" i="6" s="1"/>
  <c r="BC244" i="6" s="1"/>
  <c r="BD244" i="6" s="1"/>
  <c r="AH244" i="6"/>
  <c r="AI244" i="6" s="1"/>
  <c r="AJ244" i="6" s="1"/>
  <c r="AK244" i="6" s="1"/>
  <c r="AL244" i="6" s="1"/>
  <c r="AM244" i="6" s="1"/>
  <c r="AN244" i="6" s="1"/>
  <c r="AO244" i="6" s="1"/>
  <c r="AP244" i="6" s="1"/>
  <c r="AQ244" i="6" s="1"/>
  <c r="AR244" i="6" s="1"/>
  <c r="V244" i="6"/>
  <c r="W244" i="6" s="1"/>
  <c r="X244" i="6" s="1"/>
  <c r="Y244" i="6" s="1"/>
  <c r="Z244" i="6" s="1"/>
  <c r="AA244" i="6" s="1"/>
  <c r="AB244" i="6" s="1"/>
  <c r="AC244" i="6" s="1"/>
  <c r="AD244" i="6" s="1"/>
  <c r="AE244" i="6" s="1"/>
  <c r="AF244" i="6" s="1"/>
  <c r="M244" i="6"/>
  <c r="N244" i="6" s="1"/>
  <c r="O244" i="6" s="1"/>
  <c r="P244" i="6" s="1"/>
  <c r="Q244" i="6" s="1"/>
  <c r="R244" i="6" s="1"/>
  <c r="S244" i="6" s="1"/>
  <c r="T244" i="6" s="1"/>
  <c r="W243" i="6"/>
  <c r="X243" i="6" s="1"/>
  <c r="Y243" i="6" s="1"/>
  <c r="Z243" i="6" s="1"/>
  <c r="AA243" i="6" s="1"/>
  <c r="AB243" i="6" s="1"/>
  <c r="AC243" i="6" s="1"/>
  <c r="AD243" i="6" s="1"/>
  <c r="AE243" i="6" s="1"/>
  <c r="AF243" i="6" s="1"/>
  <c r="AG243" i="6" s="1"/>
  <c r="AH243" i="6" s="1"/>
  <c r="AI243" i="6" s="1"/>
  <c r="AJ243" i="6" s="1"/>
  <c r="AK243" i="6" s="1"/>
  <c r="AL243" i="6" s="1"/>
  <c r="AM243" i="6" s="1"/>
  <c r="AN243" i="6" s="1"/>
  <c r="AO243" i="6" s="1"/>
  <c r="AP243" i="6" s="1"/>
  <c r="AQ243" i="6" s="1"/>
  <c r="AR243" i="6" s="1"/>
  <c r="AS243" i="6" s="1"/>
  <c r="AT243" i="6" s="1"/>
  <c r="AU243" i="6" s="1"/>
  <c r="AV243" i="6" s="1"/>
  <c r="AW243" i="6" s="1"/>
  <c r="AX243" i="6" s="1"/>
  <c r="AY243" i="6" s="1"/>
  <c r="AZ243" i="6" s="1"/>
  <c r="BA243" i="6" s="1"/>
  <c r="BB243" i="6" s="1"/>
  <c r="BC243" i="6" s="1"/>
  <c r="BD243" i="6" s="1"/>
  <c r="BE243" i="6" s="1"/>
  <c r="BF243" i="6" s="1"/>
  <c r="BG243" i="6" s="1"/>
  <c r="BH243" i="6" s="1"/>
  <c r="BI243" i="6" s="1"/>
  <c r="BJ243" i="6" s="1"/>
  <c r="BK243" i="6" s="1"/>
  <c r="BL243" i="6" s="1"/>
  <c r="BM243" i="6" s="1"/>
  <c r="Q243" i="6"/>
  <c r="R243" i="6" s="1"/>
  <c r="S243" i="6" s="1"/>
  <c r="T243" i="6" s="1"/>
  <c r="U243" i="6" s="1"/>
  <c r="M243" i="6"/>
  <c r="N243" i="6" s="1"/>
  <c r="BF242" i="6"/>
  <c r="BG242" i="6" s="1"/>
  <c r="BH242" i="6" s="1"/>
  <c r="BI242" i="6" s="1"/>
  <c r="BJ242" i="6" s="1"/>
  <c r="BK242" i="6" s="1"/>
  <c r="BL242" i="6" s="1"/>
  <c r="BM242" i="6" s="1"/>
  <c r="AT242" i="6"/>
  <c r="AU242" i="6" s="1"/>
  <c r="AV242" i="6" s="1"/>
  <c r="AW242" i="6" s="1"/>
  <c r="AX242" i="6" s="1"/>
  <c r="AY242" i="6" s="1"/>
  <c r="AZ242" i="6" s="1"/>
  <c r="BA242" i="6" s="1"/>
  <c r="BB242" i="6" s="1"/>
  <c r="BC242" i="6" s="1"/>
  <c r="BD242" i="6" s="1"/>
  <c r="AH242" i="6"/>
  <c r="AI242" i="6" s="1"/>
  <c r="AJ242" i="6" s="1"/>
  <c r="AK242" i="6" s="1"/>
  <c r="AL242" i="6" s="1"/>
  <c r="AM242" i="6" s="1"/>
  <c r="AN242" i="6" s="1"/>
  <c r="AO242" i="6" s="1"/>
  <c r="AP242" i="6" s="1"/>
  <c r="AQ242" i="6" s="1"/>
  <c r="AR242" i="6" s="1"/>
  <c r="V242" i="6"/>
  <c r="W242" i="6" s="1"/>
  <c r="X242" i="6" s="1"/>
  <c r="Y242" i="6" s="1"/>
  <c r="Z242" i="6" s="1"/>
  <c r="AA242" i="6" s="1"/>
  <c r="AB242" i="6" s="1"/>
  <c r="AC242" i="6" s="1"/>
  <c r="AD242" i="6" s="1"/>
  <c r="AE242" i="6" s="1"/>
  <c r="AF242" i="6" s="1"/>
  <c r="M242" i="6"/>
  <c r="N242" i="6" s="1"/>
  <c r="O242" i="6" s="1"/>
  <c r="P242" i="6" s="1"/>
  <c r="Q242" i="6" s="1"/>
  <c r="R242" i="6" s="1"/>
  <c r="S242" i="6" s="1"/>
  <c r="T242" i="6" s="1"/>
  <c r="AN240" i="6"/>
  <c r="AO240" i="6" s="1"/>
  <c r="AP240" i="6" s="1"/>
  <c r="AQ240" i="6" s="1"/>
  <c r="AR240" i="6" s="1"/>
  <c r="AS240" i="6" s="1"/>
  <c r="AT240" i="6" s="1"/>
  <c r="AU240" i="6" s="1"/>
  <c r="AV240" i="6" s="1"/>
  <c r="AW240" i="6" s="1"/>
  <c r="AX240" i="6" s="1"/>
  <c r="AY240" i="6" s="1"/>
  <c r="AZ240" i="6" s="1"/>
  <c r="BA240" i="6" s="1"/>
  <c r="BB240" i="6" s="1"/>
  <c r="BC240" i="6" s="1"/>
  <c r="BD240" i="6" s="1"/>
  <c r="BE240" i="6" s="1"/>
  <c r="BF240" i="6" s="1"/>
  <c r="BG240" i="6" s="1"/>
  <c r="BH240" i="6" s="1"/>
  <c r="BI240" i="6" s="1"/>
  <c r="BJ240" i="6" s="1"/>
  <c r="BK240" i="6" s="1"/>
  <c r="BL240" i="6" s="1"/>
  <c r="BM240" i="6" s="1"/>
  <c r="AK240" i="6"/>
  <c r="AL240" i="6" s="1"/>
  <c r="AB240" i="6"/>
  <c r="AC240" i="6" s="1"/>
  <c r="AD240" i="6" s="1"/>
  <c r="AE240" i="6" s="1"/>
  <c r="AF240" i="6" s="1"/>
  <c r="AG240" i="6" s="1"/>
  <c r="AH240" i="6" s="1"/>
  <c r="AI240" i="6" s="1"/>
  <c r="Y240" i="6"/>
  <c r="Z240" i="6" s="1"/>
  <c r="W240" i="6"/>
  <c r="U240" i="6"/>
  <c r="S240" i="6"/>
  <c r="Q240" i="6"/>
  <c r="M240" i="6"/>
  <c r="N240" i="6" s="1"/>
  <c r="BF239" i="6"/>
  <c r="BG239" i="6" s="1"/>
  <c r="BH239" i="6" s="1"/>
  <c r="BI239" i="6" s="1"/>
  <c r="BJ239" i="6" s="1"/>
  <c r="BK239" i="6" s="1"/>
  <c r="BL239" i="6" s="1"/>
  <c r="BM239" i="6" s="1"/>
  <c r="AT239" i="6"/>
  <c r="AU239" i="6" s="1"/>
  <c r="AV239" i="6" s="1"/>
  <c r="AW239" i="6" s="1"/>
  <c r="AX239" i="6" s="1"/>
  <c r="AY239" i="6" s="1"/>
  <c r="AZ239" i="6" s="1"/>
  <c r="BA239" i="6" s="1"/>
  <c r="BB239" i="6" s="1"/>
  <c r="BC239" i="6" s="1"/>
  <c r="BD239" i="6" s="1"/>
  <c r="AH239" i="6"/>
  <c r="AI239" i="6" s="1"/>
  <c r="AJ239" i="6" s="1"/>
  <c r="AK239" i="6" s="1"/>
  <c r="AL239" i="6" s="1"/>
  <c r="AM239" i="6" s="1"/>
  <c r="AN239" i="6" s="1"/>
  <c r="AO239" i="6" s="1"/>
  <c r="AP239" i="6" s="1"/>
  <c r="AQ239" i="6" s="1"/>
  <c r="AR239" i="6" s="1"/>
  <c r="V239" i="6"/>
  <c r="W239" i="6" s="1"/>
  <c r="X239" i="6" s="1"/>
  <c r="Y239" i="6" s="1"/>
  <c r="Z239" i="6" s="1"/>
  <c r="AA239" i="6" s="1"/>
  <c r="AB239" i="6" s="1"/>
  <c r="AC239" i="6" s="1"/>
  <c r="AD239" i="6" s="1"/>
  <c r="AE239" i="6" s="1"/>
  <c r="AF239" i="6" s="1"/>
  <c r="M239" i="6"/>
  <c r="N239" i="6" s="1"/>
  <c r="O239" i="6" s="1"/>
  <c r="P239" i="6" s="1"/>
  <c r="Q239" i="6" s="1"/>
  <c r="R239" i="6" s="1"/>
  <c r="S239" i="6" s="1"/>
  <c r="T239" i="6" s="1"/>
  <c r="BG238" i="6"/>
  <c r="BH238" i="6" s="1"/>
  <c r="BI238" i="6" s="1"/>
  <c r="BJ238" i="6" s="1"/>
  <c r="BK238" i="6" s="1"/>
  <c r="BL238" i="6" s="1"/>
  <c r="BM238" i="6" s="1"/>
  <c r="AN238" i="6"/>
  <c r="AO238" i="6" s="1"/>
  <c r="AP238" i="6" s="1"/>
  <c r="AQ238" i="6" s="1"/>
  <c r="AR238" i="6" s="1"/>
  <c r="AS238" i="6" s="1"/>
  <c r="AT238" i="6" s="1"/>
  <c r="AU238" i="6" s="1"/>
  <c r="AV238" i="6" s="1"/>
  <c r="AW238" i="6" s="1"/>
  <c r="AX238" i="6" s="1"/>
  <c r="AY238" i="6" s="1"/>
  <c r="AZ238" i="6" s="1"/>
  <c r="BA238" i="6" s="1"/>
  <c r="BB238" i="6" s="1"/>
  <c r="BC238" i="6" s="1"/>
  <c r="BD238" i="6" s="1"/>
  <c r="BE238" i="6" s="1"/>
  <c r="AK238" i="6"/>
  <c r="AL238" i="6" s="1"/>
  <c r="AE238" i="6"/>
  <c r="AF238" i="6" s="1"/>
  <c r="AG238" i="6" s="1"/>
  <c r="AH238" i="6" s="1"/>
  <c r="AI238" i="6" s="1"/>
  <c r="AB238" i="6"/>
  <c r="AC238" i="6" s="1"/>
  <c r="Q238" i="6"/>
  <c r="M238" i="6"/>
  <c r="N238" i="6" s="1"/>
  <c r="BF237" i="6"/>
  <c r="BG237" i="6" s="1"/>
  <c r="BH237" i="6" s="1"/>
  <c r="BI237" i="6" s="1"/>
  <c r="BJ237" i="6" s="1"/>
  <c r="BK237" i="6" s="1"/>
  <c r="BL237" i="6" s="1"/>
  <c r="BM237" i="6" s="1"/>
  <c r="AT237" i="6"/>
  <c r="AU237" i="6" s="1"/>
  <c r="AV237" i="6" s="1"/>
  <c r="AW237" i="6" s="1"/>
  <c r="AX237" i="6" s="1"/>
  <c r="AY237" i="6" s="1"/>
  <c r="AZ237" i="6" s="1"/>
  <c r="BA237" i="6" s="1"/>
  <c r="BB237" i="6" s="1"/>
  <c r="BC237" i="6" s="1"/>
  <c r="BD237" i="6" s="1"/>
  <c r="AH237" i="6"/>
  <c r="AI237" i="6" s="1"/>
  <c r="AJ237" i="6" s="1"/>
  <c r="AK237" i="6" s="1"/>
  <c r="AL237" i="6" s="1"/>
  <c r="AM237" i="6" s="1"/>
  <c r="AN237" i="6" s="1"/>
  <c r="AO237" i="6" s="1"/>
  <c r="AP237" i="6" s="1"/>
  <c r="AQ237" i="6" s="1"/>
  <c r="AR237" i="6" s="1"/>
  <c r="V237" i="6"/>
  <c r="W237" i="6" s="1"/>
  <c r="X237" i="6" s="1"/>
  <c r="Y237" i="6" s="1"/>
  <c r="Z237" i="6" s="1"/>
  <c r="AA237" i="6" s="1"/>
  <c r="AB237" i="6" s="1"/>
  <c r="AC237" i="6" s="1"/>
  <c r="AD237" i="6" s="1"/>
  <c r="AE237" i="6" s="1"/>
  <c r="AF237" i="6" s="1"/>
  <c r="M237" i="6"/>
  <c r="N237" i="6" s="1"/>
  <c r="O237" i="6" s="1"/>
  <c r="P237" i="6" s="1"/>
  <c r="Q237" i="6" s="1"/>
  <c r="R237" i="6" s="1"/>
  <c r="S237" i="6" s="1"/>
  <c r="T237" i="6" s="1"/>
  <c r="AN236" i="6"/>
  <c r="AO236" i="6" s="1"/>
  <c r="AP236" i="6" s="1"/>
  <c r="AQ236" i="6" s="1"/>
  <c r="AR236" i="6" s="1"/>
  <c r="AS236" i="6" s="1"/>
  <c r="AT236" i="6" s="1"/>
  <c r="AU236" i="6" s="1"/>
  <c r="AV236" i="6" s="1"/>
  <c r="AW236" i="6" s="1"/>
  <c r="AX236" i="6" s="1"/>
  <c r="AY236" i="6" s="1"/>
  <c r="AZ236" i="6" s="1"/>
  <c r="BA236" i="6" s="1"/>
  <c r="BB236" i="6" s="1"/>
  <c r="BC236" i="6" s="1"/>
  <c r="BD236" i="6" s="1"/>
  <c r="BE236" i="6" s="1"/>
  <c r="BF236" i="6" s="1"/>
  <c r="BG236" i="6" s="1"/>
  <c r="BH236" i="6" s="1"/>
  <c r="BI236" i="6" s="1"/>
  <c r="BJ236" i="6" s="1"/>
  <c r="BK236" i="6" s="1"/>
  <c r="BL236" i="6" s="1"/>
  <c r="BM236" i="6" s="1"/>
  <c r="AK236" i="6"/>
  <c r="AL236" i="6" s="1"/>
  <c r="AB236" i="6"/>
  <c r="AC236" i="6" s="1"/>
  <c r="AD236" i="6" s="1"/>
  <c r="AE236" i="6" s="1"/>
  <c r="AF236" i="6" s="1"/>
  <c r="AG236" i="6" s="1"/>
  <c r="AH236" i="6" s="1"/>
  <c r="AI236" i="6" s="1"/>
  <c r="Y236" i="6"/>
  <c r="Z236" i="6" s="1"/>
  <c r="W236" i="6"/>
  <c r="U236" i="6"/>
  <c r="S236" i="6"/>
  <c r="Q236" i="6"/>
  <c r="M236" i="6"/>
  <c r="N236" i="6" s="1"/>
  <c r="BF235" i="6"/>
  <c r="BG235" i="6" s="1"/>
  <c r="BH235" i="6" s="1"/>
  <c r="BI235" i="6" s="1"/>
  <c r="BJ235" i="6" s="1"/>
  <c r="BK235" i="6" s="1"/>
  <c r="BL235" i="6" s="1"/>
  <c r="BM235" i="6" s="1"/>
  <c r="AT235" i="6"/>
  <c r="AU235" i="6" s="1"/>
  <c r="AV235" i="6" s="1"/>
  <c r="AW235" i="6" s="1"/>
  <c r="AX235" i="6" s="1"/>
  <c r="AY235" i="6" s="1"/>
  <c r="AZ235" i="6" s="1"/>
  <c r="BA235" i="6" s="1"/>
  <c r="BB235" i="6" s="1"/>
  <c r="BC235" i="6" s="1"/>
  <c r="BD235" i="6" s="1"/>
  <c r="AH235" i="6"/>
  <c r="AI235" i="6" s="1"/>
  <c r="AJ235" i="6" s="1"/>
  <c r="AK235" i="6" s="1"/>
  <c r="AL235" i="6" s="1"/>
  <c r="AM235" i="6" s="1"/>
  <c r="AN235" i="6" s="1"/>
  <c r="AO235" i="6" s="1"/>
  <c r="AP235" i="6" s="1"/>
  <c r="AQ235" i="6" s="1"/>
  <c r="AR235" i="6" s="1"/>
  <c r="V235" i="6"/>
  <c r="W235" i="6" s="1"/>
  <c r="X235" i="6" s="1"/>
  <c r="Y235" i="6" s="1"/>
  <c r="Z235" i="6" s="1"/>
  <c r="AA235" i="6" s="1"/>
  <c r="AB235" i="6" s="1"/>
  <c r="AC235" i="6" s="1"/>
  <c r="AD235" i="6" s="1"/>
  <c r="AE235" i="6" s="1"/>
  <c r="AF235" i="6" s="1"/>
  <c r="M235" i="6"/>
  <c r="N235" i="6" s="1"/>
  <c r="O235" i="6" s="1"/>
  <c r="P235" i="6" s="1"/>
  <c r="Q235" i="6" s="1"/>
  <c r="R235" i="6" s="1"/>
  <c r="S235" i="6" s="1"/>
  <c r="T235" i="6" s="1"/>
  <c r="W234" i="6"/>
  <c r="X234" i="6" s="1"/>
  <c r="Y234" i="6" s="1"/>
  <c r="Z234" i="6" s="1"/>
  <c r="AA234" i="6" s="1"/>
  <c r="AB234" i="6" s="1"/>
  <c r="AC234" i="6" s="1"/>
  <c r="AD234" i="6" s="1"/>
  <c r="AE234" i="6" s="1"/>
  <c r="AF234" i="6" s="1"/>
  <c r="AG234" i="6" s="1"/>
  <c r="Q234" i="6"/>
  <c r="R234" i="6" s="1"/>
  <c r="S234" i="6" s="1"/>
  <c r="T234" i="6" s="1"/>
  <c r="U234" i="6" s="1"/>
  <c r="N234" i="6"/>
  <c r="BF233" i="6"/>
  <c r="AT233" i="6"/>
  <c r="AH233" i="6"/>
  <c r="V233" i="6"/>
  <c r="M233" i="6"/>
  <c r="O231" i="6"/>
  <c r="P231" i="6" s="1"/>
  <c r="Q231" i="6" s="1"/>
  <c r="R231" i="6" s="1"/>
  <c r="S231" i="6" s="1"/>
  <c r="T231" i="6" s="1"/>
  <c r="U231" i="6" s="1"/>
  <c r="V231" i="6" s="1"/>
  <c r="W231" i="6" s="1"/>
  <c r="X231" i="6" s="1"/>
  <c r="Y231" i="6" s="1"/>
  <c r="Z231" i="6" s="1"/>
  <c r="AA231" i="6" s="1"/>
  <c r="AB231" i="6" s="1"/>
  <c r="AC231" i="6" s="1"/>
  <c r="AD231" i="6" s="1"/>
  <c r="AE231" i="6" s="1"/>
  <c r="AF231" i="6" s="1"/>
  <c r="AG231" i="6" s="1"/>
  <c r="AH231" i="6" s="1"/>
  <c r="AI231" i="6" s="1"/>
  <c r="AJ231" i="6" s="1"/>
  <c r="AK231" i="6" s="1"/>
  <c r="AL231" i="6" s="1"/>
  <c r="AM231" i="6" s="1"/>
  <c r="AN231" i="6" s="1"/>
  <c r="AO231" i="6" s="1"/>
  <c r="AP231" i="6" s="1"/>
  <c r="AQ231" i="6" s="1"/>
  <c r="AR231" i="6" s="1"/>
  <c r="AS231" i="6" s="1"/>
  <c r="AT231" i="6" s="1"/>
  <c r="AU231" i="6" s="1"/>
  <c r="AV231" i="6" s="1"/>
  <c r="AW231" i="6" s="1"/>
  <c r="AX231" i="6" s="1"/>
  <c r="AY231" i="6" s="1"/>
  <c r="AZ231" i="6" s="1"/>
  <c r="BA231" i="6" s="1"/>
  <c r="BB231" i="6" s="1"/>
  <c r="BC231" i="6" s="1"/>
  <c r="BD231" i="6" s="1"/>
  <c r="BE231" i="6" s="1"/>
  <c r="BF231" i="6" s="1"/>
  <c r="BG231" i="6" s="1"/>
  <c r="BH231" i="6" s="1"/>
  <c r="BI231" i="6" s="1"/>
  <c r="BJ231" i="6" s="1"/>
  <c r="BK231" i="6" s="1"/>
  <c r="BL231" i="6" s="1"/>
  <c r="BM231" i="6" s="1"/>
  <c r="M231" i="6"/>
  <c r="O230" i="6"/>
  <c r="P230" i="6" s="1"/>
  <c r="Q230" i="6" s="1"/>
  <c r="R230" i="6" s="1"/>
  <c r="S230" i="6" s="1"/>
  <c r="T230" i="6" s="1"/>
  <c r="U230" i="6" s="1"/>
  <c r="V230" i="6" s="1"/>
  <c r="W230" i="6" s="1"/>
  <c r="X230" i="6" s="1"/>
  <c r="Y230" i="6" s="1"/>
  <c r="Z230" i="6" s="1"/>
  <c r="AA230" i="6" s="1"/>
  <c r="AB230" i="6" s="1"/>
  <c r="AC230" i="6" s="1"/>
  <c r="AD230" i="6" s="1"/>
  <c r="AE230" i="6" s="1"/>
  <c r="AF230" i="6" s="1"/>
  <c r="AG230" i="6" s="1"/>
  <c r="AH230" i="6" s="1"/>
  <c r="AI230" i="6" s="1"/>
  <c r="AJ230" i="6" s="1"/>
  <c r="AK230" i="6" s="1"/>
  <c r="AL230" i="6" s="1"/>
  <c r="AM230" i="6" s="1"/>
  <c r="AN230" i="6" s="1"/>
  <c r="AO230" i="6" s="1"/>
  <c r="AP230" i="6" s="1"/>
  <c r="AQ230" i="6" s="1"/>
  <c r="AR230" i="6" s="1"/>
  <c r="AS230" i="6" s="1"/>
  <c r="AT230" i="6" s="1"/>
  <c r="AU230" i="6" s="1"/>
  <c r="AV230" i="6" s="1"/>
  <c r="AW230" i="6" s="1"/>
  <c r="AX230" i="6" s="1"/>
  <c r="AY230" i="6" s="1"/>
  <c r="AZ230" i="6" s="1"/>
  <c r="BA230" i="6" s="1"/>
  <c r="BB230" i="6" s="1"/>
  <c r="BC230" i="6" s="1"/>
  <c r="BD230" i="6" s="1"/>
  <c r="BE230" i="6" s="1"/>
  <c r="BF230" i="6" s="1"/>
  <c r="BG230" i="6" s="1"/>
  <c r="BH230" i="6" s="1"/>
  <c r="BI230" i="6" s="1"/>
  <c r="BJ230" i="6" s="1"/>
  <c r="BK230" i="6" s="1"/>
  <c r="BL230" i="6" s="1"/>
  <c r="BM230" i="6" s="1"/>
  <c r="M230" i="6"/>
  <c r="G226" i="6"/>
  <c r="F226" i="6"/>
  <c r="E226" i="6"/>
  <c r="BE225" i="6"/>
  <c r="AS225" i="6"/>
  <c r="AG225" i="6"/>
  <c r="U225" i="6"/>
  <c r="L225" i="6"/>
  <c r="J225" i="6"/>
  <c r="H225" i="6"/>
  <c r="BF224" i="6"/>
  <c r="BG224" i="6" s="1"/>
  <c r="BH224" i="6" s="1"/>
  <c r="BI224" i="6" s="1"/>
  <c r="BJ224" i="6" s="1"/>
  <c r="BK224" i="6" s="1"/>
  <c r="BL224" i="6" s="1"/>
  <c r="BM224" i="6" s="1"/>
  <c r="AT224" i="6"/>
  <c r="AU224" i="6" s="1"/>
  <c r="AV224" i="6" s="1"/>
  <c r="AW224" i="6" s="1"/>
  <c r="AX224" i="6" s="1"/>
  <c r="AY224" i="6" s="1"/>
  <c r="AZ224" i="6" s="1"/>
  <c r="BA224" i="6" s="1"/>
  <c r="BB224" i="6" s="1"/>
  <c r="BC224" i="6" s="1"/>
  <c r="BD224" i="6" s="1"/>
  <c r="AH224" i="6"/>
  <c r="AI224" i="6" s="1"/>
  <c r="AJ224" i="6" s="1"/>
  <c r="AK224" i="6" s="1"/>
  <c r="AL224" i="6" s="1"/>
  <c r="AM224" i="6" s="1"/>
  <c r="AN224" i="6" s="1"/>
  <c r="AO224" i="6" s="1"/>
  <c r="AP224" i="6" s="1"/>
  <c r="AQ224" i="6" s="1"/>
  <c r="AR224" i="6" s="1"/>
  <c r="V224" i="6"/>
  <c r="W224" i="6" s="1"/>
  <c r="X224" i="6" s="1"/>
  <c r="Y224" i="6" s="1"/>
  <c r="Z224" i="6" s="1"/>
  <c r="AA224" i="6" s="1"/>
  <c r="AB224" i="6" s="1"/>
  <c r="AC224" i="6" s="1"/>
  <c r="AD224" i="6" s="1"/>
  <c r="AE224" i="6" s="1"/>
  <c r="AF224" i="6" s="1"/>
  <c r="M224" i="6"/>
  <c r="N224" i="6" s="1"/>
  <c r="O224" i="6" s="1"/>
  <c r="P224" i="6" s="1"/>
  <c r="Q224" i="6" s="1"/>
  <c r="R224" i="6" s="1"/>
  <c r="S224" i="6" s="1"/>
  <c r="T224" i="6" s="1"/>
  <c r="E224" i="6"/>
  <c r="BF223" i="6"/>
  <c r="BG223" i="6" s="1"/>
  <c r="BH223" i="6" s="1"/>
  <c r="BI223" i="6" s="1"/>
  <c r="BJ223" i="6" s="1"/>
  <c r="BK223" i="6" s="1"/>
  <c r="BL223" i="6" s="1"/>
  <c r="BM223" i="6" s="1"/>
  <c r="AT223" i="6"/>
  <c r="AU223" i="6" s="1"/>
  <c r="AV223" i="6" s="1"/>
  <c r="AW223" i="6" s="1"/>
  <c r="AX223" i="6" s="1"/>
  <c r="AY223" i="6" s="1"/>
  <c r="AZ223" i="6" s="1"/>
  <c r="BA223" i="6" s="1"/>
  <c r="BB223" i="6" s="1"/>
  <c r="BC223" i="6" s="1"/>
  <c r="BD223" i="6" s="1"/>
  <c r="AH223" i="6"/>
  <c r="AI223" i="6" s="1"/>
  <c r="AJ223" i="6" s="1"/>
  <c r="AK223" i="6" s="1"/>
  <c r="AL223" i="6" s="1"/>
  <c r="AM223" i="6" s="1"/>
  <c r="AN223" i="6" s="1"/>
  <c r="AO223" i="6" s="1"/>
  <c r="AP223" i="6" s="1"/>
  <c r="AQ223" i="6" s="1"/>
  <c r="AR223" i="6" s="1"/>
  <c r="V223" i="6"/>
  <c r="W223" i="6" s="1"/>
  <c r="X223" i="6" s="1"/>
  <c r="Y223" i="6" s="1"/>
  <c r="Z223" i="6" s="1"/>
  <c r="AA223" i="6" s="1"/>
  <c r="AB223" i="6" s="1"/>
  <c r="AC223" i="6" s="1"/>
  <c r="AD223" i="6" s="1"/>
  <c r="AE223" i="6" s="1"/>
  <c r="AF223" i="6" s="1"/>
  <c r="M223" i="6"/>
  <c r="N223" i="6" s="1"/>
  <c r="O223" i="6" s="1"/>
  <c r="P223" i="6" s="1"/>
  <c r="Q223" i="6" s="1"/>
  <c r="R223" i="6" s="1"/>
  <c r="S223" i="6" s="1"/>
  <c r="T223" i="6" s="1"/>
  <c r="E223" i="6"/>
  <c r="BF222" i="6"/>
  <c r="BG222" i="6" s="1"/>
  <c r="BH222" i="6" s="1"/>
  <c r="BI222" i="6" s="1"/>
  <c r="BJ222" i="6" s="1"/>
  <c r="BK222" i="6" s="1"/>
  <c r="BL222" i="6" s="1"/>
  <c r="BM222" i="6" s="1"/>
  <c r="AT222" i="6"/>
  <c r="AU222" i="6" s="1"/>
  <c r="AV222" i="6" s="1"/>
  <c r="AW222" i="6" s="1"/>
  <c r="AX222" i="6" s="1"/>
  <c r="AY222" i="6" s="1"/>
  <c r="AZ222" i="6" s="1"/>
  <c r="BA222" i="6" s="1"/>
  <c r="BB222" i="6" s="1"/>
  <c r="BC222" i="6" s="1"/>
  <c r="BD222" i="6" s="1"/>
  <c r="AH222" i="6"/>
  <c r="AI222" i="6" s="1"/>
  <c r="AJ222" i="6" s="1"/>
  <c r="AK222" i="6" s="1"/>
  <c r="AL222" i="6" s="1"/>
  <c r="AM222" i="6" s="1"/>
  <c r="AN222" i="6" s="1"/>
  <c r="AO222" i="6" s="1"/>
  <c r="AP222" i="6" s="1"/>
  <c r="AQ222" i="6" s="1"/>
  <c r="AR222" i="6" s="1"/>
  <c r="V222" i="6"/>
  <c r="W222" i="6" s="1"/>
  <c r="X222" i="6" s="1"/>
  <c r="Y222" i="6" s="1"/>
  <c r="Z222" i="6" s="1"/>
  <c r="AA222" i="6" s="1"/>
  <c r="AB222" i="6" s="1"/>
  <c r="AC222" i="6" s="1"/>
  <c r="AD222" i="6" s="1"/>
  <c r="AE222" i="6" s="1"/>
  <c r="AF222" i="6" s="1"/>
  <c r="M222" i="6"/>
  <c r="N222" i="6" s="1"/>
  <c r="O222" i="6" s="1"/>
  <c r="P222" i="6" s="1"/>
  <c r="Q222" i="6" s="1"/>
  <c r="R222" i="6" s="1"/>
  <c r="S222" i="6" s="1"/>
  <c r="T222" i="6" s="1"/>
  <c r="E222" i="6"/>
  <c r="BF221" i="6"/>
  <c r="BG221" i="6" s="1"/>
  <c r="BH221" i="6" s="1"/>
  <c r="BI221" i="6" s="1"/>
  <c r="BJ221" i="6" s="1"/>
  <c r="BK221" i="6" s="1"/>
  <c r="BL221" i="6" s="1"/>
  <c r="BM221" i="6" s="1"/>
  <c r="AT221" i="6"/>
  <c r="AU221" i="6" s="1"/>
  <c r="AV221" i="6" s="1"/>
  <c r="AW221" i="6" s="1"/>
  <c r="AX221" i="6" s="1"/>
  <c r="AY221" i="6" s="1"/>
  <c r="AZ221" i="6" s="1"/>
  <c r="BA221" i="6" s="1"/>
  <c r="BB221" i="6" s="1"/>
  <c r="BC221" i="6" s="1"/>
  <c r="BD221" i="6" s="1"/>
  <c r="AH221" i="6"/>
  <c r="AI221" i="6" s="1"/>
  <c r="AJ221" i="6" s="1"/>
  <c r="AK221" i="6" s="1"/>
  <c r="AL221" i="6" s="1"/>
  <c r="AM221" i="6" s="1"/>
  <c r="AN221" i="6" s="1"/>
  <c r="AO221" i="6" s="1"/>
  <c r="AP221" i="6" s="1"/>
  <c r="AQ221" i="6" s="1"/>
  <c r="AR221" i="6" s="1"/>
  <c r="V221" i="6"/>
  <c r="W221" i="6" s="1"/>
  <c r="X221" i="6" s="1"/>
  <c r="Y221" i="6" s="1"/>
  <c r="Z221" i="6" s="1"/>
  <c r="AA221" i="6" s="1"/>
  <c r="AB221" i="6" s="1"/>
  <c r="AC221" i="6" s="1"/>
  <c r="AD221" i="6" s="1"/>
  <c r="AE221" i="6" s="1"/>
  <c r="AF221" i="6" s="1"/>
  <c r="M221" i="6"/>
  <c r="N221" i="6" s="1"/>
  <c r="O221" i="6" s="1"/>
  <c r="P221" i="6" s="1"/>
  <c r="Q221" i="6" s="1"/>
  <c r="R221" i="6" s="1"/>
  <c r="S221" i="6" s="1"/>
  <c r="T221" i="6" s="1"/>
  <c r="E221" i="6"/>
  <c r="BF220" i="6"/>
  <c r="BG220" i="6" s="1"/>
  <c r="BH220" i="6" s="1"/>
  <c r="BI220" i="6" s="1"/>
  <c r="BJ220" i="6" s="1"/>
  <c r="BK220" i="6" s="1"/>
  <c r="BL220" i="6" s="1"/>
  <c r="BM220" i="6" s="1"/>
  <c r="AT220" i="6"/>
  <c r="AU220" i="6" s="1"/>
  <c r="AV220" i="6" s="1"/>
  <c r="AW220" i="6" s="1"/>
  <c r="AX220" i="6" s="1"/>
  <c r="AY220" i="6" s="1"/>
  <c r="AZ220" i="6" s="1"/>
  <c r="BA220" i="6" s="1"/>
  <c r="BB220" i="6" s="1"/>
  <c r="BC220" i="6" s="1"/>
  <c r="BD220" i="6" s="1"/>
  <c r="AH220" i="6"/>
  <c r="AI220" i="6" s="1"/>
  <c r="AJ220" i="6" s="1"/>
  <c r="AK220" i="6" s="1"/>
  <c r="AL220" i="6" s="1"/>
  <c r="AM220" i="6" s="1"/>
  <c r="AN220" i="6" s="1"/>
  <c r="AO220" i="6" s="1"/>
  <c r="AP220" i="6" s="1"/>
  <c r="AQ220" i="6" s="1"/>
  <c r="AR220" i="6" s="1"/>
  <c r="V220" i="6"/>
  <c r="W220" i="6" s="1"/>
  <c r="X220" i="6" s="1"/>
  <c r="Y220" i="6" s="1"/>
  <c r="Z220" i="6" s="1"/>
  <c r="AA220" i="6" s="1"/>
  <c r="AB220" i="6" s="1"/>
  <c r="AC220" i="6" s="1"/>
  <c r="AD220" i="6" s="1"/>
  <c r="AE220" i="6" s="1"/>
  <c r="AF220" i="6" s="1"/>
  <c r="M220" i="6"/>
  <c r="N220" i="6" s="1"/>
  <c r="O220" i="6" s="1"/>
  <c r="P220" i="6" s="1"/>
  <c r="Q220" i="6" s="1"/>
  <c r="R220" i="6" s="1"/>
  <c r="S220" i="6" s="1"/>
  <c r="T220" i="6" s="1"/>
  <c r="K220" i="6"/>
  <c r="E220" i="6"/>
  <c r="BF219" i="6"/>
  <c r="BG219" i="6" s="1"/>
  <c r="BH219" i="6" s="1"/>
  <c r="BI219" i="6" s="1"/>
  <c r="BJ219" i="6" s="1"/>
  <c r="BK219" i="6" s="1"/>
  <c r="BL219" i="6" s="1"/>
  <c r="BM219" i="6" s="1"/>
  <c r="AT219" i="6"/>
  <c r="AU219" i="6" s="1"/>
  <c r="AV219" i="6" s="1"/>
  <c r="AW219" i="6" s="1"/>
  <c r="AX219" i="6" s="1"/>
  <c r="AY219" i="6" s="1"/>
  <c r="AZ219" i="6" s="1"/>
  <c r="BA219" i="6" s="1"/>
  <c r="BB219" i="6" s="1"/>
  <c r="BC219" i="6" s="1"/>
  <c r="BD219" i="6" s="1"/>
  <c r="AH219" i="6"/>
  <c r="AI219" i="6" s="1"/>
  <c r="AJ219" i="6" s="1"/>
  <c r="AK219" i="6" s="1"/>
  <c r="AL219" i="6" s="1"/>
  <c r="AM219" i="6" s="1"/>
  <c r="AN219" i="6" s="1"/>
  <c r="AO219" i="6" s="1"/>
  <c r="AP219" i="6" s="1"/>
  <c r="AQ219" i="6" s="1"/>
  <c r="AR219" i="6" s="1"/>
  <c r="V219" i="6"/>
  <c r="W219" i="6" s="1"/>
  <c r="X219" i="6" s="1"/>
  <c r="Y219" i="6" s="1"/>
  <c r="Z219" i="6" s="1"/>
  <c r="AA219" i="6" s="1"/>
  <c r="AB219" i="6" s="1"/>
  <c r="AC219" i="6" s="1"/>
  <c r="AD219" i="6" s="1"/>
  <c r="AE219" i="6" s="1"/>
  <c r="AF219" i="6" s="1"/>
  <c r="M219" i="6"/>
  <c r="N219" i="6" s="1"/>
  <c r="O219" i="6" s="1"/>
  <c r="P219" i="6" s="1"/>
  <c r="Q219" i="6" s="1"/>
  <c r="R219" i="6" s="1"/>
  <c r="S219" i="6" s="1"/>
  <c r="T219" i="6" s="1"/>
  <c r="K219" i="6"/>
  <c r="I219" i="6"/>
  <c r="E219" i="6"/>
  <c r="BF218" i="6"/>
  <c r="AT218" i="6"/>
  <c r="AH218" i="6"/>
  <c r="V218" i="6"/>
  <c r="M218" i="6"/>
  <c r="K218" i="6"/>
  <c r="K225" i="6" s="1"/>
  <c r="I218" i="6"/>
  <c r="I225" i="6" s="1"/>
  <c r="AO215" i="6"/>
  <c r="AP215" i="6" s="1"/>
  <c r="AQ215" i="6" s="1"/>
  <c r="AR215" i="6" s="1"/>
  <c r="AS215" i="6" s="1"/>
  <c r="AT215" i="6" s="1"/>
  <c r="AU215" i="6" s="1"/>
  <c r="AV215" i="6" s="1"/>
  <c r="AW215" i="6" s="1"/>
  <c r="AX215" i="6" s="1"/>
  <c r="AY215" i="6" s="1"/>
  <c r="AZ215" i="6" s="1"/>
  <c r="BA215" i="6" s="1"/>
  <c r="BB215" i="6" s="1"/>
  <c r="BC215" i="6" s="1"/>
  <c r="BD215" i="6" s="1"/>
  <c r="BE215" i="6" s="1"/>
  <c r="BF215" i="6" s="1"/>
  <c r="BG215" i="6" s="1"/>
  <c r="BH215" i="6" s="1"/>
  <c r="BI215" i="6" s="1"/>
  <c r="BJ215" i="6" s="1"/>
  <c r="BK215" i="6" s="1"/>
  <c r="BL215" i="6" s="1"/>
  <c r="BM215" i="6" s="1"/>
  <c r="AK215" i="6"/>
  <c r="AL215" i="6" s="1"/>
  <c r="AD215" i="6"/>
  <c r="AE215" i="6" s="1"/>
  <c r="AF215" i="6" s="1"/>
  <c r="AG215" i="6" s="1"/>
  <c r="AH215" i="6" s="1"/>
  <c r="AI215" i="6" s="1"/>
  <c r="AB215" i="6"/>
  <c r="U215" i="6"/>
  <c r="M215" i="6"/>
  <c r="G215" i="6"/>
  <c r="H215" i="6" s="1"/>
  <c r="I215" i="6" s="1"/>
  <c r="J215" i="6" s="1"/>
  <c r="K215" i="6" s="1"/>
  <c r="AO208" i="6"/>
  <c r="AN208" i="6"/>
  <c r="AL208" i="6"/>
  <c r="AK208" i="6"/>
  <c r="AJ208" i="6"/>
  <c r="AI208" i="6"/>
  <c r="AH208" i="6"/>
  <c r="AG208" i="6"/>
  <c r="AF208" i="6"/>
  <c r="AE208" i="6"/>
  <c r="AD208" i="6"/>
  <c r="AC208" i="6"/>
  <c r="AB208" i="6"/>
  <c r="AA208" i="6"/>
  <c r="Z208" i="6"/>
  <c r="Y208" i="6"/>
  <c r="X208" i="6"/>
  <c r="W208" i="6"/>
  <c r="V208" i="6"/>
  <c r="U208" i="6"/>
  <c r="T208" i="6"/>
  <c r="S208" i="6"/>
  <c r="R208" i="6"/>
  <c r="Q208" i="6"/>
  <c r="P208" i="6"/>
  <c r="O208" i="6"/>
  <c r="K208" i="6"/>
  <c r="J208" i="6"/>
  <c r="AM207" i="6"/>
  <c r="AM208" i="6" s="1"/>
  <c r="I206" i="6"/>
  <c r="H206" i="6"/>
  <c r="G206" i="6"/>
  <c r="F206" i="6"/>
  <c r="I205" i="6"/>
  <c r="H205" i="6"/>
  <c r="G205" i="6"/>
  <c r="F205" i="6"/>
  <c r="E205" i="6"/>
  <c r="I204" i="6"/>
  <c r="H204" i="6"/>
  <c r="G204" i="6"/>
  <c r="F204" i="6"/>
  <c r="N203" i="6"/>
  <c r="M203" i="6"/>
  <c r="L203" i="6"/>
  <c r="I203" i="6"/>
  <c r="I208" i="6" s="1"/>
  <c r="H203" i="6"/>
  <c r="H208" i="6" s="1"/>
  <c r="G203" i="6"/>
  <c r="G208" i="6" s="1"/>
  <c r="F203" i="6"/>
  <c r="F208" i="6" s="1"/>
  <c r="E203" i="6"/>
  <c r="E202" i="6"/>
  <c r="E201" i="6"/>
  <c r="BM196" i="6"/>
  <c r="BM197" i="6" s="1"/>
  <c r="BL196" i="6"/>
  <c r="BL197" i="6" s="1"/>
  <c r="BK196" i="6"/>
  <c r="BK197" i="6" s="1"/>
  <c r="BJ196" i="6"/>
  <c r="BJ197" i="6" s="1"/>
  <c r="BI196" i="6"/>
  <c r="BI197" i="6" s="1"/>
  <c r="BH196" i="6"/>
  <c r="BH197" i="6" s="1"/>
  <c r="BG196" i="6"/>
  <c r="BG197" i="6" s="1"/>
  <c r="BF196" i="6"/>
  <c r="BF197" i="6" s="1"/>
  <c r="BE196" i="6"/>
  <c r="BE197" i="6" s="1"/>
  <c r="BD196" i="6"/>
  <c r="BD197" i="6" s="1"/>
  <c r="BC196" i="6"/>
  <c r="BC197" i="6" s="1"/>
  <c r="BB196" i="6"/>
  <c r="BB197" i="6" s="1"/>
  <c r="BA196" i="6"/>
  <c r="BA197" i="6" s="1"/>
  <c r="AZ196" i="6"/>
  <c r="AZ197" i="6" s="1"/>
  <c r="AY196" i="6"/>
  <c r="AY197" i="6" s="1"/>
  <c r="AX196" i="6"/>
  <c r="AX197" i="6" s="1"/>
  <c r="AW196" i="6"/>
  <c r="AW197" i="6" s="1"/>
  <c r="AV196" i="6"/>
  <c r="AV197" i="6" s="1"/>
  <c r="AU196" i="6"/>
  <c r="AU197" i="6" s="1"/>
  <c r="AT196" i="6"/>
  <c r="AT197" i="6" s="1"/>
  <c r="AS196" i="6"/>
  <c r="AS197" i="6" s="1"/>
  <c r="AR196" i="6"/>
  <c r="AR197" i="6" s="1"/>
  <c r="AQ196" i="6"/>
  <c r="AQ197" i="6" s="1"/>
  <c r="AP196" i="6"/>
  <c r="AP197" i="6" s="1"/>
  <c r="AO196" i="6"/>
  <c r="AO197" i="6" s="1"/>
  <c r="AN196" i="6"/>
  <c r="AN197" i="6" s="1"/>
  <c r="AM196" i="6"/>
  <c r="AM197" i="6" s="1"/>
  <c r="AL196" i="6"/>
  <c r="AL197" i="6" s="1"/>
  <c r="AK196" i="6"/>
  <c r="AK197" i="6" s="1"/>
  <c r="AJ196" i="6"/>
  <c r="AJ197" i="6" s="1"/>
  <c r="AI196" i="6"/>
  <c r="AI197" i="6" s="1"/>
  <c r="AH196" i="6"/>
  <c r="AH197" i="6" s="1"/>
  <c r="AG196" i="6"/>
  <c r="AG197" i="6" s="1"/>
  <c r="AF196" i="6"/>
  <c r="AF197" i="6" s="1"/>
  <c r="AE196" i="6"/>
  <c r="AE197" i="6" s="1"/>
  <c r="AD196" i="6"/>
  <c r="AD197" i="6" s="1"/>
  <c r="AC196" i="6"/>
  <c r="AC197" i="6" s="1"/>
  <c r="AB196" i="6"/>
  <c r="AB197" i="6" s="1"/>
  <c r="AA196" i="6"/>
  <c r="AA197" i="6" s="1"/>
  <c r="Z196" i="6"/>
  <c r="Z197" i="6" s="1"/>
  <c r="Y196" i="6"/>
  <c r="Y197" i="6" s="1"/>
  <c r="X196" i="6"/>
  <c r="X197" i="6" s="1"/>
  <c r="W196" i="6"/>
  <c r="W197" i="6" s="1"/>
  <c r="V196" i="6"/>
  <c r="V197" i="6" s="1"/>
  <c r="U196" i="6"/>
  <c r="U197" i="6" s="1"/>
  <c r="T196" i="6"/>
  <c r="T197" i="6" s="1"/>
  <c r="S196" i="6"/>
  <c r="S197" i="6" s="1"/>
  <c r="R196" i="6"/>
  <c r="R197" i="6" s="1"/>
  <c r="Q196" i="6"/>
  <c r="Q197" i="6" s="1"/>
  <c r="P196" i="6"/>
  <c r="P197" i="6" s="1"/>
  <c r="O196" i="6"/>
  <c r="O197" i="6" s="1"/>
  <c r="N196" i="6"/>
  <c r="N197" i="6" s="1"/>
  <c r="M196" i="6"/>
  <c r="M197" i="6" s="1"/>
  <c r="L196" i="6"/>
  <c r="L197" i="6" s="1"/>
  <c r="K196" i="6"/>
  <c r="K197" i="6" s="1"/>
  <c r="J196" i="6"/>
  <c r="J197" i="6" s="1"/>
  <c r="I196" i="6"/>
  <c r="I197" i="6" s="1"/>
  <c r="H196" i="6"/>
  <c r="H197" i="6" s="1"/>
  <c r="G196" i="6"/>
  <c r="G197" i="6" s="1"/>
  <c r="F196" i="6"/>
  <c r="F197" i="6" s="1"/>
  <c r="E197" i="6" s="1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78" i="6"/>
  <c r="E177" i="6"/>
  <c r="E176" i="6"/>
  <c r="E175" i="6"/>
  <c r="E173" i="6"/>
  <c r="E172" i="6"/>
  <c r="E171" i="6"/>
  <c r="E170" i="6"/>
  <c r="E169" i="6"/>
  <c r="E168" i="6"/>
  <c r="E165" i="6"/>
  <c r="E164" i="6"/>
  <c r="E163" i="6"/>
  <c r="E161" i="6"/>
  <c r="E160" i="6"/>
  <c r="E159" i="6"/>
  <c r="E158" i="6"/>
  <c r="E157" i="6"/>
  <c r="E155" i="6"/>
  <c r="E154" i="6"/>
  <c r="E153" i="6"/>
  <c r="E152" i="6"/>
  <c r="E151" i="6"/>
  <c r="E150" i="6"/>
  <c r="E149" i="6"/>
  <c r="E148" i="6"/>
  <c r="E147" i="6"/>
  <c r="E146" i="6"/>
  <c r="E144" i="6"/>
  <c r="E143" i="6"/>
  <c r="E141" i="6"/>
  <c r="E139" i="6"/>
  <c r="E138" i="6"/>
  <c r="E137" i="6"/>
  <c r="E136" i="6"/>
  <c r="BM132" i="6"/>
  <c r="BM167" i="6" s="1"/>
  <c r="BL132" i="6"/>
  <c r="BL167" i="6" s="1"/>
  <c r="BK132" i="6"/>
  <c r="BK167" i="6" s="1"/>
  <c r="BJ132" i="6"/>
  <c r="BJ167" i="6" s="1"/>
  <c r="BI132" i="6"/>
  <c r="BI167" i="6" s="1"/>
  <c r="BH132" i="6"/>
  <c r="BH167" i="6" s="1"/>
  <c r="BG132" i="6"/>
  <c r="BG167" i="6" s="1"/>
  <c r="BF132" i="6"/>
  <c r="BF167" i="6" s="1"/>
  <c r="BE132" i="6"/>
  <c r="BE167" i="6" s="1"/>
  <c r="BD132" i="6"/>
  <c r="BD167" i="6" s="1"/>
  <c r="BC132" i="6"/>
  <c r="BC167" i="6" s="1"/>
  <c r="BB132" i="6"/>
  <c r="BB167" i="6" s="1"/>
  <c r="BA132" i="6"/>
  <c r="BA167" i="6" s="1"/>
  <c r="AZ132" i="6"/>
  <c r="AZ167" i="6" s="1"/>
  <c r="AY132" i="6"/>
  <c r="AY167" i="6" s="1"/>
  <c r="AX132" i="6"/>
  <c r="AX167" i="6" s="1"/>
  <c r="AW132" i="6"/>
  <c r="AW167" i="6" s="1"/>
  <c r="AV132" i="6"/>
  <c r="AV167" i="6" s="1"/>
  <c r="AU132" i="6"/>
  <c r="AU167" i="6" s="1"/>
  <c r="AT132" i="6"/>
  <c r="AT167" i="6" s="1"/>
  <c r="AS132" i="6"/>
  <c r="AS167" i="6" s="1"/>
  <c r="AR132" i="6"/>
  <c r="AR167" i="6" s="1"/>
  <c r="AQ132" i="6"/>
  <c r="AQ167" i="6" s="1"/>
  <c r="AP132" i="6"/>
  <c r="AP167" i="6" s="1"/>
  <c r="AP179" i="6" s="1"/>
  <c r="AO132" i="6"/>
  <c r="AO167" i="6" s="1"/>
  <c r="AO179" i="6" s="1"/>
  <c r="AN132" i="6"/>
  <c r="AN167" i="6" s="1"/>
  <c r="AN179" i="6" s="1"/>
  <c r="AM132" i="6"/>
  <c r="AM167" i="6" s="1"/>
  <c r="AM179" i="6" s="1"/>
  <c r="AL132" i="6"/>
  <c r="AL167" i="6" s="1"/>
  <c r="AL179" i="6" s="1"/>
  <c r="AK132" i="6"/>
  <c r="AK167" i="6" s="1"/>
  <c r="AK179" i="6" s="1"/>
  <c r="AJ132" i="6"/>
  <c r="AJ167" i="6" s="1"/>
  <c r="AJ179" i="6" s="1"/>
  <c r="AI132" i="6"/>
  <c r="AI167" i="6" s="1"/>
  <c r="AI179" i="6" s="1"/>
  <c r="AH132" i="6"/>
  <c r="AH167" i="6" s="1"/>
  <c r="AH179" i="6" s="1"/>
  <c r="AG132" i="6"/>
  <c r="AG167" i="6" s="1"/>
  <c r="AG179" i="6" s="1"/>
  <c r="AF132" i="6"/>
  <c r="AF167" i="6" s="1"/>
  <c r="AF179" i="6" s="1"/>
  <c r="AE132" i="6"/>
  <c r="AE167" i="6" s="1"/>
  <c r="AE179" i="6" s="1"/>
  <c r="AD132" i="6"/>
  <c r="AD167" i="6" s="1"/>
  <c r="AD179" i="6" s="1"/>
  <c r="AC132" i="6"/>
  <c r="AC167" i="6" s="1"/>
  <c r="AC179" i="6" s="1"/>
  <c r="AB132" i="6"/>
  <c r="AB167" i="6" s="1"/>
  <c r="AB179" i="6" s="1"/>
  <c r="AA132" i="6"/>
  <c r="AA167" i="6" s="1"/>
  <c r="AA179" i="6" s="1"/>
  <c r="Z132" i="6"/>
  <c r="Z167" i="6" s="1"/>
  <c r="Z179" i="6" s="1"/>
  <c r="Y132" i="6"/>
  <c r="Y167" i="6" s="1"/>
  <c r="Y179" i="6" s="1"/>
  <c r="X132" i="6"/>
  <c r="X167" i="6" s="1"/>
  <c r="X179" i="6" s="1"/>
  <c r="W132" i="6"/>
  <c r="W167" i="6" s="1"/>
  <c r="W179" i="6" s="1"/>
  <c r="V132" i="6"/>
  <c r="V167" i="6" s="1"/>
  <c r="V179" i="6" s="1"/>
  <c r="U132" i="6"/>
  <c r="U167" i="6" s="1"/>
  <c r="U179" i="6" s="1"/>
  <c r="T132" i="6"/>
  <c r="T167" i="6" s="1"/>
  <c r="T179" i="6" s="1"/>
  <c r="S132" i="6"/>
  <c r="S167" i="6" s="1"/>
  <c r="S179" i="6" s="1"/>
  <c r="R132" i="6"/>
  <c r="R167" i="6" s="1"/>
  <c r="R179" i="6" s="1"/>
  <c r="Q132" i="6"/>
  <c r="Q167" i="6" s="1"/>
  <c r="Q179" i="6" s="1"/>
  <c r="P132" i="6"/>
  <c r="P167" i="6" s="1"/>
  <c r="P179" i="6" s="1"/>
  <c r="O132" i="6"/>
  <c r="O167" i="6" s="1"/>
  <c r="O179" i="6" s="1"/>
  <c r="N132" i="6"/>
  <c r="N167" i="6" s="1"/>
  <c r="N179" i="6" s="1"/>
  <c r="M132" i="6"/>
  <c r="M167" i="6" s="1"/>
  <c r="M179" i="6" s="1"/>
  <c r="L132" i="6"/>
  <c r="L167" i="6" s="1"/>
  <c r="L179" i="6" s="1"/>
  <c r="I132" i="6"/>
  <c r="I167" i="6" s="1"/>
  <c r="I179" i="6" s="1"/>
  <c r="H132" i="6"/>
  <c r="H167" i="6" s="1"/>
  <c r="H179" i="6" s="1"/>
  <c r="G132" i="6"/>
  <c r="G167" i="6" s="1"/>
  <c r="G179" i="6" s="1"/>
  <c r="F132" i="6"/>
  <c r="F167" i="6" s="1"/>
  <c r="J131" i="6"/>
  <c r="K131" i="6" s="1"/>
  <c r="E131" i="6"/>
  <c r="J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AL108" i="6"/>
  <c r="AK108" i="6"/>
  <c r="AJ108" i="6"/>
  <c r="AI108" i="6"/>
  <c r="AH108" i="6"/>
  <c r="AG108" i="6"/>
  <c r="AF108" i="6"/>
  <c r="AE108" i="6"/>
  <c r="AD108" i="6"/>
  <c r="N108" i="6"/>
  <c r="M108" i="6"/>
  <c r="L108" i="6"/>
  <c r="K108" i="6"/>
  <c r="J108" i="6"/>
  <c r="I108" i="6"/>
  <c r="H108" i="6"/>
  <c r="F108" i="6"/>
  <c r="E107" i="6"/>
  <c r="E106" i="6"/>
  <c r="E105" i="6"/>
  <c r="E104" i="6"/>
  <c r="E103" i="6"/>
  <c r="G102" i="6"/>
  <c r="G108" i="6" s="1"/>
  <c r="E108" i="6" s="1"/>
  <c r="E102" i="6"/>
  <c r="BM98" i="6"/>
  <c r="BM211" i="6" s="1"/>
  <c r="BL98" i="6"/>
  <c r="BL211" i="6" s="1"/>
  <c r="BK98" i="6"/>
  <c r="BK211" i="6" s="1"/>
  <c r="BJ98" i="6"/>
  <c r="BJ211" i="6" s="1"/>
  <c r="BI98" i="6"/>
  <c r="BI211" i="6" s="1"/>
  <c r="BH98" i="6"/>
  <c r="BH211" i="6" s="1"/>
  <c r="BG98" i="6"/>
  <c r="BG211" i="6" s="1"/>
  <c r="BF98" i="6"/>
  <c r="BF211" i="6" s="1"/>
  <c r="BE98" i="6"/>
  <c r="BE211" i="6" s="1"/>
  <c r="BD98" i="6"/>
  <c r="BD211" i="6" s="1"/>
  <c r="BC98" i="6"/>
  <c r="BC211" i="6" s="1"/>
  <c r="BB98" i="6"/>
  <c r="BB211" i="6" s="1"/>
  <c r="BA98" i="6"/>
  <c r="BA211" i="6" s="1"/>
  <c r="AZ98" i="6"/>
  <c r="AZ211" i="6" s="1"/>
  <c r="AY98" i="6"/>
  <c r="AY211" i="6" s="1"/>
  <c r="AX98" i="6"/>
  <c r="AX211" i="6" s="1"/>
  <c r="AW98" i="6"/>
  <c r="AW211" i="6" s="1"/>
  <c r="AV98" i="6"/>
  <c r="AV211" i="6" s="1"/>
  <c r="AU98" i="6"/>
  <c r="AU211" i="6" s="1"/>
  <c r="AT98" i="6"/>
  <c r="AT211" i="6" s="1"/>
  <c r="AS98" i="6"/>
  <c r="AS211" i="6" s="1"/>
  <c r="AR98" i="6"/>
  <c r="AR211" i="6" s="1"/>
  <c r="AQ98" i="6"/>
  <c r="AQ211" i="6" s="1"/>
  <c r="AP98" i="6"/>
  <c r="AP211" i="6" s="1"/>
  <c r="AO98" i="6"/>
  <c r="AO211" i="6" s="1"/>
  <c r="AN98" i="6"/>
  <c r="AN211" i="6" s="1"/>
  <c r="AM98" i="6"/>
  <c r="AM211" i="6" s="1"/>
  <c r="AL98" i="6"/>
  <c r="AL211" i="6" s="1"/>
  <c r="AK98" i="6"/>
  <c r="AK211" i="6" s="1"/>
  <c r="AJ98" i="6"/>
  <c r="AJ211" i="6" s="1"/>
  <c r="AI98" i="6"/>
  <c r="AI211" i="6" s="1"/>
  <c r="AH98" i="6"/>
  <c r="AH211" i="6" s="1"/>
  <c r="AG98" i="6"/>
  <c r="AG211" i="6" s="1"/>
  <c r="AF98" i="6"/>
  <c r="AF211" i="6" s="1"/>
  <c r="AE98" i="6"/>
  <c r="AE211" i="6" s="1"/>
  <c r="AD98" i="6"/>
  <c r="AD211" i="6" s="1"/>
  <c r="AC98" i="6"/>
  <c r="AC211" i="6" s="1"/>
  <c r="AB98" i="6"/>
  <c r="AB211" i="6" s="1"/>
  <c r="AA98" i="6"/>
  <c r="AA211" i="6" s="1"/>
  <c r="Z98" i="6"/>
  <c r="Z211" i="6" s="1"/>
  <c r="Y98" i="6"/>
  <c r="Y211" i="6" s="1"/>
  <c r="X98" i="6"/>
  <c r="X211" i="6" s="1"/>
  <c r="W98" i="6"/>
  <c r="W211" i="6" s="1"/>
  <c r="V98" i="6"/>
  <c r="V211" i="6" s="1"/>
  <c r="U98" i="6"/>
  <c r="U211" i="6" s="1"/>
  <c r="T98" i="6"/>
  <c r="T211" i="6" s="1"/>
  <c r="S98" i="6"/>
  <c r="S211" i="6" s="1"/>
  <c r="R98" i="6"/>
  <c r="R211" i="6" s="1"/>
  <c r="E211" i="6" s="1"/>
  <c r="Q98" i="6"/>
  <c r="Q210" i="6" s="1"/>
  <c r="P98" i="6"/>
  <c r="P210" i="6" s="1"/>
  <c r="O98" i="6"/>
  <c r="O210" i="6" s="1"/>
  <c r="F98" i="6"/>
  <c r="E97" i="6"/>
  <c r="G96" i="6"/>
  <c r="H96" i="6" s="1"/>
  <c r="I96" i="6" s="1"/>
  <c r="J96" i="6" s="1"/>
  <c r="K96" i="6" s="1"/>
  <c r="L96" i="6" s="1"/>
  <c r="M96" i="6" s="1"/>
  <c r="N96" i="6" s="1"/>
  <c r="E96" i="6"/>
  <c r="G95" i="6"/>
  <c r="G91" i="6"/>
  <c r="H91" i="6" s="1"/>
  <c r="I91" i="6" s="1"/>
  <c r="J91" i="6" s="1"/>
  <c r="K91" i="6" s="1"/>
  <c r="L91" i="6" s="1"/>
  <c r="M91" i="6" s="1"/>
  <c r="N91" i="6" s="1"/>
  <c r="O91" i="6" s="1"/>
  <c r="P91" i="6" s="1"/>
  <c r="Q91" i="6" s="1"/>
  <c r="R91" i="6" s="1"/>
  <c r="S91" i="6" s="1"/>
  <c r="T91" i="6" s="1"/>
  <c r="U91" i="6" s="1"/>
  <c r="V91" i="6" s="1"/>
  <c r="W91" i="6" s="1"/>
  <c r="X91" i="6" s="1"/>
  <c r="Y91" i="6" s="1"/>
  <c r="Z91" i="6" s="1"/>
  <c r="AA91" i="6" s="1"/>
  <c r="AB91" i="6" s="1"/>
  <c r="AC91" i="6" s="1"/>
  <c r="AD91" i="6" s="1"/>
  <c r="AE91" i="6" s="1"/>
  <c r="AF91" i="6" s="1"/>
  <c r="AG91" i="6" s="1"/>
  <c r="AH91" i="6" s="1"/>
  <c r="AI91" i="6" s="1"/>
  <c r="AJ91" i="6" s="1"/>
  <c r="AK91" i="6" s="1"/>
  <c r="AL91" i="6" s="1"/>
  <c r="AM91" i="6" s="1"/>
  <c r="AN91" i="6" s="1"/>
  <c r="AO91" i="6" s="1"/>
  <c r="AP91" i="6" s="1"/>
  <c r="AQ91" i="6" s="1"/>
  <c r="AR91" i="6" s="1"/>
  <c r="AS91" i="6" s="1"/>
  <c r="AT91" i="6" s="1"/>
  <c r="AU91" i="6" s="1"/>
  <c r="AV91" i="6" s="1"/>
  <c r="AW91" i="6" s="1"/>
  <c r="AX91" i="6" s="1"/>
  <c r="AY91" i="6" s="1"/>
  <c r="AZ91" i="6" s="1"/>
  <c r="BA91" i="6" s="1"/>
  <c r="BB91" i="6" s="1"/>
  <c r="BC91" i="6" s="1"/>
  <c r="BD91" i="6" s="1"/>
  <c r="BE91" i="6" s="1"/>
  <c r="BF91" i="6" s="1"/>
  <c r="BG91" i="6" s="1"/>
  <c r="BH91" i="6" s="1"/>
  <c r="BI91" i="6" s="1"/>
  <c r="BJ91" i="6" s="1"/>
  <c r="BK91" i="6" s="1"/>
  <c r="BL91" i="6" s="1"/>
  <c r="BM91" i="6" s="1"/>
  <c r="E91" i="6"/>
  <c r="G90" i="6"/>
  <c r="H90" i="6" s="1"/>
  <c r="I90" i="6" s="1"/>
  <c r="J90" i="6" s="1"/>
  <c r="K90" i="6" s="1"/>
  <c r="L90" i="6" s="1"/>
  <c r="M90" i="6" s="1"/>
  <c r="N90" i="6" s="1"/>
  <c r="O90" i="6" s="1"/>
  <c r="P90" i="6" s="1"/>
  <c r="Q90" i="6" s="1"/>
  <c r="R90" i="6" s="1"/>
  <c r="S90" i="6" s="1"/>
  <c r="T90" i="6" s="1"/>
  <c r="U90" i="6" s="1"/>
  <c r="V90" i="6" s="1"/>
  <c r="W90" i="6" s="1"/>
  <c r="X90" i="6" s="1"/>
  <c r="Y90" i="6" s="1"/>
  <c r="Z90" i="6" s="1"/>
  <c r="AA90" i="6" s="1"/>
  <c r="AB90" i="6" s="1"/>
  <c r="AC90" i="6" s="1"/>
  <c r="AD90" i="6" s="1"/>
  <c r="AE90" i="6" s="1"/>
  <c r="AF90" i="6" s="1"/>
  <c r="AG90" i="6" s="1"/>
  <c r="AH90" i="6" s="1"/>
  <c r="AI90" i="6" s="1"/>
  <c r="AJ90" i="6" s="1"/>
  <c r="AK90" i="6" s="1"/>
  <c r="AL90" i="6" s="1"/>
  <c r="AM90" i="6" s="1"/>
  <c r="AN90" i="6" s="1"/>
  <c r="AO90" i="6" s="1"/>
  <c r="AP90" i="6" s="1"/>
  <c r="AQ90" i="6" s="1"/>
  <c r="AR90" i="6" s="1"/>
  <c r="AS90" i="6" s="1"/>
  <c r="AT90" i="6" s="1"/>
  <c r="AU90" i="6" s="1"/>
  <c r="AV90" i="6" s="1"/>
  <c r="AW90" i="6" s="1"/>
  <c r="AX90" i="6" s="1"/>
  <c r="AY90" i="6" s="1"/>
  <c r="AZ90" i="6" s="1"/>
  <c r="BA90" i="6" s="1"/>
  <c r="BB90" i="6" s="1"/>
  <c r="BC90" i="6" s="1"/>
  <c r="BD90" i="6" s="1"/>
  <c r="BE90" i="6" s="1"/>
  <c r="BF90" i="6" s="1"/>
  <c r="BG90" i="6" s="1"/>
  <c r="BH90" i="6" s="1"/>
  <c r="BI90" i="6" s="1"/>
  <c r="BJ90" i="6" s="1"/>
  <c r="BK90" i="6" s="1"/>
  <c r="BL90" i="6" s="1"/>
  <c r="BM90" i="6" s="1"/>
  <c r="E90" i="6"/>
  <c r="G89" i="6"/>
  <c r="H89" i="6" s="1"/>
  <c r="I89" i="6" s="1"/>
  <c r="J89" i="6" s="1"/>
  <c r="K89" i="6" s="1"/>
  <c r="L89" i="6" s="1"/>
  <c r="M89" i="6" s="1"/>
  <c r="N89" i="6" s="1"/>
  <c r="O89" i="6" s="1"/>
  <c r="P89" i="6" s="1"/>
  <c r="Q89" i="6" s="1"/>
  <c r="R89" i="6" s="1"/>
  <c r="S89" i="6" s="1"/>
  <c r="T89" i="6" s="1"/>
  <c r="U89" i="6" s="1"/>
  <c r="V89" i="6" s="1"/>
  <c r="W89" i="6" s="1"/>
  <c r="X89" i="6" s="1"/>
  <c r="Y89" i="6" s="1"/>
  <c r="Z89" i="6" s="1"/>
  <c r="AA89" i="6" s="1"/>
  <c r="AB89" i="6" s="1"/>
  <c r="AC89" i="6" s="1"/>
  <c r="AD89" i="6" s="1"/>
  <c r="AE89" i="6" s="1"/>
  <c r="AF89" i="6" s="1"/>
  <c r="AG89" i="6" s="1"/>
  <c r="AH89" i="6" s="1"/>
  <c r="AI89" i="6" s="1"/>
  <c r="AJ89" i="6" s="1"/>
  <c r="AK89" i="6" s="1"/>
  <c r="AL89" i="6" s="1"/>
  <c r="AM89" i="6" s="1"/>
  <c r="AN89" i="6" s="1"/>
  <c r="AO89" i="6" s="1"/>
  <c r="AP89" i="6" s="1"/>
  <c r="AQ89" i="6" s="1"/>
  <c r="AR89" i="6" s="1"/>
  <c r="AS89" i="6" s="1"/>
  <c r="AT89" i="6" s="1"/>
  <c r="AU89" i="6" s="1"/>
  <c r="AV89" i="6" s="1"/>
  <c r="AW89" i="6" s="1"/>
  <c r="AX89" i="6" s="1"/>
  <c r="AY89" i="6" s="1"/>
  <c r="AZ89" i="6" s="1"/>
  <c r="BA89" i="6" s="1"/>
  <c r="BB89" i="6" s="1"/>
  <c r="BC89" i="6" s="1"/>
  <c r="BD89" i="6" s="1"/>
  <c r="BE89" i="6" s="1"/>
  <c r="BF89" i="6" s="1"/>
  <c r="BG89" i="6" s="1"/>
  <c r="BH89" i="6" s="1"/>
  <c r="BI89" i="6" s="1"/>
  <c r="BJ89" i="6" s="1"/>
  <c r="BK89" i="6" s="1"/>
  <c r="BL89" i="6" s="1"/>
  <c r="BM89" i="6" s="1"/>
  <c r="E89" i="6"/>
  <c r="G88" i="6"/>
  <c r="H88" i="6" s="1"/>
  <c r="I88" i="6" s="1"/>
  <c r="J88" i="6" s="1"/>
  <c r="K88" i="6" s="1"/>
  <c r="L88" i="6" s="1"/>
  <c r="M88" i="6" s="1"/>
  <c r="N88" i="6" s="1"/>
  <c r="O88" i="6" s="1"/>
  <c r="P88" i="6" s="1"/>
  <c r="Q88" i="6" s="1"/>
  <c r="R88" i="6" s="1"/>
  <c r="S88" i="6" s="1"/>
  <c r="T88" i="6" s="1"/>
  <c r="U88" i="6" s="1"/>
  <c r="V88" i="6" s="1"/>
  <c r="W88" i="6" s="1"/>
  <c r="X88" i="6" s="1"/>
  <c r="Y88" i="6" s="1"/>
  <c r="Z88" i="6" s="1"/>
  <c r="AA88" i="6" s="1"/>
  <c r="AB88" i="6" s="1"/>
  <c r="AC88" i="6" s="1"/>
  <c r="AD88" i="6" s="1"/>
  <c r="AE88" i="6" s="1"/>
  <c r="AF88" i="6" s="1"/>
  <c r="AG88" i="6" s="1"/>
  <c r="AH88" i="6" s="1"/>
  <c r="AI88" i="6" s="1"/>
  <c r="AJ88" i="6" s="1"/>
  <c r="AK88" i="6" s="1"/>
  <c r="AL88" i="6" s="1"/>
  <c r="AM88" i="6" s="1"/>
  <c r="AN88" i="6" s="1"/>
  <c r="AO88" i="6" s="1"/>
  <c r="AP88" i="6" s="1"/>
  <c r="AQ88" i="6" s="1"/>
  <c r="AR88" i="6" s="1"/>
  <c r="AS88" i="6" s="1"/>
  <c r="AT88" i="6" s="1"/>
  <c r="AU88" i="6" s="1"/>
  <c r="AV88" i="6" s="1"/>
  <c r="AW88" i="6" s="1"/>
  <c r="AX88" i="6" s="1"/>
  <c r="AY88" i="6" s="1"/>
  <c r="AZ88" i="6" s="1"/>
  <c r="BA88" i="6" s="1"/>
  <c r="BB88" i="6" s="1"/>
  <c r="BC88" i="6" s="1"/>
  <c r="BD88" i="6" s="1"/>
  <c r="BE88" i="6" s="1"/>
  <c r="BF88" i="6" s="1"/>
  <c r="BG88" i="6" s="1"/>
  <c r="BH88" i="6" s="1"/>
  <c r="BI88" i="6" s="1"/>
  <c r="BJ88" i="6" s="1"/>
  <c r="BK88" i="6" s="1"/>
  <c r="BL88" i="6" s="1"/>
  <c r="BM88" i="6" s="1"/>
  <c r="E88" i="6"/>
  <c r="G87" i="6"/>
  <c r="H87" i="6" s="1"/>
  <c r="I87" i="6" s="1"/>
  <c r="J87" i="6" s="1"/>
  <c r="K87" i="6" s="1"/>
  <c r="L87" i="6" s="1"/>
  <c r="M87" i="6" s="1"/>
  <c r="N87" i="6" s="1"/>
  <c r="O87" i="6" s="1"/>
  <c r="P87" i="6" s="1"/>
  <c r="Q87" i="6" s="1"/>
  <c r="R87" i="6" s="1"/>
  <c r="S87" i="6" s="1"/>
  <c r="T87" i="6" s="1"/>
  <c r="U87" i="6" s="1"/>
  <c r="V87" i="6" s="1"/>
  <c r="W87" i="6" s="1"/>
  <c r="X87" i="6" s="1"/>
  <c r="Y87" i="6" s="1"/>
  <c r="Z87" i="6" s="1"/>
  <c r="AA87" i="6" s="1"/>
  <c r="AB87" i="6" s="1"/>
  <c r="AC87" i="6" s="1"/>
  <c r="AD87" i="6" s="1"/>
  <c r="AE87" i="6" s="1"/>
  <c r="AF87" i="6" s="1"/>
  <c r="AG87" i="6" s="1"/>
  <c r="AH87" i="6" s="1"/>
  <c r="AI87" i="6" s="1"/>
  <c r="AJ87" i="6" s="1"/>
  <c r="AK87" i="6" s="1"/>
  <c r="AL87" i="6" s="1"/>
  <c r="AM87" i="6" s="1"/>
  <c r="AN87" i="6" s="1"/>
  <c r="AO87" i="6" s="1"/>
  <c r="AP87" i="6" s="1"/>
  <c r="AQ87" i="6" s="1"/>
  <c r="AR87" i="6" s="1"/>
  <c r="AS87" i="6" s="1"/>
  <c r="AT87" i="6" s="1"/>
  <c r="AU87" i="6" s="1"/>
  <c r="AV87" i="6" s="1"/>
  <c r="AW87" i="6" s="1"/>
  <c r="AX87" i="6" s="1"/>
  <c r="AY87" i="6" s="1"/>
  <c r="AZ87" i="6" s="1"/>
  <c r="BA87" i="6" s="1"/>
  <c r="BB87" i="6" s="1"/>
  <c r="BC87" i="6" s="1"/>
  <c r="BD87" i="6" s="1"/>
  <c r="BE87" i="6" s="1"/>
  <c r="BF87" i="6" s="1"/>
  <c r="BG87" i="6" s="1"/>
  <c r="BH87" i="6" s="1"/>
  <c r="BI87" i="6" s="1"/>
  <c r="BJ87" i="6" s="1"/>
  <c r="BK87" i="6" s="1"/>
  <c r="BL87" i="6" s="1"/>
  <c r="BM87" i="6" s="1"/>
  <c r="E87" i="6"/>
  <c r="G86" i="6"/>
  <c r="H86" i="6" s="1"/>
  <c r="I86" i="6" s="1"/>
  <c r="J86" i="6" s="1"/>
  <c r="K86" i="6" s="1"/>
  <c r="L86" i="6" s="1"/>
  <c r="M86" i="6" s="1"/>
  <c r="N86" i="6" s="1"/>
  <c r="O86" i="6" s="1"/>
  <c r="P86" i="6" s="1"/>
  <c r="Q86" i="6" s="1"/>
  <c r="R86" i="6" s="1"/>
  <c r="S86" i="6" s="1"/>
  <c r="T86" i="6" s="1"/>
  <c r="U86" i="6" s="1"/>
  <c r="V86" i="6" s="1"/>
  <c r="W86" i="6" s="1"/>
  <c r="X86" i="6" s="1"/>
  <c r="Y86" i="6" s="1"/>
  <c r="Z86" i="6" s="1"/>
  <c r="AA86" i="6" s="1"/>
  <c r="AB86" i="6" s="1"/>
  <c r="AC86" i="6" s="1"/>
  <c r="AD86" i="6" s="1"/>
  <c r="AE86" i="6" s="1"/>
  <c r="AF86" i="6" s="1"/>
  <c r="AG86" i="6" s="1"/>
  <c r="AH86" i="6" s="1"/>
  <c r="AI86" i="6" s="1"/>
  <c r="AJ86" i="6" s="1"/>
  <c r="AK86" i="6" s="1"/>
  <c r="AL86" i="6" s="1"/>
  <c r="AM86" i="6" s="1"/>
  <c r="AN86" i="6" s="1"/>
  <c r="AO86" i="6" s="1"/>
  <c r="AP86" i="6" s="1"/>
  <c r="AQ86" i="6" s="1"/>
  <c r="AR86" i="6" s="1"/>
  <c r="AS86" i="6" s="1"/>
  <c r="AT86" i="6" s="1"/>
  <c r="AU86" i="6" s="1"/>
  <c r="AV86" i="6" s="1"/>
  <c r="AW86" i="6" s="1"/>
  <c r="AX86" i="6" s="1"/>
  <c r="AY86" i="6" s="1"/>
  <c r="AZ86" i="6" s="1"/>
  <c r="BA86" i="6" s="1"/>
  <c r="BB86" i="6" s="1"/>
  <c r="BC86" i="6" s="1"/>
  <c r="BD86" i="6" s="1"/>
  <c r="BE86" i="6" s="1"/>
  <c r="BF86" i="6" s="1"/>
  <c r="BG86" i="6" s="1"/>
  <c r="BH86" i="6" s="1"/>
  <c r="BI86" i="6" s="1"/>
  <c r="BJ86" i="6" s="1"/>
  <c r="BK86" i="6" s="1"/>
  <c r="BL86" i="6" s="1"/>
  <c r="BM86" i="6" s="1"/>
  <c r="E86" i="6"/>
  <c r="G85" i="6"/>
  <c r="H85" i="6" s="1"/>
  <c r="I85" i="6" s="1"/>
  <c r="J85" i="6" s="1"/>
  <c r="K85" i="6" s="1"/>
  <c r="L85" i="6" s="1"/>
  <c r="M85" i="6" s="1"/>
  <c r="N85" i="6" s="1"/>
  <c r="O85" i="6" s="1"/>
  <c r="P85" i="6" s="1"/>
  <c r="Q85" i="6" s="1"/>
  <c r="R85" i="6" s="1"/>
  <c r="S85" i="6" s="1"/>
  <c r="T85" i="6" s="1"/>
  <c r="U85" i="6" s="1"/>
  <c r="V85" i="6" s="1"/>
  <c r="W85" i="6" s="1"/>
  <c r="X85" i="6" s="1"/>
  <c r="Y85" i="6" s="1"/>
  <c r="Z85" i="6" s="1"/>
  <c r="AA85" i="6" s="1"/>
  <c r="AB85" i="6" s="1"/>
  <c r="AC85" i="6" s="1"/>
  <c r="AD85" i="6" s="1"/>
  <c r="AE85" i="6" s="1"/>
  <c r="AF85" i="6" s="1"/>
  <c r="AG85" i="6" s="1"/>
  <c r="AH85" i="6" s="1"/>
  <c r="AI85" i="6" s="1"/>
  <c r="AJ85" i="6" s="1"/>
  <c r="AK85" i="6" s="1"/>
  <c r="AL85" i="6" s="1"/>
  <c r="AM85" i="6" s="1"/>
  <c r="AN85" i="6" s="1"/>
  <c r="AO85" i="6" s="1"/>
  <c r="AP85" i="6" s="1"/>
  <c r="AQ85" i="6" s="1"/>
  <c r="AR85" i="6" s="1"/>
  <c r="AS85" i="6" s="1"/>
  <c r="AT85" i="6" s="1"/>
  <c r="AU85" i="6" s="1"/>
  <c r="AV85" i="6" s="1"/>
  <c r="AW85" i="6" s="1"/>
  <c r="AX85" i="6" s="1"/>
  <c r="AY85" i="6" s="1"/>
  <c r="AZ85" i="6" s="1"/>
  <c r="BA85" i="6" s="1"/>
  <c r="BB85" i="6" s="1"/>
  <c r="BC85" i="6" s="1"/>
  <c r="BD85" i="6" s="1"/>
  <c r="BE85" i="6" s="1"/>
  <c r="BF85" i="6" s="1"/>
  <c r="BG85" i="6" s="1"/>
  <c r="BH85" i="6" s="1"/>
  <c r="BI85" i="6" s="1"/>
  <c r="BJ85" i="6" s="1"/>
  <c r="BK85" i="6" s="1"/>
  <c r="BL85" i="6" s="1"/>
  <c r="BM85" i="6" s="1"/>
  <c r="E85" i="6"/>
  <c r="G84" i="6"/>
  <c r="H84" i="6" s="1"/>
  <c r="I84" i="6" s="1"/>
  <c r="J84" i="6" s="1"/>
  <c r="K84" i="6" s="1"/>
  <c r="L84" i="6" s="1"/>
  <c r="M84" i="6" s="1"/>
  <c r="N84" i="6" s="1"/>
  <c r="O84" i="6" s="1"/>
  <c r="P84" i="6" s="1"/>
  <c r="Q84" i="6" s="1"/>
  <c r="R84" i="6" s="1"/>
  <c r="S84" i="6" s="1"/>
  <c r="T84" i="6" s="1"/>
  <c r="U84" i="6" s="1"/>
  <c r="V84" i="6" s="1"/>
  <c r="W84" i="6" s="1"/>
  <c r="X84" i="6" s="1"/>
  <c r="Y84" i="6" s="1"/>
  <c r="Z84" i="6" s="1"/>
  <c r="AA84" i="6" s="1"/>
  <c r="AB84" i="6" s="1"/>
  <c r="AC84" i="6" s="1"/>
  <c r="AD84" i="6" s="1"/>
  <c r="AE84" i="6" s="1"/>
  <c r="AF84" i="6" s="1"/>
  <c r="AG84" i="6" s="1"/>
  <c r="AH84" i="6" s="1"/>
  <c r="AI84" i="6" s="1"/>
  <c r="AJ84" i="6" s="1"/>
  <c r="AK84" i="6" s="1"/>
  <c r="AL84" i="6" s="1"/>
  <c r="AM84" i="6" s="1"/>
  <c r="AN84" i="6" s="1"/>
  <c r="AO84" i="6" s="1"/>
  <c r="AP84" i="6" s="1"/>
  <c r="AQ84" i="6" s="1"/>
  <c r="AR84" i="6" s="1"/>
  <c r="AS84" i="6" s="1"/>
  <c r="AT84" i="6" s="1"/>
  <c r="AU84" i="6" s="1"/>
  <c r="AV84" i="6" s="1"/>
  <c r="AW84" i="6" s="1"/>
  <c r="AX84" i="6" s="1"/>
  <c r="AY84" i="6" s="1"/>
  <c r="AZ84" i="6" s="1"/>
  <c r="BA84" i="6" s="1"/>
  <c r="BB84" i="6" s="1"/>
  <c r="BC84" i="6" s="1"/>
  <c r="BD84" i="6" s="1"/>
  <c r="BE84" i="6" s="1"/>
  <c r="BF84" i="6" s="1"/>
  <c r="BG84" i="6" s="1"/>
  <c r="BH84" i="6" s="1"/>
  <c r="BI84" i="6" s="1"/>
  <c r="BJ84" i="6" s="1"/>
  <c r="BK84" i="6" s="1"/>
  <c r="BL84" i="6" s="1"/>
  <c r="BM84" i="6" s="1"/>
  <c r="E84" i="6"/>
  <c r="G83" i="6"/>
  <c r="H83" i="6" s="1"/>
  <c r="I83" i="6" s="1"/>
  <c r="J83" i="6" s="1"/>
  <c r="K83" i="6" s="1"/>
  <c r="L83" i="6" s="1"/>
  <c r="M83" i="6" s="1"/>
  <c r="N83" i="6" s="1"/>
  <c r="O83" i="6" s="1"/>
  <c r="P83" i="6" s="1"/>
  <c r="Q83" i="6" s="1"/>
  <c r="R83" i="6" s="1"/>
  <c r="S83" i="6" s="1"/>
  <c r="T83" i="6" s="1"/>
  <c r="U83" i="6" s="1"/>
  <c r="V83" i="6" s="1"/>
  <c r="W83" i="6" s="1"/>
  <c r="X83" i="6" s="1"/>
  <c r="Y83" i="6" s="1"/>
  <c r="Z83" i="6" s="1"/>
  <c r="AA83" i="6" s="1"/>
  <c r="AB83" i="6" s="1"/>
  <c r="AC83" i="6" s="1"/>
  <c r="AD83" i="6" s="1"/>
  <c r="AE83" i="6" s="1"/>
  <c r="AF83" i="6" s="1"/>
  <c r="AG83" i="6" s="1"/>
  <c r="AH83" i="6" s="1"/>
  <c r="AI83" i="6" s="1"/>
  <c r="AJ83" i="6" s="1"/>
  <c r="AK83" i="6" s="1"/>
  <c r="AL83" i="6" s="1"/>
  <c r="AM83" i="6" s="1"/>
  <c r="AN83" i="6" s="1"/>
  <c r="AO83" i="6" s="1"/>
  <c r="AP83" i="6" s="1"/>
  <c r="AQ83" i="6" s="1"/>
  <c r="AR83" i="6" s="1"/>
  <c r="AS83" i="6" s="1"/>
  <c r="AT83" i="6" s="1"/>
  <c r="AU83" i="6" s="1"/>
  <c r="AV83" i="6" s="1"/>
  <c r="AW83" i="6" s="1"/>
  <c r="AX83" i="6" s="1"/>
  <c r="AY83" i="6" s="1"/>
  <c r="AZ83" i="6" s="1"/>
  <c r="BA83" i="6" s="1"/>
  <c r="BB83" i="6" s="1"/>
  <c r="BC83" i="6" s="1"/>
  <c r="BD83" i="6" s="1"/>
  <c r="BE83" i="6" s="1"/>
  <c r="BF83" i="6" s="1"/>
  <c r="BG83" i="6" s="1"/>
  <c r="BH83" i="6" s="1"/>
  <c r="BI83" i="6" s="1"/>
  <c r="BJ83" i="6" s="1"/>
  <c r="BK83" i="6" s="1"/>
  <c r="BL83" i="6" s="1"/>
  <c r="BM83" i="6" s="1"/>
  <c r="E83" i="6"/>
  <c r="J82" i="6"/>
  <c r="K82" i="6" s="1"/>
  <c r="L82" i="6" s="1"/>
  <c r="M82" i="6" s="1"/>
  <c r="N82" i="6" s="1"/>
  <c r="O82" i="6" s="1"/>
  <c r="P82" i="6" s="1"/>
  <c r="Q82" i="6" s="1"/>
  <c r="R82" i="6" s="1"/>
  <c r="S82" i="6" s="1"/>
  <c r="T82" i="6" s="1"/>
  <c r="U82" i="6" s="1"/>
  <c r="V82" i="6" s="1"/>
  <c r="W82" i="6" s="1"/>
  <c r="X82" i="6" s="1"/>
  <c r="Y82" i="6" s="1"/>
  <c r="Z82" i="6" s="1"/>
  <c r="AA82" i="6" s="1"/>
  <c r="AB82" i="6" s="1"/>
  <c r="AC82" i="6" s="1"/>
  <c r="AD82" i="6" s="1"/>
  <c r="AE82" i="6" s="1"/>
  <c r="AF82" i="6" s="1"/>
  <c r="AG82" i="6" s="1"/>
  <c r="AH82" i="6" s="1"/>
  <c r="AI82" i="6" s="1"/>
  <c r="AJ82" i="6" s="1"/>
  <c r="AK82" i="6" s="1"/>
  <c r="AL82" i="6" s="1"/>
  <c r="AM82" i="6" s="1"/>
  <c r="AN82" i="6" s="1"/>
  <c r="AO82" i="6" s="1"/>
  <c r="AP82" i="6" s="1"/>
  <c r="AQ82" i="6" s="1"/>
  <c r="AR82" i="6" s="1"/>
  <c r="AS82" i="6" s="1"/>
  <c r="AT82" i="6" s="1"/>
  <c r="AU82" i="6" s="1"/>
  <c r="AV82" i="6" s="1"/>
  <c r="AW82" i="6" s="1"/>
  <c r="AX82" i="6" s="1"/>
  <c r="AY82" i="6" s="1"/>
  <c r="AZ82" i="6" s="1"/>
  <c r="BA82" i="6" s="1"/>
  <c r="BB82" i="6" s="1"/>
  <c r="BC82" i="6" s="1"/>
  <c r="BD82" i="6" s="1"/>
  <c r="BE82" i="6" s="1"/>
  <c r="BF82" i="6" s="1"/>
  <c r="BG82" i="6" s="1"/>
  <c r="BH82" i="6" s="1"/>
  <c r="BI82" i="6" s="1"/>
  <c r="BJ82" i="6" s="1"/>
  <c r="BK82" i="6" s="1"/>
  <c r="BL82" i="6" s="1"/>
  <c r="BM82" i="6" s="1"/>
  <c r="E82" i="6"/>
  <c r="F81" i="6"/>
  <c r="H80" i="6"/>
  <c r="I80" i="6" s="1"/>
  <c r="J80" i="6" s="1"/>
  <c r="K80" i="6" s="1"/>
  <c r="L80" i="6" s="1"/>
  <c r="M80" i="6" s="1"/>
  <c r="N80" i="6" s="1"/>
  <c r="O80" i="6" s="1"/>
  <c r="P80" i="6" s="1"/>
  <c r="Q80" i="6" s="1"/>
  <c r="R80" i="6" s="1"/>
  <c r="S80" i="6" s="1"/>
  <c r="T80" i="6" s="1"/>
  <c r="U80" i="6" s="1"/>
  <c r="V80" i="6" s="1"/>
  <c r="W80" i="6" s="1"/>
  <c r="X80" i="6" s="1"/>
  <c r="Y80" i="6" s="1"/>
  <c r="Z80" i="6" s="1"/>
  <c r="AA80" i="6" s="1"/>
  <c r="AB80" i="6" s="1"/>
  <c r="AC80" i="6" s="1"/>
  <c r="AD80" i="6" s="1"/>
  <c r="AE80" i="6" s="1"/>
  <c r="AF80" i="6" s="1"/>
  <c r="AG80" i="6" s="1"/>
  <c r="AH80" i="6" s="1"/>
  <c r="AI80" i="6" s="1"/>
  <c r="AJ80" i="6" s="1"/>
  <c r="AK80" i="6" s="1"/>
  <c r="AL80" i="6" s="1"/>
  <c r="AM80" i="6" s="1"/>
  <c r="AN80" i="6" s="1"/>
  <c r="AO80" i="6" s="1"/>
  <c r="AP80" i="6" s="1"/>
  <c r="AQ80" i="6" s="1"/>
  <c r="AR80" i="6" s="1"/>
  <c r="AS80" i="6" s="1"/>
  <c r="AT80" i="6" s="1"/>
  <c r="AU80" i="6" s="1"/>
  <c r="AV80" i="6" s="1"/>
  <c r="AW80" i="6" s="1"/>
  <c r="AX80" i="6" s="1"/>
  <c r="AY80" i="6" s="1"/>
  <c r="AZ80" i="6" s="1"/>
  <c r="BA80" i="6" s="1"/>
  <c r="BB80" i="6" s="1"/>
  <c r="BC80" i="6" s="1"/>
  <c r="BD80" i="6" s="1"/>
  <c r="BE80" i="6" s="1"/>
  <c r="BF80" i="6" s="1"/>
  <c r="BG80" i="6" s="1"/>
  <c r="BH80" i="6" s="1"/>
  <c r="BI80" i="6" s="1"/>
  <c r="BJ80" i="6" s="1"/>
  <c r="BK80" i="6" s="1"/>
  <c r="BL80" i="6" s="1"/>
  <c r="BM80" i="6" s="1"/>
  <c r="E80" i="6"/>
  <c r="G79" i="6"/>
  <c r="H79" i="6" s="1"/>
  <c r="I79" i="6" s="1"/>
  <c r="J79" i="6" s="1"/>
  <c r="K79" i="6" s="1"/>
  <c r="L79" i="6" s="1"/>
  <c r="M79" i="6" s="1"/>
  <c r="O78" i="6"/>
  <c r="P78" i="6" s="1"/>
  <c r="Q78" i="6" s="1"/>
  <c r="R78" i="6" s="1"/>
  <c r="S78" i="6" s="1"/>
  <c r="T78" i="6" s="1"/>
  <c r="U78" i="6" s="1"/>
  <c r="V78" i="6" s="1"/>
  <c r="W78" i="6" s="1"/>
  <c r="X78" i="6" s="1"/>
  <c r="Y78" i="6" s="1"/>
  <c r="Z78" i="6" s="1"/>
  <c r="AA78" i="6" s="1"/>
  <c r="AB78" i="6" s="1"/>
  <c r="AC78" i="6" s="1"/>
  <c r="AD78" i="6" s="1"/>
  <c r="AE78" i="6" s="1"/>
  <c r="AF78" i="6" s="1"/>
  <c r="AG78" i="6" s="1"/>
  <c r="AH78" i="6" s="1"/>
  <c r="AI78" i="6" s="1"/>
  <c r="AJ78" i="6" s="1"/>
  <c r="AK78" i="6" s="1"/>
  <c r="AL78" i="6" s="1"/>
  <c r="AM78" i="6" s="1"/>
  <c r="AN78" i="6" s="1"/>
  <c r="AO78" i="6" s="1"/>
  <c r="AP78" i="6" s="1"/>
  <c r="AQ78" i="6" s="1"/>
  <c r="AR78" i="6" s="1"/>
  <c r="AS78" i="6" s="1"/>
  <c r="AT78" i="6" s="1"/>
  <c r="AU78" i="6" s="1"/>
  <c r="AV78" i="6" s="1"/>
  <c r="AW78" i="6" s="1"/>
  <c r="AX78" i="6" s="1"/>
  <c r="AY78" i="6" s="1"/>
  <c r="AZ78" i="6" s="1"/>
  <c r="BA78" i="6" s="1"/>
  <c r="BB78" i="6" s="1"/>
  <c r="BC78" i="6" s="1"/>
  <c r="BD78" i="6" s="1"/>
  <c r="BE78" i="6" s="1"/>
  <c r="BF78" i="6" s="1"/>
  <c r="BG78" i="6" s="1"/>
  <c r="BH78" i="6" s="1"/>
  <c r="BI78" i="6" s="1"/>
  <c r="BJ78" i="6" s="1"/>
  <c r="BK78" i="6" s="1"/>
  <c r="BL78" i="6" s="1"/>
  <c r="BM78" i="6" s="1"/>
  <c r="G78" i="6"/>
  <c r="H78" i="6" s="1"/>
  <c r="I78" i="6" s="1"/>
  <c r="J78" i="6" s="1"/>
  <c r="K78" i="6" s="1"/>
  <c r="L78" i="6" s="1"/>
  <c r="E78" i="6"/>
  <c r="G77" i="6"/>
  <c r="H77" i="6" s="1"/>
  <c r="I77" i="6" s="1"/>
  <c r="J77" i="6" s="1"/>
  <c r="K77" i="6" s="1"/>
  <c r="L77" i="6" s="1"/>
  <c r="M77" i="6" s="1"/>
  <c r="N77" i="6" s="1"/>
  <c r="O77" i="6" s="1"/>
  <c r="P77" i="6" s="1"/>
  <c r="Q77" i="6" s="1"/>
  <c r="R77" i="6" s="1"/>
  <c r="S77" i="6" s="1"/>
  <c r="T77" i="6" s="1"/>
  <c r="U77" i="6" s="1"/>
  <c r="V77" i="6" s="1"/>
  <c r="W77" i="6" s="1"/>
  <c r="X77" i="6" s="1"/>
  <c r="Y77" i="6" s="1"/>
  <c r="Z77" i="6" s="1"/>
  <c r="AA77" i="6" s="1"/>
  <c r="AB77" i="6" s="1"/>
  <c r="AC77" i="6" s="1"/>
  <c r="AD77" i="6" s="1"/>
  <c r="AE77" i="6" s="1"/>
  <c r="AF77" i="6" s="1"/>
  <c r="AG77" i="6" s="1"/>
  <c r="AH77" i="6" s="1"/>
  <c r="AI77" i="6" s="1"/>
  <c r="AJ77" i="6" s="1"/>
  <c r="AK77" i="6" s="1"/>
  <c r="AL77" i="6" s="1"/>
  <c r="AM77" i="6" s="1"/>
  <c r="AN77" i="6" s="1"/>
  <c r="AO77" i="6" s="1"/>
  <c r="AP77" i="6" s="1"/>
  <c r="AQ77" i="6" s="1"/>
  <c r="AR77" i="6" s="1"/>
  <c r="AS77" i="6" s="1"/>
  <c r="AT77" i="6" s="1"/>
  <c r="AU77" i="6" s="1"/>
  <c r="AV77" i="6" s="1"/>
  <c r="AW77" i="6" s="1"/>
  <c r="AX77" i="6" s="1"/>
  <c r="AY77" i="6" s="1"/>
  <c r="AZ77" i="6" s="1"/>
  <c r="BA77" i="6" s="1"/>
  <c r="BB77" i="6" s="1"/>
  <c r="BC77" i="6" s="1"/>
  <c r="BD77" i="6" s="1"/>
  <c r="BE77" i="6" s="1"/>
  <c r="BF77" i="6" s="1"/>
  <c r="BG77" i="6" s="1"/>
  <c r="BH77" i="6" s="1"/>
  <c r="BI77" i="6" s="1"/>
  <c r="BJ77" i="6" s="1"/>
  <c r="BK77" i="6" s="1"/>
  <c r="BL77" i="6" s="1"/>
  <c r="BM77" i="6" s="1"/>
  <c r="E77" i="6"/>
  <c r="P76" i="6"/>
  <c r="Q76" i="6" s="1"/>
  <c r="R76" i="6" s="1"/>
  <c r="S76" i="6" s="1"/>
  <c r="T76" i="6" s="1"/>
  <c r="U76" i="6" s="1"/>
  <c r="V76" i="6" s="1"/>
  <c r="W76" i="6" s="1"/>
  <c r="X76" i="6" s="1"/>
  <c r="Y76" i="6" s="1"/>
  <c r="Z76" i="6" s="1"/>
  <c r="AA76" i="6" s="1"/>
  <c r="AB76" i="6" s="1"/>
  <c r="AC76" i="6" s="1"/>
  <c r="AD76" i="6" s="1"/>
  <c r="AE76" i="6" s="1"/>
  <c r="AF76" i="6" s="1"/>
  <c r="AG76" i="6" s="1"/>
  <c r="AH76" i="6" s="1"/>
  <c r="AI76" i="6" s="1"/>
  <c r="AJ76" i="6" s="1"/>
  <c r="AK76" i="6" s="1"/>
  <c r="AL76" i="6" s="1"/>
  <c r="AM76" i="6" s="1"/>
  <c r="AN76" i="6" s="1"/>
  <c r="AO76" i="6" s="1"/>
  <c r="AP76" i="6" s="1"/>
  <c r="AQ76" i="6" s="1"/>
  <c r="AR76" i="6" s="1"/>
  <c r="AS76" i="6" s="1"/>
  <c r="AT76" i="6" s="1"/>
  <c r="AU76" i="6" s="1"/>
  <c r="AV76" i="6" s="1"/>
  <c r="AW76" i="6" s="1"/>
  <c r="AX76" i="6" s="1"/>
  <c r="AY76" i="6" s="1"/>
  <c r="AZ76" i="6" s="1"/>
  <c r="BA76" i="6" s="1"/>
  <c r="BB76" i="6" s="1"/>
  <c r="BC76" i="6" s="1"/>
  <c r="BD76" i="6" s="1"/>
  <c r="BE76" i="6" s="1"/>
  <c r="BF76" i="6" s="1"/>
  <c r="BG76" i="6" s="1"/>
  <c r="BH76" i="6" s="1"/>
  <c r="BI76" i="6" s="1"/>
  <c r="BJ76" i="6" s="1"/>
  <c r="BK76" i="6" s="1"/>
  <c r="BL76" i="6" s="1"/>
  <c r="BM76" i="6" s="1"/>
  <c r="M76" i="6"/>
  <c r="I76" i="6"/>
  <c r="J76" i="6" s="1"/>
  <c r="E76" i="6"/>
  <c r="G75" i="6"/>
  <c r="H75" i="6" s="1"/>
  <c r="I75" i="6" s="1"/>
  <c r="J75" i="6" s="1"/>
  <c r="K75" i="6" s="1"/>
  <c r="L75" i="6" s="1"/>
  <c r="M75" i="6" s="1"/>
  <c r="N75" i="6" s="1"/>
  <c r="O75" i="6" s="1"/>
  <c r="P75" i="6" s="1"/>
  <c r="Q75" i="6" s="1"/>
  <c r="R75" i="6" s="1"/>
  <c r="S75" i="6" s="1"/>
  <c r="T75" i="6" s="1"/>
  <c r="U75" i="6" s="1"/>
  <c r="V75" i="6" s="1"/>
  <c r="W75" i="6" s="1"/>
  <c r="X75" i="6" s="1"/>
  <c r="Y75" i="6" s="1"/>
  <c r="Z75" i="6" s="1"/>
  <c r="AA75" i="6" s="1"/>
  <c r="AB75" i="6" s="1"/>
  <c r="AC75" i="6" s="1"/>
  <c r="AD75" i="6" s="1"/>
  <c r="AE75" i="6" s="1"/>
  <c r="AF75" i="6" s="1"/>
  <c r="AG75" i="6" s="1"/>
  <c r="AH75" i="6" s="1"/>
  <c r="AI75" i="6" s="1"/>
  <c r="AJ75" i="6" s="1"/>
  <c r="AK75" i="6" s="1"/>
  <c r="AL75" i="6" s="1"/>
  <c r="AM75" i="6" s="1"/>
  <c r="AN75" i="6" s="1"/>
  <c r="AO75" i="6" s="1"/>
  <c r="AP75" i="6" s="1"/>
  <c r="AQ75" i="6" s="1"/>
  <c r="AR75" i="6" s="1"/>
  <c r="AS75" i="6" s="1"/>
  <c r="AT75" i="6" s="1"/>
  <c r="AU75" i="6" s="1"/>
  <c r="AV75" i="6" s="1"/>
  <c r="AW75" i="6" s="1"/>
  <c r="AX75" i="6" s="1"/>
  <c r="AY75" i="6" s="1"/>
  <c r="AZ75" i="6" s="1"/>
  <c r="BA75" i="6" s="1"/>
  <c r="BB75" i="6" s="1"/>
  <c r="BC75" i="6" s="1"/>
  <c r="BD75" i="6" s="1"/>
  <c r="BE75" i="6" s="1"/>
  <c r="BF75" i="6" s="1"/>
  <c r="BG75" i="6" s="1"/>
  <c r="BH75" i="6" s="1"/>
  <c r="BI75" i="6" s="1"/>
  <c r="BJ75" i="6" s="1"/>
  <c r="BK75" i="6" s="1"/>
  <c r="BL75" i="6" s="1"/>
  <c r="BM75" i="6" s="1"/>
  <c r="E75" i="6"/>
  <c r="G74" i="6"/>
  <c r="H74" i="6" s="1"/>
  <c r="I74" i="6" s="1"/>
  <c r="J74" i="6" s="1"/>
  <c r="K74" i="6" s="1"/>
  <c r="L74" i="6" s="1"/>
  <c r="M74" i="6" s="1"/>
  <c r="N74" i="6" s="1"/>
  <c r="O74" i="6" s="1"/>
  <c r="P74" i="6" s="1"/>
  <c r="Q74" i="6" s="1"/>
  <c r="R74" i="6" s="1"/>
  <c r="S74" i="6" s="1"/>
  <c r="T74" i="6" s="1"/>
  <c r="U74" i="6" s="1"/>
  <c r="V74" i="6" s="1"/>
  <c r="W74" i="6" s="1"/>
  <c r="X74" i="6" s="1"/>
  <c r="Y74" i="6" s="1"/>
  <c r="Z74" i="6" s="1"/>
  <c r="AA74" i="6" s="1"/>
  <c r="AB74" i="6" s="1"/>
  <c r="AC74" i="6" s="1"/>
  <c r="AD74" i="6" s="1"/>
  <c r="AE74" i="6" s="1"/>
  <c r="AF74" i="6" s="1"/>
  <c r="AG74" i="6" s="1"/>
  <c r="AH74" i="6" s="1"/>
  <c r="AI74" i="6" s="1"/>
  <c r="AJ74" i="6" s="1"/>
  <c r="AK74" i="6" s="1"/>
  <c r="AL74" i="6" s="1"/>
  <c r="AM74" i="6" s="1"/>
  <c r="AN74" i="6" s="1"/>
  <c r="AO74" i="6" s="1"/>
  <c r="AP74" i="6" s="1"/>
  <c r="AQ74" i="6" s="1"/>
  <c r="AR74" i="6" s="1"/>
  <c r="AS74" i="6" s="1"/>
  <c r="AT74" i="6" s="1"/>
  <c r="AU74" i="6" s="1"/>
  <c r="AV74" i="6" s="1"/>
  <c r="AW74" i="6" s="1"/>
  <c r="AX74" i="6" s="1"/>
  <c r="AY74" i="6" s="1"/>
  <c r="AZ74" i="6" s="1"/>
  <c r="BA74" i="6" s="1"/>
  <c r="BB74" i="6" s="1"/>
  <c r="BC74" i="6" s="1"/>
  <c r="BD74" i="6" s="1"/>
  <c r="BE74" i="6" s="1"/>
  <c r="BF74" i="6" s="1"/>
  <c r="BG74" i="6" s="1"/>
  <c r="BH74" i="6" s="1"/>
  <c r="BI74" i="6" s="1"/>
  <c r="BJ74" i="6" s="1"/>
  <c r="BK74" i="6" s="1"/>
  <c r="BL74" i="6" s="1"/>
  <c r="BM74" i="6" s="1"/>
  <c r="E74" i="6"/>
  <c r="G73" i="6"/>
  <c r="H73" i="6" s="1"/>
  <c r="I73" i="6" s="1"/>
  <c r="J73" i="6" s="1"/>
  <c r="K73" i="6" s="1"/>
  <c r="L73" i="6" s="1"/>
  <c r="M73" i="6" s="1"/>
  <c r="N73" i="6" s="1"/>
  <c r="O73" i="6" s="1"/>
  <c r="P73" i="6" s="1"/>
  <c r="Q73" i="6" s="1"/>
  <c r="R73" i="6" s="1"/>
  <c r="S73" i="6" s="1"/>
  <c r="T73" i="6" s="1"/>
  <c r="U73" i="6" s="1"/>
  <c r="V73" i="6" s="1"/>
  <c r="W73" i="6" s="1"/>
  <c r="X73" i="6" s="1"/>
  <c r="Y73" i="6" s="1"/>
  <c r="Z73" i="6" s="1"/>
  <c r="AA73" i="6" s="1"/>
  <c r="AB73" i="6" s="1"/>
  <c r="AC73" i="6" s="1"/>
  <c r="AD73" i="6" s="1"/>
  <c r="AE73" i="6" s="1"/>
  <c r="AF73" i="6" s="1"/>
  <c r="AG73" i="6" s="1"/>
  <c r="AH73" i="6" s="1"/>
  <c r="AI73" i="6" s="1"/>
  <c r="AJ73" i="6" s="1"/>
  <c r="AK73" i="6" s="1"/>
  <c r="AL73" i="6" s="1"/>
  <c r="AM73" i="6" s="1"/>
  <c r="AN73" i="6" s="1"/>
  <c r="AO73" i="6" s="1"/>
  <c r="AP73" i="6" s="1"/>
  <c r="AQ73" i="6" s="1"/>
  <c r="AR73" i="6" s="1"/>
  <c r="AS73" i="6" s="1"/>
  <c r="AT73" i="6" s="1"/>
  <c r="AU73" i="6" s="1"/>
  <c r="AV73" i="6" s="1"/>
  <c r="AW73" i="6" s="1"/>
  <c r="AX73" i="6" s="1"/>
  <c r="AY73" i="6" s="1"/>
  <c r="AZ73" i="6" s="1"/>
  <c r="BA73" i="6" s="1"/>
  <c r="BB73" i="6" s="1"/>
  <c r="BC73" i="6" s="1"/>
  <c r="BD73" i="6" s="1"/>
  <c r="BE73" i="6" s="1"/>
  <c r="BF73" i="6" s="1"/>
  <c r="BG73" i="6" s="1"/>
  <c r="BH73" i="6" s="1"/>
  <c r="BI73" i="6" s="1"/>
  <c r="BJ73" i="6" s="1"/>
  <c r="BK73" i="6" s="1"/>
  <c r="BL73" i="6" s="1"/>
  <c r="BM73" i="6" s="1"/>
  <c r="E73" i="6"/>
  <c r="G72" i="6"/>
  <c r="H72" i="6" s="1"/>
  <c r="I72" i="6" s="1"/>
  <c r="J72" i="6" s="1"/>
  <c r="K72" i="6" s="1"/>
  <c r="L72" i="6" s="1"/>
  <c r="M72" i="6" s="1"/>
  <c r="N72" i="6" s="1"/>
  <c r="O72" i="6" s="1"/>
  <c r="P72" i="6" s="1"/>
  <c r="Q72" i="6" s="1"/>
  <c r="R72" i="6" s="1"/>
  <c r="S72" i="6" s="1"/>
  <c r="T72" i="6" s="1"/>
  <c r="U72" i="6" s="1"/>
  <c r="V72" i="6" s="1"/>
  <c r="W72" i="6" s="1"/>
  <c r="X72" i="6" s="1"/>
  <c r="Y72" i="6" s="1"/>
  <c r="Z72" i="6" s="1"/>
  <c r="AA72" i="6" s="1"/>
  <c r="AB72" i="6" s="1"/>
  <c r="AC72" i="6" s="1"/>
  <c r="AD72" i="6" s="1"/>
  <c r="AE72" i="6" s="1"/>
  <c r="AF72" i="6" s="1"/>
  <c r="AG72" i="6" s="1"/>
  <c r="AH72" i="6" s="1"/>
  <c r="AI72" i="6" s="1"/>
  <c r="AJ72" i="6" s="1"/>
  <c r="AK72" i="6" s="1"/>
  <c r="AL72" i="6" s="1"/>
  <c r="AM72" i="6" s="1"/>
  <c r="AN72" i="6" s="1"/>
  <c r="AO72" i="6" s="1"/>
  <c r="AP72" i="6" s="1"/>
  <c r="AQ72" i="6" s="1"/>
  <c r="AR72" i="6" s="1"/>
  <c r="AS72" i="6" s="1"/>
  <c r="AT72" i="6" s="1"/>
  <c r="AU72" i="6" s="1"/>
  <c r="AV72" i="6" s="1"/>
  <c r="AW72" i="6" s="1"/>
  <c r="AX72" i="6" s="1"/>
  <c r="AY72" i="6" s="1"/>
  <c r="AZ72" i="6" s="1"/>
  <c r="BA72" i="6" s="1"/>
  <c r="BB72" i="6" s="1"/>
  <c r="BC72" i="6" s="1"/>
  <c r="BD72" i="6" s="1"/>
  <c r="BE72" i="6" s="1"/>
  <c r="BF72" i="6" s="1"/>
  <c r="BG72" i="6" s="1"/>
  <c r="BH72" i="6" s="1"/>
  <c r="BI72" i="6" s="1"/>
  <c r="BJ72" i="6" s="1"/>
  <c r="BK72" i="6" s="1"/>
  <c r="BL72" i="6" s="1"/>
  <c r="BM72" i="6" s="1"/>
  <c r="E72" i="6"/>
  <c r="G71" i="6"/>
  <c r="H71" i="6" s="1"/>
  <c r="I71" i="6" s="1"/>
  <c r="J71" i="6" s="1"/>
  <c r="K71" i="6" s="1"/>
  <c r="L71" i="6" s="1"/>
  <c r="M71" i="6" s="1"/>
  <c r="N71" i="6" s="1"/>
  <c r="O71" i="6" s="1"/>
  <c r="P71" i="6" s="1"/>
  <c r="Q71" i="6" s="1"/>
  <c r="R71" i="6" s="1"/>
  <c r="S71" i="6" s="1"/>
  <c r="T71" i="6" s="1"/>
  <c r="U71" i="6" s="1"/>
  <c r="V71" i="6" s="1"/>
  <c r="W71" i="6" s="1"/>
  <c r="X71" i="6" s="1"/>
  <c r="Y71" i="6" s="1"/>
  <c r="Z71" i="6" s="1"/>
  <c r="AA71" i="6" s="1"/>
  <c r="AB71" i="6" s="1"/>
  <c r="AC71" i="6" s="1"/>
  <c r="AD71" i="6" s="1"/>
  <c r="AE71" i="6" s="1"/>
  <c r="AF71" i="6" s="1"/>
  <c r="AG71" i="6" s="1"/>
  <c r="AH71" i="6" s="1"/>
  <c r="AI71" i="6" s="1"/>
  <c r="AJ71" i="6" s="1"/>
  <c r="AK71" i="6" s="1"/>
  <c r="AL71" i="6" s="1"/>
  <c r="AM71" i="6" s="1"/>
  <c r="AN71" i="6" s="1"/>
  <c r="AO71" i="6" s="1"/>
  <c r="AP71" i="6" s="1"/>
  <c r="AQ71" i="6" s="1"/>
  <c r="AR71" i="6" s="1"/>
  <c r="AS71" i="6" s="1"/>
  <c r="AT71" i="6" s="1"/>
  <c r="AU71" i="6" s="1"/>
  <c r="AV71" i="6" s="1"/>
  <c r="AW71" i="6" s="1"/>
  <c r="AX71" i="6" s="1"/>
  <c r="AY71" i="6" s="1"/>
  <c r="AZ71" i="6" s="1"/>
  <c r="BA71" i="6" s="1"/>
  <c r="BB71" i="6" s="1"/>
  <c r="BC71" i="6" s="1"/>
  <c r="BD71" i="6" s="1"/>
  <c r="BE71" i="6" s="1"/>
  <c r="BF71" i="6" s="1"/>
  <c r="BG71" i="6" s="1"/>
  <c r="BH71" i="6" s="1"/>
  <c r="BI71" i="6" s="1"/>
  <c r="BJ71" i="6" s="1"/>
  <c r="BK71" i="6" s="1"/>
  <c r="BL71" i="6" s="1"/>
  <c r="BM71" i="6" s="1"/>
  <c r="E71" i="6"/>
  <c r="G70" i="6"/>
  <c r="H70" i="6" s="1"/>
  <c r="I70" i="6" s="1"/>
  <c r="J70" i="6" s="1"/>
  <c r="K70" i="6" s="1"/>
  <c r="L70" i="6" s="1"/>
  <c r="M70" i="6" s="1"/>
  <c r="N70" i="6" s="1"/>
  <c r="O70" i="6" s="1"/>
  <c r="P70" i="6" s="1"/>
  <c r="Q70" i="6" s="1"/>
  <c r="R70" i="6" s="1"/>
  <c r="S70" i="6" s="1"/>
  <c r="T70" i="6" s="1"/>
  <c r="U70" i="6" s="1"/>
  <c r="V70" i="6" s="1"/>
  <c r="W70" i="6" s="1"/>
  <c r="X70" i="6" s="1"/>
  <c r="Y70" i="6" s="1"/>
  <c r="Z70" i="6" s="1"/>
  <c r="AA70" i="6" s="1"/>
  <c r="AB70" i="6" s="1"/>
  <c r="AC70" i="6" s="1"/>
  <c r="AD70" i="6" s="1"/>
  <c r="AE70" i="6" s="1"/>
  <c r="AF70" i="6" s="1"/>
  <c r="AG70" i="6" s="1"/>
  <c r="AH70" i="6" s="1"/>
  <c r="AI70" i="6" s="1"/>
  <c r="AJ70" i="6" s="1"/>
  <c r="AK70" i="6" s="1"/>
  <c r="AL70" i="6" s="1"/>
  <c r="AM70" i="6" s="1"/>
  <c r="AN70" i="6" s="1"/>
  <c r="AO70" i="6" s="1"/>
  <c r="AP70" i="6" s="1"/>
  <c r="AQ70" i="6" s="1"/>
  <c r="AR70" i="6" s="1"/>
  <c r="AS70" i="6" s="1"/>
  <c r="AT70" i="6" s="1"/>
  <c r="AU70" i="6" s="1"/>
  <c r="AV70" i="6" s="1"/>
  <c r="AW70" i="6" s="1"/>
  <c r="AX70" i="6" s="1"/>
  <c r="AY70" i="6" s="1"/>
  <c r="AZ70" i="6" s="1"/>
  <c r="BA70" i="6" s="1"/>
  <c r="BB70" i="6" s="1"/>
  <c r="BC70" i="6" s="1"/>
  <c r="BD70" i="6" s="1"/>
  <c r="BE70" i="6" s="1"/>
  <c r="BF70" i="6" s="1"/>
  <c r="BG70" i="6" s="1"/>
  <c r="BH70" i="6" s="1"/>
  <c r="BI70" i="6" s="1"/>
  <c r="BJ70" i="6" s="1"/>
  <c r="BK70" i="6" s="1"/>
  <c r="BL70" i="6" s="1"/>
  <c r="BM70" i="6" s="1"/>
  <c r="E70" i="6"/>
  <c r="G69" i="6"/>
  <c r="H69" i="6" s="1"/>
  <c r="I69" i="6" s="1"/>
  <c r="J69" i="6" s="1"/>
  <c r="K69" i="6" s="1"/>
  <c r="L69" i="6" s="1"/>
  <c r="M69" i="6" s="1"/>
  <c r="N69" i="6" s="1"/>
  <c r="O69" i="6" s="1"/>
  <c r="P69" i="6" s="1"/>
  <c r="Q69" i="6" s="1"/>
  <c r="R69" i="6" s="1"/>
  <c r="S69" i="6" s="1"/>
  <c r="T69" i="6" s="1"/>
  <c r="U69" i="6" s="1"/>
  <c r="V69" i="6" s="1"/>
  <c r="W69" i="6" s="1"/>
  <c r="X69" i="6" s="1"/>
  <c r="Y69" i="6" s="1"/>
  <c r="Z69" i="6" s="1"/>
  <c r="AA69" i="6" s="1"/>
  <c r="AB69" i="6" s="1"/>
  <c r="AC69" i="6" s="1"/>
  <c r="AD69" i="6" s="1"/>
  <c r="AE69" i="6" s="1"/>
  <c r="AF69" i="6" s="1"/>
  <c r="AG69" i="6" s="1"/>
  <c r="AH69" i="6" s="1"/>
  <c r="AI69" i="6" s="1"/>
  <c r="AJ69" i="6" s="1"/>
  <c r="AK69" i="6" s="1"/>
  <c r="AL69" i="6" s="1"/>
  <c r="AM69" i="6" s="1"/>
  <c r="AN69" i="6" s="1"/>
  <c r="AO69" i="6" s="1"/>
  <c r="AP69" i="6" s="1"/>
  <c r="AQ69" i="6" s="1"/>
  <c r="AR69" i="6" s="1"/>
  <c r="AS69" i="6" s="1"/>
  <c r="AT69" i="6" s="1"/>
  <c r="AU69" i="6" s="1"/>
  <c r="AV69" i="6" s="1"/>
  <c r="AW69" i="6" s="1"/>
  <c r="AX69" i="6" s="1"/>
  <c r="AY69" i="6" s="1"/>
  <c r="AZ69" i="6" s="1"/>
  <c r="BA69" i="6" s="1"/>
  <c r="BB69" i="6" s="1"/>
  <c r="BC69" i="6" s="1"/>
  <c r="BD69" i="6" s="1"/>
  <c r="BE69" i="6" s="1"/>
  <c r="BF69" i="6" s="1"/>
  <c r="BG69" i="6" s="1"/>
  <c r="BH69" i="6" s="1"/>
  <c r="BI69" i="6" s="1"/>
  <c r="BJ69" i="6" s="1"/>
  <c r="BK69" i="6" s="1"/>
  <c r="BL69" i="6" s="1"/>
  <c r="BM69" i="6" s="1"/>
  <c r="E69" i="6"/>
  <c r="E68" i="6"/>
  <c r="G67" i="6"/>
  <c r="G62" i="6"/>
  <c r="H62" i="6" s="1"/>
  <c r="I62" i="6" s="1"/>
  <c r="J62" i="6" s="1"/>
  <c r="K62" i="6" s="1"/>
  <c r="L62" i="6" s="1"/>
  <c r="M62" i="6" s="1"/>
  <c r="N62" i="6" s="1"/>
  <c r="O62" i="6" s="1"/>
  <c r="P62" i="6" s="1"/>
  <c r="Q62" i="6" s="1"/>
  <c r="R62" i="6" s="1"/>
  <c r="S62" i="6" s="1"/>
  <c r="T62" i="6" s="1"/>
  <c r="U62" i="6" s="1"/>
  <c r="V62" i="6" s="1"/>
  <c r="W62" i="6" s="1"/>
  <c r="X62" i="6" s="1"/>
  <c r="Y62" i="6" s="1"/>
  <c r="Z62" i="6" s="1"/>
  <c r="AA62" i="6" s="1"/>
  <c r="AB62" i="6" s="1"/>
  <c r="AC62" i="6" s="1"/>
  <c r="AD62" i="6" s="1"/>
  <c r="AE62" i="6" s="1"/>
  <c r="AF62" i="6" s="1"/>
  <c r="AG62" i="6" s="1"/>
  <c r="AH62" i="6" s="1"/>
  <c r="AI62" i="6" s="1"/>
  <c r="AJ62" i="6" s="1"/>
  <c r="AK62" i="6" s="1"/>
  <c r="AL62" i="6" s="1"/>
  <c r="AM62" i="6" s="1"/>
  <c r="AN62" i="6" s="1"/>
  <c r="AO62" i="6" s="1"/>
  <c r="AP62" i="6" s="1"/>
  <c r="AQ62" i="6" s="1"/>
  <c r="AR62" i="6" s="1"/>
  <c r="AS62" i="6" s="1"/>
  <c r="AT62" i="6" s="1"/>
  <c r="AU62" i="6" s="1"/>
  <c r="AV62" i="6" s="1"/>
  <c r="AW62" i="6" s="1"/>
  <c r="AX62" i="6" s="1"/>
  <c r="AY62" i="6" s="1"/>
  <c r="AZ62" i="6" s="1"/>
  <c r="BA62" i="6" s="1"/>
  <c r="BB62" i="6" s="1"/>
  <c r="BC62" i="6" s="1"/>
  <c r="BD62" i="6" s="1"/>
  <c r="BE62" i="6" s="1"/>
  <c r="BF62" i="6" s="1"/>
  <c r="BG62" i="6" s="1"/>
  <c r="BH62" i="6" s="1"/>
  <c r="BI62" i="6" s="1"/>
  <c r="BJ62" i="6" s="1"/>
  <c r="BK62" i="6" s="1"/>
  <c r="BL62" i="6" s="1"/>
  <c r="BM62" i="6" s="1"/>
  <c r="E62" i="6"/>
  <c r="G61" i="6"/>
  <c r="H61" i="6" s="1"/>
  <c r="I61" i="6" s="1"/>
  <c r="J61" i="6" s="1"/>
  <c r="K61" i="6" s="1"/>
  <c r="L61" i="6" s="1"/>
  <c r="M61" i="6" s="1"/>
  <c r="N61" i="6" s="1"/>
  <c r="O61" i="6" s="1"/>
  <c r="P61" i="6" s="1"/>
  <c r="Q61" i="6" s="1"/>
  <c r="R61" i="6" s="1"/>
  <c r="S61" i="6" s="1"/>
  <c r="T61" i="6" s="1"/>
  <c r="U61" i="6" s="1"/>
  <c r="V61" i="6" s="1"/>
  <c r="W61" i="6" s="1"/>
  <c r="X61" i="6" s="1"/>
  <c r="Y61" i="6" s="1"/>
  <c r="Z61" i="6" s="1"/>
  <c r="AA61" i="6" s="1"/>
  <c r="AB61" i="6" s="1"/>
  <c r="AC61" i="6" s="1"/>
  <c r="AD61" i="6" s="1"/>
  <c r="AE61" i="6" s="1"/>
  <c r="AF61" i="6" s="1"/>
  <c r="AG61" i="6" s="1"/>
  <c r="AH61" i="6" s="1"/>
  <c r="AI61" i="6" s="1"/>
  <c r="AJ61" i="6" s="1"/>
  <c r="AK61" i="6" s="1"/>
  <c r="AL61" i="6" s="1"/>
  <c r="AM61" i="6" s="1"/>
  <c r="AN61" i="6" s="1"/>
  <c r="AO61" i="6" s="1"/>
  <c r="AP61" i="6" s="1"/>
  <c r="AQ61" i="6" s="1"/>
  <c r="AR61" i="6" s="1"/>
  <c r="AS61" i="6" s="1"/>
  <c r="AT61" i="6" s="1"/>
  <c r="AU61" i="6" s="1"/>
  <c r="AV61" i="6" s="1"/>
  <c r="AW61" i="6" s="1"/>
  <c r="AX61" i="6" s="1"/>
  <c r="AY61" i="6" s="1"/>
  <c r="AZ61" i="6" s="1"/>
  <c r="BA61" i="6" s="1"/>
  <c r="BB61" i="6" s="1"/>
  <c r="BC61" i="6" s="1"/>
  <c r="BD61" i="6" s="1"/>
  <c r="BE61" i="6" s="1"/>
  <c r="BF61" i="6" s="1"/>
  <c r="BG61" i="6" s="1"/>
  <c r="BH61" i="6" s="1"/>
  <c r="BI61" i="6" s="1"/>
  <c r="BJ61" i="6" s="1"/>
  <c r="BK61" i="6" s="1"/>
  <c r="BL61" i="6" s="1"/>
  <c r="BM61" i="6" s="1"/>
  <c r="E61" i="6"/>
  <c r="G60" i="6"/>
  <c r="H60" i="6" s="1"/>
  <c r="I60" i="6" s="1"/>
  <c r="J60" i="6" s="1"/>
  <c r="K60" i="6" s="1"/>
  <c r="L60" i="6" s="1"/>
  <c r="M60" i="6" s="1"/>
  <c r="N60" i="6" s="1"/>
  <c r="O60" i="6" s="1"/>
  <c r="P60" i="6" s="1"/>
  <c r="Q60" i="6" s="1"/>
  <c r="R60" i="6" s="1"/>
  <c r="S60" i="6" s="1"/>
  <c r="T60" i="6" s="1"/>
  <c r="U60" i="6" s="1"/>
  <c r="V60" i="6" s="1"/>
  <c r="W60" i="6" s="1"/>
  <c r="X60" i="6" s="1"/>
  <c r="Y60" i="6" s="1"/>
  <c r="Z60" i="6" s="1"/>
  <c r="AA60" i="6" s="1"/>
  <c r="AB60" i="6" s="1"/>
  <c r="AC60" i="6" s="1"/>
  <c r="AD60" i="6" s="1"/>
  <c r="AE60" i="6" s="1"/>
  <c r="AF60" i="6" s="1"/>
  <c r="AG60" i="6" s="1"/>
  <c r="AH60" i="6" s="1"/>
  <c r="AI60" i="6" s="1"/>
  <c r="AJ60" i="6" s="1"/>
  <c r="AK60" i="6" s="1"/>
  <c r="AL60" i="6" s="1"/>
  <c r="AM60" i="6" s="1"/>
  <c r="AN60" i="6" s="1"/>
  <c r="AO60" i="6" s="1"/>
  <c r="AP60" i="6" s="1"/>
  <c r="AQ60" i="6" s="1"/>
  <c r="AR60" i="6" s="1"/>
  <c r="AS60" i="6" s="1"/>
  <c r="AT60" i="6" s="1"/>
  <c r="AU60" i="6" s="1"/>
  <c r="AV60" i="6" s="1"/>
  <c r="AW60" i="6" s="1"/>
  <c r="AX60" i="6" s="1"/>
  <c r="AY60" i="6" s="1"/>
  <c r="AZ60" i="6" s="1"/>
  <c r="BA60" i="6" s="1"/>
  <c r="BB60" i="6" s="1"/>
  <c r="BC60" i="6" s="1"/>
  <c r="BD60" i="6" s="1"/>
  <c r="BE60" i="6" s="1"/>
  <c r="BF60" i="6" s="1"/>
  <c r="BG60" i="6" s="1"/>
  <c r="BH60" i="6" s="1"/>
  <c r="BI60" i="6" s="1"/>
  <c r="BJ60" i="6" s="1"/>
  <c r="BK60" i="6" s="1"/>
  <c r="BL60" i="6" s="1"/>
  <c r="BM60" i="6" s="1"/>
  <c r="E60" i="6"/>
  <c r="G59" i="6"/>
  <c r="H59" i="6" s="1"/>
  <c r="I59" i="6" s="1"/>
  <c r="J59" i="6" s="1"/>
  <c r="K59" i="6" s="1"/>
  <c r="L59" i="6" s="1"/>
  <c r="M59" i="6" s="1"/>
  <c r="N59" i="6" s="1"/>
  <c r="O59" i="6" s="1"/>
  <c r="P59" i="6" s="1"/>
  <c r="Q59" i="6" s="1"/>
  <c r="R59" i="6" s="1"/>
  <c r="S59" i="6" s="1"/>
  <c r="T59" i="6" s="1"/>
  <c r="U59" i="6" s="1"/>
  <c r="V59" i="6" s="1"/>
  <c r="W59" i="6" s="1"/>
  <c r="X59" i="6" s="1"/>
  <c r="Y59" i="6" s="1"/>
  <c r="Z59" i="6" s="1"/>
  <c r="AA59" i="6" s="1"/>
  <c r="AB59" i="6" s="1"/>
  <c r="AC59" i="6" s="1"/>
  <c r="AD59" i="6" s="1"/>
  <c r="AE59" i="6" s="1"/>
  <c r="AF59" i="6" s="1"/>
  <c r="AG59" i="6" s="1"/>
  <c r="AH59" i="6" s="1"/>
  <c r="AI59" i="6" s="1"/>
  <c r="AJ59" i="6" s="1"/>
  <c r="AK59" i="6" s="1"/>
  <c r="AL59" i="6" s="1"/>
  <c r="AM59" i="6" s="1"/>
  <c r="AN59" i="6" s="1"/>
  <c r="AO59" i="6" s="1"/>
  <c r="AP59" i="6" s="1"/>
  <c r="AQ59" i="6" s="1"/>
  <c r="AR59" i="6" s="1"/>
  <c r="AS59" i="6" s="1"/>
  <c r="AT59" i="6" s="1"/>
  <c r="AU59" i="6" s="1"/>
  <c r="AV59" i="6" s="1"/>
  <c r="AW59" i="6" s="1"/>
  <c r="AX59" i="6" s="1"/>
  <c r="AY59" i="6" s="1"/>
  <c r="AZ59" i="6" s="1"/>
  <c r="BA59" i="6" s="1"/>
  <c r="BB59" i="6" s="1"/>
  <c r="BC59" i="6" s="1"/>
  <c r="BD59" i="6" s="1"/>
  <c r="BE59" i="6" s="1"/>
  <c r="BF59" i="6" s="1"/>
  <c r="BG59" i="6" s="1"/>
  <c r="BH59" i="6" s="1"/>
  <c r="BI59" i="6" s="1"/>
  <c r="BJ59" i="6" s="1"/>
  <c r="BK59" i="6" s="1"/>
  <c r="BL59" i="6" s="1"/>
  <c r="BM59" i="6" s="1"/>
  <c r="E59" i="6"/>
  <c r="G58" i="6"/>
  <c r="H58" i="6" s="1"/>
  <c r="I58" i="6" s="1"/>
  <c r="J58" i="6" s="1"/>
  <c r="K58" i="6" s="1"/>
  <c r="L58" i="6" s="1"/>
  <c r="M58" i="6" s="1"/>
  <c r="N58" i="6" s="1"/>
  <c r="O58" i="6" s="1"/>
  <c r="P58" i="6" s="1"/>
  <c r="Q58" i="6" s="1"/>
  <c r="R58" i="6" s="1"/>
  <c r="S58" i="6" s="1"/>
  <c r="T58" i="6" s="1"/>
  <c r="U58" i="6" s="1"/>
  <c r="V58" i="6" s="1"/>
  <c r="W58" i="6" s="1"/>
  <c r="X58" i="6" s="1"/>
  <c r="Y58" i="6" s="1"/>
  <c r="Z58" i="6" s="1"/>
  <c r="AA58" i="6" s="1"/>
  <c r="AB58" i="6" s="1"/>
  <c r="AC58" i="6" s="1"/>
  <c r="AD58" i="6" s="1"/>
  <c r="AE58" i="6" s="1"/>
  <c r="AF58" i="6" s="1"/>
  <c r="AG58" i="6" s="1"/>
  <c r="AH58" i="6" s="1"/>
  <c r="AI58" i="6" s="1"/>
  <c r="AJ58" i="6" s="1"/>
  <c r="AK58" i="6" s="1"/>
  <c r="AL58" i="6" s="1"/>
  <c r="AM58" i="6" s="1"/>
  <c r="AN58" i="6" s="1"/>
  <c r="AO58" i="6" s="1"/>
  <c r="AP58" i="6" s="1"/>
  <c r="AQ58" i="6" s="1"/>
  <c r="AR58" i="6" s="1"/>
  <c r="AS58" i="6" s="1"/>
  <c r="AT58" i="6" s="1"/>
  <c r="AU58" i="6" s="1"/>
  <c r="AV58" i="6" s="1"/>
  <c r="AW58" i="6" s="1"/>
  <c r="AX58" i="6" s="1"/>
  <c r="AY58" i="6" s="1"/>
  <c r="AZ58" i="6" s="1"/>
  <c r="BA58" i="6" s="1"/>
  <c r="BB58" i="6" s="1"/>
  <c r="BC58" i="6" s="1"/>
  <c r="BD58" i="6" s="1"/>
  <c r="BE58" i="6" s="1"/>
  <c r="BF58" i="6" s="1"/>
  <c r="BG58" i="6" s="1"/>
  <c r="BH58" i="6" s="1"/>
  <c r="BI58" i="6" s="1"/>
  <c r="BJ58" i="6" s="1"/>
  <c r="BK58" i="6" s="1"/>
  <c r="BL58" i="6" s="1"/>
  <c r="BM58" i="6" s="1"/>
  <c r="E58" i="6"/>
  <c r="G57" i="6"/>
  <c r="H57" i="6" s="1"/>
  <c r="I57" i="6" s="1"/>
  <c r="J57" i="6" s="1"/>
  <c r="K57" i="6" s="1"/>
  <c r="L57" i="6" s="1"/>
  <c r="M57" i="6" s="1"/>
  <c r="N57" i="6" s="1"/>
  <c r="O57" i="6" s="1"/>
  <c r="P57" i="6" s="1"/>
  <c r="Q57" i="6" s="1"/>
  <c r="R57" i="6" s="1"/>
  <c r="S57" i="6" s="1"/>
  <c r="T57" i="6" s="1"/>
  <c r="U57" i="6" s="1"/>
  <c r="V57" i="6" s="1"/>
  <c r="W57" i="6" s="1"/>
  <c r="X57" i="6" s="1"/>
  <c r="Y57" i="6" s="1"/>
  <c r="Z57" i="6" s="1"/>
  <c r="AA57" i="6" s="1"/>
  <c r="AB57" i="6" s="1"/>
  <c r="AC57" i="6" s="1"/>
  <c r="AD57" i="6" s="1"/>
  <c r="AE57" i="6" s="1"/>
  <c r="AF57" i="6" s="1"/>
  <c r="AG57" i="6" s="1"/>
  <c r="AH57" i="6" s="1"/>
  <c r="AI57" i="6" s="1"/>
  <c r="AJ57" i="6" s="1"/>
  <c r="AK57" i="6" s="1"/>
  <c r="AL57" i="6" s="1"/>
  <c r="AM57" i="6" s="1"/>
  <c r="AN57" i="6" s="1"/>
  <c r="AO57" i="6" s="1"/>
  <c r="AP57" i="6" s="1"/>
  <c r="AQ57" i="6" s="1"/>
  <c r="AR57" i="6" s="1"/>
  <c r="AS57" i="6" s="1"/>
  <c r="AT57" i="6" s="1"/>
  <c r="AU57" i="6" s="1"/>
  <c r="AV57" i="6" s="1"/>
  <c r="AW57" i="6" s="1"/>
  <c r="AX57" i="6" s="1"/>
  <c r="AY57" i="6" s="1"/>
  <c r="AZ57" i="6" s="1"/>
  <c r="BA57" i="6" s="1"/>
  <c r="BB57" i="6" s="1"/>
  <c r="BC57" i="6" s="1"/>
  <c r="BD57" i="6" s="1"/>
  <c r="BE57" i="6" s="1"/>
  <c r="BF57" i="6" s="1"/>
  <c r="BG57" i="6" s="1"/>
  <c r="BH57" i="6" s="1"/>
  <c r="BI57" i="6" s="1"/>
  <c r="BJ57" i="6" s="1"/>
  <c r="BK57" i="6" s="1"/>
  <c r="BL57" i="6" s="1"/>
  <c r="BM57" i="6" s="1"/>
  <c r="E57" i="6"/>
  <c r="G56" i="6"/>
  <c r="H56" i="6" s="1"/>
  <c r="I56" i="6" s="1"/>
  <c r="J56" i="6" s="1"/>
  <c r="K56" i="6" s="1"/>
  <c r="L56" i="6" s="1"/>
  <c r="M56" i="6" s="1"/>
  <c r="N56" i="6" s="1"/>
  <c r="O56" i="6" s="1"/>
  <c r="P56" i="6" s="1"/>
  <c r="Q56" i="6" s="1"/>
  <c r="R56" i="6" s="1"/>
  <c r="S56" i="6" s="1"/>
  <c r="T56" i="6" s="1"/>
  <c r="U56" i="6" s="1"/>
  <c r="V56" i="6" s="1"/>
  <c r="W56" i="6" s="1"/>
  <c r="X56" i="6" s="1"/>
  <c r="Y56" i="6" s="1"/>
  <c r="Z56" i="6" s="1"/>
  <c r="AA56" i="6" s="1"/>
  <c r="AB56" i="6" s="1"/>
  <c r="AC56" i="6" s="1"/>
  <c r="AD56" i="6" s="1"/>
  <c r="AE56" i="6" s="1"/>
  <c r="AF56" i="6" s="1"/>
  <c r="AG56" i="6" s="1"/>
  <c r="AH56" i="6" s="1"/>
  <c r="AI56" i="6" s="1"/>
  <c r="AJ56" i="6" s="1"/>
  <c r="AK56" i="6" s="1"/>
  <c r="AL56" i="6" s="1"/>
  <c r="AM56" i="6" s="1"/>
  <c r="AN56" i="6" s="1"/>
  <c r="AO56" i="6" s="1"/>
  <c r="AP56" i="6" s="1"/>
  <c r="AQ56" i="6" s="1"/>
  <c r="AR56" i="6" s="1"/>
  <c r="AS56" i="6" s="1"/>
  <c r="AT56" i="6" s="1"/>
  <c r="AU56" i="6" s="1"/>
  <c r="AV56" i="6" s="1"/>
  <c r="AW56" i="6" s="1"/>
  <c r="AX56" i="6" s="1"/>
  <c r="AY56" i="6" s="1"/>
  <c r="AZ56" i="6" s="1"/>
  <c r="BA56" i="6" s="1"/>
  <c r="BB56" i="6" s="1"/>
  <c r="BC56" i="6" s="1"/>
  <c r="BD56" i="6" s="1"/>
  <c r="BE56" i="6" s="1"/>
  <c r="BF56" i="6" s="1"/>
  <c r="BG56" i="6" s="1"/>
  <c r="BH56" i="6" s="1"/>
  <c r="BI56" i="6" s="1"/>
  <c r="BJ56" i="6" s="1"/>
  <c r="BK56" i="6" s="1"/>
  <c r="BL56" i="6" s="1"/>
  <c r="BM56" i="6" s="1"/>
  <c r="E56" i="6"/>
  <c r="G55" i="6"/>
  <c r="H55" i="6" s="1"/>
  <c r="I55" i="6" s="1"/>
  <c r="J55" i="6" s="1"/>
  <c r="K55" i="6" s="1"/>
  <c r="L55" i="6" s="1"/>
  <c r="M55" i="6" s="1"/>
  <c r="N55" i="6" s="1"/>
  <c r="O55" i="6" s="1"/>
  <c r="P55" i="6" s="1"/>
  <c r="Q55" i="6" s="1"/>
  <c r="R55" i="6" s="1"/>
  <c r="S55" i="6" s="1"/>
  <c r="T55" i="6" s="1"/>
  <c r="U55" i="6" s="1"/>
  <c r="V55" i="6" s="1"/>
  <c r="W55" i="6" s="1"/>
  <c r="X55" i="6" s="1"/>
  <c r="Y55" i="6" s="1"/>
  <c r="Z55" i="6" s="1"/>
  <c r="AA55" i="6" s="1"/>
  <c r="AB55" i="6" s="1"/>
  <c r="AC55" i="6" s="1"/>
  <c r="AD55" i="6" s="1"/>
  <c r="AE55" i="6" s="1"/>
  <c r="AF55" i="6" s="1"/>
  <c r="AG55" i="6" s="1"/>
  <c r="AH55" i="6" s="1"/>
  <c r="AI55" i="6" s="1"/>
  <c r="AJ55" i="6" s="1"/>
  <c r="AK55" i="6" s="1"/>
  <c r="AL55" i="6" s="1"/>
  <c r="AM55" i="6" s="1"/>
  <c r="AN55" i="6" s="1"/>
  <c r="AO55" i="6" s="1"/>
  <c r="AP55" i="6" s="1"/>
  <c r="AQ55" i="6" s="1"/>
  <c r="AR55" i="6" s="1"/>
  <c r="AS55" i="6" s="1"/>
  <c r="AT55" i="6" s="1"/>
  <c r="AU55" i="6" s="1"/>
  <c r="AV55" i="6" s="1"/>
  <c r="AW55" i="6" s="1"/>
  <c r="AX55" i="6" s="1"/>
  <c r="AY55" i="6" s="1"/>
  <c r="AZ55" i="6" s="1"/>
  <c r="BA55" i="6" s="1"/>
  <c r="BB55" i="6" s="1"/>
  <c r="BC55" i="6" s="1"/>
  <c r="BD55" i="6" s="1"/>
  <c r="BE55" i="6" s="1"/>
  <c r="BF55" i="6" s="1"/>
  <c r="BG55" i="6" s="1"/>
  <c r="BH55" i="6" s="1"/>
  <c r="BI55" i="6" s="1"/>
  <c r="BJ55" i="6" s="1"/>
  <c r="BK55" i="6" s="1"/>
  <c r="BL55" i="6" s="1"/>
  <c r="BM55" i="6" s="1"/>
  <c r="E55" i="6"/>
  <c r="G54" i="6"/>
  <c r="H54" i="6" s="1"/>
  <c r="I54" i="6" s="1"/>
  <c r="J54" i="6" s="1"/>
  <c r="K54" i="6" s="1"/>
  <c r="L54" i="6" s="1"/>
  <c r="M54" i="6" s="1"/>
  <c r="N54" i="6" s="1"/>
  <c r="O54" i="6" s="1"/>
  <c r="P54" i="6" s="1"/>
  <c r="Q54" i="6" s="1"/>
  <c r="R54" i="6" s="1"/>
  <c r="S54" i="6" s="1"/>
  <c r="T54" i="6" s="1"/>
  <c r="U54" i="6" s="1"/>
  <c r="V54" i="6" s="1"/>
  <c r="W54" i="6" s="1"/>
  <c r="X54" i="6" s="1"/>
  <c r="Y54" i="6" s="1"/>
  <c r="Z54" i="6" s="1"/>
  <c r="AA54" i="6" s="1"/>
  <c r="AB54" i="6" s="1"/>
  <c r="AC54" i="6" s="1"/>
  <c r="AD54" i="6" s="1"/>
  <c r="AE54" i="6" s="1"/>
  <c r="AF54" i="6" s="1"/>
  <c r="AG54" i="6" s="1"/>
  <c r="AH54" i="6" s="1"/>
  <c r="AI54" i="6" s="1"/>
  <c r="AJ54" i="6" s="1"/>
  <c r="AK54" i="6" s="1"/>
  <c r="AL54" i="6" s="1"/>
  <c r="AM54" i="6" s="1"/>
  <c r="AN54" i="6" s="1"/>
  <c r="AO54" i="6" s="1"/>
  <c r="AP54" i="6" s="1"/>
  <c r="AQ54" i="6" s="1"/>
  <c r="AR54" i="6" s="1"/>
  <c r="AS54" i="6" s="1"/>
  <c r="AT54" i="6" s="1"/>
  <c r="AU54" i="6" s="1"/>
  <c r="AV54" i="6" s="1"/>
  <c r="AW54" i="6" s="1"/>
  <c r="AX54" i="6" s="1"/>
  <c r="AY54" i="6" s="1"/>
  <c r="AZ54" i="6" s="1"/>
  <c r="BA54" i="6" s="1"/>
  <c r="BB54" i="6" s="1"/>
  <c r="BC54" i="6" s="1"/>
  <c r="BD54" i="6" s="1"/>
  <c r="BE54" i="6" s="1"/>
  <c r="BF54" i="6" s="1"/>
  <c r="BG54" i="6" s="1"/>
  <c r="BH54" i="6" s="1"/>
  <c r="BI54" i="6" s="1"/>
  <c r="BJ54" i="6" s="1"/>
  <c r="BK54" i="6" s="1"/>
  <c r="BL54" i="6" s="1"/>
  <c r="BM54" i="6" s="1"/>
  <c r="E54" i="6"/>
  <c r="G53" i="6"/>
  <c r="H53" i="6" s="1"/>
  <c r="I53" i="6" s="1"/>
  <c r="J53" i="6" s="1"/>
  <c r="K53" i="6" s="1"/>
  <c r="L53" i="6" s="1"/>
  <c r="M53" i="6" s="1"/>
  <c r="N53" i="6" s="1"/>
  <c r="O53" i="6" s="1"/>
  <c r="P53" i="6" s="1"/>
  <c r="Q53" i="6" s="1"/>
  <c r="R53" i="6" s="1"/>
  <c r="S53" i="6" s="1"/>
  <c r="T53" i="6" s="1"/>
  <c r="U53" i="6" s="1"/>
  <c r="V53" i="6" s="1"/>
  <c r="W53" i="6" s="1"/>
  <c r="X53" i="6" s="1"/>
  <c r="Y53" i="6" s="1"/>
  <c r="Z53" i="6" s="1"/>
  <c r="AA53" i="6" s="1"/>
  <c r="AB53" i="6" s="1"/>
  <c r="AC53" i="6" s="1"/>
  <c r="AD53" i="6" s="1"/>
  <c r="AE53" i="6" s="1"/>
  <c r="AF53" i="6" s="1"/>
  <c r="AG53" i="6" s="1"/>
  <c r="AH53" i="6" s="1"/>
  <c r="AI53" i="6" s="1"/>
  <c r="AJ53" i="6" s="1"/>
  <c r="AK53" i="6" s="1"/>
  <c r="AL53" i="6" s="1"/>
  <c r="AM53" i="6" s="1"/>
  <c r="AN53" i="6" s="1"/>
  <c r="AO53" i="6" s="1"/>
  <c r="AP53" i="6" s="1"/>
  <c r="AQ53" i="6" s="1"/>
  <c r="AR53" i="6" s="1"/>
  <c r="AS53" i="6" s="1"/>
  <c r="AT53" i="6" s="1"/>
  <c r="AU53" i="6" s="1"/>
  <c r="AV53" i="6" s="1"/>
  <c r="AW53" i="6" s="1"/>
  <c r="AX53" i="6" s="1"/>
  <c r="AY53" i="6" s="1"/>
  <c r="AZ53" i="6" s="1"/>
  <c r="BA53" i="6" s="1"/>
  <c r="BB53" i="6" s="1"/>
  <c r="BC53" i="6" s="1"/>
  <c r="BD53" i="6" s="1"/>
  <c r="BE53" i="6" s="1"/>
  <c r="BF53" i="6" s="1"/>
  <c r="BG53" i="6" s="1"/>
  <c r="BH53" i="6" s="1"/>
  <c r="BI53" i="6" s="1"/>
  <c r="BJ53" i="6" s="1"/>
  <c r="BK53" i="6" s="1"/>
  <c r="BL53" i="6" s="1"/>
  <c r="BM53" i="6" s="1"/>
  <c r="E53" i="6"/>
  <c r="G52" i="6"/>
  <c r="H52" i="6" s="1"/>
  <c r="I52" i="6" s="1"/>
  <c r="J52" i="6" s="1"/>
  <c r="K52" i="6" s="1"/>
  <c r="L52" i="6" s="1"/>
  <c r="M52" i="6" s="1"/>
  <c r="N52" i="6" s="1"/>
  <c r="O52" i="6" s="1"/>
  <c r="P52" i="6" s="1"/>
  <c r="Q52" i="6" s="1"/>
  <c r="R52" i="6" s="1"/>
  <c r="S52" i="6" s="1"/>
  <c r="T52" i="6" s="1"/>
  <c r="U52" i="6" s="1"/>
  <c r="V52" i="6" s="1"/>
  <c r="W52" i="6" s="1"/>
  <c r="X52" i="6" s="1"/>
  <c r="Y52" i="6" s="1"/>
  <c r="Z52" i="6" s="1"/>
  <c r="AA52" i="6" s="1"/>
  <c r="AB52" i="6" s="1"/>
  <c r="AC52" i="6" s="1"/>
  <c r="AD52" i="6" s="1"/>
  <c r="AE52" i="6" s="1"/>
  <c r="AF52" i="6" s="1"/>
  <c r="AG52" i="6" s="1"/>
  <c r="AH52" i="6" s="1"/>
  <c r="AI52" i="6" s="1"/>
  <c r="AJ52" i="6" s="1"/>
  <c r="AK52" i="6" s="1"/>
  <c r="AL52" i="6" s="1"/>
  <c r="AM52" i="6" s="1"/>
  <c r="AN52" i="6" s="1"/>
  <c r="AO52" i="6" s="1"/>
  <c r="AP52" i="6" s="1"/>
  <c r="AQ52" i="6" s="1"/>
  <c r="AR52" i="6" s="1"/>
  <c r="AS52" i="6" s="1"/>
  <c r="AT52" i="6" s="1"/>
  <c r="AU52" i="6" s="1"/>
  <c r="AV52" i="6" s="1"/>
  <c r="AW52" i="6" s="1"/>
  <c r="AX52" i="6" s="1"/>
  <c r="AY52" i="6" s="1"/>
  <c r="AZ52" i="6" s="1"/>
  <c r="BA52" i="6" s="1"/>
  <c r="BB52" i="6" s="1"/>
  <c r="BC52" i="6" s="1"/>
  <c r="BD52" i="6" s="1"/>
  <c r="BE52" i="6" s="1"/>
  <c r="BF52" i="6" s="1"/>
  <c r="BG52" i="6" s="1"/>
  <c r="BH52" i="6" s="1"/>
  <c r="BI52" i="6" s="1"/>
  <c r="BJ52" i="6" s="1"/>
  <c r="BK52" i="6" s="1"/>
  <c r="BL52" i="6" s="1"/>
  <c r="BM52" i="6" s="1"/>
  <c r="E52" i="6"/>
  <c r="G51" i="6"/>
  <c r="H51" i="6" s="1"/>
  <c r="I51" i="6" s="1"/>
  <c r="J51" i="6" s="1"/>
  <c r="K51" i="6" s="1"/>
  <c r="L51" i="6" s="1"/>
  <c r="M51" i="6" s="1"/>
  <c r="N51" i="6" s="1"/>
  <c r="O51" i="6" s="1"/>
  <c r="P51" i="6" s="1"/>
  <c r="Q51" i="6" s="1"/>
  <c r="R51" i="6" s="1"/>
  <c r="S51" i="6" s="1"/>
  <c r="T51" i="6" s="1"/>
  <c r="U51" i="6" s="1"/>
  <c r="V51" i="6" s="1"/>
  <c r="W51" i="6" s="1"/>
  <c r="X51" i="6" s="1"/>
  <c r="Y51" i="6" s="1"/>
  <c r="Z51" i="6" s="1"/>
  <c r="AA51" i="6" s="1"/>
  <c r="AB51" i="6" s="1"/>
  <c r="AC51" i="6" s="1"/>
  <c r="AD51" i="6" s="1"/>
  <c r="AE51" i="6" s="1"/>
  <c r="AF51" i="6" s="1"/>
  <c r="AG51" i="6" s="1"/>
  <c r="AH51" i="6" s="1"/>
  <c r="AI51" i="6" s="1"/>
  <c r="AJ51" i="6" s="1"/>
  <c r="AK51" i="6" s="1"/>
  <c r="AL51" i="6" s="1"/>
  <c r="AM51" i="6" s="1"/>
  <c r="AN51" i="6" s="1"/>
  <c r="AO51" i="6" s="1"/>
  <c r="AP51" i="6" s="1"/>
  <c r="AQ51" i="6" s="1"/>
  <c r="AR51" i="6" s="1"/>
  <c r="AS51" i="6" s="1"/>
  <c r="AT51" i="6" s="1"/>
  <c r="AU51" i="6" s="1"/>
  <c r="AV51" i="6" s="1"/>
  <c r="AW51" i="6" s="1"/>
  <c r="AX51" i="6" s="1"/>
  <c r="AY51" i="6" s="1"/>
  <c r="AZ51" i="6" s="1"/>
  <c r="BA51" i="6" s="1"/>
  <c r="BB51" i="6" s="1"/>
  <c r="BC51" i="6" s="1"/>
  <c r="BD51" i="6" s="1"/>
  <c r="BE51" i="6" s="1"/>
  <c r="BF51" i="6" s="1"/>
  <c r="BG51" i="6" s="1"/>
  <c r="BH51" i="6" s="1"/>
  <c r="BI51" i="6" s="1"/>
  <c r="BJ51" i="6" s="1"/>
  <c r="BK51" i="6" s="1"/>
  <c r="BL51" i="6" s="1"/>
  <c r="BM51" i="6" s="1"/>
  <c r="E51" i="6"/>
  <c r="G50" i="6"/>
  <c r="H50" i="6" s="1"/>
  <c r="I50" i="6" s="1"/>
  <c r="J50" i="6" s="1"/>
  <c r="K50" i="6" s="1"/>
  <c r="L50" i="6" s="1"/>
  <c r="M50" i="6" s="1"/>
  <c r="N50" i="6" s="1"/>
  <c r="O50" i="6" s="1"/>
  <c r="P50" i="6" s="1"/>
  <c r="Q50" i="6" s="1"/>
  <c r="R50" i="6" s="1"/>
  <c r="S50" i="6" s="1"/>
  <c r="T50" i="6" s="1"/>
  <c r="U50" i="6" s="1"/>
  <c r="V50" i="6" s="1"/>
  <c r="W50" i="6" s="1"/>
  <c r="X50" i="6" s="1"/>
  <c r="Y50" i="6" s="1"/>
  <c r="Z50" i="6" s="1"/>
  <c r="AA50" i="6" s="1"/>
  <c r="AB50" i="6" s="1"/>
  <c r="AC50" i="6" s="1"/>
  <c r="AD50" i="6" s="1"/>
  <c r="AE50" i="6" s="1"/>
  <c r="AF50" i="6" s="1"/>
  <c r="AG50" i="6" s="1"/>
  <c r="AH50" i="6" s="1"/>
  <c r="AI50" i="6" s="1"/>
  <c r="AJ50" i="6" s="1"/>
  <c r="AK50" i="6" s="1"/>
  <c r="AL50" i="6" s="1"/>
  <c r="AM50" i="6" s="1"/>
  <c r="AN50" i="6" s="1"/>
  <c r="AO50" i="6" s="1"/>
  <c r="AP50" i="6" s="1"/>
  <c r="AQ50" i="6" s="1"/>
  <c r="AR50" i="6" s="1"/>
  <c r="AS50" i="6" s="1"/>
  <c r="AT50" i="6" s="1"/>
  <c r="AU50" i="6" s="1"/>
  <c r="AV50" i="6" s="1"/>
  <c r="AW50" i="6" s="1"/>
  <c r="AX50" i="6" s="1"/>
  <c r="AY50" i="6" s="1"/>
  <c r="AZ50" i="6" s="1"/>
  <c r="BA50" i="6" s="1"/>
  <c r="BB50" i="6" s="1"/>
  <c r="BC50" i="6" s="1"/>
  <c r="BD50" i="6" s="1"/>
  <c r="BE50" i="6" s="1"/>
  <c r="BF50" i="6" s="1"/>
  <c r="BG50" i="6" s="1"/>
  <c r="BH50" i="6" s="1"/>
  <c r="BI50" i="6" s="1"/>
  <c r="BJ50" i="6" s="1"/>
  <c r="BK50" i="6" s="1"/>
  <c r="BL50" i="6" s="1"/>
  <c r="BM50" i="6" s="1"/>
  <c r="E50" i="6"/>
  <c r="G49" i="6"/>
  <c r="H49" i="6" s="1"/>
  <c r="I49" i="6" s="1"/>
  <c r="J49" i="6" s="1"/>
  <c r="K49" i="6" s="1"/>
  <c r="L49" i="6" s="1"/>
  <c r="M49" i="6" s="1"/>
  <c r="N49" i="6" s="1"/>
  <c r="O49" i="6" s="1"/>
  <c r="P49" i="6" s="1"/>
  <c r="Q49" i="6" s="1"/>
  <c r="R49" i="6" s="1"/>
  <c r="S49" i="6" s="1"/>
  <c r="T49" i="6" s="1"/>
  <c r="U49" i="6" s="1"/>
  <c r="V49" i="6" s="1"/>
  <c r="W49" i="6" s="1"/>
  <c r="X49" i="6" s="1"/>
  <c r="Y49" i="6" s="1"/>
  <c r="Z49" i="6" s="1"/>
  <c r="AA49" i="6" s="1"/>
  <c r="AB49" i="6" s="1"/>
  <c r="AC49" i="6" s="1"/>
  <c r="AD49" i="6" s="1"/>
  <c r="AE49" i="6" s="1"/>
  <c r="AF49" i="6" s="1"/>
  <c r="AG49" i="6" s="1"/>
  <c r="AH49" i="6" s="1"/>
  <c r="AI49" i="6" s="1"/>
  <c r="AJ49" i="6" s="1"/>
  <c r="AK49" i="6" s="1"/>
  <c r="AL49" i="6" s="1"/>
  <c r="AM49" i="6" s="1"/>
  <c r="AN49" i="6" s="1"/>
  <c r="AO49" i="6" s="1"/>
  <c r="AP49" i="6" s="1"/>
  <c r="AQ49" i="6" s="1"/>
  <c r="AR49" i="6" s="1"/>
  <c r="AS49" i="6" s="1"/>
  <c r="AT49" i="6" s="1"/>
  <c r="AU49" i="6" s="1"/>
  <c r="AV49" i="6" s="1"/>
  <c r="AW49" i="6" s="1"/>
  <c r="AX49" i="6" s="1"/>
  <c r="AY49" i="6" s="1"/>
  <c r="AZ49" i="6" s="1"/>
  <c r="BA49" i="6" s="1"/>
  <c r="BB49" i="6" s="1"/>
  <c r="BC49" i="6" s="1"/>
  <c r="BD49" i="6" s="1"/>
  <c r="BE49" i="6" s="1"/>
  <c r="BF49" i="6" s="1"/>
  <c r="BG49" i="6" s="1"/>
  <c r="BH49" i="6" s="1"/>
  <c r="BI49" i="6" s="1"/>
  <c r="BJ49" i="6" s="1"/>
  <c r="BK49" i="6" s="1"/>
  <c r="BL49" i="6" s="1"/>
  <c r="BM49" i="6" s="1"/>
  <c r="E49" i="6"/>
  <c r="G48" i="6"/>
  <c r="H48" i="6" s="1"/>
  <c r="I48" i="6" s="1"/>
  <c r="J48" i="6" s="1"/>
  <c r="K48" i="6" s="1"/>
  <c r="L48" i="6" s="1"/>
  <c r="M48" i="6" s="1"/>
  <c r="N48" i="6" s="1"/>
  <c r="O48" i="6" s="1"/>
  <c r="P48" i="6" s="1"/>
  <c r="Q48" i="6" s="1"/>
  <c r="R48" i="6" s="1"/>
  <c r="S48" i="6" s="1"/>
  <c r="T48" i="6" s="1"/>
  <c r="U48" i="6" s="1"/>
  <c r="V48" i="6" s="1"/>
  <c r="W48" i="6" s="1"/>
  <c r="X48" i="6" s="1"/>
  <c r="Y48" i="6" s="1"/>
  <c r="Z48" i="6" s="1"/>
  <c r="AA48" i="6" s="1"/>
  <c r="AB48" i="6" s="1"/>
  <c r="AC48" i="6" s="1"/>
  <c r="AD48" i="6" s="1"/>
  <c r="AE48" i="6" s="1"/>
  <c r="AF48" i="6" s="1"/>
  <c r="AG48" i="6" s="1"/>
  <c r="AH48" i="6" s="1"/>
  <c r="AI48" i="6" s="1"/>
  <c r="AJ48" i="6" s="1"/>
  <c r="AK48" i="6" s="1"/>
  <c r="AL48" i="6" s="1"/>
  <c r="AM48" i="6" s="1"/>
  <c r="AN48" i="6" s="1"/>
  <c r="AO48" i="6" s="1"/>
  <c r="AP48" i="6" s="1"/>
  <c r="AQ48" i="6" s="1"/>
  <c r="AR48" i="6" s="1"/>
  <c r="AS48" i="6" s="1"/>
  <c r="AT48" i="6" s="1"/>
  <c r="AU48" i="6" s="1"/>
  <c r="AV48" i="6" s="1"/>
  <c r="AW48" i="6" s="1"/>
  <c r="AX48" i="6" s="1"/>
  <c r="AY48" i="6" s="1"/>
  <c r="AZ48" i="6" s="1"/>
  <c r="BA48" i="6" s="1"/>
  <c r="BB48" i="6" s="1"/>
  <c r="BC48" i="6" s="1"/>
  <c r="BD48" i="6" s="1"/>
  <c r="BE48" i="6" s="1"/>
  <c r="BF48" i="6" s="1"/>
  <c r="BG48" i="6" s="1"/>
  <c r="BH48" i="6" s="1"/>
  <c r="BI48" i="6" s="1"/>
  <c r="BJ48" i="6" s="1"/>
  <c r="BK48" i="6" s="1"/>
  <c r="BL48" i="6" s="1"/>
  <c r="BM48" i="6" s="1"/>
  <c r="E48" i="6"/>
  <c r="G47" i="6"/>
  <c r="H47" i="6" s="1"/>
  <c r="I47" i="6" s="1"/>
  <c r="J47" i="6" s="1"/>
  <c r="K47" i="6" s="1"/>
  <c r="L47" i="6" s="1"/>
  <c r="M47" i="6" s="1"/>
  <c r="N47" i="6" s="1"/>
  <c r="O47" i="6" s="1"/>
  <c r="P47" i="6" s="1"/>
  <c r="Q47" i="6" s="1"/>
  <c r="R47" i="6" s="1"/>
  <c r="S47" i="6" s="1"/>
  <c r="T47" i="6" s="1"/>
  <c r="U47" i="6" s="1"/>
  <c r="V47" i="6" s="1"/>
  <c r="W47" i="6" s="1"/>
  <c r="X47" i="6" s="1"/>
  <c r="Y47" i="6" s="1"/>
  <c r="Z47" i="6" s="1"/>
  <c r="AA47" i="6" s="1"/>
  <c r="AB47" i="6" s="1"/>
  <c r="AC47" i="6" s="1"/>
  <c r="AD47" i="6" s="1"/>
  <c r="AE47" i="6" s="1"/>
  <c r="AF47" i="6" s="1"/>
  <c r="AG47" i="6" s="1"/>
  <c r="AH47" i="6" s="1"/>
  <c r="AI47" i="6" s="1"/>
  <c r="AJ47" i="6" s="1"/>
  <c r="AK47" i="6" s="1"/>
  <c r="AL47" i="6" s="1"/>
  <c r="AM47" i="6" s="1"/>
  <c r="AN47" i="6" s="1"/>
  <c r="AO47" i="6" s="1"/>
  <c r="AP47" i="6" s="1"/>
  <c r="AQ47" i="6" s="1"/>
  <c r="AR47" i="6" s="1"/>
  <c r="AS47" i="6" s="1"/>
  <c r="AT47" i="6" s="1"/>
  <c r="AU47" i="6" s="1"/>
  <c r="AV47" i="6" s="1"/>
  <c r="AW47" i="6" s="1"/>
  <c r="AX47" i="6" s="1"/>
  <c r="AY47" i="6" s="1"/>
  <c r="AZ47" i="6" s="1"/>
  <c r="BA47" i="6" s="1"/>
  <c r="BB47" i="6" s="1"/>
  <c r="BC47" i="6" s="1"/>
  <c r="BD47" i="6" s="1"/>
  <c r="BE47" i="6" s="1"/>
  <c r="BF47" i="6" s="1"/>
  <c r="BG47" i="6" s="1"/>
  <c r="BH47" i="6" s="1"/>
  <c r="BI47" i="6" s="1"/>
  <c r="BJ47" i="6" s="1"/>
  <c r="BK47" i="6" s="1"/>
  <c r="BL47" i="6" s="1"/>
  <c r="BM47" i="6" s="1"/>
  <c r="E47" i="6"/>
  <c r="F46" i="6"/>
  <c r="G45" i="6"/>
  <c r="H45" i="6" s="1"/>
  <c r="I45" i="6" s="1"/>
  <c r="J45" i="6" s="1"/>
  <c r="K45" i="6" s="1"/>
  <c r="L45" i="6" s="1"/>
  <c r="M45" i="6" s="1"/>
  <c r="N45" i="6" s="1"/>
  <c r="O45" i="6" s="1"/>
  <c r="P45" i="6" s="1"/>
  <c r="Q45" i="6" s="1"/>
  <c r="R45" i="6" s="1"/>
  <c r="S45" i="6" s="1"/>
  <c r="T45" i="6" s="1"/>
  <c r="U45" i="6" s="1"/>
  <c r="V45" i="6" s="1"/>
  <c r="W45" i="6" s="1"/>
  <c r="X45" i="6" s="1"/>
  <c r="Y45" i="6" s="1"/>
  <c r="Z45" i="6" s="1"/>
  <c r="AA45" i="6" s="1"/>
  <c r="AB45" i="6" s="1"/>
  <c r="AC45" i="6" s="1"/>
  <c r="AD45" i="6" s="1"/>
  <c r="AE45" i="6" s="1"/>
  <c r="AF45" i="6" s="1"/>
  <c r="AG45" i="6" s="1"/>
  <c r="AH45" i="6" s="1"/>
  <c r="AI45" i="6" s="1"/>
  <c r="AJ45" i="6" s="1"/>
  <c r="AK45" i="6" s="1"/>
  <c r="AL45" i="6" s="1"/>
  <c r="AM45" i="6" s="1"/>
  <c r="AN45" i="6" s="1"/>
  <c r="AO45" i="6" s="1"/>
  <c r="AP45" i="6" s="1"/>
  <c r="AQ45" i="6" s="1"/>
  <c r="AR45" i="6" s="1"/>
  <c r="AS45" i="6" s="1"/>
  <c r="AT45" i="6" s="1"/>
  <c r="AU45" i="6" s="1"/>
  <c r="AV45" i="6" s="1"/>
  <c r="AW45" i="6" s="1"/>
  <c r="AX45" i="6" s="1"/>
  <c r="AY45" i="6" s="1"/>
  <c r="AZ45" i="6" s="1"/>
  <c r="BA45" i="6" s="1"/>
  <c r="BB45" i="6" s="1"/>
  <c r="BC45" i="6" s="1"/>
  <c r="BD45" i="6" s="1"/>
  <c r="BE45" i="6" s="1"/>
  <c r="BF45" i="6" s="1"/>
  <c r="BG45" i="6" s="1"/>
  <c r="BH45" i="6" s="1"/>
  <c r="BI45" i="6" s="1"/>
  <c r="BJ45" i="6" s="1"/>
  <c r="BK45" i="6" s="1"/>
  <c r="BL45" i="6" s="1"/>
  <c r="BM45" i="6" s="1"/>
  <c r="E45" i="6"/>
  <c r="G44" i="6"/>
  <c r="H44" i="6" s="1"/>
  <c r="I44" i="6" s="1"/>
  <c r="J44" i="6" s="1"/>
  <c r="K44" i="6" s="1"/>
  <c r="L44" i="6" s="1"/>
  <c r="M44" i="6" s="1"/>
  <c r="N44" i="6" s="1"/>
  <c r="O44" i="6" s="1"/>
  <c r="P44" i="6" s="1"/>
  <c r="Q44" i="6" s="1"/>
  <c r="R44" i="6" s="1"/>
  <c r="S44" i="6" s="1"/>
  <c r="T44" i="6" s="1"/>
  <c r="U44" i="6" s="1"/>
  <c r="V44" i="6" s="1"/>
  <c r="W44" i="6" s="1"/>
  <c r="X44" i="6" s="1"/>
  <c r="Y44" i="6" s="1"/>
  <c r="Z44" i="6" s="1"/>
  <c r="AA44" i="6" s="1"/>
  <c r="AB44" i="6" s="1"/>
  <c r="AC44" i="6" s="1"/>
  <c r="AD44" i="6" s="1"/>
  <c r="AE44" i="6" s="1"/>
  <c r="AF44" i="6" s="1"/>
  <c r="AG44" i="6" s="1"/>
  <c r="AH44" i="6" s="1"/>
  <c r="AI44" i="6" s="1"/>
  <c r="AJ44" i="6" s="1"/>
  <c r="AK44" i="6" s="1"/>
  <c r="AL44" i="6" s="1"/>
  <c r="AM44" i="6" s="1"/>
  <c r="AN44" i="6" s="1"/>
  <c r="AO44" i="6" s="1"/>
  <c r="AP44" i="6" s="1"/>
  <c r="AQ44" i="6" s="1"/>
  <c r="AR44" i="6" s="1"/>
  <c r="AS44" i="6" s="1"/>
  <c r="AT44" i="6" s="1"/>
  <c r="AU44" i="6" s="1"/>
  <c r="AV44" i="6" s="1"/>
  <c r="AW44" i="6" s="1"/>
  <c r="AX44" i="6" s="1"/>
  <c r="AY44" i="6" s="1"/>
  <c r="AZ44" i="6" s="1"/>
  <c r="BA44" i="6" s="1"/>
  <c r="BB44" i="6" s="1"/>
  <c r="BC44" i="6" s="1"/>
  <c r="BD44" i="6" s="1"/>
  <c r="BE44" i="6" s="1"/>
  <c r="BF44" i="6" s="1"/>
  <c r="BG44" i="6" s="1"/>
  <c r="BH44" i="6" s="1"/>
  <c r="BI44" i="6" s="1"/>
  <c r="BJ44" i="6" s="1"/>
  <c r="BK44" i="6" s="1"/>
  <c r="BL44" i="6" s="1"/>
  <c r="BM44" i="6" s="1"/>
  <c r="E44" i="6"/>
  <c r="G43" i="6"/>
  <c r="H43" i="6" s="1"/>
  <c r="I43" i="6" s="1"/>
  <c r="J43" i="6" s="1"/>
  <c r="K43" i="6" s="1"/>
  <c r="L43" i="6" s="1"/>
  <c r="M43" i="6" s="1"/>
  <c r="N43" i="6" s="1"/>
  <c r="O43" i="6" s="1"/>
  <c r="P43" i="6" s="1"/>
  <c r="Q43" i="6" s="1"/>
  <c r="R43" i="6" s="1"/>
  <c r="S43" i="6" s="1"/>
  <c r="T43" i="6" s="1"/>
  <c r="U43" i="6" s="1"/>
  <c r="V43" i="6" s="1"/>
  <c r="W43" i="6" s="1"/>
  <c r="X43" i="6" s="1"/>
  <c r="Y43" i="6" s="1"/>
  <c r="Z43" i="6" s="1"/>
  <c r="AA43" i="6" s="1"/>
  <c r="AB43" i="6" s="1"/>
  <c r="AC43" i="6" s="1"/>
  <c r="AD43" i="6" s="1"/>
  <c r="AE43" i="6" s="1"/>
  <c r="AF43" i="6" s="1"/>
  <c r="AG43" i="6" s="1"/>
  <c r="AH43" i="6" s="1"/>
  <c r="AI43" i="6" s="1"/>
  <c r="AJ43" i="6" s="1"/>
  <c r="AK43" i="6" s="1"/>
  <c r="AL43" i="6" s="1"/>
  <c r="AM43" i="6" s="1"/>
  <c r="AN43" i="6" s="1"/>
  <c r="AO43" i="6" s="1"/>
  <c r="AP43" i="6" s="1"/>
  <c r="AQ43" i="6" s="1"/>
  <c r="AR43" i="6" s="1"/>
  <c r="AS43" i="6" s="1"/>
  <c r="AT43" i="6" s="1"/>
  <c r="AU43" i="6" s="1"/>
  <c r="AV43" i="6" s="1"/>
  <c r="AW43" i="6" s="1"/>
  <c r="AX43" i="6" s="1"/>
  <c r="AY43" i="6" s="1"/>
  <c r="AZ43" i="6" s="1"/>
  <c r="BA43" i="6" s="1"/>
  <c r="BB43" i="6" s="1"/>
  <c r="BC43" i="6" s="1"/>
  <c r="BD43" i="6" s="1"/>
  <c r="BE43" i="6" s="1"/>
  <c r="BF43" i="6" s="1"/>
  <c r="BG43" i="6" s="1"/>
  <c r="BH43" i="6" s="1"/>
  <c r="BI43" i="6" s="1"/>
  <c r="BJ43" i="6" s="1"/>
  <c r="BK43" i="6" s="1"/>
  <c r="BL43" i="6" s="1"/>
  <c r="BM43" i="6" s="1"/>
  <c r="E43" i="6"/>
  <c r="G42" i="6"/>
  <c r="H42" i="6" s="1"/>
  <c r="I42" i="6" s="1"/>
  <c r="J42" i="6" s="1"/>
  <c r="K42" i="6" s="1"/>
  <c r="L42" i="6" s="1"/>
  <c r="M42" i="6" s="1"/>
  <c r="N42" i="6" s="1"/>
  <c r="O42" i="6" s="1"/>
  <c r="P42" i="6" s="1"/>
  <c r="Q42" i="6" s="1"/>
  <c r="R42" i="6" s="1"/>
  <c r="S42" i="6" s="1"/>
  <c r="T42" i="6" s="1"/>
  <c r="U42" i="6" s="1"/>
  <c r="V42" i="6" s="1"/>
  <c r="W42" i="6" s="1"/>
  <c r="X42" i="6" s="1"/>
  <c r="Y42" i="6" s="1"/>
  <c r="Z42" i="6" s="1"/>
  <c r="AA42" i="6" s="1"/>
  <c r="AB42" i="6" s="1"/>
  <c r="AC42" i="6" s="1"/>
  <c r="AD42" i="6" s="1"/>
  <c r="AE42" i="6" s="1"/>
  <c r="AF42" i="6" s="1"/>
  <c r="AG42" i="6" s="1"/>
  <c r="AH42" i="6" s="1"/>
  <c r="AI42" i="6" s="1"/>
  <c r="AJ42" i="6" s="1"/>
  <c r="AK42" i="6" s="1"/>
  <c r="AL42" i="6" s="1"/>
  <c r="AM42" i="6" s="1"/>
  <c r="AN42" i="6" s="1"/>
  <c r="AO42" i="6" s="1"/>
  <c r="AP42" i="6" s="1"/>
  <c r="AQ42" i="6" s="1"/>
  <c r="AR42" i="6" s="1"/>
  <c r="AS42" i="6" s="1"/>
  <c r="AT42" i="6" s="1"/>
  <c r="AU42" i="6" s="1"/>
  <c r="AV42" i="6" s="1"/>
  <c r="AW42" i="6" s="1"/>
  <c r="AX42" i="6" s="1"/>
  <c r="AY42" i="6" s="1"/>
  <c r="AZ42" i="6" s="1"/>
  <c r="BA42" i="6" s="1"/>
  <c r="BB42" i="6" s="1"/>
  <c r="BC42" i="6" s="1"/>
  <c r="BD42" i="6" s="1"/>
  <c r="BE42" i="6" s="1"/>
  <c r="BF42" i="6" s="1"/>
  <c r="BG42" i="6" s="1"/>
  <c r="BH42" i="6" s="1"/>
  <c r="BI42" i="6" s="1"/>
  <c r="BJ42" i="6" s="1"/>
  <c r="BK42" i="6" s="1"/>
  <c r="BL42" i="6" s="1"/>
  <c r="BM42" i="6" s="1"/>
  <c r="E42" i="6"/>
  <c r="G41" i="6"/>
  <c r="H41" i="6" s="1"/>
  <c r="I41" i="6" s="1"/>
  <c r="J41" i="6" s="1"/>
  <c r="K41" i="6" s="1"/>
  <c r="L41" i="6" s="1"/>
  <c r="M41" i="6" s="1"/>
  <c r="N41" i="6" s="1"/>
  <c r="O41" i="6" s="1"/>
  <c r="P41" i="6" s="1"/>
  <c r="Q41" i="6" s="1"/>
  <c r="R41" i="6" s="1"/>
  <c r="G40" i="6"/>
  <c r="N35" i="6"/>
  <c r="M35" i="6"/>
  <c r="L35" i="6"/>
  <c r="K35" i="6"/>
  <c r="J35" i="6"/>
  <c r="I35" i="6"/>
  <c r="H35" i="6"/>
  <c r="G35" i="6"/>
  <c r="F35" i="6"/>
  <c r="AO34" i="6"/>
  <c r="E34" i="6"/>
  <c r="E32" i="6"/>
  <c r="E31" i="6"/>
  <c r="E30" i="6"/>
  <c r="E26" i="6"/>
  <c r="E25" i="6"/>
  <c r="E24" i="6"/>
  <c r="E23" i="6"/>
  <c r="BM9" i="6"/>
  <c r="BM255" i="6" s="1"/>
  <c r="BL9" i="6"/>
  <c r="BL255" i="6" s="1"/>
  <c r="BK9" i="6"/>
  <c r="BK255" i="6" s="1"/>
  <c r="BJ9" i="6"/>
  <c r="BJ255" i="6" s="1"/>
  <c r="BI9" i="6"/>
  <c r="BI255" i="6" s="1"/>
  <c r="BH9" i="6"/>
  <c r="BH255" i="6" s="1"/>
  <c r="BG9" i="6"/>
  <c r="BG255" i="6" s="1"/>
  <c r="BF9" i="6"/>
  <c r="BF255" i="6" s="1"/>
  <c r="BE9" i="6"/>
  <c r="BE255" i="6" s="1"/>
  <c r="BD9" i="6"/>
  <c r="BD255" i="6" s="1"/>
  <c r="BC9" i="6"/>
  <c r="BC255" i="6" s="1"/>
  <c r="BB9" i="6"/>
  <c r="BB255" i="6" s="1"/>
  <c r="BA9" i="6"/>
  <c r="BA255" i="6" s="1"/>
  <c r="AZ9" i="6"/>
  <c r="AZ255" i="6" s="1"/>
  <c r="AY9" i="6"/>
  <c r="AY255" i="6" s="1"/>
  <c r="AX9" i="6"/>
  <c r="AX255" i="6" s="1"/>
  <c r="AW9" i="6"/>
  <c r="AW255" i="6" s="1"/>
  <c r="AV9" i="6"/>
  <c r="AV255" i="6" s="1"/>
  <c r="AU9" i="6"/>
  <c r="AU255" i="6" s="1"/>
  <c r="AT9" i="6"/>
  <c r="AT255" i="6" s="1"/>
  <c r="AS9" i="6"/>
  <c r="AS255" i="6" s="1"/>
  <c r="AR9" i="6"/>
  <c r="AR255" i="6" s="1"/>
  <c r="AQ9" i="6"/>
  <c r="AQ255" i="6" s="1"/>
  <c r="AP9" i="6"/>
  <c r="AP255" i="6" s="1"/>
  <c r="AO9" i="6"/>
  <c r="AO255" i="6" s="1"/>
  <c r="AN9" i="6"/>
  <c r="AN255" i="6" s="1"/>
  <c r="AM9" i="6"/>
  <c r="AM255" i="6" s="1"/>
  <c r="AL9" i="6"/>
  <c r="AK9" i="6"/>
  <c r="AJ9" i="6"/>
  <c r="AI9" i="6"/>
  <c r="AI255" i="6" s="1"/>
  <c r="AH9" i="6"/>
  <c r="AH255" i="6" s="1"/>
  <c r="AG9" i="6"/>
  <c r="AG255" i="6" s="1"/>
  <c r="AF9" i="6"/>
  <c r="AF255" i="6" s="1"/>
  <c r="AE9" i="6"/>
  <c r="AE255" i="6" s="1"/>
  <c r="AD9" i="6"/>
  <c r="AD255" i="6" s="1"/>
  <c r="AC9" i="6"/>
  <c r="AC255" i="6" s="1"/>
  <c r="AB9" i="6"/>
  <c r="AB255" i="6" s="1"/>
  <c r="AA9" i="6"/>
  <c r="AA255" i="6" s="1"/>
  <c r="Z9" i="6"/>
  <c r="Z255" i="6" s="1"/>
  <c r="Y9" i="6"/>
  <c r="Y255" i="6" s="1"/>
  <c r="X9" i="6"/>
  <c r="X255" i="6" s="1"/>
  <c r="W9" i="6"/>
  <c r="W255" i="6" s="1"/>
  <c r="V9" i="6"/>
  <c r="V255" i="6" s="1"/>
  <c r="U9" i="6"/>
  <c r="U255" i="6" s="1"/>
  <c r="T9" i="6"/>
  <c r="T255" i="6" s="1"/>
  <c r="S9" i="6"/>
  <c r="S255" i="6" s="1"/>
  <c r="R9" i="6"/>
  <c r="R255" i="6" s="1"/>
  <c r="Q9" i="6"/>
  <c r="Q255" i="6" s="1"/>
  <c r="P9" i="6"/>
  <c r="P255" i="6" s="1"/>
  <c r="O9" i="6"/>
  <c r="O255" i="6" s="1"/>
  <c r="N9" i="6"/>
  <c r="N255" i="6" s="1"/>
  <c r="M9" i="6"/>
  <c r="M255" i="6" s="1"/>
  <c r="L9" i="6"/>
  <c r="L255" i="6" s="1"/>
  <c r="K9" i="6"/>
  <c r="K255" i="6" s="1"/>
  <c r="J9" i="6"/>
  <c r="J255" i="6" s="1"/>
  <c r="I9" i="6"/>
  <c r="I255" i="6" s="1"/>
  <c r="H9" i="6"/>
  <c r="H255" i="6" s="1"/>
  <c r="G9" i="6"/>
  <c r="G255" i="6" s="1"/>
  <c r="F9" i="6"/>
  <c r="F255" i="6" s="1"/>
  <c r="BM8" i="6"/>
  <c r="BL8" i="6"/>
  <c r="BK8" i="6"/>
  <c r="BJ8" i="6"/>
  <c r="BI8" i="6"/>
  <c r="BH8" i="6"/>
  <c r="BG8" i="6"/>
  <c r="BF8" i="6"/>
  <c r="BE8" i="6"/>
  <c r="BD8" i="6"/>
  <c r="BC8" i="6"/>
  <c r="BB8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BM7" i="6"/>
  <c r="BL7" i="6"/>
  <c r="BK7" i="6"/>
  <c r="BJ7" i="6"/>
  <c r="BI7" i="6"/>
  <c r="BH7" i="6"/>
  <c r="BG7" i="6"/>
  <c r="BF7" i="6"/>
  <c r="BE7" i="6"/>
  <c r="BD7" i="6"/>
  <c r="BC7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BM6" i="6"/>
  <c r="BL6" i="6"/>
  <c r="BK6" i="6"/>
  <c r="BJ6" i="6"/>
  <c r="BI6" i="6"/>
  <c r="BH6" i="6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A5" i="6"/>
  <c r="A4" i="6"/>
  <c r="Q9" i="5" l="1"/>
  <c r="P9" i="5"/>
  <c r="O9" i="5"/>
  <c r="N9" i="5"/>
  <c r="D71" i="5"/>
  <c r="M73" i="5"/>
  <c r="M4" i="5" s="1"/>
  <c r="L73" i="5"/>
  <c r="L4" i="5" s="1"/>
  <c r="K73" i="5"/>
  <c r="K4" i="5" s="1"/>
  <c r="J73" i="5"/>
  <c r="J4" i="5" s="1"/>
  <c r="F95" i="5"/>
  <c r="F104" i="5" s="1"/>
  <c r="F5" i="5" s="1"/>
  <c r="M95" i="5"/>
  <c r="M104" i="5" s="1"/>
  <c r="M5" i="5" s="1"/>
  <c r="L95" i="5"/>
  <c r="L104" i="5" s="1"/>
  <c r="L5" i="5" s="1"/>
  <c r="K95" i="5"/>
  <c r="K104" i="5" s="1"/>
  <c r="K5" i="5" s="1"/>
  <c r="J95" i="5"/>
  <c r="J104" i="5" s="1"/>
  <c r="J5" i="5" s="1"/>
  <c r="I95" i="5"/>
  <c r="I104" i="5" s="1"/>
  <c r="I5" i="5" s="1"/>
  <c r="H95" i="5"/>
  <c r="H104" i="5" s="1"/>
  <c r="H5" i="5" s="1"/>
  <c r="G95" i="5"/>
  <c r="G104" i="5" s="1"/>
  <c r="G5" i="5" s="1"/>
  <c r="F141" i="5"/>
  <c r="F114" i="5"/>
  <c r="F113" i="5"/>
  <c r="F118" i="5" s="1"/>
  <c r="F6" i="5" s="1"/>
  <c r="M141" i="5"/>
  <c r="M114" i="5"/>
  <c r="M118" i="5" s="1"/>
  <c r="M6" i="5" s="1"/>
  <c r="L141" i="5"/>
  <c r="L114" i="5"/>
  <c r="L118" i="5" s="1"/>
  <c r="L6" i="5" s="1"/>
  <c r="K141" i="5"/>
  <c r="K114" i="5"/>
  <c r="K118" i="5" s="1"/>
  <c r="K6" i="5" s="1"/>
  <c r="J141" i="5"/>
  <c r="J114" i="5"/>
  <c r="J118" i="5" s="1"/>
  <c r="J6" i="5" s="1"/>
  <c r="I141" i="5"/>
  <c r="I114" i="5"/>
  <c r="I118" i="5" s="1"/>
  <c r="I6" i="5" s="1"/>
  <c r="H141" i="5"/>
  <c r="H114" i="5"/>
  <c r="H118" i="5" s="1"/>
  <c r="H6" i="5" s="1"/>
  <c r="G141" i="5"/>
  <c r="G114" i="5"/>
  <c r="G118" i="5" s="1"/>
  <c r="G6" i="5" s="1"/>
  <c r="F145" i="5"/>
  <c r="F146" i="5"/>
  <c r="F144" i="5"/>
  <c r="F148" i="5" s="1"/>
  <c r="M145" i="5"/>
  <c r="M146" i="5"/>
  <c r="M144" i="5"/>
  <c r="M148" i="5" s="1"/>
  <c r="L145" i="5"/>
  <c r="L146" i="5"/>
  <c r="L144" i="5"/>
  <c r="L148" i="5" s="1"/>
  <c r="K145" i="5"/>
  <c r="K146" i="5"/>
  <c r="K144" i="5"/>
  <c r="K148" i="5" s="1"/>
  <c r="J145" i="5"/>
  <c r="J146" i="5"/>
  <c r="J144" i="5"/>
  <c r="J148" i="5" s="1"/>
  <c r="I145" i="5"/>
  <c r="I146" i="5"/>
  <c r="I144" i="5"/>
  <c r="I148" i="5" s="1"/>
  <c r="H145" i="5"/>
  <c r="H146" i="5"/>
  <c r="H144" i="5"/>
  <c r="H148" i="5" s="1"/>
  <c r="G145" i="5"/>
  <c r="G146" i="5"/>
  <c r="G144" i="5"/>
  <c r="G148" i="5" s="1"/>
  <c r="H36" i="5"/>
  <c r="G36" i="5"/>
  <c r="G23" i="5"/>
  <c r="F23" i="5"/>
  <c r="G22" i="5"/>
  <c r="F22" i="5"/>
  <c r="G20" i="5"/>
  <c r="F20" i="5"/>
  <c r="G57" i="5"/>
  <c r="H57" i="5"/>
  <c r="I57" i="5"/>
  <c r="I73" i="5" s="1"/>
  <c r="I4" i="5" s="1"/>
  <c r="F57" i="5"/>
  <c r="G60" i="5"/>
  <c r="H60" i="5"/>
  <c r="F60" i="5"/>
  <c r="F61" i="5"/>
  <c r="G61" i="5"/>
  <c r="H61" i="5"/>
  <c r="F63" i="5"/>
  <c r="G63" i="5"/>
  <c r="H63" i="5"/>
  <c r="F64" i="5"/>
  <c r="G64" i="5"/>
  <c r="H64" i="5"/>
  <c r="F65" i="5"/>
  <c r="G65" i="5"/>
  <c r="H65" i="5"/>
  <c r="F66" i="5"/>
  <c r="G66" i="5"/>
  <c r="H66" i="5"/>
  <c r="F67" i="5"/>
  <c r="G67" i="5"/>
  <c r="H67" i="5"/>
  <c r="F68" i="5"/>
  <c r="G68" i="5"/>
  <c r="H68" i="5"/>
  <c r="F69" i="5"/>
  <c r="G69" i="5"/>
  <c r="H69" i="5"/>
  <c r="F48" i="5"/>
  <c r="G48" i="5"/>
  <c r="H48" i="5"/>
  <c r="F47" i="5"/>
  <c r="G47" i="5"/>
  <c r="H47" i="5"/>
  <c r="F46" i="5"/>
  <c r="G46" i="5"/>
  <c r="H46" i="5"/>
  <c r="F44" i="5"/>
  <c r="G44" i="5"/>
  <c r="H44" i="5"/>
  <c r="F43" i="5"/>
  <c r="G43" i="5"/>
  <c r="H43" i="5"/>
  <c r="F42" i="5"/>
  <c r="G42" i="5"/>
  <c r="H42" i="5"/>
  <c r="F40" i="5"/>
  <c r="G40" i="5"/>
  <c r="H40" i="5"/>
  <c r="F39" i="5"/>
  <c r="G39" i="5"/>
  <c r="H39" i="5"/>
  <c r="F38" i="5"/>
  <c r="G38" i="5"/>
  <c r="H38" i="5"/>
  <c r="F37" i="5"/>
  <c r="G37" i="5"/>
  <c r="H37" i="5"/>
  <c r="F18" i="5"/>
  <c r="G18" i="5"/>
  <c r="H18" i="5"/>
  <c r="F17" i="5"/>
  <c r="G17" i="5"/>
  <c r="H17" i="5"/>
  <c r="F16" i="5"/>
  <c r="G16" i="5"/>
  <c r="H16" i="5"/>
  <c r="F15" i="5"/>
  <c r="G15" i="5"/>
  <c r="H15" i="5"/>
  <c r="D50" i="5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BE33" i="6"/>
  <c r="BF33" i="6"/>
  <c r="BG33" i="6"/>
  <c r="BH33" i="6"/>
  <c r="BI33" i="6"/>
  <c r="BJ33" i="6"/>
  <c r="BK33" i="6"/>
  <c r="BL33" i="6"/>
  <c r="BM33" i="6"/>
  <c r="AJ343" i="6"/>
  <c r="AJ255" i="6"/>
  <c r="E255" i="6" s="1"/>
  <c r="AK343" i="6"/>
  <c r="AK255" i="6"/>
  <c r="AL343" i="6"/>
  <c r="AL255" i="6"/>
  <c r="H40" i="6"/>
  <c r="S41" i="6"/>
  <c r="F63" i="6"/>
  <c r="G46" i="6"/>
  <c r="H67" i="6"/>
  <c r="M81" i="6"/>
  <c r="N81" i="6" s="1"/>
  <c r="O81" i="6" s="1"/>
  <c r="P81" i="6" s="1"/>
  <c r="Q81" i="6" s="1"/>
  <c r="R81" i="6" s="1"/>
  <c r="S81" i="6" s="1"/>
  <c r="T81" i="6" s="1"/>
  <c r="U81" i="6" s="1"/>
  <c r="V81" i="6" s="1"/>
  <c r="W81" i="6" s="1"/>
  <c r="X81" i="6" s="1"/>
  <c r="Y81" i="6" s="1"/>
  <c r="Z81" i="6" s="1"/>
  <c r="AA81" i="6" s="1"/>
  <c r="AB81" i="6" s="1"/>
  <c r="AC81" i="6" s="1"/>
  <c r="AD81" i="6" s="1"/>
  <c r="AE81" i="6" s="1"/>
  <c r="AF81" i="6" s="1"/>
  <c r="AG81" i="6" s="1"/>
  <c r="AH81" i="6" s="1"/>
  <c r="AI81" i="6" s="1"/>
  <c r="AJ81" i="6" s="1"/>
  <c r="AK81" i="6" s="1"/>
  <c r="AL81" i="6" s="1"/>
  <c r="AM81" i="6" s="1"/>
  <c r="AN81" i="6" s="1"/>
  <c r="AO81" i="6" s="1"/>
  <c r="AP81" i="6" s="1"/>
  <c r="AQ81" i="6" s="1"/>
  <c r="AR81" i="6" s="1"/>
  <c r="AS81" i="6" s="1"/>
  <c r="AT81" i="6" s="1"/>
  <c r="AU81" i="6" s="1"/>
  <c r="AV81" i="6" s="1"/>
  <c r="AW81" i="6" s="1"/>
  <c r="AX81" i="6" s="1"/>
  <c r="AY81" i="6" s="1"/>
  <c r="AZ81" i="6" s="1"/>
  <c r="BA81" i="6" s="1"/>
  <c r="BB81" i="6" s="1"/>
  <c r="BC81" i="6" s="1"/>
  <c r="BD81" i="6" s="1"/>
  <c r="BE81" i="6" s="1"/>
  <c r="BF81" i="6" s="1"/>
  <c r="BG81" i="6" s="1"/>
  <c r="BH81" i="6" s="1"/>
  <c r="BI81" i="6" s="1"/>
  <c r="BJ81" i="6" s="1"/>
  <c r="BK81" i="6" s="1"/>
  <c r="BL81" i="6" s="1"/>
  <c r="BM81" i="6" s="1"/>
  <c r="N79" i="6"/>
  <c r="F92" i="6"/>
  <c r="G81" i="6"/>
  <c r="G98" i="6"/>
  <c r="H95" i="6"/>
  <c r="J132" i="6"/>
  <c r="K130" i="6"/>
  <c r="F179" i="6"/>
  <c r="M225" i="6"/>
  <c r="N218" i="6"/>
  <c r="V225" i="6"/>
  <c r="W218" i="6"/>
  <c r="AH225" i="6"/>
  <c r="AI218" i="6"/>
  <c r="AT225" i="6"/>
  <c r="AU218" i="6"/>
  <c r="BF225" i="6"/>
  <c r="BG218" i="6"/>
  <c r="M251" i="6"/>
  <c r="N233" i="6"/>
  <c r="V251" i="6"/>
  <c r="W233" i="6"/>
  <c r="AI233" i="6"/>
  <c r="AU233" i="6"/>
  <c r="BG233" i="6"/>
  <c r="U251" i="6"/>
  <c r="AG251" i="6"/>
  <c r="AH234" i="6"/>
  <c r="F252" i="6"/>
  <c r="F253" i="6" s="1"/>
  <c r="F256" i="6" s="1"/>
  <c r="G252" i="6"/>
  <c r="G253" i="6" s="1"/>
  <c r="G256" i="6" s="1"/>
  <c r="H252" i="6"/>
  <c r="H253" i="6" s="1"/>
  <c r="H256" i="6" s="1"/>
  <c r="I252" i="6"/>
  <c r="I253" i="6" s="1"/>
  <c r="I256" i="6" s="1"/>
  <c r="J252" i="6"/>
  <c r="J253" i="6" s="1"/>
  <c r="J256" i="6" s="1"/>
  <c r="K252" i="6"/>
  <c r="K253" i="6" s="1"/>
  <c r="K256" i="6" s="1"/>
  <c r="L252" i="6"/>
  <c r="L253" i="6" s="1"/>
  <c r="L257" i="6" s="1"/>
  <c r="F308" i="6"/>
  <c r="F310" i="6" s="1"/>
  <c r="G307" i="6"/>
  <c r="F322" i="6"/>
  <c r="G319" i="6"/>
  <c r="H50" i="5" l="1"/>
  <c r="H3" i="5" s="1"/>
  <c r="G50" i="5"/>
  <c r="G3" i="5" s="1"/>
  <c r="F50" i="5"/>
  <c r="F3" i="5" s="1"/>
  <c r="D6" i="5"/>
  <c r="D5" i="5"/>
  <c r="D3" i="5"/>
  <c r="G150" i="5"/>
  <c r="G7" i="5" s="1"/>
  <c r="H150" i="5"/>
  <c r="H7" i="5" s="1"/>
  <c r="I150" i="5"/>
  <c r="I7" i="5" s="1"/>
  <c r="I9" i="5" s="1"/>
  <c r="J150" i="5"/>
  <c r="J7" i="5" s="1"/>
  <c r="J9" i="5" s="1"/>
  <c r="K150" i="5"/>
  <c r="K7" i="5" s="1"/>
  <c r="K9" i="5" s="1"/>
  <c r="L150" i="5"/>
  <c r="L7" i="5" s="1"/>
  <c r="L9" i="5" s="1"/>
  <c r="M150" i="5"/>
  <c r="M7" i="5" s="1"/>
  <c r="M9" i="5" s="1"/>
  <c r="F150" i="5"/>
  <c r="F7" i="5" s="1"/>
  <c r="D7" i="5" s="1"/>
  <c r="F71" i="5"/>
  <c r="F73" i="5" s="1"/>
  <c r="F4" i="5" s="1"/>
  <c r="H71" i="5"/>
  <c r="G71" i="5"/>
  <c r="G322" i="6"/>
  <c r="H319" i="6"/>
  <c r="G308" i="6"/>
  <c r="G310" i="6" s="1"/>
  <c r="H307" i="6"/>
  <c r="F343" i="6"/>
  <c r="F326" i="6"/>
  <c r="F325" i="6"/>
  <c r="F312" i="6"/>
  <c r="F313" i="6" s="1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L204" i="6"/>
  <c r="AI234" i="6"/>
  <c r="AJ234" i="6" s="1"/>
  <c r="AK234" i="6" s="1"/>
  <c r="AL234" i="6" s="1"/>
  <c r="AM234" i="6" s="1"/>
  <c r="AN234" i="6" s="1"/>
  <c r="AO234" i="6" s="1"/>
  <c r="AP234" i="6" s="1"/>
  <c r="AQ234" i="6" s="1"/>
  <c r="AR234" i="6" s="1"/>
  <c r="AS234" i="6" s="1"/>
  <c r="AH251" i="6"/>
  <c r="AG252" i="6"/>
  <c r="AG253" i="6" s="1"/>
  <c r="AG256" i="6" s="1"/>
  <c r="U252" i="6"/>
  <c r="U253" i="6" s="1"/>
  <c r="U256" i="6" s="1"/>
  <c r="BH233" i="6"/>
  <c r="AV233" i="6"/>
  <c r="AI251" i="6"/>
  <c r="AJ233" i="6"/>
  <c r="W251" i="6"/>
  <c r="X233" i="6"/>
  <c r="V252" i="6"/>
  <c r="V253" i="6" s="1"/>
  <c r="V256" i="6" s="1"/>
  <c r="N251" i="6"/>
  <c r="O233" i="6"/>
  <c r="M252" i="6"/>
  <c r="M253" i="6" s="1"/>
  <c r="M257" i="6" s="1"/>
  <c r="M204" i="6" s="1"/>
  <c r="BG225" i="6"/>
  <c r="BH218" i="6"/>
  <c r="AU225" i="6"/>
  <c r="AV218" i="6"/>
  <c r="AI225" i="6"/>
  <c r="AJ218" i="6"/>
  <c r="W225" i="6"/>
  <c r="X218" i="6"/>
  <c r="N225" i="6"/>
  <c r="O218" i="6"/>
  <c r="F210" i="6"/>
  <c r="K132" i="6"/>
  <c r="K167" i="6" s="1"/>
  <c r="K179" i="6" s="1"/>
  <c r="E130" i="6"/>
  <c r="J167" i="6"/>
  <c r="E132" i="6"/>
  <c r="H98" i="6"/>
  <c r="H210" i="6" s="1"/>
  <c r="I95" i="6"/>
  <c r="G210" i="6"/>
  <c r="H81" i="6"/>
  <c r="I81" i="6" s="1"/>
  <c r="J81" i="6" s="1"/>
  <c r="K81" i="6" s="1"/>
  <c r="L81" i="6" s="1"/>
  <c r="E81" i="6"/>
  <c r="G92" i="6"/>
  <c r="O79" i="6"/>
  <c r="P79" i="6" s="1"/>
  <c r="Q79" i="6" s="1"/>
  <c r="R79" i="6" s="1"/>
  <c r="S79" i="6" s="1"/>
  <c r="T79" i="6" s="1"/>
  <c r="U79" i="6" s="1"/>
  <c r="V79" i="6" s="1"/>
  <c r="W79" i="6" s="1"/>
  <c r="X79" i="6" s="1"/>
  <c r="Y79" i="6" s="1"/>
  <c r="Z79" i="6" s="1"/>
  <c r="AA79" i="6" s="1"/>
  <c r="AB79" i="6" s="1"/>
  <c r="AC79" i="6" s="1"/>
  <c r="AD79" i="6" s="1"/>
  <c r="AE79" i="6" s="1"/>
  <c r="AF79" i="6" s="1"/>
  <c r="AG79" i="6" s="1"/>
  <c r="AH79" i="6" s="1"/>
  <c r="AI79" i="6" s="1"/>
  <c r="AJ79" i="6" s="1"/>
  <c r="AK79" i="6" s="1"/>
  <c r="AL79" i="6" s="1"/>
  <c r="AM79" i="6" s="1"/>
  <c r="AN79" i="6" s="1"/>
  <c r="AO79" i="6" s="1"/>
  <c r="AP79" i="6" s="1"/>
  <c r="AQ79" i="6" s="1"/>
  <c r="AR79" i="6" s="1"/>
  <c r="AS79" i="6" s="1"/>
  <c r="AT79" i="6" s="1"/>
  <c r="AU79" i="6" s="1"/>
  <c r="AV79" i="6" s="1"/>
  <c r="AW79" i="6" s="1"/>
  <c r="AX79" i="6" s="1"/>
  <c r="AY79" i="6" s="1"/>
  <c r="AZ79" i="6" s="1"/>
  <c r="BA79" i="6" s="1"/>
  <c r="BB79" i="6" s="1"/>
  <c r="BC79" i="6" s="1"/>
  <c r="BD79" i="6" s="1"/>
  <c r="BE79" i="6" s="1"/>
  <c r="BF79" i="6" s="1"/>
  <c r="BG79" i="6" s="1"/>
  <c r="BH79" i="6" s="1"/>
  <c r="BI79" i="6" s="1"/>
  <c r="BJ79" i="6" s="1"/>
  <c r="BK79" i="6" s="1"/>
  <c r="BL79" i="6" s="1"/>
  <c r="BM79" i="6" s="1"/>
  <c r="E79" i="6"/>
  <c r="H92" i="6"/>
  <c r="I67" i="6"/>
  <c r="H46" i="6"/>
  <c r="I46" i="6" s="1"/>
  <c r="J46" i="6" s="1"/>
  <c r="K46" i="6" s="1"/>
  <c r="L46" i="6" s="1"/>
  <c r="M46" i="6" s="1"/>
  <c r="N46" i="6" s="1"/>
  <c r="O46" i="6" s="1"/>
  <c r="P46" i="6" s="1"/>
  <c r="Q46" i="6" s="1"/>
  <c r="R46" i="6" s="1"/>
  <c r="G63" i="6"/>
  <c r="T41" i="6"/>
  <c r="H63" i="6"/>
  <c r="I40" i="6"/>
  <c r="BM35" i="6"/>
  <c r="BL35" i="6"/>
  <c r="BK35" i="6"/>
  <c r="BJ35" i="6"/>
  <c r="BI35" i="6"/>
  <c r="BH35" i="6"/>
  <c r="BG35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E33" i="6"/>
  <c r="F9" i="5" l="1"/>
  <c r="E50" i="5"/>
  <c r="E35" i="6"/>
  <c r="D35" i="6" s="1"/>
  <c r="G73" i="5"/>
  <c r="G4" i="5" s="1"/>
  <c r="G9" i="5" s="1"/>
  <c r="H73" i="5"/>
  <c r="H4" i="5" s="1"/>
  <c r="H9" i="5" s="1"/>
  <c r="D73" i="5"/>
  <c r="I63" i="6"/>
  <c r="J40" i="6"/>
  <c r="U41" i="6"/>
  <c r="S46" i="6"/>
  <c r="R63" i="6"/>
  <c r="I92" i="6"/>
  <c r="J67" i="6"/>
  <c r="I98" i="6"/>
  <c r="J95" i="6"/>
  <c r="J179" i="6"/>
  <c r="E179" i="6" s="1"/>
  <c r="E167" i="6"/>
  <c r="O225" i="6"/>
  <c r="P218" i="6"/>
  <c r="X225" i="6"/>
  <c r="Y218" i="6"/>
  <c r="AJ225" i="6"/>
  <c r="AK218" i="6"/>
  <c r="AV225" i="6"/>
  <c r="AW218" i="6"/>
  <c r="BH225" i="6"/>
  <c r="BI218" i="6"/>
  <c r="O251" i="6"/>
  <c r="P233" i="6"/>
  <c r="N252" i="6"/>
  <c r="N253" i="6" s="1"/>
  <c r="N257" i="6" s="1"/>
  <c r="X251" i="6"/>
  <c r="Y233" i="6"/>
  <c r="W252" i="6"/>
  <c r="W253" i="6" s="1"/>
  <c r="W256" i="6" s="1"/>
  <c r="AJ251" i="6"/>
  <c r="AK233" i="6"/>
  <c r="AI252" i="6"/>
  <c r="AI253" i="6" s="1"/>
  <c r="AI256" i="6" s="1"/>
  <c r="AW233" i="6"/>
  <c r="BI233" i="6"/>
  <c r="AH252" i="6"/>
  <c r="AH253" i="6" s="1"/>
  <c r="AH256" i="6" s="1"/>
  <c r="AS251" i="6"/>
  <c r="AT234" i="6"/>
  <c r="F277" i="6"/>
  <c r="F302" i="6"/>
  <c r="F336" i="6"/>
  <c r="F316" i="6"/>
  <c r="F314" i="6"/>
  <c r="F347" i="6"/>
  <c r="F337" i="6"/>
  <c r="F338" i="6"/>
  <c r="H308" i="6"/>
  <c r="H310" i="6" s="1"/>
  <c r="I307" i="6"/>
  <c r="G343" i="6"/>
  <c r="G326" i="6"/>
  <c r="G338" i="6" s="1"/>
  <c r="G325" i="6"/>
  <c r="G312" i="6"/>
  <c r="G313" i="6" s="1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H322" i="6"/>
  <c r="I319" i="6"/>
  <c r="G277" i="6" l="1"/>
  <c r="G302" i="6"/>
  <c r="F15" i="6"/>
  <c r="N204" i="6"/>
  <c r="D4" i="5"/>
  <c r="D9" i="5" s="1"/>
  <c r="I322" i="6"/>
  <c r="J319" i="6"/>
  <c r="G336" i="6"/>
  <c r="G316" i="6"/>
  <c r="G314" i="6"/>
  <c r="G347" i="6"/>
  <c r="G337" i="6"/>
  <c r="I308" i="6"/>
  <c r="I310" i="6" s="1"/>
  <c r="J307" i="6"/>
  <c r="H343" i="6"/>
  <c r="H326" i="6"/>
  <c r="H338" i="6" s="1"/>
  <c r="H325" i="6"/>
  <c r="H312" i="6"/>
  <c r="H313" i="6" s="1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F339" i="6"/>
  <c r="F327" i="6"/>
  <c r="F16" i="6" s="1"/>
  <c r="AU234" i="6"/>
  <c r="AT251" i="6"/>
  <c r="AS252" i="6"/>
  <c r="AS253" i="6" s="1"/>
  <c r="AS256" i="6" s="1"/>
  <c r="BJ233" i="6"/>
  <c r="AX233" i="6"/>
  <c r="AK251" i="6"/>
  <c r="AL233" i="6"/>
  <c r="AJ252" i="6"/>
  <c r="AJ253" i="6" s="1"/>
  <c r="Y251" i="6"/>
  <c r="Z233" i="6"/>
  <c r="X252" i="6"/>
  <c r="X253" i="6" s="1"/>
  <c r="X256" i="6" s="1"/>
  <c r="P251" i="6"/>
  <c r="Q233" i="6"/>
  <c r="O252" i="6"/>
  <c r="O253" i="6" s="1"/>
  <c r="O256" i="6" s="1"/>
  <c r="BI225" i="6"/>
  <c r="BJ218" i="6"/>
  <c r="AW225" i="6"/>
  <c r="AX218" i="6"/>
  <c r="AK225" i="6"/>
  <c r="AL218" i="6"/>
  <c r="Y225" i="6"/>
  <c r="Z218" i="6"/>
  <c r="P225" i="6"/>
  <c r="Q218" i="6"/>
  <c r="J98" i="6"/>
  <c r="J210" i="6" s="1"/>
  <c r="K95" i="6"/>
  <c r="I210" i="6"/>
  <c r="J92" i="6"/>
  <c r="K67" i="6"/>
  <c r="T46" i="6"/>
  <c r="S63" i="6"/>
  <c r="V41" i="6"/>
  <c r="J63" i="6"/>
  <c r="K40" i="6"/>
  <c r="F14" i="6" l="1"/>
  <c r="H302" i="6"/>
  <c r="F13" i="6"/>
  <c r="H277" i="6"/>
  <c r="N208" i="6"/>
  <c r="E204" i="6"/>
  <c r="F10" i="6"/>
  <c r="F12" i="6"/>
  <c r="K63" i="6"/>
  <c r="L40" i="6"/>
  <c r="W41" i="6"/>
  <c r="U46" i="6"/>
  <c r="T63" i="6"/>
  <c r="K92" i="6"/>
  <c r="L67" i="6"/>
  <c r="K98" i="6"/>
  <c r="L95" i="6"/>
  <c r="Q225" i="6"/>
  <c r="R218" i="6"/>
  <c r="Z225" i="6"/>
  <c r="AA218" i="6"/>
  <c r="AL225" i="6"/>
  <c r="AM218" i="6"/>
  <c r="AX225" i="6"/>
  <c r="AY218" i="6"/>
  <c r="BJ225" i="6"/>
  <c r="BK218" i="6"/>
  <c r="Q251" i="6"/>
  <c r="R233" i="6"/>
  <c r="P252" i="6"/>
  <c r="P253" i="6" s="1"/>
  <c r="P256" i="6" s="1"/>
  <c r="Z251" i="6"/>
  <c r="AA233" i="6"/>
  <c r="Y252" i="6"/>
  <c r="Y253" i="6" s="1"/>
  <c r="Y256" i="6" s="1"/>
  <c r="AJ257" i="6"/>
  <c r="AJ256" i="6"/>
  <c r="AL251" i="6"/>
  <c r="AM233" i="6"/>
  <c r="AK252" i="6"/>
  <c r="AK253" i="6" s="1"/>
  <c r="AY233" i="6"/>
  <c r="BK233" i="6"/>
  <c r="AT252" i="6"/>
  <c r="AT253" i="6" s="1"/>
  <c r="AT256" i="6" s="1"/>
  <c r="AV234" i="6"/>
  <c r="AU251" i="6"/>
  <c r="H336" i="6"/>
  <c r="H316" i="6"/>
  <c r="H314" i="6"/>
  <c r="H347" i="6"/>
  <c r="H337" i="6"/>
  <c r="J308" i="6"/>
  <c r="J310" i="6" s="1"/>
  <c r="K307" i="6"/>
  <c r="I343" i="6"/>
  <c r="I326" i="6"/>
  <c r="I338" i="6" s="1"/>
  <c r="I325" i="6"/>
  <c r="I312" i="6"/>
  <c r="I313" i="6" s="1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G339" i="6"/>
  <c r="G327" i="6"/>
  <c r="G13" i="6" s="1"/>
  <c r="J322" i="6"/>
  <c r="K319" i="6"/>
  <c r="H12" i="6" l="1"/>
  <c r="H10" i="6"/>
  <c r="G10" i="6"/>
  <c r="F17" i="6"/>
  <c r="F18" i="6" s="1"/>
  <c r="G14" i="6"/>
  <c r="I277" i="6"/>
  <c r="I302" i="6"/>
  <c r="G15" i="6"/>
  <c r="G16" i="6"/>
  <c r="G12" i="6"/>
  <c r="K322" i="6"/>
  <c r="L319" i="6"/>
  <c r="I336" i="6"/>
  <c r="I316" i="6"/>
  <c r="I314" i="6"/>
  <c r="I347" i="6"/>
  <c r="I337" i="6"/>
  <c r="K308" i="6"/>
  <c r="K310" i="6" s="1"/>
  <c r="L307" i="6"/>
  <c r="J343" i="6"/>
  <c r="J326" i="6"/>
  <c r="J338" i="6" s="1"/>
  <c r="J325" i="6"/>
  <c r="J312" i="6"/>
  <c r="J313" i="6" s="1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H339" i="6"/>
  <c r="H327" i="6"/>
  <c r="AU252" i="6"/>
  <c r="AU253" i="6" s="1"/>
  <c r="AU256" i="6" s="1"/>
  <c r="AW234" i="6"/>
  <c r="AV251" i="6"/>
  <c r="BL233" i="6"/>
  <c r="AZ233" i="6"/>
  <c r="AK257" i="6"/>
  <c r="AK256" i="6"/>
  <c r="AM251" i="6"/>
  <c r="AN233" i="6"/>
  <c r="AL252" i="6"/>
  <c r="AL253" i="6" s="1"/>
  <c r="AA251" i="6"/>
  <c r="AB233" i="6"/>
  <c r="Z252" i="6"/>
  <c r="Z253" i="6" s="1"/>
  <c r="Z256" i="6" s="1"/>
  <c r="R251" i="6"/>
  <c r="S233" i="6"/>
  <c r="Q252" i="6"/>
  <c r="Q253" i="6" s="1"/>
  <c r="Q256" i="6" s="1"/>
  <c r="BK225" i="6"/>
  <c r="BL218" i="6"/>
  <c r="AY225" i="6"/>
  <c r="AZ218" i="6"/>
  <c r="AM225" i="6"/>
  <c r="AN218" i="6"/>
  <c r="AA225" i="6"/>
  <c r="AB218" i="6"/>
  <c r="R225" i="6"/>
  <c r="S218" i="6"/>
  <c r="L98" i="6"/>
  <c r="M95" i="6"/>
  <c r="K210" i="6"/>
  <c r="L92" i="6"/>
  <c r="M67" i="6"/>
  <c r="V46" i="6"/>
  <c r="U63" i="6"/>
  <c r="X41" i="6"/>
  <c r="L63" i="6"/>
  <c r="M40" i="6"/>
  <c r="G17" i="6" l="1"/>
  <c r="G18" i="6" s="1"/>
  <c r="H16" i="6"/>
  <c r="H15" i="6"/>
  <c r="H14" i="6"/>
  <c r="H13" i="6"/>
  <c r="H17" i="6" s="1"/>
  <c r="J302" i="6"/>
  <c r="J277" i="6"/>
  <c r="M63" i="6"/>
  <c r="N40" i="6"/>
  <c r="Y41" i="6"/>
  <c r="W46" i="6"/>
  <c r="V63" i="6"/>
  <c r="M92" i="6"/>
  <c r="N67" i="6"/>
  <c r="M98" i="6"/>
  <c r="N95" i="6"/>
  <c r="S225" i="6"/>
  <c r="T218" i="6"/>
  <c r="AB225" i="6"/>
  <c r="AC218" i="6"/>
  <c r="AN225" i="6"/>
  <c r="AO218" i="6"/>
  <c r="AZ225" i="6"/>
  <c r="BA218" i="6"/>
  <c r="BL225" i="6"/>
  <c r="BM218" i="6"/>
  <c r="BM225" i="6" s="1"/>
  <c r="S251" i="6"/>
  <c r="T233" i="6"/>
  <c r="T251" i="6" s="1"/>
  <c r="R252" i="6"/>
  <c r="R253" i="6" s="1"/>
  <c r="R256" i="6" s="1"/>
  <c r="AB251" i="6"/>
  <c r="AC233" i="6"/>
  <c r="AA252" i="6"/>
  <c r="AA253" i="6" s="1"/>
  <c r="AA256" i="6" s="1"/>
  <c r="AL257" i="6"/>
  <c r="E257" i="6" s="1"/>
  <c r="AL256" i="6"/>
  <c r="AN251" i="6"/>
  <c r="AO233" i="6"/>
  <c r="AM252" i="6"/>
  <c r="AM253" i="6" s="1"/>
  <c r="AM256" i="6" s="1"/>
  <c r="BA233" i="6"/>
  <c r="BM233" i="6"/>
  <c r="AV252" i="6"/>
  <c r="AV253" i="6" s="1"/>
  <c r="AV256" i="6" s="1"/>
  <c r="AX234" i="6"/>
  <c r="AW251" i="6"/>
  <c r="J336" i="6"/>
  <c r="J316" i="6"/>
  <c r="J314" i="6"/>
  <c r="J347" i="6"/>
  <c r="J337" i="6"/>
  <c r="L308" i="6"/>
  <c r="L310" i="6" s="1"/>
  <c r="M307" i="6"/>
  <c r="K343" i="6"/>
  <c r="K326" i="6"/>
  <c r="K338" i="6" s="1"/>
  <c r="K325" i="6"/>
  <c r="K312" i="6"/>
  <c r="K313" i="6" s="1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I339" i="6"/>
  <c r="I327" i="6"/>
  <c r="L322" i="6"/>
  <c r="M319" i="6"/>
  <c r="H18" i="6" l="1"/>
  <c r="K277" i="6"/>
  <c r="K302" i="6"/>
  <c r="I16" i="6"/>
  <c r="I14" i="6"/>
  <c r="I15" i="6"/>
  <c r="I13" i="6"/>
  <c r="I12" i="6"/>
  <c r="I10" i="6"/>
  <c r="M322" i="6"/>
  <c r="N319" i="6"/>
  <c r="K336" i="6"/>
  <c r="K316" i="6"/>
  <c r="K314" i="6"/>
  <c r="K347" i="6"/>
  <c r="K337" i="6"/>
  <c r="M308" i="6"/>
  <c r="M310" i="6" s="1"/>
  <c r="N307" i="6"/>
  <c r="L344" i="6"/>
  <c r="L207" i="6" s="1"/>
  <c r="L326" i="6"/>
  <c r="L325" i="6"/>
  <c r="L312" i="6"/>
  <c r="L313" i="6" s="1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J339" i="6"/>
  <c r="J327" i="6"/>
  <c r="AW252" i="6"/>
  <c r="AW253" i="6" s="1"/>
  <c r="AW256" i="6" s="1"/>
  <c r="AY234" i="6"/>
  <c r="AX251" i="6"/>
  <c r="BB233" i="6"/>
  <c r="AO251" i="6"/>
  <c r="AP233" i="6"/>
  <c r="AN252" i="6"/>
  <c r="AN253" i="6" s="1"/>
  <c r="AN256" i="6" s="1"/>
  <c r="AC251" i="6"/>
  <c r="AD233" i="6"/>
  <c r="AB252" i="6"/>
  <c r="AB253" i="6" s="1"/>
  <c r="AB256" i="6" s="1"/>
  <c r="T252" i="6"/>
  <c r="T253" i="6" s="1"/>
  <c r="T256" i="6" s="1"/>
  <c r="S252" i="6"/>
  <c r="S253" i="6" s="1"/>
  <c r="S256" i="6" s="1"/>
  <c r="BA225" i="6"/>
  <c r="BB218" i="6"/>
  <c r="AO225" i="6"/>
  <c r="AP218" i="6"/>
  <c r="AC225" i="6"/>
  <c r="AD218" i="6"/>
  <c r="T225" i="6"/>
  <c r="N98" i="6"/>
  <c r="N210" i="6" s="1"/>
  <c r="E95" i="6"/>
  <c r="E98" i="6"/>
  <c r="N92" i="6"/>
  <c r="O67" i="6"/>
  <c r="X46" i="6"/>
  <c r="W63" i="6"/>
  <c r="Z41" i="6"/>
  <c r="N63" i="6"/>
  <c r="O40" i="6"/>
  <c r="L278" i="6" l="1"/>
  <c r="I17" i="6"/>
  <c r="L338" i="6"/>
  <c r="E207" i="6"/>
  <c r="L208" i="6"/>
  <c r="I18" i="6"/>
  <c r="J12" i="6"/>
  <c r="J10" i="6"/>
  <c r="J16" i="6"/>
  <c r="J14" i="6"/>
  <c r="J13" i="6"/>
  <c r="J15" i="6"/>
  <c r="L303" i="6"/>
  <c r="O63" i="6"/>
  <c r="P40" i="6"/>
  <c r="AA41" i="6"/>
  <c r="Y46" i="6"/>
  <c r="X63" i="6"/>
  <c r="O92" i="6"/>
  <c r="P67" i="6"/>
  <c r="AD225" i="6"/>
  <c r="AE218" i="6"/>
  <c r="AP225" i="6"/>
  <c r="AQ218" i="6"/>
  <c r="BB225" i="6"/>
  <c r="BC218" i="6"/>
  <c r="AD251" i="6"/>
  <c r="AE233" i="6"/>
  <c r="AC252" i="6"/>
  <c r="AC253" i="6" s="1"/>
  <c r="AC256" i="6" s="1"/>
  <c r="AP251" i="6"/>
  <c r="AQ233" i="6"/>
  <c r="AO252" i="6"/>
  <c r="AO253" i="6" s="1"/>
  <c r="AO256" i="6" s="1"/>
  <c r="BC233" i="6"/>
  <c r="AX252" i="6"/>
  <c r="AX253" i="6" s="1"/>
  <c r="AX256" i="6" s="1"/>
  <c r="AZ234" i="6"/>
  <c r="AY251" i="6"/>
  <c r="L336" i="6"/>
  <c r="L316" i="6"/>
  <c r="L314" i="6"/>
  <c r="L347" i="6"/>
  <c r="L348" i="6" s="1"/>
  <c r="L337" i="6"/>
  <c r="N308" i="6"/>
  <c r="N310" i="6" s="1"/>
  <c r="O307" i="6"/>
  <c r="M344" i="6"/>
  <c r="M326" i="6"/>
  <c r="M338" i="6" s="1"/>
  <c r="M325" i="6"/>
  <c r="M312" i="6"/>
  <c r="M313" i="6" s="1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K339" i="6"/>
  <c r="K327" i="6"/>
  <c r="K16" i="6" s="1"/>
  <c r="N322" i="6"/>
  <c r="O319" i="6"/>
  <c r="L210" i="6" l="1"/>
  <c r="K14" i="6"/>
  <c r="K15" i="6"/>
  <c r="J18" i="6"/>
  <c r="M303" i="6"/>
  <c r="M206" i="6" s="1"/>
  <c r="M278" i="6"/>
  <c r="L10" i="6"/>
  <c r="K10" i="6"/>
  <c r="K13" i="6"/>
  <c r="L13" i="6"/>
  <c r="J17" i="6"/>
  <c r="L15" i="6"/>
  <c r="L12" i="6"/>
  <c r="L16" i="6"/>
  <c r="L14" i="6"/>
  <c r="K12" i="6"/>
  <c r="O322" i="6"/>
  <c r="P319" i="6"/>
  <c r="M336" i="6"/>
  <c r="M316" i="6"/>
  <c r="M314" i="6"/>
  <c r="M347" i="6"/>
  <c r="M348" i="6" s="1"/>
  <c r="M337" i="6"/>
  <c r="O308" i="6"/>
  <c r="O310" i="6" s="1"/>
  <c r="P307" i="6"/>
  <c r="N344" i="6"/>
  <c r="N327" i="6"/>
  <c r="N339" i="6" s="1"/>
  <c r="N326" i="6"/>
  <c r="N338" i="6" s="1"/>
  <c r="N325" i="6"/>
  <c r="N312" i="6"/>
  <c r="N313" i="6" s="1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L339" i="6"/>
  <c r="L327" i="6"/>
  <c r="AY252" i="6"/>
  <c r="AY253" i="6" s="1"/>
  <c r="AY256" i="6" s="1"/>
  <c r="BA234" i="6"/>
  <c r="AZ251" i="6"/>
  <c r="BD233" i="6"/>
  <c r="AQ251" i="6"/>
  <c r="AR233" i="6"/>
  <c r="AR251" i="6" s="1"/>
  <c r="AP252" i="6"/>
  <c r="AP253" i="6" s="1"/>
  <c r="AP256" i="6" s="1"/>
  <c r="AE251" i="6"/>
  <c r="AF233" i="6"/>
  <c r="AF251" i="6" s="1"/>
  <c r="AD252" i="6"/>
  <c r="AD253" i="6" s="1"/>
  <c r="AD256" i="6" s="1"/>
  <c r="BC225" i="6"/>
  <c r="BD218" i="6"/>
  <c r="BD225" i="6" s="1"/>
  <c r="AQ225" i="6"/>
  <c r="AR218" i="6"/>
  <c r="AR225" i="6" s="1"/>
  <c r="AE225" i="6"/>
  <c r="AF218" i="6"/>
  <c r="AF225" i="6" s="1"/>
  <c r="E218" i="6"/>
  <c r="E225" i="6"/>
  <c r="P92" i="6"/>
  <c r="Q67" i="6"/>
  <c r="Z46" i="6"/>
  <c r="Y63" i="6"/>
  <c r="AB41" i="6"/>
  <c r="P63" i="6"/>
  <c r="Q40" i="6"/>
  <c r="Q63" i="6" s="1"/>
  <c r="E40" i="6"/>
  <c r="L17" i="6" l="1"/>
  <c r="K17" i="6"/>
  <c r="N278" i="6"/>
  <c r="E206" i="6"/>
  <c r="M208" i="6"/>
  <c r="K18" i="6"/>
  <c r="L18" i="6" s="1"/>
  <c r="N303" i="6"/>
  <c r="AC41" i="6"/>
  <c r="AA46" i="6"/>
  <c r="Z63" i="6"/>
  <c r="Q92" i="6"/>
  <c r="R67" i="6"/>
  <c r="AF252" i="6"/>
  <c r="AF253" i="6" s="1"/>
  <c r="AF256" i="6" s="1"/>
  <c r="AE252" i="6"/>
  <c r="AE253" i="6" s="1"/>
  <c r="AE256" i="6" s="1"/>
  <c r="AR252" i="6"/>
  <c r="AR253" i="6" s="1"/>
  <c r="AR256" i="6" s="1"/>
  <c r="AQ252" i="6"/>
  <c r="AQ253" i="6" s="1"/>
  <c r="AQ256" i="6" s="1"/>
  <c r="AZ252" i="6"/>
  <c r="AZ253" i="6" s="1"/>
  <c r="AZ256" i="6" s="1"/>
  <c r="BB234" i="6"/>
  <c r="BA251" i="6"/>
  <c r="N336" i="6"/>
  <c r="N316" i="6"/>
  <c r="N314" i="6"/>
  <c r="N12" i="6" s="1"/>
  <c r="N347" i="6"/>
  <c r="N348" i="6" s="1"/>
  <c r="N337" i="6"/>
  <c r="P308" i="6"/>
  <c r="P310" i="6" s="1"/>
  <c r="Q307" i="6"/>
  <c r="O343" i="6"/>
  <c r="O327" i="6"/>
  <c r="O339" i="6" s="1"/>
  <c r="O326" i="6"/>
  <c r="O338" i="6" s="1"/>
  <c r="O325" i="6"/>
  <c r="O312" i="6"/>
  <c r="O313" i="6" s="1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77" i="6" s="1"/>
  <c r="M339" i="6"/>
  <c r="M327" i="6"/>
  <c r="P322" i="6"/>
  <c r="Q319" i="6"/>
  <c r="O302" i="6" l="1"/>
  <c r="N15" i="6"/>
  <c r="N16" i="6"/>
  <c r="N14" i="6"/>
  <c r="N11" i="6"/>
  <c r="N10" i="6"/>
  <c r="N13" i="6"/>
  <c r="M210" i="6"/>
  <c r="E208" i="6"/>
  <c r="Q322" i="6"/>
  <c r="R319" i="6"/>
  <c r="O336" i="6"/>
  <c r="O316" i="6"/>
  <c r="O314" i="6"/>
  <c r="O347" i="6"/>
  <c r="O348" i="6" s="1"/>
  <c r="O337" i="6"/>
  <c r="Q308" i="6"/>
  <c r="Q310" i="6" s="1"/>
  <c r="R307" i="6"/>
  <c r="P343" i="6"/>
  <c r="P327" i="6"/>
  <c r="P339" i="6" s="1"/>
  <c r="P326" i="6"/>
  <c r="P338" i="6" s="1"/>
  <c r="P325" i="6"/>
  <c r="P312" i="6"/>
  <c r="P313" i="6" s="1"/>
  <c r="P301" i="6"/>
  <c r="P300" i="6"/>
  <c r="P299" i="6"/>
  <c r="P298" i="6"/>
  <c r="P297" i="6"/>
  <c r="P296" i="6"/>
  <c r="P295" i="6"/>
  <c r="P294" i="6"/>
  <c r="P293" i="6"/>
  <c r="P292" i="6"/>
  <c r="P291" i="6"/>
  <c r="P290" i="6"/>
  <c r="P289" i="6"/>
  <c r="P288" i="6"/>
  <c r="P287" i="6"/>
  <c r="P286" i="6"/>
  <c r="P285" i="6"/>
  <c r="P284" i="6"/>
  <c r="P283" i="6"/>
  <c r="P282" i="6"/>
  <c r="P275" i="6"/>
  <c r="P274" i="6"/>
  <c r="P273" i="6"/>
  <c r="P272" i="6"/>
  <c r="P271" i="6"/>
  <c r="P270" i="6"/>
  <c r="P269" i="6"/>
  <c r="P268" i="6"/>
  <c r="P267" i="6"/>
  <c r="P266" i="6"/>
  <c r="P265" i="6"/>
  <c r="P264" i="6"/>
  <c r="BA252" i="6"/>
  <c r="BA253" i="6" s="1"/>
  <c r="BA256" i="6" s="1"/>
  <c r="BC234" i="6"/>
  <c r="BB251" i="6"/>
  <c r="R92" i="6"/>
  <c r="S67" i="6"/>
  <c r="AB46" i="6"/>
  <c r="AA63" i="6"/>
  <c r="AD41" i="6"/>
  <c r="N17" i="6" l="1"/>
  <c r="M12" i="6"/>
  <c r="M15" i="6"/>
  <c r="M10" i="6"/>
  <c r="M14" i="6"/>
  <c r="M13" i="6"/>
  <c r="M16" i="6"/>
  <c r="E210" i="6"/>
  <c r="O213" i="6" s="1"/>
  <c r="P302" i="6"/>
  <c r="P277" i="6"/>
  <c r="AE41" i="6"/>
  <c r="AC46" i="6"/>
  <c r="AB63" i="6"/>
  <c r="S92" i="6"/>
  <c r="T67" i="6"/>
  <c r="BB252" i="6"/>
  <c r="BB253" i="6" s="1"/>
  <c r="BB256" i="6" s="1"/>
  <c r="BD234" i="6"/>
  <c r="BC251" i="6"/>
  <c r="P336" i="6"/>
  <c r="P316" i="6"/>
  <c r="P314" i="6"/>
  <c r="P347" i="6"/>
  <c r="P348" i="6" s="1"/>
  <c r="P337" i="6"/>
  <c r="R308" i="6"/>
  <c r="R310" i="6" s="1"/>
  <c r="S307" i="6"/>
  <c r="Q343" i="6"/>
  <c r="Q327" i="6"/>
  <c r="Q339" i="6" s="1"/>
  <c r="Q326" i="6"/>
  <c r="Q338" i="6" s="1"/>
  <c r="Q325" i="6"/>
  <c r="Q312" i="6"/>
  <c r="Q313" i="6" s="1"/>
  <c r="Q301" i="6"/>
  <c r="Q300" i="6"/>
  <c r="Q299" i="6"/>
  <c r="Q298" i="6"/>
  <c r="Q297" i="6"/>
  <c r="Q296" i="6"/>
  <c r="Q295" i="6"/>
  <c r="Q294" i="6"/>
  <c r="Q293" i="6"/>
  <c r="Q292" i="6"/>
  <c r="Q291" i="6"/>
  <c r="Q290" i="6"/>
  <c r="Q289" i="6"/>
  <c r="Q288" i="6"/>
  <c r="Q287" i="6"/>
  <c r="Q286" i="6"/>
  <c r="Q285" i="6"/>
  <c r="Q284" i="6"/>
  <c r="Q283" i="6"/>
  <c r="Q282" i="6"/>
  <c r="Q275" i="6"/>
  <c r="Q274" i="6"/>
  <c r="Q273" i="6"/>
  <c r="Q272" i="6"/>
  <c r="Q271" i="6"/>
  <c r="Q270" i="6"/>
  <c r="Q269" i="6"/>
  <c r="Q268" i="6"/>
  <c r="Q267" i="6"/>
  <c r="Q266" i="6"/>
  <c r="Q265" i="6"/>
  <c r="Q264" i="6"/>
  <c r="R322" i="6"/>
  <c r="S319" i="6"/>
  <c r="Q302" i="6" l="1"/>
  <c r="P213" i="6"/>
  <c r="O14" i="6"/>
  <c r="O11" i="6"/>
  <c r="O13" i="6"/>
  <c r="O15" i="6"/>
  <c r="O16" i="6" a="1"/>
  <c r="O16" i="6" s="1"/>
  <c r="O10" i="6"/>
  <c r="O12" i="6"/>
  <c r="Q277" i="6"/>
  <c r="M17" i="6"/>
  <c r="M18" i="6" s="1"/>
  <c r="N18" i="6" s="1"/>
  <c r="S322" i="6"/>
  <c r="T319" i="6"/>
  <c r="Q336" i="6"/>
  <c r="Q316" i="6"/>
  <c r="Q314" i="6"/>
  <c r="Q347" i="6"/>
  <c r="Q348" i="6" s="1"/>
  <c r="Q337" i="6"/>
  <c r="S308" i="6"/>
  <c r="S310" i="6" s="1"/>
  <c r="T307" i="6"/>
  <c r="R343" i="6"/>
  <c r="R327" i="6"/>
  <c r="R339" i="6" s="1"/>
  <c r="R326" i="6"/>
  <c r="R338" i="6" s="1"/>
  <c r="R325" i="6"/>
  <c r="R312" i="6"/>
  <c r="R313" i="6" s="1"/>
  <c r="R301" i="6"/>
  <c r="R300" i="6"/>
  <c r="R299" i="6"/>
  <c r="R298" i="6"/>
  <c r="R297" i="6"/>
  <c r="R296" i="6"/>
  <c r="R295" i="6"/>
  <c r="R294" i="6"/>
  <c r="R293" i="6"/>
  <c r="R292" i="6"/>
  <c r="R291" i="6"/>
  <c r="R290" i="6"/>
  <c r="R289" i="6"/>
  <c r="R288" i="6"/>
  <c r="R287" i="6"/>
  <c r="R286" i="6"/>
  <c r="R285" i="6"/>
  <c r="R284" i="6"/>
  <c r="R283" i="6"/>
  <c r="R282" i="6"/>
  <c r="R275" i="6"/>
  <c r="R274" i="6"/>
  <c r="R273" i="6"/>
  <c r="R272" i="6"/>
  <c r="R271" i="6"/>
  <c r="R270" i="6"/>
  <c r="R269" i="6"/>
  <c r="R268" i="6"/>
  <c r="R267" i="6"/>
  <c r="R266" i="6"/>
  <c r="R265" i="6"/>
  <c r="R264" i="6"/>
  <c r="BC252" i="6"/>
  <c r="BC253" i="6" s="1"/>
  <c r="BC256" i="6" s="1"/>
  <c r="BE234" i="6"/>
  <c r="BD251" i="6"/>
  <c r="T92" i="6"/>
  <c r="U67" i="6"/>
  <c r="AD46" i="6"/>
  <c r="AC63" i="6"/>
  <c r="AF41" i="6"/>
  <c r="O17" i="6" l="1"/>
  <c r="O18" i="6" s="1"/>
  <c r="P18" i="6" s="1"/>
  <c r="Q213" i="6"/>
  <c r="P14" i="6"/>
  <c r="P16" i="6"/>
  <c r="P12" i="6"/>
  <c r="P13" i="6"/>
  <c r="P10" i="6"/>
  <c r="P17" i="6" s="1"/>
  <c r="P15" i="6"/>
  <c r="R302" i="6"/>
  <c r="R277" i="6"/>
  <c r="AG41" i="6"/>
  <c r="AE46" i="6"/>
  <c r="AD63" i="6"/>
  <c r="U92" i="6"/>
  <c r="V67" i="6"/>
  <c r="BD252" i="6"/>
  <c r="BD253" i="6" s="1"/>
  <c r="BD256" i="6" s="1"/>
  <c r="BE251" i="6"/>
  <c r="BF234" i="6"/>
  <c r="R336" i="6"/>
  <c r="R316" i="6"/>
  <c r="R314" i="6"/>
  <c r="R347" i="6"/>
  <c r="R348" i="6" s="1"/>
  <c r="R337" i="6"/>
  <c r="T308" i="6"/>
  <c r="T310" i="6" s="1"/>
  <c r="U307" i="6"/>
  <c r="S343" i="6"/>
  <c r="S327" i="6"/>
  <c r="S339" i="6" s="1"/>
  <c r="S326" i="6"/>
  <c r="S338" i="6" s="1"/>
  <c r="S325" i="6"/>
  <c r="S312" i="6"/>
  <c r="S313" i="6" s="1"/>
  <c r="S301" i="6"/>
  <c r="S300" i="6"/>
  <c r="S299" i="6"/>
  <c r="S298" i="6"/>
  <c r="S297" i="6"/>
  <c r="S296" i="6"/>
  <c r="S295" i="6"/>
  <c r="S294" i="6"/>
  <c r="S293" i="6"/>
  <c r="S292" i="6"/>
  <c r="S291" i="6"/>
  <c r="S290" i="6"/>
  <c r="S289" i="6"/>
  <c r="S288" i="6"/>
  <c r="S287" i="6"/>
  <c r="S286" i="6"/>
  <c r="S285" i="6"/>
  <c r="S284" i="6"/>
  <c r="S283" i="6"/>
  <c r="S282" i="6"/>
  <c r="S275" i="6"/>
  <c r="S274" i="6"/>
  <c r="S273" i="6"/>
  <c r="S272" i="6"/>
  <c r="S271" i="6"/>
  <c r="S270" i="6"/>
  <c r="S269" i="6"/>
  <c r="S268" i="6"/>
  <c r="S267" i="6"/>
  <c r="S266" i="6"/>
  <c r="S265" i="6"/>
  <c r="S264" i="6"/>
  <c r="T322" i="6"/>
  <c r="U319" i="6"/>
  <c r="S277" i="6" l="1"/>
  <c r="S302" i="6"/>
  <c r="R213" i="6"/>
  <c r="Q11" i="6"/>
  <c r="Q10" i="6"/>
  <c r="Q16" i="6"/>
  <c r="Q15" i="6"/>
  <c r="Q12" i="6"/>
  <c r="Q13" i="6"/>
  <c r="Q14" i="6"/>
  <c r="U322" i="6"/>
  <c r="V319" i="6"/>
  <c r="S336" i="6"/>
  <c r="S316" i="6"/>
  <c r="S314" i="6"/>
  <c r="S347" i="6"/>
  <c r="S348" i="6" s="1"/>
  <c r="S337" i="6"/>
  <c r="U308" i="6"/>
  <c r="U310" i="6" s="1"/>
  <c r="V307" i="6"/>
  <c r="T343" i="6"/>
  <c r="T327" i="6"/>
  <c r="T339" i="6" s="1"/>
  <c r="T326" i="6"/>
  <c r="T338" i="6" s="1"/>
  <c r="T325" i="6"/>
  <c r="T312" i="6"/>
  <c r="T313" i="6" s="1"/>
  <c r="T301" i="6"/>
  <c r="T300" i="6"/>
  <c r="T299" i="6"/>
  <c r="T298" i="6"/>
  <c r="T297" i="6"/>
  <c r="T296" i="6"/>
  <c r="T295" i="6"/>
  <c r="T294" i="6"/>
  <c r="T293" i="6"/>
  <c r="T292" i="6"/>
  <c r="T291" i="6"/>
  <c r="T290" i="6"/>
  <c r="T289" i="6"/>
  <c r="T288" i="6"/>
  <c r="T287" i="6"/>
  <c r="T286" i="6"/>
  <c r="T285" i="6"/>
  <c r="T284" i="6"/>
  <c r="T283" i="6"/>
  <c r="T282" i="6"/>
  <c r="T275" i="6"/>
  <c r="T274" i="6"/>
  <c r="T273" i="6"/>
  <c r="T272" i="6"/>
  <c r="T271" i="6"/>
  <c r="T270" i="6"/>
  <c r="T269" i="6"/>
  <c r="T268" i="6"/>
  <c r="T267" i="6"/>
  <c r="T266" i="6"/>
  <c r="T265" i="6"/>
  <c r="T264" i="6"/>
  <c r="BG234" i="6"/>
  <c r="BF251" i="6"/>
  <c r="BE252" i="6"/>
  <c r="BE253" i="6" s="1"/>
  <c r="BE256" i="6" s="1"/>
  <c r="V92" i="6"/>
  <c r="W67" i="6"/>
  <c r="AF46" i="6"/>
  <c r="AE63" i="6"/>
  <c r="AH41" i="6"/>
  <c r="S213" i="6" l="1"/>
  <c r="R12" i="6"/>
  <c r="R16" i="6"/>
  <c r="R13" i="6"/>
  <c r="R10" i="6"/>
  <c r="R11" i="6"/>
  <c r="R15" i="6"/>
  <c r="R14" i="6"/>
  <c r="Q17" i="6"/>
  <c r="Q18" i="6" s="1"/>
  <c r="T302" i="6"/>
  <c r="T277" i="6"/>
  <c r="AI41" i="6"/>
  <c r="AG46" i="6"/>
  <c r="AF63" i="6"/>
  <c r="W92" i="6"/>
  <c r="X67" i="6"/>
  <c r="BF252" i="6"/>
  <c r="BF253" i="6" s="1"/>
  <c r="BF256" i="6" s="1"/>
  <c r="BH234" i="6"/>
  <c r="BG251" i="6"/>
  <c r="T336" i="6"/>
  <c r="T316" i="6"/>
  <c r="T314" i="6"/>
  <c r="T347" i="6"/>
  <c r="T348" i="6" s="1"/>
  <c r="T337" i="6"/>
  <c r="V308" i="6"/>
  <c r="V310" i="6" s="1"/>
  <c r="W307" i="6"/>
  <c r="U343" i="6"/>
  <c r="U327" i="6"/>
  <c r="U339" i="6" s="1"/>
  <c r="U326" i="6"/>
  <c r="U338" i="6" s="1"/>
  <c r="U325" i="6"/>
  <c r="U312" i="6"/>
  <c r="U313" i="6" s="1"/>
  <c r="U301" i="6"/>
  <c r="U300" i="6"/>
  <c r="U299" i="6"/>
  <c r="U298" i="6"/>
  <c r="U297" i="6"/>
  <c r="U296" i="6"/>
  <c r="U295" i="6"/>
  <c r="U294" i="6"/>
  <c r="U293" i="6"/>
  <c r="U292" i="6"/>
  <c r="U291" i="6"/>
  <c r="U290" i="6"/>
  <c r="U289" i="6"/>
  <c r="U288" i="6"/>
  <c r="U287" i="6"/>
  <c r="U286" i="6"/>
  <c r="U285" i="6"/>
  <c r="U284" i="6"/>
  <c r="U283" i="6"/>
  <c r="U282" i="6"/>
  <c r="U275" i="6"/>
  <c r="U274" i="6"/>
  <c r="U273" i="6"/>
  <c r="U272" i="6"/>
  <c r="U271" i="6"/>
  <c r="U270" i="6"/>
  <c r="U269" i="6"/>
  <c r="U268" i="6"/>
  <c r="U267" i="6"/>
  <c r="U266" i="6"/>
  <c r="U265" i="6"/>
  <c r="U264" i="6"/>
  <c r="V322" i="6"/>
  <c r="W319" i="6"/>
  <c r="U302" i="6" l="1"/>
  <c r="U277" i="6"/>
  <c r="R17" i="6"/>
  <c r="R18" i="6" s="1"/>
  <c r="S18" i="6" s="1"/>
  <c r="T213" i="6"/>
  <c r="S10" i="6"/>
  <c r="S17" i="6" s="1"/>
  <c r="S16" i="6"/>
  <c r="S11" i="6"/>
  <c r="S15" i="6"/>
  <c r="S13" i="6"/>
  <c r="S12" i="6"/>
  <c r="S14" i="6"/>
  <c r="W322" i="6"/>
  <c r="X319" i="6"/>
  <c r="U336" i="6"/>
  <c r="U316" i="6"/>
  <c r="U314" i="6"/>
  <c r="U347" i="6"/>
  <c r="U348" i="6" s="1"/>
  <c r="U337" i="6"/>
  <c r="W308" i="6"/>
  <c r="W310" i="6" s="1"/>
  <c r="X307" i="6"/>
  <c r="V343" i="6"/>
  <c r="V327" i="6"/>
  <c r="V339" i="6" s="1"/>
  <c r="V326" i="6"/>
  <c r="V338" i="6" s="1"/>
  <c r="V325" i="6"/>
  <c r="V312" i="6"/>
  <c r="V313" i="6" s="1"/>
  <c r="V301" i="6"/>
  <c r="V300" i="6"/>
  <c r="V299" i="6"/>
  <c r="V298" i="6"/>
  <c r="V297" i="6"/>
  <c r="V296" i="6"/>
  <c r="V295" i="6"/>
  <c r="V294" i="6"/>
  <c r="V293" i="6"/>
  <c r="V292" i="6"/>
  <c r="V291" i="6"/>
  <c r="V290" i="6"/>
  <c r="V289" i="6"/>
  <c r="V288" i="6"/>
  <c r="V287" i="6"/>
  <c r="V286" i="6"/>
  <c r="V285" i="6"/>
  <c r="V284" i="6"/>
  <c r="V283" i="6"/>
  <c r="V282" i="6"/>
  <c r="V275" i="6"/>
  <c r="V274" i="6"/>
  <c r="V273" i="6"/>
  <c r="V272" i="6"/>
  <c r="V271" i="6"/>
  <c r="V270" i="6"/>
  <c r="V269" i="6"/>
  <c r="V268" i="6"/>
  <c r="V267" i="6"/>
  <c r="V266" i="6"/>
  <c r="V265" i="6"/>
  <c r="V264" i="6"/>
  <c r="BG252" i="6"/>
  <c r="BG253" i="6" s="1"/>
  <c r="BG256" i="6" s="1"/>
  <c r="BI234" i="6"/>
  <c r="BH251" i="6"/>
  <c r="X92" i="6"/>
  <c r="Y67" i="6"/>
  <c r="AH46" i="6"/>
  <c r="AG63" i="6"/>
  <c r="AJ41" i="6"/>
  <c r="V302" i="6" l="1"/>
  <c r="U213" i="6"/>
  <c r="T13" i="6"/>
  <c r="T10" i="6"/>
  <c r="T15" i="6"/>
  <c r="T11" i="6"/>
  <c r="T12" i="6"/>
  <c r="T14" i="6"/>
  <c r="T16" i="6"/>
  <c r="V277" i="6"/>
  <c r="AK41" i="6"/>
  <c r="AI46" i="6"/>
  <c r="AH63" i="6"/>
  <c r="Y92" i="6"/>
  <c r="Z67" i="6"/>
  <c r="BH252" i="6"/>
  <c r="BH253" i="6" s="1"/>
  <c r="BH256" i="6" s="1"/>
  <c r="BJ234" i="6"/>
  <c r="BI251" i="6"/>
  <c r="V336" i="6"/>
  <c r="V316" i="6"/>
  <c r="V314" i="6"/>
  <c r="V347" i="6"/>
  <c r="V348" i="6" s="1"/>
  <c r="V337" i="6"/>
  <c r="X308" i="6"/>
  <c r="X310" i="6" s="1"/>
  <c r="Y307" i="6"/>
  <c r="W343" i="6"/>
  <c r="W327" i="6"/>
  <c r="W339" i="6" s="1"/>
  <c r="W326" i="6"/>
  <c r="W338" i="6" s="1"/>
  <c r="W325" i="6"/>
  <c r="W312" i="6"/>
  <c r="W313" i="6" s="1"/>
  <c r="W301" i="6"/>
  <c r="W300" i="6"/>
  <c r="W299" i="6"/>
  <c r="W298" i="6"/>
  <c r="W297" i="6"/>
  <c r="W296" i="6"/>
  <c r="W295" i="6"/>
  <c r="W294" i="6"/>
  <c r="W293" i="6"/>
  <c r="W292" i="6"/>
  <c r="W291" i="6"/>
  <c r="W290" i="6"/>
  <c r="W289" i="6"/>
  <c r="W288" i="6"/>
  <c r="W287" i="6"/>
  <c r="W286" i="6"/>
  <c r="W285" i="6"/>
  <c r="W284" i="6"/>
  <c r="W283" i="6"/>
  <c r="W282" i="6"/>
  <c r="W275" i="6"/>
  <c r="W274" i="6"/>
  <c r="W273" i="6"/>
  <c r="W272" i="6"/>
  <c r="W271" i="6"/>
  <c r="W270" i="6"/>
  <c r="W269" i="6"/>
  <c r="W268" i="6"/>
  <c r="W267" i="6"/>
  <c r="W266" i="6"/>
  <c r="W265" i="6"/>
  <c r="W264" i="6"/>
  <c r="X322" i="6"/>
  <c r="Y319" i="6"/>
  <c r="W302" i="6" l="1"/>
  <c r="T17" i="6"/>
  <c r="T18" i="6" s="1"/>
  <c r="V213" i="6"/>
  <c r="U16" i="6"/>
  <c r="U15" i="6"/>
  <c r="U14" i="6"/>
  <c r="U10" i="6"/>
  <c r="U13" i="6"/>
  <c r="U11" i="6"/>
  <c r="U12" i="6"/>
  <c r="W277" i="6"/>
  <c r="Y322" i="6"/>
  <c r="Z319" i="6"/>
  <c r="W336" i="6"/>
  <c r="W316" i="6"/>
  <c r="W314" i="6"/>
  <c r="W347" i="6"/>
  <c r="W348" i="6" s="1"/>
  <c r="W337" i="6"/>
  <c r="Y308" i="6"/>
  <c r="Y310" i="6" s="1"/>
  <c r="Z307" i="6"/>
  <c r="X343" i="6"/>
  <c r="X327" i="6"/>
  <c r="X339" i="6" s="1"/>
  <c r="X326" i="6"/>
  <c r="X338" i="6" s="1"/>
  <c r="X325" i="6"/>
  <c r="X312" i="6"/>
  <c r="X313" i="6" s="1"/>
  <c r="X301" i="6"/>
  <c r="X300" i="6"/>
  <c r="X299" i="6"/>
  <c r="X298" i="6"/>
  <c r="X297" i="6"/>
  <c r="X296" i="6"/>
  <c r="X295" i="6"/>
  <c r="X294" i="6"/>
  <c r="X293" i="6"/>
  <c r="X292" i="6"/>
  <c r="X291" i="6"/>
  <c r="X290" i="6"/>
  <c r="X289" i="6"/>
  <c r="X288" i="6"/>
  <c r="X287" i="6"/>
  <c r="X286" i="6"/>
  <c r="X285" i="6"/>
  <c r="X284" i="6"/>
  <c r="X283" i="6"/>
  <c r="X282" i="6"/>
  <c r="X275" i="6"/>
  <c r="X274" i="6"/>
  <c r="X273" i="6"/>
  <c r="X272" i="6"/>
  <c r="X271" i="6"/>
  <c r="X270" i="6"/>
  <c r="X269" i="6"/>
  <c r="X268" i="6"/>
  <c r="X267" i="6"/>
  <c r="X266" i="6"/>
  <c r="X265" i="6"/>
  <c r="X264" i="6"/>
  <c r="BI252" i="6"/>
  <c r="BI253" i="6" s="1"/>
  <c r="BI256" i="6" s="1"/>
  <c r="BK234" i="6"/>
  <c r="BJ251" i="6"/>
  <c r="Z92" i="6"/>
  <c r="AA67" i="6"/>
  <c r="AJ46" i="6"/>
  <c r="AI63" i="6"/>
  <c r="AL41" i="6"/>
  <c r="X302" i="6" l="1"/>
  <c r="W213" i="6"/>
  <c r="V14" i="6"/>
  <c r="V11" i="6"/>
  <c r="V10" i="6"/>
  <c r="V16" i="6"/>
  <c r="V15" i="6"/>
  <c r="V13" i="6"/>
  <c r="V12" i="6"/>
  <c r="U17" i="6"/>
  <c r="U18" i="6"/>
  <c r="X277" i="6"/>
  <c r="AM41" i="6"/>
  <c r="AK46" i="6"/>
  <c r="AJ63" i="6"/>
  <c r="AA92" i="6"/>
  <c r="AB67" i="6"/>
  <c r="BJ252" i="6"/>
  <c r="BJ253" i="6" s="1"/>
  <c r="BJ256" i="6" s="1"/>
  <c r="BL234" i="6"/>
  <c r="BK251" i="6"/>
  <c r="X336" i="6"/>
  <c r="X316" i="6"/>
  <c r="X314" i="6"/>
  <c r="X347" i="6"/>
  <c r="X348" i="6" s="1"/>
  <c r="X337" i="6"/>
  <c r="Z308" i="6"/>
  <c r="Z310" i="6" s="1"/>
  <c r="AA307" i="6"/>
  <c r="Y343" i="6"/>
  <c r="Y327" i="6"/>
  <c r="Y339" i="6" s="1"/>
  <c r="Y326" i="6"/>
  <c r="Y338" i="6" s="1"/>
  <c r="Y325" i="6"/>
  <c r="Y312" i="6"/>
  <c r="Y313" i="6" s="1"/>
  <c r="Y301" i="6"/>
  <c r="Y300" i="6"/>
  <c r="Y299" i="6"/>
  <c r="Y298" i="6"/>
  <c r="Y297" i="6"/>
  <c r="Y296" i="6"/>
  <c r="Y295" i="6"/>
  <c r="Y294" i="6"/>
  <c r="Y293" i="6"/>
  <c r="Y292" i="6"/>
  <c r="Y291" i="6"/>
  <c r="Y290" i="6"/>
  <c r="Y289" i="6"/>
  <c r="Y288" i="6"/>
  <c r="Y287" i="6"/>
  <c r="Y286" i="6"/>
  <c r="Y285" i="6"/>
  <c r="Y284" i="6"/>
  <c r="Y283" i="6"/>
  <c r="Y282" i="6"/>
  <c r="Y275" i="6"/>
  <c r="Y274" i="6"/>
  <c r="Y273" i="6"/>
  <c r="Y272" i="6"/>
  <c r="Y271" i="6"/>
  <c r="Y270" i="6"/>
  <c r="Y269" i="6"/>
  <c r="Y268" i="6"/>
  <c r="Y267" i="6"/>
  <c r="Y266" i="6"/>
  <c r="Y265" i="6"/>
  <c r="Y264" i="6"/>
  <c r="Z322" i="6"/>
  <c r="AA319" i="6"/>
  <c r="Y302" i="6" l="1"/>
  <c r="Y277" i="6"/>
  <c r="X213" i="6"/>
  <c r="W14" i="6"/>
  <c r="W10" i="6"/>
  <c r="W15" i="6"/>
  <c r="W12" i="6"/>
  <c r="W16" i="6"/>
  <c r="W11" i="6"/>
  <c r="W13" i="6"/>
  <c r="V17" i="6"/>
  <c r="V18" i="6" s="1"/>
  <c r="AA322" i="6"/>
  <c r="AB319" i="6"/>
  <c r="Y336" i="6"/>
  <c r="Y316" i="6"/>
  <c r="Y314" i="6"/>
  <c r="Y347" i="6"/>
  <c r="Y348" i="6" s="1"/>
  <c r="Y337" i="6"/>
  <c r="AA308" i="6"/>
  <c r="AA310" i="6" s="1"/>
  <c r="AB307" i="6"/>
  <c r="Z343" i="6"/>
  <c r="Z327" i="6"/>
  <c r="Z339" i="6" s="1"/>
  <c r="Z326" i="6"/>
  <c r="Z338" i="6" s="1"/>
  <c r="Z325" i="6"/>
  <c r="Z312" i="6"/>
  <c r="Z313" i="6" s="1"/>
  <c r="Z301" i="6"/>
  <c r="Z300" i="6"/>
  <c r="Z299" i="6"/>
  <c r="Z298" i="6"/>
  <c r="Z297" i="6"/>
  <c r="Z296" i="6"/>
  <c r="Z295" i="6"/>
  <c r="Z294" i="6"/>
  <c r="Z293" i="6"/>
  <c r="Z292" i="6"/>
  <c r="Z291" i="6"/>
  <c r="Z290" i="6"/>
  <c r="Z289" i="6"/>
  <c r="Z288" i="6"/>
  <c r="Z287" i="6"/>
  <c r="Z286" i="6"/>
  <c r="Z285" i="6"/>
  <c r="Z284" i="6"/>
  <c r="Z283" i="6"/>
  <c r="Z282" i="6"/>
  <c r="Z275" i="6"/>
  <c r="Z274" i="6"/>
  <c r="Z273" i="6"/>
  <c r="Z272" i="6"/>
  <c r="Z271" i="6"/>
  <c r="Z270" i="6"/>
  <c r="Z269" i="6"/>
  <c r="Z268" i="6"/>
  <c r="Z267" i="6"/>
  <c r="Z266" i="6"/>
  <c r="Z265" i="6"/>
  <c r="Z264" i="6"/>
  <c r="BK252" i="6"/>
  <c r="BK253" i="6" s="1"/>
  <c r="BK256" i="6" s="1"/>
  <c r="BM234" i="6"/>
  <c r="BM251" i="6" s="1"/>
  <c r="BL251" i="6"/>
  <c r="AB92" i="6"/>
  <c r="AC67" i="6"/>
  <c r="AL46" i="6"/>
  <c r="AK63" i="6"/>
  <c r="AN41" i="6"/>
  <c r="Z302" i="6" l="1"/>
  <c r="W17" i="6"/>
  <c r="W18" i="6" s="1"/>
  <c r="Y213" i="6"/>
  <c r="X12" i="6"/>
  <c r="X10" i="6"/>
  <c r="X16" i="6"/>
  <c r="X11" i="6"/>
  <c r="X15" i="6"/>
  <c r="X14" i="6"/>
  <c r="X13" i="6"/>
  <c r="Z277" i="6"/>
  <c r="AO41" i="6"/>
  <c r="AM46" i="6"/>
  <c r="AL63" i="6"/>
  <c r="AC92" i="6"/>
  <c r="AD67" i="6"/>
  <c r="BL252" i="6"/>
  <c r="BL253" i="6" s="1"/>
  <c r="BL256" i="6" s="1"/>
  <c r="BM252" i="6"/>
  <c r="BM253" i="6" s="1"/>
  <c r="BM256" i="6" s="1"/>
  <c r="E256" i="6" s="1"/>
  <c r="Z336" i="6"/>
  <c r="Z316" i="6"/>
  <c r="Z314" i="6"/>
  <c r="Z347" i="6"/>
  <c r="Z348" i="6" s="1"/>
  <c r="Z337" i="6"/>
  <c r="AB308" i="6"/>
  <c r="AB310" i="6" s="1"/>
  <c r="AC307" i="6"/>
  <c r="AA343" i="6"/>
  <c r="AA327" i="6"/>
  <c r="AA339" i="6" s="1"/>
  <c r="AA326" i="6"/>
  <c r="AA338" i="6" s="1"/>
  <c r="AA325" i="6"/>
  <c r="AA312" i="6"/>
  <c r="AA313" i="6" s="1"/>
  <c r="AA301" i="6"/>
  <c r="AA300" i="6"/>
  <c r="AA299" i="6"/>
  <c r="AA298" i="6"/>
  <c r="AA297" i="6"/>
  <c r="AA296" i="6"/>
  <c r="AA295" i="6"/>
  <c r="AA294" i="6"/>
  <c r="AA293" i="6"/>
  <c r="AA292" i="6"/>
  <c r="AA291" i="6"/>
  <c r="AA290" i="6"/>
  <c r="AA289" i="6"/>
  <c r="AA288" i="6"/>
  <c r="AA287" i="6"/>
  <c r="AA286" i="6"/>
  <c r="AA285" i="6"/>
  <c r="AA284" i="6"/>
  <c r="AA283" i="6"/>
  <c r="AA282" i="6"/>
  <c r="AA275" i="6"/>
  <c r="AA274" i="6"/>
  <c r="AA273" i="6"/>
  <c r="AA272" i="6"/>
  <c r="AA271" i="6"/>
  <c r="AA270" i="6"/>
  <c r="AA269" i="6"/>
  <c r="AA268" i="6"/>
  <c r="AA267" i="6"/>
  <c r="AA266" i="6"/>
  <c r="AA265" i="6"/>
  <c r="AA264" i="6"/>
  <c r="AB322" i="6"/>
  <c r="AC319" i="6"/>
  <c r="AA302" i="6" l="1"/>
  <c r="Z213" i="6"/>
  <c r="Y16" i="6"/>
  <c r="Y14" i="6"/>
  <c r="Y13" i="6"/>
  <c r="Y11" i="6"/>
  <c r="Y10" i="6"/>
  <c r="Y12" i="6"/>
  <c r="X17" i="6"/>
  <c r="X18" i="6" s="1"/>
  <c r="AA277" i="6"/>
  <c r="AC322" i="6"/>
  <c r="AD319" i="6"/>
  <c r="AA336" i="6"/>
  <c r="AA316" i="6"/>
  <c r="AA314" i="6"/>
  <c r="AA347" i="6"/>
  <c r="AA348" i="6" s="1"/>
  <c r="AA337" i="6"/>
  <c r="AC308" i="6"/>
  <c r="AC310" i="6" s="1"/>
  <c r="AD307" i="6"/>
  <c r="AB343" i="6"/>
  <c r="AB327" i="6"/>
  <c r="AB339" i="6" s="1"/>
  <c r="AB326" i="6"/>
  <c r="AB338" i="6" s="1"/>
  <c r="AB325" i="6"/>
  <c r="AB312" i="6"/>
  <c r="AB313" i="6" s="1"/>
  <c r="AB301" i="6"/>
  <c r="AB300" i="6"/>
  <c r="AB299" i="6"/>
  <c r="AB298" i="6"/>
  <c r="AB297" i="6"/>
  <c r="AB296" i="6"/>
  <c r="AB295" i="6"/>
  <c r="AB294" i="6"/>
  <c r="AB293" i="6"/>
  <c r="AB292" i="6"/>
  <c r="AB291" i="6"/>
  <c r="AB290" i="6"/>
  <c r="AB289" i="6"/>
  <c r="AB288" i="6"/>
  <c r="AB287" i="6"/>
  <c r="AB286" i="6"/>
  <c r="AB285" i="6"/>
  <c r="AB284" i="6"/>
  <c r="AB283" i="6"/>
  <c r="AB282" i="6"/>
  <c r="AB275" i="6"/>
  <c r="AB274" i="6"/>
  <c r="AB273" i="6"/>
  <c r="AB272" i="6"/>
  <c r="AB271" i="6"/>
  <c r="AB270" i="6"/>
  <c r="AB269" i="6"/>
  <c r="AB268" i="6"/>
  <c r="AB267" i="6"/>
  <c r="AB266" i="6"/>
  <c r="AB265" i="6"/>
  <c r="AB264" i="6"/>
  <c r="AD92" i="6"/>
  <c r="AE67" i="6"/>
  <c r="AN46" i="6"/>
  <c r="AM63" i="6"/>
  <c r="AP41" i="6"/>
  <c r="Y17" i="6" l="1"/>
  <c r="Y18" i="6" s="1"/>
  <c r="AB302" i="6"/>
  <c r="AA213" i="6"/>
  <c r="Z11" i="6"/>
  <c r="Z12" i="6"/>
  <c r="Z16" i="6"/>
  <c r="Z14" i="6"/>
  <c r="Z10" i="6"/>
  <c r="Z13" i="6"/>
  <c r="AB277" i="6"/>
  <c r="AQ41" i="6"/>
  <c r="AO46" i="6"/>
  <c r="AN63" i="6"/>
  <c r="AE92" i="6"/>
  <c r="AF67" i="6"/>
  <c r="AB336" i="6"/>
  <c r="AB316" i="6"/>
  <c r="AB314" i="6"/>
  <c r="AB347" i="6"/>
  <c r="AB348" i="6" s="1"/>
  <c r="AB337" i="6"/>
  <c r="AD308" i="6"/>
  <c r="AD310" i="6" s="1"/>
  <c r="AE307" i="6"/>
  <c r="AC343" i="6"/>
  <c r="AC327" i="6"/>
  <c r="AC339" i="6" s="1"/>
  <c r="AC326" i="6"/>
  <c r="AC338" i="6" s="1"/>
  <c r="AC325" i="6"/>
  <c r="AC312" i="6"/>
  <c r="AC313" i="6" s="1"/>
  <c r="AC301" i="6"/>
  <c r="AC300" i="6"/>
  <c r="AC299" i="6"/>
  <c r="AC298" i="6"/>
  <c r="AC297" i="6"/>
  <c r="AC296" i="6"/>
  <c r="AC295" i="6"/>
  <c r="AC294" i="6"/>
  <c r="AC293" i="6"/>
  <c r="AC292" i="6"/>
  <c r="AC291" i="6"/>
  <c r="AC290" i="6"/>
  <c r="AC289" i="6"/>
  <c r="AC288" i="6"/>
  <c r="AC287" i="6"/>
  <c r="AC286" i="6"/>
  <c r="AC285" i="6"/>
  <c r="AC284" i="6"/>
  <c r="AC283" i="6"/>
  <c r="AC282" i="6"/>
  <c r="AC275" i="6"/>
  <c r="AC274" i="6"/>
  <c r="AC273" i="6"/>
  <c r="AC272" i="6"/>
  <c r="AC271" i="6"/>
  <c r="AC270" i="6"/>
  <c r="AC269" i="6"/>
  <c r="AC268" i="6"/>
  <c r="AC267" i="6"/>
  <c r="AC266" i="6"/>
  <c r="AC265" i="6"/>
  <c r="AC264" i="6"/>
  <c r="AD322" i="6"/>
  <c r="AE319" i="6"/>
  <c r="Z17" i="6" l="1"/>
  <c r="Z18" i="6" s="1"/>
  <c r="AA18" i="6" s="1"/>
  <c r="AB213" i="6"/>
  <c r="AA16" i="6"/>
  <c r="AA14" i="6"/>
  <c r="AA13" i="6"/>
  <c r="AA12" i="6"/>
  <c r="AA11" i="6"/>
  <c r="AA10" i="6"/>
  <c r="AA17" i="6" s="1"/>
  <c r="AC302" i="6"/>
  <c r="AC277" i="6"/>
  <c r="AE322" i="6"/>
  <c r="AF319" i="6"/>
  <c r="AC336" i="6"/>
  <c r="AC316" i="6"/>
  <c r="AC314" i="6"/>
  <c r="AC347" i="6"/>
  <c r="AC348" i="6" s="1"/>
  <c r="AC337" i="6"/>
  <c r="AE308" i="6"/>
  <c r="AE310" i="6" s="1"/>
  <c r="AF307" i="6"/>
  <c r="AD343" i="6"/>
  <c r="AD327" i="6"/>
  <c r="AD339" i="6" s="1"/>
  <c r="AD326" i="6"/>
  <c r="AD338" i="6" s="1"/>
  <c r="AD325" i="6"/>
  <c r="AD312" i="6"/>
  <c r="AD313" i="6" s="1"/>
  <c r="AD301" i="6"/>
  <c r="AD300" i="6"/>
  <c r="AD299" i="6"/>
  <c r="AD298" i="6"/>
  <c r="AD297" i="6"/>
  <c r="AD296" i="6"/>
  <c r="AD295" i="6"/>
  <c r="AD294" i="6"/>
  <c r="AD293" i="6"/>
  <c r="AD292" i="6"/>
  <c r="AD291" i="6"/>
  <c r="AD290" i="6"/>
  <c r="AD289" i="6"/>
  <c r="AD288" i="6"/>
  <c r="AD287" i="6"/>
  <c r="AD286" i="6"/>
  <c r="AD285" i="6"/>
  <c r="AD284" i="6"/>
  <c r="AD283" i="6"/>
  <c r="AD282" i="6"/>
  <c r="AD275" i="6"/>
  <c r="AD274" i="6"/>
  <c r="AD273" i="6"/>
  <c r="AD272" i="6"/>
  <c r="AD271" i="6"/>
  <c r="AD270" i="6"/>
  <c r="AD269" i="6"/>
  <c r="AD268" i="6"/>
  <c r="AD267" i="6"/>
  <c r="AD266" i="6"/>
  <c r="AD265" i="6"/>
  <c r="AD264" i="6"/>
  <c r="AF92" i="6"/>
  <c r="AG67" i="6"/>
  <c r="AP46" i="6"/>
  <c r="AO63" i="6"/>
  <c r="AR41" i="6"/>
  <c r="AC213" i="6" l="1"/>
  <c r="AB11" i="6"/>
  <c r="AB16" i="6"/>
  <c r="AB14" i="6"/>
  <c r="AB12" i="6"/>
  <c r="AB13" i="6"/>
  <c r="AB10" i="6"/>
  <c r="AB17" i="6" s="1"/>
  <c r="AB18" i="6" s="1"/>
  <c r="AD302" i="6"/>
  <c r="AD277" i="6"/>
  <c r="AS41" i="6"/>
  <c r="AQ46" i="6"/>
  <c r="AP63" i="6"/>
  <c r="AG92" i="6"/>
  <c r="AH67" i="6"/>
  <c r="AD336" i="6"/>
  <c r="AD316" i="6"/>
  <c r="AD314" i="6"/>
  <c r="AD347" i="6"/>
  <c r="AD348" i="6" s="1"/>
  <c r="AD337" i="6"/>
  <c r="AF308" i="6"/>
  <c r="AF310" i="6" s="1"/>
  <c r="AG307" i="6"/>
  <c r="AE343" i="6"/>
  <c r="AE327" i="6"/>
  <c r="AE339" i="6" s="1"/>
  <c r="AE326" i="6"/>
  <c r="AE338" i="6" s="1"/>
  <c r="AE325" i="6"/>
  <c r="AE312" i="6"/>
  <c r="AE313" i="6" s="1"/>
  <c r="AE301" i="6"/>
  <c r="AE300" i="6"/>
  <c r="AE299" i="6"/>
  <c r="AE298" i="6"/>
  <c r="AE297" i="6"/>
  <c r="AE296" i="6"/>
  <c r="AE295" i="6"/>
  <c r="AE294" i="6"/>
  <c r="AE293" i="6"/>
  <c r="AE292" i="6"/>
  <c r="AE291" i="6"/>
  <c r="AE290" i="6"/>
  <c r="AE289" i="6"/>
  <c r="AE288" i="6"/>
  <c r="AE287" i="6"/>
  <c r="AE286" i="6"/>
  <c r="AE285" i="6"/>
  <c r="AE284" i="6"/>
  <c r="AE283" i="6"/>
  <c r="AE282" i="6"/>
  <c r="AE275" i="6"/>
  <c r="AE274" i="6"/>
  <c r="AE273" i="6"/>
  <c r="AE272" i="6"/>
  <c r="AE271" i="6"/>
  <c r="AE270" i="6"/>
  <c r="AE269" i="6"/>
  <c r="AE268" i="6"/>
  <c r="AE267" i="6"/>
  <c r="AE266" i="6"/>
  <c r="AE265" i="6"/>
  <c r="AE264" i="6"/>
  <c r="AF322" i="6"/>
  <c r="AG319" i="6"/>
  <c r="AD213" i="6" l="1"/>
  <c r="AC16" i="6"/>
  <c r="AC14" i="6"/>
  <c r="AC13" i="6"/>
  <c r="AC12" i="6"/>
  <c r="AC11" i="6"/>
  <c r="AC10" i="6"/>
  <c r="AC17" i="6" s="1"/>
  <c r="AC18" i="6" s="1"/>
  <c r="AE302" i="6"/>
  <c r="AE277" i="6"/>
  <c r="AG322" i="6"/>
  <c r="AH319" i="6"/>
  <c r="AE336" i="6"/>
  <c r="AE316" i="6"/>
  <c r="AE314" i="6"/>
  <c r="AE347" i="6"/>
  <c r="AE348" i="6" s="1"/>
  <c r="AE337" i="6"/>
  <c r="AG308" i="6"/>
  <c r="AG310" i="6" s="1"/>
  <c r="AH307" i="6"/>
  <c r="AF343" i="6"/>
  <c r="AF327" i="6"/>
  <c r="AF339" i="6" s="1"/>
  <c r="AF326" i="6"/>
  <c r="AF338" i="6" s="1"/>
  <c r="AF325" i="6"/>
  <c r="AF312" i="6"/>
  <c r="AF313" i="6" s="1"/>
  <c r="AF301" i="6"/>
  <c r="AF300" i="6"/>
  <c r="AF299" i="6"/>
  <c r="AF298" i="6"/>
  <c r="AF297" i="6"/>
  <c r="AF296" i="6"/>
  <c r="AF295" i="6"/>
  <c r="AF294" i="6"/>
  <c r="AF293" i="6"/>
  <c r="AF292" i="6"/>
  <c r="AF291" i="6"/>
  <c r="AF290" i="6"/>
  <c r="AF289" i="6"/>
  <c r="AF288" i="6"/>
  <c r="AF287" i="6"/>
  <c r="AF286" i="6"/>
  <c r="AF285" i="6"/>
  <c r="AF284" i="6"/>
  <c r="AF283" i="6"/>
  <c r="AF282" i="6"/>
  <c r="AF275" i="6"/>
  <c r="AF274" i="6"/>
  <c r="AF273" i="6"/>
  <c r="AF272" i="6"/>
  <c r="AF271" i="6"/>
  <c r="AF270" i="6"/>
  <c r="AF269" i="6"/>
  <c r="AF268" i="6"/>
  <c r="AF267" i="6"/>
  <c r="AF266" i="6"/>
  <c r="AF265" i="6"/>
  <c r="AF264" i="6"/>
  <c r="AF277" i="6" s="1"/>
  <c r="AH92" i="6"/>
  <c r="AI67" i="6"/>
  <c r="AR46" i="6"/>
  <c r="AQ63" i="6"/>
  <c r="AT41" i="6"/>
  <c r="AF302" i="6" l="1"/>
  <c r="AE213" i="6"/>
  <c r="AD11" i="6"/>
  <c r="AD10" i="6"/>
  <c r="AD16" i="6"/>
  <c r="AD14" i="6"/>
  <c r="AD13" i="6"/>
  <c r="AD12" i="6"/>
  <c r="AU41" i="6"/>
  <c r="AS46" i="6"/>
  <c r="AR63" i="6"/>
  <c r="AI92" i="6"/>
  <c r="AJ67" i="6"/>
  <c r="AF336" i="6"/>
  <c r="AF316" i="6"/>
  <c r="AF314" i="6"/>
  <c r="AF347" i="6"/>
  <c r="AF348" i="6" s="1"/>
  <c r="AF337" i="6"/>
  <c r="AH308" i="6"/>
  <c r="AH310" i="6" s="1"/>
  <c r="AI307" i="6"/>
  <c r="AG343" i="6"/>
  <c r="AG327" i="6"/>
  <c r="AG339" i="6" s="1"/>
  <c r="AG326" i="6"/>
  <c r="AG338" i="6" s="1"/>
  <c r="AG325" i="6"/>
  <c r="AG312" i="6"/>
  <c r="AG313" i="6" s="1"/>
  <c r="AG301" i="6"/>
  <c r="AG300" i="6"/>
  <c r="AG299" i="6"/>
  <c r="AG298" i="6"/>
  <c r="AG297" i="6"/>
  <c r="AG296" i="6"/>
  <c r="AG295" i="6"/>
  <c r="AG294" i="6"/>
  <c r="AG293" i="6"/>
  <c r="AG292" i="6"/>
  <c r="AG291" i="6"/>
  <c r="AG290" i="6"/>
  <c r="AG289" i="6"/>
  <c r="AG288" i="6"/>
  <c r="AG287" i="6"/>
  <c r="AG286" i="6"/>
  <c r="AG285" i="6"/>
  <c r="AG284" i="6"/>
  <c r="AG283" i="6"/>
  <c r="AG282" i="6"/>
  <c r="AG275" i="6"/>
  <c r="AG274" i="6"/>
  <c r="AG273" i="6"/>
  <c r="AG272" i="6"/>
  <c r="AG271" i="6"/>
  <c r="AG270" i="6"/>
  <c r="AG269" i="6"/>
  <c r="AG268" i="6"/>
  <c r="AG267" i="6"/>
  <c r="AG266" i="6"/>
  <c r="AG265" i="6"/>
  <c r="AG264" i="6"/>
  <c r="AH322" i="6"/>
  <c r="AI319" i="6"/>
  <c r="AG302" i="6" l="1"/>
  <c r="AF213" i="6"/>
  <c r="AE16" i="6"/>
  <c r="AE14" i="6"/>
  <c r="AE13" i="6"/>
  <c r="AE12" i="6"/>
  <c r="AE11" i="6"/>
  <c r="AE10" i="6"/>
  <c r="AE17" i="6" s="1"/>
  <c r="AD17" i="6"/>
  <c r="AD18" i="6" s="1"/>
  <c r="AG277" i="6"/>
  <c r="AI322" i="6"/>
  <c r="AJ319" i="6"/>
  <c r="AG336" i="6"/>
  <c r="AG316" i="6"/>
  <c r="AG314" i="6"/>
  <c r="AG347" i="6"/>
  <c r="AG348" i="6" s="1"/>
  <c r="AG337" i="6"/>
  <c r="AI308" i="6"/>
  <c r="AI310" i="6" s="1"/>
  <c r="AJ307" i="6"/>
  <c r="AH343" i="6"/>
  <c r="AH327" i="6"/>
  <c r="AH339" i="6" s="1"/>
  <c r="AH326" i="6"/>
  <c r="AH338" i="6" s="1"/>
  <c r="AH325" i="6"/>
  <c r="AH312" i="6"/>
  <c r="AH313" i="6" s="1"/>
  <c r="AH301" i="6"/>
  <c r="AH300" i="6"/>
  <c r="AH299" i="6"/>
  <c r="AH298" i="6"/>
  <c r="AH297" i="6"/>
  <c r="AH296" i="6"/>
  <c r="AH295" i="6"/>
  <c r="AH294" i="6"/>
  <c r="AH293" i="6"/>
  <c r="AH292" i="6"/>
  <c r="AH291" i="6"/>
  <c r="AH290" i="6"/>
  <c r="AH289" i="6"/>
  <c r="AH288" i="6"/>
  <c r="AH287" i="6"/>
  <c r="AH286" i="6"/>
  <c r="AH285" i="6"/>
  <c r="AH284" i="6"/>
  <c r="AH283" i="6"/>
  <c r="AH282" i="6"/>
  <c r="AH275" i="6"/>
  <c r="AH274" i="6"/>
  <c r="AH273" i="6"/>
  <c r="AH272" i="6"/>
  <c r="AH271" i="6"/>
  <c r="AH270" i="6"/>
  <c r="AH269" i="6"/>
  <c r="AH268" i="6"/>
  <c r="AH267" i="6"/>
  <c r="AH266" i="6"/>
  <c r="AH265" i="6"/>
  <c r="AH264" i="6"/>
  <c r="AH277" i="6" s="1"/>
  <c r="AJ92" i="6"/>
  <c r="AK67" i="6"/>
  <c r="AT46" i="6"/>
  <c r="AS63" i="6"/>
  <c r="AV41" i="6"/>
  <c r="AE18" i="6" l="1"/>
  <c r="AH302" i="6"/>
  <c r="AG213" i="6"/>
  <c r="AF11" i="6"/>
  <c r="AF10" i="6"/>
  <c r="AF16" i="6"/>
  <c r="AF12" i="6"/>
  <c r="AF14" i="6"/>
  <c r="AF13" i="6"/>
  <c r="AW41" i="6"/>
  <c r="AU46" i="6"/>
  <c r="AT63" i="6"/>
  <c r="AK92" i="6"/>
  <c r="AL67" i="6"/>
  <c r="AH336" i="6"/>
  <c r="AH316" i="6"/>
  <c r="AH314" i="6"/>
  <c r="AH347" i="6"/>
  <c r="AH348" i="6" s="1"/>
  <c r="AH337" i="6"/>
  <c r="AJ308" i="6"/>
  <c r="AJ310" i="6" s="1"/>
  <c r="AK307" i="6"/>
  <c r="AI343" i="6"/>
  <c r="AI327" i="6"/>
  <c r="AI339" i="6" s="1"/>
  <c r="AI326" i="6"/>
  <c r="AI338" i="6" s="1"/>
  <c r="AI325" i="6"/>
  <c r="AI312" i="6"/>
  <c r="AI313" i="6" s="1"/>
  <c r="AI301" i="6"/>
  <c r="AI300" i="6"/>
  <c r="AI299" i="6"/>
  <c r="AI298" i="6"/>
  <c r="AI297" i="6"/>
  <c r="AI296" i="6"/>
  <c r="AI295" i="6"/>
  <c r="AI294" i="6"/>
  <c r="AI293" i="6"/>
  <c r="AI292" i="6"/>
  <c r="AI291" i="6"/>
  <c r="AI290" i="6"/>
  <c r="AI289" i="6"/>
  <c r="AI288" i="6"/>
  <c r="AI287" i="6"/>
  <c r="AI286" i="6"/>
  <c r="AI285" i="6"/>
  <c r="AI284" i="6"/>
  <c r="AI283" i="6"/>
  <c r="AI282" i="6"/>
  <c r="AI275" i="6"/>
  <c r="AI274" i="6"/>
  <c r="AI273" i="6"/>
  <c r="AI272" i="6"/>
  <c r="AI271" i="6"/>
  <c r="AI270" i="6"/>
  <c r="AI269" i="6"/>
  <c r="AI268" i="6"/>
  <c r="AI267" i="6"/>
  <c r="AI266" i="6"/>
  <c r="AI265" i="6"/>
  <c r="AI264" i="6"/>
  <c r="AJ322" i="6"/>
  <c r="AK319" i="6"/>
  <c r="AF17" i="6" l="1"/>
  <c r="AI302" i="6"/>
  <c r="AJ302" i="6" s="1"/>
  <c r="AK302" i="6" s="1"/>
  <c r="AL302" i="6" s="1"/>
  <c r="AH213" i="6"/>
  <c r="AG16" i="6"/>
  <c r="AG14" i="6"/>
  <c r="AG13" i="6"/>
  <c r="AG12" i="6"/>
  <c r="AG11" i="6"/>
  <c r="AG10" i="6"/>
  <c r="AG17" i="6" s="1"/>
  <c r="AI277" i="6"/>
  <c r="AJ277" i="6" s="1"/>
  <c r="AK277" i="6" s="1"/>
  <c r="AL277" i="6" s="1"/>
  <c r="AF18" i="6"/>
  <c r="AK322" i="6"/>
  <c r="AL319" i="6"/>
  <c r="AI336" i="6"/>
  <c r="AI316" i="6"/>
  <c r="AI314" i="6"/>
  <c r="AI347" i="6"/>
  <c r="AI348" i="6" s="1"/>
  <c r="AI337" i="6"/>
  <c r="AK308" i="6"/>
  <c r="AK310" i="6" s="1"/>
  <c r="AL307" i="6"/>
  <c r="AJ344" i="6"/>
  <c r="AJ327" i="6"/>
  <c r="AJ339" i="6" s="1"/>
  <c r="AJ326" i="6"/>
  <c r="AJ338" i="6" s="1"/>
  <c r="AJ325" i="6"/>
  <c r="AJ312" i="6"/>
  <c r="AJ313" i="6" s="1"/>
  <c r="AJ301" i="6"/>
  <c r="AJ300" i="6"/>
  <c r="AJ299" i="6"/>
  <c r="AJ298" i="6"/>
  <c r="AJ297" i="6"/>
  <c r="AJ296" i="6"/>
  <c r="AJ295" i="6"/>
  <c r="AJ294" i="6"/>
  <c r="AJ293" i="6"/>
  <c r="AJ292" i="6"/>
  <c r="AJ291" i="6"/>
  <c r="AJ290" i="6"/>
  <c r="AJ289" i="6"/>
  <c r="AJ288" i="6"/>
  <c r="AJ287" i="6"/>
  <c r="AJ286" i="6"/>
  <c r="AJ285" i="6"/>
  <c r="AJ284" i="6"/>
  <c r="AJ283" i="6"/>
  <c r="AJ282" i="6"/>
  <c r="AJ275" i="6"/>
  <c r="AJ274" i="6"/>
  <c r="AJ273" i="6"/>
  <c r="AJ272" i="6"/>
  <c r="AJ271" i="6"/>
  <c r="AJ270" i="6"/>
  <c r="AJ269" i="6"/>
  <c r="AJ268" i="6"/>
  <c r="AJ267" i="6"/>
  <c r="AJ266" i="6"/>
  <c r="AJ265" i="6"/>
  <c r="AJ264" i="6"/>
  <c r="AL92" i="6"/>
  <c r="AM67" i="6"/>
  <c r="AV46" i="6"/>
  <c r="AU63" i="6"/>
  <c r="AX41" i="6"/>
  <c r="AG18" i="6" l="1"/>
  <c r="AJ303" i="6"/>
  <c r="AI213" i="6"/>
  <c r="AH11" i="6"/>
  <c r="AH10" i="6"/>
  <c r="AH12" i="6"/>
  <c r="AH16" i="6"/>
  <c r="AH14" i="6"/>
  <c r="AH13" i="6"/>
  <c r="AJ278" i="6"/>
  <c r="AY41" i="6"/>
  <c r="AW46" i="6"/>
  <c r="AV63" i="6"/>
  <c r="AM92" i="6"/>
  <c r="AN67" i="6"/>
  <c r="AJ336" i="6"/>
  <c r="AJ316" i="6"/>
  <c r="AJ314" i="6"/>
  <c r="AJ347" i="6"/>
  <c r="AJ348" i="6" s="1"/>
  <c r="AJ337" i="6"/>
  <c r="AL308" i="6"/>
  <c r="AL310" i="6" s="1"/>
  <c r="AM307" i="6"/>
  <c r="AK344" i="6"/>
  <c r="AK327" i="6"/>
  <c r="AK339" i="6" s="1"/>
  <c r="AK326" i="6"/>
  <c r="AK338" i="6" s="1"/>
  <c r="AK325" i="6"/>
  <c r="AK312" i="6"/>
  <c r="AK313" i="6" s="1"/>
  <c r="AK301" i="6"/>
  <c r="AK300" i="6"/>
  <c r="AK299" i="6"/>
  <c r="AK298" i="6"/>
  <c r="AK297" i="6"/>
  <c r="AK296" i="6"/>
  <c r="AK295" i="6"/>
  <c r="AK294" i="6"/>
  <c r="AK293" i="6"/>
  <c r="AK292" i="6"/>
  <c r="AK291" i="6"/>
  <c r="AK290" i="6"/>
  <c r="AK289" i="6"/>
  <c r="AK288" i="6"/>
  <c r="AK287" i="6"/>
  <c r="AK286" i="6"/>
  <c r="AK285" i="6"/>
  <c r="AK284" i="6"/>
  <c r="AK283" i="6"/>
  <c r="AK282" i="6"/>
  <c r="AK275" i="6"/>
  <c r="AK274" i="6"/>
  <c r="AK273" i="6"/>
  <c r="AK272" i="6"/>
  <c r="AK271" i="6"/>
  <c r="AK270" i="6"/>
  <c r="AK269" i="6"/>
  <c r="AK268" i="6"/>
  <c r="AK267" i="6"/>
  <c r="AK266" i="6"/>
  <c r="AK265" i="6"/>
  <c r="AK264" i="6"/>
  <c r="AL322" i="6"/>
  <c r="AM319" i="6"/>
  <c r="AH17" i="6" l="1"/>
  <c r="AK303" i="6"/>
  <c r="AJ213" i="6"/>
  <c r="AI16" i="6"/>
  <c r="AI14" i="6"/>
  <c r="AI13" i="6"/>
  <c r="AI12" i="6"/>
  <c r="AI11" i="6"/>
  <c r="AI10" i="6"/>
  <c r="AI17" i="6" s="1"/>
  <c r="AK278" i="6"/>
  <c r="AH18" i="6"/>
  <c r="AM322" i="6"/>
  <c r="AN319" i="6"/>
  <c r="AK336" i="6"/>
  <c r="AK316" i="6"/>
  <c r="AK314" i="6"/>
  <c r="AK347" i="6"/>
  <c r="AK348" i="6" s="1"/>
  <c r="AK337" i="6"/>
  <c r="AM308" i="6"/>
  <c r="AM310" i="6" s="1"/>
  <c r="AN307" i="6"/>
  <c r="AL344" i="6"/>
  <c r="AL327" i="6"/>
  <c r="AL339" i="6" s="1"/>
  <c r="AL326" i="6"/>
  <c r="AL338" i="6" s="1"/>
  <c r="AL325" i="6"/>
  <c r="AL312" i="6"/>
  <c r="AL313" i="6" s="1"/>
  <c r="AL301" i="6"/>
  <c r="AL300" i="6"/>
  <c r="AL299" i="6"/>
  <c r="AL298" i="6"/>
  <c r="AL297" i="6"/>
  <c r="AL296" i="6"/>
  <c r="AL295" i="6"/>
  <c r="AL294" i="6"/>
  <c r="AL293" i="6"/>
  <c r="AL292" i="6"/>
  <c r="AL291" i="6"/>
  <c r="AL290" i="6"/>
  <c r="AL289" i="6"/>
  <c r="AL288" i="6"/>
  <c r="AL287" i="6"/>
  <c r="AL286" i="6"/>
  <c r="AL285" i="6"/>
  <c r="AL284" i="6"/>
  <c r="AL283" i="6"/>
  <c r="AL282" i="6"/>
  <c r="AL275" i="6"/>
  <c r="AL274" i="6"/>
  <c r="AL273" i="6"/>
  <c r="AL272" i="6"/>
  <c r="AL271" i="6"/>
  <c r="AL270" i="6"/>
  <c r="AL269" i="6"/>
  <c r="AL268" i="6"/>
  <c r="AL267" i="6"/>
  <c r="AL266" i="6"/>
  <c r="AL265" i="6"/>
  <c r="AL264" i="6"/>
  <c r="AN92" i="6"/>
  <c r="AO67" i="6"/>
  <c r="AX46" i="6"/>
  <c r="AW63" i="6"/>
  <c r="AZ41" i="6"/>
  <c r="AI18" i="6" l="1"/>
  <c r="AL303" i="6"/>
  <c r="E303" i="6" s="1"/>
  <c r="AK213" i="6"/>
  <c r="AJ11" i="6"/>
  <c r="AJ10" i="6"/>
  <c r="AJ16" i="6"/>
  <c r="AJ14" i="6"/>
  <c r="AJ13" i="6"/>
  <c r="AJ12" i="6"/>
  <c r="AL278" i="6"/>
  <c r="E278" i="6" s="1"/>
  <c r="BA41" i="6"/>
  <c r="AY46" i="6"/>
  <c r="AX63" i="6"/>
  <c r="AO92" i="6"/>
  <c r="AP67" i="6"/>
  <c r="AL336" i="6"/>
  <c r="AL316" i="6"/>
  <c r="AL314" i="6"/>
  <c r="AL347" i="6"/>
  <c r="AL348" i="6" s="1"/>
  <c r="AL337" i="6"/>
  <c r="AN308" i="6"/>
  <c r="AN310" i="6" s="1"/>
  <c r="AO307" i="6"/>
  <c r="AM343" i="6"/>
  <c r="AM327" i="6"/>
  <c r="AM339" i="6" s="1"/>
  <c r="AM326" i="6"/>
  <c r="AM338" i="6" s="1"/>
  <c r="AM325" i="6"/>
  <c r="AM312" i="6"/>
  <c r="AM313" i="6" s="1"/>
  <c r="AM301" i="6"/>
  <c r="AM300" i="6"/>
  <c r="AM299" i="6"/>
  <c r="AM298" i="6"/>
  <c r="AM297" i="6"/>
  <c r="AM296" i="6"/>
  <c r="AM295" i="6"/>
  <c r="AM294" i="6"/>
  <c r="AM293" i="6"/>
  <c r="AM292" i="6"/>
  <c r="AM291" i="6"/>
  <c r="AM290" i="6"/>
  <c r="AM289" i="6"/>
  <c r="AM288" i="6"/>
  <c r="AM287" i="6"/>
  <c r="AM286" i="6"/>
  <c r="AM285" i="6"/>
  <c r="AM284" i="6"/>
  <c r="AM283" i="6"/>
  <c r="AM282" i="6"/>
  <c r="AM275" i="6"/>
  <c r="AM274" i="6"/>
  <c r="AM273" i="6"/>
  <c r="AM272" i="6"/>
  <c r="AM271" i="6"/>
  <c r="AM270" i="6"/>
  <c r="AM269" i="6"/>
  <c r="AM268" i="6"/>
  <c r="AM267" i="6"/>
  <c r="AM266" i="6"/>
  <c r="AM265" i="6"/>
  <c r="AM264" i="6"/>
  <c r="AN322" i="6"/>
  <c r="AO319" i="6"/>
  <c r="AM302" i="6" l="1"/>
  <c r="AL213" i="6"/>
  <c r="AK16" i="6"/>
  <c r="AK14" i="6"/>
  <c r="AK13" i="6"/>
  <c r="AK12" i="6"/>
  <c r="AK11" i="6"/>
  <c r="AK10" i="6"/>
  <c r="AK17" i="6" s="1"/>
  <c r="AJ17" i="6"/>
  <c r="AM277" i="6"/>
  <c r="AJ18" i="6"/>
  <c r="AO322" i="6"/>
  <c r="AP319" i="6"/>
  <c r="AM336" i="6"/>
  <c r="AM316" i="6"/>
  <c r="AM314" i="6"/>
  <c r="AM347" i="6"/>
  <c r="AM348" i="6" s="1"/>
  <c r="AM337" i="6"/>
  <c r="AO308" i="6"/>
  <c r="AO310" i="6" s="1"/>
  <c r="AP307" i="6"/>
  <c r="AN343" i="6"/>
  <c r="AN327" i="6"/>
  <c r="AN339" i="6" s="1"/>
  <c r="AN326" i="6"/>
  <c r="AN338" i="6" s="1"/>
  <c r="AN325" i="6"/>
  <c r="AN312" i="6"/>
  <c r="AN313" i="6" s="1"/>
  <c r="AN301" i="6"/>
  <c r="AN300" i="6"/>
  <c r="AN299" i="6"/>
  <c r="AN298" i="6"/>
  <c r="AN297" i="6"/>
  <c r="AN296" i="6"/>
  <c r="AN295" i="6"/>
  <c r="AN294" i="6"/>
  <c r="AN293" i="6"/>
  <c r="AN292" i="6"/>
  <c r="AN291" i="6"/>
  <c r="AN290" i="6"/>
  <c r="AN289" i="6"/>
  <c r="AN288" i="6"/>
  <c r="AN287" i="6"/>
  <c r="AN286" i="6"/>
  <c r="AN285" i="6"/>
  <c r="AN284" i="6"/>
  <c r="AN283" i="6"/>
  <c r="AN282" i="6"/>
  <c r="AN275" i="6"/>
  <c r="AN274" i="6"/>
  <c r="AN273" i="6"/>
  <c r="AN272" i="6"/>
  <c r="AN271" i="6"/>
  <c r="AN270" i="6"/>
  <c r="AN269" i="6"/>
  <c r="AN268" i="6"/>
  <c r="AN267" i="6"/>
  <c r="AN266" i="6"/>
  <c r="AN265" i="6"/>
  <c r="AN264" i="6"/>
  <c r="AP92" i="6"/>
  <c r="AQ67" i="6"/>
  <c r="AZ46" i="6"/>
  <c r="AY63" i="6"/>
  <c r="BB41" i="6"/>
  <c r="AK18" i="6" l="1"/>
  <c r="AM213" i="6"/>
  <c r="AL11" i="6"/>
  <c r="AL10" i="6"/>
  <c r="AL16" i="6"/>
  <c r="AL14" i="6"/>
  <c r="AL13" i="6"/>
  <c r="AL12" i="6"/>
  <c r="AN302" i="6"/>
  <c r="AN277" i="6"/>
  <c r="BC41" i="6"/>
  <c r="BA46" i="6"/>
  <c r="AZ63" i="6"/>
  <c r="AQ92" i="6"/>
  <c r="AR67" i="6"/>
  <c r="AN336" i="6"/>
  <c r="AN316" i="6"/>
  <c r="AN314" i="6"/>
  <c r="AN347" i="6"/>
  <c r="AN348" i="6" s="1"/>
  <c r="AN337" i="6"/>
  <c r="AP308" i="6"/>
  <c r="AP310" i="6" s="1"/>
  <c r="AQ307" i="6"/>
  <c r="AO343" i="6"/>
  <c r="AO327" i="6"/>
  <c r="AO339" i="6" s="1"/>
  <c r="AO326" i="6"/>
  <c r="AO338" i="6" s="1"/>
  <c r="AO325" i="6"/>
  <c r="AO312" i="6"/>
  <c r="AO313" i="6" s="1"/>
  <c r="AO301" i="6"/>
  <c r="AO300" i="6"/>
  <c r="AO299" i="6"/>
  <c r="AO298" i="6"/>
  <c r="AO297" i="6"/>
  <c r="AO296" i="6"/>
  <c r="AO295" i="6"/>
  <c r="AO294" i="6"/>
  <c r="AO293" i="6"/>
  <c r="AO292" i="6"/>
  <c r="AO291" i="6"/>
  <c r="AO290" i="6"/>
  <c r="AO289" i="6"/>
  <c r="AO288" i="6"/>
  <c r="AO287" i="6"/>
  <c r="AO286" i="6"/>
  <c r="AO285" i="6"/>
  <c r="AO284" i="6"/>
  <c r="AO283" i="6"/>
  <c r="AO282" i="6"/>
  <c r="AO275" i="6"/>
  <c r="AO274" i="6"/>
  <c r="AO273" i="6"/>
  <c r="AO272" i="6"/>
  <c r="AO271" i="6"/>
  <c r="AO270" i="6"/>
  <c r="AO269" i="6"/>
  <c r="AO268" i="6"/>
  <c r="AO267" i="6"/>
  <c r="AO266" i="6"/>
  <c r="AO265" i="6"/>
  <c r="AO264" i="6"/>
  <c r="AP322" i="6"/>
  <c r="AQ319" i="6"/>
  <c r="AL17" i="6" l="1"/>
  <c r="AO302" i="6"/>
  <c r="AN213" i="6"/>
  <c r="AM16" i="6"/>
  <c r="AM14" i="6"/>
  <c r="AM13" i="6"/>
  <c r="AM12" i="6"/>
  <c r="AM11" i="6"/>
  <c r="AM10" i="6"/>
  <c r="AM17" i="6" s="1"/>
  <c r="AO277" i="6"/>
  <c r="AL18" i="6"/>
  <c r="AQ322" i="6"/>
  <c r="AR319" i="6"/>
  <c r="AO336" i="6"/>
  <c r="AO316" i="6"/>
  <c r="AO314" i="6"/>
  <c r="AO347" i="6"/>
  <c r="AO348" i="6" s="1"/>
  <c r="AO337" i="6"/>
  <c r="AQ308" i="6"/>
  <c r="AQ310" i="6" s="1"/>
  <c r="AR307" i="6"/>
  <c r="AP343" i="6"/>
  <c r="AP327" i="6"/>
  <c r="AP339" i="6" s="1"/>
  <c r="AP326" i="6"/>
  <c r="AP338" i="6" s="1"/>
  <c r="AP325" i="6"/>
  <c r="AP312" i="6"/>
  <c r="AP313" i="6" s="1"/>
  <c r="AP301" i="6"/>
  <c r="AP300" i="6"/>
  <c r="AP299" i="6"/>
  <c r="AP298" i="6"/>
  <c r="AP297" i="6"/>
  <c r="AP296" i="6"/>
  <c r="AP295" i="6"/>
  <c r="AP294" i="6"/>
  <c r="AP293" i="6"/>
  <c r="AP292" i="6"/>
  <c r="AP291" i="6"/>
  <c r="AP290" i="6"/>
  <c r="AP289" i="6"/>
  <c r="AP288" i="6"/>
  <c r="AP287" i="6"/>
  <c r="AP286" i="6"/>
  <c r="AP285" i="6"/>
  <c r="AP284" i="6"/>
  <c r="AP283" i="6"/>
  <c r="AP282" i="6"/>
  <c r="AP275" i="6"/>
  <c r="AP274" i="6"/>
  <c r="AP273" i="6"/>
  <c r="AP272" i="6"/>
  <c r="AP271" i="6"/>
  <c r="AP270" i="6"/>
  <c r="AP269" i="6"/>
  <c r="AP268" i="6"/>
  <c r="AP267" i="6"/>
  <c r="AP266" i="6"/>
  <c r="AP265" i="6"/>
  <c r="AP264" i="6"/>
  <c r="AR92" i="6"/>
  <c r="AS67" i="6"/>
  <c r="BB46" i="6"/>
  <c r="BA63" i="6"/>
  <c r="BD41" i="6"/>
  <c r="AM18" i="6" l="1"/>
  <c r="AO213" i="6"/>
  <c r="AN11" i="6"/>
  <c r="AN10" i="6"/>
  <c r="AN16" i="6"/>
  <c r="AN14" i="6"/>
  <c r="AN13" i="6"/>
  <c r="AN12" i="6"/>
  <c r="AP302" i="6"/>
  <c r="AP277" i="6"/>
  <c r="BE41" i="6"/>
  <c r="BC46" i="6"/>
  <c r="BB63" i="6"/>
  <c r="AS92" i="6"/>
  <c r="AT67" i="6"/>
  <c r="AP336" i="6"/>
  <c r="AP316" i="6"/>
  <c r="AP314" i="6"/>
  <c r="AP347" i="6"/>
  <c r="AP348" i="6" s="1"/>
  <c r="AP337" i="6"/>
  <c r="AR308" i="6"/>
  <c r="AR310" i="6" s="1"/>
  <c r="AS307" i="6"/>
  <c r="AQ343" i="6"/>
  <c r="AQ327" i="6"/>
  <c r="AQ339" i="6" s="1"/>
  <c r="AQ326" i="6"/>
  <c r="AQ338" i="6" s="1"/>
  <c r="AQ325" i="6"/>
  <c r="AQ312" i="6"/>
  <c r="AQ313" i="6" s="1"/>
  <c r="AQ301" i="6"/>
  <c r="AQ300" i="6"/>
  <c r="AQ299" i="6"/>
  <c r="AQ298" i="6"/>
  <c r="AQ297" i="6"/>
  <c r="AQ296" i="6"/>
  <c r="AQ295" i="6"/>
  <c r="AQ294" i="6"/>
  <c r="AQ293" i="6"/>
  <c r="AQ292" i="6"/>
  <c r="AQ291" i="6"/>
  <c r="AQ290" i="6"/>
  <c r="AQ289" i="6"/>
  <c r="AQ288" i="6"/>
  <c r="AQ287" i="6"/>
  <c r="AQ286" i="6"/>
  <c r="AQ285" i="6"/>
  <c r="AQ284" i="6"/>
  <c r="AQ283" i="6"/>
  <c r="AQ282" i="6"/>
  <c r="AQ275" i="6"/>
  <c r="AQ274" i="6"/>
  <c r="AQ273" i="6"/>
  <c r="AQ272" i="6"/>
  <c r="AQ271" i="6"/>
  <c r="AQ270" i="6"/>
  <c r="AQ269" i="6"/>
  <c r="AQ268" i="6"/>
  <c r="AQ267" i="6"/>
  <c r="AQ266" i="6"/>
  <c r="AQ265" i="6"/>
  <c r="AQ264" i="6"/>
  <c r="AR322" i="6"/>
  <c r="AS319" i="6"/>
  <c r="AN17" i="6" l="1"/>
  <c r="AQ302" i="6"/>
  <c r="AP213" i="6"/>
  <c r="AO16" i="6"/>
  <c r="AO14" i="6"/>
  <c r="AO12" i="6"/>
  <c r="AO11" i="6"/>
  <c r="AO10" i="6"/>
  <c r="AO13" i="6"/>
  <c r="AQ277" i="6"/>
  <c r="AN18" i="6"/>
  <c r="AS322" i="6"/>
  <c r="AT319" i="6"/>
  <c r="AQ336" i="6"/>
  <c r="AQ316" i="6"/>
  <c r="AQ314" i="6"/>
  <c r="AQ347" i="6"/>
  <c r="AQ348" i="6" s="1"/>
  <c r="AQ337" i="6"/>
  <c r="AS308" i="6"/>
  <c r="AS310" i="6" s="1"/>
  <c r="AT307" i="6"/>
  <c r="AR343" i="6"/>
  <c r="AR327" i="6"/>
  <c r="AR339" i="6" s="1"/>
  <c r="AR326" i="6"/>
  <c r="AR338" i="6" s="1"/>
  <c r="AR325" i="6"/>
  <c r="AR312" i="6"/>
  <c r="AR313" i="6" s="1"/>
  <c r="AR301" i="6"/>
  <c r="AR300" i="6"/>
  <c r="AR299" i="6"/>
  <c r="AR298" i="6"/>
  <c r="AR297" i="6"/>
  <c r="AR296" i="6"/>
  <c r="AR295" i="6"/>
  <c r="AR294" i="6"/>
  <c r="AR293" i="6"/>
  <c r="AR292" i="6"/>
  <c r="AR291" i="6"/>
  <c r="AR290" i="6"/>
  <c r="AR289" i="6"/>
  <c r="AR288" i="6"/>
  <c r="AR287" i="6"/>
  <c r="AR286" i="6"/>
  <c r="AR285" i="6"/>
  <c r="AR284" i="6"/>
  <c r="AR283" i="6"/>
  <c r="AR282" i="6"/>
  <c r="AR275" i="6"/>
  <c r="AR274" i="6"/>
  <c r="AR273" i="6"/>
  <c r="AR272" i="6"/>
  <c r="AR271" i="6"/>
  <c r="AR270" i="6"/>
  <c r="AR269" i="6"/>
  <c r="AR268" i="6"/>
  <c r="AR267" i="6"/>
  <c r="AR266" i="6"/>
  <c r="AR265" i="6"/>
  <c r="AR264" i="6"/>
  <c r="AT92" i="6"/>
  <c r="AU67" i="6"/>
  <c r="BD46" i="6"/>
  <c r="BC63" i="6"/>
  <c r="BF41" i="6"/>
  <c r="AO17" i="6" l="1"/>
  <c r="AO18" i="6"/>
  <c r="AR302" i="6"/>
  <c r="AQ213" i="6"/>
  <c r="AP11" i="6"/>
  <c r="AP10" i="6"/>
  <c r="AP16" i="6"/>
  <c r="AP14" i="6"/>
  <c r="AP13" i="6"/>
  <c r="AP12" i="6"/>
  <c r="AR277" i="6"/>
  <c r="BG41" i="6"/>
  <c r="BE46" i="6"/>
  <c r="BD63" i="6"/>
  <c r="AU92" i="6"/>
  <c r="AV67" i="6"/>
  <c r="AR336" i="6"/>
  <c r="AR316" i="6"/>
  <c r="AR314" i="6"/>
  <c r="AR347" i="6"/>
  <c r="AR348" i="6" s="1"/>
  <c r="AR337" i="6"/>
  <c r="AT308" i="6"/>
  <c r="AT310" i="6" s="1"/>
  <c r="AU307" i="6"/>
  <c r="AS343" i="6"/>
  <c r="AS327" i="6"/>
  <c r="AS339" i="6" s="1"/>
  <c r="AS326" i="6"/>
  <c r="AS338" i="6" s="1"/>
  <c r="AS325" i="6"/>
  <c r="AS312" i="6"/>
  <c r="AS313" i="6" s="1"/>
  <c r="AS301" i="6"/>
  <c r="AS300" i="6"/>
  <c r="AS299" i="6"/>
  <c r="AS298" i="6"/>
  <c r="AS297" i="6"/>
  <c r="AS296" i="6"/>
  <c r="AS295" i="6"/>
  <c r="AS294" i="6"/>
  <c r="AS293" i="6"/>
  <c r="AS292" i="6"/>
  <c r="AS291" i="6"/>
  <c r="AS290" i="6"/>
  <c r="AS289" i="6"/>
  <c r="AS288" i="6"/>
  <c r="AS287" i="6"/>
  <c r="AS286" i="6"/>
  <c r="AS285" i="6"/>
  <c r="AS284" i="6"/>
  <c r="AS283" i="6"/>
  <c r="AS282" i="6"/>
  <c r="AS275" i="6"/>
  <c r="AS274" i="6"/>
  <c r="AS273" i="6"/>
  <c r="AS272" i="6"/>
  <c r="AS271" i="6"/>
  <c r="AS270" i="6"/>
  <c r="AS269" i="6"/>
  <c r="AS268" i="6"/>
  <c r="AS267" i="6"/>
  <c r="AS266" i="6"/>
  <c r="AS265" i="6"/>
  <c r="AS264" i="6"/>
  <c r="AT322" i="6"/>
  <c r="AU319" i="6"/>
  <c r="AP17" i="6" l="1"/>
  <c r="AS302" i="6"/>
  <c r="AR213" i="6"/>
  <c r="AQ16" i="6"/>
  <c r="AQ12" i="6"/>
  <c r="AQ13" i="6"/>
  <c r="AQ14" i="6"/>
  <c r="AQ10" i="6"/>
  <c r="AQ11" i="6"/>
  <c r="AP18" i="6"/>
  <c r="AS277" i="6"/>
  <c r="AU322" i="6"/>
  <c r="AV319" i="6"/>
  <c r="AS336" i="6"/>
  <c r="AS316" i="6"/>
  <c r="AS314" i="6"/>
  <c r="AS347" i="6"/>
  <c r="AS348" i="6" s="1"/>
  <c r="AS337" i="6"/>
  <c r="AU308" i="6"/>
  <c r="AU310" i="6" s="1"/>
  <c r="AV307" i="6"/>
  <c r="AT343" i="6"/>
  <c r="AT327" i="6"/>
  <c r="AT339" i="6" s="1"/>
  <c r="AT326" i="6"/>
  <c r="AT338" i="6" s="1"/>
  <c r="AT325" i="6"/>
  <c r="AT312" i="6"/>
  <c r="AT313" i="6" s="1"/>
  <c r="AT301" i="6"/>
  <c r="AT300" i="6"/>
  <c r="AT299" i="6"/>
  <c r="AT298" i="6"/>
  <c r="AT297" i="6"/>
  <c r="AT296" i="6"/>
  <c r="AT295" i="6"/>
  <c r="AT294" i="6"/>
  <c r="AT293" i="6"/>
  <c r="AT292" i="6"/>
  <c r="AT291" i="6"/>
  <c r="AT290" i="6"/>
  <c r="AT289" i="6"/>
  <c r="AT288" i="6"/>
  <c r="AT287" i="6"/>
  <c r="AT286" i="6"/>
  <c r="AT285" i="6"/>
  <c r="AT284" i="6"/>
  <c r="AT283" i="6"/>
  <c r="AT282" i="6"/>
  <c r="AT275" i="6"/>
  <c r="AT274" i="6"/>
  <c r="AT273" i="6"/>
  <c r="AT272" i="6"/>
  <c r="AT271" i="6"/>
  <c r="AT270" i="6"/>
  <c r="AT269" i="6"/>
  <c r="AT268" i="6"/>
  <c r="AT267" i="6"/>
  <c r="AT266" i="6"/>
  <c r="AT265" i="6"/>
  <c r="AT264" i="6"/>
  <c r="AV92" i="6"/>
  <c r="AW67" i="6"/>
  <c r="BF46" i="6"/>
  <c r="BE63" i="6"/>
  <c r="BH41" i="6"/>
  <c r="AQ17" i="6" l="1"/>
  <c r="AQ18" i="6" s="1"/>
  <c r="AS213" i="6"/>
  <c r="AR11" i="6"/>
  <c r="AR10" i="6"/>
  <c r="AR16" i="6"/>
  <c r="AR14" i="6"/>
  <c r="AR13" i="6"/>
  <c r="AR12" i="6"/>
  <c r="AT302" i="6"/>
  <c r="AT277" i="6"/>
  <c r="BI41" i="6"/>
  <c r="BG46" i="6"/>
  <c r="BF63" i="6"/>
  <c r="AW92" i="6"/>
  <c r="AX67" i="6"/>
  <c r="AT336" i="6"/>
  <c r="AT316" i="6"/>
  <c r="AT314" i="6"/>
  <c r="AT347" i="6"/>
  <c r="AT348" i="6" s="1"/>
  <c r="AT337" i="6"/>
  <c r="AV308" i="6"/>
  <c r="AV310" i="6" s="1"/>
  <c r="AW307" i="6"/>
  <c r="AU343" i="6"/>
  <c r="AU327" i="6"/>
  <c r="AU339" i="6" s="1"/>
  <c r="AU326" i="6"/>
  <c r="AU338" i="6" s="1"/>
  <c r="AU325" i="6"/>
  <c r="AU312" i="6"/>
  <c r="AU313" i="6" s="1"/>
  <c r="AU301" i="6"/>
  <c r="AU300" i="6"/>
  <c r="AU299" i="6"/>
  <c r="AU298" i="6"/>
  <c r="AU297" i="6"/>
  <c r="AU296" i="6"/>
  <c r="AU295" i="6"/>
  <c r="AU294" i="6"/>
  <c r="AU293" i="6"/>
  <c r="AU292" i="6"/>
  <c r="AU291" i="6"/>
  <c r="AU290" i="6"/>
  <c r="AU289" i="6"/>
  <c r="AU288" i="6"/>
  <c r="AU287" i="6"/>
  <c r="AU286" i="6"/>
  <c r="AU285" i="6"/>
  <c r="AU284" i="6"/>
  <c r="AU283" i="6"/>
  <c r="AU282" i="6"/>
  <c r="AU275" i="6"/>
  <c r="AU274" i="6"/>
  <c r="AU273" i="6"/>
  <c r="AU272" i="6"/>
  <c r="AU271" i="6"/>
  <c r="AU270" i="6"/>
  <c r="AU269" i="6"/>
  <c r="AU268" i="6"/>
  <c r="AU267" i="6"/>
  <c r="AU266" i="6"/>
  <c r="AU265" i="6"/>
  <c r="AU264" i="6"/>
  <c r="AV322" i="6"/>
  <c r="AW319" i="6"/>
  <c r="AR17" i="6" l="1"/>
  <c r="AR18" i="6" s="1"/>
  <c r="AS18" i="6" s="1"/>
  <c r="AT213" i="6"/>
  <c r="AS15" i="6"/>
  <c r="AS12" i="6"/>
  <c r="AS11" i="6"/>
  <c r="AS14" i="6"/>
  <c r="AS13" i="6"/>
  <c r="AS16" i="6"/>
  <c r="AS10" i="6"/>
  <c r="AS17" i="6" s="1"/>
  <c r="AU302" i="6"/>
  <c r="AU277" i="6"/>
  <c r="AW322" i="6"/>
  <c r="AX319" i="6"/>
  <c r="AU336" i="6"/>
  <c r="AU316" i="6"/>
  <c r="AU314" i="6"/>
  <c r="AU347" i="6"/>
  <c r="AU348" i="6" s="1"/>
  <c r="AU337" i="6"/>
  <c r="AW308" i="6"/>
  <c r="AW310" i="6" s="1"/>
  <c r="AX307" i="6"/>
  <c r="AV343" i="6"/>
  <c r="AV327" i="6"/>
  <c r="AV339" i="6" s="1"/>
  <c r="AV326" i="6"/>
  <c r="AV338" i="6" s="1"/>
  <c r="AV325" i="6"/>
  <c r="AV312" i="6"/>
  <c r="AV313" i="6" s="1"/>
  <c r="AV301" i="6"/>
  <c r="AV300" i="6"/>
  <c r="AV299" i="6"/>
  <c r="AV298" i="6"/>
  <c r="AV297" i="6"/>
  <c r="AV296" i="6"/>
  <c r="AV295" i="6"/>
  <c r="AV294" i="6"/>
  <c r="AV293" i="6"/>
  <c r="AV292" i="6"/>
  <c r="AV291" i="6"/>
  <c r="AV290" i="6"/>
  <c r="AV289" i="6"/>
  <c r="AV288" i="6"/>
  <c r="AV287" i="6"/>
  <c r="AV286" i="6"/>
  <c r="AV285" i="6"/>
  <c r="AV284" i="6"/>
  <c r="AV283" i="6"/>
  <c r="AV282" i="6"/>
  <c r="AV275" i="6"/>
  <c r="AV274" i="6"/>
  <c r="AV273" i="6"/>
  <c r="AV272" i="6"/>
  <c r="AV271" i="6"/>
  <c r="AV270" i="6"/>
  <c r="AV269" i="6"/>
  <c r="AV268" i="6"/>
  <c r="AV267" i="6"/>
  <c r="AV266" i="6"/>
  <c r="AV265" i="6"/>
  <c r="AV264" i="6"/>
  <c r="AX92" i="6"/>
  <c r="AY67" i="6"/>
  <c r="BH46" i="6"/>
  <c r="BG63" i="6"/>
  <c r="BJ41" i="6"/>
  <c r="AV302" i="6" l="1"/>
  <c r="AU213" i="6"/>
  <c r="AT10" i="6"/>
  <c r="AT12" i="6"/>
  <c r="AT11" i="6"/>
  <c r="AT14" i="6"/>
  <c r="AT13" i="6"/>
  <c r="AT16" i="6"/>
  <c r="AV277" i="6"/>
  <c r="BK41" i="6"/>
  <c r="BI46" i="6"/>
  <c r="BH63" i="6"/>
  <c r="AY92" i="6"/>
  <c r="AZ67" i="6"/>
  <c r="AV336" i="6"/>
  <c r="AV316" i="6"/>
  <c r="AV314" i="6"/>
  <c r="AV347" i="6"/>
  <c r="AV348" i="6" s="1"/>
  <c r="AV337" i="6"/>
  <c r="AX308" i="6"/>
  <c r="AX310" i="6" s="1"/>
  <c r="AY307" i="6"/>
  <c r="AW343" i="6"/>
  <c r="AW327" i="6"/>
  <c r="AW339" i="6" s="1"/>
  <c r="AW326" i="6"/>
  <c r="AW338" i="6" s="1"/>
  <c r="AW325" i="6"/>
  <c r="AW312" i="6"/>
  <c r="AW313" i="6" s="1"/>
  <c r="AW301" i="6"/>
  <c r="AW300" i="6"/>
  <c r="AW299" i="6"/>
  <c r="AW298" i="6"/>
  <c r="AW297" i="6"/>
  <c r="AW296" i="6"/>
  <c r="AW295" i="6"/>
  <c r="AW294" i="6"/>
  <c r="AW293" i="6"/>
  <c r="AW292" i="6"/>
  <c r="AW291" i="6"/>
  <c r="AW290" i="6"/>
  <c r="AW289" i="6"/>
  <c r="AW288" i="6"/>
  <c r="AW287" i="6"/>
  <c r="AW286" i="6"/>
  <c r="AW285" i="6"/>
  <c r="AW284" i="6"/>
  <c r="AW283" i="6"/>
  <c r="AW282" i="6"/>
  <c r="AW275" i="6"/>
  <c r="AW274" i="6"/>
  <c r="AW273" i="6"/>
  <c r="AW272" i="6"/>
  <c r="AW271" i="6"/>
  <c r="AW270" i="6"/>
  <c r="AW269" i="6"/>
  <c r="AW268" i="6"/>
  <c r="AW267" i="6"/>
  <c r="AW266" i="6"/>
  <c r="AW265" i="6"/>
  <c r="AW264" i="6"/>
  <c r="AX322" i="6"/>
  <c r="AY319" i="6"/>
  <c r="AW302" i="6" l="1"/>
  <c r="AW277" i="6"/>
  <c r="AT17" i="6"/>
  <c r="AT18" i="6" s="1"/>
  <c r="AV213" i="6"/>
  <c r="AU16" i="6"/>
  <c r="AU15" i="6"/>
  <c r="AU14" i="6"/>
  <c r="AU11" i="6"/>
  <c r="AU10" i="6"/>
  <c r="AU12" i="6"/>
  <c r="AU13" i="6"/>
  <c r="AY322" i="6"/>
  <c r="AZ319" i="6"/>
  <c r="AW336" i="6"/>
  <c r="AW316" i="6"/>
  <c r="AW314" i="6"/>
  <c r="AW347" i="6"/>
  <c r="AW348" i="6" s="1"/>
  <c r="AW337" i="6"/>
  <c r="AY308" i="6"/>
  <c r="AY310" i="6" s="1"/>
  <c r="AZ307" i="6"/>
  <c r="AX343" i="6"/>
  <c r="AX327" i="6"/>
  <c r="AX339" i="6" s="1"/>
  <c r="AX326" i="6"/>
  <c r="AX338" i="6" s="1"/>
  <c r="AX325" i="6"/>
  <c r="AX312" i="6"/>
  <c r="AX313" i="6" s="1"/>
  <c r="AX301" i="6"/>
  <c r="AX300" i="6"/>
  <c r="AX299" i="6"/>
  <c r="AX298" i="6"/>
  <c r="AX297" i="6"/>
  <c r="AX296" i="6"/>
  <c r="AX295" i="6"/>
  <c r="AX294" i="6"/>
  <c r="AX293" i="6"/>
  <c r="AX292" i="6"/>
  <c r="AX291" i="6"/>
  <c r="AX290" i="6"/>
  <c r="AX289" i="6"/>
  <c r="AX288" i="6"/>
  <c r="AX287" i="6"/>
  <c r="AX286" i="6"/>
  <c r="AX285" i="6"/>
  <c r="AX284" i="6"/>
  <c r="AX283" i="6"/>
  <c r="AX282" i="6"/>
  <c r="AX275" i="6"/>
  <c r="AX274" i="6"/>
  <c r="AX273" i="6"/>
  <c r="AX272" i="6"/>
  <c r="AX271" i="6"/>
  <c r="AX270" i="6"/>
  <c r="AX269" i="6"/>
  <c r="AX268" i="6"/>
  <c r="AX267" i="6"/>
  <c r="AX266" i="6"/>
  <c r="AX265" i="6"/>
  <c r="AX264" i="6"/>
  <c r="AZ92" i="6"/>
  <c r="BA67" i="6"/>
  <c r="BJ46" i="6"/>
  <c r="BI63" i="6"/>
  <c r="BL41" i="6"/>
  <c r="AU17" i="6" l="1"/>
  <c r="AW213" i="6"/>
  <c r="AV10" i="6"/>
  <c r="AV16" i="6"/>
  <c r="AV11" i="6"/>
  <c r="AV15" i="6"/>
  <c r="AV13" i="6"/>
  <c r="AV12" i="6"/>
  <c r="AV14" i="6"/>
  <c r="AX302" i="6"/>
  <c r="AU18" i="6"/>
  <c r="AX277" i="6"/>
  <c r="BM41" i="6"/>
  <c r="BK46" i="6"/>
  <c r="BJ63" i="6"/>
  <c r="BA92" i="6"/>
  <c r="BB67" i="6"/>
  <c r="AX336" i="6"/>
  <c r="AX316" i="6"/>
  <c r="AX314" i="6"/>
  <c r="AX347" i="6"/>
  <c r="AX348" i="6" s="1"/>
  <c r="AX337" i="6"/>
  <c r="AZ308" i="6"/>
  <c r="AZ310" i="6" s="1"/>
  <c r="BA307" i="6"/>
  <c r="AY343" i="6"/>
  <c r="AY327" i="6"/>
  <c r="AY339" i="6" s="1"/>
  <c r="AY326" i="6"/>
  <c r="AY338" i="6" s="1"/>
  <c r="AY325" i="6"/>
  <c r="AY312" i="6"/>
  <c r="AY313" i="6" s="1"/>
  <c r="AY301" i="6"/>
  <c r="AY300" i="6"/>
  <c r="AY299" i="6"/>
  <c r="AY298" i="6"/>
  <c r="AY297" i="6"/>
  <c r="AY296" i="6"/>
  <c r="AY295" i="6"/>
  <c r="AY294" i="6"/>
  <c r="AY293" i="6"/>
  <c r="AY292" i="6"/>
  <c r="AY291" i="6"/>
  <c r="AY290" i="6"/>
  <c r="AY289" i="6"/>
  <c r="AY288" i="6"/>
  <c r="AY287" i="6"/>
  <c r="AY286" i="6"/>
  <c r="AY285" i="6"/>
  <c r="AY284" i="6"/>
  <c r="AY283" i="6"/>
  <c r="AY282" i="6"/>
  <c r="AY275" i="6"/>
  <c r="AY274" i="6"/>
  <c r="AY273" i="6"/>
  <c r="AY272" i="6"/>
  <c r="AY271" i="6"/>
  <c r="AY270" i="6"/>
  <c r="AY269" i="6"/>
  <c r="AY268" i="6"/>
  <c r="AY267" i="6"/>
  <c r="AY266" i="6"/>
  <c r="AY265" i="6"/>
  <c r="AY264" i="6"/>
  <c r="AZ322" i="6"/>
  <c r="BA319" i="6"/>
  <c r="AY302" i="6" l="1"/>
  <c r="AV17" i="6"/>
  <c r="AV18" i="6" s="1"/>
  <c r="AW18" i="6" s="1"/>
  <c r="AX213" i="6"/>
  <c r="AW12" i="6"/>
  <c r="AW16" i="6"/>
  <c r="AW11" i="6"/>
  <c r="AW14" i="6"/>
  <c r="AW10" i="6"/>
  <c r="AW17" i="6" s="1"/>
  <c r="AW13" i="6"/>
  <c r="AY277" i="6"/>
  <c r="BA322" i="6"/>
  <c r="BB319" i="6"/>
  <c r="AY336" i="6"/>
  <c r="AY316" i="6"/>
  <c r="AY314" i="6"/>
  <c r="AY347" i="6"/>
  <c r="AY348" i="6" s="1"/>
  <c r="AY337" i="6"/>
  <c r="BA308" i="6"/>
  <c r="BA310" i="6" s="1"/>
  <c r="BB307" i="6"/>
  <c r="AZ343" i="6"/>
  <c r="AZ327" i="6"/>
  <c r="AZ339" i="6" s="1"/>
  <c r="AZ326" i="6"/>
  <c r="AZ338" i="6" s="1"/>
  <c r="AZ325" i="6"/>
  <c r="AZ312" i="6"/>
  <c r="AZ313" i="6" s="1"/>
  <c r="AZ301" i="6"/>
  <c r="AZ300" i="6"/>
  <c r="AZ299" i="6"/>
  <c r="AZ298" i="6"/>
  <c r="AZ297" i="6"/>
  <c r="AZ296" i="6"/>
  <c r="AZ295" i="6"/>
  <c r="AZ294" i="6"/>
  <c r="AZ293" i="6"/>
  <c r="AZ292" i="6"/>
  <c r="AZ291" i="6"/>
  <c r="AZ290" i="6"/>
  <c r="AZ289" i="6"/>
  <c r="AZ288" i="6"/>
  <c r="AZ287" i="6"/>
  <c r="AZ286" i="6"/>
  <c r="AZ285" i="6"/>
  <c r="AZ284" i="6"/>
  <c r="AZ283" i="6"/>
  <c r="AZ282" i="6"/>
  <c r="AZ275" i="6"/>
  <c r="AZ274" i="6"/>
  <c r="AZ273" i="6"/>
  <c r="AZ272" i="6"/>
  <c r="AZ271" i="6"/>
  <c r="AZ270" i="6"/>
  <c r="AZ269" i="6"/>
  <c r="AZ268" i="6"/>
  <c r="AZ267" i="6"/>
  <c r="AZ266" i="6"/>
  <c r="AZ265" i="6"/>
  <c r="AZ264" i="6"/>
  <c r="BB92" i="6"/>
  <c r="BC67" i="6"/>
  <c r="BL46" i="6"/>
  <c r="BK63" i="6"/>
  <c r="E41" i="6"/>
  <c r="AY213" i="6" l="1"/>
  <c r="AX16" i="6"/>
  <c r="AX14" i="6"/>
  <c r="AX12" i="6"/>
  <c r="AX11" i="6"/>
  <c r="AX10" i="6"/>
  <c r="AX13" i="6"/>
  <c r="AX15" i="6"/>
  <c r="AZ302" i="6"/>
  <c r="AZ277" i="6"/>
  <c r="BM46" i="6"/>
  <c r="BL63" i="6"/>
  <c r="BC92" i="6"/>
  <c r="BD67" i="6"/>
  <c r="AZ336" i="6"/>
  <c r="AZ316" i="6"/>
  <c r="AZ314" i="6"/>
  <c r="AZ347" i="6"/>
  <c r="AZ348" i="6" s="1"/>
  <c r="AZ337" i="6"/>
  <c r="BB308" i="6"/>
  <c r="BB310" i="6" s="1"/>
  <c r="BC307" i="6"/>
  <c r="BA343" i="6"/>
  <c r="BA327" i="6"/>
  <c r="BA339" i="6" s="1"/>
  <c r="BA326" i="6"/>
  <c r="BA338" i="6" s="1"/>
  <c r="BA325" i="6"/>
  <c r="BA312" i="6"/>
  <c r="BA313" i="6" s="1"/>
  <c r="BA301" i="6"/>
  <c r="BA300" i="6"/>
  <c r="BA299" i="6"/>
  <c r="BA298" i="6"/>
  <c r="BA297" i="6"/>
  <c r="BA296" i="6"/>
  <c r="BA295" i="6"/>
  <c r="BA294" i="6"/>
  <c r="BA293" i="6"/>
  <c r="BA292" i="6"/>
  <c r="BA291" i="6"/>
  <c r="BA290" i="6"/>
  <c r="BA289" i="6"/>
  <c r="BA288" i="6"/>
  <c r="BA287" i="6"/>
  <c r="BA286" i="6"/>
  <c r="BA285" i="6"/>
  <c r="BA284" i="6"/>
  <c r="BA283" i="6"/>
  <c r="BA282" i="6"/>
  <c r="BA275" i="6"/>
  <c r="BA274" i="6"/>
  <c r="BA273" i="6"/>
  <c r="BA272" i="6"/>
  <c r="BA271" i="6"/>
  <c r="BA270" i="6"/>
  <c r="BA269" i="6"/>
  <c r="BA268" i="6"/>
  <c r="BA267" i="6"/>
  <c r="BA266" i="6"/>
  <c r="BA265" i="6"/>
  <c r="BA264" i="6"/>
  <c r="BB322" i="6"/>
  <c r="BC319" i="6"/>
  <c r="AX17" i="6" l="1"/>
  <c r="AX18" i="6" s="1"/>
  <c r="BA302" i="6"/>
  <c r="AZ213" i="6"/>
  <c r="AY14" i="6"/>
  <c r="AY13" i="6"/>
  <c r="AY12" i="6"/>
  <c r="AY11" i="6"/>
  <c r="AY10" i="6"/>
  <c r="AY16" i="6"/>
  <c r="AY15" i="6"/>
  <c r="BA277" i="6"/>
  <c r="BC322" i="6"/>
  <c r="BD319" i="6"/>
  <c r="BA336" i="6"/>
  <c r="BA316" i="6"/>
  <c r="BA314" i="6"/>
  <c r="BA347" i="6"/>
  <c r="BA348" i="6" s="1"/>
  <c r="BA337" i="6"/>
  <c r="BC308" i="6"/>
  <c r="BC310" i="6" s="1"/>
  <c r="BD307" i="6"/>
  <c r="BB343" i="6"/>
  <c r="BB327" i="6"/>
  <c r="BB339" i="6" s="1"/>
  <c r="BB326" i="6"/>
  <c r="BB338" i="6" s="1"/>
  <c r="BB325" i="6"/>
  <c r="BB312" i="6"/>
  <c r="BB313" i="6" s="1"/>
  <c r="BB301" i="6"/>
  <c r="BB300" i="6"/>
  <c r="BB299" i="6"/>
  <c r="BB298" i="6"/>
  <c r="BB297" i="6"/>
  <c r="BB296" i="6"/>
  <c r="BB295" i="6"/>
  <c r="BB294" i="6"/>
  <c r="BB293" i="6"/>
  <c r="BB292" i="6"/>
  <c r="BB291" i="6"/>
  <c r="BB290" i="6"/>
  <c r="BB289" i="6"/>
  <c r="BB288" i="6"/>
  <c r="BB287" i="6"/>
  <c r="BB286" i="6"/>
  <c r="BB285" i="6"/>
  <c r="BB284" i="6"/>
  <c r="BB283" i="6"/>
  <c r="BB282" i="6"/>
  <c r="BB275" i="6"/>
  <c r="BB274" i="6"/>
  <c r="BB273" i="6"/>
  <c r="BB272" i="6"/>
  <c r="BB271" i="6"/>
  <c r="BB270" i="6"/>
  <c r="BB269" i="6"/>
  <c r="BB268" i="6"/>
  <c r="BB267" i="6"/>
  <c r="BB266" i="6"/>
  <c r="BB265" i="6"/>
  <c r="BB264" i="6"/>
  <c r="BD92" i="6"/>
  <c r="BE67" i="6"/>
  <c r="E46" i="6"/>
  <c r="BM63" i="6"/>
  <c r="E63" i="6" s="1"/>
  <c r="AY17" i="6" l="1"/>
  <c r="BB302" i="6"/>
  <c r="BA213" i="6"/>
  <c r="AZ14" i="6"/>
  <c r="AZ11" i="6"/>
  <c r="AZ12" i="6"/>
  <c r="AZ13" i="6"/>
  <c r="AZ10" i="6"/>
  <c r="AZ17" i="6" s="1"/>
  <c r="AZ16" i="6"/>
  <c r="BB277" i="6"/>
  <c r="AY18" i="6"/>
  <c r="BE92" i="6"/>
  <c r="BF67" i="6"/>
  <c r="BB336" i="6"/>
  <c r="BB316" i="6"/>
  <c r="BB314" i="6"/>
  <c r="BB347" i="6"/>
  <c r="BB348" i="6" s="1"/>
  <c r="BB337" i="6"/>
  <c r="BD308" i="6"/>
  <c r="BD310" i="6" s="1"/>
  <c r="BE307" i="6"/>
  <c r="BC343" i="6"/>
  <c r="BC327" i="6"/>
  <c r="BC339" i="6" s="1"/>
  <c r="BC326" i="6"/>
  <c r="BC338" i="6" s="1"/>
  <c r="BC325" i="6"/>
  <c r="BC312" i="6"/>
  <c r="BC313" i="6" s="1"/>
  <c r="BC301" i="6"/>
  <c r="BC300" i="6"/>
  <c r="BC299" i="6"/>
  <c r="BC298" i="6"/>
  <c r="BC297" i="6"/>
  <c r="BC296" i="6"/>
  <c r="BC295" i="6"/>
  <c r="BC294" i="6"/>
  <c r="BC293" i="6"/>
  <c r="BC292" i="6"/>
  <c r="BC291" i="6"/>
  <c r="BC290" i="6"/>
  <c r="BC289" i="6"/>
  <c r="BC288" i="6"/>
  <c r="BC287" i="6"/>
  <c r="BC286" i="6"/>
  <c r="BC285" i="6"/>
  <c r="BC284" i="6"/>
  <c r="BC283" i="6"/>
  <c r="BC282" i="6"/>
  <c r="BC275" i="6"/>
  <c r="BC274" i="6"/>
  <c r="BC273" i="6"/>
  <c r="BC272" i="6"/>
  <c r="BC271" i="6"/>
  <c r="BC270" i="6"/>
  <c r="BC269" i="6"/>
  <c r="BC268" i="6"/>
  <c r="BC267" i="6"/>
  <c r="BC266" i="6"/>
  <c r="BC265" i="6"/>
  <c r="BC264" i="6"/>
  <c r="BD322" i="6"/>
  <c r="BE319" i="6"/>
  <c r="AZ18" i="6" l="1"/>
  <c r="BC302" i="6"/>
  <c r="BB213" i="6"/>
  <c r="BA13" i="6"/>
  <c r="BA12" i="6"/>
  <c r="BA11" i="6"/>
  <c r="BA10" i="6"/>
  <c r="BA16" i="6"/>
  <c r="BA15" i="6"/>
  <c r="BA14" i="6"/>
  <c r="BC277" i="6"/>
  <c r="BE322" i="6"/>
  <c r="BF319" i="6"/>
  <c r="BC336" i="6"/>
  <c r="BC316" i="6"/>
  <c r="BC314" i="6"/>
  <c r="BC347" i="6"/>
  <c r="BC348" i="6" s="1"/>
  <c r="BC337" i="6"/>
  <c r="BE308" i="6"/>
  <c r="BE310" i="6" s="1"/>
  <c r="BF307" i="6"/>
  <c r="BD343" i="6"/>
  <c r="BD327" i="6"/>
  <c r="BD339" i="6" s="1"/>
  <c r="BD326" i="6"/>
  <c r="BD338" i="6" s="1"/>
  <c r="BD325" i="6"/>
  <c r="BD312" i="6"/>
  <c r="BD313" i="6" s="1"/>
  <c r="BD301" i="6"/>
  <c r="BD300" i="6"/>
  <c r="BD299" i="6"/>
  <c r="BD298" i="6"/>
  <c r="BD297" i="6"/>
  <c r="BD296" i="6"/>
  <c r="BD295" i="6"/>
  <c r="BD294" i="6"/>
  <c r="BD293" i="6"/>
  <c r="BD292" i="6"/>
  <c r="BD291" i="6"/>
  <c r="BD290" i="6"/>
  <c r="BD289" i="6"/>
  <c r="BD288" i="6"/>
  <c r="BD287" i="6"/>
  <c r="BD286" i="6"/>
  <c r="BD285" i="6"/>
  <c r="BD284" i="6"/>
  <c r="BD283" i="6"/>
  <c r="BD282" i="6"/>
  <c r="BD275" i="6"/>
  <c r="BD274" i="6"/>
  <c r="BD273" i="6"/>
  <c r="BD272" i="6"/>
  <c r="BD271" i="6"/>
  <c r="BD270" i="6"/>
  <c r="BD269" i="6"/>
  <c r="BD268" i="6"/>
  <c r="BD267" i="6"/>
  <c r="BD266" i="6"/>
  <c r="BD265" i="6"/>
  <c r="BD264" i="6"/>
  <c r="BF92" i="6"/>
  <c r="BG67" i="6"/>
  <c r="BA17" i="6" l="1"/>
  <c r="BD302" i="6"/>
  <c r="BC213" i="6"/>
  <c r="BB16" i="6"/>
  <c r="BB13" i="6"/>
  <c r="BB15" i="6"/>
  <c r="BB10" i="6"/>
  <c r="BB11" i="6"/>
  <c r="BB12" i="6"/>
  <c r="BB14" i="6"/>
  <c r="BD277" i="6"/>
  <c r="BA18" i="6"/>
  <c r="BG92" i="6"/>
  <c r="BH67" i="6"/>
  <c r="BD336" i="6"/>
  <c r="BD316" i="6"/>
  <c r="BD314" i="6"/>
  <c r="BD347" i="6"/>
  <c r="BD348" i="6" s="1"/>
  <c r="BD337" i="6"/>
  <c r="BF308" i="6"/>
  <c r="BF310" i="6" s="1"/>
  <c r="BG307" i="6"/>
  <c r="BE343" i="6"/>
  <c r="BE327" i="6"/>
  <c r="BE339" i="6" s="1"/>
  <c r="BE326" i="6"/>
  <c r="BE338" i="6" s="1"/>
  <c r="BE325" i="6"/>
  <c r="BE312" i="6"/>
  <c r="BE313" i="6" s="1"/>
  <c r="BE301" i="6"/>
  <c r="BE300" i="6"/>
  <c r="BE299" i="6"/>
  <c r="BE298" i="6"/>
  <c r="BE297" i="6"/>
  <c r="BE296" i="6"/>
  <c r="BE295" i="6"/>
  <c r="BE294" i="6"/>
  <c r="BE293" i="6"/>
  <c r="BE292" i="6"/>
  <c r="BE291" i="6"/>
  <c r="BE290" i="6"/>
  <c r="BE289" i="6"/>
  <c r="BE288" i="6"/>
  <c r="BE287" i="6"/>
  <c r="BE286" i="6"/>
  <c r="BE285" i="6"/>
  <c r="BE284" i="6"/>
  <c r="BE283" i="6"/>
  <c r="BE282" i="6"/>
  <c r="BE275" i="6"/>
  <c r="BE274" i="6"/>
  <c r="BE273" i="6"/>
  <c r="BE272" i="6"/>
  <c r="BE271" i="6"/>
  <c r="BE270" i="6"/>
  <c r="BE269" i="6"/>
  <c r="BE268" i="6"/>
  <c r="BE267" i="6"/>
  <c r="BE266" i="6"/>
  <c r="BE265" i="6"/>
  <c r="BE264" i="6"/>
  <c r="BF322" i="6"/>
  <c r="BG319" i="6"/>
  <c r="BB17" i="6" l="1"/>
  <c r="BB18" i="6" s="1"/>
  <c r="BD213" i="6"/>
  <c r="BC11" i="6"/>
  <c r="BC10" i="6"/>
  <c r="BC16" i="6"/>
  <c r="BC14" i="6"/>
  <c r="BC13" i="6"/>
  <c r="BC12" i="6"/>
  <c r="BE277" i="6"/>
  <c r="BE302" i="6"/>
  <c r="BG322" i="6"/>
  <c r="BH319" i="6"/>
  <c r="BE336" i="6"/>
  <c r="BE316" i="6"/>
  <c r="BE314" i="6"/>
  <c r="BE347" i="6"/>
  <c r="BE348" i="6" s="1"/>
  <c r="BE337" i="6"/>
  <c r="BG308" i="6"/>
  <c r="BG310" i="6" s="1"/>
  <c r="BH307" i="6"/>
  <c r="BF343" i="6"/>
  <c r="BF327" i="6"/>
  <c r="BF339" i="6" s="1"/>
  <c r="BF326" i="6"/>
  <c r="BF338" i="6" s="1"/>
  <c r="BF325" i="6"/>
  <c r="BF312" i="6"/>
  <c r="BF313" i="6" s="1"/>
  <c r="BF301" i="6"/>
  <c r="BF300" i="6"/>
  <c r="BF299" i="6"/>
  <c r="BF298" i="6"/>
  <c r="BF297" i="6"/>
  <c r="BF296" i="6"/>
  <c r="BF295" i="6"/>
  <c r="BF294" i="6"/>
  <c r="BF293" i="6"/>
  <c r="BF292" i="6"/>
  <c r="BF291" i="6"/>
  <c r="BF290" i="6"/>
  <c r="BF289" i="6"/>
  <c r="BF288" i="6"/>
  <c r="BF287" i="6"/>
  <c r="BF286" i="6"/>
  <c r="BF285" i="6"/>
  <c r="BF284" i="6"/>
  <c r="BF283" i="6"/>
  <c r="BF282" i="6"/>
  <c r="BF275" i="6"/>
  <c r="BF274" i="6"/>
  <c r="BF273" i="6"/>
  <c r="BF272" i="6"/>
  <c r="BF271" i="6"/>
  <c r="BF270" i="6"/>
  <c r="BF269" i="6"/>
  <c r="BF268" i="6"/>
  <c r="BF267" i="6"/>
  <c r="BF266" i="6"/>
  <c r="BF265" i="6"/>
  <c r="BF264" i="6"/>
  <c r="BH92" i="6"/>
  <c r="BI67" i="6"/>
  <c r="BC17" i="6" l="1"/>
  <c r="BC18" i="6" s="1"/>
  <c r="BE213" i="6"/>
  <c r="BD15" i="6"/>
  <c r="BD12" i="6"/>
  <c r="BD14" i="6"/>
  <c r="BD16" i="6"/>
  <c r="BD10" i="6"/>
  <c r="BD11" i="6"/>
  <c r="BD13" i="6"/>
  <c r="BF302" i="6"/>
  <c r="BF277" i="6"/>
  <c r="BI92" i="6"/>
  <c r="BJ67" i="6"/>
  <c r="BF336" i="6"/>
  <c r="BF316" i="6"/>
  <c r="BF314" i="6"/>
  <c r="BF347" i="6"/>
  <c r="BF348" i="6" s="1"/>
  <c r="BF337" i="6"/>
  <c r="BH308" i="6"/>
  <c r="BH310" i="6" s="1"/>
  <c r="BI307" i="6"/>
  <c r="BG343" i="6"/>
  <c r="BG327" i="6"/>
  <c r="BG339" i="6" s="1"/>
  <c r="BG326" i="6"/>
  <c r="BG338" i="6" s="1"/>
  <c r="BG325" i="6"/>
  <c r="BG312" i="6"/>
  <c r="BG313" i="6" s="1"/>
  <c r="BG301" i="6"/>
  <c r="BG300" i="6"/>
  <c r="BG299" i="6"/>
  <c r="BG298" i="6"/>
  <c r="BG297" i="6"/>
  <c r="BG296" i="6"/>
  <c r="BG295" i="6"/>
  <c r="BG294" i="6"/>
  <c r="BG293" i="6"/>
  <c r="BG292" i="6"/>
  <c r="BG291" i="6"/>
  <c r="BG290" i="6"/>
  <c r="BG289" i="6"/>
  <c r="BG288" i="6"/>
  <c r="BG287" i="6"/>
  <c r="BG286" i="6"/>
  <c r="BG285" i="6"/>
  <c r="BG284" i="6"/>
  <c r="BG283" i="6"/>
  <c r="BG282" i="6"/>
  <c r="BG275" i="6"/>
  <c r="BG274" i="6"/>
  <c r="BG273" i="6"/>
  <c r="BG272" i="6"/>
  <c r="BG271" i="6"/>
  <c r="BG270" i="6"/>
  <c r="BG269" i="6"/>
  <c r="BG268" i="6"/>
  <c r="BG267" i="6"/>
  <c r="BG266" i="6"/>
  <c r="BG265" i="6"/>
  <c r="BG264" i="6"/>
  <c r="BH322" i="6"/>
  <c r="BI319" i="6"/>
  <c r="BF213" i="6" l="1"/>
  <c r="BE10" i="6"/>
  <c r="BE16" i="6"/>
  <c r="BE15" i="6"/>
  <c r="BE14" i="6"/>
  <c r="BE13" i="6"/>
  <c r="BE12" i="6"/>
  <c r="BE11" i="6"/>
  <c r="BG277" i="6"/>
  <c r="BD17" i="6"/>
  <c r="BD18" i="6" s="1"/>
  <c r="BG302" i="6"/>
  <c r="BI322" i="6"/>
  <c r="BJ319" i="6"/>
  <c r="BG336" i="6"/>
  <c r="BG316" i="6"/>
  <c r="BG314" i="6"/>
  <c r="BG347" i="6"/>
  <c r="BG348" i="6" s="1"/>
  <c r="BG337" i="6"/>
  <c r="BI308" i="6"/>
  <c r="BI310" i="6" s="1"/>
  <c r="BJ307" i="6"/>
  <c r="BH343" i="6"/>
  <c r="BH327" i="6"/>
  <c r="BH339" i="6" s="1"/>
  <c r="BH326" i="6"/>
  <c r="BH338" i="6" s="1"/>
  <c r="BH325" i="6"/>
  <c r="BH312" i="6"/>
  <c r="BH313" i="6" s="1"/>
  <c r="BH301" i="6"/>
  <c r="BH300" i="6"/>
  <c r="BH299" i="6"/>
  <c r="BH298" i="6"/>
  <c r="BH297" i="6"/>
  <c r="BH296" i="6"/>
  <c r="BH295" i="6"/>
  <c r="BH294" i="6"/>
  <c r="BH293" i="6"/>
  <c r="BH292" i="6"/>
  <c r="BH291" i="6"/>
  <c r="BH290" i="6"/>
  <c r="BH289" i="6"/>
  <c r="BH288" i="6"/>
  <c r="BH287" i="6"/>
  <c r="BH286" i="6"/>
  <c r="BH285" i="6"/>
  <c r="BH284" i="6"/>
  <c r="BH283" i="6"/>
  <c r="BH282" i="6"/>
  <c r="BH275" i="6"/>
  <c r="BH274" i="6"/>
  <c r="BH273" i="6"/>
  <c r="BH272" i="6"/>
  <c r="BH271" i="6"/>
  <c r="BH270" i="6"/>
  <c r="BH269" i="6"/>
  <c r="BH268" i="6"/>
  <c r="BH267" i="6"/>
  <c r="BH266" i="6"/>
  <c r="BH265" i="6"/>
  <c r="BH264" i="6"/>
  <c r="BJ92" i="6"/>
  <c r="BK67" i="6"/>
  <c r="BE17" i="6" l="1"/>
  <c r="BE18" i="6" s="1"/>
  <c r="BG213" i="6"/>
  <c r="BF16" i="6"/>
  <c r="BF14" i="6"/>
  <c r="BF13" i="6"/>
  <c r="BF10" i="6"/>
  <c r="BF12" i="6"/>
  <c r="BF11" i="6"/>
  <c r="BH302" i="6"/>
  <c r="BH277" i="6"/>
  <c r="BK92" i="6"/>
  <c r="BL67" i="6"/>
  <c r="BH336" i="6"/>
  <c r="BH316" i="6"/>
  <c r="BH314" i="6"/>
  <c r="BH347" i="6"/>
  <c r="BH348" i="6" s="1"/>
  <c r="BH337" i="6"/>
  <c r="BJ308" i="6"/>
  <c r="BJ310" i="6" s="1"/>
  <c r="BK307" i="6"/>
  <c r="BI343" i="6"/>
  <c r="BI327" i="6"/>
  <c r="BI339" i="6" s="1"/>
  <c r="BI326" i="6"/>
  <c r="BI338" i="6" s="1"/>
  <c r="BI325" i="6"/>
  <c r="BI312" i="6"/>
  <c r="BI313" i="6" s="1"/>
  <c r="BI301" i="6"/>
  <c r="BI300" i="6"/>
  <c r="BI299" i="6"/>
  <c r="BI298" i="6"/>
  <c r="BI297" i="6"/>
  <c r="BI296" i="6"/>
  <c r="BI295" i="6"/>
  <c r="BI294" i="6"/>
  <c r="BI293" i="6"/>
  <c r="BI292" i="6"/>
  <c r="BI291" i="6"/>
  <c r="BI290" i="6"/>
  <c r="BI289" i="6"/>
  <c r="BI288" i="6"/>
  <c r="BI287" i="6"/>
  <c r="BI286" i="6"/>
  <c r="BI285" i="6"/>
  <c r="BI284" i="6"/>
  <c r="BI283" i="6"/>
  <c r="BI282" i="6"/>
  <c r="BI275" i="6"/>
  <c r="BI274" i="6"/>
  <c r="BI273" i="6"/>
  <c r="BI272" i="6"/>
  <c r="BI271" i="6"/>
  <c r="BI270" i="6"/>
  <c r="BI269" i="6"/>
  <c r="BI268" i="6"/>
  <c r="BI267" i="6"/>
  <c r="BI266" i="6"/>
  <c r="BI265" i="6"/>
  <c r="BI264" i="6"/>
  <c r="BJ322" i="6"/>
  <c r="BK319" i="6"/>
  <c r="BI302" i="6" l="1"/>
  <c r="BH213" i="6"/>
  <c r="BG10" i="6"/>
  <c r="BG11" i="6"/>
  <c r="BG14" i="6"/>
  <c r="BG13" i="6"/>
  <c r="BG15" i="6"/>
  <c r="BG12" i="6"/>
  <c r="BG16" i="6"/>
  <c r="BF17" i="6"/>
  <c r="BF18" i="6" s="1"/>
  <c r="BI277" i="6"/>
  <c r="BK322" i="6"/>
  <c r="BL319" i="6"/>
  <c r="BI336" i="6"/>
  <c r="BI316" i="6"/>
  <c r="BI314" i="6"/>
  <c r="BI347" i="6"/>
  <c r="BI348" i="6" s="1"/>
  <c r="BI337" i="6"/>
  <c r="BK308" i="6"/>
  <c r="BK310" i="6" s="1"/>
  <c r="BL307" i="6"/>
  <c r="BJ343" i="6"/>
  <c r="BJ327" i="6"/>
  <c r="BJ339" i="6" s="1"/>
  <c r="BJ326" i="6"/>
  <c r="BJ338" i="6" s="1"/>
  <c r="BJ325" i="6"/>
  <c r="BJ312" i="6"/>
  <c r="BJ313" i="6" s="1"/>
  <c r="BJ301" i="6"/>
  <c r="BJ300" i="6"/>
  <c r="BJ299" i="6"/>
  <c r="BJ298" i="6"/>
  <c r="BJ297" i="6"/>
  <c r="BJ296" i="6"/>
  <c r="BJ295" i="6"/>
  <c r="BJ294" i="6"/>
  <c r="BJ293" i="6"/>
  <c r="BJ292" i="6"/>
  <c r="BJ291" i="6"/>
  <c r="BJ290" i="6"/>
  <c r="BJ289" i="6"/>
  <c r="BJ288" i="6"/>
  <c r="BJ287" i="6"/>
  <c r="BJ286" i="6"/>
  <c r="BJ285" i="6"/>
  <c r="BJ284" i="6"/>
  <c r="BJ283" i="6"/>
  <c r="BJ282" i="6"/>
  <c r="BJ275" i="6"/>
  <c r="BJ274" i="6"/>
  <c r="BJ273" i="6"/>
  <c r="BJ272" i="6"/>
  <c r="BJ271" i="6"/>
  <c r="BJ270" i="6"/>
  <c r="BJ269" i="6"/>
  <c r="BJ268" i="6"/>
  <c r="BJ267" i="6"/>
  <c r="BJ266" i="6"/>
  <c r="BJ265" i="6"/>
  <c r="BJ264" i="6"/>
  <c r="BL92" i="6"/>
  <c r="BM67" i="6"/>
  <c r="BM92" i="6" s="1"/>
  <c r="E67" i="6"/>
  <c r="BG17" i="6" l="1"/>
  <c r="BG18" i="6" s="1"/>
  <c r="BH18" i="6" s="1"/>
  <c r="BJ302" i="6"/>
  <c r="BI213" i="6"/>
  <c r="BH15" i="6"/>
  <c r="BH14" i="6"/>
  <c r="BH13" i="6"/>
  <c r="BH12" i="6"/>
  <c r="BH11" i="6"/>
  <c r="BH16" i="6"/>
  <c r="BH10" i="6"/>
  <c r="BH17" i="6" s="1"/>
  <c r="BJ277" i="6"/>
  <c r="E92" i="6"/>
  <c r="BJ336" i="6"/>
  <c r="BJ316" i="6"/>
  <c r="BJ314" i="6"/>
  <c r="BJ347" i="6"/>
  <c r="BJ348" i="6" s="1"/>
  <c r="BJ337" i="6"/>
  <c r="BL308" i="6"/>
  <c r="BL310" i="6" s="1"/>
  <c r="BM307" i="6"/>
  <c r="BM308" i="6" s="1"/>
  <c r="BM310" i="6" s="1"/>
  <c r="BK343" i="6"/>
  <c r="BK327" i="6"/>
  <c r="BK339" i="6" s="1"/>
  <c r="BK326" i="6"/>
  <c r="BK338" i="6" s="1"/>
  <c r="BK325" i="6"/>
  <c r="BK312" i="6"/>
  <c r="BK313" i="6" s="1"/>
  <c r="BK301" i="6"/>
  <c r="BK300" i="6"/>
  <c r="BK299" i="6"/>
  <c r="BK298" i="6"/>
  <c r="BK297" i="6"/>
  <c r="BK296" i="6"/>
  <c r="BK295" i="6"/>
  <c r="BK294" i="6"/>
  <c r="BK293" i="6"/>
  <c r="BK292" i="6"/>
  <c r="BK291" i="6"/>
  <c r="BK290" i="6"/>
  <c r="BK289" i="6"/>
  <c r="BK288" i="6"/>
  <c r="BK287" i="6"/>
  <c r="BK286" i="6"/>
  <c r="BK285" i="6"/>
  <c r="BK284" i="6"/>
  <c r="BK283" i="6"/>
  <c r="BK282" i="6"/>
  <c r="BK275" i="6"/>
  <c r="BK274" i="6"/>
  <c r="BK273" i="6"/>
  <c r="BK272" i="6"/>
  <c r="BK271" i="6"/>
  <c r="BK270" i="6"/>
  <c r="BK269" i="6"/>
  <c r="BK268" i="6"/>
  <c r="BK267" i="6"/>
  <c r="BK266" i="6"/>
  <c r="BK265" i="6"/>
  <c r="BK264" i="6"/>
  <c r="BL322" i="6"/>
  <c r="BM319" i="6"/>
  <c r="BM322" i="6" s="1"/>
  <c r="BJ213" i="6" l="1"/>
  <c r="BI16" i="6" a="1"/>
  <c r="BI16" i="6" s="1"/>
  <c r="BI11" i="6"/>
  <c r="BI10" i="6"/>
  <c r="BI12" i="6"/>
  <c r="BI13" i="6"/>
  <c r="BI14" i="6"/>
  <c r="BK302" i="6"/>
  <c r="BK277" i="6"/>
  <c r="BK336" i="6"/>
  <c r="BK316" i="6"/>
  <c r="BK314" i="6"/>
  <c r="BK347" i="6"/>
  <c r="BK348" i="6" s="1"/>
  <c r="BK337" i="6"/>
  <c r="BM343" i="6"/>
  <c r="BM327" i="6"/>
  <c r="BM326" i="6"/>
  <c r="BM325" i="6"/>
  <c r="BM312" i="6"/>
  <c r="BM313" i="6" s="1"/>
  <c r="E313" i="6" s="1"/>
  <c r="BM301" i="6"/>
  <c r="E301" i="6" s="1"/>
  <c r="BM300" i="6"/>
  <c r="E300" i="6" s="1"/>
  <c r="BM299" i="6"/>
  <c r="E299" i="6" s="1"/>
  <c r="BM298" i="6"/>
  <c r="E298" i="6" s="1"/>
  <c r="BM297" i="6"/>
  <c r="E297" i="6" s="1"/>
  <c r="BM296" i="6"/>
  <c r="E296" i="6" s="1"/>
  <c r="BM295" i="6"/>
  <c r="E295" i="6" s="1"/>
  <c r="BM294" i="6"/>
  <c r="E294" i="6" s="1"/>
  <c r="BM293" i="6"/>
  <c r="BM292" i="6"/>
  <c r="BM291" i="6"/>
  <c r="BM290" i="6"/>
  <c r="BM289" i="6"/>
  <c r="BM288" i="6"/>
  <c r="E288" i="6" s="1"/>
  <c r="BM287" i="6"/>
  <c r="E287" i="6" s="1"/>
  <c r="BM286" i="6"/>
  <c r="E286" i="6" s="1"/>
  <c r="BM285" i="6"/>
  <c r="E285" i="6" s="1"/>
  <c r="BM284" i="6"/>
  <c r="E284" i="6" s="1"/>
  <c r="BM283" i="6"/>
  <c r="E283" i="6" s="1"/>
  <c r="BM282" i="6"/>
  <c r="BM275" i="6"/>
  <c r="E275" i="6" s="1"/>
  <c r="BM274" i="6"/>
  <c r="E274" i="6" s="1"/>
  <c r="BM273" i="6"/>
  <c r="BM272" i="6"/>
  <c r="BM271" i="6"/>
  <c r="BM270" i="6"/>
  <c r="BM269" i="6"/>
  <c r="BM268" i="6"/>
  <c r="E268" i="6" s="1"/>
  <c r="BM267" i="6"/>
  <c r="E267" i="6" s="1"/>
  <c r="BM266" i="6"/>
  <c r="E266" i="6" s="1"/>
  <c r="BM265" i="6"/>
  <c r="E265" i="6" s="1"/>
  <c r="BM264" i="6"/>
  <c r="BL343" i="6"/>
  <c r="BL327" i="6"/>
  <c r="BL339" i="6" s="1"/>
  <c r="BL326" i="6"/>
  <c r="BL338" i="6" s="1"/>
  <c r="BL325" i="6"/>
  <c r="BL312" i="6"/>
  <c r="BL313" i="6" s="1"/>
  <c r="BL301" i="6"/>
  <c r="BL300" i="6"/>
  <c r="BL299" i="6"/>
  <c r="BL298" i="6"/>
  <c r="BL297" i="6"/>
  <c r="BL296" i="6"/>
  <c r="BL295" i="6"/>
  <c r="BL294" i="6"/>
  <c r="BL293" i="6"/>
  <c r="BL292" i="6"/>
  <c r="BL291" i="6"/>
  <c r="BL290" i="6"/>
  <c r="BL289" i="6"/>
  <c r="BL288" i="6"/>
  <c r="BL287" i="6"/>
  <c r="BL286" i="6"/>
  <c r="BL285" i="6"/>
  <c r="BL284" i="6"/>
  <c r="BL283" i="6"/>
  <c r="BL282" i="6"/>
  <c r="BL275" i="6"/>
  <c r="BL274" i="6"/>
  <c r="BL273" i="6"/>
  <c r="BL272" i="6"/>
  <c r="BL271" i="6"/>
  <c r="BL270" i="6"/>
  <c r="BL269" i="6"/>
  <c r="BL268" i="6"/>
  <c r="BL267" i="6"/>
  <c r="BL266" i="6"/>
  <c r="BL265" i="6"/>
  <c r="BL264" i="6"/>
  <c r="BI17" i="6" l="1"/>
  <c r="BI18" i="6" s="1"/>
  <c r="BL277" i="6"/>
  <c r="E289" i="6"/>
  <c r="E270" i="6"/>
  <c r="BM338" i="6"/>
  <c r="E338" i="6" s="1"/>
  <c r="E326" i="6"/>
  <c r="E271" i="6"/>
  <c r="E272" i="6"/>
  <c r="E292" i="6"/>
  <c r="BK213" i="6"/>
  <c r="BJ14" i="6"/>
  <c r="BJ13" i="6"/>
  <c r="BJ12" i="6"/>
  <c r="BJ11" i="6"/>
  <c r="BJ10" i="6"/>
  <c r="BJ16" i="6"/>
  <c r="BJ15" i="6"/>
  <c r="BM302" i="6"/>
  <c r="E282" i="6"/>
  <c r="BM277" i="6"/>
  <c r="E277" i="6" s="1"/>
  <c r="E264" i="6"/>
  <c r="BL302" i="6"/>
  <c r="E269" i="6"/>
  <c r="E325" i="6"/>
  <c r="E290" i="6"/>
  <c r="E291" i="6"/>
  <c r="BM339" i="6"/>
  <c r="E339" i="6" s="1"/>
  <c r="E327" i="6"/>
  <c r="E273" i="6"/>
  <c r="E293" i="6"/>
  <c r="BL336" i="6"/>
  <c r="BL316" i="6"/>
  <c r="BL314" i="6"/>
  <c r="BL347" i="6"/>
  <c r="BL348" i="6" s="1"/>
  <c r="BL337" i="6"/>
  <c r="BM336" i="6"/>
  <c r="BM316" i="6"/>
  <c r="E316" i="6" s="1"/>
  <c r="BM314" i="6"/>
  <c r="BM347" i="6"/>
  <c r="BM348" i="6" s="1"/>
  <c r="BM337" i="6"/>
  <c r="E337" i="6" s="1"/>
  <c r="BL213" i="6" l="1"/>
  <c r="BK16" i="6"/>
  <c r="BK10" i="6"/>
  <c r="BK11" i="6"/>
  <c r="BK13" i="6"/>
  <c r="BK12" i="6"/>
  <c r="BK15" i="6"/>
  <c r="BK14" i="6"/>
  <c r="E336" i="6"/>
  <c r="E302" i="6"/>
  <c r="E304" i="6" s="1"/>
  <c r="BJ17" i="6"/>
  <c r="BJ18" i="6"/>
  <c r="E258" i="6" l="1"/>
  <c r="E227" i="6"/>
  <c r="E279" i="6"/>
  <c r="BK17" i="6"/>
  <c r="BK18" i="6" s="1"/>
  <c r="BM213" i="6"/>
  <c r="BL12" i="6"/>
  <c r="BL11" i="6"/>
  <c r="BL10" i="6"/>
  <c r="BL15" i="6"/>
  <c r="BL14" i="6"/>
  <c r="BL13" i="6"/>
  <c r="BL16" i="6"/>
  <c r="BL17" i="6" l="1"/>
  <c r="BL18" i="6" s="1"/>
  <c r="BM16" i="6"/>
  <c r="E16" i="6" s="1"/>
  <c r="BM15" i="6"/>
  <c r="E15" i="6" s="1"/>
  <c r="BM14" i="6"/>
  <c r="E14" i="6" s="1"/>
  <c r="BM13" i="6"/>
  <c r="E13" i="6" s="1"/>
  <c r="BM11" i="6"/>
  <c r="E11" i="6" s="1"/>
  <c r="BM10" i="6"/>
  <c r="BM12" i="6"/>
  <c r="E12" i="6" s="1"/>
  <c r="BM17" i="6" l="1"/>
  <c r="BM18" i="6" s="1"/>
  <c r="E10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<sst xmlns="http://schemas.openxmlformats.org/spreadsheetml/2006/main" count="611" uniqueCount="373">
  <si>
    <t>Summary</t>
  </si>
  <si>
    <t>Category</t>
  </si>
  <si>
    <t>Total</t>
  </si>
  <si>
    <t>Total Cost Build 1 SENS Processor</t>
  </si>
  <si>
    <t>Equipment &amp; Materials</t>
  </si>
  <si>
    <t>Item</t>
  </si>
  <si>
    <t>Per Unit (Imported)</t>
  </si>
  <si>
    <t>Disc Rate</t>
  </si>
  <si>
    <t>Pack column, demister, liquid ring</t>
  </si>
  <si>
    <t xml:space="preserve">Ovens </t>
  </si>
  <si>
    <t>Pipe, fittings, auger tube shafts</t>
  </si>
  <si>
    <t xml:space="preserve"> Weight hopper feed system</t>
  </si>
  <si>
    <t>National Tube sales</t>
  </si>
  <si>
    <t>Auger tubes</t>
  </si>
  <si>
    <t>Thomas Conveyor</t>
  </si>
  <si>
    <t>Auger flights</t>
  </si>
  <si>
    <t>Tapered Screw for weigh hopper</t>
  </si>
  <si>
    <t>Controls, motors and pumps</t>
  </si>
  <si>
    <t>Control Automation Component</t>
  </si>
  <si>
    <t>Motors, gearboxes, drives, bucket elevators</t>
  </si>
  <si>
    <t>Chiller Contols &amp; Electrical</t>
  </si>
  <si>
    <t>Myers (Flapper valves)</t>
  </si>
  <si>
    <t>Myers Aubrey (Steam, and Gas Processing control valves)</t>
  </si>
  <si>
    <t>Myers Aubrey (Flow meters)</t>
  </si>
  <si>
    <t>Automatic Pump (Vacuum and Oil Water Separator)</t>
  </si>
  <si>
    <t>Roberts &amp; Spencer (Pressure transmitters, Vac Control Valves, level indicators)</t>
  </si>
  <si>
    <t>Switch Gear and Generator</t>
  </si>
  <si>
    <t>Control Valves, Modules, automation component</t>
  </si>
  <si>
    <t>Oven</t>
  </si>
  <si>
    <t>Harbison-Walker  (Refractory)</t>
  </si>
  <si>
    <t>GTI-Engineering (Eclipse Burner and controls)</t>
  </si>
  <si>
    <t>Exothermics (Air to Air heat exchanger)</t>
  </si>
  <si>
    <t>Hubbel  Water heater</t>
  </si>
  <si>
    <t>Emerson Thermal Couplers</t>
  </si>
  <si>
    <t>Reactor</t>
  </si>
  <si>
    <t>Cappco Fabricators (rolling and endplates)</t>
  </si>
  <si>
    <t>O&amp;D Manufacturing (Brass seals and Bearings)</t>
  </si>
  <si>
    <t>Machining-Shafts,drum bearings, exp joint etc</t>
  </si>
  <si>
    <t>Engineering and EPC Fees</t>
  </si>
  <si>
    <t>Commissioning</t>
  </si>
  <si>
    <t>Certification and Testing</t>
  </si>
  <si>
    <t>Total Equipment &amp; Materials</t>
  </si>
  <si>
    <t>Facilities &amp; Auxillary Support Systems</t>
  </si>
  <si>
    <t>Facilities</t>
  </si>
  <si>
    <t>Texas Vessel</t>
  </si>
  <si>
    <t xml:space="preserve">Shop </t>
  </si>
  <si>
    <t>Sq Ft Required</t>
  </si>
  <si>
    <t>Rate</t>
  </si>
  <si>
    <t>Total Facilities</t>
  </si>
  <si>
    <t>Aux Support Systems</t>
  </si>
  <si>
    <t>Process Mechanical</t>
  </si>
  <si>
    <t>Process Civl</t>
  </si>
  <si>
    <t>Chilled Water Plant</t>
  </si>
  <si>
    <t>c</t>
  </si>
  <si>
    <t>Gas &amp; Oil Processing / Storage</t>
  </si>
  <si>
    <t>Flare Stack</t>
  </si>
  <si>
    <t>Carbon Black Processing / Storage</t>
  </si>
  <si>
    <t>Steam Boiler</t>
  </si>
  <si>
    <t>Dirty Water Treatment</t>
  </si>
  <si>
    <t>Compressed Air Plant</t>
  </si>
  <si>
    <t>Pressure wash system</t>
  </si>
  <si>
    <t>Total Aux Supporty Systems</t>
  </si>
  <si>
    <t>Total Facilities &amp; Aux</t>
  </si>
  <si>
    <t>Operating Costs</t>
  </si>
  <si>
    <t>Corporate Infrastructure</t>
  </si>
  <si>
    <t>Business Licenses &amp; Memberships</t>
  </si>
  <si>
    <t>Software &amp; Licenses</t>
  </si>
  <si>
    <t>Insurance - General</t>
  </si>
  <si>
    <t>Interest &amp; Bank Charges</t>
  </si>
  <si>
    <t>Web Hosting/Domains/Azure</t>
  </si>
  <si>
    <t>L1 Visas - 7500 / person (5 people)</t>
  </si>
  <si>
    <t>Total Corporate Infrastructure</t>
  </si>
  <si>
    <t>Travel &amp; Accommodations</t>
  </si>
  <si>
    <t>Travel</t>
  </si>
  <si>
    <t>Home Lease + Utilities</t>
  </si>
  <si>
    <t>Home Lease + Furnishing</t>
  </si>
  <si>
    <t>Lodging</t>
  </si>
  <si>
    <t xml:space="preserve">Meals </t>
  </si>
  <si>
    <t>Vehicle Rent</t>
  </si>
  <si>
    <t>Total Travel &amp; Accommodations</t>
  </si>
  <si>
    <t>Lab Testing &amp; Sampling</t>
  </si>
  <si>
    <t>Lab Fees</t>
  </si>
  <si>
    <t>Feedstock - Coal (220 Tons $50 / ton)</t>
  </si>
  <si>
    <t>Feedstock - Tires (220 Tons .10/lb)</t>
  </si>
  <si>
    <t>Total Lab Testing &amp; Sampling</t>
  </si>
  <si>
    <t>Total Operating Costs</t>
  </si>
  <si>
    <t>Professional Services</t>
  </si>
  <si>
    <t>Accounting</t>
  </si>
  <si>
    <t>HGA Accounting Services</t>
  </si>
  <si>
    <t>Legal</t>
  </si>
  <si>
    <t>HGA - Vendor / Employee Contracts</t>
  </si>
  <si>
    <t>IT &amp; Security</t>
  </si>
  <si>
    <t>Hardware/Equipment Supply (Per Employee)</t>
  </si>
  <si>
    <t>IT Support (Per Employee)</t>
  </si>
  <si>
    <t>Manufacturing Consultant</t>
  </si>
  <si>
    <t>Contractor Harold (Lexon Group)</t>
  </si>
  <si>
    <t>Total Professional Services</t>
  </si>
  <si>
    <t>Workforce - Role - Pay Rate</t>
  </si>
  <si>
    <t>Position</t>
  </si>
  <si>
    <t>Wages</t>
  </si>
  <si>
    <t>Co-CEO</t>
  </si>
  <si>
    <t>COO</t>
  </si>
  <si>
    <t xml:space="preserve">VP Regulatory, Sustainability &amp; Risk </t>
  </si>
  <si>
    <t>Director Supply Chain / Workforce Risk</t>
  </si>
  <si>
    <t>Controller</t>
  </si>
  <si>
    <t>Director of Data Ops</t>
  </si>
  <si>
    <t>Director Processor Engineering</t>
  </si>
  <si>
    <t>Project Controls</t>
  </si>
  <si>
    <t xml:space="preserve">Mechancial SME </t>
  </si>
  <si>
    <t>CTO</t>
  </si>
  <si>
    <t xml:space="preserve">Programmer </t>
  </si>
  <si>
    <t xml:space="preserve">Machine Fabricator / Mechanic </t>
  </si>
  <si>
    <t>Welder / Fabricator</t>
  </si>
  <si>
    <t>Drafting Technician</t>
  </si>
  <si>
    <t xml:space="preserve">Welder / Fabricator </t>
  </si>
  <si>
    <t>Executive Assistant Fabrication</t>
  </si>
  <si>
    <t>Total Wages</t>
  </si>
  <si>
    <t>Wage Expenses</t>
  </si>
  <si>
    <t>Employee Benefits</t>
  </si>
  <si>
    <t>WCB Expense</t>
  </si>
  <si>
    <t>Wage Expense Rate</t>
  </si>
  <si>
    <t>Total Wage Expenses</t>
  </si>
  <si>
    <t>Total Wage &amp; Wage Expenses</t>
  </si>
  <si>
    <t>Period</t>
  </si>
  <si>
    <t>Year</t>
  </si>
  <si>
    <t>Month</t>
  </si>
  <si>
    <t>Days</t>
  </si>
  <si>
    <t>Revenue</t>
  </si>
  <si>
    <t>R</t>
  </si>
  <si>
    <t>Capital Investment ( Loan)</t>
  </si>
  <si>
    <t>L</t>
  </si>
  <si>
    <t>Costs</t>
  </si>
  <si>
    <t>C</t>
  </si>
  <si>
    <t>Business Overhead</t>
  </si>
  <si>
    <t>O</t>
  </si>
  <si>
    <t>Capital Costs</t>
  </si>
  <si>
    <t>CAP</t>
  </si>
  <si>
    <t>Loan Payment</t>
  </si>
  <si>
    <t>LP</t>
  </si>
  <si>
    <t>Depreciation</t>
  </si>
  <si>
    <t>DEP</t>
  </si>
  <si>
    <t>Monthly Profit/Loss (EBITDA)</t>
  </si>
  <si>
    <t>Project Cumulative Cash Flow</t>
  </si>
  <si>
    <t>Project Capital</t>
  </si>
  <si>
    <t>Capital Investment USD</t>
  </si>
  <si>
    <t xml:space="preserve">Cash Draw </t>
  </si>
  <si>
    <t>Loan Payments</t>
  </si>
  <si>
    <t>Investment Costs</t>
  </si>
  <si>
    <t>Prepaid Expences</t>
  </si>
  <si>
    <t>Past accumulatded Cost Pay Out</t>
  </si>
  <si>
    <t>Consultant Introduction Fee</t>
  </si>
  <si>
    <t>Interest (0.0% annual Interest)</t>
  </si>
  <si>
    <t>Total Pre Development Costs</t>
  </si>
  <si>
    <r>
      <t xml:space="preserve">Fulcrum Corporate Office </t>
    </r>
    <r>
      <rPr>
        <b/>
        <sz val="11"/>
        <color rgb="FFFF0000"/>
        <rFont val="Aptos Narrow"/>
        <family val="2"/>
        <scheme val="minor"/>
      </rPr>
      <t>( Proportionate share to project)</t>
    </r>
  </si>
  <si>
    <t>Executive Office (Edmonton)</t>
  </si>
  <si>
    <t>Fulcrum/FES - Office Equipment Security Expense (Furniture, Electronics, Software, Computers etc) * (PMT Plan)</t>
  </si>
  <si>
    <t>Fulcrum - Auto Exp.</t>
  </si>
  <si>
    <t>Fulcrum - Office Supplies</t>
  </si>
  <si>
    <t>Fulcrum - Office Expenses</t>
  </si>
  <si>
    <t>Fulcrum - Salaries &amp; Wages - Executive/ Administrative</t>
  </si>
  <si>
    <t>Fulcrum - Benefts</t>
  </si>
  <si>
    <t>Fulcrum - Payroll Burden</t>
  </si>
  <si>
    <t>Fulcrum - Office Rent  Inc. CAC Costs</t>
  </si>
  <si>
    <t xml:space="preserve">Fulcrum - Security Expense </t>
  </si>
  <si>
    <t>Fulcrum - Utilities: Telephone &amp; Internet</t>
  </si>
  <si>
    <t>Fulcrum - Utilities: Gas</t>
  </si>
  <si>
    <t>Fulcrum - Utilities:Electricity</t>
  </si>
  <si>
    <t>Fulcrum - Utilities:Cell Phones</t>
  </si>
  <si>
    <t>Fulcrum - Travel - Airfare</t>
  </si>
  <si>
    <t>Fulcrum - Travel - Meals &amp; Entertainment - 100 %</t>
  </si>
  <si>
    <t>Fulcrum - Travel - Lodging</t>
  </si>
  <si>
    <t>Fulcrum - Travel - Car Expense</t>
  </si>
  <si>
    <t>Fulcrum - Meals &amp; Entertainment - 50%</t>
  </si>
  <si>
    <t>Fulcrum - Meals &amp; Entertainment - 50% (Non Travel)</t>
  </si>
  <si>
    <t>Fulcrum - Permits &amp; Licenses</t>
  </si>
  <si>
    <t>Fulcrum - Courier &amp; Postage</t>
  </si>
  <si>
    <t>Fulcrum - Building Insurance</t>
  </si>
  <si>
    <t>Fulcrum - Commercial &amp; Liability</t>
  </si>
  <si>
    <t>Total Executive Office</t>
  </si>
  <si>
    <t>FES , Texas</t>
  </si>
  <si>
    <r>
      <t xml:space="preserve">Manufacturing Facility </t>
    </r>
    <r>
      <rPr>
        <b/>
        <sz val="11"/>
        <color rgb="FFFF0000"/>
        <rFont val="Aptos Narrow"/>
        <family val="2"/>
        <scheme val="minor"/>
      </rPr>
      <t>(Proportionate Share to Project)</t>
    </r>
  </si>
  <si>
    <t>FES - Facilities Lease</t>
  </si>
  <si>
    <t>FES - Auto (Site Truck)</t>
  </si>
  <si>
    <t>FES - Vehicle Insurance</t>
  </si>
  <si>
    <t>FES - Auto Mileage Expense</t>
  </si>
  <si>
    <t>FES - Auto Fuel Expense</t>
  </si>
  <si>
    <t>FES - Auto Insurance</t>
  </si>
  <si>
    <t>FES - Office Expense (Pens, paper, ink)</t>
  </si>
  <si>
    <t>FES - Equipment Service Agreement</t>
  </si>
  <si>
    <t>FES - Office Expense (Cleaning Supplies, Water, Coffee Etc)</t>
  </si>
  <si>
    <t>FES - Fabrication Equipment Purchases</t>
  </si>
  <si>
    <t>FES - Other / Misc Sundry</t>
  </si>
  <si>
    <t>FES - CTO</t>
  </si>
  <si>
    <t>FES - Salaries and Wages  (Admin/Reception)</t>
  </si>
  <si>
    <t>FES - Salaries and Wages (Scope Writer)</t>
  </si>
  <si>
    <t>FES - Salaries and Wages Burden (20%)</t>
  </si>
  <si>
    <t>FES -  Property Taxes</t>
  </si>
  <si>
    <t>FES - Utilities: Security Expense</t>
  </si>
  <si>
    <t>FES - Utilities: Telephone &amp; Internet</t>
  </si>
  <si>
    <t>FES - Utilities: Gas</t>
  </si>
  <si>
    <t>FES - Utilities: Electricity</t>
  </si>
  <si>
    <t>FES - Utilities: Water</t>
  </si>
  <si>
    <t>FES - Utilities Trash/Dumpster</t>
  </si>
  <si>
    <t>FES - Courier &amp; Shipping</t>
  </si>
  <si>
    <t>FES - WCB &amp; Insurance Costs</t>
  </si>
  <si>
    <t>FES - Commercial &amp; Liability</t>
  </si>
  <si>
    <t>Total FES Shop &amp; Operations</t>
  </si>
  <si>
    <t>Project Management External)</t>
  </si>
  <si>
    <t>Project Controller / Auditor</t>
  </si>
  <si>
    <t>Construction Coodinator- Lexon</t>
  </si>
  <si>
    <t>Project Travel &amp; Accomodation</t>
  </si>
  <si>
    <t>Total Project Management</t>
  </si>
  <si>
    <t>Noble, Oklahoma Tire Processing Project</t>
  </si>
  <si>
    <t>Land and Permitting</t>
  </si>
  <si>
    <t>Property (20 acres @ $0.77/sq.ft)</t>
  </si>
  <si>
    <t>Closing costs &amp; Road Crossing</t>
  </si>
  <si>
    <t>Site Power U/G</t>
  </si>
  <si>
    <t>Fire Pond &amp; Equipment</t>
  </si>
  <si>
    <t>Land Prep and Roads</t>
  </si>
  <si>
    <t>Developmemnt Permit/ Consultants Fees</t>
  </si>
  <si>
    <t>Total Land &amp; Permitting</t>
  </si>
  <si>
    <t xml:space="preserve">Project EPC - Lexon </t>
  </si>
  <si>
    <t>Site Works / Engineering Final</t>
  </si>
  <si>
    <t>UnderGround and Site Utilities</t>
  </si>
  <si>
    <t>Warehouse 2 @10,000 Sq Ft</t>
  </si>
  <si>
    <t xml:space="preserve">OfficeBuilding </t>
  </si>
  <si>
    <t>Process Civil</t>
  </si>
  <si>
    <t>Gas / Oil Processing and Storage</t>
  </si>
  <si>
    <t xml:space="preserve">Carbon Black Processing/ Storage </t>
  </si>
  <si>
    <t>R/O Water Treatment</t>
  </si>
  <si>
    <t xml:space="preserve">Back Up Generator </t>
  </si>
  <si>
    <t>Pressure Wash System</t>
  </si>
  <si>
    <t>Carbon Black Pellitizer</t>
  </si>
  <si>
    <t>Material Handling Equip - Site</t>
  </si>
  <si>
    <t>Permits and Consulting Fees - Site</t>
  </si>
  <si>
    <t>Mobilization Costs</t>
  </si>
  <si>
    <t>Total Oklahomal Site Development</t>
  </si>
  <si>
    <t>TiPs Processor Construction</t>
  </si>
  <si>
    <t>Misc. needs</t>
  </si>
  <si>
    <t xml:space="preserve">Machine Coatings </t>
  </si>
  <si>
    <t>Cranage / Lifts</t>
  </si>
  <si>
    <t>Welding supplies and general maintenance needs</t>
  </si>
  <si>
    <t>Labour</t>
  </si>
  <si>
    <t>Sub-Expense - Engineering and Validation</t>
  </si>
  <si>
    <t>Shop Foreman</t>
  </si>
  <si>
    <t>Electrician 1 &amp;2</t>
  </si>
  <si>
    <t>Electrician 3 &amp; 4</t>
  </si>
  <si>
    <t>Fitter/Welder 1</t>
  </si>
  <si>
    <t>Fitter/Welder 2</t>
  </si>
  <si>
    <t>Fitter/Welder 3</t>
  </si>
  <si>
    <t>Fitter/Welder 4</t>
  </si>
  <si>
    <t>Lead Assembler</t>
  </si>
  <si>
    <t>Assembler/Labourer 1</t>
  </si>
  <si>
    <t>Assembler/Labourer 2</t>
  </si>
  <si>
    <t>Assembler / Labourer 3</t>
  </si>
  <si>
    <t xml:space="preserve">Drafting Support </t>
  </si>
  <si>
    <t>Lead Operator</t>
  </si>
  <si>
    <t xml:space="preserve">Programmer and Controls </t>
  </si>
  <si>
    <t>Payroll Burden</t>
  </si>
  <si>
    <t xml:space="preserve"> </t>
  </si>
  <si>
    <t>Total Labour</t>
  </si>
  <si>
    <t xml:space="preserve">Start-up, Marketing &amp; Branding </t>
  </si>
  <si>
    <t>Project Marketing &amp; Sales</t>
  </si>
  <si>
    <t>Product Testing and Analysis</t>
  </si>
  <si>
    <t>Start-up Management</t>
  </si>
  <si>
    <t>Start-up Direct Labour</t>
  </si>
  <si>
    <t>Start-up Drect Expense</t>
  </si>
  <si>
    <t>Start-up Indirect Expense</t>
  </si>
  <si>
    <t>Start-up TDF Cost</t>
  </si>
  <si>
    <t>Total Start-up &amp; Marketing</t>
  </si>
  <si>
    <t xml:space="preserve">Total Capital Costs Year first 14 months </t>
  </si>
  <si>
    <t>Total Capital Costs year 2 forward</t>
  </si>
  <si>
    <t>Depreciation on Assets (5 Year)</t>
  </si>
  <si>
    <t>Number of Plants in Operation</t>
  </si>
  <si>
    <t>Site Management and Office</t>
  </si>
  <si>
    <t>Plant Mgr</t>
  </si>
  <si>
    <t>Maintenance Mgr</t>
  </si>
  <si>
    <t>QC Mgr</t>
  </si>
  <si>
    <t>Shipping and receiving clerk</t>
  </si>
  <si>
    <t>office mgr / Safety Coordinator</t>
  </si>
  <si>
    <t>administrator</t>
  </si>
  <si>
    <t>Materials Coordinator</t>
  </si>
  <si>
    <t>Total Management &amp; Office</t>
  </si>
  <si>
    <t>Capitalized Portion</t>
  </si>
  <si>
    <t>Percent of Revenue</t>
  </si>
  <si>
    <t>Operating Labour</t>
  </si>
  <si>
    <t>Hours - Day Shift</t>
  </si>
  <si>
    <t>Hours - Night Shift</t>
  </si>
  <si>
    <t>Dayshift</t>
  </si>
  <si>
    <t>Supervision $/hr</t>
  </si>
  <si>
    <t>number</t>
  </si>
  <si>
    <t>Plant Operators ($/hr)</t>
  </si>
  <si>
    <t>Material Handling ($/hr)</t>
  </si>
  <si>
    <t>Packaging ($/hr)</t>
  </si>
  <si>
    <t>Nightshift</t>
  </si>
  <si>
    <t>SubTotal Salary per day</t>
  </si>
  <si>
    <t>Burden</t>
  </si>
  <si>
    <t>Direct Labor costs per day</t>
  </si>
  <si>
    <t>Days per month operating</t>
  </si>
  <si>
    <t>Direct Labour Costs per month</t>
  </si>
  <si>
    <t>Capitalized Labour Costs</t>
  </si>
  <si>
    <t>Operating Expense</t>
  </si>
  <si>
    <t>Direct Operating Costs</t>
  </si>
  <si>
    <t>fuel</t>
  </si>
  <si>
    <t>process equip maintenance</t>
  </si>
  <si>
    <t>Equipment Lease</t>
  </si>
  <si>
    <t>tools</t>
  </si>
  <si>
    <t>ground transport</t>
  </si>
  <si>
    <t>product packaging carbon</t>
  </si>
  <si>
    <t>plant supplies</t>
  </si>
  <si>
    <t>plant shipping</t>
  </si>
  <si>
    <t>plant maintenance and consumables</t>
  </si>
  <si>
    <t>gas</t>
  </si>
  <si>
    <t>electricity</t>
  </si>
  <si>
    <t>water</t>
  </si>
  <si>
    <t>vehicles</t>
  </si>
  <si>
    <t>Total Direct Costs</t>
  </si>
  <si>
    <t>Indirect Operating Costs (Overhead)</t>
  </si>
  <si>
    <t>plant office supplies</t>
  </si>
  <si>
    <t>state compliance</t>
  </si>
  <si>
    <t>general liability insurance</t>
  </si>
  <si>
    <t>plant &amp; equipment insurance</t>
  </si>
  <si>
    <t>workers comp</t>
  </si>
  <si>
    <t>pollution insurance</t>
  </si>
  <si>
    <t>insurance - vehicles</t>
  </si>
  <si>
    <t>3rd party consulting</t>
  </si>
  <si>
    <t>accounting</t>
  </si>
  <si>
    <t>professional fees/dues</t>
  </si>
  <si>
    <t>legal expense</t>
  </si>
  <si>
    <t>IT computer support</t>
  </si>
  <si>
    <t>office supplies</t>
  </si>
  <si>
    <t>contract services</t>
  </si>
  <si>
    <t>cellular</t>
  </si>
  <si>
    <t>local phone</t>
  </si>
  <si>
    <t>long distance</t>
  </si>
  <si>
    <t>airfare</t>
  </si>
  <si>
    <t>lodging</t>
  </si>
  <si>
    <t>meals/entertainment</t>
  </si>
  <si>
    <t>Total Op Costs</t>
  </si>
  <si>
    <t>Capitalized Op Costs</t>
  </si>
  <si>
    <t>Production &amp; Revenue</t>
  </si>
  <si>
    <t>Capacity per TiPs unit (tons/day)</t>
  </si>
  <si>
    <t>Tonnes of tire crumb feed per day production</t>
  </si>
  <si>
    <t>Operating Availability</t>
  </si>
  <si>
    <t>Tons per month</t>
  </si>
  <si>
    <t>TDF Feed - crumb rubber only (lbs)</t>
  </si>
  <si>
    <t>Equivalent tires processed</t>
  </si>
  <si>
    <t>Equivalent tires per day</t>
  </si>
  <si>
    <t>Avg amount of steel per tire (lbs)</t>
  </si>
  <si>
    <t>Gas Out Put</t>
  </si>
  <si>
    <t>Product Cut from tire crumb</t>
  </si>
  <si>
    <t>Ratio of Solvent by weight</t>
  </si>
  <si>
    <t>Ratio of Carbon Black by weight</t>
  </si>
  <si>
    <t>Ratio of Gas output by weight</t>
  </si>
  <si>
    <t>Production</t>
  </si>
  <si>
    <t>Solvent (gallons)</t>
  </si>
  <si>
    <t>Carbon Black (lbs)</t>
  </si>
  <si>
    <t>Gas OutPut MCF Net</t>
  </si>
  <si>
    <t>Sales Price</t>
  </si>
  <si>
    <t>Solvent ($/gal)</t>
  </si>
  <si>
    <t>Carbon Black ($/lb)</t>
  </si>
  <si>
    <t>Gas ($/MCF)</t>
  </si>
  <si>
    <t>Steel ($/lb)</t>
  </si>
  <si>
    <t>Tipping Fee</t>
  </si>
  <si>
    <t>Solvent</t>
  </si>
  <si>
    <t>Carbon Black</t>
  </si>
  <si>
    <t>Gas</t>
  </si>
  <si>
    <t>Cost of Goods Sold</t>
  </si>
  <si>
    <t>TDF - crumb rubber ($/lb)</t>
  </si>
  <si>
    <t>Total Cost of goods</t>
  </si>
  <si>
    <t>COG - Capitalized</t>
  </si>
  <si>
    <t>bbls</t>
  </si>
  <si>
    <t>bbl/ton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</si>
</sst>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#,##0_ ;[Red]\-#,##0\ "/>
    <numFmt numFmtId="166" formatCode="&quot;$&quot;#,##0.00;[Red]\-&quot;$&quot;#,##0.00"/>
    <numFmt numFmtId="167" formatCode="_-* #,##0_-;\-* #,##0_-;_-* &quot;-&quot;??_-;_-@_-"/>
    <numFmt numFmtId="168" formatCode="_-&quot;$&quot;* #,##0_-;\-&quot;$&quot;* #,##0_-;_-&quot;$&quot;* &quot;-&quot;??_-;_-@_-"/>
    <numFmt numFmtId="169" formatCode="_-* #,##0.00_-;\-* #,##0.00_-;_-* &quot;-&quot;??_-;_-@_-"/>
    <numFmt numFmtId="170" formatCode="_-&quot;$&quot;* #,##0.00_-;\-&quot;$&quot;* #,##0.00_-;_-&quot;$&quot;* &quot;-&quot;??_-;_-@_-"/>
    <numFmt numFmtId="171" formatCode="0.0%"/>
    <numFmt numFmtId="172" formatCode="_-* #,##0.0_-;\-* #,##0.0_-;_-* &quot;-&quot;??_-;_-@_-"/>
    <numFmt numFmtId="173" formatCode="_-&quot;$&quot;* #,##0.000_-;\-&quot;$&quot;* #,##0.000_-;_-&quot;$&quot;* &quot;-&quot;??_-;_-@_-"/>
    <numFmt numFmtId="174" formatCode="_(&quot;$&quot;* #,##0.0_);_(&quot;$&quot;* \(#,##0.0\);_(&quot;$&quot;* &quot;-&quot;??_);_(@_)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</font>
    <font>
      <sz val="11"/>
      <color rgb="FF9C0006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FA7D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2" borderId="1" applyNumberFormat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4" fillId="10" borderId="0" applyNumberFormat="0" applyBorder="0" applyAlignment="0" applyProtection="0"/>
    <xf numFmtId="0" fontId="16" fillId="11" borderId="1" applyNumberFormat="0" applyAlignment="0" applyProtection="0"/>
  </cellStyleXfs>
  <cellXfs count="143">
    <xf numFmtId="0" fontId="0" fillId="0" borderId="0" xfId="0"/>
    <xf numFmtId="0" fontId="1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164" fontId="3" fillId="2" borderId="1" xfId="2" applyNumberFormat="1"/>
    <xf numFmtId="0" fontId="6" fillId="3" borderId="0" xfId="0" applyFont="1" applyFill="1"/>
    <xf numFmtId="0" fontId="7" fillId="4" borderId="0" xfId="0" applyFont="1" applyFill="1"/>
    <xf numFmtId="0" fontId="7" fillId="4" borderId="0" xfId="0" applyFont="1" applyFill="1" applyAlignment="1">
      <alignment horizontal="center"/>
    </xf>
    <xf numFmtId="0" fontId="8" fillId="4" borderId="0" xfId="0" applyFont="1" applyFill="1"/>
    <xf numFmtId="165" fontId="8" fillId="4" borderId="0" xfId="0" applyNumberFormat="1" applyFont="1" applyFill="1"/>
    <xf numFmtId="0" fontId="8" fillId="0" borderId="0" xfId="0" applyFont="1"/>
    <xf numFmtId="0" fontId="9" fillId="0" borderId="0" xfId="0" applyFont="1"/>
    <xf numFmtId="4" fontId="0" fillId="0" borderId="0" xfId="0" applyNumberFormat="1"/>
    <xf numFmtId="0" fontId="0" fillId="5" borderId="0" xfId="0" applyFill="1"/>
    <xf numFmtId="0" fontId="5" fillId="5" borderId="0" xfId="0" applyFont="1" applyFill="1"/>
    <xf numFmtId="0" fontId="10" fillId="0" borderId="0" xfId="0" applyFont="1"/>
    <xf numFmtId="0" fontId="11" fillId="0" borderId="0" xfId="0" applyFont="1"/>
    <xf numFmtId="167" fontId="0" fillId="0" borderId="0" xfId="0" applyNumberFormat="1"/>
    <xf numFmtId="3" fontId="0" fillId="0" borderId="0" xfId="0" applyNumberFormat="1"/>
    <xf numFmtId="41" fontId="0" fillId="0" borderId="0" xfId="0" applyNumberFormat="1"/>
    <xf numFmtId="0" fontId="11" fillId="7" borderId="0" xfId="0" applyFont="1" applyFill="1"/>
    <xf numFmtId="165" fontId="0" fillId="5" borderId="0" xfId="0" applyNumberFormat="1" applyFill="1"/>
    <xf numFmtId="0" fontId="12" fillId="3" borderId="0" xfId="0" applyFont="1" applyFill="1"/>
    <xf numFmtId="0" fontId="13" fillId="0" borderId="0" xfId="0" applyFont="1"/>
    <xf numFmtId="9" fontId="14" fillId="10" borderId="0" xfId="5" applyNumberFormat="1"/>
    <xf numFmtId="0" fontId="15" fillId="0" borderId="0" xfId="0" applyFont="1"/>
    <xf numFmtId="44" fontId="0" fillId="0" borderId="0" xfId="0" applyNumberFormat="1"/>
    <xf numFmtId="0" fontId="0" fillId="3" borderId="0" xfId="0" applyFill="1"/>
    <xf numFmtId="10" fontId="3" fillId="2" borderId="1" xfId="2" applyNumberFormat="1"/>
    <xf numFmtId="9" fontId="3" fillId="2" borderId="1" xfId="2" applyNumberFormat="1"/>
    <xf numFmtId="0" fontId="3" fillId="2" borderId="1" xfId="2"/>
    <xf numFmtId="6" fontId="3" fillId="2" borderId="1" xfId="2" applyNumberFormat="1"/>
    <xf numFmtId="164" fontId="16" fillId="11" borderId="1" xfId="6" applyNumberFormat="1"/>
    <xf numFmtId="9" fontId="0" fillId="0" borderId="0" xfId="0" applyNumberFormat="1"/>
    <xf numFmtId="0" fontId="0" fillId="0" borderId="5" xfId="0" applyBorder="1"/>
    <xf numFmtId="164" fontId="0" fillId="0" borderId="5" xfId="0" applyNumberFormat="1" applyBorder="1"/>
    <xf numFmtId="0" fontId="0" fillId="0" borderId="6" xfId="0" applyBorder="1"/>
    <xf numFmtId="164" fontId="0" fillId="0" borderId="6" xfId="0" applyNumberFormat="1" applyBorder="1"/>
    <xf numFmtId="174" fontId="0" fillId="0" borderId="0" xfId="0" applyNumberFormat="1"/>
    <xf numFmtId="174" fontId="0" fillId="0" borderId="6" xfId="0" applyNumberFormat="1" applyBorder="1"/>
    <xf numFmtId="0" fontId="4" fillId="0" borderId="5" xfId="0" applyFont="1" applyBorder="1"/>
    <xf numFmtId="164" fontId="4" fillId="0" borderId="5" xfId="0" applyNumberFormat="1" applyFont="1" applyBorder="1"/>
    <xf numFmtId="2" fontId="4" fillId="0" borderId="5" xfId="0" applyNumberFormat="1" applyFont="1" applyBorder="1"/>
    <xf numFmtId="174" fontId="0" fillId="0" borderId="7" xfId="0" applyNumberFormat="1" applyBorder="1"/>
    <xf numFmtId="0" fontId="0" fillId="0" borderId="7" xfId="0" applyBorder="1"/>
    <xf numFmtId="164" fontId="0" fillId="0" borderId="7" xfId="0" applyNumberFormat="1" applyBorder="1"/>
    <xf numFmtId="0" fontId="4" fillId="0" borderId="7" xfId="0" applyFont="1" applyBorder="1"/>
    <xf numFmtId="0" fontId="4" fillId="3" borderId="0" xfId="0" applyFont="1" applyFill="1"/>
    <xf numFmtId="174" fontId="0" fillId="3" borderId="0" xfId="0" applyNumberFormat="1" applyFill="1"/>
    <xf numFmtId="164" fontId="0" fillId="3" borderId="0" xfId="0" applyNumberFormat="1" applyFill="1"/>
    <xf numFmtId="0" fontId="2" fillId="0" borderId="0" xfId="0" applyFont="1"/>
    <xf numFmtId="0" fontId="7" fillId="3" borderId="0" xfId="0" applyFont="1" applyFill="1"/>
    <xf numFmtId="165" fontId="2" fillId="0" borderId="0" xfId="0" applyNumberFormat="1" applyFont="1"/>
    <xf numFmtId="165" fontId="2" fillId="5" borderId="0" xfId="0" applyNumberFormat="1" applyFont="1" applyFill="1"/>
    <xf numFmtId="165" fontId="2" fillId="0" borderId="0" xfId="3" applyNumberFormat="1" applyFont="1"/>
    <xf numFmtId="0" fontId="2" fillId="0" borderId="2" xfId="0" applyFont="1" applyBorder="1"/>
    <xf numFmtId="165" fontId="2" fillId="0" borderId="2" xfId="0" applyNumberFormat="1" applyFont="1" applyBorder="1"/>
    <xf numFmtId="165" fontId="2" fillId="0" borderId="2" xfId="3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3" xfId="3" applyNumberFormat="1" applyFont="1" applyBorder="1"/>
    <xf numFmtId="165" fontId="2" fillId="0" borderId="0" xfId="3" applyNumberFormat="1" applyFont="1" applyBorder="1"/>
    <xf numFmtId="165" fontId="2" fillId="0" borderId="0" xfId="1" applyNumberFormat="1" applyFont="1"/>
    <xf numFmtId="165" fontId="2" fillId="0" borderId="0" xfId="1" applyNumberFormat="1" applyFont="1" applyFill="1"/>
    <xf numFmtId="166" fontId="2" fillId="0" borderId="0" xfId="0" applyNumberFormat="1" applyFont="1"/>
    <xf numFmtId="165" fontId="2" fillId="0" borderId="0" xfId="1" applyNumberFormat="1" applyFont="1" applyBorder="1"/>
    <xf numFmtId="165" fontId="2" fillId="0" borderId="0" xfId="1" applyNumberFormat="1" applyFont="1" applyFill="1" applyBorder="1"/>
    <xf numFmtId="167" fontId="2" fillId="0" borderId="0" xfId="3" applyNumberFormat="1" applyFont="1" applyFill="1"/>
    <xf numFmtId="167" fontId="2" fillId="0" borderId="0" xfId="3" applyNumberFormat="1" applyFont="1"/>
    <xf numFmtId="4" fontId="2" fillId="0" borderId="0" xfId="1" applyNumberFormat="1" applyFont="1" applyFill="1" applyBorder="1"/>
    <xf numFmtId="4" fontId="2" fillId="0" borderId="0" xfId="0" applyNumberFormat="1" applyFont="1"/>
    <xf numFmtId="3" fontId="2" fillId="0" borderId="0" xfId="0" applyNumberFormat="1" applyFont="1"/>
    <xf numFmtId="10" fontId="2" fillId="0" borderId="0" xfId="4" applyNumberFormat="1" applyFont="1"/>
    <xf numFmtId="0" fontId="2" fillId="5" borderId="0" xfId="0" applyFont="1" applyFill="1"/>
    <xf numFmtId="9" fontId="2" fillId="5" borderId="0" xfId="4" applyFont="1" applyFill="1"/>
    <xf numFmtId="165" fontId="2" fillId="5" borderId="2" xfId="0" applyNumberFormat="1" applyFont="1" applyFill="1" applyBorder="1"/>
    <xf numFmtId="165" fontId="2" fillId="0" borderId="2" xfId="1" applyNumberFormat="1" applyFont="1" applyBorder="1"/>
    <xf numFmtId="167" fontId="4" fillId="5" borderId="0" xfId="3" applyNumberFormat="1" applyFont="1" applyFill="1" applyBorder="1"/>
    <xf numFmtId="167" fontId="4" fillId="0" borderId="0" xfId="3" applyNumberFormat="1" applyFont="1" applyFill="1" applyBorder="1"/>
    <xf numFmtId="167" fontId="2" fillId="0" borderId="0" xfId="3" applyNumberFormat="1" applyFont="1" applyBorder="1"/>
    <xf numFmtId="167" fontId="2" fillId="5" borderId="0" xfId="3" applyNumberFormat="1" applyFont="1" applyFill="1" applyBorder="1"/>
    <xf numFmtId="3" fontId="2" fillId="0" borderId="0" xfId="3" applyNumberFormat="1" applyFont="1" applyFill="1" applyBorder="1"/>
    <xf numFmtId="3" fontId="2" fillId="0" borderId="0" xfId="3" applyNumberFormat="1" applyFont="1" applyBorder="1"/>
    <xf numFmtId="3" fontId="2" fillId="0" borderId="0" xfId="4" applyNumberFormat="1" applyFont="1" applyBorder="1"/>
    <xf numFmtId="167" fontId="2" fillId="5" borderId="2" xfId="3" applyNumberFormat="1" applyFont="1" applyFill="1" applyBorder="1"/>
    <xf numFmtId="3" fontId="2" fillId="0" borderId="2" xfId="4" applyNumberFormat="1" applyFont="1" applyFill="1" applyBorder="1"/>
    <xf numFmtId="3" fontId="2" fillId="0" borderId="0" xfId="4" applyNumberFormat="1" applyFont="1" applyFill="1" applyBorder="1"/>
    <xf numFmtId="168" fontId="2" fillId="0" borderId="0" xfId="1" applyNumberFormat="1" applyFont="1" applyFill="1" applyBorder="1"/>
    <xf numFmtId="168" fontId="2" fillId="0" borderId="0" xfId="1" applyNumberFormat="1" applyFont="1" applyBorder="1"/>
    <xf numFmtId="165" fontId="2" fillId="5" borderId="3" xfId="0" applyNumberFormat="1" applyFont="1" applyFill="1" applyBorder="1"/>
    <xf numFmtId="168" fontId="2" fillId="0" borderId="3" xfId="1" applyNumberFormat="1" applyFont="1" applyBorder="1"/>
    <xf numFmtId="168" fontId="2" fillId="0" borderId="0" xfId="1" applyNumberFormat="1" applyFont="1" applyFill="1"/>
    <xf numFmtId="37" fontId="2" fillId="0" borderId="0" xfId="1" applyNumberFormat="1" applyFont="1" applyFill="1"/>
    <xf numFmtId="168" fontId="2" fillId="0" borderId="0" xfId="1" applyNumberFormat="1" applyFont="1"/>
    <xf numFmtId="3" fontId="2" fillId="0" borderId="0" xfId="1" applyNumberFormat="1" applyFont="1" applyFill="1"/>
    <xf numFmtId="3" fontId="2" fillId="0" borderId="0" xfId="1" applyNumberFormat="1" applyFont="1"/>
    <xf numFmtId="3" fontId="2" fillId="0" borderId="3" xfId="1" applyNumberFormat="1" applyFont="1" applyBorder="1"/>
    <xf numFmtId="3" fontId="2" fillId="0" borderId="3" xfId="0" applyNumberFormat="1" applyFont="1" applyBorder="1"/>
    <xf numFmtId="169" fontId="2" fillId="0" borderId="0" xfId="0" applyNumberFormat="1" applyFont="1"/>
    <xf numFmtId="167" fontId="2" fillId="0" borderId="0" xfId="0" applyNumberFormat="1" applyFont="1"/>
    <xf numFmtId="43" fontId="2" fillId="0" borderId="0" xfId="3" applyFont="1" applyBorder="1"/>
    <xf numFmtId="41" fontId="2" fillId="0" borderId="0" xfId="3" applyNumberFormat="1" applyFont="1" applyBorder="1"/>
    <xf numFmtId="167" fontId="2" fillId="0" borderId="0" xfId="3" applyNumberFormat="1" applyFont="1" applyFill="1" applyBorder="1"/>
    <xf numFmtId="167" fontId="2" fillId="0" borderId="3" xfId="3" applyNumberFormat="1" applyFont="1" applyBorder="1"/>
    <xf numFmtId="167" fontId="2" fillId="0" borderId="2" xfId="3" applyNumberFormat="1" applyFont="1" applyBorder="1"/>
    <xf numFmtId="37" fontId="2" fillId="0" borderId="0" xfId="1" applyNumberFormat="1" applyFont="1"/>
    <xf numFmtId="170" fontId="2" fillId="0" borderId="3" xfId="0" applyNumberFormat="1" applyFont="1" applyBorder="1"/>
    <xf numFmtId="168" fontId="2" fillId="0" borderId="0" xfId="0" applyNumberFormat="1" applyFont="1"/>
    <xf numFmtId="43" fontId="2" fillId="6" borderId="0" xfId="3" applyFont="1" applyFill="1"/>
    <xf numFmtId="167" fontId="2" fillId="6" borderId="0" xfId="3" applyNumberFormat="1" applyFont="1" applyFill="1"/>
    <xf numFmtId="171" fontId="2" fillId="5" borderId="0" xfId="4" applyNumberFormat="1" applyFont="1" applyFill="1"/>
    <xf numFmtId="44" fontId="2" fillId="0" borderId="0" xfId="1" applyFont="1" applyFill="1"/>
    <xf numFmtId="44" fontId="2" fillId="0" borderId="0" xfId="1" applyFont="1"/>
    <xf numFmtId="0" fontId="2" fillId="0" borderId="0" xfId="3" applyNumberFormat="1" applyFont="1" applyFill="1"/>
    <xf numFmtId="0" fontId="2" fillId="0" borderId="0" xfId="3" applyNumberFormat="1" applyFont="1"/>
    <xf numFmtId="0" fontId="2" fillId="0" borderId="0" xfId="4" applyNumberFormat="1" applyFont="1" applyFill="1"/>
    <xf numFmtId="0" fontId="2" fillId="0" borderId="0" xfId="3" applyNumberFormat="1" applyFont="1" applyFill="1" applyBorder="1"/>
    <xf numFmtId="0" fontId="2" fillId="0" borderId="0" xfId="3" applyNumberFormat="1" applyFont="1" applyBorder="1"/>
    <xf numFmtId="168" fontId="2" fillId="0" borderId="0" xfId="3" applyNumberFormat="1" applyFont="1"/>
    <xf numFmtId="9" fontId="2" fillId="8" borderId="0" xfId="4" applyFont="1" applyFill="1"/>
    <xf numFmtId="168" fontId="2" fillId="0" borderId="3" xfId="4" applyNumberFormat="1" applyFont="1" applyBorder="1"/>
    <xf numFmtId="168" fontId="2" fillId="0" borderId="0" xfId="4" applyNumberFormat="1" applyFont="1"/>
    <xf numFmtId="0" fontId="2" fillId="0" borderId="0" xfId="4" applyNumberFormat="1" applyFont="1"/>
    <xf numFmtId="167" fontId="2" fillId="0" borderId="4" xfId="0" applyNumberFormat="1" applyFont="1" applyBorder="1"/>
    <xf numFmtId="167" fontId="2" fillId="0" borderId="2" xfId="0" applyNumberFormat="1" applyFont="1" applyBorder="1"/>
    <xf numFmtId="172" fontId="2" fillId="6" borderId="0" xfId="3" applyNumberFormat="1" applyFont="1" applyFill="1"/>
    <xf numFmtId="172" fontId="2" fillId="0" borderId="0" xfId="3" applyNumberFormat="1" applyFont="1"/>
    <xf numFmtId="172" fontId="2" fillId="0" borderId="0" xfId="0" applyNumberFormat="1" applyFont="1"/>
    <xf numFmtId="9" fontId="2" fillId="0" borderId="0" xfId="4" applyFont="1" applyFill="1"/>
    <xf numFmtId="9" fontId="2" fillId="0" borderId="0" xfId="4" applyFont="1"/>
    <xf numFmtId="9" fontId="2" fillId="7" borderId="0" xfId="4" applyFont="1" applyFill="1"/>
    <xf numFmtId="9" fontId="2" fillId="9" borderId="0" xfId="4" applyFont="1" applyFill="1"/>
    <xf numFmtId="9" fontId="2" fillId="9" borderId="3" xfId="4" applyFont="1" applyFill="1" applyBorder="1"/>
    <xf numFmtId="9" fontId="2" fillId="0" borderId="3" xfId="4" applyFont="1" applyBorder="1"/>
    <xf numFmtId="44" fontId="2" fillId="6" borderId="0" xfId="1" applyFont="1" applyFill="1"/>
    <xf numFmtId="44" fontId="2" fillId="9" borderId="0" xfId="1" applyFont="1" applyFill="1"/>
    <xf numFmtId="0" fontId="2" fillId="6" borderId="0" xfId="1" applyNumberFormat="1" applyFont="1" applyFill="1"/>
    <xf numFmtId="170" fontId="2" fillId="0" borderId="0" xfId="3" applyNumberFormat="1" applyFont="1"/>
    <xf numFmtId="173" fontId="2" fillId="6" borderId="0" xfId="1" applyNumberFormat="1" applyFont="1" applyFill="1"/>
    <xf numFmtId="173" fontId="2" fillId="0" borderId="0" xfId="1" applyNumberFormat="1" applyFont="1"/>
    <xf numFmtId="0" fontId="2" fillId="4" borderId="0" xfId="0" applyFont="1" applyFill="1"/>
    <xf numFmtId="2" fontId="2" fillId="0" borderId="0" xfId="0" applyNumberFormat="1" applyFont="1"/>
  </cellXfs>
  <cellStyles count="7">
    <cellStyle name="Bad" xfId="5" builtinId="27"/>
    <cellStyle name="Calculation" xfId="6" builtinId="22"/>
    <cellStyle name="Comma" xfId="3" builtinId="3"/>
    <cellStyle name="Currency" xfId="1" builtinId="4"/>
    <cellStyle name="Input" xfId="2" builtinId="20"/>
    <cellStyle name="Normal" xfId="0" builtinId="0"/>
    <cellStyle name="Percent" xfId="4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xisting%20Models/OKLAHOMA%202023%20ECONOMIC%20MODEL%20RNG%20V4.xlsx" TargetMode="External"/><Relationship Id="rId2" Type="http://schemas.openxmlformats.org/officeDocument/2006/relationships/externalLinkPath" Target="https://systemicenvs.sharepoint.com/sites/DataOperations/Shared%20Documents/Existing%20Models/OKLAHOMA%202023%20ECONOMIC%20MODEL%20RNG%20V4.xlsx" TargetMode="External"/><Relationship Id="rId1" Type="http://schemas.openxmlformats.org/officeDocument/2006/relationships/externalLinkPath" Target="/sites/DataOperations/Shared%20Documents/Existing%20Models/OKLAHOMA%202023%20ECONOMIC%20MODEL%20RNG%20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lw2k2DpVUCofb5oWAnpQUhc0Lu7p-pKiV4bdKxI4a6j8L1TyVPMToJVUGoHhkmk" itemId="01ASPVCN7TVFIYHY2NXRAJIQV67EVZZDHK">
      <xxl21:absoluteUrl r:id="rId2"/>
      <xxl21:relativeUrl r:id="rId3"/>
    </xxl21:alternateUrls>
    <sheetNames>
      <sheetName val="ModelDescription"/>
      <sheetName val="Assumptions"/>
      <sheetName val="OpCost"/>
      <sheetName val="Sheet5"/>
      <sheetName val="Sheet6"/>
      <sheetName val="Economics"/>
      <sheetName val="Proforma (2)"/>
      <sheetName val="Proforma"/>
      <sheetName val="WACC"/>
      <sheetName val="ConstructionBudget"/>
      <sheetName val="Graphs"/>
      <sheetName val="MthCashSum"/>
    </sheetNames>
    <sheetDataSet>
      <sheetData sheetId="0">
        <row r="4">
          <cell r="A4" t="str">
            <v>Economic Forecasting Model</v>
          </cell>
        </row>
        <row r="6">
          <cell r="C6" t="str">
            <v>Oklahoma TDF Processing Site Economic Evaluation All Phase V4</v>
          </cell>
        </row>
      </sheetData>
      <sheetData sheetId="1">
        <row r="11">
          <cell r="C11">
            <v>5</v>
          </cell>
        </row>
        <row r="14">
          <cell r="C14">
            <v>0.05</v>
          </cell>
        </row>
        <row r="18">
          <cell r="C18">
            <v>0.2</v>
          </cell>
        </row>
        <row r="19">
          <cell r="C19">
            <v>1.5</v>
          </cell>
        </row>
        <row r="20">
          <cell r="C20">
            <v>0</v>
          </cell>
        </row>
        <row r="21">
          <cell r="C21">
            <v>0</v>
          </cell>
        </row>
        <row r="35">
          <cell r="C35">
            <v>48</v>
          </cell>
        </row>
        <row r="36">
          <cell r="C36">
            <v>18</v>
          </cell>
        </row>
        <row r="37">
          <cell r="C37">
            <v>0</v>
          </cell>
        </row>
        <row r="41">
          <cell r="C41">
            <v>0.45</v>
          </cell>
        </row>
        <row r="42">
          <cell r="C42">
            <v>0.45</v>
          </cell>
        </row>
        <row r="43">
          <cell r="C43">
            <v>0.1</v>
          </cell>
        </row>
        <row r="56">
          <cell r="B56">
            <v>1</v>
          </cell>
          <cell r="C56">
            <v>2</v>
          </cell>
          <cell r="D56">
            <v>3</v>
          </cell>
          <cell r="E56">
            <v>4</v>
          </cell>
          <cell r="F56">
            <v>5</v>
          </cell>
          <cell r="G56">
            <v>6</v>
          </cell>
          <cell r="H56">
            <v>7</v>
          </cell>
          <cell r="I56">
            <v>8</v>
          </cell>
          <cell r="J56">
            <v>9</v>
          </cell>
          <cell r="K56">
            <v>10</v>
          </cell>
          <cell r="L56">
            <v>11</v>
          </cell>
          <cell r="M56">
            <v>12</v>
          </cell>
          <cell r="N56">
            <v>13</v>
          </cell>
          <cell r="O56">
            <v>14</v>
          </cell>
          <cell r="P56">
            <v>15</v>
          </cell>
          <cell r="Q56">
            <v>16</v>
          </cell>
          <cell r="R56">
            <v>17</v>
          </cell>
          <cell r="S56">
            <v>18</v>
          </cell>
          <cell r="T56">
            <v>19</v>
          </cell>
          <cell r="U56">
            <v>20</v>
          </cell>
          <cell r="V56">
            <v>21</v>
          </cell>
          <cell r="W56">
            <v>22</v>
          </cell>
          <cell r="X56">
            <v>23</v>
          </cell>
          <cell r="Y56">
            <v>24</v>
          </cell>
          <cell r="Z56">
            <v>25</v>
          </cell>
          <cell r="AA56">
            <v>26</v>
          </cell>
          <cell r="AB56">
            <v>27</v>
          </cell>
          <cell r="AC56">
            <v>28</v>
          </cell>
          <cell r="AD56">
            <v>29</v>
          </cell>
          <cell r="AE56">
            <v>30</v>
          </cell>
          <cell r="AF56">
            <v>31</v>
          </cell>
          <cell r="AG56">
            <v>32</v>
          </cell>
          <cell r="AH56">
            <v>33</v>
          </cell>
          <cell r="AI56">
            <v>34</v>
          </cell>
          <cell r="AJ56">
            <v>35</v>
          </cell>
          <cell r="AK56">
            <v>36</v>
          </cell>
          <cell r="AL56">
            <v>37</v>
          </cell>
          <cell r="AM56">
            <v>38</v>
          </cell>
          <cell r="AN56">
            <v>39</v>
          </cell>
          <cell r="AO56">
            <v>40</v>
          </cell>
          <cell r="AP56">
            <v>41</v>
          </cell>
          <cell r="AQ56">
            <v>42</v>
          </cell>
          <cell r="AR56">
            <v>43</v>
          </cell>
          <cell r="AS56">
            <v>44</v>
          </cell>
          <cell r="AT56">
            <v>45</v>
          </cell>
          <cell r="AU56">
            <v>46</v>
          </cell>
          <cell r="AV56">
            <v>47</v>
          </cell>
          <cell r="AW56">
            <v>48</v>
          </cell>
          <cell r="AX56">
            <v>49</v>
          </cell>
          <cell r="AY56">
            <v>50</v>
          </cell>
          <cell r="AZ56">
            <v>51</v>
          </cell>
          <cell r="BA56">
            <v>52</v>
          </cell>
          <cell r="BB56">
            <v>53</v>
          </cell>
          <cell r="BC56">
            <v>54</v>
          </cell>
          <cell r="BD56">
            <v>55</v>
          </cell>
          <cell r="BE56">
            <v>56</v>
          </cell>
          <cell r="BF56">
            <v>57</v>
          </cell>
          <cell r="BG56">
            <v>58</v>
          </cell>
          <cell r="BH56">
            <v>59</v>
          </cell>
          <cell r="BI56">
            <v>60</v>
          </cell>
        </row>
        <row r="57">
          <cell r="B57">
            <v>2023</v>
          </cell>
          <cell r="C57">
            <v>2023</v>
          </cell>
          <cell r="D57">
            <v>2023</v>
          </cell>
          <cell r="E57">
            <v>2024</v>
          </cell>
          <cell r="F57">
            <v>2024</v>
          </cell>
          <cell r="G57">
            <v>2024</v>
          </cell>
          <cell r="H57">
            <v>2024</v>
          </cell>
          <cell r="I57">
            <v>2024</v>
          </cell>
          <cell r="J57">
            <v>2024</v>
          </cell>
          <cell r="K57">
            <v>2024</v>
          </cell>
          <cell r="L57">
            <v>2024</v>
          </cell>
          <cell r="M57">
            <v>2024</v>
          </cell>
          <cell r="N57">
            <v>2024</v>
          </cell>
          <cell r="O57">
            <v>2024</v>
          </cell>
          <cell r="P57">
            <v>2024</v>
          </cell>
          <cell r="Q57">
            <v>2025</v>
          </cell>
          <cell r="R57">
            <v>2025</v>
          </cell>
          <cell r="S57">
            <v>2025</v>
          </cell>
          <cell r="T57">
            <v>2025</v>
          </cell>
          <cell r="U57">
            <v>2025</v>
          </cell>
          <cell r="V57">
            <v>2025</v>
          </cell>
          <cell r="W57">
            <v>2025</v>
          </cell>
          <cell r="X57">
            <v>2025</v>
          </cell>
          <cell r="Y57">
            <v>2025</v>
          </cell>
          <cell r="Z57">
            <v>2025</v>
          </cell>
          <cell r="AA57">
            <v>2025</v>
          </cell>
          <cell r="AB57">
            <v>2025</v>
          </cell>
          <cell r="AC57">
            <v>2026</v>
          </cell>
          <cell r="AD57">
            <v>2026</v>
          </cell>
          <cell r="AE57">
            <v>2026</v>
          </cell>
          <cell r="AF57">
            <v>2026</v>
          </cell>
          <cell r="AG57">
            <v>2026</v>
          </cell>
          <cell r="AH57">
            <v>2026</v>
          </cell>
          <cell r="AI57">
            <v>2026</v>
          </cell>
          <cell r="AJ57">
            <v>2026</v>
          </cell>
          <cell r="AK57">
            <v>2026</v>
          </cell>
          <cell r="AL57">
            <v>2026</v>
          </cell>
          <cell r="AM57">
            <v>2026</v>
          </cell>
          <cell r="AN57">
            <v>2026</v>
          </cell>
          <cell r="AO57">
            <v>2027</v>
          </cell>
          <cell r="AP57">
            <v>2027</v>
          </cell>
          <cell r="AQ57">
            <v>2027</v>
          </cell>
          <cell r="AR57">
            <v>2027</v>
          </cell>
          <cell r="AS57">
            <v>2027</v>
          </cell>
          <cell r="AT57">
            <v>2027</v>
          </cell>
          <cell r="AU57">
            <v>2027</v>
          </cell>
          <cell r="AV57">
            <v>2027</v>
          </cell>
          <cell r="AW57">
            <v>2027</v>
          </cell>
          <cell r="AX57">
            <v>2027</v>
          </cell>
          <cell r="AY57">
            <v>2027</v>
          </cell>
          <cell r="AZ57">
            <v>2027</v>
          </cell>
          <cell r="BA57">
            <v>2028</v>
          </cell>
          <cell r="BB57">
            <v>2028</v>
          </cell>
          <cell r="BC57">
            <v>2028</v>
          </cell>
          <cell r="BD57">
            <v>2028</v>
          </cell>
          <cell r="BE57">
            <v>2028</v>
          </cell>
          <cell r="BF57">
            <v>2028</v>
          </cell>
          <cell r="BG57">
            <v>2028</v>
          </cell>
          <cell r="BH57">
            <v>2028</v>
          </cell>
          <cell r="BI57">
            <v>2028</v>
          </cell>
        </row>
        <row r="58">
          <cell r="B58" t="str">
            <v>October</v>
          </cell>
          <cell r="C58" t="str">
            <v>November</v>
          </cell>
          <cell r="D58" t="str">
            <v>Dec</v>
          </cell>
          <cell r="E58" t="str">
            <v>Jan</v>
          </cell>
          <cell r="F58" t="str">
            <v>Feb</v>
          </cell>
          <cell r="G58" t="str">
            <v>Mar</v>
          </cell>
          <cell r="H58" t="str">
            <v>April</v>
          </cell>
          <cell r="I58" t="str">
            <v>May</v>
          </cell>
          <cell r="J58" t="str">
            <v>June</v>
          </cell>
          <cell r="K58" t="str">
            <v>July</v>
          </cell>
          <cell r="L58" t="str">
            <v>Aug</v>
          </cell>
          <cell r="M58" t="str">
            <v>Sept</v>
          </cell>
          <cell r="N58" t="str">
            <v>Oct</v>
          </cell>
          <cell r="O58" t="str">
            <v>Nov</v>
          </cell>
          <cell r="P58" t="str">
            <v>Dec</v>
          </cell>
          <cell r="Q58" t="str">
            <v>Jan</v>
          </cell>
          <cell r="R58" t="str">
            <v>Feb</v>
          </cell>
          <cell r="S58" t="str">
            <v>Mar</v>
          </cell>
          <cell r="T58" t="str">
            <v>April</v>
          </cell>
          <cell r="U58" t="str">
            <v>May</v>
          </cell>
          <cell r="V58" t="str">
            <v>June</v>
          </cell>
          <cell r="W58" t="str">
            <v>July</v>
          </cell>
          <cell r="X58" t="str">
            <v>Aug</v>
          </cell>
          <cell r="Y58" t="str">
            <v>Sept</v>
          </cell>
          <cell r="Z58" t="str">
            <v>Oct</v>
          </cell>
          <cell r="AA58" t="str">
            <v>Nov</v>
          </cell>
          <cell r="AB58" t="str">
            <v>Dec</v>
          </cell>
          <cell r="AC58" t="str">
            <v>Jan</v>
          </cell>
          <cell r="AD58" t="str">
            <v>Feb</v>
          </cell>
          <cell r="AE58" t="str">
            <v>Mar</v>
          </cell>
          <cell r="AF58" t="str">
            <v>April</v>
          </cell>
          <cell r="AG58" t="str">
            <v>May</v>
          </cell>
          <cell r="AH58" t="str">
            <v>June</v>
          </cell>
          <cell r="AI58" t="str">
            <v>July</v>
          </cell>
          <cell r="AJ58" t="str">
            <v>Aug</v>
          </cell>
          <cell r="AK58" t="str">
            <v>Sept</v>
          </cell>
          <cell r="AL58" t="str">
            <v>Oct</v>
          </cell>
          <cell r="AM58" t="str">
            <v>Nov</v>
          </cell>
          <cell r="AN58" t="str">
            <v>Dec</v>
          </cell>
          <cell r="AO58" t="str">
            <v>Jan</v>
          </cell>
          <cell r="AP58" t="str">
            <v>Feb</v>
          </cell>
          <cell r="AQ58" t="str">
            <v>Mar</v>
          </cell>
          <cell r="AR58" t="str">
            <v>April</v>
          </cell>
          <cell r="AS58" t="str">
            <v>May</v>
          </cell>
          <cell r="AT58" t="str">
            <v>June</v>
          </cell>
          <cell r="AU58" t="str">
            <v>July</v>
          </cell>
          <cell r="AV58" t="str">
            <v>Aug</v>
          </cell>
          <cell r="AW58" t="str">
            <v>Sept</v>
          </cell>
          <cell r="AX58" t="str">
            <v>Oct</v>
          </cell>
          <cell r="AY58" t="str">
            <v>Nov</v>
          </cell>
          <cell r="AZ58" t="str">
            <v>Dec</v>
          </cell>
          <cell r="BA58" t="str">
            <v>Jan</v>
          </cell>
          <cell r="BB58" t="str">
            <v>Feb</v>
          </cell>
          <cell r="BC58" t="str">
            <v>Mar</v>
          </cell>
          <cell r="BD58" t="str">
            <v>April</v>
          </cell>
          <cell r="BE58" t="str">
            <v>May</v>
          </cell>
          <cell r="BF58" t="str">
            <v>June</v>
          </cell>
          <cell r="BG58" t="str">
            <v>July</v>
          </cell>
          <cell r="BH58" t="str">
            <v>Aug</v>
          </cell>
          <cell r="BI58" t="str">
            <v>Sept</v>
          </cell>
        </row>
        <row r="60">
          <cell r="B60">
            <v>31</v>
          </cell>
          <cell r="C60">
            <v>30</v>
          </cell>
          <cell r="D60">
            <v>31</v>
          </cell>
          <cell r="E60">
            <v>31</v>
          </cell>
          <cell r="F60">
            <v>29</v>
          </cell>
          <cell r="G60">
            <v>31</v>
          </cell>
          <cell r="H60">
            <v>30</v>
          </cell>
          <cell r="I60">
            <v>31</v>
          </cell>
          <cell r="J60">
            <v>30</v>
          </cell>
          <cell r="K60">
            <v>31</v>
          </cell>
          <cell r="L60">
            <v>31</v>
          </cell>
          <cell r="M60">
            <v>30</v>
          </cell>
          <cell r="N60">
            <v>31</v>
          </cell>
          <cell r="O60">
            <v>30</v>
          </cell>
          <cell r="P60">
            <v>31</v>
          </cell>
          <cell r="Q60">
            <v>31</v>
          </cell>
          <cell r="R60">
            <v>28</v>
          </cell>
          <cell r="S60">
            <v>31</v>
          </cell>
          <cell r="T60">
            <v>30</v>
          </cell>
          <cell r="U60">
            <v>31</v>
          </cell>
          <cell r="V60">
            <v>30</v>
          </cell>
          <cell r="W60">
            <v>31</v>
          </cell>
          <cell r="X60">
            <v>31</v>
          </cell>
          <cell r="Y60">
            <v>30</v>
          </cell>
          <cell r="Z60">
            <v>31</v>
          </cell>
          <cell r="AA60">
            <v>30</v>
          </cell>
          <cell r="AB60">
            <v>31</v>
          </cell>
          <cell r="AC60">
            <v>31</v>
          </cell>
          <cell r="AD60">
            <v>28</v>
          </cell>
          <cell r="AE60">
            <v>31</v>
          </cell>
          <cell r="AF60">
            <v>30</v>
          </cell>
          <cell r="AG60">
            <v>31</v>
          </cell>
          <cell r="AH60">
            <v>30</v>
          </cell>
          <cell r="AI60">
            <v>31</v>
          </cell>
          <cell r="AJ60">
            <v>31</v>
          </cell>
          <cell r="AK60">
            <v>30</v>
          </cell>
          <cell r="AL60">
            <v>31</v>
          </cell>
          <cell r="AM60">
            <v>30</v>
          </cell>
          <cell r="AN60">
            <v>31</v>
          </cell>
          <cell r="AO60">
            <v>31</v>
          </cell>
          <cell r="AP60">
            <v>28</v>
          </cell>
          <cell r="AQ60">
            <v>31</v>
          </cell>
          <cell r="AR60">
            <v>30</v>
          </cell>
          <cell r="AS60">
            <v>31</v>
          </cell>
          <cell r="AT60">
            <v>30</v>
          </cell>
          <cell r="AU60">
            <v>31</v>
          </cell>
          <cell r="AV60">
            <v>31</v>
          </cell>
          <cell r="AW60">
            <v>30</v>
          </cell>
          <cell r="AX60">
            <v>31</v>
          </cell>
          <cell r="AY60">
            <v>30</v>
          </cell>
          <cell r="AZ60">
            <v>31</v>
          </cell>
          <cell r="BA60">
            <v>31</v>
          </cell>
          <cell r="BB60">
            <v>28</v>
          </cell>
          <cell r="BC60">
            <v>31</v>
          </cell>
          <cell r="BD60">
            <v>30</v>
          </cell>
          <cell r="BE60">
            <v>31</v>
          </cell>
          <cell r="BF60">
            <v>30</v>
          </cell>
          <cell r="BG60">
            <v>31</v>
          </cell>
          <cell r="BH60">
            <v>31</v>
          </cell>
          <cell r="BI60">
            <v>30</v>
          </cell>
        </row>
      </sheetData>
      <sheetData sheetId="2">
        <row r="12">
          <cell r="E12">
            <v>2.4305555555555554</v>
          </cell>
        </row>
        <row r="13">
          <cell r="E13">
            <v>5.5555555555555554</v>
          </cell>
        </row>
        <row r="14">
          <cell r="E14">
            <v>0</v>
          </cell>
        </row>
        <row r="15">
          <cell r="E15">
            <v>0.1388888888888889</v>
          </cell>
        </row>
        <row r="16">
          <cell r="E16">
            <v>0.27777777777777779</v>
          </cell>
        </row>
        <row r="17">
          <cell r="E17">
            <v>0.69444444444444442</v>
          </cell>
        </row>
        <row r="18">
          <cell r="E18">
            <v>1.1111111111111112</v>
          </cell>
        </row>
        <row r="19">
          <cell r="E19">
            <v>0.34722222222222221</v>
          </cell>
        </row>
        <row r="20">
          <cell r="E20">
            <v>7.2908750000000007</v>
          </cell>
        </row>
        <row r="21">
          <cell r="E21">
            <v>2.4305555555555554</v>
          </cell>
        </row>
        <row r="22">
          <cell r="E22">
            <v>0.625</v>
          </cell>
        </row>
        <row r="23">
          <cell r="E23">
            <v>0.3125</v>
          </cell>
        </row>
        <row r="24">
          <cell r="E24">
            <v>2.0833333333333335</v>
          </cell>
        </row>
        <row r="25">
          <cell r="E25">
            <v>3.3854166666666665</v>
          </cell>
        </row>
        <row r="26">
          <cell r="E26">
            <v>3.4722222222222223</v>
          </cell>
        </row>
        <row r="27">
          <cell r="E27">
            <v>2.0833333333333335</v>
          </cell>
        </row>
        <row r="28">
          <cell r="E28">
            <v>11.53888888888889</v>
          </cell>
        </row>
        <row r="29">
          <cell r="E29">
            <v>1.3888888888888888</v>
          </cell>
        </row>
        <row r="30">
          <cell r="E30">
            <v>0.52083333333333337</v>
          </cell>
        </row>
        <row r="31">
          <cell r="E31">
            <v>2.0833333333333335</v>
          </cell>
        </row>
        <row r="32">
          <cell r="E32">
            <v>2.7777777777777777</v>
          </cell>
        </row>
        <row r="33">
          <cell r="E33">
            <v>0.1736111111111111</v>
          </cell>
        </row>
        <row r="34">
          <cell r="E34">
            <v>1.0416666666666667</v>
          </cell>
        </row>
        <row r="35">
          <cell r="E35">
            <v>2.0833333333333335</v>
          </cell>
        </row>
        <row r="36">
          <cell r="E36">
            <v>0.41666666666666669</v>
          </cell>
        </row>
        <row r="37">
          <cell r="E37">
            <v>0.1388888888888889</v>
          </cell>
        </row>
        <row r="38">
          <cell r="E38">
            <v>0.41666666666666669</v>
          </cell>
        </row>
        <row r="39">
          <cell r="E39">
            <v>0.4513888888888889</v>
          </cell>
        </row>
        <row r="40">
          <cell r="E40">
            <v>0.34722222222222221</v>
          </cell>
        </row>
        <row r="41">
          <cell r="E41">
            <v>0.4861111111111111</v>
          </cell>
        </row>
        <row r="42">
          <cell r="E42">
            <v>0.97222222222222221</v>
          </cell>
        </row>
        <row r="43">
          <cell r="E43">
            <v>0.41666666666666669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45B03-C587-4D88-809B-B5F1E6992DEA}">
  <dimension ref="A1:Q150"/>
  <sheetViews>
    <sheetView zoomScale="140" zoomScaleNormal="140" workbookViewId="0">
      <pane ySplit="11" topLeftCell="A147" activePane="bottomLeft" state="frozen"/>
      <selection pane="bottomLeft" sqref="A1:XFD1048576"/>
    </sheetView>
  </sheetViews>
  <sheetFormatPr defaultColWidth="8.85546875" defaultRowHeight="15"/>
  <cols>
    <col min="3" max="3" width="38.42578125" customWidth="1"/>
    <col min="4" max="4" width="17.7109375" customWidth="1"/>
    <col min="5" max="5" width="10.28515625" customWidth="1"/>
    <col min="6" max="17" width="12.7109375" customWidth="1"/>
  </cols>
  <sheetData>
    <row r="1" spans="1:17" s="6" customFormat="1">
      <c r="A1" s="6" t="s">
        <v>0</v>
      </c>
    </row>
    <row r="2" spans="1:17" s="3" customFormat="1">
      <c r="C2" s="3" t="s">
        <v>1</v>
      </c>
      <c r="D2" s="3" t="s">
        <v>2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O2" s="3">
        <v>10</v>
      </c>
      <c r="P2" s="3">
        <v>11</v>
      </c>
      <c r="Q2" s="3">
        <v>12</v>
      </c>
    </row>
    <row r="3" spans="1:17" s="3" customFormat="1">
      <c r="C3" s="51" t="str">
        <f>A12</f>
        <v>Equipment &amp; Materials</v>
      </c>
      <c r="D3" s="2">
        <f>SUM(F3:Q3)</f>
        <v>5438874.9999999991</v>
      </c>
      <c r="E3" s="34"/>
      <c r="F3" s="2">
        <f>F50</f>
        <v>3228958.333333333</v>
      </c>
      <c r="G3" s="2">
        <f t="shared" ref="G3:Q3" si="0">G50</f>
        <v>1227958.3333333333</v>
      </c>
      <c r="H3" s="2">
        <f t="shared" si="0"/>
        <v>981958.33333333326</v>
      </c>
      <c r="I3" s="2">
        <f t="shared" si="0"/>
        <v>0</v>
      </c>
      <c r="J3" s="2">
        <f t="shared" si="0"/>
        <v>0</v>
      </c>
      <c r="K3" s="2">
        <f t="shared" si="0"/>
        <v>0</v>
      </c>
      <c r="L3" s="2">
        <f t="shared" si="0"/>
        <v>0</v>
      </c>
      <c r="M3" s="2">
        <f t="shared" si="0"/>
        <v>0</v>
      </c>
      <c r="N3" s="2">
        <f t="shared" si="0"/>
        <v>0</v>
      </c>
      <c r="O3" s="2">
        <f t="shared" si="0"/>
        <v>0</v>
      </c>
      <c r="P3" s="2">
        <f t="shared" si="0"/>
        <v>0</v>
      </c>
      <c r="Q3" s="2">
        <f t="shared" si="0"/>
        <v>0</v>
      </c>
    </row>
    <row r="4" spans="1:17" s="3" customFormat="1">
      <c r="C4" s="51" t="str">
        <f>A52</f>
        <v>Facilities &amp; Auxillary Support Systems</v>
      </c>
      <c r="D4" s="2">
        <f t="shared" ref="D4:D7" si="1">SUM(F4:Q4)</f>
        <v>3674050</v>
      </c>
      <c r="E4"/>
      <c r="F4" s="2">
        <f>F73</f>
        <v>1309683.3333333333</v>
      </c>
      <c r="G4" s="2">
        <f t="shared" ref="G4:Q4" si="2">G73</f>
        <v>994683.33333333337</v>
      </c>
      <c r="H4" s="2">
        <f t="shared" si="2"/>
        <v>994683.33333333337</v>
      </c>
      <c r="I4" s="2">
        <f t="shared" si="2"/>
        <v>375000</v>
      </c>
      <c r="J4" s="2">
        <f t="shared" si="2"/>
        <v>0</v>
      </c>
      <c r="K4" s="2">
        <f t="shared" si="2"/>
        <v>0</v>
      </c>
      <c r="L4" s="2">
        <f t="shared" si="2"/>
        <v>0</v>
      </c>
      <c r="M4" s="2">
        <f t="shared" si="2"/>
        <v>0</v>
      </c>
      <c r="N4" s="2">
        <f t="shared" si="2"/>
        <v>0</v>
      </c>
      <c r="O4" s="2">
        <f t="shared" si="2"/>
        <v>0</v>
      </c>
      <c r="P4" s="2">
        <f t="shared" si="2"/>
        <v>0</v>
      </c>
      <c r="Q4" s="2">
        <f t="shared" si="2"/>
        <v>0</v>
      </c>
    </row>
    <row r="5" spans="1:17" s="3" customFormat="1">
      <c r="C5" s="51" t="str">
        <f>A75</f>
        <v>Operating Costs</v>
      </c>
      <c r="D5" s="2">
        <f t="shared" si="1"/>
        <v>720500</v>
      </c>
      <c r="E5"/>
      <c r="F5" s="2">
        <f>F104</f>
        <v>91450</v>
      </c>
      <c r="G5" s="2">
        <f t="shared" ref="G5:Q5" si="3">G104</f>
        <v>27950</v>
      </c>
      <c r="H5" s="2">
        <f t="shared" si="3"/>
        <v>27950</v>
      </c>
      <c r="I5" s="2">
        <f t="shared" si="3"/>
        <v>27950</v>
      </c>
      <c r="J5" s="2">
        <f t="shared" si="3"/>
        <v>27950</v>
      </c>
      <c r="K5" s="2">
        <f t="shared" si="3"/>
        <v>204016.66666666669</v>
      </c>
      <c r="L5" s="2">
        <f t="shared" si="3"/>
        <v>144616.66666666669</v>
      </c>
      <c r="M5" s="2">
        <f t="shared" si="3"/>
        <v>144616.66666666669</v>
      </c>
      <c r="N5" s="2">
        <f t="shared" si="3"/>
        <v>6000</v>
      </c>
      <c r="O5" s="2">
        <f t="shared" si="3"/>
        <v>6000</v>
      </c>
      <c r="P5" s="2">
        <f t="shared" si="3"/>
        <v>6000</v>
      </c>
      <c r="Q5" s="2">
        <f t="shared" si="3"/>
        <v>6000</v>
      </c>
    </row>
    <row r="6" spans="1:17" s="3" customFormat="1">
      <c r="C6" s="51" t="str">
        <f>A106</f>
        <v>Professional Services</v>
      </c>
      <c r="D6" s="2">
        <f t="shared" si="1"/>
        <v>401400</v>
      </c>
      <c r="E6"/>
      <c r="F6" s="2">
        <f>F118</f>
        <v>364550</v>
      </c>
      <c r="G6" s="2">
        <f t="shared" ref="G6:Q6" si="4">G118</f>
        <v>4550</v>
      </c>
      <c r="H6" s="2">
        <f t="shared" si="4"/>
        <v>4550</v>
      </c>
      <c r="I6" s="2">
        <f t="shared" si="4"/>
        <v>4550</v>
      </c>
      <c r="J6" s="2">
        <f t="shared" si="4"/>
        <v>9550</v>
      </c>
      <c r="K6" s="2">
        <f t="shared" si="4"/>
        <v>4550</v>
      </c>
      <c r="L6" s="2">
        <f t="shared" si="4"/>
        <v>4550</v>
      </c>
      <c r="M6" s="2">
        <f t="shared" si="4"/>
        <v>4550</v>
      </c>
      <c r="N6" s="2">
        <f t="shared" si="4"/>
        <v>0</v>
      </c>
      <c r="O6" s="2">
        <f t="shared" si="4"/>
        <v>0</v>
      </c>
      <c r="P6" s="2">
        <f t="shared" si="4"/>
        <v>0</v>
      </c>
      <c r="Q6" s="2">
        <f t="shared" si="4"/>
        <v>0</v>
      </c>
    </row>
    <row r="7" spans="1:17" s="3" customFormat="1">
      <c r="C7" t="str">
        <f>A120</f>
        <v>Workforce - Role - Pay Rate</v>
      </c>
      <c r="D7" s="2">
        <f t="shared" si="1"/>
        <v>2775367.6128000002</v>
      </c>
      <c r="E7"/>
      <c r="F7" s="2">
        <f>F150</f>
        <v>338436.18360000005</v>
      </c>
      <c r="G7" s="2">
        <f t="shared" ref="G7:Q7" si="5">G150</f>
        <v>338436.18360000005</v>
      </c>
      <c r="H7" s="2">
        <f t="shared" si="5"/>
        <v>338436.18360000005</v>
      </c>
      <c r="I7" s="2">
        <f t="shared" si="5"/>
        <v>338436.18360000005</v>
      </c>
      <c r="J7" s="2">
        <f t="shared" si="5"/>
        <v>355405.71960000001</v>
      </c>
      <c r="K7" s="2">
        <f t="shared" si="5"/>
        <v>355405.71960000001</v>
      </c>
      <c r="L7" s="2">
        <f t="shared" si="5"/>
        <v>355405.71960000001</v>
      </c>
      <c r="M7" s="2">
        <f t="shared" si="5"/>
        <v>355405.71960000001</v>
      </c>
      <c r="N7" s="2">
        <f t="shared" si="5"/>
        <v>0</v>
      </c>
      <c r="O7" s="2">
        <f t="shared" si="5"/>
        <v>0</v>
      </c>
      <c r="P7" s="2">
        <f t="shared" si="5"/>
        <v>0</v>
      </c>
      <c r="Q7" s="2">
        <f t="shared" si="5"/>
        <v>0</v>
      </c>
    </row>
    <row r="8" spans="1:17" s="3" customFormat="1">
      <c r="D8" s="2"/>
      <c r="E8"/>
      <c r="F8"/>
      <c r="G8"/>
      <c r="H8"/>
      <c r="I8"/>
      <c r="J8"/>
      <c r="K8"/>
      <c r="L8"/>
      <c r="M8"/>
      <c r="N8"/>
      <c r="O8"/>
      <c r="P8"/>
      <c r="Q8"/>
    </row>
    <row r="9" spans="1:17" s="3" customFormat="1">
      <c r="C9" s="41" t="s">
        <v>3</v>
      </c>
      <c r="D9" s="36">
        <f>SUM(D3:D7)</f>
        <v>13010192.6128</v>
      </c>
      <c r="E9" s="35"/>
      <c r="F9" s="36">
        <f>SUM(F3:F7)</f>
        <v>5333077.8502666662</v>
      </c>
      <c r="G9" s="36">
        <f t="shared" ref="G9:Q9" si="6">SUM(G3:G7)</f>
        <v>2593577.8502666666</v>
      </c>
      <c r="H9" s="36">
        <f t="shared" si="6"/>
        <v>2347577.8502666666</v>
      </c>
      <c r="I9" s="36">
        <f t="shared" si="6"/>
        <v>745936.18360000011</v>
      </c>
      <c r="J9" s="36">
        <f t="shared" si="6"/>
        <v>392905.71960000001</v>
      </c>
      <c r="K9" s="36">
        <f t="shared" si="6"/>
        <v>563972.3862666667</v>
      </c>
      <c r="L9" s="36">
        <f t="shared" si="6"/>
        <v>504572.3862666667</v>
      </c>
      <c r="M9" s="36">
        <f t="shared" si="6"/>
        <v>504572.3862666667</v>
      </c>
      <c r="N9" s="36">
        <f t="shared" si="6"/>
        <v>6000</v>
      </c>
      <c r="O9" s="36">
        <f t="shared" si="6"/>
        <v>6000</v>
      </c>
      <c r="P9" s="36">
        <f t="shared" si="6"/>
        <v>6000</v>
      </c>
      <c r="Q9" s="36">
        <f t="shared" si="6"/>
        <v>6000</v>
      </c>
    </row>
    <row r="10" spans="1:17" s="47" customFormat="1">
      <c r="D10" s="44"/>
      <c r="E10" s="45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spans="1:17" s="48" customFormat="1" ht="3.75" customHeight="1">
      <c r="D11" s="49"/>
      <c r="E11" s="28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</row>
    <row r="12" spans="1:17" s="6" customFormat="1">
      <c r="A12" s="6" t="s">
        <v>4</v>
      </c>
    </row>
    <row r="13" spans="1:17" s="3" customFormat="1">
      <c r="B13" s="3" t="s">
        <v>1</v>
      </c>
      <c r="C13" s="3" t="s">
        <v>5</v>
      </c>
      <c r="D13" s="3" t="s">
        <v>6</v>
      </c>
      <c r="E13" s="3" t="s">
        <v>7</v>
      </c>
      <c r="F13" s="3">
        <v>1</v>
      </c>
      <c r="G13" s="3">
        <v>2</v>
      </c>
      <c r="H13" s="3">
        <v>3</v>
      </c>
      <c r="I13" s="3">
        <v>4</v>
      </c>
      <c r="J13" s="3">
        <v>5</v>
      </c>
      <c r="K13" s="3">
        <v>6</v>
      </c>
      <c r="L13" s="3">
        <v>7</v>
      </c>
      <c r="M13" s="3">
        <v>8</v>
      </c>
      <c r="N13" s="3">
        <v>9</v>
      </c>
      <c r="O13" s="3">
        <v>10</v>
      </c>
      <c r="P13" s="3">
        <v>11</v>
      </c>
      <c r="Q13" s="3">
        <v>12</v>
      </c>
    </row>
    <row r="14" spans="1:17">
      <c r="B14" s="51" t="s">
        <v>4</v>
      </c>
      <c r="C14" s="51"/>
    </row>
    <row r="15" spans="1:17">
      <c r="B15" s="51"/>
      <c r="C15" t="s">
        <v>8</v>
      </c>
      <c r="D15" s="33">
        <f>'IMPORT_OK Model'!E136/8</f>
        <v>233125</v>
      </c>
      <c r="E15" s="25">
        <v>0.2</v>
      </c>
      <c r="F15" s="2">
        <f>$D15*(1-$E15)/3</f>
        <v>62166.666666666664</v>
      </c>
      <c r="G15" s="2">
        <f t="shared" ref="G15:H18" si="7">$D15*(1-$E15)/3</f>
        <v>62166.666666666664</v>
      </c>
      <c r="H15" s="2">
        <f t="shared" si="7"/>
        <v>62166.666666666664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</row>
    <row r="16" spans="1:17">
      <c r="B16" s="51"/>
      <c r="C16" t="s">
        <v>9</v>
      </c>
      <c r="D16" s="33">
        <f>'IMPORT_OK Model'!E137/8</f>
        <v>609375</v>
      </c>
      <c r="E16" s="25">
        <v>0.2</v>
      </c>
      <c r="F16" s="2">
        <f t="shared" ref="F16:H48" si="8">$D16*(1-$E16)/3</f>
        <v>162500</v>
      </c>
      <c r="G16" s="2">
        <f t="shared" si="7"/>
        <v>162500</v>
      </c>
      <c r="H16" s="2">
        <f t="shared" si="7"/>
        <v>162500</v>
      </c>
      <c r="I16" s="39"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</row>
    <row r="17" spans="2:17">
      <c r="B17" s="51"/>
      <c r="C17" s="51" t="s">
        <v>10</v>
      </c>
      <c r="D17" s="33">
        <f>'IMPORT_OK Model'!E138/8</f>
        <v>516250</v>
      </c>
      <c r="E17" s="25">
        <v>0.2</v>
      </c>
      <c r="F17" s="2">
        <f t="shared" si="8"/>
        <v>137666.66666666666</v>
      </c>
      <c r="G17" s="2">
        <f t="shared" si="7"/>
        <v>137666.66666666666</v>
      </c>
      <c r="H17" s="2">
        <f t="shared" si="7"/>
        <v>137666.66666666666</v>
      </c>
      <c r="I17" s="39">
        <v>0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</row>
    <row r="18" spans="2:17">
      <c r="B18" s="51"/>
      <c r="C18" t="s">
        <v>11</v>
      </c>
      <c r="D18" s="33">
        <f>'IMPORT_OK Model'!E139/8</f>
        <v>582500</v>
      </c>
      <c r="E18" s="25">
        <v>0.2</v>
      </c>
      <c r="F18" s="2">
        <f t="shared" si="8"/>
        <v>155333.33333333334</v>
      </c>
      <c r="G18" s="2">
        <f t="shared" si="7"/>
        <v>155333.33333333334</v>
      </c>
      <c r="H18" s="2">
        <f t="shared" si="7"/>
        <v>155333.33333333334</v>
      </c>
      <c r="I18" s="39">
        <v>0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</row>
    <row r="19" spans="2:17">
      <c r="B19" s="51" t="s">
        <v>12</v>
      </c>
      <c r="C19" s="51"/>
      <c r="D19" s="2"/>
      <c r="F19" s="2"/>
      <c r="G19" s="2"/>
      <c r="H19" s="2"/>
      <c r="I19" s="39"/>
      <c r="J19" s="39"/>
      <c r="K19" s="39"/>
      <c r="L19" s="39"/>
      <c r="M19" s="39"/>
      <c r="N19" s="39"/>
      <c r="O19" s="39"/>
      <c r="P19" s="39"/>
      <c r="Q19" s="39"/>
    </row>
    <row r="20" spans="2:17">
      <c r="B20" s="51"/>
      <c r="C20" s="51" t="s">
        <v>13</v>
      </c>
      <c r="D20" s="33">
        <f>'IMPORT_OK Model'!E141/8</f>
        <v>330000</v>
      </c>
      <c r="E20" s="25">
        <v>0.2</v>
      </c>
      <c r="F20" s="2">
        <f>$D20*(1-$E20)/2</f>
        <v>132000</v>
      </c>
      <c r="G20" s="2">
        <f>$D20*(1-$E20)/2</f>
        <v>132000</v>
      </c>
      <c r="H20" s="39">
        <v>0</v>
      </c>
      <c r="I20" s="39">
        <v>0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</row>
    <row r="21" spans="2:17">
      <c r="B21" s="51" t="s">
        <v>14</v>
      </c>
      <c r="C21" s="51"/>
      <c r="D21" s="2"/>
      <c r="F21" s="2"/>
      <c r="G21" s="2"/>
      <c r="H21" s="2"/>
      <c r="I21" s="39"/>
      <c r="J21" s="39"/>
      <c r="K21" s="39"/>
      <c r="L21" s="39"/>
      <c r="M21" s="39"/>
      <c r="N21" s="39"/>
      <c r="O21" s="39"/>
      <c r="P21" s="39"/>
      <c r="Q21" s="39"/>
    </row>
    <row r="22" spans="2:17">
      <c r="B22" s="51"/>
      <c r="C22" s="51" t="s">
        <v>15</v>
      </c>
      <c r="D22" s="33">
        <f>'IMPORT_OK Model'!E143/8</f>
        <v>160000</v>
      </c>
      <c r="E22" s="25">
        <v>0.2</v>
      </c>
      <c r="F22" s="2">
        <f>$D22*(1-$E22)/2</f>
        <v>64000</v>
      </c>
      <c r="G22" s="2">
        <f>$D22*(1-$E22)/2</f>
        <v>64000</v>
      </c>
      <c r="H22" s="39">
        <v>0</v>
      </c>
      <c r="I22" s="39">
        <v>0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</row>
    <row r="23" spans="2:17">
      <c r="B23" s="51"/>
      <c r="C23" s="51" t="s">
        <v>16</v>
      </c>
      <c r="D23" s="33">
        <f>'IMPORT_OK Model'!E144/8</f>
        <v>125000</v>
      </c>
      <c r="E23" s="25">
        <v>0.2</v>
      </c>
      <c r="F23" s="2">
        <f>$D23*(1-$E23)/2</f>
        <v>50000</v>
      </c>
      <c r="G23" s="2">
        <f>$D23*(1-$E23)/2</f>
        <v>50000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</row>
    <row r="24" spans="2:17">
      <c r="B24" s="51" t="s">
        <v>17</v>
      </c>
      <c r="C24" s="51"/>
      <c r="D24" s="2"/>
      <c r="F24" s="2"/>
      <c r="G24" s="2"/>
      <c r="H24" s="2"/>
      <c r="I24" s="39"/>
      <c r="J24" s="39"/>
      <c r="K24" s="39"/>
      <c r="L24" s="39"/>
      <c r="M24" s="39"/>
      <c r="N24" s="39"/>
      <c r="O24" s="39"/>
      <c r="P24" s="39"/>
      <c r="Q24" s="39"/>
    </row>
    <row r="25" spans="2:17">
      <c r="B25" s="51"/>
      <c r="C25" t="s">
        <v>18</v>
      </c>
      <c r="D25" s="33">
        <f>'IMPORT_OK Model'!E146/8</f>
        <v>478125</v>
      </c>
      <c r="E25" s="25">
        <v>0.2</v>
      </c>
      <c r="F25" s="2">
        <f>$D25*(1-$E25)</f>
        <v>382500</v>
      </c>
      <c r="G25" s="2">
        <v>0</v>
      </c>
      <c r="H25" s="2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</row>
    <row r="26" spans="2:17">
      <c r="B26" s="51"/>
      <c r="C26" t="s">
        <v>19</v>
      </c>
      <c r="D26" s="33">
        <f>'IMPORT_OK Model'!E147/8</f>
        <v>356250</v>
      </c>
      <c r="E26" s="25">
        <v>0.2</v>
      </c>
      <c r="F26" s="2">
        <f t="shared" ref="F26:F34" si="9">$D26*(1-$E26)</f>
        <v>285000</v>
      </c>
      <c r="G26" s="2">
        <v>0</v>
      </c>
      <c r="H26" s="2">
        <v>0</v>
      </c>
      <c r="I26" s="39">
        <v>0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39">
        <v>0</v>
      </c>
      <c r="Q26" s="39">
        <v>0</v>
      </c>
    </row>
    <row r="27" spans="2:17">
      <c r="B27" s="51"/>
      <c r="C27" s="51" t="s">
        <v>20</v>
      </c>
      <c r="D27" s="33">
        <f>'IMPORT_OK Model'!E148/8</f>
        <v>197500</v>
      </c>
      <c r="E27" s="25">
        <v>0.2</v>
      </c>
      <c r="F27" s="2">
        <f t="shared" si="9"/>
        <v>158000</v>
      </c>
      <c r="G27" s="2">
        <v>0</v>
      </c>
      <c r="H27" s="2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</row>
    <row r="28" spans="2:17">
      <c r="B28" s="51"/>
      <c r="C28" s="51" t="s">
        <v>21</v>
      </c>
      <c r="D28" s="33">
        <f>'IMPORT_OK Model'!E149/8</f>
        <v>112500</v>
      </c>
      <c r="E28" s="25">
        <v>0.2</v>
      </c>
      <c r="F28" s="2">
        <f t="shared" si="9"/>
        <v>90000</v>
      </c>
      <c r="G28" s="2">
        <v>0</v>
      </c>
      <c r="H28" s="2">
        <v>0</v>
      </c>
      <c r="I28" s="39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  <c r="Q28" s="39">
        <v>0</v>
      </c>
    </row>
    <row r="29" spans="2:17">
      <c r="B29" s="51"/>
      <c r="C29" s="51" t="s">
        <v>22</v>
      </c>
      <c r="D29" s="33">
        <f>'IMPORT_OK Model'!E150/8</f>
        <v>335625</v>
      </c>
      <c r="E29" s="25">
        <v>0.2</v>
      </c>
      <c r="F29" s="2">
        <f t="shared" si="9"/>
        <v>268500</v>
      </c>
      <c r="G29" s="2">
        <v>0</v>
      </c>
      <c r="H29" s="2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</row>
    <row r="30" spans="2:17">
      <c r="B30" s="51"/>
      <c r="C30" s="51" t="s">
        <v>23</v>
      </c>
      <c r="D30" s="33">
        <f>'IMPORT_OK Model'!E151/8</f>
        <v>170000</v>
      </c>
      <c r="E30" s="25">
        <v>0.2</v>
      </c>
      <c r="F30" s="2">
        <f t="shared" si="9"/>
        <v>136000</v>
      </c>
      <c r="G30" s="2">
        <v>0</v>
      </c>
      <c r="H30" s="2">
        <v>0</v>
      </c>
      <c r="I30" s="39">
        <v>0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  <c r="O30" s="39">
        <v>0</v>
      </c>
      <c r="P30" s="39">
        <v>0</v>
      </c>
      <c r="Q30" s="39">
        <v>0</v>
      </c>
    </row>
    <row r="31" spans="2:17">
      <c r="B31" s="51"/>
      <c r="C31" s="51" t="s">
        <v>24</v>
      </c>
      <c r="D31" s="33">
        <f>'IMPORT_OK Model'!E152/8</f>
        <v>172500</v>
      </c>
      <c r="E31" s="25">
        <v>0.2</v>
      </c>
      <c r="F31" s="2">
        <f t="shared" si="9"/>
        <v>138000</v>
      </c>
      <c r="G31" s="2">
        <v>0</v>
      </c>
      <c r="H31" s="2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</row>
    <row r="32" spans="2:17">
      <c r="B32" s="51"/>
      <c r="C32" s="51" t="s">
        <v>25</v>
      </c>
      <c r="D32" s="33">
        <f>'IMPORT_OK Model'!E153/8</f>
        <v>168125</v>
      </c>
      <c r="E32" s="25">
        <v>0.2</v>
      </c>
      <c r="F32" s="2">
        <f t="shared" si="9"/>
        <v>134500</v>
      </c>
      <c r="G32" s="2">
        <v>0</v>
      </c>
      <c r="H32" s="2">
        <v>0</v>
      </c>
      <c r="I32" s="39">
        <v>0</v>
      </c>
      <c r="J32" s="39">
        <v>0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39">
        <v>0</v>
      </c>
      <c r="Q32" s="39">
        <v>0</v>
      </c>
    </row>
    <row r="33" spans="2:17">
      <c r="B33" s="51"/>
      <c r="C33" t="s">
        <v>26</v>
      </c>
      <c r="D33" s="33">
        <f>'IMPORT_OK Model'!E154/8</f>
        <v>203125</v>
      </c>
      <c r="E33" s="25">
        <v>0.2</v>
      </c>
      <c r="F33" s="2">
        <f t="shared" si="9"/>
        <v>162500</v>
      </c>
      <c r="G33" s="2">
        <v>0</v>
      </c>
      <c r="H33" s="2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</row>
    <row r="34" spans="2:17">
      <c r="B34" s="51"/>
      <c r="C34" t="s">
        <v>27</v>
      </c>
      <c r="D34" s="33">
        <f>'IMPORT_OK Model'!E155/8</f>
        <v>397500</v>
      </c>
      <c r="E34" s="25">
        <v>0.2</v>
      </c>
      <c r="F34" s="2">
        <f t="shared" si="9"/>
        <v>318000</v>
      </c>
      <c r="G34" s="2">
        <v>0</v>
      </c>
      <c r="H34" s="2">
        <v>0</v>
      </c>
      <c r="I34" s="39"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9">
        <v>0</v>
      </c>
      <c r="P34" s="39">
        <v>0</v>
      </c>
      <c r="Q34" s="39">
        <v>0</v>
      </c>
    </row>
    <row r="35" spans="2:17">
      <c r="B35" s="51" t="s">
        <v>28</v>
      </c>
      <c r="C35" s="51"/>
      <c r="D35" s="2"/>
      <c r="F35" s="2"/>
      <c r="G35" s="2"/>
      <c r="H35" s="2"/>
      <c r="I35" s="39"/>
      <c r="J35" s="39"/>
      <c r="K35" s="39"/>
      <c r="L35" s="39"/>
      <c r="M35" s="39"/>
      <c r="N35" s="39"/>
      <c r="O35" s="39"/>
      <c r="P35" s="39"/>
      <c r="Q35" s="39"/>
    </row>
    <row r="36" spans="2:17">
      <c r="B36" s="51"/>
      <c r="C36" s="51" t="s">
        <v>29</v>
      </c>
      <c r="D36" s="33">
        <f>'IMPORT_OK Model'!E157/8</f>
        <v>180000</v>
      </c>
      <c r="E36" s="25">
        <v>0.2</v>
      </c>
      <c r="F36" s="2"/>
      <c r="G36" s="2">
        <f>$D36*(1-$E36)/2</f>
        <v>72000</v>
      </c>
      <c r="H36" s="2">
        <f>$D36*(1-$E36)/2</f>
        <v>72000</v>
      </c>
      <c r="I36" s="39">
        <v>0</v>
      </c>
      <c r="J36" s="39">
        <v>0</v>
      </c>
      <c r="K36" s="39">
        <v>0</v>
      </c>
      <c r="L36" s="39">
        <v>0</v>
      </c>
      <c r="M36" s="39">
        <v>0</v>
      </c>
      <c r="N36" s="39">
        <v>0</v>
      </c>
      <c r="O36" s="39">
        <v>0</v>
      </c>
      <c r="P36" s="39">
        <v>0</v>
      </c>
      <c r="Q36" s="39">
        <v>0</v>
      </c>
    </row>
    <row r="37" spans="2:17">
      <c r="B37" s="51"/>
      <c r="C37" s="51" t="s">
        <v>30</v>
      </c>
      <c r="D37" s="33">
        <f>'IMPORT_OK Model'!E158/8</f>
        <v>357500</v>
      </c>
      <c r="E37" s="25">
        <v>0.2</v>
      </c>
      <c r="F37" s="2">
        <f t="shared" si="8"/>
        <v>95333.333333333328</v>
      </c>
      <c r="G37" s="2">
        <f t="shared" si="8"/>
        <v>95333.333333333328</v>
      </c>
      <c r="H37" s="2">
        <f t="shared" si="8"/>
        <v>95333.333333333328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39">
        <v>0</v>
      </c>
      <c r="Q37" s="39">
        <v>0</v>
      </c>
    </row>
    <row r="38" spans="2:17">
      <c r="B38" s="51"/>
      <c r="C38" s="51" t="s">
        <v>31</v>
      </c>
      <c r="D38" s="33">
        <f>'IMPORT_OK Model'!E159/8</f>
        <v>265000</v>
      </c>
      <c r="E38" s="25">
        <v>0.2</v>
      </c>
      <c r="F38" s="2">
        <f t="shared" si="8"/>
        <v>70666.666666666672</v>
      </c>
      <c r="G38" s="2">
        <f t="shared" si="8"/>
        <v>70666.666666666672</v>
      </c>
      <c r="H38" s="2">
        <f t="shared" si="8"/>
        <v>70666.666666666672</v>
      </c>
      <c r="I38" s="39">
        <v>0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</row>
    <row r="39" spans="2:17">
      <c r="B39" s="51"/>
      <c r="C39" s="51" t="s">
        <v>32</v>
      </c>
      <c r="D39" s="33">
        <f>'IMPORT_OK Model'!E160/8</f>
        <v>262500</v>
      </c>
      <c r="E39" s="25">
        <v>0.25</v>
      </c>
      <c r="F39" s="2">
        <f t="shared" si="8"/>
        <v>65625</v>
      </c>
      <c r="G39" s="2">
        <f t="shared" si="8"/>
        <v>65625</v>
      </c>
      <c r="H39" s="2">
        <f t="shared" si="8"/>
        <v>65625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</row>
    <row r="40" spans="2:17">
      <c r="B40" s="51"/>
      <c r="C40" s="51" t="s">
        <v>33</v>
      </c>
      <c r="D40" s="33">
        <f>'IMPORT_OK Model'!E161/8</f>
        <v>120000</v>
      </c>
      <c r="E40" s="25">
        <v>0.2</v>
      </c>
      <c r="F40" s="2">
        <f t="shared" si="8"/>
        <v>32000</v>
      </c>
      <c r="G40" s="2">
        <f t="shared" si="8"/>
        <v>32000</v>
      </c>
      <c r="H40" s="2">
        <f t="shared" si="8"/>
        <v>32000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</row>
    <row r="41" spans="2:17">
      <c r="B41" s="51" t="s">
        <v>34</v>
      </c>
      <c r="C41" s="51"/>
      <c r="D41" s="2"/>
      <c r="F41" s="2"/>
      <c r="G41" s="2"/>
      <c r="H41" s="2"/>
      <c r="I41" s="39"/>
      <c r="J41" s="39"/>
      <c r="K41" s="39"/>
      <c r="L41" s="39"/>
      <c r="M41" s="39"/>
      <c r="N41" s="39"/>
      <c r="O41" s="39"/>
      <c r="P41" s="39"/>
      <c r="Q41" s="39"/>
    </row>
    <row r="42" spans="2:17">
      <c r="B42" s="51"/>
      <c r="C42" s="51" t="s">
        <v>35</v>
      </c>
      <c r="D42" s="33">
        <f>'IMPORT_OK Model'!E163/8</f>
        <v>120000</v>
      </c>
      <c r="E42" s="25">
        <v>0.2</v>
      </c>
      <c r="F42" s="2">
        <f t="shared" si="8"/>
        <v>32000</v>
      </c>
      <c r="G42" s="2">
        <f t="shared" si="8"/>
        <v>32000</v>
      </c>
      <c r="H42" s="2">
        <f t="shared" si="8"/>
        <v>32000</v>
      </c>
      <c r="I42" s="39">
        <v>0</v>
      </c>
      <c r="J42" s="39">
        <v>0</v>
      </c>
      <c r="K42" s="39">
        <v>0</v>
      </c>
      <c r="L42" s="39">
        <v>0</v>
      </c>
      <c r="M42" s="39">
        <v>0</v>
      </c>
      <c r="N42" s="39">
        <v>0</v>
      </c>
      <c r="O42" s="39">
        <v>0</v>
      </c>
      <c r="P42" s="39">
        <v>0</v>
      </c>
      <c r="Q42" s="39">
        <v>0</v>
      </c>
    </row>
    <row r="43" spans="2:17">
      <c r="B43" s="51"/>
      <c r="C43" s="51" t="s">
        <v>36</v>
      </c>
      <c r="D43" s="33">
        <f>'IMPORT_OK Model'!E164/8</f>
        <v>120000</v>
      </c>
      <c r="E43" s="25">
        <v>0.2</v>
      </c>
      <c r="F43" s="2">
        <f t="shared" si="8"/>
        <v>32000</v>
      </c>
      <c r="G43" s="2">
        <f t="shared" si="8"/>
        <v>32000</v>
      </c>
      <c r="H43" s="2">
        <f t="shared" si="8"/>
        <v>32000</v>
      </c>
      <c r="I43" s="39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</row>
    <row r="44" spans="2:17">
      <c r="B44" s="51"/>
      <c r="C44" t="s">
        <v>37</v>
      </c>
      <c r="D44" s="33">
        <f>'IMPORT_OK Model'!E165/8</f>
        <v>72500</v>
      </c>
      <c r="E44" s="25">
        <v>0.2</v>
      </c>
      <c r="F44" s="2">
        <f t="shared" si="8"/>
        <v>19333.333333333332</v>
      </c>
      <c r="G44" s="2">
        <f t="shared" si="8"/>
        <v>19333.333333333332</v>
      </c>
      <c r="H44" s="2">
        <f t="shared" si="8"/>
        <v>19333.333333333332</v>
      </c>
      <c r="I44" s="39">
        <v>0</v>
      </c>
      <c r="J44" s="39">
        <v>0</v>
      </c>
      <c r="K44" s="39">
        <v>0</v>
      </c>
      <c r="L44" s="39">
        <v>0</v>
      </c>
      <c r="M44" s="39">
        <v>0</v>
      </c>
      <c r="N44" s="39">
        <v>0</v>
      </c>
      <c r="O44" s="39">
        <v>0</v>
      </c>
      <c r="P44" s="39">
        <v>0</v>
      </c>
      <c r="Q44" s="39">
        <v>0</v>
      </c>
    </row>
    <row r="45" spans="2:17">
      <c r="C45" s="51"/>
      <c r="D45" s="2"/>
      <c r="F45" s="2"/>
      <c r="G45" s="2"/>
      <c r="H45" s="2"/>
      <c r="I45" s="39"/>
      <c r="J45" s="39"/>
      <c r="K45" s="39"/>
      <c r="L45" s="39"/>
      <c r="M45" s="39"/>
      <c r="N45" s="39"/>
      <c r="O45" s="39"/>
      <c r="P45" s="39"/>
      <c r="Q45" s="39"/>
    </row>
    <row r="46" spans="2:17">
      <c r="B46" t="s">
        <v>38</v>
      </c>
      <c r="D46" s="33">
        <f>'IMPORT_OK Model'!E167/8</f>
        <v>475597.55</v>
      </c>
      <c r="E46" s="25">
        <v>1</v>
      </c>
      <c r="F46" s="2">
        <f t="shared" si="8"/>
        <v>0</v>
      </c>
      <c r="G46" s="2">
        <f t="shared" si="8"/>
        <v>0</v>
      </c>
      <c r="H46" s="2">
        <f t="shared" si="8"/>
        <v>0</v>
      </c>
      <c r="I46" s="39">
        <v>0</v>
      </c>
      <c r="J46" s="39">
        <v>0</v>
      </c>
      <c r="K46" s="39">
        <v>0</v>
      </c>
      <c r="L46" s="39">
        <v>0</v>
      </c>
      <c r="M46" s="39">
        <v>0</v>
      </c>
      <c r="N46" s="39">
        <v>0</v>
      </c>
      <c r="O46" s="39">
        <v>0</v>
      </c>
      <c r="P46" s="39">
        <v>0</v>
      </c>
      <c r="Q46" s="39">
        <v>0</v>
      </c>
    </row>
    <row r="47" spans="2:17">
      <c r="B47" t="s">
        <v>39</v>
      </c>
      <c r="C47" s="51"/>
      <c r="D47" s="33">
        <f>'IMPORT_OK Model'!E168/8</f>
        <v>100000</v>
      </c>
      <c r="E47" s="25">
        <v>0.2</v>
      </c>
      <c r="F47" s="2">
        <f t="shared" si="8"/>
        <v>26666.666666666668</v>
      </c>
      <c r="G47" s="2">
        <f t="shared" si="8"/>
        <v>26666.666666666668</v>
      </c>
      <c r="H47" s="2">
        <f t="shared" si="8"/>
        <v>26666.666666666668</v>
      </c>
      <c r="I47" s="39">
        <v>0</v>
      </c>
      <c r="J47" s="39">
        <v>0</v>
      </c>
      <c r="K47" s="39">
        <v>0</v>
      </c>
      <c r="L47" s="39">
        <v>0</v>
      </c>
      <c r="M47" s="39">
        <v>0</v>
      </c>
      <c r="N47" s="39">
        <v>0</v>
      </c>
      <c r="O47" s="39">
        <v>0</v>
      </c>
      <c r="P47" s="39">
        <v>0</v>
      </c>
      <c r="Q47" s="39">
        <v>0</v>
      </c>
    </row>
    <row r="48" spans="2:17">
      <c r="B48" t="s">
        <v>40</v>
      </c>
      <c r="C48" s="51"/>
      <c r="D48" s="33">
        <f>'IMPORT_OK Model'!E169/8</f>
        <v>70000</v>
      </c>
      <c r="E48" s="25">
        <v>0.2</v>
      </c>
      <c r="F48" s="2">
        <f t="shared" si="8"/>
        <v>18666.666666666668</v>
      </c>
      <c r="G48" s="2">
        <f t="shared" si="8"/>
        <v>18666.666666666668</v>
      </c>
      <c r="H48" s="2">
        <f t="shared" si="8"/>
        <v>18666.666666666668</v>
      </c>
      <c r="I48" s="39">
        <v>0</v>
      </c>
      <c r="J48" s="39">
        <v>0</v>
      </c>
      <c r="K48" s="39">
        <v>0</v>
      </c>
      <c r="L48" s="39">
        <v>0</v>
      </c>
      <c r="M48" s="39">
        <v>0</v>
      </c>
      <c r="N48" s="39">
        <v>0</v>
      </c>
      <c r="O48" s="39">
        <v>0</v>
      </c>
      <c r="P48" s="39">
        <v>0</v>
      </c>
      <c r="Q48" s="39">
        <v>0</v>
      </c>
    </row>
    <row r="49" spans="1:17">
      <c r="D49" s="2"/>
    </row>
    <row r="50" spans="1:17" s="3" customFormat="1">
      <c r="C50" s="41" t="s">
        <v>41</v>
      </c>
      <c r="D50" s="42">
        <f>SUM(D14:D48)</f>
        <v>7290597.5499999998</v>
      </c>
      <c r="E50" s="43">
        <f>SUM(F50:M50)/D50</f>
        <v>0.74601223873617861</v>
      </c>
      <c r="F50" s="42">
        <f>SUM(F15:F48)</f>
        <v>3228958.333333333</v>
      </c>
      <c r="G50" s="42">
        <f>SUM(G15:G48)</f>
        <v>1227958.3333333333</v>
      </c>
      <c r="H50" s="42">
        <f>SUM(H15:H48)</f>
        <v>981958.33333333326</v>
      </c>
      <c r="I50" s="41"/>
      <c r="J50" s="41"/>
      <c r="K50" s="41"/>
      <c r="L50" s="41"/>
      <c r="M50" s="41"/>
      <c r="N50" s="42"/>
      <c r="O50" s="41"/>
      <c r="P50" s="41"/>
      <c r="Q50" s="41"/>
    </row>
    <row r="52" spans="1:17" s="23" customFormat="1">
      <c r="A52" s="6" t="s">
        <v>42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</row>
    <row r="53" spans="1:17">
      <c r="B53" t="s">
        <v>43</v>
      </c>
    </row>
    <row r="54" spans="1:17">
      <c r="A54" s="24" t="s">
        <v>44</v>
      </c>
      <c r="C54" t="s">
        <v>45</v>
      </c>
    </row>
    <row r="55" spans="1:17">
      <c r="A55" s="24"/>
      <c r="C55" t="s">
        <v>46</v>
      </c>
      <c r="D55" s="31">
        <v>10000</v>
      </c>
    </row>
    <row r="56" spans="1:17">
      <c r="A56" s="24"/>
      <c r="C56" t="s">
        <v>47</v>
      </c>
      <c r="D56" s="31">
        <v>150</v>
      </c>
    </row>
    <row r="57" spans="1:17">
      <c r="A57" s="24"/>
      <c r="C57" s="37" t="s">
        <v>48</v>
      </c>
      <c r="D57" s="38">
        <f>D55*D56</f>
        <v>1500000</v>
      </c>
      <c r="E57" s="37"/>
      <c r="F57" s="38">
        <f>$D57*(1-$E57)/4</f>
        <v>375000</v>
      </c>
      <c r="G57" s="38">
        <f t="shared" ref="G57:I57" si="10">$D57*(1-$E57)/4</f>
        <v>375000</v>
      </c>
      <c r="H57" s="38">
        <f t="shared" si="10"/>
        <v>375000</v>
      </c>
      <c r="I57" s="38">
        <f t="shared" si="10"/>
        <v>375000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40">
        <v>0</v>
      </c>
      <c r="Q57" s="40">
        <v>0</v>
      </c>
    </row>
    <row r="58" spans="1:17">
      <c r="A58" s="24"/>
    </row>
    <row r="59" spans="1:17">
      <c r="B59" t="s">
        <v>49</v>
      </c>
    </row>
    <row r="60" spans="1:17">
      <c r="A60" s="24" t="s">
        <v>44</v>
      </c>
      <c r="C60" t="s">
        <v>50</v>
      </c>
      <c r="D60" s="33">
        <f>'IMPORT_OK Model'!E115/8-D116</f>
        <v>313500</v>
      </c>
      <c r="E60" s="25">
        <v>0.2</v>
      </c>
      <c r="F60" s="2">
        <f>$D60*(1-$E60)/3</f>
        <v>83600</v>
      </c>
      <c r="G60" s="2">
        <f t="shared" ref="G60:H69" si="11">$D60*(1-$E60)/3</f>
        <v>83600</v>
      </c>
      <c r="H60" s="2">
        <f t="shared" si="11"/>
        <v>83600</v>
      </c>
      <c r="I60" s="39">
        <v>0</v>
      </c>
      <c r="J60" s="39">
        <v>0</v>
      </c>
      <c r="K60" s="39">
        <v>0</v>
      </c>
      <c r="L60" s="39">
        <v>0</v>
      </c>
      <c r="M60" s="39">
        <v>0</v>
      </c>
      <c r="N60" s="39">
        <v>0</v>
      </c>
      <c r="O60" s="39">
        <v>0</v>
      </c>
      <c r="P60" s="39">
        <v>0</v>
      </c>
      <c r="Q60" s="39">
        <v>0</v>
      </c>
    </row>
    <row r="61" spans="1:17">
      <c r="A61" s="24" t="s">
        <v>44</v>
      </c>
      <c r="C61" t="s">
        <v>51</v>
      </c>
      <c r="D61" s="33">
        <f>'IMPORT_OK Model'!E116/8</f>
        <v>121875</v>
      </c>
      <c r="E61" s="25">
        <v>0.2</v>
      </c>
      <c r="F61" s="2">
        <f t="shared" ref="F61:F69" si="12">$D61*(1-$E61)/3</f>
        <v>32500</v>
      </c>
      <c r="G61" s="2">
        <f t="shared" si="11"/>
        <v>32500</v>
      </c>
      <c r="H61" s="2">
        <f t="shared" si="11"/>
        <v>32500</v>
      </c>
      <c r="I61" s="39">
        <v>0</v>
      </c>
      <c r="J61" s="39">
        <v>0</v>
      </c>
      <c r="K61" s="39">
        <v>0</v>
      </c>
      <c r="L61" s="39">
        <v>0</v>
      </c>
      <c r="M61" s="39">
        <v>0</v>
      </c>
      <c r="N61" s="39">
        <v>0</v>
      </c>
      <c r="O61" s="39">
        <v>0</v>
      </c>
      <c r="P61" s="39">
        <v>0</v>
      </c>
      <c r="Q61" s="39">
        <v>0</v>
      </c>
    </row>
    <row r="62" spans="1:17">
      <c r="C62" t="s">
        <v>52</v>
      </c>
      <c r="D62" s="33">
        <f>'IMPORT_OK Model'!E117/8</f>
        <v>393750</v>
      </c>
      <c r="E62" s="25">
        <v>0.2</v>
      </c>
      <c r="F62" s="2">
        <f>$D62*(1-$E62)</f>
        <v>315000</v>
      </c>
      <c r="G62" s="2"/>
      <c r="H62" s="2"/>
      <c r="I62" s="2" t="s">
        <v>53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C63" t="s">
        <v>54</v>
      </c>
      <c r="D63" s="33">
        <f>'IMPORT_OK Model'!E118/8</f>
        <v>737500</v>
      </c>
      <c r="E63" s="25">
        <v>0.5</v>
      </c>
      <c r="F63" s="2">
        <f t="shared" si="12"/>
        <v>122916.66666666667</v>
      </c>
      <c r="G63" s="2">
        <f t="shared" si="11"/>
        <v>122916.66666666667</v>
      </c>
      <c r="H63" s="2">
        <f t="shared" si="11"/>
        <v>122916.66666666667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C64" t="s">
        <v>55</v>
      </c>
      <c r="D64" s="33">
        <f>'IMPORT_OK Model'!E119</f>
        <v>300000</v>
      </c>
      <c r="E64" s="25">
        <v>0.2</v>
      </c>
      <c r="F64" s="2">
        <f t="shared" si="12"/>
        <v>80000</v>
      </c>
      <c r="G64" s="2">
        <f t="shared" si="11"/>
        <v>80000</v>
      </c>
      <c r="H64" s="2">
        <f t="shared" si="11"/>
        <v>80000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C65" t="s">
        <v>56</v>
      </c>
      <c r="D65" s="33">
        <f>'IMPORT_OK Model'!E120/8</f>
        <v>812500</v>
      </c>
      <c r="E65" s="25">
        <v>0.4</v>
      </c>
      <c r="F65" s="2">
        <f t="shared" si="12"/>
        <v>162500</v>
      </c>
      <c r="G65" s="2">
        <f t="shared" si="11"/>
        <v>162500</v>
      </c>
      <c r="H65" s="2">
        <f t="shared" si="11"/>
        <v>162500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C66" t="s">
        <v>57</v>
      </c>
      <c r="D66" s="33">
        <f>'IMPORT_OK Model'!E121/8</f>
        <v>293125</v>
      </c>
      <c r="E66" s="25">
        <v>0.2</v>
      </c>
      <c r="F66" s="2">
        <f t="shared" si="12"/>
        <v>78166.666666666672</v>
      </c>
      <c r="G66" s="2">
        <f t="shared" si="11"/>
        <v>78166.666666666672</v>
      </c>
      <c r="H66" s="2">
        <f t="shared" si="11"/>
        <v>78166.666666666672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</row>
    <row r="67" spans="1:17">
      <c r="C67" t="s">
        <v>58</v>
      </c>
      <c r="D67" s="33">
        <f>'IMPORT_OK Model'!E122/8</f>
        <v>93750</v>
      </c>
      <c r="E67" s="25">
        <v>0.2</v>
      </c>
      <c r="F67" s="2">
        <f t="shared" si="12"/>
        <v>25000</v>
      </c>
      <c r="G67" s="2">
        <f t="shared" si="11"/>
        <v>25000</v>
      </c>
      <c r="H67" s="2">
        <f t="shared" si="11"/>
        <v>25000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</row>
    <row r="68" spans="1:17">
      <c r="C68" t="s">
        <v>59</v>
      </c>
      <c r="D68" s="33">
        <f>'IMPORT_OK Model'!E125/8</f>
        <v>100000</v>
      </c>
      <c r="E68" s="25">
        <v>0.2</v>
      </c>
      <c r="F68" s="2">
        <f t="shared" si="12"/>
        <v>26666.666666666668</v>
      </c>
      <c r="G68" s="2">
        <f t="shared" si="11"/>
        <v>26666.666666666668</v>
      </c>
      <c r="H68" s="2">
        <f t="shared" si="11"/>
        <v>26666.666666666668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</row>
    <row r="69" spans="1:17">
      <c r="C69" t="s">
        <v>60</v>
      </c>
      <c r="D69" s="33">
        <f>'IMPORT_OK Model'!E126/8</f>
        <v>31250</v>
      </c>
      <c r="E69" s="25">
        <v>0.2</v>
      </c>
      <c r="F69" s="2">
        <f t="shared" si="12"/>
        <v>8333.3333333333339</v>
      </c>
      <c r="G69" s="2">
        <f t="shared" si="11"/>
        <v>8333.3333333333339</v>
      </c>
      <c r="H69" s="2">
        <f t="shared" si="11"/>
        <v>8333.3333333333339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</row>
    <row r="71" spans="1:17">
      <c r="C71" s="37" t="s">
        <v>61</v>
      </c>
      <c r="D71" s="38">
        <f>SUM(D60:D69)</f>
        <v>3197250</v>
      </c>
      <c r="E71" s="37"/>
      <c r="F71" s="38">
        <f>SUM(F60:F69)</f>
        <v>934683.33333333326</v>
      </c>
      <c r="G71" s="38">
        <f t="shared" ref="G71:Q71" si="13">SUM(G60:G69)</f>
        <v>619683.33333333337</v>
      </c>
      <c r="H71" s="38">
        <f t="shared" si="13"/>
        <v>619683.33333333337</v>
      </c>
      <c r="I71" s="38">
        <f t="shared" si="13"/>
        <v>0</v>
      </c>
      <c r="J71" s="38">
        <f t="shared" si="13"/>
        <v>0</v>
      </c>
      <c r="K71" s="38">
        <f t="shared" si="13"/>
        <v>0</v>
      </c>
      <c r="L71" s="38">
        <f t="shared" si="13"/>
        <v>0</v>
      </c>
      <c r="M71" s="38">
        <f t="shared" si="13"/>
        <v>0</v>
      </c>
      <c r="N71" s="38">
        <f t="shared" si="13"/>
        <v>0</v>
      </c>
      <c r="O71" s="38">
        <f t="shared" si="13"/>
        <v>0</v>
      </c>
      <c r="P71" s="38">
        <f t="shared" si="13"/>
        <v>0</v>
      </c>
      <c r="Q71" s="38">
        <f t="shared" si="13"/>
        <v>0</v>
      </c>
    </row>
    <row r="72" spans="1:17">
      <c r="F72" s="2"/>
      <c r="G72" s="2"/>
      <c r="H72" s="2"/>
      <c r="N72" s="2"/>
    </row>
    <row r="73" spans="1:17" s="3" customFormat="1">
      <c r="C73" s="41" t="s">
        <v>62</v>
      </c>
      <c r="D73" s="42">
        <f>SUM(F73:Q73)</f>
        <v>3674050</v>
      </c>
      <c r="E73" s="41"/>
      <c r="F73" s="42">
        <f>SUM(F71+F57)</f>
        <v>1309683.3333333333</v>
      </c>
      <c r="G73" s="42">
        <f>SUM(G71+G57)</f>
        <v>994683.33333333337</v>
      </c>
      <c r="H73" s="42">
        <f>SUM(H71+H57)</f>
        <v>994683.33333333337</v>
      </c>
      <c r="I73" s="42">
        <f t="shared" ref="I73:Q73" si="14">SUM(I71+I57)</f>
        <v>375000</v>
      </c>
      <c r="J73" s="42">
        <f t="shared" si="14"/>
        <v>0</v>
      </c>
      <c r="K73" s="42">
        <f t="shared" si="14"/>
        <v>0</v>
      </c>
      <c r="L73" s="42">
        <f t="shared" si="14"/>
        <v>0</v>
      </c>
      <c r="M73" s="42">
        <f t="shared" si="14"/>
        <v>0</v>
      </c>
      <c r="N73" s="42">
        <f t="shared" si="14"/>
        <v>0</v>
      </c>
      <c r="O73" s="42">
        <f t="shared" si="14"/>
        <v>0</v>
      </c>
      <c r="P73" s="42">
        <f t="shared" si="14"/>
        <v>0</v>
      </c>
      <c r="Q73" s="42">
        <f t="shared" si="14"/>
        <v>0</v>
      </c>
    </row>
    <row r="74" spans="1:17">
      <c r="F74" s="2"/>
      <c r="G74" s="2"/>
      <c r="H74" s="2"/>
      <c r="N74" s="2"/>
    </row>
    <row r="75" spans="1:17" s="28" customFormat="1">
      <c r="A75" s="6" t="s">
        <v>63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7">
      <c r="B76" s="3" t="s">
        <v>1</v>
      </c>
      <c r="C76" s="3" t="s">
        <v>5</v>
      </c>
      <c r="D76" s="3" t="s">
        <v>6</v>
      </c>
      <c r="E76" s="3" t="s">
        <v>7</v>
      </c>
      <c r="F76" s="3">
        <v>1</v>
      </c>
      <c r="G76" s="3">
        <v>2</v>
      </c>
      <c r="H76" s="3">
        <v>3</v>
      </c>
      <c r="I76" s="3">
        <v>4</v>
      </c>
      <c r="J76" s="3">
        <v>5</v>
      </c>
      <c r="K76" s="3">
        <v>6</v>
      </c>
      <c r="L76" s="3">
        <v>7</v>
      </c>
      <c r="M76" s="3">
        <v>8</v>
      </c>
      <c r="N76" s="3">
        <v>9</v>
      </c>
      <c r="O76" s="3">
        <v>10</v>
      </c>
      <c r="P76" s="3">
        <v>11</v>
      </c>
      <c r="Q76" s="3">
        <v>12</v>
      </c>
    </row>
    <row r="77" spans="1:17">
      <c r="B77" t="s">
        <v>64</v>
      </c>
      <c r="F77" s="2"/>
      <c r="G77" s="2"/>
      <c r="H77" s="2"/>
      <c r="N77" s="2"/>
    </row>
    <row r="78" spans="1:17">
      <c r="C78" t="s">
        <v>65</v>
      </c>
      <c r="D78" s="5">
        <v>2000</v>
      </c>
      <c r="F78" s="2">
        <f>$D78</f>
        <v>2000</v>
      </c>
      <c r="G78" s="2">
        <f t="shared" ref="G78:M78" si="15">$D78</f>
        <v>2000</v>
      </c>
      <c r="H78" s="2">
        <f t="shared" si="15"/>
        <v>2000</v>
      </c>
      <c r="I78" s="2">
        <f t="shared" si="15"/>
        <v>2000</v>
      </c>
      <c r="J78" s="2">
        <f t="shared" si="15"/>
        <v>2000</v>
      </c>
      <c r="K78" s="2">
        <f t="shared" si="15"/>
        <v>2000</v>
      </c>
      <c r="L78" s="2">
        <f t="shared" si="15"/>
        <v>2000</v>
      </c>
      <c r="M78" s="2">
        <f t="shared" si="15"/>
        <v>2000</v>
      </c>
      <c r="N78" s="2">
        <v>0</v>
      </c>
      <c r="O78" s="2">
        <v>0</v>
      </c>
      <c r="P78" s="2">
        <v>0</v>
      </c>
      <c r="Q78" s="2">
        <v>0</v>
      </c>
    </row>
    <row r="79" spans="1:17">
      <c r="C79" t="s">
        <v>66</v>
      </c>
      <c r="D79" s="5">
        <v>2500</v>
      </c>
      <c r="F79" s="2">
        <f t="shared" ref="F79:M82" si="16">$D79</f>
        <v>2500</v>
      </c>
      <c r="G79" s="2">
        <f t="shared" si="16"/>
        <v>2500</v>
      </c>
      <c r="H79" s="2">
        <f t="shared" si="16"/>
        <v>2500</v>
      </c>
      <c r="I79" s="2">
        <f t="shared" si="16"/>
        <v>2500</v>
      </c>
      <c r="J79" s="2">
        <f t="shared" si="16"/>
        <v>2500</v>
      </c>
      <c r="K79" s="2">
        <f t="shared" si="16"/>
        <v>2500</v>
      </c>
      <c r="L79" s="2">
        <f t="shared" si="16"/>
        <v>2500</v>
      </c>
      <c r="M79" s="2">
        <f t="shared" si="16"/>
        <v>2500</v>
      </c>
      <c r="N79" s="2">
        <v>0</v>
      </c>
      <c r="O79" s="2">
        <v>0</v>
      </c>
      <c r="P79" s="2">
        <v>0</v>
      </c>
      <c r="Q79" s="2">
        <v>0</v>
      </c>
    </row>
    <row r="80" spans="1:17">
      <c r="C80" t="s">
        <v>67</v>
      </c>
      <c r="D80" s="5">
        <v>2000</v>
      </c>
      <c r="F80" s="2">
        <f t="shared" si="16"/>
        <v>2000</v>
      </c>
      <c r="G80" s="2">
        <f t="shared" si="16"/>
        <v>2000</v>
      </c>
      <c r="H80" s="2">
        <f t="shared" si="16"/>
        <v>2000</v>
      </c>
      <c r="I80" s="2">
        <f t="shared" si="16"/>
        <v>2000</v>
      </c>
      <c r="J80" s="2">
        <f t="shared" si="16"/>
        <v>2000</v>
      </c>
      <c r="K80" s="2">
        <f t="shared" si="16"/>
        <v>2000</v>
      </c>
      <c r="L80" s="2">
        <f t="shared" si="16"/>
        <v>2000</v>
      </c>
      <c r="M80" s="2">
        <f t="shared" si="16"/>
        <v>2000</v>
      </c>
      <c r="N80" s="2">
        <v>0</v>
      </c>
      <c r="O80" s="2">
        <v>0</v>
      </c>
      <c r="P80" s="2">
        <v>0</v>
      </c>
      <c r="Q80" s="2">
        <v>0</v>
      </c>
    </row>
    <row r="81" spans="2:17">
      <c r="C81" t="s">
        <v>68</v>
      </c>
      <c r="D81" s="5">
        <v>250</v>
      </c>
      <c r="F81" s="2">
        <f t="shared" si="16"/>
        <v>250</v>
      </c>
      <c r="G81" s="2">
        <f t="shared" si="16"/>
        <v>250</v>
      </c>
      <c r="H81" s="2">
        <f t="shared" si="16"/>
        <v>250</v>
      </c>
      <c r="I81" s="2">
        <f t="shared" si="16"/>
        <v>250</v>
      </c>
      <c r="J81" s="2">
        <f t="shared" si="16"/>
        <v>250</v>
      </c>
      <c r="K81" s="2">
        <f t="shared" si="16"/>
        <v>250</v>
      </c>
      <c r="L81" s="2">
        <f t="shared" si="16"/>
        <v>250</v>
      </c>
      <c r="M81" s="2">
        <f t="shared" si="16"/>
        <v>250</v>
      </c>
      <c r="N81" s="2">
        <v>0</v>
      </c>
      <c r="O81" s="2">
        <v>0</v>
      </c>
      <c r="P81" s="2">
        <v>0</v>
      </c>
      <c r="Q81" s="2">
        <v>0</v>
      </c>
    </row>
    <row r="82" spans="2:17">
      <c r="C82" t="s">
        <v>69</v>
      </c>
      <c r="D82" s="5">
        <v>1200</v>
      </c>
      <c r="F82" s="2">
        <f t="shared" si="16"/>
        <v>1200</v>
      </c>
      <c r="G82" s="2">
        <f t="shared" si="16"/>
        <v>1200</v>
      </c>
      <c r="H82" s="2">
        <f t="shared" si="16"/>
        <v>1200</v>
      </c>
      <c r="I82" s="2">
        <f t="shared" si="16"/>
        <v>1200</v>
      </c>
      <c r="J82" s="2">
        <f t="shared" si="16"/>
        <v>1200</v>
      </c>
      <c r="K82" s="2">
        <f t="shared" si="16"/>
        <v>1200</v>
      </c>
      <c r="L82" s="2">
        <f t="shared" si="16"/>
        <v>1200</v>
      </c>
      <c r="M82" s="2">
        <f t="shared" si="16"/>
        <v>1200</v>
      </c>
      <c r="N82" s="2">
        <v>0</v>
      </c>
      <c r="O82" s="2">
        <v>0</v>
      </c>
      <c r="P82" s="2">
        <v>0</v>
      </c>
      <c r="Q82" s="2">
        <v>0</v>
      </c>
    </row>
    <row r="83" spans="2:17">
      <c r="C83" t="s">
        <v>70</v>
      </c>
      <c r="D83" s="5">
        <v>37500</v>
      </c>
      <c r="F83" s="2">
        <f>D83</f>
        <v>37500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">
        <v>0</v>
      </c>
      <c r="O83" s="2">
        <v>0</v>
      </c>
      <c r="P83" s="2">
        <v>0</v>
      </c>
      <c r="Q83" s="2">
        <v>0</v>
      </c>
    </row>
    <row r="84" spans="2:17">
      <c r="F84" s="2"/>
      <c r="G84" s="2"/>
      <c r="H84" s="2"/>
      <c r="N84" s="2"/>
    </row>
    <row r="85" spans="2:17">
      <c r="C85" s="37" t="s">
        <v>71</v>
      </c>
      <c r="D85" s="38"/>
      <c r="E85" s="37"/>
      <c r="F85" s="38">
        <f>SUM(F78:F83)</f>
        <v>45450</v>
      </c>
      <c r="G85" s="38">
        <f t="shared" ref="G85:Q85" si="17">SUM(G78:G83)</f>
        <v>7950</v>
      </c>
      <c r="H85" s="38">
        <f t="shared" si="17"/>
        <v>7950</v>
      </c>
      <c r="I85" s="38">
        <f t="shared" si="17"/>
        <v>7950</v>
      </c>
      <c r="J85" s="38">
        <f t="shared" si="17"/>
        <v>7950</v>
      </c>
      <c r="K85" s="38">
        <f t="shared" si="17"/>
        <v>7950</v>
      </c>
      <c r="L85" s="38">
        <f t="shared" si="17"/>
        <v>7950</v>
      </c>
      <c r="M85" s="38">
        <f t="shared" si="17"/>
        <v>7950</v>
      </c>
      <c r="N85" s="38">
        <f t="shared" si="17"/>
        <v>0</v>
      </c>
      <c r="O85" s="38">
        <f t="shared" si="17"/>
        <v>0</v>
      </c>
      <c r="P85" s="38">
        <f t="shared" si="17"/>
        <v>0</v>
      </c>
      <c r="Q85" s="38">
        <f t="shared" si="17"/>
        <v>0</v>
      </c>
    </row>
    <row r="86" spans="2:17">
      <c r="D86" s="2"/>
      <c r="F86" s="2"/>
      <c r="G86" s="2"/>
      <c r="H86" s="2"/>
      <c r="N86" s="2"/>
    </row>
    <row r="87" spans="2:17">
      <c r="B87" t="s">
        <v>72</v>
      </c>
      <c r="F87" s="2"/>
      <c r="G87" s="2"/>
      <c r="H87" s="2"/>
      <c r="N87" s="2"/>
    </row>
    <row r="88" spans="2:17">
      <c r="C88" t="s">
        <v>73</v>
      </c>
      <c r="D88" s="5">
        <v>5000</v>
      </c>
      <c r="F88" s="2">
        <f>$D88</f>
        <v>5000</v>
      </c>
      <c r="G88" s="2">
        <f t="shared" ref="G88:M88" si="18">$D88</f>
        <v>5000</v>
      </c>
      <c r="H88" s="2">
        <f t="shared" si="18"/>
        <v>5000</v>
      </c>
      <c r="I88" s="2">
        <f t="shared" si="18"/>
        <v>5000</v>
      </c>
      <c r="J88" s="2">
        <f t="shared" si="18"/>
        <v>5000</v>
      </c>
      <c r="K88" s="2">
        <f t="shared" si="18"/>
        <v>5000</v>
      </c>
      <c r="L88" s="2">
        <f t="shared" si="18"/>
        <v>5000</v>
      </c>
      <c r="M88" s="2">
        <f t="shared" si="18"/>
        <v>5000</v>
      </c>
      <c r="N88" s="2">
        <v>0</v>
      </c>
      <c r="O88" s="2">
        <v>0</v>
      </c>
      <c r="P88" s="2">
        <v>0</v>
      </c>
      <c r="Q88" s="2">
        <v>0</v>
      </c>
    </row>
    <row r="89" spans="2:17">
      <c r="C89" t="s">
        <v>74</v>
      </c>
      <c r="D89" s="5">
        <v>6000</v>
      </c>
      <c r="F89" s="2">
        <f>$D89*2</f>
        <v>12000</v>
      </c>
      <c r="G89" s="2">
        <f>$D89</f>
        <v>6000</v>
      </c>
      <c r="H89" s="2">
        <f t="shared" ref="H89:Q89" si="19">$D89</f>
        <v>6000</v>
      </c>
      <c r="I89" s="2">
        <f t="shared" si="19"/>
        <v>6000</v>
      </c>
      <c r="J89" s="2">
        <f t="shared" si="19"/>
        <v>6000</v>
      </c>
      <c r="K89" s="2">
        <f t="shared" si="19"/>
        <v>6000</v>
      </c>
      <c r="L89" s="2">
        <f t="shared" si="19"/>
        <v>6000</v>
      </c>
      <c r="M89" s="2">
        <f t="shared" si="19"/>
        <v>6000</v>
      </c>
      <c r="N89" s="2">
        <f t="shared" si="19"/>
        <v>6000</v>
      </c>
      <c r="O89" s="2">
        <f t="shared" si="19"/>
        <v>6000</v>
      </c>
      <c r="P89" s="2">
        <f t="shared" si="19"/>
        <v>6000</v>
      </c>
      <c r="Q89" s="2">
        <f t="shared" si="19"/>
        <v>6000</v>
      </c>
    </row>
    <row r="90" spans="2:17">
      <c r="C90" t="s">
        <v>75</v>
      </c>
      <c r="D90" s="5">
        <v>20000</v>
      </c>
      <c r="F90" s="2">
        <v>20000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</row>
    <row r="91" spans="2:17">
      <c r="C91" t="s">
        <v>76</v>
      </c>
      <c r="D91" s="5">
        <v>1000</v>
      </c>
      <c r="F91" s="2">
        <f>$D91</f>
        <v>1000</v>
      </c>
      <c r="G91" s="2">
        <f t="shared" ref="G91:M93" si="20">$D91</f>
        <v>1000</v>
      </c>
      <c r="H91" s="2">
        <f t="shared" si="20"/>
        <v>1000</v>
      </c>
      <c r="I91" s="2">
        <f t="shared" si="20"/>
        <v>1000</v>
      </c>
      <c r="J91" s="2">
        <f t="shared" si="20"/>
        <v>1000</v>
      </c>
      <c r="K91" s="2">
        <f t="shared" si="20"/>
        <v>1000</v>
      </c>
      <c r="L91" s="2">
        <f t="shared" si="20"/>
        <v>1000</v>
      </c>
      <c r="M91" s="2">
        <f t="shared" si="20"/>
        <v>1000</v>
      </c>
      <c r="N91" s="2">
        <v>0</v>
      </c>
      <c r="O91" s="2">
        <v>0</v>
      </c>
      <c r="P91" s="2">
        <v>0</v>
      </c>
      <c r="Q91" s="2">
        <v>0</v>
      </c>
    </row>
    <row r="92" spans="2:17">
      <c r="C92" t="s">
        <v>77</v>
      </c>
      <c r="D92" s="5">
        <v>5000</v>
      </c>
      <c r="F92" s="2">
        <f>$D92</f>
        <v>5000</v>
      </c>
      <c r="G92" s="2">
        <f t="shared" si="20"/>
        <v>5000</v>
      </c>
      <c r="H92" s="2">
        <f t="shared" si="20"/>
        <v>5000</v>
      </c>
      <c r="I92" s="2">
        <f t="shared" si="20"/>
        <v>5000</v>
      </c>
      <c r="J92" s="2">
        <f t="shared" si="20"/>
        <v>5000</v>
      </c>
      <c r="K92" s="2">
        <f t="shared" si="20"/>
        <v>5000</v>
      </c>
      <c r="L92" s="2">
        <f t="shared" si="20"/>
        <v>5000</v>
      </c>
      <c r="M92" s="2">
        <f t="shared" si="20"/>
        <v>5000</v>
      </c>
      <c r="N92" s="2">
        <v>0</v>
      </c>
      <c r="O92" s="2">
        <v>0</v>
      </c>
      <c r="P92" s="2">
        <v>0</v>
      </c>
      <c r="Q92" s="2">
        <v>0</v>
      </c>
    </row>
    <row r="93" spans="2:17">
      <c r="C93" t="s">
        <v>78</v>
      </c>
      <c r="D93" s="5">
        <v>3000</v>
      </c>
      <c r="F93" s="2">
        <f>$D93</f>
        <v>3000</v>
      </c>
      <c r="G93" s="2">
        <f t="shared" si="20"/>
        <v>3000</v>
      </c>
      <c r="H93" s="2">
        <f t="shared" si="20"/>
        <v>3000</v>
      </c>
      <c r="I93" s="2">
        <f t="shared" si="20"/>
        <v>3000</v>
      </c>
      <c r="J93" s="2">
        <f t="shared" si="20"/>
        <v>3000</v>
      </c>
      <c r="K93" s="2">
        <f t="shared" si="20"/>
        <v>3000</v>
      </c>
      <c r="L93" s="2">
        <f t="shared" si="20"/>
        <v>3000</v>
      </c>
      <c r="M93" s="2">
        <f t="shared" si="20"/>
        <v>3000</v>
      </c>
      <c r="N93" s="2">
        <v>0</v>
      </c>
      <c r="O93" s="2">
        <v>0</v>
      </c>
      <c r="P93" s="2">
        <v>0</v>
      </c>
      <c r="Q93" s="2">
        <v>0</v>
      </c>
    </row>
    <row r="94" spans="2:17">
      <c r="F94" s="2"/>
      <c r="G94" s="2"/>
      <c r="H94" s="2"/>
      <c r="N94" s="2"/>
    </row>
    <row r="95" spans="2:17">
      <c r="C95" s="37" t="s">
        <v>79</v>
      </c>
      <c r="D95" s="37"/>
      <c r="E95" s="37"/>
      <c r="F95" s="38">
        <f>SUM(F88:F93)</f>
        <v>46000</v>
      </c>
      <c r="G95" s="38">
        <f t="shared" ref="G95:Q95" si="21">SUM(G88:G93)</f>
        <v>20000</v>
      </c>
      <c r="H95" s="38">
        <f t="shared" si="21"/>
        <v>20000</v>
      </c>
      <c r="I95" s="38">
        <f t="shared" si="21"/>
        <v>20000</v>
      </c>
      <c r="J95" s="38">
        <f t="shared" si="21"/>
        <v>20000</v>
      </c>
      <c r="K95" s="38">
        <f t="shared" si="21"/>
        <v>20000</v>
      </c>
      <c r="L95" s="38">
        <f t="shared" si="21"/>
        <v>20000</v>
      </c>
      <c r="M95" s="38">
        <f t="shared" si="21"/>
        <v>20000</v>
      </c>
      <c r="N95" s="38">
        <f t="shared" si="21"/>
        <v>6000</v>
      </c>
      <c r="O95" s="38">
        <f t="shared" si="21"/>
        <v>6000</v>
      </c>
      <c r="P95" s="38">
        <f t="shared" si="21"/>
        <v>6000</v>
      </c>
      <c r="Q95" s="38">
        <f t="shared" si="21"/>
        <v>6000</v>
      </c>
    </row>
    <row r="96" spans="2:17">
      <c r="F96" s="2"/>
      <c r="G96" s="2"/>
      <c r="H96" s="2"/>
      <c r="N96" s="2"/>
    </row>
    <row r="97" spans="1:17">
      <c r="B97" t="s">
        <v>80</v>
      </c>
      <c r="F97" s="2"/>
      <c r="G97" s="2"/>
      <c r="H97" s="2"/>
      <c r="N97" s="2"/>
    </row>
    <row r="98" spans="1:17">
      <c r="C98" t="s">
        <v>81</v>
      </c>
      <c r="D98" s="5">
        <v>350000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f>$D98/3</f>
        <v>116666.66666666667</v>
      </c>
      <c r="L98" s="2">
        <f>$D98/3</f>
        <v>116666.66666666667</v>
      </c>
      <c r="M98" s="2">
        <f>$D98/3</f>
        <v>116666.66666666667</v>
      </c>
      <c r="N98" s="2">
        <v>0</v>
      </c>
      <c r="O98" s="2">
        <v>0</v>
      </c>
      <c r="P98" s="2">
        <v>0</v>
      </c>
      <c r="Q98" s="2">
        <v>0</v>
      </c>
    </row>
    <row r="99" spans="1:17">
      <c r="C99" t="s">
        <v>82</v>
      </c>
      <c r="D99" s="5">
        <v>11000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f>D99</f>
        <v>11000</v>
      </c>
      <c r="L99" s="27">
        <v>0</v>
      </c>
      <c r="M99" s="27">
        <v>0</v>
      </c>
      <c r="N99" s="2">
        <v>0</v>
      </c>
      <c r="O99" s="2">
        <v>0</v>
      </c>
      <c r="P99" s="2">
        <v>0</v>
      </c>
      <c r="Q99" s="2">
        <v>0</v>
      </c>
    </row>
    <row r="100" spans="1:17">
      <c r="C100" t="s">
        <v>83</v>
      </c>
      <c r="D100" s="5">
        <v>48400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f>D100</f>
        <v>48400</v>
      </c>
      <c r="L100" s="27">
        <v>0</v>
      </c>
      <c r="M100" s="27">
        <v>0</v>
      </c>
      <c r="N100" s="2">
        <v>0</v>
      </c>
      <c r="O100" s="2">
        <v>0</v>
      </c>
      <c r="P100" s="2">
        <v>0</v>
      </c>
      <c r="Q100" s="2">
        <v>0</v>
      </c>
    </row>
    <row r="101" spans="1:17">
      <c r="F101" s="2"/>
      <c r="G101" s="2"/>
      <c r="H101" s="2"/>
      <c r="N101" s="2"/>
      <c r="O101" s="2"/>
      <c r="P101" s="2"/>
      <c r="Q101" s="2"/>
    </row>
    <row r="102" spans="1:17">
      <c r="C102" s="37" t="s">
        <v>84</v>
      </c>
      <c r="D102" s="37"/>
      <c r="E102" s="37"/>
      <c r="F102" s="38">
        <f>SUM(F98:F100)</f>
        <v>0</v>
      </c>
      <c r="G102" s="38">
        <f t="shared" ref="G102:Q102" si="22">SUM(G98:G100)</f>
        <v>0</v>
      </c>
      <c r="H102" s="38">
        <f t="shared" si="22"/>
        <v>0</v>
      </c>
      <c r="I102" s="38">
        <f t="shared" si="22"/>
        <v>0</v>
      </c>
      <c r="J102" s="38">
        <f t="shared" si="22"/>
        <v>0</v>
      </c>
      <c r="K102" s="38">
        <f t="shared" si="22"/>
        <v>176066.66666666669</v>
      </c>
      <c r="L102" s="38">
        <f t="shared" si="22"/>
        <v>116666.66666666667</v>
      </c>
      <c r="M102" s="38">
        <f t="shared" si="22"/>
        <v>116666.66666666667</v>
      </c>
      <c r="N102" s="38">
        <f t="shared" si="22"/>
        <v>0</v>
      </c>
      <c r="O102" s="38">
        <f t="shared" si="22"/>
        <v>0</v>
      </c>
      <c r="P102" s="38">
        <f t="shared" si="22"/>
        <v>0</v>
      </c>
      <c r="Q102" s="38">
        <f t="shared" si="22"/>
        <v>0</v>
      </c>
    </row>
    <row r="103" spans="1:17">
      <c r="F103" s="2"/>
      <c r="G103" s="2"/>
      <c r="H103" s="2"/>
      <c r="N103" s="2"/>
    </row>
    <row r="104" spans="1:17" s="3" customFormat="1">
      <c r="C104" s="41" t="s">
        <v>85</v>
      </c>
      <c r="D104" s="41"/>
      <c r="E104" s="41"/>
      <c r="F104" s="42">
        <f>SUM(F102+F95+F85)</f>
        <v>91450</v>
      </c>
      <c r="G104" s="42">
        <f t="shared" ref="G104:Q104" si="23">SUM(G102+G95+G85)</f>
        <v>27950</v>
      </c>
      <c r="H104" s="42">
        <f t="shared" si="23"/>
        <v>27950</v>
      </c>
      <c r="I104" s="42">
        <f t="shared" si="23"/>
        <v>27950</v>
      </c>
      <c r="J104" s="42">
        <f t="shared" si="23"/>
        <v>27950</v>
      </c>
      <c r="K104" s="42">
        <f t="shared" si="23"/>
        <v>204016.66666666669</v>
      </c>
      <c r="L104" s="42">
        <f t="shared" si="23"/>
        <v>144616.66666666669</v>
      </c>
      <c r="M104" s="42">
        <f t="shared" si="23"/>
        <v>144616.66666666669</v>
      </c>
      <c r="N104" s="42">
        <f t="shared" si="23"/>
        <v>6000</v>
      </c>
      <c r="O104" s="42">
        <f t="shared" si="23"/>
        <v>6000</v>
      </c>
      <c r="P104" s="42">
        <f t="shared" si="23"/>
        <v>6000</v>
      </c>
      <c r="Q104" s="42">
        <f t="shared" si="23"/>
        <v>6000</v>
      </c>
    </row>
    <row r="105" spans="1:17">
      <c r="F105" s="2"/>
      <c r="G105" s="2"/>
      <c r="H105" s="2"/>
      <c r="N105" s="2"/>
    </row>
    <row r="106" spans="1:17" s="28" customFormat="1">
      <c r="A106" s="6" t="s">
        <v>86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7">
      <c r="B107" s="3" t="s">
        <v>1</v>
      </c>
      <c r="C107" s="3" t="s">
        <v>5</v>
      </c>
      <c r="D107" s="3" t="s">
        <v>6</v>
      </c>
      <c r="E107" s="3" t="s">
        <v>7</v>
      </c>
      <c r="F107" s="3">
        <v>1</v>
      </c>
      <c r="G107" s="3">
        <v>2</v>
      </c>
      <c r="H107" s="3">
        <v>3</v>
      </c>
      <c r="I107" s="3">
        <v>4</v>
      </c>
      <c r="J107" s="3">
        <v>5</v>
      </c>
      <c r="K107" s="3">
        <v>6</v>
      </c>
      <c r="L107" s="3">
        <v>7</v>
      </c>
      <c r="M107" s="3">
        <v>8</v>
      </c>
      <c r="N107" s="2"/>
    </row>
    <row r="108" spans="1:17">
      <c r="B108" t="s">
        <v>87</v>
      </c>
      <c r="F108" s="2"/>
      <c r="G108" s="2"/>
      <c r="H108" s="2"/>
      <c r="N108" s="2"/>
    </row>
    <row r="109" spans="1:17">
      <c r="C109" t="s">
        <v>88</v>
      </c>
      <c r="D109" s="32">
        <v>1000</v>
      </c>
      <c r="F109" s="2">
        <f>$D109</f>
        <v>1000</v>
      </c>
      <c r="G109" s="2">
        <f t="shared" ref="G109:M109" si="24">$D109</f>
        <v>1000</v>
      </c>
      <c r="H109" s="2">
        <f t="shared" si="24"/>
        <v>1000</v>
      </c>
      <c r="I109" s="2">
        <f t="shared" si="24"/>
        <v>1000</v>
      </c>
      <c r="J109" s="2">
        <f t="shared" si="24"/>
        <v>1000</v>
      </c>
      <c r="K109" s="2">
        <f t="shared" si="24"/>
        <v>1000</v>
      </c>
      <c r="L109" s="2">
        <f t="shared" si="24"/>
        <v>1000</v>
      </c>
      <c r="M109" s="2">
        <f t="shared" si="24"/>
        <v>1000</v>
      </c>
      <c r="N109" s="2">
        <v>0</v>
      </c>
      <c r="O109" s="2">
        <v>0</v>
      </c>
      <c r="P109" s="2">
        <v>0</v>
      </c>
      <c r="Q109" s="2">
        <v>0</v>
      </c>
    </row>
    <row r="110" spans="1:17">
      <c r="B110" t="s">
        <v>89</v>
      </c>
      <c r="F110" s="2"/>
      <c r="G110" s="2"/>
      <c r="H110" s="2"/>
      <c r="N110" s="2"/>
    </row>
    <row r="111" spans="1:17">
      <c r="C111" t="s">
        <v>90</v>
      </c>
      <c r="D111" s="32">
        <v>1000</v>
      </c>
      <c r="F111" s="2">
        <f>$D111</f>
        <v>1000</v>
      </c>
      <c r="G111" s="2">
        <f t="shared" ref="G111:M111" si="25">$D111</f>
        <v>1000</v>
      </c>
      <c r="H111" s="2">
        <f t="shared" si="25"/>
        <v>1000</v>
      </c>
      <c r="I111" s="2">
        <f t="shared" si="25"/>
        <v>1000</v>
      </c>
      <c r="J111" s="2">
        <f t="shared" si="25"/>
        <v>1000</v>
      </c>
      <c r="K111" s="2">
        <f t="shared" si="25"/>
        <v>1000</v>
      </c>
      <c r="L111" s="2">
        <f t="shared" si="25"/>
        <v>1000</v>
      </c>
      <c r="M111" s="2">
        <f t="shared" si="25"/>
        <v>1000</v>
      </c>
      <c r="N111" s="2">
        <v>0</v>
      </c>
      <c r="O111" s="2">
        <v>0</v>
      </c>
      <c r="P111" s="2">
        <v>0</v>
      </c>
      <c r="Q111" s="2">
        <v>0</v>
      </c>
    </row>
    <row r="112" spans="1:17">
      <c r="B112" t="s">
        <v>91</v>
      </c>
      <c r="F112" s="2"/>
      <c r="G112" s="2"/>
      <c r="H112" s="2"/>
      <c r="N112" s="2"/>
    </row>
    <row r="113" spans="1:17">
      <c r="C113" t="s">
        <v>92</v>
      </c>
      <c r="D113" s="5">
        <v>5000</v>
      </c>
      <c r="F113" s="2">
        <f>COUNT(F$123:F$139)*$D113</f>
        <v>85000</v>
      </c>
      <c r="G113" s="27">
        <v>0</v>
      </c>
      <c r="H113" s="2">
        <v>0</v>
      </c>
      <c r="I113" s="2">
        <v>0</v>
      </c>
      <c r="J113" s="2">
        <v>5000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</row>
    <row r="114" spans="1:17">
      <c r="C114" t="s">
        <v>93</v>
      </c>
      <c r="D114" s="5">
        <v>150</v>
      </c>
      <c r="F114" s="2">
        <f>COUNT(F$123:F$139)*$D114</f>
        <v>2550</v>
      </c>
      <c r="G114" s="2">
        <f t="shared" ref="G114:M114" si="26">COUNT(G$123:G$139)*$D114</f>
        <v>2550</v>
      </c>
      <c r="H114" s="2">
        <f t="shared" si="26"/>
        <v>2550</v>
      </c>
      <c r="I114" s="2">
        <f t="shared" si="26"/>
        <v>2550</v>
      </c>
      <c r="J114" s="2">
        <f t="shared" si="26"/>
        <v>2550</v>
      </c>
      <c r="K114" s="2">
        <f t="shared" si="26"/>
        <v>2550</v>
      </c>
      <c r="L114" s="2">
        <f t="shared" si="26"/>
        <v>2550</v>
      </c>
      <c r="M114" s="2">
        <f t="shared" si="26"/>
        <v>2550</v>
      </c>
      <c r="N114" s="2">
        <v>0</v>
      </c>
      <c r="O114" s="2">
        <v>0</v>
      </c>
      <c r="P114" s="2">
        <v>0</v>
      </c>
      <c r="Q114" s="2">
        <v>0</v>
      </c>
    </row>
    <row r="115" spans="1:17">
      <c r="B115" t="s">
        <v>94</v>
      </c>
      <c r="F115" s="2"/>
      <c r="G115" s="2"/>
      <c r="H115" s="2"/>
      <c r="N115" s="2"/>
    </row>
    <row r="116" spans="1:17">
      <c r="C116" t="s">
        <v>95</v>
      </c>
      <c r="D116" s="5">
        <v>275000</v>
      </c>
      <c r="F116" s="2">
        <f>D116</f>
        <v>275000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</row>
    <row r="117" spans="1:17">
      <c r="F117" s="2"/>
      <c r="G117" s="2"/>
      <c r="H117" s="2"/>
      <c r="N117" s="2"/>
    </row>
    <row r="118" spans="1:17">
      <c r="C118" s="35" t="s">
        <v>96</v>
      </c>
      <c r="D118" s="35"/>
      <c r="E118" s="35"/>
      <c r="F118" s="36">
        <f>SUM(F109:F116)</f>
        <v>364550</v>
      </c>
      <c r="G118" s="36">
        <f t="shared" ref="G118:Q118" si="27">SUM(G109:G116)</f>
        <v>4550</v>
      </c>
      <c r="H118" s="36">
        <f t="shared" si="27"/>
        <v>4550</v>
      </c>
      <c r="I118" s="36">
        <f t="shared" si="27"/>
        <v>4550</v>
      </c>
      <c r="J118" s="36">
        <f t="shared" si="27"/>
        <v>9550</v>
      </c>
      <c r="K118" s="36">
        <f t="shared" si="27"/>
        <v>4550</v>
      </c>
      <c r="L118" s="36">
        <f t="shared" si="27"/>
        <v>4550</v>
      </c>
      <c r="M118" s="36">
        <f t="shared" si="27"/>
        <v>4550</v>
      </c>
      <c r="N118" s="36">
        <f t="shared" si="27"/>
        <v>0</v>
      </c>
      <c r="O118" s="36">
        <f t="shared" si="27"/>
        <v>0</v>
      </c>
      <c r="P118" s="36">
        <f t="shared" si="27"/>
        <v>0</v>
      </c>
      <c r="Q118" s="36">
        <f t="shared" si="27"/>
        <v>0</v>
      </c>
    </row>
    <row r="120" spans="1:17" s="6" customFormat="1">
      <c r="A120" s="6" t="s">
        <v>97</v>
      </c>
    </row>
    <row r="121" spans="1:17">
      <c r="B121" s="3" t="s">
        <v>1</v>
      </c>
      <c r="C121" s="3" t="s">
        <v>98</v>
      </c>
      <c r="D121" s="3" t="s">
        <v>47</v>
      </c>
      <c r="E121" s="3" t="s">
        <v>7</v>
      </c>
      <c r="F121" s="3">
        <v>1</v>
      </c>
      <c r="G121" s="3">
        <v>2</v>
      </c>
      <c r="H121" s="3">
        <v>3</v>
      </c>
      <c r="I121" s="3">
        <v>4</v>
      </c>
      <c r="J121" s="3">
        <v>5</v>
      </c>
      <c r="K121" s="3">
        <v>6</v>
      </c>
      <c r="L121" s="3">
        <v>7</v>
      </c>
      <c r="M121" s="3">
        <v>8</v>
      </c>
    </row>
    <row r="122" spans="1:17">
      <c r="B122" s="26" t="s">
        <v>99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7">
      <c r="C123" t="s">
        <v>100</v>
      </c>
      <c r="D123" s="31">
        <v>300</v>
      </c>
      <c r="E123" s="25">
        <v>0.5</v>
      </c>
      <c r="F123" s="2">
        <f>$D123*173.3*(1-$E123)</f>
        <v>25995</v>
      </c>
      <c r="G123" s="2">
        <f t="shared" ref="G123:M138" si="28">$D123*173.3*(1-$E123)</f>
        <v>25995</v>
      </c>
      <c r="H123" s="2">
        <f t="shared" si="28"/>
        <v>25995</v>
      </c>
      <c r="I123" s="2">
        <f t="shared" si="28"/>
        <v>25995</v>
      </c>
      <c r="J123" s="2">
        <f t="shared" si="28"/>
        <v>25995</v>
      </c>
      <c r="K123" s="2">
        <f t="shared" si="28"/>
        <v>25995</v>
      </c>
      <c r="L123" s="2">
        <f t="shared" si="28"/>
        <v>25995</v>
      </c>
      <c r="M123" s="2">
        <f t="shared" si="28"/>
        <v>25995</v>
      </c>
      <c r="N123" s="2">
        <v>0</v>
      </c>
      <c r="O123" s="2">
        <v>0</v>
      </c>
      <c r="P123" s="2">
        <v>0</v>
      </c>
      <c r="Q123" s="2">
        <v>0</v>
      </c>
    </row>
    <row r="124" spans="1:17">
      <c r="C124" t="s">
        <v>100</v>
      </c>
      <c r="D124" s="31">
        <v>300</v>
      </c>
      <c r="E124" s="25">
        <v>0.5</v>
      </c>
      <c r="F124" s="2">
        <f t="shared" ref="F124:M139" si="29">$D124*173.3*(1-$E124)</f>
        <v>25995</v>
      </c>
      <c r="G124" s="2">
        <f t="shared" si="28"/>
        <v>25995</v>
      </c>
      <c r="H124" s="2">
        <f t="shared" si="28"/>
        <v>25995</v>
      </c>
      <c r="I124" s="2">
        <f t="shared" si="28"/>
        <v>25995</v>
      </c>
      <c r="J124" s="2">
        <f t="shared" si="28"/>
        <v>25995</v>
      </c>
      <c r="K124" s="2">
        <f t="shared" si="28"/>
        <v>25995</v>
      </c>
      <c r="L124" s="2">
        <f t="shared" si="28"/>
        <v>25995</v>
      </c>
      <c r="M124" s="2">
        <f t="shared" si="28"/>
        <v>25995</v>
      </c>
      <c r="N124" s="2">
        <v>0</v>
      </c>
      <c r="O124" s="2">
        <v>0</v>
      </c>
      <c r="P124" s="2">
        <v>0</v>
      </c>
      <c r="Q124" s="2">
        <v>0</v>
      </c>
    </row>
    <row r="125" spans="1:17">
      <c r="C125" t="s">
        <v>101</v>
      </c>
      <c r="D125" s="31">
        <v>250</v>
      </c>
      <c r="E125" s="25">
        <v>0.5</v>
      </c>
      <c r="F125" s="2">
        <f t="shared" si="29"/>
        <v>21662.5</v>
      </c>
      <c r="G125" s="2">
        <f t="shared" si="28"/>
        <v>21662.5</v>
      </c>
      <c r="H125" s="2">
        <f t="shared" si="28"/>
        <v>21662.5</v>
      </c>
      <c r="I125" s="2">
        <f t="shared" si="28"/>
        <v>21662.5</v>
      </c>
      <c r="J125" s="2">
        <f t="shared" si="28"/>
        <v>21662.5</v>
      </c>
      <c r="K125" s="2">
        <f t="shared" si="28"/>
        <v>21662.5</v>
      </c>
      <c r="L125" s="2">
        <f t="shared" si="28"/>
        <v>21662.5</v>
      </c>
      <c r="M125" s="2">
        <f t="shared" si="28"/>
        <v>21662.5</v>
      </c>
      <c r="N125" s="2">
        <v>0</v>
      </c>
      <c r="O125" s="2">
        <v>0</v>
      </c>
      <c r="P125" s="2">
        <v>0</v>
      </c>
      <c r="Q125" s="2">
        <v>0</v>
      </c>
    </row>
    <row r="126" spans="1:17">
      <c r="C126" t="s">
        <v>102</v>
      </c>
      <c r="D126" s="31">
        <v>180</v>
      </c>
      <c r="E126" s="25">
        <v>0.5</v>
      </c>
      <c r="F126" s="2">
        <f t="shared" si="29"/>
        <v>15597.000000000002</v>
      </c>
      <c r="G126" s="2">
        <f t="shared" si="28"/>
        <v>15597.000000000002</v>
      </c>
      <c r="H126" s="2">
        <f t="shared" si="28"/>
        <v>15597.000000000002</v>
      </c>
      <c r="I126" s="2">
        <f t="shared" si="28"/>
        <v>15597.000000000002</v>
      </c>
      <c r="J126" s="2">
        <f t="shared" si="28"/>
        <v>15597.000000000002</v>
      </c>
      <c r="K126" s="2">
        <f t="shared" si="28"/>
        <v>15597.000000000002</v>
      </c>
      <c r="L126" s="2">
        <f t="shared" si="28"/>
        <v>15597.000000000002</v>
      </c>
      <c r="M126" s="2">
        <f t="shared" si="28"/>
        <v>15597.000000000002</v>
      </c>
      <c r="N126" s="2">
        <v>0</v>
      </c>
      <c r="O126" s="2">
        <v>0</v>
      </c>
      <c r="P126" s="2">
        <v>0</v>
      </c>
      <c r="Q126" s="2">
        <v>0</v>
      </c>
    </row>
    <row r="127" spans="1:17">
      <c r="B127" s="3"/>
      <c r="C127" t="s">
        <v>103</v>
      </c>
      <c r="D127" s="31">
        <v>150</v>
      </c>
      <c r="E127" s="25">
        <v>0.5</v>
      </c>
      <c r="F127" s="2">
        <f t="shared" si="29"/>
        <v>12997.5</v>
      </c>
      <c r="G127" s="2">
        <f t="shared" si="28"/>
        <v>12997.5</v>
      </c>
      <c r="H127" s="2">
        <f t="shared" si="28"/>
        <v>12997.5</v>
      </c>
      <c r="I127" s="2">
        <f t="shared" si="28"/>
        <v>12997.5</v>
      </c>
      <c r="J127" s="2">
        <f t="shared" si="28"/>
        <v>12997.5</v>
      </c>
      <c r="K127" s="2">
        <f t="shared" si="28"/>
        <v>12997.5</v>
      </c>
      <c r="L127" s="2">
        <f t="shared" si="28"/>
        <v>12997.5</v>
      </c>
      <c r="M127" s="2">
        <f t="shared" si="28"/>
        <v>12997.5</v>
      </c>
      <c r="N127" s="2">
        <v>0</v>
      </c>
      <c r="O127" s="2">
        <v>0</v>
      </c>
      <c r="P127" s="2">
        <v>0</v>
      </c>
      <c r="Q127" s="2">
        <v>0</v>
      </c>
    </row>
    <row r="128" spans="1:17">
      <c r="C128" t="s">
        <v>104</v>
      </c>
      <c r="D128" s="31">
        <v>90</v>
      </c>
      <c r="E128" s="25">
        <v>0.3</v>
      </c>
      <c r="F128" s="2">
        <f t="shared" si="29"/>
        <v>10917.900000000001</v>
      </c>
      <c r="G128" s="2">
        <f t="shared" si="28"/>
        <v>10917.900000000001</v>
      </c>
      <c r="H128" s="2">
        <f t="shared" si="28"/>
        <v>10917.900000000001</v>
      </c>
      <c r="I128" s="2">
        <f t="shared" si="28"/>
        <v>10917.900000000001</v>
      </c>
      <c r="J128" s="2">
        <f t="shared" si="28"/>
        <v>10917.900000000001</v>
      </c>
      <c r="K128" s="2">
        <f t="shared" si="28"/>
        <v>10917.900000000001</v>
      </c>
      <c r="L128" s="2">
        <f t="shared" si="28"/>
        <v>10917.900000000001</v>
      </c>
      <c r="M128" s="2">
        <f t="shared" si="28"/>
        <v>10917.900000000001</v>
      </c>
      <c r="N128" s="2">
        <v>0</v>
      </c>
      <c r="O128" s="2">
        <v>0</v>
      </c>
      <c r="P128" s="2">
        <v>0</v>
      </c>
      <c r="Q128" s="2">
        <v>0</v>
      </c>
    </row>
    <row r="129" spans="2:17">
      <c r="C129" t="s">
        <v>105</v>
      </c>
      <c r="D129" s="31">
        <v>125</v>
      </c>
      <c r="E129" s="25">
        <v>0.5</v>
      </c>
      <c r="F129" s="2">
        <f t="shared" si="29"/>
        <v>10831.25</v>
      </c>
      <c r="G129" s="2">
        <f t="shared" si="28"/>
        <v>10831.25</v>
      </c>
      <c r="H129" s="2">
        <f t="shared" si="28"/>
        <v>10831.25</v>
      </c>
      <c r="I129" s="2">
        <f t="shared" si="28"/>
        <v>10831.25</v>
      </c>
      <c r="J129" s="2">
        <f t="shared" si="28"/>
        <v>10831.25</v>
      </c>
      <c r="K129" s="2">
        <f t="shared" si="28"/>
        <v>10831.25</v>
      </c>
      <c r="L129" s="2">
        <f t="shared" si="28"/>
        <v>10831.25</v>
      </c>
      <c r="M129" s="2">
        <f t="shared" si="28"/>
        <v>10831.25</v>
      </c>
      <c r="N129" s="2">
        <v>0</v>
      </c>
      <c r="O129" s="2">
        <v>0</v>
      </c>
      <c r="P129" s="2">
        <v>0</v>
      </c>
      <c r="Q129" s="2">
        <v>0</v>
      </c>
    </row>
    <row r="130" spans="2:17">
      <c r="C130" t="s">
        <v>106</v>
      </c>
      <c r="D130" s="31">
        <v>170</v>
      </c>
      <c r="E130" s="25">
        <v>0.5</v>
      </c>
      <c r="F130" s="2">
        <f t="shared" si="29"/>
        <v>14730.500000000002</v>
      </c>
      <c r="G130" s="2">
        <f t="shared" si="28"/>
        <v>14730.500000000002</v>
      </c>
      <c r="H130" s="2">
        <f t="shared" si="28"/>
        <v>14730.500000000002</v>
      </c>
      <c r="I130" s="2">
        <f t="shared" si="28"/>
        <v>14730.500000000002</v>
      </c>
      <c r="J130" s="2">
        <f t="shared" si="28"/>
        <v>14730.500000000002</v>
      </c>
      <c r="K130" s="2">
        <f t="shared" si="28"/>
        <v>14730.500000000002</v>
      </c>
      <c r="L130" s="2">
        <f t="shared" si="28"/>
        <v>14730.500000000002</v>
      </c>
      <c r="M130" s="2">
        <f t="shared" si="28"/>
        <v>14730.500000000002</v>
      </c>
      <c r="N130" s="2">
        <v>0</v>
      </c>
      <c r="O130" s="2">
        <v>0</v>
      </c>
      <c r="P130" s="2">
        <v>0</v>
      </c>
      <c r="Q130" s="2">
        <v>0</v>
      </c>
    </row>
    <row r="131" spans="2:17">
      <c r="C131" t="s">
        <v>107</v>
      </c>
      <c r="D131" s="31">
        <v>150</v>
      </c>
      <c r="E131" s="25">
        <v>0.3</v>
      </c>
      <c r="F131" s="2">
        <f t="shared" si="29"/>
        <v>18196.5</v>
      </c>
      <c r="G131" s="2">
        <f t="shared" si="28"/>
        <v>18196.5</v>
      </c>
      <c r="H131" s="2">
        <f t="shared" si="28"/>
        <v>18196.5</v>
      </c>
      <c r="I131" s="2">
        <f t="shared" si="28"/>
        <v>18196.5</v>
      </c>
      <c r="J131" s="2">
        <f t="shared" si="28"/>
        <v>18196.5</v>
      </c>
      <c r="K131" s="2">
        <f t="shared" si="28"/>
        <v>18196.5</v>
      </c>
      <c r="L131" s="2">
        <f t="shared" si="28"/>
        <v>18196.5</v>
      </c>
      <c r="M131" s="2">
        <f t="shared" si="28"/>
        <v>18196.5</v>
      </c>
      <c r="N131" s="2">
        <v>0</v>
      </c>
      <c r="O131" s="2">
        <v>0</v>
      </c>
      <c r="P131" s="2">
        <v>0</v>
      </c>
      <c r="Q131" s="2">
        <v>0</v>
      </c>
    </row>
    <row r="132" spans="2:17">
      <c r="C132" t="s">
        <v>108</v>
      </c>
      <c r="D132" s="31">
        <v>150</v>
      </c>
      <c r="E132" s="25">
        <v>0.3</v>
      </c>
      <c r="F132" s="2">
        <f t="shared" si="29"/>
        <v>18196.5</v>
      </c>
      <c r="G132" s="2">
        <f t="shared" si="28"/>
        <v>18196.5</v>
      </c>
      <c r="H132" s="2">
        <f t="shared" si="28"/>
        <v>18196.5</v>
      </c>
      <c r="I132" s="2">
        <f t="shared" si="28"/>
        <v>18196.5</v>
      </c>
      <c r="J132" s="2">
        <f t="shared" si="28"/>
        <v>18196.5</v>
      </c>
      <c r="K132" s="2">
        <f t="shared" si="28"/>
        <v>18196.5</v>
      </c>
      <c r="L132" s="2">
        <f t="shared" si="28"/>
        <v>18196.5</v>
      </c>
      <c r="M132" s="2">
        <f t="shared" si="28"/>
        <v>18196.5</v>
      </c>
      <c r="N132" s="2">
        <v>0</v>
      </c>
      <c r="O132" s="2">
        <v>0</v>
      </c>
      <c r="P132" s="2">
        <v>0</v>
      </c>
      <c r="Q132" s="2">
        <v>0</v>
      </c>
    </row>
    <row r="133" spans="2:17">
      <c r="C133" s="1" t="s">
        <v>109</v>
      </c>
      <c r="D133" s="31">
        <v>200</v>
      </c>
      <c r="E133" s="25">
        <v>0.3</v>
      </c>
      <c r="F133" s="2">
        <f t="shared" si="29"/>
        <v>24262</v>
      </c>
      <c r="G133" s="2">
        <f t="shared" si="28"/>
        <v>24262</v>
      </c>
      <c r="H133" s="2">
        <f t="shared" si="28"/>
        <v>24262</v>
      </c>
      <c r="I133" s="2">
        <f t="shared" si="28"/>
        <v>24262</v>
      </c>
      <c r="J133" s="2">
        <f t="shared" si="28"/>
        <v>24262</v>
      </c>
      <c r="K133" s="2">
        <f t="shared" si="28"/>
        <v>24262</v>
      </c>
      <c r="L133" s="2">
        <f t="shared" si="28"/>
        <v>24262</v>
      </c>
      <c r="M133" s="2">
        <f t="shared" si="28"/>
        <v>24262</v>
      </c>
      <c r="N133" s="2">
        <v>0</v>
      </c>
      <c r="O133" s="2">
        <v>0</v>
      </c>
      <c r="P133" s="2">
        <v>0</v>
      </c>
      <c r="Q133" s="2">
        <v>0</v>
      </c>
    </row>
    <row r="134" spans="2:17">
      <c r="C134" t="s">
        <v>110</v>
      </c>
      <c r="D134" s="31">
        <v>125</v>
      </c>
      <c r="E134" s="25">
        <v>0</v>
      </c>
      <c r="F134" s="2">
        <f t="shared" si="29"/>
        <v>21662.5</v>
      </c>
      <c r="G134" s="2">
        <f t="shared" si="28"/>
        <v>21662.5</v>
      </c>
      <c r="H134" s="2">
        <f t="shared" si="28"/>
        <v>21662.5</v>
      </c>
      <c r="I134" s="2">
        <f t="shared" si="28"/>
        <v>21662.5</v>
      </c>
      <c r="J134" s="2">
        <f t="shared" si="28"/>
        <v>21662.5</v>
      </c>
      <c r="K134" s="2">
        <f t="shared" si="28"/>
        <v>21662.5</v>
      </c>
      <c r="L134" s="2">
        <f t="shared" si="28"/>
        <v>21662.5</v>
      </c>
      <c r="M134" s="2">
        <f t="shared" si="28"/>
        <v>21662.5</v>
      </c>
      <c r="N134" s="2">
        <v>0</v>
      </c>
      <c r="O134" s="2">
        <v>0</v>
      </c>
      <c r="P134" s="2">
        <v>0</v>
      </c>
      <c r="Q134" s="2">
        <v>0</v>
      </c>
    </row>
    <row r="135" spans="2:17">
      <c r="C135" t="s">
        <v>111</v>
      </c>
      <c r="D135" s="31">
        <v>80</v>
      </c>
      <c r="E135" s="25">
        <v>0</v>
      </c>
      <c r="F135" s="2">
        <f t="shared" si="29"/>
        <v>13864</v>
      </c>
      <c r="G135" s="2">
        <f t="shared" si="28"/>
        <v>13864</v>
      </c>
      <c r="H135" s="2">
        <f t="shared" si="28"/>
        <v>13864</v>
      </c>
      <c r="I135" s="2">
        <f t="shared" si="28"/>
        <v>13864</v>
      </c>
      <c r="J135" s="2">
        <f t="shared" si="28"/>
        <v>13864</v>
      </c>
      <c r="K135" s="2">
        <f t="shared" si="28"/>
        <v>13864</v>
      </c>
      <c r="L135" s="2">
        <f t="shared" si="28"/>
        <v>13864</v>
      </c>
      <c r="M135" s="2">
        <f t="shared" si="28"/>
        <v>13864</v>
      </c>
      <c r="N135" s="2">
        <v>0</v>
      </c>
      <c r="O135" s="2">
        <v>0</v>
      </c>
      <c r="P135" s="2">
        <v>0</v>
      </c>
      <c r="Q135" s="2">
        <v>0</v>
      </c>
    </row>
    <row r="136" spans="2:17">
      <c r="C136" t="s">
        <v>112</v>
      </c>
      <c r="D136" s="31">
        <v>80</v>
      </c>
      <c r="E136" s="25">
        <v>0</v>
      </c>
      <c r="F136" s="2">
        <f t="shared" si="29"/>
        <v>13864</v>
      </c>
      <c r="G136" s="2">
        <f t="shared" si="28"/>
        <v>13864</v>
      </c>
      <c r="H136" s="2">
        <f t="shared" si="28"/>
        <v>13864</v>
      </c>
      <c r="I136" s="2">
        <f t="shared" si="28"/>
        <v>13864</v>
      </c>
      <c r="J136" s="2">
        <f t="shared" si="28"/>
        <v>13864</v>
      </c>
      <c r="K136" s="2">
        <f t="shared" si="28"/>
        <v>13864</v>
      </c>
      <c r="L136" s="2">
        <f t="shared" si="28"/>
        <v>13864</v>
      </c>
      <c r="M136" s="2">
        <f t="shared" si="28"/>
        <v>13864</v>
      </c>
      <c r="N136" s="2">
        <v>0</v>
      </c>
      <c r="O136" s="2">
        <v>0</v>
      </c>
      <c r="P136" s="2">
        <v>0</v>
      </c>
      <c r="Q136" s="2">
        <v>0</v>
      </c>
    </row>
    <row r="137" spans="2:17">
      <c r="C137" t="s">
        <v>113</v>
      </c>
      <c r="D137" s="31">
        <v>80</v>
      </c>
      <c r="E137" s="25">
        <v>0</v>
      </c>
      <c r="F137" s="2">
        <f t="shared" si="29"/>
        <v>13864</v>
      </c>
      <c r="G137" s="2">
        <f t="shared" si="28"/>
        <v>13864</v>
      </c>
      <c r="H137" s="2">
        <f t="shared" si="28"/>
        <v>13864</v>
      </c>
      <c r="I137" s="2">
        <f t="shared" si="28"/>
        <v>13864</v>
      </c>
      <c r="J137" s="2">
        <f t="shared" si="28"/>
        <v>13864</v>
      </c>
      <c r="K137" s="2">
        <f t="shared" si="28"/>
        <v>13864</v>
      </c>
      <c r="L137" s="2">
        <f t="shared" si="28"/>
        <v>13864</v>
      </c>
      <c r="M137" s="2">
        <f t="shared" si="28"/>
        <v>13864</v>
      </c>
      <c r="N137" s="2">
        <v>0</v>
      </c>
      <c r="O137" s="2">
        <v>0</v>
      </c>
      <c r="P137" s="2">
        <v>0</v>
      </c>
      <c r="Q137" s="2">
        <v>0</v>
      </c>
    </row>
    <row r="138" spans="2:17">
      <c r="C138" t="s">
        <v>114</v>
      </c>
      <c r="D138" s="31">
        <v>80</v>
      </c>
      <c r="E138" s="25">
        <v>0</v>
      </c>
      <c r="F138" s="2">
        <f t="shared" si="29"/>
        <v>13864</v>
      </c>
      <c r="G138" s="2">
        <f t="shared" si="28"/>
        <v>13864</v>
      </c>
      <c r="H138" s="2">
        <f t="shared" si="28"/>
        <v>13864</v>
      </c>
      <c r="I138" s="2">
        <f t="shared" si="28"/>
        <v>13864</v>
      </c>
      <c r="J138" s="2">
        <f t="shared" si="28"/>
        <v>13864</v>
      </c>
      <c r="K138" s="2">
        <f t="shared" si="28"/>
        <v>13864</v>
      </c>
      <c r="L138" s="2">
        <f t="shared" si="28"/>
        <v>13864</v>
      </c>
      <c r="M138" s="2">
        <f t="shared" si="28"/>
        <v>13864</v>
      </c>
      <c r="N138" s="2">
        <v>0</v>
      </c>
      <c r="O138" s="2">
        <v>0</v>
      </c>
      <c r="P138" s="2">
        <v>0</v>
      </c>
      <c r="Q138" s="2">
        <v>0</v>
      </c>
    </row>
    <row r="139" spans="2:17">
      <c r="C139" t="s">
        <v>115</v>
      </c>
      <c r="D139" s="31">
        <v>80</v>
      </c>
      <c r="E139" s="25">
        <v>0</v>
      </c>
      <c r="F139" s="2">
        <v>0</v>
      </c>
      <c r="G139" s="2">
        <v>0</v>
      </c>
      <c r="H139" s="2">
        <v>0</v>
      </c>
      <c r="I139" s="2">
        <v>0</v>
      </c>
      <c r="J139" s="2">
        <f t="shared" si="29"/>
        <v>13864</v>
      </c>
      <c r="K139" s="2">
        <f t="shared" si="29"/>
        <v>13864</v>
      </c>
      <c r="L139" s="2">
        <f t="shared" si="29"/>
        <v>13864</v>
      </c>
      <c r="M139" s="2">
        <f t="shared" si="29"/>
        <v>13864</v>
      </c>
      <c r="N139" s="2">
        <v>0</v>
      </c>
      <c r="O139" s="2">
        <v>0</v>
      </c>
      <c r="P139" s="2">
        <v>0</v>
      </c>
      <c r="Q139" s="2">
        <v>0</v>
      </c>
    </row>
    <row r="140" spans="2:17"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2:17">
      <c r="C141" s="37" t="s">
        <v>116</v>
      </c>
      <c r="D141" s="37"/>
      <c r="E141" s="37"/>
      <c r="F141" s="38">
        <f>SUM(F123:F139)</f>
        <v>276500.15000000002</v>
      </c>
      <c r="G141" s="38">
        <f t="shared" ref="G141:Q141" si="30">SUM(G123:G139)</f>
        <v>276500.15000000002</v>
      </c>
      <c r="H141" s="38">
        <f t="shared" si="30"/>
        <v>276500.15000000002</v>
      </c>
      <c r="I141" s="38">
        <f t="shared" si="30"/>
        <v>276500.15000000002</v>
      </c>
      <c r="J141" s="38">
        <f t="shared" si="30"/>
        <v>290364.15000000002</v>
      </c>
      <c r="K141" s="38">
        <f t="shared" si="30"/>
        <v>290364.15000000002</v>
      </c>
      <c r="L141" s="38">
        <f t="shared" si="30"/>
        <v>290364.15000000002</v>
      </c>
      <c r="M141" s="38">
        <f t="shared" si="30"/>
        <v>290364.15000000002</v>
      </c>
      <c r="N141" s="38">
        <f t="shared" si="30"/>
        <v>0</v>
      </c>
      <c r="O141" s="38">
        <f t="shared" si="30"/>
        <v>0</v>
      </c>
      <c r="P141" s="38">
        <f t="shared" si="30"/>
        <v>0</v>
      </c>
      <c r="Q141" s="38">
        <f t="shared" si="30"/>
        <v>0</v>
      </c>
    </row>
    <row r="142" spans="2:17"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2:17">
      <c r="B143" t="s">
        <v>117</v>
      </c>
      <c r="N143" s="2"/>
      <c r="O143" s="2"/>
      <c r="P143" s="2"/>
      <c r="Q143" s="2"/>
    </row>
    <row r="144" spans="2:17">
      <c r="C144" t="s">
        <v>118</v>
      </c>
      <c r="D144" s="29">
        <v>3.4000000000000002E-2</v>
      </c>
      <c r="F144" s="2">
        <f>F$141*$D144</f>
        <v>9401.0051000000021</v>
      </c>
      <c r="G144" s="2">
        <f t="shared" ref="G144:M146" si="31">G$141*$D144</f>
        <v>9401.0051000000021</v>
      </c>
      <c r="H144" s="2">
        <f t="shared" si="31"/>
        <v>9401.0051000000021</v>
      </c>
      <c r="I144" s="2">
        <f t="shared" si="31"/>
        <v>9401.0051000000021</v>
      </c>
      <c r="J144" s="2">
        <f t="shared" si="31"/>
        <v>9872.3811000000023</v>
      </c>
      <c r="K144" s="2">
        <f t="shared" si="31"/>
        <v>9872.3811000000023</v>
      </c>
      <c r="L144" s="2">
        <f t="shared" si="31"/>
        <v>9872.3811000000023</v>
      </c>
      <c r="M144" s="2">
        <f t="shared" si="31"/>
        <v>9872.3811000000023</v>
      </c>
      <c r="N144" s="2">
        <v>0</v>
      </c>
      <c r="O144" s="2">
        <v>0</v>
      </c>
      <c r="P144" s="2">
        <v>0</v>
      </c>
      <c r="Q144" s="2">
        <v>0</v>
      </c>
    </row>
    <row r="145" spans="3:17">
      <c r="C145" t="s">
        <v>119</v>
      </c>
      <c r="D145" s="30">
        <v>0.05</v>
      </c>
      <c r="F145" s="2">
        <f t="shared" ref="F145:F146" si="32">F$141*$D145</f>
        <v>13825.007500000002</v>
      </c>
      <c r="G145" s="2">
        <f t="shared" si="31"/>
        <v>13825.007500000002</v>
      </c>
      <c r="H145" s="2">
        <f t="shared" si="31"/>
        <v>13825.007500000002</v>
      </c>
      <c r="I145" s="2">
        <f t="shared" si="31"/>
        <v>13825.007500000002</v>
      </c>
      <c r="J145" s="2">
        <f t="shared" si="31"/>
        <v>14518.207500000002</v>
      </c>
      <c r="K145" s="2">
        <f t="shared" si="31"/>
        <v>14518.207500000002</v>
      </c>
      <c r="L145" s="2">
        <f t="shared" si="31"/>
        <v>14518.207500000002</v>
      </c>
      <c r="M145" s="2">
        <f t="shared" si="31"/>
        <v>14518.207500000002</v>
      </c>
      <c r="N145" s="2">
        <v>0</v>
      </c>
      <c r="O145" s="2">
        <v>0</v>
      </c>
      <c r="P145" s="2">
        <v>0</v>
      </c>
      <c r="Q145" s="2">
        <v>0</v>
      </c>
    </row>
    <row r="146" spans="3:17">
      <c r="C146" t="s">
        <v>120</v>
      </c>
      <c r="D146" s="30">
        <v>0.14000000000000001</v>
      </c>
      <c r="F146" s="2">
        <f t="shared" si="32"/>
        <v>38710.021000000008</v>
      </c>
      <c r="G146" s="2">
        <f t="shared" si="31"/>
        <v>38710.021000000008</v>
      </c>
      <c r="H146" s="2">
        <f t="shared" si="31"/>
        <v>38710.021000000008</v>
      </c>
      <c r="I146" s="2">
        <f t="shared" si="31"/>
        <v>38710.021000000008</v>
      </c>
      <c r="J146" s="2">
        <f t="shared" si="31"/>
        <v>40650.981000000007</v>
      </c>
      <c r="K146" s="2">
        <f t="shared" si="31"/>
        <v>40650.981000000007</v>
      </c>
      <c r="L146" s="2">
        <f t="shared" si="31"/>
        <v>40650.981000000007</v>
      </c>
      <c r="M146" s="2">
        <f t="shared" si="31"/>
        <v>40650.981000000007</v>
      </c>
      <c r="N146" s="2">
        <v>0</v>
      </c>
      <c r="O146" s="2">
        <v>0</v>
      </c>
      <c r="P146" s="2">
        <v>0</v>
      </c>
      <c r="Q146" s="2">
        <v>0</v>
      </c>
    </row>
    <row r="147" spans="3:17">
      <c r="N147" s="2"/>
      <c r="O147" s="2"/>
      <c r="P147" s="2"/>
      <c r="Q147" s="2"/>
    </row>
    <row r="148" spans="3:17">
      <c r="C148" s="37" t="s">
        <v>121</v>
      </c>
      <c r="D148" s="37"/>
      <c r="E148" s="37"/>
      <c r="F148" s="38">
        <f>SUM(F144:F146)</f>
        <v>61936.03360000001</v>
      </c>
      <c r="G148" s="38">
        <f t="shared" ref="G148:Q148" si="33">SUM(G144:G146)</f>
        <v>61936.03360000001</v>
      </c>
      <c r="H148" s="38">
        <f t="shared" si="33"/>
        <v>61936.03360000001</v>
      </c>
      <c r="I148" s="38">
        <f t="shared" si="33"/>
        <v>61936.03360000001</v>
      </c>
      <c r="J148" s="38">
        <f t="shared" si="33"/>
        <v>65041.56960000001</v>
      </c>
      <c r="K148" s="38">
        <f t="shared" si="33"/>
        <v>65041.56960000001</v>
      </c>
      <c r="L148" s="38">
        <f t="shared" si="33"/>
        <v>65041.56960000001</v>
      </c>
      <c r="M148" s="38">
        <f t="shared" si="33"/>
        <v>65041.56960000001</v>
      </c>
      <c r="N148" s="38">
        <f t="shared" si="33"/>
        <v>0</v>
      </c>
      <c r="O148" s="38">
        <f t="shared" si="33"/>
        <v>0</v>
      </c>
      <c r="P148" s="38">
        <f t="shared" si="33"/>
        <v>0</v>
      </c>
      <c r="Q148" s="38">
        <f t="shared" si="33"/>
        <v>0</v>
      </c>
    </row>
    <row r="149" spans="3:17">
      <c r="N149" s="2"/>
      <c r="O149" s="2"/>
      <c r="P149" s="2"/>
      <c r="Q149" s="2"/>
    </row>
    <row r="150" spans="3:17">
      <c r="C150" s="35" t="s">
        <v>122</v>
      </c>
      <c r="D150" s="35"/>
      <c r="E150" s="35"/>
      <c r="F150" s="36">
        <f t="shared" ref="F150:M150" si="34">SUM(F141+F148)</f>
        <v>338436.18360000005</v>
      </c>
      <c r="G150" s="36">
        <f t="shared" si="34"/>
        <v>338436.18360000005</v>
      </c>
      <c r="H150" s="36">
        <f t="shared" si="34"/>
        <v>338436.18360000005</v>
      </c>
      <c r="I150" s="36">
        <f t="shared" si="34"/>
        <v>338436.18360000005</v>
      </c>
      <c r="J150" s="36">
        <f t="shared" si="34"/>
        <v>355405.71960000001</v>
      </c>
      <c r="K150" s="36">
        <f t="shared" si="34"/>
        <v>355405.71960000001</v>
      </c>
      <c r="L150" s="36">
        <f t="shared" si="34"/>
        <v>355405.71960000001</v>
      </c>
      <c r="M150" s="36">
        <f t="shared" si="34"/>
        <v>355405.71960000001</v>
      </c>
      <c r="N150" s="36">
        <f t="shared" ref="N150:Q150" si="35">SUM(N141+N148)</f>
        <v>0</v>
      </c>
      <c r="O150" s="36">
        <f t="shared" si="35"/>
        <v>0</v>
      </c>
      <c r="P150" s="36">
        <f t="shared" si="35"/>
        <v>0</v>
      </c>
      <c r="Q150" s="36">
        <f t="shared" si="3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6689-7EBF-4CA9-803E-C34425C0C1E1}">
  <dimension ref="A1:Q150"/>
  <sheetViews>
    <sheetView tabSelected="1" topLeftCell="A56" workbookViewId="0">
      <selection activeCell="F1" sqref="F1:H1048576"/>
    </sheetView>
  </sheetViews>
  <sheetFormatPr defaultColWidth="8.85546875" defaultRowHeight="15"/>
  <cols>
    <col min="3" max="3" width="45.42578125" customWidth="1"/>
    <col min="4" max="4" width="13.42578125" customWidth="1"/>
    <col min="6" max="8" width="13.85546875" customWidth="1"/>
    <col min="9" max="9" width="18.140625" customWidth="1"/>
  </cols>
  <sheetData>
    <row r="1" spans="1:17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>
      <c r="A2" s="3"/>
      <c r="B2" s="3"/>
      <c r="C2" s="3" t="s">
        <v>1</v>
      </c>
      <c r="D2" s="3" t="s">
        <v>2</v>
      </c>
      <c r="E2" s="3"/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O2" s="3">
        <v>10</v>
      </c>
      <c r="P2" s="3">
        <v>11</v>
      </c>
      <c r="Q2" s="3">
        <v>12</v>
      </c>
    </row>
    <row r="3" spans="1:17">
      <c r="A3" s="3"/>
      <c r="B3" s="3"/>
      <c r="C3" s="51" t="s">
        <v>4</v>
      </c>
      <c r="D3" s="2">
        <v>5438874.9999999991</v>
      </c>
      <c r="E3" s="34"/>
      <c r="F3" s="2">
        <v>3228958.333333333</v>
      </c>
      <c r="G3" s="2">
        <v>1227958.3333333333</v>
      </c>
      <c r="H3" s="2">
        <v>981958.33333333326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3"/>
      <c r="B4" s="3"/>
      <c r="C4" s="51" t="s">
        <v>42</v>
      </c>
      <c r="D4" s="2">
        <v>3674050</v>
      </c>
      <c r="F4" s="2">
        <v>1309683.3333333333</v>
      </c>
      <c r="G4" s="2">
        <v>994683.33333333337</v>
      </c>
      <c r="H4" s="2">
        <v>994683.33333333337</v>
      </c>
      <c r="I4" s="2">
        <v>375000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3"/>
      <c r="B5" s="3"/>
      <c r="C5" s="51" t="s">
        <v>63</v>
      </c>
      <c r="D5" s="2">
        <v>720500</v>
      </c>
      <c r="F5" s="2">
        <v>91450</v>
      </c>
      <c r="G5" s="2">
        <v>27950</v>
      </c>
      <c r="H5" s="2">
        <v>27950</v>
      </c>
      <c r="I5" s="2">
        <v>27950</v>
      </c>
      <c r="J5" s="2">
        <v>27950</v>
      </c>
      <c r="K5" s="2">
        <v>204016.66666666669</v>
      </c>
      <c r="L5" s="2">
        <v>144616.66666666669</v>
      </c>
      <c r="M5" s="2">
        <v>144616.66666666669</v>
      </c>
      <c r="N5" s="2">
        <v>6000</v>
      </c>
      <c r="O5" s="2">
        <v>6000</v>
      </c>
      <c r="P5" s="2">
        <v>6000</v>
      </c>
      <c r="Q5" s="2">
        <v>6000</v>
      </c>
    </row>
    <row r="6" spans="1:17">
      <c r="A6" s="3"/>
      <c r="B6" s="3"/>
      <c r="C6" s="51" t="s">
        <v>86</v>
      </c>
      <c r="D6" s="2">
        <v>401400</v>
      </c>
      <c r="F6" s="2">
        <v>364550</v>
      </c>
      <c r="G6" s="2">
        <v>4550</v>
      </c>
      <c r="H6" s="2">
        <v>4550</v>
      </c>
      <c r="I6" s="2">
        <v>4550</v>
      </c>
      <c r="J6" s="2">
        <v>9550</v>
      </c>
      <c r="K6" s="2">
        <v>4550</v>
      </c>
      <c r="L6" s="2">
        <v>4550</v>
      </c>
      <c r="M6" s="2">
        <v>4550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3"/>
      <c r="B7" s="3"/>
      <c r="C7" t="s">
        <v>97</v>
      </c>
      <c r="D7" s="2">
        <v>2775367.6128000002</v>
      </c>
      <c r="F7" s="2">
        <v>338436.18360000005</v>
      </c>
      <c r="G7" s="2">
        <v>338436.18360000005</v>
      </c>
      <c r="H7" s="2">
        <v>338436.18360000005</v>
      </c>
      <c r="I7" s="2">
        <v>338436.18360000005</v>
      </c>
      <c r="J7" s="2">
        <v>355405.71960000001</v>
      </c>
      <c r="K7" s="2">
        <v>355405.71960000001</v>
      </c>
      <c r="L7" s="2">
        <v>355405.71960000001</v>
      </c>
      <c r="M7" s="2">
        <v>355405.71960000001</v>
      </c>
      <c r="N7" s="2">
        <v>0</v>
      </c>
      <c r="O7" s="2">
        <v>0</v>
      </c>
      <c r="P7" s="2">
        <v>0</v>
      </c>
      <c r="Q7" s="2">
        <v>0</v>
      </c>
    </row>
    <row r="8" spans="1:17">
      <c r="A8" s="3"/>
      <c r="B8" s="3"/>
      <c r="C8" s="3"/>
      <c r="D8" s="2"/>
    </row>
    <row r="9" spans="1:17">
      <c r="A9" s="3"/>
      <c r="B9" s="3"/>
      <c r="C9" s="41" t="s">
        <v>3</v>
      </c>
      <c r="D9" s="36">
        <v>13010192.6128</v>
      </c>
      <c r="E9" s="35"/>
      <c r="F9" s="36">
        <v>5333077.8502666662</v>
      </c>
      <c r="G9" s="36">
        <v>2593577.8502666666</v>
      </c>
      <c r="H9" s="36">
        <v>2347577.8502666666</v>
      </c>
      <c r="I9" s="36">
        <v>745936.18360000011</v>
      </c>
      <c r="J9" s="36">
        <v>392905.71960000001</v>
      </c>
      <c r="K9" s="36">
        <v>563972.3862666667</v>
      </c>
      <c r="L9" s="36">
        <v>504572.3862666667</v>
      </c>
      <c r="M9" s="36">
        <v>504572.3862666667</v>
      </c>
      <c r="N9" s="36">
        <v>6000</v>
      </c>
      <c r="O9" s="36">
        <v>6000</v>
      </c>
      <c r="P9" s="36">
        <v>6000</v>
      </c>
      <c r="Q9" s="36">
        <v>6000</v>
      </c>
    </row>
    <row r="10" spans="1:17">
      <c r="A10" s="47"/>
      <c r="B10" s="47"/>
      <c r="C10" s="47"/>
      <c r="D10" s="44"/>
      <c r="E10" s="45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spans="1:17">
      <c r="A11" s="48"/>
      <c r="B11" s="48"/>
      <c r="C11" s="48"/>
      <c r="D11" s="49"/>
      <c r="E11" s="28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</row>
    <row r="12" spans="1:17">
      <c r="A12" s="6" t="s">
        <v>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>
      <c r="A13" s="3"/>
      <c r="B13" s="3" t="s">
        <v>1</v>
      </c>
      <c r="C13" s="3" t="s">
        <v>5</v>
      </c>
      <c r="D13" s="3" t="s">
        <v>6</v>
      </c>
      <c r="E13" s="3" t="s">
        <v>7</v>
      </c>
      <c r="F13" s="3">
        <v>1</v>
      </c>
      <c r="G13" s="3">
        <v>2</v>
      </c>
      <c r="H13" s="3">
        <v>3</v>
      </c>
      <c r="I13" s="3">
        <v>4</v>
      </c>
      <c r="J13" s="3">
        <v>5</v>
      </c>
      <c r="K13" s="3">
        <v>6</v>
      </c>
      <c r="L13" s="3">
        <v>7</v>
      </c>
      <c r="M13" s="3">
        <v>8</v>
      </c>
      <c r="N13" s="3">
        <v>9</v>
      </c>
      <c r="O13" s="3">
        <v>10</v>
      </c>
      <c r="P13" s="3">
        <v>11</v>
      </c>
      <c r="Q13" s="3">
        <v>12</v>
      </c>
    </row>
    <row r="14" spans="1:17">
      <c r="B14" s="51" t="s">
        <v>4</v>
      </c>
      <c r="C14" s="51"/>
    </row>
    <row r="15" spans="1:17">
      <c r="B15" s="51"/>
      <c r="C15" t="s">
        <v>8</v>
      </c>
      <c r="D15" s="33">
        <v>233125</v>
      </c>
      <c r="E15" s="25">
        <v>0.2</v>
      </c>
      <c r="F15" s="2">
        <v>62166.666666666664</v>
      </c>
      <c r="G15" s="2">
        <v>62166.666666666664</v>
      </c>
      <c r="H15" s="2">
        <v>62166.666666666664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</row>
    <row r="16" spans="1:17">
      <c r="B16" s="51"/>
      <c r="C16" t="s">
        <v>9</v>
      </c>
      <c r="D16" s="33">
        <v>609375</v>
      </c>
      <c r="E16" s="25">
        <v>0.2</v>
      </c>
      <c r="F16" s="2">
        <v>162500</v>
      </c>
      <c r="G16" s="2">
        <v>162500</v>
      </c>
      <c r="H16" s="2">
        <v>162500</v>
      </c>
      <c r="I16" s="39"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</row>
    <row r="17" spans="2:17">
      <c r="B17" s="51"/>
      <c r="C17" s="51" t="s">
        <v>10</v>
      </c>
      <c r="D17" s="33">
        <v>516250</v>
      </c>
      <c r="E17" s="25">
        <v>0.2</v>
      </c>
      <c r="F17" s="2">
        <v>137666.66666666666</v>
      </c>
      <c r="G17" s="2">
        <v>137666.66666666666</v>
      </c>
      <c r="H17" s="2">
        <v>137666.66666666666</v>
      </c>
      <c r="I17" s="39">
        <v>0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</row>
    <row r="18" spans="2:17">
      <c r="B18" s="51"/>
      <c r="C18" t="s">
        <v>11</v>
      </c>
      <c r="D18" s="33">
        <v>582500</v>
      </c>
      <c r="E18" s="25">
        <v>0.2</v>
      </c>
      <c r="F18" s="2">
        <v>155333.33333333334</v>
      </c>
      <c r="G18" s="2">
        <v>155333.33333333334</v>
      </c>
      <c r="H18" s="2">
        <v>155333.33333333334</v>
      </c>
      <c r="I18" s="39">
        <v>0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</row>
    <row r="19" spans="2:17">
      <c r="B19" s="51" t="s">
        <v>12</v>
      </c>
      <c r="C19" s="51"/>
      <c r="D19" s="2"/>
      <c r="F19" s="2"/>
      <c r="G19" s="2"/>
      <c r="H19" s="2"/>
      <c r="I19" s="39"/>
      <c r="J19" s="39"/>
      <c r="K19" s="39"/>
      <c r="L19" s="39"/>
      <c r="M19" s="39"/>
      <c r="N19" s="39"/>
      <c r="O19" s="39"/>
      <c r="P19" s="39"/>
      <c r="Q19" s="39"/>
    </row>
    <row r="20" spans="2:17">
      <c r="B20" s="51"/>
      <c r="C20" s="51" t="s">
        <v>13</v>
      </c>
      <c r="D20" s="33">
        <v>330000</v>
      </c>
      <c r="E20" s="25">
        <v>0.2</v>
      </c>
      <c r="F20" s="2">
        <v>132000</v>
      </c>
      <c r="G20" s="2">
        <v>132000</v>
      </c>
      <c r="H20" s="39">
        <v>0</v>
      </c>
      <c r="I20" s="39">
        <v>0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</row>
    <row r="21" spans="2:17">
      <c r="B21" s="51" t="s">
        <v>14</v>
      </c>
      <c r="C21" s="51"/>
      <c r="D21" s="2"/>
      <c r="F21" s="2"/>
      <c r="G21" s="2"/>
      <c r="H21" s="2"/>
      <c r="I21" s="39"/>
      <c r="J21" s="39"/>
      <c r="K21" s="39"/>
      <c r="L21" s="39"/>
      <c r="M21" s="39"/>
      <c r="N21" s="39"/>
      <c r="O21" s="39"/>
      <c r="P21" s="39"/>
      <c r="Q21" s="39"/>
    </row>
    <row r="22" spans="2:17">
      <c r="B22" s="51"/>
      <c r="C22" s="51" t="s">
        <v>15</v>
      </c>
      <c r="D22" s="33">
        <v>160000</v>
      </c>
      <c r="E22" s="25">
        <v>0.2</v>
      </c>
      <c r="F22" s="2">
        <v>64000</v>
      </c>
      <c r="G22" s="2">
        <v>64000</v>
      </c>
      <c r="H22" s="39">
        <v>0</v>
      </c>
      <c r="I22" s="39">
        <v>0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</row>
    <row r="23" spans="2:17">
      <c r="B23" s="51"/>
      <c r="C23" s="51" t="s">
        <v>16</v>
      </c>
      <c r="D23" s="33">
        <v>125000</v>
      </c>
      <c r="E23" s="25">
        <v>0.2</v>
      </c>
      <c r="F23" s="2">
        <v>50000</v>
      </c>
      <c r="G23" s="2">
        <v>50000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</row>
    <row r="24" spans="2:17">
      <c r="B24" s="51" t="s">
        <v>17</v>
      </c>
      <c r="C24" s="51"/>
      <c r="D24" s="2"/>
      <c r="F24" s="2"/>
      <c r="G24" s="2"/>
      <c r="H24" s="2"/>
      <c r="I24" s="39"/>
      <c r="J24" s="39"/>
      <c r="K24" s="39"/>
      <c r="L24" s="39"/>
      <c r="M24" s="39"/>
      <c r="N24" s="39"/>
      <c r="O24" s="39"/>
      <c r="P24" s="39"/>
      <c r="Q24" s="39"/>
    </row>
    <row r="25" spans="2:17">
      <c r="B25" s="51"/>
      <c r="C25" t="s">
        <v>18</v>
      </c>
      <c r="D25" s="33">
        <v>478125</v>
      </c>
      <c r="E25" s="25">
        <v>0.2</v>
      </c>
      <c r="F25" s="2">
        <v>382500</v>
      </c>
      <c r="G25" s="2">
        <v>0</v>
      </c>
      <c r="H25" s="2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</row>
    <row r="26" spans="2:17">
      <c r="B26" s="51"/>
      <c r="C26" t="s">
        <v>19</v>
      </c>
      <c r="D26" s="33">
        <v>356250</v>
      </c>
      <c r="E26" s="25">
        <v>0.2</v>
      </c>
      <c r="F26" s="2">
        <v>285000</v>
      </c>
      <c r="G26" s="2">
        <v>0</v>
      </c>
      <c r="H26" s="2">
        <v>0</v>
      </c>
      <c r="I26" s="39">
        <v>0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39">
        <v>0</v>
      </c>
      <c r="Q26" s="39">
        <v>0</v>
      </c>
    </row>
    <row r="27" spans="2:17">
      <c r="B27" s="51"/>
      <c r="C27" s="51" t="s">
        <v>20</v>
      </c>
      <c r="D27" s="33">
        <v>197500</v>
      </c>
      <c r="E27" s="25">
        <v>0.2</v>
      </c>
      <c r="F27" s="2">
        <v>158000</v>
      </c>
      <c r="G27" s="2">
        <v>0</v>
      </c>
      <c r="H27" s="2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</row>
    <row r="28" spans="2:17">
      <c r="B28" s="51"/>
      <c r="C28" s="51" t="s">
        <v>21</v>
      </c>
      <c r="D28" s="33">
        <v>112500</v>
      </c>
      <c r="E28" s="25">
        <v>0.2</v>
      </c>
      <c r="F28" s="2">
        <v>90000</v>
      </c>
      <c r="G28" s="2">
        <v>0</v>
      </c>
      <c r="H28" s="2">
        <v>0</v>
      </c>
      <c r="I28" s="39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  <c r="Q28" s="39">
        <v>0</v>
      </c>
    </row>
    <row r="29" spans="2:17">
      <c r="B29" s="51"/>
      <c r="C29" s="51" t="s">
        <v>22</v>
      </c>
      <c r="D29" s="33">
        <v>335625</v>
      </c>
      <c r="E29" s="25">
        <v>0.2</v>
      </c>
      <c r="F29" s="2">
        <v>268500</v>
      </c>
      <c r="G29" s="2">
        <v>0</v>
      </c>
      <c r="H29" s="2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</row>
    <row r="30" spans="2:17">
      <c r="B30" s="51"/>
      <c r="C30" s="51" t="s">
        <v>23</v>
      </c>
      <c r="D30" s="33">
        <v>170000</v>
      </c>
      <c r="E30" s="25">
        <v>0.2</v>
      </c>
      <c r="F30" s="2">
        <v>136000</v>
      </c>
      <c r="G30" s="2">
        <v>0</v>
      </c>
      <c r="H30" s="2">
        <v>0</v>
      </c>
      <c r="I30" s="39">
        <v>0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  <c r="O30" s="39">
        <v>0</v>
      </c>
      <c r="P30" s="39">
        <v>0</v>
      </c>
      <c r="Q30" s="39">
        <v>0</v>
      </c>
    </row>
    <row r="31" spans="2:17">
      <c r="B31" s="51"/>
      <c r="C31" s="51" t="s">
        <v>24</v>
      </c>
      <c r="D31" s="33">
        <v>172500</v>
      </c>
      <c r="E31" s="25">
        <v>0.2</v>
      </c>
      <c r="F31" s="2">
        <v>138000</v>
      </c>
      <c r="G31" s="2">
        <v>0</v>
      </c>
      <c r="H31" s="2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</row>
    <row r="32" spans="2:17">
      <c r="B32" s="51"/>
      <c r="C32" s="51" t="s">
        <v>25</v>
      </c>
      <c r="D32" s="33">
        <v>168125</v>
      </c>
      <c r="E32" s="25">
        <v>0.2</v>
      </c>
      <c r="F32" s="2">
        <v>134500</v>
      </c>
      <c r="G32" s="2">
        <v>0</v>
      </c>
      <c r="H32" s="2">
        <v>0</v>
      </c>
      <c r="I32" s="39">
        <v>0</v>
      </c>
      <c r="J32" s="39">
        <v>0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39">
        <v>0</v>
      </c>
      <c r="Q32" s="39">
        <v>0</v>
      </c>
    </row>
    <row r="33" spans="2:17">
      <c r="B33" s="51"/>
      <c r="C33" t="s">
        <v>26</v>
      </c>
      <c r="D33" s="33">
        <v>203125</v>
      </c>
      <c r="E33" s="25">
        <v>0.2</v>
      </c>
      <c r="F33" s="2">
        <v>162500</v>
      </c>
      <c r="G33" s="2">
        <v>0</v>
      </c>
      <c r="H33" s="2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</row>
    <row r="34" spans="2:17">
      <c r="B34" s="51"/>
      <c r="C34" t="s">
        <v>27</v>
      </c>
      <c r="D34" s="33">
        <v>397500</v>
      </c>
      <c r="E34" s="25">
        <v>0.2</v>
      </c>
      <c r="F34" s="2">
        <v>318000</v>
      </c>
      <c r="G34" s="2">
        <v>0</v>
      </c>
      <c r="H34" s="2">
        <v>0</v>
      </c>
      <c r="I34" s="39"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9">
        <v>0</v>
      </c>
      <c r="P34" s="39">
        <v>0</v>
      </c>
      <c r="Q34" s="39">
        <v>0</v>
      </c>
    </row>
    <row r="35" spans="2:17">
      <c r="B35" s="51" t="s">
        <v>28</v>
      </c>
      <c r="C35" s="51"/>
      <c r="D35" s="2"/>
      <c r="F35" s="2"/>
      <c r="G35" s="2"/>
      <c r="H35" s="2"/>
      <c r="I35" s="39"/>
      <c r="J35" s="39"/>
      <c r="K35" s="39"/>
      <c r="L35" s="39"/>
      <c r="M35" s="39"/>
      <c r="N35" s="39"/>
      <c r="O35" s="39"/>
      <c r="P35" s="39"/>
      <c r="Q35" s="39"/>
    </row>
    <row r="36" spans="2:17">
      <c r="B36" s="51"/>
      <c r="C36" s="51" t="s">
        <v>29</v>
      </c>
      <c r="D36" s="33">
        <v>180000</v>
      </c>
      <c r="E36" s="25">
        <v>0.2</v>
      </c>
      <c r="F36" s="2"/>
      <c r="G36" s="2">
        <v>72000</v>
      </c>
      <c r="H36" s="2">
        <v>72000</v>
      </c>
      <c r="I36" s="39">
        <v>0</v>
      </c>
      <c r="J36" s="39">
        <v>0</v>
      </c>
      <c r="K36" s="39">
        <v>0</v>
      </c>
      <c r="L36" s="39">
        <v>0</v>
      </c>
      <c r="M36" s="39">
        <v>0</v>
      </c>
      <c r="N36" s="39">
        <v>0</v>
      </c>
      <c r="O36" s="39">
        <v>0</v>
      </c>
      <c r="P36" s="39">
        <v>0</v>
      </c>
      <c r="Q36" s="39">
        <v>0</v>
      </c>
    </row>
    <row r="37" spans="2:17">
      <c r="B37" s="51"/>
      <c r="C37" s="51" t="s">
        <v>30</v>
      </c>
      <c r="D37" s="33">
        <v>357500</v>
      </c>
      <c r="E37" s="25">
        <v>0.2</v>
      </c>
      <c r="F37" s="2">
        <v>95333.333333333328</v>
      </c>
      <c r="G37" s="2">
        <v>95333.333333333328</v>
      </c>
      <c r="H37" s="2">
        <v>95333.333333333328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39">
        <v>0</v>
      </c>
      <c r="Q37" s="39">
        <v>0</v>
      </c>
    </row>
    <row r="38" spans="2:17">
      <c r="B38" s="51"/>
      <c r="C38" s="51" t="s">
        <v>31</v>
      </c>
      <c r="D38" s="33">
        <v>265000</v>
      </c>
      <c r="E38" s="25">
        <v>0.2</v>
      </c>
      <c r="F38" s="2">
        <v>70666.666666666672</v>
      </c>
      <c r="G38" s="2">
        <v>70666.666666666672</v>
      </c>
      <c r="H38" s="2">
        <v>70666.666666666672</v>
      </c>
      <c r="I38" s="39">
        <v>0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</row>
    <row r="39" spans="2:17">
      <c r="B39" s="51"/>
      <c r="C39" s="51" t="s">
        <v>32</v>
      </c>
      <c r="D39" s="33">
        <v>262500</v>
      </c>
      <c r="E39" s="25">
        <v>0.25</v>
      </c>
      <c r="F39" s="2">
        <v>65625</v>
      </c>
      <c r="G39" s="2">
        <v>65625</v>
      </c>
      <c r="H39" s="2">
        <v>65625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</row>
    <row r="40" spans="2:17">
      <c r="B40" s="51"/>
      <c r="C40" s="51" t="s">
        <v>33</v>
      </c>
      <c r="D40" s="33">
        <v>120000</v>
      </c>
      <c r="E40" s="25">
        <v>0.2</v>
      </c>
      <c r="F40" s="2">
        <v>32000</v>
      </c>
      <c r="G40" s="2">
        <v>32000</v>
      </c>
      <c r="H40" s="2">
        <v>32000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</row>
    <row r="41" spans="2:17">
      <c r="B41" s="51" t="s">
        <v>34</v>
      </c>
      <c r="C41" s="51"/>
      <c r="D41" s="2"/>
      <c r="F41" s="2"/>
      <c r="G41" s="2"/>
      <c r="H41" s="2"/>
      <c r="I41" s="39"/>
      <c r="J41" s="39"/>
      <c r="K41" s="39"/>
      <c r="L41" s="39"/>
      <c r="M41" s="39"/>
      <c r="N41" s="39"/>
      <c r="O41" s="39"/>
      <c r="P41" s="39"/>
      <c r="Q41" s="39"/>
    </row>
    <row r="42" spans="2:17">
      <c r="B42" s="51"/>
      <c r="C42" s="51" t="s">
        <v>35</v>
      </c>
      <c r="D42" s="33">
        <v>120000</v>
      </c>
      <c r="E42" s="25">
        <v>0.2</v>
      </c>
      <c r="F42" s="2">
        <v>32000</v>
      </c>
      <c r="G42" s="2">
        <v>32000</v>
      </c>
      <c r="H42" s="2">
        <v>32000</v>
      </c>
      <c r="I42" s="39">
        <v>0</v>
      </c>
      <c r="J42" s="39">
        <v>0</v>
      </c>
      <c r="K42" s="39">
        <v>0</v>
      </c>
      <c r="L42" s="39">
        <v>0</v>
      </c>
      <c r="M42" s="39">
        <v>0</v>
      </c>
      <c r="N42" s="39">
        <v>0</v>
      </c>
      <c r="O42" s="39">
        <v>0</v>
      </c>
      <c r="P42" s="39">
        <v>0</v>
      </c>
      <c r="Q42" s="39">
        <v>0</v>
      </c>
    </row>
    <row r="43" spans="2:17">
      <c r="B43" s="51"/>
      <c r="C43" s="51" t="s">
        <v>36</v>
      </c>
      <c r="D43" s="33">
        <v>120000</v>
      </c>
      <c r="E43" s="25">
        <v>0.2</v>
      </c>
      <c r="F43" s="2">
        <v>32000</v>
      </c>
      <c r="G43" s="2">
        <v>32000</v>
      </c>
      <c r="H43" s="2">
        <v>32000</v>
      </c>
      <c r="I43" s="39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</row>
    <row r="44" spans="2:17">
      <c r="B44" s="51"/>
      <c r="C44" t="s">
        <v>37</v>
      </c>
      <c r="D44" s="33">
        <v>72500</v>
      </c>
      <c r="E44" s="25">
        <v>0.2</v>
      </c>
      <c r="F44" s="2">
        <v>19333.333333333332</v>
      </c>
      <c r="G44" s="2">
        <v>19333.333333333332</v>
      </c>
      <c r="H44" s="2">
        <v>19333.333333333332</v>
      </c>
      <c r="I44" s="39">
        <v>0</v>
      </c>
      <c r="J44" s="39">
        <v>0</v>
      </c>
      <c r="K44" s="39">
        <v>0</v>
      </c>
      <c r="L44" s="39">
        <v>0</v>
      </c>
      <c r="M44" s="39">
        <v>0</v>
      </c>
      <c r="N44" s="39">
        <v>0</v>
      </c>
      <c r="O44" s="39">
        <v>0</v>
      </c>
      <c r="P44" s="39">
        <v>0</v>
      </c>
      <c r="Q44" s="39">
        <v>0</v>
      </c>
    </row>
    <row r="45" spans="2:17">
      <c r="C45" s="51"/>
      <c r="D45" s="2"/>
      <c r="F45" s="2"/>
      <c r="G45" s="2"/>
      <c r="H45" s="2"/>
      <c r="I45" s="39"/>
      <c r="J45" s="39"/>
      <c r="K45" s="39"/>
      <c r="L45" s="39"/>
      <c r="M45" s="39"/>
      <c r="N45" s="39"/>
      <c r="O45" s="39"/>
      <c r="P45" s="39"/>
      <c r="Q45" s="39"/>
    </row>
    <row r="46" spans="2:17">
      <c r="B46" t="s">
        <v>38</v>
      </c>
      <c r="D46" s="33">
        <v>475597.55</v>
      </c>
      <c r="E46" s="25">
        <v>1</v>
      </c>
      <c r="F46" s="2">
        <v>0</v>
      </c>
      <c r="G46" s="2">
        <v>0</v>
      </c>
      <c r="H46" s="2">
        <v>0</v>
      </c>
      <c r="I46" s="39">
        <v>0</v>
      </c>
      <c r="J46" s="39">
        <v>0</v>
      </c>
      <c r="K46" s="39">
        <v>0</v>
      </c>
      <c r="L46" s="39">
        <v>0</v>
      </c>
      <c r="M46" s="39">
        <v>0</v>
      </c>
      <c r="N46" s="39">
        <v>0</v>
      </c>
      <c r="O46" s="39">
        <v>0</v>
      </c>
      <c r="P46" s="39">
        <v>0</v>
      </c>
      <c r="Q46" s="39">
        <v>0</v>
      </c>
    </row>
    <row r="47" spans="2:17">
      <c r="B47" t="s">
        <v>39</v>
      </c>
      <c r="C47" s="51"/>
      <c r="D47" s="33">
        <v>100000</v>
      </c>
      <c r="E47" s="25">
        <v>0.2</v>
      </c>
      <c r="F47" s="2">
        <v>26666.666666666668</v>
      </c>
      <c r="G47" s="2">
        <v>26666.666666666668</v>
      </c>
      <c r="H47" s="2">
        <v>26666.666666666668</v>
      </c>
      <c r="I47" s="39">
        <v>0</v>
      </c>
      <c r="J47" s="39">
        <v>0</v>
      </c>
      <c r="K47" s="39">
        <v>0</v>
      </c>
      <c r="L47" s="39">
        <v>0</v>
      </c>
      <c r="M47" s="39">
        <v>0</v>
      </c>
      <c r="N47" s="39">
        <v>0</v>
      </c>
      <c r="O47" s="39">
        <v>0</v>
      </c>
      <c r="P47" s="39">
        <v>0</v>
      </c>
      <c r="Q47" s="39">
        <v>0</v>
      </c>
    </row>
    <row r="48" spans="2:17">
      <c r="B48" t="s">
        <v>40</v>
      </c>
      <c r="C48" s="51"/>
      <c r="D48" s="33">
        <v>70000</v>
      </c>
      <c r="E48" s="25">
        <v>0.2</v>
      </c>
      <c r="F48" s="2">
        <v>18666.666666666668</v>
      </c>
      <c r="G48" s="2">
        <v>18666.666666666668</v>
      </c>
      <c r="H48" s="2">
        <v>18666.666666666668</v>
      </c>
      <c r="I48" s="39">
        <v>0</v>
      </c>
      <c r="J48" s="39">
        <v>0</v>
      </c>
      <c r="K48" s="39">
        <v>0</v>
      </c>
      <c r="L48" s="39">
        <v>0</v>
      </c>
      <c r="M48" s="39">
        <v>0</v>
      </c>
      <c r="N48" s="39">
        <v>0</v>
      </c>
      <c r="O48" s="39">
        <v>0</v>
      </c>
      <c r="P48" s="39">
        <v>0</v>
      </c>
      <c r="Q48" s="39">
        <v>0</v>
      </c>
    </row>
    <row r="49" spans="1:17">
      <c r="D49" s="2"/>
    </row>
    <row r="50" spans="1:17">
      <c r="A50" s="3"/>
      <c r="B50" s="3"/>
      <c r="C50" s="41" t="s">
        <v>41</v>
      </c>
      <c r="D50" s="42">
        <v>7290597.5499999998</v>
      </c>
      <c r="E50" s="43">
        <v>0.74601223873617861</v>
      </c>
      <c r="F50" s="42">
        <v>3228958.333333333</v>
      </c>
      <c r="G50" s="42">
        <v>1227958.3333333333</v>
      </c>
      <c r="H50" s="42">
        <v>981958.33333333326</v>
      </c>
      <c r="I50" s="41"/>
      <c r="J50" s="41"/>
      <c r="K50" s="41"/>
      <c r="L50" s="41"/>
      <c r="M50" s="41"/>
      <c r="N50" s="42"/>
      <c r="O50" s="41"/>
      <c r="P50" s="41"/>
      <c r="Q50" s="41"/>
    </row>
    <row r="52" spans="1:17">
      <c r="A52" s="6" t="s">
        <v>42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</row>
    <row r="53" spans="1:17">
      <c r="B53" t="s">
        <v>43</v>
      </c>
    </row>
    <row r="54" spans="1:17">
      <c r="A54" s="24" t="s">
        <v>44</v>
      </c>
      <c r="C54" t="s">
        <v>45</v>
      </c>
    </row>
    <row r="55" spans="1:17">
      <c r="A55" s="24"/>
      <c r="C55" t="s">
        <v>46</v>
      </c>
      <c r="D55" s="31">
        <v>10000</v>
      </c>
    </row>
    <row r="56" spans="1:17">
      <c r="A56" s="24"/>
      <c r="C56" t="s">
        <v>47</v>
      </c>
      <c r="D56" s="31">
        <v>150</v>
      </c>
    </row>
    <row r="57" spans="1:17">
      <c r="A57" s="24"/>
      <c r="C57" s="37" t="s">
        <v>48</v>
      </c>
      <c r="D57" s="38">
        <v>1500000</v>
      </c>
      <c r="E57" s="37"/>
      <c r="F57" s="38">
        <v>375000</v>
      </c>
      <c r="G57" s="38">
        <v>375000</v>
      </c>
      <c r="H57" s="38">
        <v>375000</v>
      </c>
      <c r="I57" s="38">
        <v>375000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40">
        <v>0</v>
      </c>
      <c r="Q57" s="40">
        <v>0</v>
      </c>
    </row>
    <row r="58" spans="1:17">
      <c r="A58" s="24"/>
    </row>
    <row r="59" spans="1:17">
      <c r="B59" t="s">
        <v>49</v>
      </c>
    </row>
    <row r="60" spans="1:17">
      <c r="A60" s="24" t="s">
        <v>44</v>
      </c>
      <c r="C60" t="s">
        <v>50</v>
      </c>
      <c r="D60" s="33">
        <v>313500</v>
      </c>
      <c r="E60" s="25">
        <v>0.2</v>
      </c>
      <c r="F60" s="2">
        <v>83600</v>
      </c>
      <c r="G60" s="2">
        <v>83600</v>
      </c>
      <c r="H60" s="2">
        <v>83600</v>
      </c>
      <c r="I60" s="39">
        <v>0</v>
      </c>
      <c r="J60" s="39">
        <v>0</v>
      </c>
      <c r="K60" s="39">
        <v>0</v>
      </c>
      <c r="L60" s="39">
        <v>0</v>
      </c>
      <c r="M60" s="39">
        <v>0</v>
      </c>
      <c r="N60" s="39">
        <v>0</v>
      </c>
      <c r="O60" s="39">
        <v>0</v>
      </c>
      <c r="P60" s="39">
        <v>0</v>
      </c>
      <c r="Q60" s="39">
        <v>0</v>
      </c>
    </row>
    <row r="61" spans="1:17">
      <c r="A61" s="24" t="s">
        <v>44</v>
      </c>
      <c r="C61" t="s">
        <v>51</v>
      </c>
      <c r="D61" s="33">
        <v>121875</v>
      </c>
      <c r="E61" s="25">
        <v>0.2</v>
      </c>
      <c r="F61" s="2">
        <v>32500</v>
      </c>
      <c r="G61" s="2">
        <v>32500</v>
      </c>
      <c r="H61" s="2">
        <v>32500</v>
      </c>
      <c r="I61" s="39">
        <v>0</v>
      </c>
      <c r="J61" s="39">
        <v>0</v>
      </c>
      <c r="K61" s="39">
        <v>0</v>
      </c>
      <c r="L61" s="39">
        <v>0</v>
      </c>
      <c r="M61" s="39">
        <v>0</v>
      </c>
      <c r="N61" s="39">
        <v>0</v>
      </c>
      <c r="O61" s="39">
        <v>0</v>
      </c>
      <c r="P61" s="39">
        <v>0</v>
      </c>
      <c r="Q61" s="39">
        <v>0</v>
      </c>
    </row>
    <row r="62" spans="1:17">
      <c r="C62" t="s">
        <v>52</v>
      </c>
      <c r="D62" s="33">
        <v>393750</v>
      </c>
      <c r="E62" s="25">
        <v>0.2</v>
      </c>
      <c r="F62" s="2">
        <v>315000</v>
      </c>
      <c r="G62" s="2"/>
      <c r="H62" s="2"/>
      <c r="I62" s="2" t="s">
        <v>53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C63" t="s">
        <v>54</v>
      </c>
      <c r="D63" s="33">
        <v>737500</v>
      </c>
      <c r="E63" s="25">
        <v>0.5</v>
      </c>
      <c r="F63" s="2">
        <v>122916.66666666667</v>
      </c>
      <c r="G63" s="2">
        <v>122916.66666666667</v>
      </c>
      <c r="H63" s="2">
        <v>122916.66666666667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C64" t="s">
        <v>55</v>
      </c>
      <c r="D64" s="33">
        <v>300000</v>
      </c>
      <c r="E64" s="25">
        <v>0.2</v>
      </c>
      <c r="F64" s="2">
        <v>80000</v>
      </c>
      <c r="G64" s="2">
        <v>80000</v>
      </c>
      <c r="H64" s="2">
        <v>80000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C65" t="s">
        <v>56</v>
      </c>
      <c r="D65" s="33">
        <v>812500</v>
      </c>
      <c r="E65" s="25">
        <v>0.4</v>
      </c>
      <c r="F65" s="2">
        <v>162500</v>
      </c>
      <c r="G65" s="2">
        <v>162500</v>
      </c>
      <c r="H65" s="2">
        <v>162500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C66" t="s">
        <v>57</v>
      </c>
      <c r="D66" s="33">
        <v>293125</v>
      </c>
      <c r="E66" s="25">
        <v>0.2</v>
      </c>
      <c r="F66" s="2">
        <v>78166.666666666672</v>
      </c>
      <c r="G66" s="2">
        <v>78166.666666666672</v>
      </c>
      <c r="H66" s="2">
        <v>78166.666666666672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</row>
    <row r="67" spans="1:17">
      <c r="C67" t="s">
        <v>58</v>
      </c>
      <c r="D67" s="33">
        <v>93750</v>
      </c>
      <c r="E67" s="25">
        <v>0.2</v>
      </c>
      <c r="F67" s="2">
        <v>25000</v>
      </c>
      <c r="G67" s="2">
        <v>25000</v>
      </c>
      <c r="H67" s="2">
        <v>25000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</row>
    <row r="68" spans="1:17">
      <c r="C68" t="s">
        <v>59</v>
      </c>
      <c r="D68" s="33">
        <v>100000</v>
      </c>
      <c r="E68" s="25">
        <v>0.2</v>
      </c>
      <c r="F68" s="2">
        <v>26666.666666666668</v>
      </c>
      <c r="G68" s="2">
        <v>26666.666666666668</v>
      </c>
      <c r="H68" s="2">
        <v>26666.666666666668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</row>
    <row r="69" spans="1:17">
      <c r="C69" t="s">
        <v>60</v>
      </c>
      <c r="D69" s="33">
        <v>31250</v>
      </c>
      <c r="E69" s="25">
        <v>0.2</v>
      </c>
      <c r="F69" s="2">
        <v>8333.3333333333339</v>
      </c>
      <c r="G69" s="2">
        <v>8333.3333333333339</v>
      </c>
      <c r="H69" s="2">
        <v>8333.3333333333339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</row>
    <row r="71" spans="1:17">
      <c r="C71" s="37" t="s">
        <v>61</v>
      </c>
      <c r="D71" s="38">
        <v>3197250</v>
      </c>
      <c r="E71" s="37"/>
      <c r="F71" s="38">
        <v>934683.33333333326</v>
      </c>
      <c r="G71" s="38">
        <v>619683.33333333337</v>
      </c>
      <c r="H71" s="38">
        <v>619683.33333333337</v>
      </c>
      <c r="I71" s="38">
        <v>0</v>
      </c>
      <c r="J71" s="38">
        <v>0</v>
      </c>
      <c r="K71" s="38">
        <v>0</v>
      </c>
      <c r="L71" s="38">
        <v>0</v>
      </c>
      <c r="M71" s="38">
        <v>0</v>
      </c>
      <c r="N71" s="38">
        <v>0</v>
      </c>
      <c r="O71" s="38">
        <v>0</v>
      </c>
      <c r="P71" s="38">
        <v>0</v>
      </c>
      <c r="Q71" s="38">
        <v>0</v>
      </c>
    </row>
    <row r="72" spans="1:17">
      <c r="F72" s="2"/>
      <c r="G72" s="2"/>
      <c r="H72" s="2"/>
      <c r="N72" s="2"/>
    </row>
    <row r="73" spans="1:17">
      <c r="A73" s="3"/>
      <c r="B73" s="3"/>
      <c r="C73" s="41" t="s">
        <v>62</v>
      </c>
      <c r="D73" s="42">
        <v>3674050</v>
      </c>
      <c r="E73" s="41"/>
      <c r="F73" s="42">
        <v>1309683.3333333333</v>
      </c>
      <c r="G73" s="42">
        <v>994683.33333333337</v>
      </c>
      <c r="H73" s="42">
        <v>994683.33333333337</v>
      </c>
      <c r="I73" s="42">
        <v>375000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0</v>
      </c>
    </row>
    <row r="74" spans="1:17">
      <c r="F74" s="2"/>
      <c r="G74" s="2"/>
      <c r="H74" s="2"/>
      <c r="N74" s="2"/>
    </row>
    <row r="75" spans="1:17">
      <c r="A75" s="6" t="s">
        <v>63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28"/>
      <c r="P75" s="28"/>
      <c r="Q75" s="28"/>
    </row>
    <row r="76" spans="1:17">
      <c r="B76" s="3" t="s">
        <v>1</v>
      </c>
      <c r="C76" s="3" t="s">
        <v>5</v>
      </c>
      <c r="D76" s="3" t="s">
        <v>6</v>
      </c>
      <c r="E76" s="3" t="s">
        <v>7</v>
      </c>
      <c r="F76" s="3">
        <v>1</v>
      </c>
      <c r="G76" s="3">
        <v>2</v>
      </c>
      <c r="H76" s="3">
        <v>3</v>
      </c>
      <c r="I76" s="3">
        <v>4</v>
      </c>
      <c r="J76" s="3">
        <v>5</v>
      </c>
      <c r="K76" s="3">
        <v>6</v>
      </c>
      <c r="L76" s="3">
        <v>7</v>
      </c>
      <c r="M76" s="3">
        <v>8</v>
      </c>
      <c r="N76" s="3">
        <v>9</v>
      </c>
      <c r="O76" s="3">
        <v>10</v>
      </c>
      <c r="P76" s="3">
        <v>11</v>
      </c>
      <c r="Q76" s="3">
        <v>12</v>
      </c>
    </row>
    <row r="77" spans="1:17">
      <c r="B77" t="s">
        <v>64</v>
      </c>
      <c r="F77" s="2"/>
      <c r="G77" s="2"/>
      <c r="H77" s="2"/>
      <c r="N77" s="2"/>
    </row>
    <row r="78" spans="1:17">
      <c r="C78" t="s">
        <v>65</v>
      </c>
      <c r="D78" s="5">
        <v>2000</v>
      </c>
      <c r="F78" s="2">
        <v>2000</v>
      </c>
      <c r="G78" s="2">
        <v>2000</v>
      </c>
      <c r="H78" s="2">
        <v>2000</v>
      </c>
      <c r="I78" s="2">
        <v>2000</v>
      </c>
      <c r="J78" s="2">
        <v>2000</v>
      </c>
      <c r="K78" s="2">
        <v>2000</v>
      </c>
      <c r="L78" s="2">
        <v>2000</v>
      </c>
      <c r="M78" s="2">
        <v>2000</v>
      </c>
      <c r="N78" s="2">
        <v>0</v>
      </c>
      <c r="O78" s="2">
        <v>0</v>
      </c>
      <c r="P78" s="2">
        <v>0</v>
      </c>
      <c r="Q78" s="2">
        <v>0</v>
      </c>
    </row>
    <row r="79" spans="1:17">
      <c r="C79" t="s">
        <v>66</v>
      </c>
      <c r="D79" s="5">
        <v>2500</v>
      </c>
      <c r="F79" s="2">
        <v>2500</v>
      </c>
      <c r="G79" s="2">
        <v>2500</v>
      </c>
      <c r="H79" s="2">
        <v>2500</v>
      </c>
      <c r="I79" s="2">
        <v>2500</v>
      </c>
      <c r="J79" s="2">
        <v>2500</v>
      </c>
      <c r="K79" s="2">
        <v>2500</v>
      </c>
      <c r="L79" s="2">
        <v>2500</v>
      </c>
      <c r="M79" s="2">
        <v>2500</v>
      </c>
      <c r="N79" s="2">
        <v>0</v>
      </c>
      <c r="O79" s="2">
        <v>0</v>
      </c>
      <c r="P79" s="2">
        <v>0</v>
      </c>
      <c r="Q79" s="2">
        <v>0</v>
      </c>
    </row>
    <row r="80" spans="1:17">
      <c r="C80" t="s">
        <v>67</v>
      </c>
      <c r="D80" s="5">
        <v>2000</v>
      </c>
      <c r="F80" s="2">
        <v>2000</v>
      </c>
      <c r="G80" s="2">
        <v>2000</v>
      </c>
      <c r="H80" s="2">
        <v>2000</v>
      </c>
      <c r="I80" s="2">
        <v>2000</v>
      </c>
      <c r="J80" s="2">
        <v>2000</v>
      </c>
      <c r="K80" s="2">
        <v>2000</v>
      </c>
      <c r="L80" s="2">
        <v>2000</v>
      </c>
      <c r="M80" s="2">
        <v>2000</v>
      </c>
      <c r="N80" s="2">
        <v>0</v>
      </c>
      <c r="O80" s="2">
        <v>0</v>
      </c>
      <c r="P80" s="2">
        <v>0</v>
      </c>
      <c r="Q80" s="2">
        <v>0</v>
      </c>
    </row>
    <row r="81" spans="2:17">
      <c r="C81" t="s">
        <v>68</v>
      </c>
      <c r="D81" s="5">
        <v>250</v>
      </c>
      <c r="F81" s="2">
        <v>250</v>
      </c>
      <c r="G81" s="2">
        <v>250</v>
      </c>
      <c r="H81" s="2">
        <v>250</v>
      </c>
      <c r="I81" s="2">
        <v>250</v>
      </c>
      <c r="J81" s="2">
        <v>250</v>
      </c>
      <c r="K81" s="2">
        <v>250</v>
      </c>
      <c r="L81" s="2">
        <v>250</v>
      </c>
      <c r="M81" s="2">
        <v>250</v>
      </c>
      <c r="N81" s="2">
        <v>0</v>
      </c>
      <c r="O81" s="2">
        <v>0</v>
      </c>
      <c r="P81" s="2">
        <v>0</v>
      </c>
      <c r="Q81" s="2">
        <v>0</v>
      </c>
    </row>
    <row r="82" spans="2:17">
      <c r="C82" t="s">
        <v>69</v>
      </c>
      <c r="D82" s="5">
        <v>1200</v>
      </c>
      <c r="F82" s="2">
        <v>1200</v>
      </c>
      <c r="G82" s="2">
        <v>1200</v>
      </c>
      <c r="H82" s="2">
        <v>1200</v>
      </c>
      <c r="I82" s="2">
        <v>1200</v>
      </c>
      <c r="J82" s="2">
        <v>1200</v>
      </c>
      <c r="K82" s="2">
        <v>1200</v>
      </c>
      <c r="L82" s="2">
        <v>1200</v>
      </c>
      <c r="M82" s="2">
        <v>1200</v>
      </c>
      <c r="N82" s="2">
        <v>0</v>
      </c>
      <c r="O82" s="2">
        <v>0</v>
      </c>
      <c r="P82" s="2">
        <v>0</v>
      </c>
      <c r="Q82" s="2">
        <v>0</v>
      </c>
    </row>
    <row r="83" spans="2:17">
      <c r="C83" t="s">
        <v>70</v>
      </c>
      <c r="D83" s="5">
        <v>37500</v>
      </c>
      <c r="F83" s="2">
        <v>37500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">
        <v>0</v>
      </c>
      <c r="O83" s="2">
        <v>0</v>
      </c>
      <c r="P83" s="2">
        <v>0</v>
      </c>
      <c r="Q83" s="2">
        <v>0</v>
      </c>
    </row>
    <row r="84" spans="2:17">
      <c r="F84" s="2"/>
      <c r="G84" s="2"/>
      <c r="H84" s="2"/>
      <c r="N84" s="2"/>
    </row>
    <row r="85" spans="2:17">
      <c r="C85" s="37" t="s">
        <v>71</v>
      </c>
      <c r="D85" s="38"/>
      <c r="E85" s="37"/>
      <c r="F85" s="38">
        <v>45450</v>
      </c>
      <c r="G85" s="38">
        <v>7950</v>
      </c>
      <c r="H85" s="38">
        <v>7950</v>
      </c>
      <c r="I85" s="38">
        <v>7950</v>
      </c>
      <c r="J85" s="38">
        <v>7950</v>
      </c>
      <c r="K85" s="38">
        <v>7950</v>
      </c>
      <c r="L85" s="38">
        <v>7950</v>
      </c>
      <c r="M85" s="38">
        <v>7950</v>
      </c>
      <c r="N85" s="38">
        <v>0</v>
      </c>
      <c r="O85" s="38">
        <v>0</v>
      </c>
      <c r="P85" s="38">
        <v>0</v>
      </c>
      <c r="Q85" s="38">
        <v>0</v>
      </c>
    </row>
    <row r="86" spans="2:17">
      <c r="D86" s="2"/>
      <c r="F86" s="2"/>
      <c r="G86" s="2"/>
      <c r="H86" s="2"/>
      <c r="N86" s="2"/>
    </row>
    <row r="87" spans="2:17">
      <c r="B87" t="s">
        <v>72</v>
      </c>
      <c r="F87" s="2"/>
      <c r="G87" s="2"/>
      <c r="H87" s="2"/>
      <c r="N87" s="2"/>
    </row>
    <row r="88" spans="2:17">
      <c r="C88" t="s">
        <v>73</v>
      </c>
      <c r="D88" s="5">
        <v>5000</v>
      </c>
      <c r="F88" s="2">
        <v>5000</v>
      </c>
      <c r="G88" s="2">
        <v>5000</v>
      </c>
      <c r="H88" s="2">
        <v>5000</v>
      </c>
      <c r="I88" s="2">
        <v>5000</v>
      </c>
      <c r="J88" s="2">
        <v>5000</v>
      </c>
      <c r="K88" s="2">
        <v>5000</v>
      </c>
      <c r="L88" s="2">
        <v>5000</v>
      </c>
      <c r="M88" s="2">
        <v>5000</v>
      </c>
      <c r="N88" s="2">
        <v>0</v>
      </c>
      <c r="O88" s="2">
        <v>0</v>
      </c>
      <c r="P88" s="2">
        <v>0</v>
      </c>
      <c r="Q88" s="2">
        <v>0</v>
      </c>
    </row>
    <row r="89" spans="2:17">
      <c r="C89" t="s">
        <v>74</v>
      </c>
      <c r="D89" s="5">
        <v>6000</v>
      </c>
      <c r="F89" s="2">
        <v>12000</v>
      </c>
      <c r="G89" s="2">
        <v>6000</v>
      </c>
      <c r="H89" s="2">
        <v>6000</v>
      </c>
      <c r="I89" s="2">
        <v>6000</v>
      </c>
      <c r="J89" s="2">
        <v>6000</v>
      </c>
      <c r="K89" s="2">
        <v>6000</v>
      </c>
      <c r="L89" s="2">
        <v>6000</v>
      </c>
      <c r="M89" s="2">
        <v>6000</v>
      </c>
      <c r="N89" s="2">
        <v>6000</v>
      </c>
      <c r="O89" s="2">
        <v>6000</v>
      </c>
      <c r="P89" s="2">
        <v>6000</v>
      </c>
      <c r="Q89" s="2">
        <v>6000</v>
      </c>
    </row>
    <row r="90" spans="2:17">
      <c r="C90" t="s">
        <v>75</v>
      </c>
      <c r="D90" s="5">
        <v>20000</v>
      </c>
      <c r="F90" s="2">
        <v>20000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</row>
    <row r="91" spans="2:17">
      <c r="C91" t="s">
        <v>76</v>
      </c>
      <c r="D91" s="5">
        <v>1000</v>
      </c>
      <c r="F91" s="2">
        <v>1000</v>
      </c>
      <c r="G91" s="2">
        <v>1000</v>
      </c>
      <c r="H91" s="2">
        <v>1000</v>
      </c>
      <c r="I91" s="2">
        <v>1000</v>
      </c>
      <c r="J91" s="2">
        <v>1000</v>
      </c>
      <c r="K91" s="2">
        <v>1000</v>
      </c>
      <c r="L91" s="2">
        <v>1000</v>
      </c>
      <c r="M91" s="2">
        <v>1000</v>
      </c>
      <c r="N91" s="2">
        <v>0</v>
      </c>
      <c r="O91" s="2">
        <v>0</v>
      </c>
      <c r="P91" s="2">
        <v>0</v>
      </c>
      <c r="Q91" s="2">
        <v>0</v>
      </c>
    </row>
    <row r="92" spans="2:17">
      <c r="C92" t="s">
        <v>77</v>
      </c>
      <c r="D92" s="5">
        <v>5000</v>
      </c>
      <c r="F92" s="2">
        <v>5000</v>
      </c>
      <c r="G92" s="2">
        <v>5000</v>
      </c>
      <c r="H92" s="2">
        <v>5000</v>
      </c>
      <c r="I92" s="2">
        <v>5000</v>
      </c>
      <c r="J92" s="2">
        <v>5000</v>
      </c>
      <c r="K92" s="2">
        <v>5000</v>
      </c>
      <c r="L92" s="2">
        <v>5000</v>
      </c>
      <c r="M92" s="2">
        <v>5000</v>
      </c>
      <c r="N92" s="2">
        <v>0</v>
      </c>
      <c r="O92" s="2">
        <v>0</v>
      </c>
      <c r="P92" s="2">
        <v>0</v>
      </c>
      <c r="Q92" s="2">
        <v>0</v>
      </c>
    </row>
    <row r="93" spans="2:17">
      <c r="C93" t="s">
        <v>78</v>
      </c>
      <c r="D93" s="5">
        <v>3000</v>
      </c>
      <c r="F93" s="2">
        <v>3000</v>
      </c>
      <c r="G93" s="2">
        <v>3000</v>
      </c>
      <c r="H93" s="2">
        <v>3000</v>
      </c>
      <c r="I93" s="2">
        <v>3000</v>
      </c>
      <c r="J93" s="2">
        <v>3000</v>
      </c>
      <c r="K93" s="2">
        <v>3000</v>
      </c>
      <c r="L93" s="2">
        <v>3000</v>
      </c>
      <c r="M93" s="2">
        <v>3000</v>
      </c>
      <c r="N93" s="2">
        <v>0</v>
      </c>
      <c r="O93" s="2">
        <v>0</v>
      </c>
      <c r="P93" s="2">
        <v>0</v>
      </c>
      <c r="Q93" s="2">
        <v>0</v>
      </c>
    </row>
    <row r="94" spans="2:17">
      <c r="F94" s="2"/>
      <c r="G94" s="2"/>
      <c r="H94" s="2"/>
      <c r="N94" s="2"/>
    </row>
    <row r="95" spans="2:17">
      <c r="C95" s="37" t="s">
        <v>79</v>
      </c>
      <c r="D95" s="37"/>
      <c r="E95" s="37"/>
      <c r="F95" s="38">
        <v>46000</v>
      </c>
      <c r="G95" s="38">
        <v>20000</v>
      </c>
      <c r="H95" s="38">
        <v>20000</v>
      </c>
      <c r="I95" s="38">
        <v>20000</v>
      </c>
      <c r="J95" s="38">
        <v>20000</v>
      </c>
      <c r="K95" s="38">
        <v>20000</v>
      </c>
      <c r="L95" s="38">
        <v>20000</v>
      </c>
      <c r="M95" s="38">
        <v>20000</v>
      </c>
      <c r="N95" s="38">
        <v>6000</v>
      </c>
      <c r="O95" s="38">
        <v>6000</v>
      </c>
      <c r="P95" s="38">
        <v>6000</v>
      </c>
      <c r="Q95" s="38">
        <v>6000</v>
      </c>
    </row>
    <row r="96" spans="2:17">
      <c r="F96" s="2"/>
      <c r="G96" s="2"/>
      <c r="H96" s="2"/>
      <c r="N96" s="2"/>
    </row>
    <row r="97" spans="1:17">
      <c r="B97" t="s">
        <v>80</v>
      </c>
      <c r="F97" s="2"/>
      <c r="G97" s="2"/>
      <c r="H97" s="2"/>
      <c r="N97" s="2"/>
    </row>
    <row r="98" spans="1:17">
      <c r="C98" t="s">
        <v>81</v>
      </c>
      <c r="D98" s="5">
        <v>350000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116666.66666666667</v>
      </c>
      <c r="L98" s="2">
        <v>116666.66666666667</v>
      </c>
      <c r="M98" s="2">
        <v>116666.66666666667</v>
      </c>
      <c r="N98" s="2">
        <v>0</v>
      </c>
      <c r="O98" s="2">
        <v>0</v>
      </c>
      <c r="P98" s="2">
        <v>0</v>
      </c>
      <c r="Q98" s="2">
        <v>0</v>
      </c>
    </row>
    <row r="99" spans="1:17">
      <c r="C99" t="s">
        <v>82</v>
      </c>
      <c r="D99" s="5">
        <v>11000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11000</v>
      </c>
      <c r="L99" s="27">
        <v>0</v>
      </c>
      <c r="M99" s="27">
        <v>0</v>
      </c>
      <c r="N99" s="2">
        <v>0</v>
      </c>
      <c r="O99" s="2">
        <v>0</v>
      </c>
      <c r="P99" s="2">
        <v>0</v>
      </c>
      <c r="Q99" s="2">
        <v>0</v>
      </c>
    </row>
    <row r="100" spans="1:17">
      <c r="C100" t="s">
        <v>83</v>
      </c>
      <c r="D100" s="5">
        <v>48400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48400</v>
      </c>
      <c r="L100" s="27">
        <v>0</v>
      </c>
      <c r="M100" s="27">
        <v>0</v>
      </c>
      <c r="N100" s="2">
        <v>0</v>
      </c>
      <c r="O100" s="2">
        <v>0</v>
      </c>
      <c r="P100" s="2">
        <v>0</v>
      </c>
      <c r="Q100" s="2">
        <v>0</v>
      </c>
    </row>
    <row r="101" spans="1:17">
      <c r="F101" s="2"/>
      <c r="G101" s="2"/>
      <c r="H101" s="2"/>
      <c r="N101" s="2"/>
      <c r="O101" s="2"/>
      <c r="P101" s="2"/>
      <c r="Q101" s="2"/>
    </row>
    <row r="102" spans="1:17">
      <c r="C102" s="37" t="s">
        <v>84</v>
      </c>
      <c r="D102" s="37"/>
      <c r="E102" s="37"/>
      <c r="F102" s="38">
        <v>0</v>
      </c>
      <c r="G102" s="38">
        <v>0</v>
      </c>
      <c r="H102" s="38">
        <v>0</v>
      </c>
      <c r="I102" s="38">
        <v>0</v>
      </c>
      <c r="J102" s="38">
        <v>0</v>
      </c>
      <c r="K102" s="38">
        <v>176066.66666666669</v>
      </c>
      <c r="L102" s="38">
        <v>116666.66666666667</v>
      </c>
      <c r="M102" s="38">
        <v>116666.66666666667</v>
      </c>
      <c r="N102" s="38">
        <v>0</v>
      </c>
      <c r="O102" s="38">
        <v>0</v>
      </c>
      <c r="P102" s="38">
        <v>0</v>
      </c>
      <c r="Q102" s="38">
        <v>0</v>
      </c>
    </row>
    <row r="103" spans="1:17">
      <c r="F103" s="2"/>
      <c r="G103" s="2"/>
      <c r="H103" s="2"/>
      <c r="N103" s="2"/>
    </row>
    <row r="104" spans="1:17">
      <c r="A104" s="3"/>
      <c r="B104" s="3"/>
      <c r="C104" s="41" t="s">
        <v>85</v>
      </c>
      <c r="D104" s="41"/>
      <c r="E104" s="41"/>
      <c r="F104" s="42">
        <v>91450</v>
      </c>
      <c r="G104" s="42">
        <v>27950</v>
      </c>
      <c r="H104" s="42">
        <v>27950</v>
      </c>
      <c r="I104" s="42">
        <v>27950</v>
      </c>
      <c r="J104" s="42">
        <v>27950</v>
      </c>
      <c r="K104" s="42">
        <v>204016.66666666669</v>
      </c>
      <c r="L104" s="42">
        <v>144616.66666666669</v>
      </c>
      <c r="M104" s="42">
        <v>144616.66666666669</v>
      </c>
      <c r="N104" s="42">
        <v>6000</v>
      </c>
      <c r="O104" s="42">
        <v>6000</v>
      </c>
      <c r="P104" s="42">
        <v>6000</v>
      </c>
      <c r="Q104" s="42">
        <v>6000</v>
      </c>
    </row>
    <row r="105" spans="1:17">
      <c r="F105" s="2"/>
      <c r="G105" s="2"/>
      <c r="H105" s="2"/>
      <c r="N105" s="2"/>
    </row>
    <row r="106" spans="1:17">
      <c r="A106" s="6" t="s">
        <v>86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28"/>
      <c r="P106" s="28"/>
      <c r="Q106" s="28"/>
    </row>
    <row r="107" spans="1:17">
      <c r="B107" s="3" t="s">
        <v>1</v>
      </c>
      <c r="C107" s="3" t="s">
        <v>5</v>
      </c>
      <c r="D107" s="3" t="s">
        <v>6</v>
      </c>
      <c r="E107" s="3" t="s">
        <v>7</v>
      </c>
      <c r="F107" s="3">
        <v>1</v>
      </c>
      <c r="G107" s="3">
        <v>2</v>
      </c>
      <c r="H107" s="3">
        <v>3</v>
      </c>
      <c r="I107" s="3">
        <v>4</v>
      </c>
      <c r="J107" s="3">
        <v>5</v>
      </c>
      <c r="K107" s="3">
        <v>6</v>
      </c>
      <c r="L107" s="3">
        <v>7</v>
      </c>
      <c r="M107" s="3">
        <v>8</v>
      </c>
      <c r="N107" s="2"/>
    </row>
    <row r="108" spans="1:17">
      <c r="B108" t="s">
        <v>87</v>
      </c>
      <c r="F108" s="2"/>
      <c r="G108" s="2"/>
      <c r="H108" s="2"/>
      <c r="N108" s="2"/>
    </row>
    <row r="109" spans="1:17">
      <c r="C109" t="s">
        <v>88</v>
      </c>
      <c r="D109" s="32">
        <v>1000</v>
      </c>
      <c r="F109" s="2">
        <v>1000</v>
      </c>
      <c r="G109" s="2">
        <v>1000</v>
      </c>
      <c r="H109" s="2">
        <v>1000</v>
      </c>
      <c r="I109" s="2">
        <v>1000</v>
      </c>
      <c r="J109" s="2">
        <v>1000</v>
      </c>
      <c r="K109" s="2">
        <v>1000</v>
      </c>
      <c r="L109" s="2">
        <v>1000</v>
      </c>
      <c r="M109" s="2">
        <v>1000</v>
      </c>
      <c r="N109" s="2">
        <v>0</v>
      </c>
      <c r="O109" s="2">
        <v>0</v>
      </c>
      <c r="P109" s="2">
        <v>0</v>
      </c>
      <c r="Q109" s="2">
        <v>0</v>
      </c>
    </row>
    <row r="110" spans="1:17">
      <c r="B110" t="s">
        <v>89</v>
      </c>
      <c r="F110" s="2"/>
      <c r="G110" s="2"/>
      <c r="H110" s="2"/>
      <c r="N110" s="2"/>
    </row>
    <row r="111" spans="1:17">
      <c r="C111" t="s">
        <v>90</v>
      </c>
      <c r="D111" s="32">
        <v>1000</v>
      </c>
      <c r="F111" s="2">
        <v>1000</v>
      </c>
      <c r="G111" s="2">
        <v>1000</v>
      </c>
      <c r="H111" s="2">
        <v>1000</v>
      </c>
      <c r="I111" s="2">
        <v>1000</v>
      </c>
      <c r="J111" s="2">
        <v>1000</v>
      </c>
      <c r="K111" s="2">
        <v>1000</v>
      </c>
      <c r="L111" s="2">
        <v>1000</v>
      </c>
      <c r="M111" s="2">
        <v>1000</v>
      </c>
      <c r="N111" s="2">
        <v>0</v>
      </c>
      <c r="O111" s="2">
        <v>0</v>
      </c>
      <c r="P111" s="2">
        <v>0</v>
      </c>
      <c r="Q111" s="2">
        <v>0</v>
      </c>
    </row>
    <row r="112" spans="1:17">
      <c r="B112" t="s">
        <v>91</v>
      </c>
      <c r="F112" s="2"/>
      <c r="G112" s="2"/>
      <c r="H112" s="2"/>
      <c r="N112" s="2"/>
    </row>
    <row r="113" spans="1:17">
      <c r="C113" t="s">
        <v>92</v>
      </c>
      <c r="D113" s="5">
        <v>5000</v>
      </c>
      <c r="F113" s="2">
        <v>85000</v>
      </c>
      <c r="G113" s="27">
        <v>0</v>
      </c>
      <c r="H113" s="2">
        <v>0</v>
      </c>
      <c r="I113" s="2">
        <v>0</v>
      </c>
      <c r="J113" s="2">
        <v>5000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</row>
    <row r="114" spans="1:17">
      <c r="C114" t="s">
        <v>93</v>
      </c>
      <c r="D114" s="5">
        <v>150</v>
      </c>
      <c r="F114" s="2">
        <v>2550</v>
      </c>
      <c r="G114" s="2">
        <v>2550</v>
      </c>
      <c r="H114" s="2">
        <v>2550</v>
      </c>
      <c r="I114" s="2">
        <v>2550</v>
      </c>
      <c r="J114" s="2">
        <v>2550</v>
      </c>
      <c r="K114" s="2">
        <v>2550</v>
      </c>
      <c r="L114" s="2">
        <v>2550</v>
      </c>
      <c r="M114" s="2">
        <v>2550</v>
      </c>
      <c r="N114" s="2">
        <v>0</v>
      </c>
      <c r="O114" s="2">
        <v>0</v>
      </c>
      <c r="P114" s="2">
        <v>0</v>
      </c>
      <c r="Q114" s="2">
        <v>0</v>
      </c>
    </row>
    <row r="115" spans="1:17">
      <c r="B115" t="s">
        <v>94</v>
      </c>
      <c r="F115" s="2"/>
      <c r="G115" s="2"/>
      <c r="H115" s="2"/>
      <c r="N115" s="2"/>
    </row>
    <row r="116" spans="1:17">
      <c r="C116" t="s">
        <v>95</v>
      </c>
      <c r="D116" s="5">
        <v>275000</v>
      </c>
      <c r="F116" s="2">
        <v>275000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</row>
    <row r="117" spans="1:17">
      <c r="F117" s="2"/>
      <c r="G117" s="2"/>
      <c r="H117" s="2"/>
      <c r="N117" s="2"/>
    </row>
    <row r="118" spans="1:17">
      <c r="C118" s="35" t="s">
        <v>96</v>
      </c>
      <c r="D118" s="35"/>
      <c r="E118" s="35"/>
      <c r="F118" s="36">
        <v>364550</v>
      </c>
      <c r="G118" s="36">
        <v>4550</v>
      </c>
      <c r="H118" s="36">
        <v>4550</v>
      </c>
      <c r="I118" s="36">
        <v>4550</v>
      </c>
      <c r="J118" s="36">
        <v>9550</v>
      </c>
      <c r="K118" s="36">
        <v>4550</v>
      </c>
      <c r="L118" s="36">
        <v>4550</v>
      </c>
      <c r="M118" s="36">
        <v>4550</v>
      </c>
      <c r="N118" s="36">
        <v>0</v>
      </c>
      <c r="O118" s="36">
        <v>0</v>
      </c>
      <c r="P118" s="36">
        <v>0</v>
      </c>
      <c r="Q118" s="36">
        <v>0</v>
      </c>
    </row>
    <row r="120" spans="1:17">
      <c r="A120" s="6" t="s">
        <v>97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1:17">
      <c r="B121" s="3" t="s">
        <v>1</v>
      </c>
      <c r="C121" s="3" t="s">
        <v>98</v>
      </c>
      <c r="D121" s="3" t="s">
        <v>47</v>
      </c>
      <c r="E121" s="3" t="s">
        <v>7</v>
      </c>
      <c r="F121" s="3">
        <v>1</v>
      </c>
      <c r="G121" s="3">
        <v>2</v>
      </c>
      <c r="H121" s="3">
        <v>3</v>
      </c>
      <c r="I121" s="3">
        <v>4</v>
      </c>
      <c r="J121" s="3">
        <v>5</v>
      </c>
      <c r="K121" s="3">
        <v>6</v>
      </c>
      <c r="L121" s="3">
        <v>7</v>
      </c>
      <c r="M121" s="3">
        <v>8</v>
      </c>
    </row>
    <row r="122" spans="1:17">
      <c r="B122" s="26" t="s">
        <v>99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7">
      <c r="C123" t="s">
        <v>100</v>
      </c>
      <c r="D123" s="31">
        <v>300</v>
      </c>
      <c r="E123" s="25">
        <v>0.5</v>
      </c>
      <c r="F123" s="2">
        <v>25995</v>
      </c>
      <c r="G123" s="2">
        <v>25995</v>
      </c>
      <c r="H123" s="2">
        <v>25995</v>
      </c>
      <c r="I123" s="2">
        <v>25995</v>
      </c>
      <c r="J123" s="2">
        <v>25995</v>
      </c>
      <c r="K123" s="2">
        <v>25995</v>
      </c>
      <c r="L123" s="2">
        <v>25995</v>
      </c>
      <c r="M123" s="2">
        <v>25995</v>
      </c>
      <c r="N123" s="2">
        <v>0</v>
      </c>
      <c r="O123" s="2">
        <v>0</v>
      </c>
      <c r="P123" s="2">
        <v>0</v>
      </c>
      <c r="Q123" s="2">
        <v>0</v>
      </c>
    </row>
    <row r="124" spans="1:17">
      <c r="C124" t="s">
        <v>100</v>
      </c>
      <c r="D124" s="31">
        <v>300</v>
      </c>
      <c r="E124" s="25">
        <v>0.5</v>
      </c>
      <c r="F124" s="2">
        <v>25995</v>
      </c>
      <c r="G124" s="2">
        <v>25995</v>
      </c>
      <c r="H124" s="2">
        <v>25995</v>
      </c>
      <c r="I124" s="2">
        <v>25995</v>
      </c>
      <c r="J124" s="2">
        <v>25995</v>
      </c>
      <c r="K124" s="2">
        <v>25995</v>
      </c>
      <c r="L124" s="2">
        <v>25995</v>
      </c>
      <c r="M124" s="2">
        <v>25995</v>
      </c>
      <c r="N124" s="2">
        <v>0</v>
      </c>
      <c r="O124" s="2">
        <v>0</v>
      </c>
      <c r="P124" s="2">
        <v>0</v>
      </c>
      <c r="Q124" s="2">
        <v>0</v>
      </c>
    </row>
    <row r="125" spans="1:17">
      <c r="C125" t="s">
        <v>101</v>
      </c>
      <c r="D125" s="31">
        <v>250</v>
      </c>
      <c r="E125" s="25">
        <v>0.5</v>
      </c>
      <c r="F125" s="2">
        <v>21662.5</v>
      </c>
      <c r="G125" s="2">
        <v>21662.5</v>
      </c>
      <c r="H125" s="2">
        <v>21662.5</v>
      </c>
      <c r="I125" s="2">
        <v>21662.5</v>
      </c>
      <c r="J125" s="2">
        <v>21662.5</v>
      </c>
      <c r="K125" s="2">
        <v>21662.5</v>
      </c>
      <c r="L125" s="2">
        <v>21662.5</v>
      </c>
      <c r="M125" s="2">
        <v>21662.5</v>
      </c>
      <c r="N125" s="2">
        <v>0</v>
      </c>
      <c r="O125" s="2">
        <v>0</v>
      </c>
      <c r="P125" s="2">
        <v>0</v>
      </c>
      <c r="Q125" s="2">
        <v>0</v>
      </c>
    </row>
    <row r="126" spans="1:17">
      <c r="C126" t="s">
        <v>102</v>
      </c>
      <c r="D126" s="31">
        <v>180</v>
      </c>
      <c r="E126" s="25">
        <v>0.5</v>
      </c>
      <c r="F126" s="2">
        <v>15597.000000000002</v>
      </c>
      <c r="G126" s="2">
        <v>15597.000000000002</v>
      </c>
      <c r="H126" s="2">
        <v>15597.000000000002</v>
      </c>
      <c r="I126" s="2">
        <v>15597.000000000002</v>
      </c>
      <c r="J126" s="2">
        <v>15597.000000000002</v>
      </c>
      <c r="K126" s="2">
        <v>15597.000000000002</v>
      </c>
      <c r="L126" s="2">
        <v>15597.000000000002</v>
      </c>
      <c r="M126" s="2">
        <v>15597.000000000002</v>
      </c>
      <c r="N126" s="2">
        <v>0</v>
      </c>
      <c r="O126" s="2">
        <v>0</v>
      </c>
      <c r="P126" s="2">
        <v>0</v>
      </c>
      <c r="Q126" s="2">
        <v>0</v>
      </c>
    </row>
    <row r="127" spans="1:17">
      <c r="B127" s="3"/>
      <c r="C127" t="s">
        <v>103</v>
      </c>
      <c r="D127" s="31">
        <v>150</v>
      </c>
      <c r="E127" s="25">
        <v>0.5</v>
      </c>
      <c r="F127" s="2">
        <v>12997.5</v>
      </c>
      <c r="G127" s="2">
        <v>12997.5</v>
      </c>
      <c r="H127" s="2">
        <v>12997.5</v>
      </c>
      <c r="I127" s="2">
        <v>12997.5</v>
      </c>
      <c r="J127" s="2">
        <v>12997.5</v>
      </c>
      <c r="K127" s="2">
        <v>12997.5</v>
      </c>
      <c r="L127" s="2">
        <v>12997.5</v>
      </c>
      <c r="M127" s="2">
        <v>12997.5</v>
      </c>
      <c r="N127" s="2">
        <v>0</v>
      </c>
      <c r="O127" s="2">
        <v>0</v>
      </c>
      <c r="P127" s="2">
        <v>0</v>
      </c>
      <c r="Q127" s="2">
        <v>0</v>
      </c>
    </row>
    <row r="128" spans="1:17">
      <c r="C128" t="s">
        <v>104</v>
      </c>
      <c r="D128" s="31">
        <v>90</v>
      </c>
      <c r="E128" s="25">
        <v>0.3</v>
      </c>
      <c r="F128" s="2">
        <v>10917.900000000001</v>
      </c>
      <c r="G128" s="2">
        <v>10917.900000000001</v>
      </c>
      <c r="H128" s="2">
        <v>10917.900000000001</v>
      </c>
      <c r="I128" s="2">
        <v>10917.900000000001</v>
      </c>
      <c r="J128" s="2">
        <v>10917.900000000001</v>
      </c>
      <c r="K128" s="2">
        <v>10917.900000000001</v>
      </c>
      <c r="L128" s="2">
        <v>10917.900000000001</v>
      </c>
      <c r="M128" s="2">
        <v>10917.900000000001</v>
      </c>
      <c r="N128" s="2">
        <v>0</v>
      </c>
      <c r="O128" s="2">
        <v>0</v>
      </c>
      <c r="P128" s="2">
        <v>0</v>
      </c>
      <c r="Q128" s="2">
        <v>0</v>
      </c>
    </row>
    <row r="129" spans="2:17">
      <c r="C129" t="s">
        <v>105</v>
      </c>
      <c r="D129" s="31">
        <v>125</v>
      </c>
      <c r="E129" s="25">
        <v>0.5</v>
      </c>
      <c r="F129" s="2">
        <v>10831.25</v>
      </c>
      <c r="G129" s="2">
        <v>10831.25</v>
      </c>
      <c r="H129" s="2">
        <v>10831.25</v>
      </c>
      <c r="I129" s="2">
        <v>10831.25</v>
      </c>
      <c r="J129" s="2">
        <v>10831.25</v>
      </c>
      <c r="K129" s="2">
        <v>10831.25</v>
      </c>
      <c r="L129" s="2">
        <v>10831.25</v>
      </c>
      <c r="M129" s="2">
        <v>10831.25</v>
      </c>
      <c r="N129" s="2">
        <v>0</v>
      </c>
      <c r="O129" s="2">
        <v>0</v>
      </c>
      <c r="P129" s="2">
        <v>0</v>
      </c>
      <c r="Q129" s="2">
        <v>0</v>
      </c>
    </row>
    <row r="130" spans="2:17">
      <c r="C130" t="s">
        <v>106</v>
      </c>
      <c r="D130" s="31">
        <v>170</v>
      </c>
      <c r="E130" s="25">
        <v>0.5</v>
      </c>
      <c r="F130" s="2">
        <v>14730.500000000002</v>
      </c>
      <c r="G130" s="2">
        <v>14730.500000000002</v>
      </c>
      <c r="H130" s="2">
        <v>14730.500000000002</v>
      </c>
      <c r="I130" s="2">
        <v>14730.500000000002</v>
      </c>
      <c r="J130" s="2">
        <v>14730.500000000002</v>
      </c>
      <c r="K130" s="2">
        <v>14730.500000000002</v>
      </c>
      <c r="L130" s="2">
        <v>14730.500000000002</v>
      </c>
      <c r="M130" s="2">
        <v>14730.500000000002</v>
      </c>
      <c r="N130" s="2">
        <v>0</v>
      </c>
      <c r="O130" s="2">
        <v>0</v>
      </c>
      <c r="P130" s="2">
        <v>0</v>
      </c>
      <c r="Q130" s="2">
        <v>0</v>
      </c>
    </row>
    <row r="131" spans="2:17">
      <c r="C131" t="s">
        <v>107</v>
      </c>
      <c r="D131" s="31">
        <v>150</v>
      </c>
      <c r="E131" s="25">
        <v>0.3</v>
      </c>
      <c r="F131" s="2">
        <v>18196.5</v>
      </c>
      <c r="G131" s="2">
        <v>18196.5</v>
      </c>
      <c r="H131" s="2">
        <v>18196.5</v>
      </c>
      <c r="I131" s="2">
        <v>18196.5</v>
      </c>
      <c r="J131" s="2">
        <v>18196.5</v>
      </c>
      <c r="K131" s="2">
        <v>18196.5</v>
      </c>
      <c r="L131" s="2">
        <v>18196.5</v>
      </c>
      <c r="M131" s="2">
        <v>18196.5</v>
      </c>
      <c r="N131" s="2">
        <v>0</v>
      </c>
      <c r="O131" s="2">
        <v>0</v>
      </c>
      <c r="P131" s="2">
        <v>0</v>
      </c>
      <c r="Q131" s="2">
        <v>0</v>
      </c>
    </row>
    <row r="132" spans="2:17">
      <c r="C132" t="s">
        <v>108</v>
      </c>
      <c r="D132" s="31">
        <v>150</v>
      </c>
      <c r="E132" s="25">
        <v>0.3</v>
      </c>
      <c r="F132" s="2">
        <v>18196.5</v>
      </c>
      <c r="G132" s="2">
        <v>18196.5</v>
      </c>
      <c r="H132" s="2">
        <v>18196.5</v>
      </c>
      <c r="I132" s="2">
        <v>18196.5</v>
      </c>
      <c r="J132" s="2">
        <v>18196.5</v>
      </c>
      <c r="K132" s="2">
        <v>18196.5</v>
      </c>
      <c r="L132" s="2">
        <v>18196.5</v>
      </c>
      <c r="M132" s="2">
        <v>18196.5</v>
      </c>
      <c r="N132" s="2">
        <v>0</v>
      </c>
      <c r="O132" s="2">
        <v>0</v>
      </c>
      <c r="P132" s="2">
        <v>0</v>
      </c>
      <c r="Q132" s="2">
        <v>0</v>
      </c>
    </row>
    <row r="133" spans="2:17">
      <c r="C133" s="1" t="s">
        <v>109</v>
      </c>
      <c r="D133" s="31">
        <v>200</v>
      </c>
      <c r="E133" s="25">
        <v>0.3</v>
      </c>
      <c r="F133" s="2">
        <v>24262</v>
      </c>
      <c r="G133" s="2">
        <v>24262</v>
      </c>
      <c r="H133" s="2">
        <v>24262</v>
      </c>
      <c r="I133" s="2">
        <v>24262</v>
      </c>
      <c r="J133" s="2">
        <v>24262</v>
      </c>
      <c r="K133" s="2">
        <v>24262</v>
      </c>
      <c r="L133" s="2">
        <v>24262</v>
      </c>
      <c r="M133" s="2">
        <v>24262</v>
      </c>
      <c r="N133" s="2">
        <v>0</v>
      </c>
      <c r="O133" s="2">
        <v>0</v>
      </c>
      <c r="P133" s="2">
        <v>0</v>
      </c>
      <c r="Q133" s="2">
        <v>0</v>
      </c>
    </row>
    <row r="134" spans="2:17">
      <c r="C134" t="s">
        <v>110</v>
      </c>
      <c r="D134" s="31">
        <v>125</v>
      </c>
      <c r="E134" s="25">
        <v>0</v>
      </c>
      <c r="F134" s="2">
        <v>21662.5</v>
      </c>
      <c r="G134" s="2">
        <v>21662.5</v>
      </c>
      <c r="H134" s="2">
        <v>21662.5</v>
      </c>
      <c r="I134" s="2">
        <v>21662.5</v>
      </c>
      <c r="J134" s="2">
        <v>21662.5</v>
      </c>
      <c r="K134" s="2">
        <v>21662.5</v>
      </c>
      <c r="L134" s="2">
        <v>21662.5</v>
      </c>
      <c r="M134" s="2">
        <v>21662.5</v>
      </c>
      <c r="N134" s="2">
        <v>0</v>
      </c>
      <c r="O134" s="2">
        <v>0</v>
      </c>
      <c r="P134" s="2">
        <v>0</v>
      </c>
      <c r="Q134" s="2">
        <v>0</v>
      </c>
    </row>
    <row r="135" spans="2:17">
      <c r="C135" t="s">
        <v>111</v>
      </c>
      <c r="D135" s="31">
        <v>80</v>
      </c>
      <c r="E135" s="25">
        <v>0</v>
      </c>
      <c r="F135" s="2">
        <v>13864</v>
      </c>
      <c r="G135" s="2">
        <v>13864</v>
      </c>
      <c r="H135" s="2">
        <v>13864</v>
      </c>
      <c r="I135" s="2">
        <v>13864</v>
      </c>
      <c r="J135" s="2">
        <v>13864</v>
      </c>
      <c r="K135" s="2">
        <v>13864</v>
      </c>
      <c r="L135" s="2">
        <v>13864</v>
      </c>
      <c r="M135" s="2">
        <v>13864</v>
      </c>
      <c r="N135" s="2">
        <v>0</v>
      </c>
      <c r="O135" s="2">
        <v>0</v>
      </c>
      <c r="P135" s="2">
        <v>0</v>
      </c>
      <c r="Q135" s="2">
        <v>0</v>
      </c>
    </row>
    <row r="136" spans="2:17">
      <c r="C136" t="s">
        <v>112</v>
      </c>
      <c r="D136" s="31">
        <v>80</v>
      </c>
      <c r="E136" s="25">
        <v>0</v>
      </c>
      <c r="F136" s="2">
        <v>13864</v>
      </c>
      <c r="G136" s="2">
        <v>13864</v>
      </c>
      <c r="H136" s="2">
        <v>13864</v>
      </c>
      <c r="I136" s="2">
        <v>13864</v>
      </c>
      <c r="J136" s="2">
        <v>13864</v>
      </c>
      <c r="K136" s="2">
        <v>13864</v>
      </c>
      <c r="L136" s="2">
        <v>13864</v>
      </c>
      <c r="M136" s="2">
        <v>13864</v>
      </c>
      <c r="N136" s="2">
        <v>0</v>
      </c>
      <c r="O136" s="2">
        <v>0</v>
      </c>
      <c r="P136" s="2">
        <v>0</v>
      </c>
      <c r="Q136" s="2">
        <v>0</v>
      </c>
    </row>
    <row r="137" spans="2:17">
      <c r="C137" t="s">
        <v>113</v>
      </c>
      <c r="D137" s="31">
        <v>80</v>
      </c>
      <c r="E137" s="25">
        <v>0</v>
      </c>
      <c r="F137" s="2">
        <v>13864</v>
      </c>
      <c r="G137" s="2">
        <v>13864</v>
      </c>
      <c r="H137" s="2">
        <v>13864</v>
      </c>
      <c r="I137" s="2">
        <v>13864</v>
      </c>
      <c r="J137" s="2">
        <v>13864</v>
      </c>
      <c r="K137" s="2">
        <v>13864</v>
      </c>
      <c r="L137" s="2">
        <v>13864</v>
      </c>
      <c r="M137" s="2">
        <v>13864</v>
      </c>
      <c r="N137" s="2">
        <v>0</v>
      </c>
      <c r="O137" s="2">
        <v>0</v>
      </c>
      <c r="P137" s="2">
        <v>0</v>
      </c>
      <c r="Q137" s="2">
        <v>0</v>
      </c>
    </row>
    <row r="138" spans="2:17">
      <c r="C138" t="s">
        <v>114</v>
      </c>
      <c r="D138" s="31">
        <v>80</v>
      </c>
      <c r="E138" s="25">
        <v>0</v>
      </c>
      <c r="F138" s="2">
        <v>13864</v>
      </c>
      <c r="G138" s="2">
        <v>13864</v>
      </c>
      <c r="H138" s="2">
        <v>13864</v>
      </c>
      <c r="I138" s="2">
        <v>13864</v>
      </c>
      <c r="J138" s="2">
        <v>13864</v>
      </c>
      <c r="K138" s="2">
        <v>13864</v>
      </c>
      <c r="L138" s="2">
        <v>13864</v>
      </c>
      <c r="M138" s="2">
        <v>13864</v>
      </c>
      <c r="N138" s="2">
        <v>0</v>
      </c>
      <c r="O138" s="2">
        <v>0</v>
      </c>
      <c r="P138" s="2">
        <v>0</v>
      </c>
      <c r="Q138" s="2">
        <v>0</v>
      </c>
    </row>
    <row r="139" spans="2:17">
      <c r="C139" t="s">
        <v>115</v>
      </c>
      <c r="D139" s="31">
        <v>80</v>
      </c>
      <c r="E139" s="25">
        <v>0</v>
      </c>
      <c r="F139" s="2">
        <v>0</v>
      </c>
      <c r="G139" s="2">
        <v>0</v>
      </c>
      <c r="H139" s="2">
        <v>0</v>
      </c>
      <c r="I139" s="2">
        <v>0</v>
      </c>
      <c r="J139" s="2">
        <v>13864</v>
      </c>
      <c r="K139" s="2">
        <v>13864</v>
      </c>
      <c r="L139" s="2">
        <v>13864</v>
      </c>
      <c r="M139" s="2">
        <v>13864</v>
      </c>
      <c r="N139" s="2">
        <v>0</v>
      </c>
      <c r="O139" s="2">
        <v>0</v>
      </c>
      <c r="P139" s="2">
        <v>0</v>
      </c>
      <c r="Q139" s="2">
        <v>0</v>
      </c>
    </row>
    <row r="140" spans="2:17"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2:17">
      <c r="C141" s="37" t="s">
        <v>116</v>
      </c>
      <c r="D141" s="37"/>
      <c r="E141" s="37"/>
      <c r="F141" s="38">
        <v>276500.15000000002</v>
      </c>
      <c r="G141" s="38">
        <v>276500.15000000002</v>
      </c>
      <c r="H141" s="38">
        <v>276500.15000000002</v>
      </c>
      <c r="I141" s="38">
        <v>276500.15000000002</v>
      </c>
      <c r="J141" s="38">
        <v>290364.15000000002</v>
      </c>
      <c r="K141" s="38">
        <v>290364.15000000002</v>
      </c>
      <c r="L141" s="38">
        <v>290364.15000000002</v>
      </c>
      <c r="M141" s="38">
        <v>290364.15000000002</v>
      </c>
      <c r="N141" s="38">
        <v>0</v>
      </c>
      <c r="O141" s="38">
        <v>0</v>
      </c>
      <c r="P141" s="38">
        <v>0</v>
      </c>
      <c r="Q141" s="38">
        <v>0</v>
      </c>
    </row>
    <row r="142" spans="2:17"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2:17">
      <c r="B143" t="s">
        <v>117</v>
      </c>
      <c r="N143" s="2"/>
      <c r="O143" s="2"/>
      <c r="P143" s="2"/>
      <c r="Q143" s="2"/>
    </row>
    <row r="144" spans="2:17">
      <c r="C144" t="s">
        <v>118</v>
      </c>
      <c r="D144" s="29">
        <v>3.4000000000000002E-2</v>
      </c>
      <c r="F144" s="2">
        <v>9401.0051000000021</v>
      </c>
      <c r="G144" s="2">
        <v>9401.0051000000021</v>
      </c>
      <c r="H144" s="2">
        <v>9401.0051000000021</v>
      </c>
      <c r="I144" s="2">
        <v>9401.0051000000021</v>
      </c>
      <c r="J144" s="2">
        <v>9872.3811000000023</v>
      </c>
      <c r="K144" s="2">
        <v>9872.3811000000023</v>
      </c>
      <c r="L144" s="2">
        <v>9872.3811000000023</v>
      </c>
      <c r="M144" s="2">
        <v>9872.3811000000023</v>
      </c>
      <c r="N144" s="2">
        <v>0</v>
      </c>
      <c r="O144" s="2">
        <v>0</v>
      </c>
      <c r="P144" s="2">
        <v>0</v>
      </c>
      <c r="Q144" s="2">
        <v>0</v>
      </c>
    </row>
    <row r="145" spans="3:17">
      <c r="C145" t="s">
        <v>119</v>
      </c>
      <c r="D145" s="30">
        <v>0.05</v>
      </c>
      <c r="F145" s="2">
        <v>13825.007500000002</v>
      </c>
      <c r="G145" s="2">
        <v>13825.007500000002</v>
      </c>
      <c r="H145" s="2">
        <v>13825.007500000002</v>
      </c>
      <c r="I145" s="2">
        <v>13825.007500000002</v>
      </c>
      <c r="J145" s="2">
        <v>14518.207500000002</v>
      </c>
      <c r="K145" s="2">
        <v>14518.207500000002</v>
      </c>
      <c r="L145" s="2">
        <v>14518.207500000002</v>
      </c>
      <c r="M145" s="2">
        <v>14518.207500000002</v>
      </c>
      <c r="N145" s="2">
        <v>0</v>
      </c>
      <c r="O145" s="2">
        <v>0</v>
      </c>
      <c r="P145" s="2">
        <v>0</v>
      </c>
      <c r="Q145" s="2">
        <v>0</v>
      </c>
    </row>
    <row r="146" spans="3:17">
      <c r="C146" t="s">
        <v>120</v>
      </c>
      <c r="D146" s="30">
        <v>0.14000000000000001</v>
      </c>
      <c r="F146" s="2">
        <v>38710.021000000008</v>
      </c>
      <c r="G146" s="2">
        <v>38710.021000000008</v>
      </c>
      <c r="H146" s="2">
        <v>38710.021000000008</v>
      </c>
      <c r="I146" s="2">
        <v>38710.021000000008</v>
      </c>
      <c r="J146" s="2">
        <v>40650.981000000007</v>
      </c>
      <c r="K146" s="2">
        <v>40650.981000000007</v>
      </c>
      <c r="L146" s="2">
        <v>40650.981000000007</v>
      </c>
      <c r="M146" s="2">
        <v>40650.981000000007</v>
      </c>
      <c r="N146" s="2">
        <v>0</v>
      </c>
      <c r="O146" s="2">
        <v>0</v>
      </c>
      <c r="P146" s="2">
        <v>0</v>
      </c>
      <c r="Q146" s="2">
        <v>0</v>
      </c>
    </row>
    <row r="147" spans="3:17">
      <c r="N147" s="2"/>
      <c r="O147" s="2"/>
      <c r="P147" s="2"/>
      <c r="Q147" s="2"/>
    </row>
    <row r="148" spans="3:17">
      <c r="C148" s="37" t="s">
        <v>121</v>
      </c>
      <c r="D148" s="37"/>
      <c r="E148" s="37"/>
      <c r="F148" s="38">
        <v>61936.03360000001</v>
      </c>
      <c r="G148" s="38">
        <v>61936.03360000001</v>
      </c>
      <c r="H148" s="38">
        <v>61936.03360000001</v>
      </c>
      <c r="I148" s="38">
        <v>61936.03360000001</v>
      </c>
      <c r="J148" s="38">
        <v>65041.56960000001</v>
      </c>
      <c r="K148" s="38">
        <v>65041.56960000001</v>
      </c>
      <c r="L148" s="38">
        <v>65041.56960000001</v>
      </c>
      <c r="M148" s="38">
        <v>65041.56960000001</v>
      </c>
      <c r="N148" s="38">
        <v>0</v>
      </c>
      <c r="O148" s="38">
        <v>0</v>
      </c>
      <c r="P148" s="38">
        <v>0</v>
      </c>
      <c r="Q148" s="38">
        <v>0</v>
      </c>
    </row>
    <row r="149" spans="3:17">
      <c r="N149" s="2"/>
      <c r="O149" s="2"/>
      <c r="P149" s="2"/>
      <c r="Q149" s="2"/>
    </row>
    <row r="150" spans="3:17">
      <c r="C150" s="35" t="s">
        <v>122</v>
      </c>
      <c r="D150" s="35"/>
      <c r="E150" s="35"/>
      <c r="F150" s="36">
        <v>338436.18360000005</v>
      </c>
      <c r="G150" s="36">
        <v>338436.18360000005</v>
      </c>
      <c r="H150" s="36">
        <v>338436.18360000005</v>
      </c>
      <c r="I150" s="36">
        <v>338436.18360000005</v>
      </c>
      <c r="J150" s="36">
        <v>355405.71960000001</v>
      </c>
      <c r="K150" s="36">
        <v>355405.71960000001</v>
      </c>
      <c r="L150" s="36">
        <v>355405.71960000001</v>
      </c>
      <c r="M150" s="36">
        <v>355405.71960000001</v>
      </c>
      <c r="N150" s="36">
        <v>0</v>
      </c>
      <c r="O150" s="36">
        <v>0</v>
      </c>
      <c r="P150" s="36">
        <v>0</v>
      </c>
      <c r="Q150" s="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3B8DE-A71D-402F-BC73-BAC4ACDBAA5F}">
  <sheetPr>
    <tabColor rgb="FF002060"/>
  </sheetPr>
  <dimension ref="A1:BN348"/>
  <sheetViews>
    <sheetView workbookViewId="0">
      <selection activeCell="F160" sqref="F160"/>
    </sheetView>
  </sheetViews>
  <sheetFormatPr defaultColWidth="9.140625" defaultRowHeight="15" outlineLevelRow="1"/>
  <cols>
    <col min="1" max="1" width="5.140625" style="4" customWidth="1"/>
    <col min="2" max="2" width="29.7109375" style="4" customWidth="1"/>
    <col min="3" max="3" width="5.140625" style="4" customWidth="1"/>
    <col min="4" max="4" width="6.28515625" style="4" customWidth="1"/>
    <col min="5" max="5" width="15.85546875" style="15" bestFit="1" customWidth="1"/>
    <col min="6" max="6" width="14.42578125" style="4" customWidth="1"/>
    <col min="7" max="7" width="16.85546875" style="4" customWidth="1"/>
    <col min="8" max="9" width="14.42578125" style="4" customWidth="1"/>
    <col min="10" max="11" width="13.85546875" style="4" customWidth="1"/>
    <col min="12" max="23" width="14.42578125" style="4" customWidth="1"/>
    <col min="24" max="65" width="15.28515625" style="4" customWidth="1"/>
    <col min="66" max="66" width="9.140625" style="4"/>
    <col min="67" max="67" width="11.140625" style="4" customWidth="1"/>
    <col min="68" max="16384" width="9.140625" style="4"/>
  </cols>
  <sheetData>
    <row r="1" spans="1:6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</row>
    <row r="2" spans="1:65">
      <c r="A2" s="51"/>
      <c r="B2" s="51"/>
      <c r="C2" s="51"/>
      <c r="D2" s="51"/>
      <c r="E2" s="53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</row>
    <row r="3" spans="1:65">
      <c r="A3" s="51"/>
      <c r="B3" s="51"/>
      <c r="C3" s="51"/>
      <c r="D3" s="51"/>
      <c r="E3" s="53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</row>
    <row r="4" spans="1:65">
      <c r="A4" s="3" t="str">
        <f>[1]ModelDescription!A4</f>
        <v>Economic Forecasting Model</v>
      </c>
      <c r="B4" s="51"/>
      <c r="C4" s="51"/>
      <c r="D4" s="51"/>
      <c r="E4" s="51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</row>
    <row r="5" spans="1:65">
      <c r="A5" s="3" t="str">
        <f>[1]ModelDescription!C6</f>
        <v>Oklahoma TDF Processing Site Economic Evaluation All Phase V4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</row>
    <row r="6" spans="1:65">
      <c r="A6" s="7"/>
      <c r="B6" s="7" t="s">
        <v>123</v>
      </c>
      <c r="C6" s="7"/>
      <c r="D6" s="7"/>
      <c r="E6" s="7"/>
      <c r="F6" s="8">
        <f>[1]Assumptions!B56</f>
        <v>1</v>
      </c>
      <c r="G6" s="8">
        <f>[1]Assumptions!C56</f>
        <v>2</v>
      </c>
      <c r="H6" s="8">
        <f>[1]Assumptions!D56</f>
        <v>3</v>
      </c>
      <c r="I6" s="8">
        <f>[1]Assumptions!E56</f>
        <v>4</v>
      </c>
      <c r="J6" s="8">
        <f>[1]Assumptions!F56</f>
        <v>5</v>
      </c>
      <c r="K6" s="8">
        <f>[1]Assumptions!G56</f>
        <v>6</v>
      </c>
      <c r="L6" s="8">
        <f>[1]Assumptions!H56</f>
        <v>7</v>
      </c>
      <c r="M6" s="8">
        <f>[1]Assumptions!I56</f>
        <v>8</v>
      </c>
      <c r="N6" s="8">
        <f>[1]Assumptions!J56</f>
        <v>9</v>
      </c>
      <c r="O6" s="8">
        <f>[1]Assumptions!K56</f>
        <v>10</v>
      </c>
      <c r="P6" s="8">
        <f>[1]Assumptions!L56</f>
        <v>11</v>
      </c>
      <c r="Q6" s="8">
        <f>[1]Assumptions!M56</f>
        <v>12</v>
      </c>
      <c r="R6" s="8">
        <f>[1]Assumptions!N56</f>
        <v>13</v>
      </c>
      <c r="S6" s="8">
        <f>[1]Assumptions!O56</f>
        <v>14</v>
      </c>
      <c r="T6" s="8">
        <f>[1]Assumptions!P56</f>
        <v>15</v>
      </c>
      <c r="U6" s="8">
        <f>[1]Assumptions!Q56</f>
        <v>16</v>
      </c>
      <c r="V6" s="8">
        <f>[1]Assumptions!R56</f>
        <v>17</v>
      </c>
      <c r="W6" s="8">
        <f>[1]Assumptions!S56</f>
        <v>18</v>
      </c>
      <c r="X6" s="8">
        <f>[1]Assumptions!T56</f>
        <v>19</v>
      </c>
      <c r="Y6" s="8">
        <f>[1]Assumptions!U56</f>
        <v>20</v>
      </c>
      <c r="Z6" s="8">
        <f>[1]Assumptions!V56</f>
        <v>21</v>
      </c>
      <c r="AA6" s="8">
        <f>[1]Assumptions!W56</f>
        <v>22</v>
      </c>
      <c r="AB6" s="8">
        <f>[1]Assumptions!X56</f>
        <v>23</v>
      </c>
      <c r="AC6" s="8">
        <f>[1]Assumptions!Y56</f>
        <v>24</v>
      </c>
      <c r="AD6" s="8">
        <f>[1]Assumptions!Z56</f>
        <v>25</v>
      </c>
      <c r="AE6" s="8">
        <f>[1]Assumptions!AA56</f>
        <v>26</v>
      </c>
      <c r="AF6" s="8">
        <f>[1]Assumptions!AB56</f>
        <v>27</v>
      </c>
      <c r="AG6" s="8">
        <f>[1]Assumptions!AC56</f>
        <v>28</v>
      </c>
      <c r="AH6" s="8">
        <f>[1]Assumptions!AD56</f>
        <v>29</v>
      </c>
      <c r="AI6" s="8">
        <f>[1]Assumptions!AE56</f>
        <v>30</v>
      </c>
      <c r="AJ6" s="8">
        <f>[1]Assumptions!AF56</f>
        <v>31</v>
      </c>
      <c r="AK6" s="8">
        <f>[1]Assumptions!AG56</f>
        <v>32</v>
      </c>
      <c r="AL6" s="8">
        <f>[1]Assumptions!AH56</f>
        <v>33</v>
      </c>
      <c r="AM6" s="8">
        <f>[1]Assumptions!AI56</f>
        <v>34</v>
      </c>
      <c r="AN6" s="8">
        <f>[1]Assumptions!AJ56</f>
        <v>35</v>
      </c>
      <c r="AO6" s="8">
        <f>[1]Assumptions!AK56</f>
        <v>36</v>
      </c>
      <c r="AP6" s="8">
        <f>[1]Assumptions!AL56</f>
        <v>37</v>
      </c>
      <c r="AQ6" s="8">
        <f>[1]Assumptions!AM56</f>
        <v>38</v>
      </c>
      <c r="AR6" s="8">
        <f>[1]Assumptions!AN56</f>
        <v>39</v>
      </c>
      <c r="AS6" s="8">
        <f>[1]Assumptions!AO56</f>
        <v>40</v>
      </c>
      <c r="AT6" s="8">
        <f>[1]Assumptions!AP56</f>
        <v>41</v>
      </c>
      <c r="AU6" s="8">
        <f>[1]Assumptions!AQ56</f>
        <v>42</v>
      </c>
      <c r="AV6" s="8">
        <f>[1]Assumptions!AR56</f>
        <v>43</v>
      </c>
      <c r="AW6" s="8">
        <f>[1]Assumptions!AS56</f>
        <v>44</v>
      </c>
      <c r="AX6" s="8">
        <f>[1]Assumptions!AT56</f>
        <v>45</v>
      </c>
      <c r="AY6" s="8">
        <f>[1]Assumptions!AU56</f>
        <v>46</v>
      </c>
      <c r="AZ6" s="8">
        <f>[1]Assumptions!AV56</f>
        <v>47</v>
      </c>
      <c r="BA6" s="8">
        <f>[1]Assumptions!AW56</f>
        <v>48</v>
      </c>
      <c r="BB6" s="8">
        <f>[1]Assumptions!AX56</f>
        <v>49</v>
      </c>
      <c r="BC6" s="8">
        <f>[1]Assumptions!AY56</f>
        <v>50</v>
      </c>
      <c r="BD6" s="8">
        <f>[1]Assumptions!AZ56</f>
        <v>51</v>
      </c>
      <c r="BE6" s="8">
        <f>[1]Assumptions!BA56</f>
        <v>52</v>
      </c>
      <c r="BF6" s="8">
        <f>[1]Assumptions!BB56</f>
        <v>53</v>
      </c>
      <c r="BG6" s="8">
        <f>[1]Assumptions!BC56</f>
        <v>54</v>
      </c>
      <c r="BH6" s="8">
        <f>[1]Assumptions!BD56</f>
        <v>55</v>
      </c>
      <c r="BI6" s="8">
        <f>[1]Assumptions!BE56</f>
        <v>56</v>
      </c>
      <c r="BJ6" s="8">
        <f>[1]Assumptions!BF56</f>
        <v>57</v>
      </c>
      <c r="BK6" s="8">
        <f>[1]Assumptions!BG56</f>
        <v>58</v>
      </c>
      <c r="BL6" s="8">
        <f>[1]Assumptions!BH56</f>
        <v>59</v>
      </c>
      <c r="BM6" s="8">
        <f>[1]Assumptions!BI56</f>
        <v>60</v>
      </c>
    </row>
    <row r="7" spans="1:65">
      <c r="A7" s="7"/>
      <c r="B7" s="7" t="s">
        <v>124</v>
      </c>
      <c r="C7" s="7"/>
      <c r="D7" s="7"/>
      <c r="E7" s="7"/>
      <c r="F7" s="8">
        <f>[1]Assumptions!B57</f>
        <v>2023</v>
      </c>
      <c r="G7" s="8">
        <f>[1]Assumptions!C57</f>
        <v>2023</v>
      </c>
      <c r="H7" s="8">
        <f>[1]Assumptions!D57</f>
        <v>2023</v>
      </c>
      <c r="I7" s="8">
        <f>[1]Assumptions!E57</f>
        <v>2024</v>
      </c>
      <c r="J7" s="8">
        <f>[1]Assumptions!F57</f>
        <v>2024</v>
      </c>
      <c r="K7" s="8">
        <f>[1]Assumptions!G57</f>
        <v>2024</v>
      </c>
      <c r="L7" s="8">
        <f>[1]Assumptions!H57</f>
        <v>2024</v>
      </c>
      <c r="M7" s="8">
        <f>[1]Assumptions!I57</f>
        <v>2024</v>
      </c>
      <c r="N7" s="8">
        <f>[1]Assumptions!J57</f>
        <v>2024</v>
      </c>
      <c r="O7" s="8">
        <f>[1]Assumptions!K57</f>
        <v>2024</v>
      </c>
      <c r="P7" s="8">
        <f>[1]Assumptions!L57</f>
        <v>2024</v>
      </c>
      <c r="Q7" s="8">
        <f>[1]Assumptions!M57</f>
        <v>2024</v>
      </c>
      <c r="R7" s="8">
        <f>[1]Assumptions!N57</f>
        <v>2024</v>
      </c>
      <c r="S7" s="8">
        <f>[1]Assumptions!O57</f>
        <v>2024</v>
      </c>
      <c r="T7" s="8">
        <f>[1]Assumptions!P57</f>
        <v>2024</v>
      </c>
      <c r="U7" s="8">
        <f>[1]Assumptions!Q57</f>
        <v>2025</v>
      </c>
      <c r="V7" s="8">
        <f>[1]Assumptions!R57</f>
        <v>2025</v>
      </c>
      <c r="W7" s="8">
        <f>[1]Assumptions!S57</f>
        <v>2025</v>
      </c>
      <c r="X7" s="8">
        <f>[1]Assumptions!T57</f>
        <v>2025</v>
      </c>
      <c r="Y7" s="8">
        <f>[1]Assumptions!U57</f>
        <v>2025</v>
      </c>
      <c r="Z7" s="8">
        <f>[1]Assumptions!V57</f>
        <v>2025</v>
      </c>
      <c r="AA7" s="8">
        <f>[1]Assumptions!W57</f>
        <v>2025</v>
      </c>
      <c r="AB7" s="8">
        <f>[1]Assumptions!X57</f>
        <v>2025</v>
      </c>
      <c r="AC7" s="8">
        <f>[1]Assumptions!Y57</f>
        <v>2025</v>
      </c>
      <c r="AD7" s="8">
        <f>[1]Assumptions!Z57</f>
        <v>2025</v>
      </c>
      <c r="AE7" s="8">
        <f>[1]Assumptions!AA57</f>
        <v>2025</v>
      </c>
      <c r="AF7" s="8">
        <f>[1]Assumptions!AB57</f>
        <v>2025</v>
      </c>
      <c r="AG7" s="8">
        <f>[1]Assumptions!AC57</f>
        <v>2026</v>
      </c>
      <c r="AH7" s="8">
        <f>[1]Assumptions!AD57</f>
        <v>2026</v>
      </c>
      <c r="AI7" s="8">
        <f>[1]Assumptions!AE57</f>
        <v>2026</v>
      </c>
      <c r="AJ7" s="8">
        <f>[1]Assumptions!AF57</f>
        <v>2026</v>
      </c>
      <c r="AK7" s="8">
        <f>[1]Assumptions!AG57</f>
        <v>2026</v>
      </c>
      <c r="AL7" s="8">
        <f>[1]Assumptions!AH57</f>
        <v>2026</v>
      </c>
      <c r="AM7" s="8">
        <f>[1]Assumptions!AI57</f>
        <v>2026</v>
      </c>
      <c r="AN7" s="8">
        <f>[1]Assumptions!AJ57</f>
        <v>2026</v>
      </c>
      <c r="AO7" s="8">
        <f>[1]Assumptions!AK57</f>
        <v>2026</v>
      </c>
      <c r="AP7" s="8">
        <f>[1]Assumptions!AL57</f>
        <v>2026</v>
      </c>
      <c r="AQ7" s="8">
        <f>[1]Assumptions!AM57</f>
        <v>2026</v>
      </c>
      <c r="AR7" s="8">
        <f>[1]Assumptions!AN57</f>
        <v>2026</v>
      </c>
      <c r="AS7" s="8">
        <f>[1]Assumptions!AO57</f>
        <v>2027</v>
      </c>
      <c r="AT7" s="8">
        <f>[1]Assumptions!AP57</f>
        <v>2027</v>
      </c>
      <c r="AU7" s="8">
        <f>[1]Assumptions!AQ57</f>
        <v>2027</v>
      </c>
      <c r="AV7" s="8">
        <f>[1]Assumptions!AR57</f>
        <v>2027</v>
      </c>
      <c r="AW7" s="8">
        <f>[1]Assumptions!AS57</f>
        <v>2027</v>
      </c>
      <c r="AX7" s="8">
        <f>[1]Assumptions!AT57</f>
        <v>2027</v>
      </c>
      <c r="AY7" s="8">
        <f>[1]Assumptions!AU57</f>
        <v>2027</v>
      </c>
      <c r="AZ7" s="8">
        <f>[1]Assumptions!AV57</f>
        <v>2027</v>
      </c>
      <c r="BA7" s="8">
        <f>[1]Assumptions!AW57</f>
        <v>2027</v>
      </c>
      <c r="BB7" s="8">
        <f>[1]Assumptions!AX57</f>
        <v>2027</v>
      </c>
      <c r="BC7" s="8">
        <f>[1]Assumptions!AY57</f>
        <v>2027</v>
      </c>
      <c r="BD7" s="8">
        <f>[1]Assumptions!AZ57</f>
        <v>2027</v>
      </c>
      <c r="BE7" s="8">
        <f>[1]Assumptions!BA57</f>
        <v>2028</v>
      </c>
      <c r="BF7" s="8">
        <f>[1]Assumptions!BB57</f>
        <v>2028</v>
      </c>
      <c r="BG7" s="8">
        <f>[1]Assumptions!BC57</f>
        <v>2028</v>
      </c>
      <c r="BH7" s="8">
        <f>[1]Assumptions!BD57</f>
        <v>2028</v>
      </c>
      <c r="BI7" s="8">
        <f>[1]Assumptions!BE57</f>
        <v>2028</v>
      </c>
      <c r="BJ7" s="8">
        <f>[1]Assumptions!BF57</f>
        <v>2028</v>
      </c>
      <c r="BK7" s="8">
        <f>[1]Assumptions!BG57</f>
        <v>2028</v>
      </c>
      <c r="BL7" s="8">
        <f>[1]Assumptions!BH57</f>
        <v>2028</v>
      </c>
      <c r="BM7" s="8">
        <f>[1]Assumptions!BI57</f>
        <v>2028</v>
      </c>
    </row>
    <row r="8" spans="1:65">
      <c r="A8" s="7"/>
      <c r="B8" s="7" t="s">
        <v>125</v>
      </c>
      <c r="C8" s="7"/>
      <c r="D8" s="7"/>
      <c r="E8" s="7"/>
      <c r="F8" s="8" t="str">
        <f>[1]Assumptions!B58</f>
        <v>October</v>
      </c>
      <c r="G8" s="8" t="str">
        <f>[1]Assumptions!C58</f>
        <v>November</v>
      </c>
      <c r="H8" s="8" t="str">
        <f>[1]Assumptions!D58</f>
        <v>Dec</v>
      </c>
      <c r="I8" s="8" t="str">
        <f>[1]Assumptions!E58</f>
        <v>Jan</v>
      </c>
      <c r="J8" s="8" t="str">
        <f>[1]Assumptions!F58</f>
        <v>Feb</v>
      </c>
      <c r="K8" s="8" t="str">
        <f>[1]Assumptions!G58</f>
        <v>Mar</v>
      </c>
      <c r="L8" s="8" t="str">
        <f>[1]Assumptions!H58</f>
        <v>April</v>
      </c>
      <c r="M8" s="8" t="str">
        <f>[1]Assumptions!I58</f>
        <v>May</v>
      </c>
      <c r="N8" s="8" t="str">
        <f>[1]Assumptions!J58</f>
        <v>June</v>
      </c>
      <c r="O8" s="8" t="str">
        <f>[1]Assumptions!K58</f>
        <v>July</v>
      </c>
      <c r="P8" s="8" t="str">
        <f>[1]Assumptions!L58</f>
        <v>Aug</v>
      </c>
      <c r="Q8" s="8" t="str">
        <f>[1]Assumptions!M58</f>
        <v>Sept</v>
      </c>
      <c r="R8" s="8" t="str">
        <f>[1]Assumptions!N58</f>
        <v>Oct</v>
      </c>
      <c r="S8" s="8" t="str">
        <f>[1]Assumptions!O58</f>
        <v>Nov</v>
      </c>
      <c r="T8" s="8" t="str">
        <f>[1]Assumptions!P58</f>
        <v>Dec</v>
      </c>
      <c r="U8" s="8" t="str">
        <f>[1]Assumptions!Q58</f>
        <v>Jan</v>
      </c>
      <c r="V8" s="8" t="str">
        <f>[1]Assumptions!R58</f>
        <v>Feb</v>
      </c>
      <c r="W8" s="8" t="str">
        <f>[1]Assumptions!S58</f>
        <v>Mar</v>
      </c>
      <c r="X8" s="8" t="str">
        <f>[1]Assumptions!T58</f>
        <v>April</v>
      </c>
      <c r="Y8" s="8" t="str">
        <f>[1]Assumptions!U58</f>
        <v>May</v>
      </c>
      <c r="Z8" s="8" t="str">
        <f>[1]Assumptions!V58</f>
        <v>June</v>
      </c>
      <c r="AA8" s="8" t="str">
        <f>[1]Assumptions!W58</f>
        <v>July</v>
      </c>
      <c r="AB8" s="8" t="str">
        <f>[1]Assumptions!X58</f>
        <v>Aug</v>
      </c>
      <c r="AC8" s="8" t="str">
        <f>[1]Assumptions!Y58</f>
        <v>Sept</v>
      </c>
      <c r="AD8" s="8" t="str">
        <f>[1]Assumptions!Z58</f>
        <v>Oct</v>
      </c>
      <c r="AE8" s="8" t="str">
        <f>[1]Assumptions!AA58</f>
        <v>Nov</v>
      </c>
      <c r="AF8" s="8" t="str">
        <f>[1]Assumptions!AB58</f>
        <v>Dec</v>
      </c>
      <c r="AG8" s="8" t="str">
        <f>[1]Assumptions!AC58</f>
        <v>Jan</v>
      </c>
      <c r="AH8" s="8" t="str">
        <f>[1]Assumptions!AD58</f>
        <v>Feb</v>
      </c>
      <c r="AI8" s="8" t="str">
        <f>[1]Assumptions!AE58</f>
        <v>Mar</v>
      </c>
      <c r="AJ8" s="8" t="str">
        <f>[1]Assumptions!AF58</f>
        <v>April</v>
      </c>
      <c r="AK8" s="8" t="str">
        <f>[1]Assumptions!AG58</f>
        <v>May</v>
      </c>
      <c r="AL8" s="8" t="str">
        <f>[1]Assumptions!AH58</f>
        <v>June</v>
      </c>
      <c r="AM8" s="8" t="str">
        <f>[1]Assumptions!AI58</f>
        <v>July</v>
      </c>
      <c r="AN8" s="8" t="str">
        <f>[1]Assumptions!AJ58</f>
        <v>Aug</v>
      </c>
      <c r="AO8" s="8" t="str">
        <f>[1]Assumptions!AK58</f>
        <v>Sept</v>
      </c>
      <c r="AP8" s="8" t="str">
        <f>[1]Assumptions!AL58</f>
        <v>Oct</v>
      </c>
      <c r="AQ8" s="8" t="str">
        <f>[1]Assumptions!AM58</f>
        <v>Nov</v>
      </c>
      <c r="AR8" s="8" t="str">
        <f>[1]Assumptions!AN58</f>
        <v>Dec</v>
      </c>
      <c r="AS8" s="8" t="str">
        <f>[1]Assumptions!AO58</f>
        <v>Jan</v>
      </c>
      <c r="AT8" s="8" t="str">
        <f>[1]Assumptions!AP58</f>
        <v>Feb</v>
      </c>
      <c r="AU8" s="8" t="str">
        <f>[1]Assumptions!AQ58</f>
        <v>Mar</v>
      </c>
      <c r="AV8" s="8" t="str">
        <f>[1]Assumptions!AR58</f>
        <v>April</v>
      </c>
      <c r="AW8" s="8" t="str">
        <f>[1]Assumptions!AS58</f>
        <v>May</v>
      </c>
      <c r="AX8" s="8" t="str">
        <f>[1]Assumptions!AT58</f>
        <v>June</v>
      </c>
      <c r="AY8" s="8" t="str">
        <f>[1]Assumptions!AU58</f>
        <v>July</v>
      </c>
      <c r="AZ8" s="8" t="str">
        <f>[1]Assumptions!AV58</f>
        <v>Aug</v>
      </c>
      <c r="BA8" s="8" t="str">
        <f>[1]Assumptions!AW58</f>
        <v>Sept</v>
      </c>
      <c r="BB8" s="8" t="str">
        <f>[1]Assumptions!AX58</f>
        <v>Oct</v>
      </c>
      <c r="BC8" s="8" t="str">
        <f>[1]Assumptions!AY58</f>
        <v>Nov</v>
      </c>
      <c r="BD8" s="8" t="str">
        <f>[1]Assumptions!AZ58</f>
        <v>Dec</v>
      </c>
      <c r="BE8" s="8" t="str">
        <f>[1]Assumptions!BA58</f>
        <v>Jan</v>
      </c>
      <c r="BF8" s="8" t="str">
        <f>[1]Assumptions!BB58</f>
        <v>Feb</v>
      </c>
      <c r="BG8" s="8" t="str">
        <f>[1]Assumptions!BC58</f>
        <v>Mar</v>
      </c>
      <c r="BH8" s="8" t="str">
        <f>[1]Assumptions!BD58</f>
        <v>April</v>
      </c>
      <c r="BI8" s="8" t="str">
        <f>[1]Assumptions!BE58</f>
        <v>May</v>
      </c>
      <c r="BJ8" s="8" t="str">
        <f>[1]Assumptions!BF58</f>
        <v>June</v>
      </c>
      <c r="BK8" s="8" t="str">
        <f>[1]Assumptions!BG58</f>
        <v>July</v>
      </c>
      <c r="BL8" s="8" t="str">
        <f>[1]Assumptions!BH58</f>
        <v>Aug</v>
      </c>
      <c r="BM8" s="8" t="str">
        <f>[1]Assumptions!BI58</f>
        <v>Sept</v>
      </c>
    </row>
    <row r="9" spans="1:65">
      <c r="A9" s="7"/>
      <c r="B9" s="7" t="s">
        <v>126</v>
      </c>
      <c r="C9" s="7"/>
      <c r="D9" s="7"/>
      <c r="E9" s="7"/>
      <c r="F9" s="8">
        <f>[1]Assumptions!B60</f>
        <v>31</v>
      </c>
      <c r="G9" s="8">
        <f>[1]Assumptions!C60</f>
        <v>30</v>
      </c>
      <c r="H9" s="8">
        <f>[1]Assumptions!D60</f>
        <v>31</v>
      </c>
      <c r="I9" s="8">
        <f>[1]Assumptions!E60</f>
        <v>31</v>
      </c>
      <c r="J9" s="8">
        <f>[1]Assumptions!F60</f>
        <v>29</v>
      </c>
      <c r="K9" s="8">
        <f>[1]Assumptions!G60</f>
        <v>31</v>
      </c>
      <c r="L9" s="8">
        <f>[1]Assumptions!H60</f>
        <v>30</v>
      </c>
      <c r="M9" s="8">
        <f>[1]Assumptions!I60</f>
        <v>31</v>
      </c>
      <c r="N9" s="8">
        <f>[1]Assumptions!J60</f>
        <v>30</v>
      </c>
      <c r="O9" s="8">
        <f>[1]Assumptions!K60</f>
        <v>31</v>
      </c>
      <c r="P9" s="8">
        <f>[1]Assumptions!L60</f>
        <v>31</v>
      </c>
      <c r="Q9" s="8">
        <f>[1]Assumptions!M60</f>
        <v>30</v>
      </c>
      <c r="R9" s="8">
        <f>[1]Assumptions!N60</f>
        <v>31</v>
      </c>
      <c r="S9" s="8">
        <f>[1]Assumptions!O60</f>
        <v>30</v>
      </c>
      <c r="T9" s="8">
        <f>[1]Assumptions!P60</f>
        <v>31</v>
      </c>
      <c r="U9" s="8">
        <f>[1]Assumptions!Q60</f>
        <v>31</v>
      </c>
      <c r="V9" s="8">
        <f>[1]Assumptions!R60</f>
        <v>28</v>
      </c>
      <c r="W9" s="8">
        <f>[1]Assumptions!S60</f>
        <v>31</v>
      </c>
      <c r="X9" s="8">
        <f>[1]Assumptions!T60</f>
        <v>30</v>
      </c>
      <c r="Y9" s="8">
        <f>[1]Assumptions!U60</f>
        <v>31</v>
      </c>
      <c r="Z9" s="8">
        <f>[1]Assumptions!V60</f>
        <v>30</v>
      </c>
      <c r="AA9" s="8">
        <f>[1]Assumptions!W60</f>
        <v>31</v>
      </c>
      <c r="AB9" s="8">
        <f>[1]Assumptions!X60</f>
        <v>31</v>
      </c>
      <c r="AC9" s="8">
        <f>[1]Assumptions!Y60</f>
        <v>30</v>
      </c>
      <c r="AD9" s="8">
        <f>[1]Assumptions!Z60</f>
        <v>31</v>
      </c>
      <c r="AE9" s="8">
        <f>[1]Assumptions!AA60</f>
        <v>30</v>
      </c>
      <c r="AF9" s="8">
        <f>[1]Assumptions!AB60</f>
        <v>31</v>
      </c>
      <c r="AG9" s="8">
        <f>[1]Assumptions!AC60</f>
        <v>31</v>
      </c>
      <c r="AH9" s="8">
        <f>[1]Assumptions!AD60</f>
        <v>28</v>
      </c>
      <c r="AI9" s="8">
        <f>[1]Assumptions!AE60</f>
        <v>31</v>
      </c>
      <c r="AJ9" s="8">
        <f>[1]Assumptions!AF60</f>
        <v>30</v>
      </c>
      <c r="AK9" s="8">
        <f>[1]Assumptions!AG60</f>
        <v>31</v>
      </c>
      <c r="AL9" s="8">
        <f>[1]Assumptions!AH60</f>
        <v>30</v>
      </c>
      <c r="AM9" s="8">
        <f>[1]Assumptions!AI60</f>
        <v>31</v>
      </c>
      <c r="AN9" s="8">
        <f>[1]Assumptions!AJ60</f>
        <v>31</v>
      </c>
      <c r="AO9" s="8">
        <f>[1]Assumptions!AK60</f>
        <v>30</v>
      </c>
      <c r="AP9" s="8">
        <f>[1]Assumptions!AL60</f>
        <v>31</v>
      </c>
      <c r="AQ9" s="8">
        <f>[1]Assumptions!AM60</f>
        <v>30</v>
      </c>
      <c r="AR9" s="8">
        <f>[1]Assumptions!AN60</f>
        <v>31</v>
      </c>
      <c r="AS9" s="8">
        <f>[1]Assumptions!AO60</f>
        <v>31</v>
      </c>
      <c r="AT9" s="8">
        <f>[1]Assumptions!AP60</f>
        <v>28</v>
      </c>
      <c r="AU9" s="8">
        <f>[1]Assumptions!AQ60</f>
        <v>31</v>
      </c>
      <c r="AV9" s="8">
        <f>[1]Assumptions!AR60</f>
        <v>30</v>
      </c>
      <c r="AW9" s="8">
        <f>[1]Assumptions!AS60</f>
        <v>31</v>
      </c>
      <c r="AX9" s="8">
        <f>[1]Assumptions!AT60</f>
        <v>30</v>
      </c>
      <c r="AY9" s="8">
        <f>[1]Assumptions!AU60</f>
        <v>31</v>
      </c>
      <c r="AZ9" s="8">
        <f>[1]Assumptions!AV60</f>
        <v>31</v>
      </c>
      <c r="BA9" s="8">
        <f>[1]Assumptions!AW60</f>
        <v>30</v>
      </c>
      <c r="BB9" s="8">
        <f>[1]Assumptions!AX60</f>
        <v>31</v>
      </c>
      <c r="BC9" s="8">
        <f>[1]Assumptions!AY60</f>
        <v>30</v>
      </c>
      <c r="BD9" s="8">
        <f>[1]Assumptions!AZ60</f>
        <v>31</v>
      </c>
      <c r="BE9" s="8">
        <f>[1]Assumptions!BA60</f>
        <v>31</v>
      </c>
      <c r="BF9" s="8">
        <f>[1]Assumptions!BB60</f>
        <v>28</v>
      </c>
      <c r="BG9" s="8">
        <f>[1]Assumptions!BC60</f>
        <v>31</v>
      </c>
      <c r="BH9" s="8">
        <f>[1]Assumptions!BD60</f>
        <v>30</v>
      </c>
      <c r="BI9" s="8">
        <f>[1]Assumptions!BE60</f>
        <v>31</v>
      </c>
      <c r="BJ9" s="8">
        <f>[1]Assumptions!BF60</f>
        <v>30</v>
      </c>
      <c r="BK9" s="8">
        <f>[1]Assumptions!BG60</f>
        <v>31</v>
      </c>
      <c r="BL9" s="8">
        <f>[1]Assumptions!BH60</f>
        <v>31</v>
      </c>
      <c r="BM9" s="8">
        <f>[1]Assumptions!BI60</f>
        <v>30</v>
      </c>
    </row>
    <row r="10" spans="1:65">
      <c r="A10" s="51"/>
      <c r="B10" s="51" t="s">
        <v>127</v>
      </c>
      <c r="C10" s="51" t="s">
        <v>128</v>
      </c>
      <c r="D10" s="51"/>
      <c r="E10" s="54">
        <f t="shared" ref="E10:E16" si="0">SUM(F10:BM10)</f>
        <v>636887618.65700388</v>
      </c>
      <c r="F10" s="55">
        <f t="shared" ref="F10:BM14" si="1">SUMPRODUCT((F$20:F$343)*($C$20:$C$343=$C10))</f>
        <v>0</v>
      </c>
      <c r="G10" s="55">
        <f t="shared" si="1"/>
        <v>0</v>
      </c>
      <c r="H10" s="55">
        <f t="shared" si="1"/>
        <v>0</v>
      </c>
      <c r="I10" s="55">
        <f t="shared" si="1"/>
        <v>0</v>
      </c>
      <c r="J10" s="55">
        <f t="shared" si="1"/>
        <v>0</v>
      </c>
      <c r="K10" s="55">
        <f t="shared" si="1"/>
        <v>0</v>
      </c>
      <c r="L10" s="55">
        <f t="shared" si="1"/>
        <v>25920</v>
      </c>
      <c r="M10" s="55">
        <f t="shared" si="1"/>
        <v>147312</v>
      </c>
      <c r="N10" s="55">
        <f t="shared" si="1"/>
        <v>806958.51055854058</v>
      </c>
      <c r="O10" s="55">
        <f t="shared" si="1"/>
        <v>1274882.2551543172</v>
      </c>
      <c r="P10" s="55">
        <f t="shared" si="1"/>
        <v>2868485.0740972133</v>
      </c>
      <c r="Q10" s="55">
        <f t="shared" si="1"/>
        <v>2775953.2975134323</v>
      </c>
      <c r="R10" s="55">
        <f t="shared" si="1"/>
        <v>3824646.7654629513</v>
      </c>
      <c r="S10" s="55">
        <f t="shared" si="1"/>
        <v>4945431.0633512437</v>
      </c>
      <c r="T10" s="55">
        <f t="shared" si="1"/>
        <v>6387848.4568286901</v>
      </c>
      <c r="U10" s="55">
        <f t="shared" si="1"/>
        <v>6387848.4568286901</v>
      </c>
      <c r="V10" s="55">
        <f t="shared" si="1"/>
        <v>6923603.4886917407</v>
      </c>
      <c r="W10" s="55">
        <f t="shared" si="1"/>
        <v>7665418.1481944267</v>
      </c>
      <c r="X10" s="55">
        <f t="shared" si="1"/>
        <v>8654504.3608646765</v>
      </c>
      <c r="Y10" s="55">
        <f t="shared" si="1"/>
        <v>8942987.8395601641</v>
      </c>
      <c r="Z10" s="55">
        <f t="shared" si="1"/>
        <v>9890862.1267024875</v>
      </c>
      <c r="AA10" s="55">
        <f t="shared" si="1"/>
        <v>10220557.530925903</v>
      </c>
      <c r="AB10" s="55">
        <f t="shared" si="1"/>
        <v>10220557.530925903</v>
      </c>
      <c r="AC10" s="55">
        <f t="shared" si="1"/>
        <v>9890862.1267024875</v>
      </c>
      <c r="AD10" s="55">
        <f t="shared" si="1"/>
        <v>12791821.530925903</v>
      </c>
      <c r="AE10" s="55">
        <f t="shared" si="1"/>
        <v>12379182.126702487</v>
      </c>
      <c r="AF10" s="55">
        <f t="shared" si="1"/>
        <v>12791821.530925903</v>
      </c>
      <c r="AG10" s="55">
        <f t="shared" si="1"/>
        <v>12791821.530925903</v>
      </c>
      <c r="AH10" s="55">
        <f t="shared" si="1"/>
        <v>11553903.318255654</v>
      </c>
      <c r="AI10" s="55">
        <f t="shared" si="1"/>
        <v>12791821.530925903</v>
      </c>
      <c r="AJ10" s="55">
        <f t="shared" si="1"/>
        <v>12379182.126702487</v>
      </c>
      <c r="AK10" s="55">
        <f t="shared" si="1"/>
        <v>12791821.530925903</v>
      </c>
      <c r="AL10" s="55">
        <f t="shared" si="1"/>
        <v>12379182.126702487</v>
      </c>
      <c r="AM10" s="55">
        <f t="shared" si="1"/>
        <v>12791821.530925903</v>
      </c>
      <c r="AN10" s="55">
        <f t="shared" si="1"/>
        <v>12791821.530925903</v>
      </c>
      <c r="AO10" s="55">
        <f t="shared" si="1"/>
        <v>12379182.126702487</v>
      </c>
      <c r="AP10" s="55">
        <f t="shared" si="1"/>
        <v>15363085.530925903</v>
      </c>
      <c r="AQ10" s="55">
        <f t="shared" si="1"/>
        <v>14867502.126702487</v>
      </c>
      <c r="AR10" s="55">
        <f t="shared" si="1"/>
        <v>15363085.530925903</v>
      </c>
      <c r="AS10" s="55">
        <f t="shared" si="1"/>
        <v>15363085.530925903</v>
      </c>
      <c r="AT10" s="55">
        <f t="shared" si="1"/>
        <v>13876335.318255654</v>
      </c>
      <c r="AU10" s="55">
        <f t="shared" si="1"/>
        <v>15363085.530925903</v>
      </c>
      <c r="AV10" s="55">
        <f t="shared" si="1"/>
        <v>14867502.126702487</v>
      </c>
      <c r="AW10" s="55">
        <f t="shared" si="1"/>
        <v>15363085.530925903</v>
      </c>
      <c r="AX10" s="55">
        <f t="shared" si="1"/>
        <v>14867502.126702487</v>
      </c>
      <c r="AY10" s="55">
        <f t="shared" si="1"/>
        <v>15363085.530925903</v>
      </c>
      <c r="AZ10" s="55">
        <f t="shared" si="1"/>
        <v>15363085.530925903</v>
      </c>
      <c r="BA10" s="55">
        <f t="shared" si="1"/>
        <v>14867502.126702487</v>
      </c>
      <c r="BB10" s="55">
        <f t="shared" si="1"/>
        <v>15363085.530925903</v>
      </c>
      <c r="BC10" s="55">
        <f t="shared" si="1"/>
        <v>14867502.126702487</v>
      </c>
      <c r="BD10" s="55">
        <f t="shared" si="1"/>
        <v>15363085.530925903</v>
      </c>
      <c r="BE10" s="55">
        <f t="shared" si="1"/>
        <v>17934349.530925903</v>
      </c>
      <c r="BF10" s="55">
        <f t="shared" si="1"/>
        <v>16198767.318255654</v>
      </c>
      <c r="BG10" s="55">
        <f t="shared" si="1"/>
        <v>17934349.530925903</v>
      </c>
      <c r="BH10" s="55">
        <f t="shared" si="1"/>
        <v>17355822.126702487</v>
      </c>
      <c r="BI10" s="55">
        <f t="shared" si="1"/>
        <v>17934349.530925903</v>
      </c>
      <c r="BJ10" s="55">
        <f t="shared" si="1"/>
        <v>17355822.126702487</v>
      </c>
      <c r="BK10" s="55">
        <f t="shared" si="1"/>
        <v>17934349.530925903</v>
      </c>
      <c r="BL10" s="55">
        <f t="shared" si="1"/>
        <v>17934349.530925903</v>
      </c>
      <c r="BM10" s="55">
        <f t="shared" si="1"/>
        <v>17355822.126702487</v>
      </c>
    </row>
    <row r="11" spans="1:65">
      <c r="A11" s="51"/>
      <c r="B11" t="s">
        <v>129</v>
      </c>
      <c r="C11" s="51" t="s">
        <v>130</v>
      </c>
      <c r="D11" s="51"/>
      <c r="E11" s="54">
        <f>SUM(F11:BM11)</f>
        <v>86000000</v>
      </c>
      <c r="F11" s="55">
        <v>43000000</v>
      </c>
      <c r="G11" s="55">
        <v>0</v>
      </c>
      <c r="H11" s="55">
        <v>0</v>
      </c>
      <c r="I11" s="55">
        <v>18000000</v>
      </c>
      <c r="J11" s="55">
        <v>0</v>
      </c>
      <c r="K11" s="55">
        <v>0</v>
      </c>
      <c r="L11" s="55">
        <v>20000000</v>
      </c>
      <c r="M11" s="55">
        <v>0</v>
      </c>
      <c r="N11" s="55">
        <f t="shared" si="1"/>
        <v>0</v>
      </c>
      <c r="O11" s="55">
        <f t="shared" si="1"/>
        <v>5000000</v>
      </c>
      <c r="P11" s="55">
        <v>0</v>
      </c>
      <c r="Q11" s="55">
        <f t="shared" si="1"/>
        <v>0</v>
      </c>
      <c r="R11" s="55">
        <f t="shared" si="1"/>
        <v>0</v>
      </c>
      <c r="S11" s="55">
        <f t="shared" si="1"/>
        <v>0</v>
      </c>
      <c r="T11" s="55">
        <f t="shared" si="1"/>
        <v>0</v>
      </c>
      <c r="U11" s="55">
        <f t="shared" si="1"/>
        <v>0</v>
      </c>
      <c r="V11" s="55">
        <f t="shared" si="1"/>
        <v>0</v>
      </c>
      <c r="W11" s="55">
        <f t="shared" si="1"/>
        <v>0</v>
      </c>
      <c r="X11" s="55">
        <f t="shared" si="1"/>
        <v>0</v>
      </c>
      <c r="Y11" s="55">
        <f t="shared" si="1"/>
        <v>0</v>
      </c>
      <c r="Z11" s="55">
        <f t="shared" si="1"/>
        <v>0</v>
      </c>
      <c r="AA11" s="55">
        <f t="shared" si="1"/>
        <v>0</v>
      </c>
      <c r="AB11" s="55">
        <f t="shared" si="1"/>
        <v>0</v>
      </c>
      <c r="AC11" s="55">
        <f t="shared" si="1"/>
        <v>0</v>
      </c>
      <c r="AD11" s="55">
        <f t="shared" si="1"/>
        <v>0</v>
      </c>
      <c r="AE11" s="55">
        <f t="shared" si="1"/>
        <v>0</v>
      </c>
      <c r="AF11" s="55">
        <f t="shared" si="1"/>
        <v>0</v>
      </c>
      <c r="AG11" s="55">
        <f t="shared" si="1"/>
        <v>0</v>
      </c>
      <c r="AH11" s="55">
        <f t="shared" si="1"/>
        <v>0</v>
      </c>
      <c r="AI11" s="55">
        <f t="shared" si="1"/>
        <v>0</v>
      </c>
      <c r="AJ11" s="55">
        <f t="shared" si="1"/>
        <v>0</v>
      </c>
      <c r="AK11" s="55">
        <f t="shared" si="1"/>
        <v>0</v>
      </c>
      <c r="AL11" s="55">
        <f t="shared" si="1"/>
        <v>0</v>
      </c>
      <c r="AM11" s="55">
        <f t="shared" si="1"/>
        <v>0</v>
      </c>
      <c r="AN11" s="55">
        <f t="shared" si="1"/>
        <v>0</v>
      </c>
      <c r="AO11" s="55">
        <f t="shared" si="1"/>
        <v>0</v>
      </c>
      <c r="AP11" s="55">
        <f t="shared" si="1"/>
        <v>0</v>
      </c>
      <c r="AQ11" s="55">
        <f t="shared" si="1"/>
        <v>0</v>
      </c>
      <c r="AR11" s="55">
        <f t="shared" si="1"/>
        <v>0</v>
      </c>
      <c r="AS11" s="55">
        <f t="shared" si="1"/>
        <v>0</v>
      </c>
      <c r="AT11" s="55">
        <f t="shared" si="1"/>
        <v>0</v>
      </c>
      <c r="AU11" s="55">
        <f t="shared" si="1"/>
        <v>0</v>
      </c>
      <c r="AV11" s="55">
        <f t="shared" si="1"/>
        <v>0</v>
      </c>
      <c r="AW11" s="55">
        <f t="shared" si="1"/>
        <v>0</v>
      </c>
      <c r="AX11" s="55">
        <f t="shared" si="1"/>
        <v>0</v>
      </c>
      <c r="AY11" s="55">
        <f t="shared" si="1"/>
        <v>0</v>
      </c>
      <c r="AZ11" s="55">
        <f t="shared" si="1"/>
        <v>0</v>
      </c>
      <c r="BA11" s="55">
        <f t="shared" si="1"/>
        <v>0</v>
      </c>
      <c r="BB11" s="55">
        <f t="shared" si="1"/>
        <v>0</v>
      </c>
      <c r="BC11" s="55">
        <f t="shared" si="1"/>
        <v>0</v>
      </c>
      <c r="BD11" s="55">
        <f t="shared" si="1"/>
        <v>0</v>
      </c>
      <c r="BE11" s="55">
        <f t="shared" si="1"/>
        <v>0</v>
      </c>
      <c r="BF11" s="55">
        <f t="shared" si="1"/>
        <v>0</v>
      </c>
      <c r="BG11" s="55">
        <f t="shared" si="1"/>
        <v>0</v>
      </c>
      <c r="BH11" s="55">
        <f t="shared" si="1"/>
        <v>0</v>
      </c>
      <c r="BI11" s="55">
        <f t="shared" si="1"/>
        <v>0</v>
      </c>
      <c r="BJ11" s="55">
        <f t="shared" si="1"/>
        <v>0</v>
      </c>
      <c r="BK11" s="55">
        <f t="shared" si="1"/>
        <v>0</v>
      </c>
      <c r="BL11" s="55">
        <f t="shared" si="1"/>
        <v>0</v>
      </c>
      <c r="BM11" s="55">
        <f t="shared" si="1"/>
        <v>0</v>
      </c>
    </row>
    <row r="12" spans="1:65">
      <c r="A12" s="51"/>
      <c r="B12" s="51" t="s">
        <v>131</v>
      </c>
      <c r="C12" s="51" t="s">
        <v>132</v>
      </c>
      <c r="D12" s="51"/>
      <c r="E12" s="54">
        <f t="shared" si="0"/>
        <v>164892195.42999998</v>
      </c>
      <c r="F12" s="55">
        <f>SUMPRODUCT((F$20:F$343)*($C$20:$C$343=$C12))</f>
        <v>4450000</v>
      </c>
      <c r="G12" s="55">
        <f>SUMPRODUCT((G$20:G$343)*($C$20:$C$343=$C12))</f>
        <v>0</v>
      </c>
      <c r="H12" s="55">
        <f t="shared" si="1"/>
        <v>0</v>
      </c>
      <c r="I12" s="55">
        <f t="shared" si="1"/>
        <v>0</v>
      </c>
      <c r="J12" s="55">
        <f t="shared" si="1"/>
        <v>0</v>
      </c>
      <c r="K12" s="55">
        <f t="shared" si="1"/>
        <v>0</v>
      </c>
      <c r="L12" s="55">
        <f t="shared" si="1"/>
        <v>0</v>
      </c>
      <c r="M12" s="55">
        <f t="shared" si="1"/>
        <v>0</v>
      </c>
      <c r="N12" s="55">
        <f t="shared" si="1"/>
        <v>0</v>
      </c>
      <c r="O12" s="55">
        <f t="shared" si="1"/>
        <v>435824.78639999998</v>
      </c>
      <c r="P12" s="55">
        <f t="shared" si="1"/>
        <v>925667.96939999994</v>
      </c>
      <c r="Q12" s="55">
        <f t="shared" si="1"/>
        <v>895846.42200000002</v>
      </c>
      <c r="R12" s="55">
        <f t="shared" si="1"/>
        <v>1528497.5592</v>
      </c>
      <c r="S12" s="55">
        <f t="shared" si="1"/>
        <v>1479229.8959999999</v>
      </c>
      <c r="T12" s="55">
        <f t="shared" si="1"/>
        <v>1694152.7489999998</v>
      </c>
      <c r="U12" s="55">
        <f t="shared" si="1"/>
        <v>2121030.1890000002</v>
      </c>
      <c r="V12" s="55">
        <f t="shared" si="1"/>
        <v>2317307.7744</v>
      </c>
      <c r="W12" s="55">
        <f t="shared" si="1"/>
        <v>2621791.9068</v>
      </c>
      <c r="X12" s="55">
        <f t="shared" si="1"/>
        <v>2881168.1579999998</v>
      </c>
      <c r="Y12" s="55">
        <f t="shared" si="1"/>
        <v>3061601.6886</v>
      </c>
      <c r="Z12" s="55">
        <f t="shared" si="1"/>
        <v>3215304.912</v>
      </c>
      <c r="AA12" s="55">
        <f t="shared" si="1"/>
        <v>3493576.1424000002</v>
      </c>
      <c r="AB12" s="55">
        <f t="shared" si="1"/>
        <v>3493576.1424000002</v>
      </c>
      <c r="AC12" s="55">
        <f t="shared" si="1"/>
        <v>3380976.912</v>
      </c>
      <c r="AD12" s="55">
        <f t="shared" si="1"/>
        <v>3549905.8703999999</v>
      </c>
      <c r="AE12" s="55">
        <f t="shared" si="1"/>
        <v>3435489.5520000001</v>
      </c>
      <c r="AF12" s="55">
        <f t="shared" si="1"/>
        <v>3549905.8703999999</v>
      </c>
      <c r="AG12" s="55">
        <f t="shared" si="1"/>
        <v>4153947.5663999999</v>
      </c>
      <c r="AH12" s="55">
        <f t="shared" si="1"/>
        <v>3752242.9632000001</v>
      </c>
      <c r="AI12" s="55">
        <f t="shared" si="1"/>
        <v>4153947.5663999999</v>
      </c>
      <c r="AJ12" s="55">
        <f t="shared" si="1"/>
        <v>1942028.8463999999</v>
      </c>
      <c r="AK12" s="55">
        <f t="shared" si="1"/>
        <v>1998200.4239999999</v>
      </c>
      <c r="AL12" s="55">
        <f t="shared" si="1"/>
        <v>1942028.8463999999</v>
      </c>
      <c r="AM12" s="55">
        <f t="shared" si="1"/>
        <v>4036800.3023999999</v>
      </c>
      <c r="AN12" s="55">
        <f t="shared" si="1"/>
        <v>4036800.3023999999</v>
      </c>
      <c r="AO12" s="55">
        <f t="shared" si="1"/>
        <v>3906677.7119999998</v>
      </c>
      <c r="AP12" s="55">
        <f t="shared" si="1"/>
        <v>4036800.3023999999</v>
      </c>
      <c r="AQ12" s="55">
        <f t="shared" si="1"/>
        <v>3906677.7119999998</v>
      </c>
      <c r="AR12" s="55">
        <f t="shared" si="1"/>
        <v>4036800.3023999999</v>
      </c>
      <c r="AS12" s="55">
        <f t="shared" si="1"/>
        <v>4530804.3984000003</v>
      </c>
      <c r="AT12" s="55">
        <f t="shared" si="1"/>
        <v>4092629.7792000007</v>
      </c>
      <c r="AU12" s="55">
        <f t="shared" si="1"/>
        <v>4530804.3984000003</v>
      </c>
      <c r="AV12" s="55">
        <f t="shared" si="1"/>
        <v>4384746.1919999998</v>
      </c>
      <c r="AW12" s="55">
        <f t="shared" si="1"/>
        <v>4530804.3984000003</v>
      </c>
      <c r="AX12" s="55">
        <f t="shared" si="1"/>
        <v>4384746.1919999998</v>
      </c>
      <c r="AY12" s="55">
        <f t="shared" si="1"/>
        <v>4530804.3984000003</v>
      </c>
      <c r="AZ12" s="55">
        <f t="shared" si="1"/>
        <v>4530804.3984000003</v>
      </c>
      <c r="BA12" s="55">
        <f t="shared" si="1"/>
        <v>4384746.1919999998</v>
      </c>
      <c r="BB12" s="55">
        <f t="shared" si="1"/>
        <v>4530804.3984000003</v>
      </c>
      <c r="BC12" s="55">
        <f t="shared" si="1"/>
        <v>4384746.1919999998</v>
      </c>
      <c r="BD12" s="55">
        <f t="shared" si="1"/>
        <v>4530804.3984000003</v>
      </c>
      <c r="BE12" s="55">
        <f t="shared" si="1"/>
        <v>2284854.3984000003</v>
      </c>
      <c r="BF12" s="55">
        <f t="shared" si="1"/>
        <v>2178471.3792000003</v>
      </c>
      <c r="BG12" s="55">
        <f t="shared" si="1"/>
        <v>2411557.5984</v>
      </c>
      <c r="BH12" s="55">
        <f t="shared" si="1"/>
        <v>2333862.1920000003</v>
      </c>
      <c r="BI12" s="55">
        <f t="shared" si="1"/>
        <v>2411557.5984</v>
      </c>
      <c r="BJ12" s="55">
        <f t="shared" si="1"/>
        <v>2333862.1920000003</v>
      </c>
      <c r="BK12" s="55">
        <f t="shared" si="1"/>
        <v>2411557.5984</v>
      </c>
      <c r="BL12" s="55">
        <f t="shared" si="1"/>
        <v>2411557.5984</v>
      </c>
      <c r="BM12" s="55">
        <f t="shared" si="1"/>
        <v>2333862.1920000003</v>
      </c>
    </row>
    <row r="13" spans="1:65">
      <c r="A13" s="51"/>
      <c r="B13" s="51" t="s">
        <v>133</v>
      </c>
      <c r="C13" s="51" t="s">
        <v>134</v>
      </c>
      <c r="D13" s="51"/>
      <c r="E13" s="54">
        <f t="shared" si="0"/>
        <v>19325434.439999979</v>
      </c>
      <c r="F13" s="55">
        <f>SUMPRODUCT((F$20:F$343)*($C$20:$C$343=$C13))</f>
        <v>0</v>
      </c>
      <c r="G13" s="55">
        <f t="shared" si="1"/>
        <v>0</v>
      </c>
      <c r="H13" s="55">
        <f t="shared" si="1"/>
        <v>0</v>
      </c>
      <c r="I13" s="55">
        <f t="shared" si="1"/>
        <v>0</v>
      </c>
      <c r="J13" s="55">
        <f t="shared" si="1"/>
        <v>0</v>
      </c>
      <c r="K13" s="55">
        <f t="shared" si="1"/>
        <v>0</v>
      </c>
      <c r="L13" s="55">
        <f t="shared" si="1"/>
        <v>48000</v>
      </c>
      <c r="M13" s="55">
        <f t="shared" si="1"/>
        <v>48000</v>
      </c>
      <c r="N13" s="55">
        <f t="shared" si="1"/>
        <v>48000</v>
      </c>
      <c r="O13" s="55">
        <f t="shared" si="1"/>
        <v>108345.84</v>
      </c>
      <c r="P13" s="55">
        <f t="shared" si="1"/>
        <v>183778.14</v>
      </c>
      <c r="Q13" s="55">
        <f t="shared" si="1"/>
        <v>179398.2</v>
      </c>
      <c r="R13" s="55">
        <f t="shared" si="1"/>
        <v>229037.52000000002</v>
      </c>
      <c r="S13" s="55">
        <f t="shared" si="1"/>
        <v>223197.6</v>
      </c>
      <c r="T13" s="55">
        <f t="shared" si="1"/>
        <v>274296.90000000002</v>
      </c>
      <c r="U13" s="55">
        <f t="shared" si="1"/>
        <v>276296.90000000002</v>
      </c>
      <c r="V13" s="55">
        <f t="shared" si="1"/>
        <v>295276.64</v>
      </c>
      <c r="W13" s="55">
        <f t="shared" si="1"/>
        <v>321556.28000000003</v>
      </c>
      <c r="X13" s="55">
        <f t="shared" si="1"/>
        <v>356595.8</v>
      </c>
      <c r="Y13" s="55">
        <f t="shared" si="1"/>
        <v>366815.66000000003</v>
      </c>
      <c r="Z13" s="55">
        <f t="shared" si="1"/>
        <v>400395.2</v>
      </c>
      <c r="AA13" s="55">
        <f t="shared" si="1"/>
        <v>412075.04000000004</v>
      </c>
      <c r="AB13" s="55">
        <f t="shared" si="1"/>
        <v>412075.04000000004</v>
      </c>
      <c r="AC13" s="55">
        <f t="shared" si="1"/>
        <v>400395.2</v>
      </c>
      <c r="AD13" s="55">
        <f t="shared" si="1"/>
        <v>412075.04000000004</v>
      </c>
      <c r="AE13" s="55">
        <f t="shared" si="1"/>
        <v>400395.2</v>
      </c>
      <c r="AF13" s="55">
        <f t="shared" si="1"/>
        <v>412075.04000000004</v>
      </c>
      <c r="AG13" s="55">
        <f t="shared" si="1"/>
        <v>414074.04000000004</v>
      </c>
      <c r="AH13" s="55">
        <f t="shared" si="1"/>
        <v>379034.52</v>
      </c>
      <c r="AI13" s="55">
        <f t="shared" si="1"/>
        <v>414074.04000000004</v>
      </c>
      <c r="AJ13" s="55">
        <f t="shared" si="1"/>
        <v>414074.04000000004</v>
      </c>
      <c r="AK13" s="55">
        <f t="shared" si="1"/>
        <v>414074.04000000004</v>
      </c>
      <c r="AL13" s="55">
        <f t="shared" si="1"/>
        <v>414074.04000000004</v>
      </c>
      <c r="AM13" s="55">
        <f t="shared" si="1"/>
        <v>414074.04000000004</v>
      </c>
      <c r="AN13" s="55">
        <f t="shared" si="1"/>
        <v>414074.04000000004</v>
      </c>
      <c r="AO13" s="55">
        <f t="shared" si="1"/>
        <v>402394.2</v>
      </c>
      <c r="AP13" s="55">
        <f t="shared" si="1"/>
        <v>414074.04000000004</v>
      </c>
      <c r="AQ13" s="55">
        <f t="shared" si="1"/>
        <v>402394.2</v>
      </c>
      <c r="AR13" s="55">
        <f t="shared" si="1"/>
        <v>414074.04000000004</v>
      </c>
      <c r="AS13" s="55">
        <f t="shared" si="1"/>
        <v>416154.04000000004</v>
      </c>
      <c r="AT13" s="55">
        <f t="shared" si="1"/>
        <v>381114.52</v>
      </c>
      <c r="AU13" s="55">
        <f t="shared" si="1"/>
        <v>416154.04000000004</v>
      </c>
      <c r="AV13" s="55">
        <f t="shared" si="1"/>
        <v>404474.2</v>
      </c>
      <c r="AW13" s="55">
        <f t="shared" si="1"/>
        <v>416154.04000000004</v>
      </c>
      <c r="AX13" s="55">
        <f t="shared" si="1"/>
        <v>404474.2</v>
      </c>
      <c r="AY13" s="55">
        <f t="shared" si="1"/>
        <v>416154.04000000004</v>
      </c>
      <c r="AZ13" s="55">
        <f t="shared" si="1"/>
        <v>416154.04000000004</v>
      </c>
      <c r="BA13" s="55">
        <f t="shared" si="1"/>
        <v>404474.2</v>
      </c>
      <c r="BB13" s="55">
        <f t="shared" si="1"/>
        <v>416154.04000000004</v>
      </c>
      <c r="BC13" s="55">
        <f t="shared" si="1"/>
        <v>404474.2</v>
      </c>
      <c r="BD13" s="55">
        <f t="shared" si="1"/>
        <v>416154.04000000004</v>
      </c>
      <c r="BE13" s="55">
        <f t="shared" si="1"/>
        <v>418317.04000000004</v>
      </c>
      <c r="BF13" s="55">
        <f t="shared" si="1"/>
        <v>383277.52</v>
      </c>
      <c r="BG13" s="55">
        <f t="shared" si="1"/>
        <v>418317.04000000004</v>
      </c>
      <c r="BH13" s="55">
        <f t="shared" si="1"/>
        <v>406637.2</v>
      </c>
      <c r="BI13" s="55">
        <f t="shared" si="1"/>
        <v>418317.04000000004</v>
      </c>
      <c r="BJ13" s="55">
        <f t="shared" si="1"/>
        <v>406637.2</v>
      </c>
      <c r="BK13" s="55">
        <f t="shared" si="1"/>
        <v>418317.04000000004</v>
      </c>
      <c r="BL13" s="55">
        <f t="shared" si="1"/>
        <v>418317.04000000004</v>
      </c>
      <c r="BM13" s="55">
        <f t="shared" si="1"/>
        <v>406637.2</v>
      </c>
    </row>
    <row r="14" spans="1:65">
      <c r="A14" s="51"/>
      <c r="B14" s="51" t="s">
        <v>135</v>
      </c>
      <c r="C14" s="51" t="s">
        <v>136</v>
      </c>
      <c r="D14" s="51"/>
      <c r="E14" s="54">
        <f t="shared" si="0"/>
        <v>121936061.22999999</v>
      </c>
      <c r="F14" s="55">
        <f>SUMPRODUCT((F$20:F$343)*($C$20:$C$343=$C14))</f>
        <v>14011030</v>
      </c>
      <c r="G14" s="55">
        <f t="shared" si="1"/>
        <v>11299454</v>
      </c>
      <c r="H14" s="55">
        <f t="shared" si="1"/>
        <v>10141630</v>
      </c>
      <c r="I14" s="55">
        <f t="shared" si="1"/>
        <v>4586380</v>
      </c>
      <c r="J14" s="55">
        <f t="shared" si="1"/>
        <v>8715230.4000000004</v>
      </c>
      <c r="K14" s="55">
        <f t="shared" si="1"/>
        <v>3189780</v>
      </c>
      <c r="L14" s="55">
        <f t="shared" si="1"/>
        <v>8483088</v>
      </c>
      <c r="M14" s="55">
        <f t="shared" si="1"/>
        <v>3523960.83</v>
      </c>
      <c r="N14" s="55">
        <f t="shared" si="1"/>
        <v>8285008</v>
      </c>
      <c r="O14" s="55">
        <f t="shared" si="1"/>
        <v>1660180</v>
      </c>
      <c r="P14" s="55">
        <f t="shared" si="1"/>
        <v>7852100</v>
      </c>
      <c r="Q14" s="55">
        <f t="shared" si="1"/>
        <v>2310180</v>
      </c>
      <c r="R14" s="55">
        <f t="shared" si="1"/>
        <v>7471480</v>
      </c>
      <c r="S14" s="55">
        <f t="shared" si="1"/>
        <v>2856180</v>
      </c>
      <c r="T14" s="55">
        <f t="shared" si="1"/>
        <v>7809480</v>
      </c>
      <c r="U14" s="55">
        <f t="shared" si="1"/>
        <v>1519780</v>
      </c>
      <c r="V14" s="55">
        <f t="shared" si="1"/>
        <v>1943880</v>
      </c>
      <c r="W14" s="55">
        <f t="shared" si="1"/>
        <v>2275380</v>
      </c>
      <c r="X14" s="55">
        <f t="shared" si="1"/>
        <v>2732680</v>
      </c>
      <c r="Y14" s="55">
        <f t="shared" si="1"/>
        <v>1313780</v>
      </c>
      <c r="Z14" s="55">
        <f t="shared" si="1"/>
        <v>1226880</v>
      </c>
      <c r="AA14" s="55">
        <f t="shared" si="1"/>
        <v>675380</v>
      </c>
      <c r="AB14" s="55">
        <f t="shared" si="1"/>
        <v>357380</v>
      </c>
      <c r="AC14" s="55">
        <f t="shared" si="1"/>
        <v>356380</v>
      </c>
      <c r="AD14" s="55">
        <f t="shared" si="1"/>
        <v>356380</v>
      </c>
      <c r="AE14" s="55">
        <f t="shared" si="1"/>
        <v>356380</v>
      </c>
      <c r="AF14" s="55">
        <f t="shared" si="1"/>
        <v>239630</v>
      </c>
      <c r="AG14" s="55">
        <f t="shared" si="1"/>
        <v>239630</v>
      </c>
      <c r="AH14" s="55">
        <f t="shared" ref="AH14:AW16" si="2">SUMPRODUCT((AH$20:AH$343)*($C$20:$C$343=$C14))</f>
        <v>239630</v>
      </c>
      <c r="AI14" s="55">
        <f t="shared" si="2"/>
        <v>239630</v>
      </c>
      <c r="AJ14" s="55">
        <f t="shared" si="2"/>
        <v>239630</v>
      </c>
      <c r="AK14" s="55">
        <f t="shared" si="2"/>
        <v>239630</v>
      </c>
      <c r="AL14" s="55">
        <f t="shared" si="2"/>
        <v>239630</v>
      </c>
      <c r="AM14" s="55">
        <f t="shared" si="2"/>
        <v>239630</v>
      </c>
      <c r="AN14" s="55">
        <f t="shared" si="2"/>
        <v>218830</v>
      </c>
      <c r="AO14" s="55">
        <f t="shared" si="2"/>
        <v>218830</v>
      </c>
      <c r="AP14" s="55">
        <f t="shared" si="2"/>
        <v>193830</v>
      </c>
      <c r="AQ14" s="55">
        <f t="shared" si="2"/>
        <v>193830</v>
      </c>
      <c r="AR14" s="55">
        <f t="shared" si="2"/>
        <v>193830</v>
      </c>
      <c r="AS14" s="55">
        <f t="shared" si="2"/>
        <v>193830</v>
      </c>
      <c r="AT14" s="55">
        <f t="shared" si="2"/>
        <v>193830</v>
      </c>
      <c r="AU14" s="55">
        <f t="shared" si="2"/>
        <v>173830</v>
      </c>
      <c r="AV14" s="55">
        <f t="shared" si="2"/>
        <v>173830</v>
      </c>
      <c r="AW14" s="55">
        <f t="shared" si="2"/>
        <v>173830</v>
      </c>
      <c r="AX14" s="55">
        <f t="shared" ref="AX14:BM16" si="3">SUMPRODUCT((AX$20:AX$343)*($C$20:$C$343=$C14))</f>
        <v>173830</v>
      </c>
      <c r="AY14" s="55">
        <f t="shared" si="3"/>
        <v>173830</v>
      </c>
      <c r="AZ14" s="55">
        <f t="shared" si="3"/>
        <v>173830</v>
      </c>
      <c r="BA14" s="55">
        <f t="shared" si="3"/>
        <v>173830</v>
      </c>
      <c r="BB14" s="55">
        <f t="shared" si="3"/>
        <v>173830</v>
      </c>
      <c r="BC14" s="55">
        <f t="shared" si="3"/>
        <v>173830</v>
      </c>
      <c r="BD14" s="55">
        <f t="shared" si="3"/>
        <v>173830</v>
      </c>
      <c r="BE14" s="55">
        <f t="shared" si="3"/>
        <v>173830</v>
      </c>
      <c r="BF14" s="55">
        <f t="shared" si="3"/>
        <v>173830</v>
      </c>
      <c r="BG14" s="55">
        <f t="shared" si="3"/>
        <v>173830</v>
      </c>
      <c r="BH14" s="55">
        <f t="shared" si="3"/>
        <v>173830</v>
      </c>
      <c r="BI14" s="55">
        <f t="shared" si="3"/>
        <v>173830</v>
      </c>
      <c r="BJ14" s="55">
        <f t="shared" si="3"/>
        <v>173830</v>
      </c>
      <c r="BK14" s="55">
        <f t="shared" si="3"/>
        <v>173830</v>
      </c>
      <c r="BL14" s="55">
        <f t="shared" si="3"/>
        <v>173830</v>
      </c>
      <c r="BM14" s="55">
        <f t="shared" si="3"/>
        <v>173830</v>
      </c>
    </row>
    <row r="15" spans="1:65">
      <c r="A15" s="51"/>
      <c r="B15" s="51" t="s">
        <v>137</v>
      </c>
      <c r="C15" s="51" t="s">
        <v>138</v>
      </c>
      <c r="D15" s="51"/>
      <c r="E15" s="54">
        <f t="shared" si="0"/>
        <v>86000000</v>
      </c>
      <c r="F15" s="55">
        <f>SUMPRODUCT((F$20:F$343)*($C$20:$C$343=$C15))</f>
        <v>0</v>
      </c>
      <c r="G15" s="55">
        <f t="shared" ref="G15:V16" si="4">SUMPRODUCT((G$20:G$343)*($C$20:$C$343=$C15))</f>
        <v>0</v>
      </c>
      <c r="H15" s="55">
        <f t="shared" si="4"/>
        <v>0</v>
      </c>
      <c r="I15" s="55">
        <f t="shared" si="4"/>
        <v>0</v>
      </c>
      <c r="J15" s="55">
        <f t="shared" si="4"/>
        <v>0</v>
      </c>
      <c r="K15" s="55">
        <f t="shared" si="4"/>
        <v>0</v>
      </c>
      <c r="L15" s="55">
        <f t="shared" si="4"/>
        <v>0</v>
      </c>
      <c r="M15" s="55">
        <f t="shared" si="4"/>
        <v>0</v>
      </c>
      <c r="N15" s="55">
        <f t="shared" si="4"/>
        <v>0</v>
      </c>
      <c r="O15" s="55">
        <f t="shared" si="4"/>
        <v>0</v>
      </c>
      <c r="P15" s="55">
        <f t="shared" si="4"/>
        <v>0</v>
      </c>
      <c r="Q15" s="55">
        <f t="shared" si="4"/>
        <v>0</v>
      </c>
      <c r="R15" s="55">
        <f t="shared" si="4"/>
        <v>0</v>
      </c>
      <c r="S15" s="55">
        <f t="shared" si="4"/>
        <v>0</v>
      </c>
      <c r="T15" s="55">
        <f t="shared" si="4"/>
        <v>0</v>
      </c>
      <c r="U15" s="55">
        <f t="shared" si="4"/>
        <v>0</v>
      </c>
      <c r="V15" s="55">
        <f t="shared" si="4"/>
        <v>0</v>
      </c>
      <c r="W15" s="55">
        <f t="shared" ref="W15:AL16" si="5">SUMPRODUCT((W$20:W$343)*($C$20:$C$343=$C15))</f>
        <v>0</v>
      </c>
      <c r="X15" s="55">
        <f t="shared" si="5"/>
        <v>0</v>
      </c>
      <c r="Y15" s="55">
        <v>0</v>
      </c>
      <c r="Z15" s="55">
        <v>5000000</v>
      </c>
      <c r="AA15" s="55">
        <v>5000000</v>
      </c>
      <c r="AB15" s="55">
        <v>5000000</v>
      </c>
      <c r="AC15" s="55">
        <v>5000000</v>
      </c>
      <c r="AD15" s="55">
        <v>5000000</v>
      </c>
      <c r="AE15" s="55">
        <v>5000000</v>
      </c>
      <c r="AF15" s="55">
        <v>5000000</v>
      </c>
      <c r="AG15" s="55">
        <v>5000000</v>
      </c>
      <c r="AH15" s="55">
        <v>5000000</v>
      </c>
      <c r="AI15" s="55">
        <v>5000000</v>
      </c>
      <c r="AJ15" s="55">
        <v>5000000</v>
      </c>
      <c r="AK15" s="55">
        <v>5000000</v>
      </c>
      <c r="AL15" s="55">
        <v>5000000</v>
      </c>
      <c r="AM15" s="55">
        <v>5000000</v>
      </c>
      <c r="AN15" s="55">
        <v>5000000</v>
      </c>
      <c r="AO15" s="55">
        <v>5000000</v>
      </c>
      <c r="AP15" s="55">
        <v>6000000</v>
      </c>
      <c r="AQ15" s="55">
        <v>0</v>
      </c>
      <c r="AR15" s="55">
        <v>0</v>
      </c>
      <c r="AS15" s="55">
        <f t="shared" si="2"/>
        <v>0</v>
      </c>
      <c r="AT15" s="55">
        <v>0</v>
      </c>
      <c r="AU15" s="55">
        <f t="shared" si="2"/>
        <v>0</v>
      </c>
      <c r="AV15" s="55">
        <f t="shared" si="2"/>
        <v>0</v>
      </c>
      <c r="AW15" s="55">
        <v>0</v>
      </c>
      <c r="AX15" s="55">
        <f t="shared" si="3"/>
        <v>0</v>
      </c>
      <c r="AY15" s="55">
        <f t="shared" si="3"/>
        <v>0</v>
      </c>
      <c r="AZ15" s="55">
        <v>0</v>
      </c>
      <c r="BA15" s="55">
        <f t="shared" si="3"/>
        <v>0</v>
      </c>
      <c r="BB15" s="55">
        <f t="shared" si="3"/>
        <v>0</v>
      </c>
      <c r="BC15" s="55">
        <v>0</v>
      </c>
      <c r="BD15" s="55">
        <f t="shared" si="3"/>
        <v>0</v>
      </c>
      <c r="BE15" s="55">
        <f t="shared" si="3"/>
        <v>0</v>
      </c>
      <c r="BF15" s="55">
        <v>0</v>
      </c>
      <c r="BG15" s="55">
        <f t="shared" si="3"/>
        <v>0</v>
      </c>
      <c r="BH15" s="55">
        <f t="shared" si="3"/>
        <v>0</v>
      </c>
      <c r="BI15" s="55">
        <v>0</v>
      </c>
      <c r="BJ15" s="55">
        <f t="shared" si="3"/>
        <v>0</v>
      </c>
      <c r="BK15" s="55">
        <f t="shared" si="3"/>
        <v>0</v>
      </c>
      <c r="BL15" s="55">
        <f t="shared" si="3"/>
        <v>0</v>
      </c>
      <c r="BM15" s="55">
        <f t="shared" si="3"/>
        <v>0</v>
      </c>
    </row>
    <row r="16" spans="1:65">
      <c r="A16" s="51"/>
      <c r="B16" s="51" t="s">
        <v>139</v>
      </c>
      <c r="C16" s="51" t="s">
        <v>140</v>
      </c>
      <c r="D16" s="51"/>
      <c r="E16" s="54">
        <f t="shared" si="0"/>
        <v>85444192.045499966</v>
      </c>
      <c r="F16" s="55">
        <f>SUMPRODUCT((F$20:F$343)*($C$20:$C$343=$C16))</f>
        <v>0</v>
      </c>
      <c r="G16" s="55">
        <f t="shared" si="4"/>
        <v>0</v>
      </c>
      <c r="H16" s="55">
        <f t="shared" si="4"/>
        <v>0</v>
      </c>
      <c r="I16" s="55">
        <f t="shared" si="4"/>
        <v>0</v>
      </c>
      <c r="J16" s="55">
        <f t="shared" si="4"/>
        <v>0</v>
      </c>
      <c r="K16" s="55">
        <f t="shared" si="4"/>
        <v>0</v>
      </c>
      <c r="L16" s="55">
        <f t="shared" si="4"/>
        <v>0</v>
      </c>
      <c r="M16" s="55">
        <f t="shared" si="4"/>
        <v>0</v>
      </c>
      <c r="N16" s="55">
        <f t="shared" si="4"/>
        <v>0</v>
      </c>
      <c r="O16" s="55" cm="1">
        <f t="array" ref="O16">SUMPRODUCT((O$20:O$343)*($C$20:$C$343=$C16))</f>
        <v>1369307.6871666664</v>
      </c>
      <c r="P16" s="55">
        <f t="shared" si="4"/>
        <v>1369307.6871666664</v>
      </c>
      <c r="Q16" s="55">
        <f t="shared" si="4"/>
        <v>1369307.6871666664</v>
      </c>
      <c r="R16" s="55">
        <f t="shared" si="4"/>
        <v>1369307.6871666664</v>
      </c>
      <c r="S16" s="55">
        <f t="shared" si="4"/>
        <v>1369307.6871666664</v>
      </c>
      <c r="T16" s="55">
        <f t="shared" si="4"/>
        <v>1369307.6871666664</v>
      </c>
      <c r="U16" s="55">
        <f t="shared" si="4"/>
        <v>1369307.6871666664</v>
      </c>
      <c r="V16" s="55">
        <f t="shared" si="4"/>
        <v>1369307.6871666664</v>
      </c>
      <c r="W16" s="55">
        <f t="shared" si="5"/>
        <v>1369307.6871666664</v>
      </c>
      <c r="X16" s="55">
        <f t="shared" si="5"/>
        <v>1369307.6871666664</v>
      </c>
      <c r="Y16" s="55">
        <f t="shared" si="5"/>
        <v>1369307.6871666664</v>
      </c>
      <c r="Z16" s="55">
        <f t="shared" si="5"/>
        <v>1369307.6871666664</v>
      </c>
      <c r="AA16" s="55">
        <f t="shared" si="5"/>
        <v>1369307.6871666664</v>
      </c>
      <c r="AB16" s="55">
        <f t="shared" si="5"/>
        <v>1369307.6871666664</v>
      </c>
      <c r="AC16" s="55">
        <f t="shared" si="5"/>
        <v>1369307.6871666664</v>
      </c>
      <c r="AD16" s="55">
        <f t="shared" si="5"/>
        <v>1369307.6871666664</v>
      </c>
      <c r="AE16" s="55">
        <f t="shared" si="5"/>
        <v>1369307.6871666664</v>
      </c>
      <c r="AF16" s="55">
        <f t="shared" si="5"/>
        <v>1369307.6871666664</v>
      </c>
      <c r="AG16" s="55">
        <f t="shared" si="5"/>
        <v>1369307.6871666664</v>
      </c>
      <c r="AH16" s="55">
        <f t="shared" si="5"/>
        <v>1369307.6871666664</v>
      </c>
      <c r="AI16" s="55">
        <f t="shared" si="5"/>
        <v>1369307.6871666664</v>
      </c>
      <c r="AJ16" s="55">
        <f t="shared" si="5"/>
        <v>1889624.3538333331</v>
      </c>
      <c r="AK16" s="55">
        <f t="shared" si="5"/>
        <v>1889624.3538333331</v>
      </c>
      <c r="AL16" s="55">
        <f t="shared" si="5"/>
        <v>1889624.3538333331</v>
      </c>
      <c r="AM16" s="55">
        <f t="shared" ref="AM16:AT16" si="6">SUMPRODUCT((AM$20:AM$343)*($C$20:$C$343=$C16))</f>
        <v>1889624.3538333331</v>
      </c>
      <c r="AN16" s="55">
        <f t="shared" si="6"/>
        <v>1889624.3538333331</v>
      </c>
      <c r="AO16" s="55">
        <f t="shared" si="6"/>
        <v>1889624.3538333331</v>
      </c>
      <c r="AP16" s="55">
        <f t="shared" si="6"/>
        <v>1889624.3538333331</v>
      </c>
      <c r="AQ16" s="55">
        <f t="shared" si="6"/>
        <v>1889624.3538333331</v>
      </c>
      <c r="AR16" s="55">
        <f t="shared" si="6"/>
        <v>1889624.3538333331</v>
      </c>
      <c r="AS16" s="55">
        <f t="shared" si="6"/>
        <v>1889624.3538333331</v>
      </c>
      <c r="AT16" s="55">
        <f t="shared" si="6"/>
        <v>1889624.3538333331</v>
      </c>
      <c r="AU16" s="55">
        <f t="shared" si="2"/>
        <v>1889624.3538333331</v>
      </c>
      <c r="AV16" s="55">
        <f t="shared" si="2"/>
        <v>1889624.3538333331</v>
      </c>
      <c r="AW16" s="55">
        <f t="shared" si="2"/>
        <v>1889624.3538333331</v>
      </c>
      <c r="AX16" s="55">
        <f t="shared" si="3"/>
        <v>1889624.3538333331</v>
      </c>
      <c r="AY16" s="55">
        <f t="shared" si="3"/>
        <v>1889624.3538333331</v>
      </c>
      <c r="AZ16" s="55">
        <f t="shared" si="3"/>
        <v>1889624.3538333331</v>
      </c>
      <c r="BA16" s="55">
        <f t="shared" si="3"/>
        <v>1889624.3538333331</v>
      </c>
      <c r="BB16" s="55">
        <f t="shared" si="3"/>
        <v>1889624.3538333331</v>
      </c>
      <c r="BC16" s="55">
        <f t="shared" si="3"/>
        <v>1889624.3538333331</v>
      </c>
      <c r="BD16" s="55">
        <f t="shared" si="3"/>
        <v>1889624.3538333331</v>
      </c>
      <c r="BE16" s="55">
        <f t="shared" si="3"/>
        <v>1889624.3538333331</v>
      </c>
      <c r="BF16" s="55">
        <f t="shared" si="3"/>
        <v>1889624.3538333331</v>
      </c>
      <c r="BG16" s="55">
        <f t="shared" si="3"/>
        <v>1889624.3538333331</v>
      </c>
      <c r="BH16" s="55">
        <f t="shared" si="3"/>
        <v>1889624.3538333331</v>
      </c>
      <c r="BI16" s="55" cm="1">
        <f t="array" ref="BI16">SUMPRODUCT((BI$20:BI$343)*($C$20:$C$343=$C16))</f>
        <v>1889624.3538333331</v>
      </c>
      <c r="BJ16" s="55">
        <f t="shared" si="3"/>
        <v>1889624.3538333331</v>
      </c>
      <c r="BK16" s="55">
        <f t="shared" si="3"/>
        <v>1889624.3538333331</v>
      </c>
      <c r="BL16" s="55">
        <f t="shared" si="3"/>
        <v>1889624.3538333331</v>
      </c>
      <c r="BM16" s="55">
        <f t="shared" si="3"/>
        <v>1889624.3538333331</v>
      </c>
    </row>
    <row r="17" spans="1:65">
      <c r="A17" s="51"/>
      <c r="B17" s="56" t="s">
        <v>141</v>
      </c>
      <c r="C17" s="56"/>
      <c r="D17" s="56"/>
      <c r="E17" s="57"/>
      <c r="F17" s="58">
        <f>SUM(F10:F11)-SUM(F12:F15)</f>
        <v>24538970</v>
      </c>
      <c r="G17" s="58">
        <f t="shared" ref="G17:BM17" si="7">SUM(G10:G11)-SUM(G12:G15)</f>
        <v>-11299454</v>
      </c>
      <c r="H17" s="58">
        <f t="shared" si="7"/>
        <v>-10141630</v>
      </c>
      <c r="I17" s="58">
        <f t="shared" si="7"/>
        <v>13413620</v>
      </c>
      <c r="J17" s="58">
        <f t="shared" si="7"/>
        <v>-8715230.4000000004</v>
      </c>
      <c r="K17" s="58">
        <f t="shared" si="7"/>
        <v>-3189780</v>
      </c>
      <c r="L17" s="58">
        <f t="shared" si="7"/>
        <v>11494832</v>
      </c>
      <c r="M17" s="58">
        <f t="shared" si="7"/>
        <v>-3424648.83</v>
      </c>
      <c r="N17" s="58">
        <f t="shared" si="7"/>
        <v>-7526049.4894414591</v>
      </c>
      <c r="O17" s="58">
        <f>SUM(O10:O11)-SUM(O12:O15)</f>
        <v>4070531.6287543173</v>
      </c>
      <c r="P17" s="58">
        <f t="shared" si="7"/>
        <v>-6093061.0353027871</v>
      </c>
      <c r="Q17" s="58">
        <f t="shared" si="7"/>
        <v>-609471.32448656764</v>
      </c>
      <c r="R17" s="58">
        <f t="shared" si="7"/>
        <v>-5404368.3137370478</v>
      </c>
      <c r="S17" s="58">
        <f t="shared" si="7"/>
        <v>386823.56735124346</v>
      </c>
      <c r="T17" s="58">
        <f t="shared" si="7"/>
        <v>-3390081.1921713101</v>
      </c>
      <c r="U17" s="58">
        <f t="shared" si="7"/>
        <v>2470741.36782869</v>
      </c>
      <c r="V17" s="58">
        <f t="shared" si="7"/>
        <v>2367139.0742917405</v>
      </c>
      <c r="W17" s="58">
        <f t="shared" si="7"/>
        <v>2446689.9613944264</v>
      </c>
      <c r="X17" s="58">
        <f t="shared" si="7"/>
        <v>2684060.4028646769</v>
      </c>
      <c r="Y17" s="58">
        <f t="shared" si="7"/>
        <v>4200790.490960164</v>
      </c>
      <c r="Z17" s="58">
        <f t="shared" si="7"/>
        <v>48282.014702487737</v>
      </c>
      <c r="AA17" s="58">
        <f t="shared" si="7"/>
        <v>639526.34852590412</v>
      </c>
      <c r="AB17" s="58">
        <f t="shared" si="7"/>
        <v>957526.34852590412</v>
      </c>
      <c r="AC17" s="58">
        <f t="shared" si="7"/>
        <v>753110.01470248774</v>
      </c>
      <c r="AD17" s="58">
        <f t="shared" si="7"/>
        <v>3473460.620525904</v>
      </c>
      <c r="AE17" s="58">
        <f t="shared" si="7"/>
        <v>3186917.3747024871</v>
      </c>
      <c r="AF17" s="58">
        <f t="shared" si="7"/>
        <v>3590210.620525904</v>
      </c>
      <c r="AG17" s="58">
        <f t="shared" si="7"/>
        <v>2984169.9245259035</v>
      </c>
      <c r="AH17" s="58">
        <f t="shared" si="7"/>
        <v>2182995.835055653</v>
      </c>
      <c r="AI17" s="58">
        <f t="shared" si="7"/>
        <v>2984169.9245259035</v>
      </c>
      <c r="AJ17" s="58">
        <f t="shared" si="7"/>
        <v>4783449.2403024873</v>
      </c>
      <c r="AK17" s="58">
        <f t="shared" si="7"/>
        <v>5139917.0669259038</v>
      </c>
      <c r="AL17" s="58">
        <f t="shared" si="7"/>
        <v>4783449.2403024873</v>
      </c>
      <c r="AM17" s="58">
        <f t="shared" si="7"/>
        <v>3101317.188525904</v>
      </c>
      <c r="AN17" s="58">
        <f t="shared" si="7"/>
        <v>3122117.188525904</v>
      </c>
      <c r="AO17" s="58">
        <f t="shared" si="7"/>
        <v>2851280.214702487</v>
      </c>
      <c r="AP17" s="58">
        <f t="shared" si="7"/>
        <v>4718381.188525904</v>
      </c>
      <c r="AQ17" s="58">
        <f t="shared" si="7"/>
        <v>10364600.214702487</v>
      </c>
      <c r="AR17" s="58">
        <f t="shared" si="7"/>
        <v>10718381.188525904</v>
      </c>
      <c r="AS17" s="58">
        <f t="shared" si="7"/>
        <v>10222297.092525903</v>
      </c>
      <c r="AT17" s="58">
        <f t="shared" si="7"/>
        <v>9208761.0190556534</v>
      </c>
      <c r="AU17" s="58">
        <f t="shared" si="7"/>
        <v>10242297.092525903</v>
      </c>
      <c r="AV17" s="58">
        <f t="shared" si="7"/>
        <v>9904451.7347024865</v>
      </c>
      <c r="AW17" s="58">
        <f t="shared" si="7"/>
        <v>10242297.092525903</v>
      </c>
      <c r="AX17" s="58">
        <f t="shared" si="7"/>
        <v>9904451.7347024865</v>
      </c>
      <c r="AY17" s="58">
        <f t="shared" si="7"/>
        <v>10242297.092525903</v>
      </c>
      <c r="AZ17" s="58">
        <f t="shared" si="7"/>
        <v>10242297.092525903</v>
      </c>
      <c r="BA17" s="58">
        <f t="shared" si="7"/>
        <v>9904451.7347024865</v>
      </c>
      <c r="BB17" s="58">
        <f t="shared" si="7"/>
        <v>10242297.092525903</v>
      </c>
      <c r="BC17" s="58">
        <f t="shared" si="7"/>
        <v>9904451.7347024865</v>
      </c>
      <c r="BD17" s="58">
        <f t="shared" si="7"/>
        <v>10242297.092525903</v>
      </c>
      <c r="BE17" s="58">
        <f t="shared" si="7"/>
        <v>15057348.092525903</v>
      </c>
      <c r="BF17" s="58">
        <f t="shared" si="7"/>
        <v>13463188.419055654</v>
      </c>
      <c r="BG17" s="58">
        <f t="shared" si="7"/>
        <v>14930644.892525904</v>
      </c>
      <c r="BH17" s="58">
        <f t="shared" si="7"/>
        <v>14441492.734702487</v>
      </c>
      <c r="BI17" s="58">
        <f t="shared" si="7"/>
        <v>14930644.892525904</v>
      </c>
      <c r="BJ17" s="58">
        <f t="shared" si="7"/>
        <v>14441492.734702487</v>
      </c>
      <c r="BK17" s="58">
        <f t="shared" si="7"/>
        <v>14930644.892525904</v>
      </c>
      <c r="BL17" s="58">
        <f t="shared" si="7"/>
        <v>14930644.892525904</v>
      </c>
      <c r="BM17" s="58">
        <f t="shared" si="7"/>
        <v>14441492.734702487</v>
      </c>
    </row>
    <row r="18" spans="1:65">
      <c r="A18" s="51"/>
      <c r="B18" s="59" t="s">
        <v>142</v>
      </c>
      <c r="C18" s="59"/>
      <c r="D18" s="59"/>
      <c r="E18" s="60"/>
      <c r="F18" s="61">
        <f>E18+F17</f>
        <v>24538970</v>
      </c>
      <c r="G18" s="61">
        <f t="shared" ref="G18:BM18" si="8">F18+G17</f>
        <v>13239516</v>
      </c>
      <c r="H18" s="61">
        <f t="shared" si="8"/>
        <v>3097886</v>
      </c>
      <c r="I18" s="61">
        <f t="shared" si="8"/>
        <v>16511506</v>
      </c>
      <c r="J18" s="61">
        <f t="shared" si="8"/>
        <v>7796275.5999999996</v>
      </c>
      <c r="K18" s="61">
        <f t="shared" si="8"/>
        <v>4606495.5999999996</v>
      </c>
      <c r="L18" s="61">
        <f t="shared" si="8"/>
        <v>16101327.6</v>
      </c>
      <c r="M18" s="61">
        <f t="shared" si="8"/>
        <v>12676678.77</v>
      </c>
      <c r="N18" s="61">
        <f t="shared" si="8"/>
        <v>5150629.2805585405</v>
      </c>
      <c r="O18" s="61">
        <f t="shared" si="8"/>
        <v>9221160.9093128573</v>
      </c>
      <c r="P18" s="61">
        <f t="shared" si="8"/>
        <v>3128099.8740100702</v>
      </c>
      <c r="Q18" s="61">
        <f t="shared" si="8"/>
        <v>2518628.5495235026</v>
      </c>
      <c r="R18" s="61">
        <f t="shared" si="8"/>
        <v>-2885739.7642135452</v>
      </c>
      <c r="S18" s="61">
        <f t="shared" si="8"/>
        <v>-2498916.1968623018</v>
      </c>
      <c r="T18" s="61">
        <f t="shared" si="8"/>
        <v>-5888997.3890336119</v>
      </c>
      <c r="U18" s="61">
        <f t="shared" si="8"/>
        <v>-3418256.0212049219</v>
      </c>
      <c r="V18" s="61">
        <f t="shared" si="8"/>
        <v>-1051116.9469131813</v>
      </c>
      <c r="W18" s="61">
        <f t="shared" si="8"/>
        <v>1395573.0144812451</v>
      </c>
      <c r="X18" s="61">
        <f t="shared" si="8"/>
        <v>4079633.417345922</v>
      </c>
      <c r="Y18" s="61">
        <f t="shared" si="8"/>
        <v>8280423.9083060864</v>
      </c>
      <c r="Z18" s="61">
        <f t="shared" si="8"/>
        <v>8328705.9230085742</v>
      </c>
      <c r="AA18" s="61">
        <f t="shared" si="8"/>
        <v>8968232.2715344783</v>
      </c>
      <c r="AB18" s="61">
        <f t="shared" si="8"/>
        <v>9925758.6200603824</v>
      </c>
      <c r="AC18" s="61">
        <f t="shared" si="8"/>
        <v>10678868.63476287</v>
      </c>
      <c r="AD18" s="61">
        <f t="shared" si="8"/>
        <v>14152329.255288774</v>
      </c>
      <c r="AE18" s="61">
        <f t="shared" si="8"/>
        <v>17339246.629991263</v>
      </c>
      <c r="AF18" s="61">
        <f t="shared" si="8"/>
        <v>20929457.250517167</v>
      </c>
      <c r="AG18" s="61">
        <f t="shared" si="8"/>
        <v>23913627.175043069</v>
      </c>
      <c r="AH18" s="61">
        <f t="shared" si="8"/>
        <v>26096623.010098722</v>
      </c>
      <c r="AI18" s="61">
        <f t="shared" si="8"/>
        <v>29080792.934624627</v>
      </c>
      <c r="AJ18" s="61">
        <f t="shared" si="8"/>
        <v>33864242.174927115</v>
      </c>
      <c r="AK18" s="61">
        <f t="shared" si="8"/>
        <v>39004159.241853021</v>
      </c>
      <c r="AL18" s="61">
        <f t="shared" si="8"/>
        <v>43787608.482155509</v>
      </c>
      <c r="AM18" s="61">
        <f t="shared" si="8"/>
        <v>46888925.670681417</v>
      </c>
      <c r="AN18" s="61">
        <f t="shared" si="8"/>
        <v>50011042.859207317</v>
      </c>
      <c r="AO18" s="61">
        <f t="shared" si="8"/>
        <v>52862323.073909804</v>
      </c>
      <c r="AP18" s="61">
        <f t="shared" si="8"/>
        <v>57580704.262435704</v>
      </c>
      <c r="AQ18" s="61">
        <f t="shared" si="8"/>
        <v>67945304.477138191</v>
      </c>
      <c r="AR18" s="61">
        <f t="shared" si="8"/>
        <v>78663685.665664092</v>
      </c>
      <c r="AS18" s="61">
        <f t="shared" si="8"/>
        <v>88885982.758189991</v>
      </c>
      <c r="AT18" s="61">
        <f t="shared" si="8"/>
        <v>98094743.777245641</v>
      </c>
      <c r="AU18" s="61">
        <f t="shared" si="8"/>
        <v>108337040.86977154</v>
      </c>
      <c r="AV18" s="61">
        <f t="shared" si="8"/>
        <v>118241492.60447402</v>
      </c>
      <c r="AW18" s="61">
        <f t="shared" si="8"/>
        <v>128483789.69699992</v>
      </c>
      <c r="AX18" s="61">
        <f t="shared" si="8"/>
        <v>138388241.43170241</v>
      </c>
      <c r="AY18" s="61">
        <f t="shared" si="8"/>
        <v>148630538.5242283</v>
      </c>
      <c r="AZ18" s="61">
        <f t="shared" si="8"/>
        <v>158872835.6167542</v>
      </c>
      <c r="BA18" s="61">
        <f t="shared" si="8"/>
        <v>168777287.3514567</v>
      </c>
      <c r="BB18" s="61">
        <f t="shared" si="8"/>
        <v>179019584.4439826</v>
      </c>
      <c r="BC18" s="61">
        <f t="shared" si="8"/>
        <v>188924036.1786851</v>
      </c>
      <c r="BD18" s="61">
        <f t="shared" si="8"/>
        <v>199166333.271211</v>
      </c>
      <c r="BE18" s="61">
        <f t="shared" si="8"/>
        <v>214223681.3637369</v>
      </c>
      <c r="BF18" s="61">
        <f t="shared" si="8"/>
        <v>227686869.78279254</v>
      </c>
      <c r="BG18" s="61">
        <f t="shared" si="8"/>
        <v>242617514.67531845</v>
      </c>
      <c r="BH18" s="61">
        <f t="shared" si="8"/>
        <v>257059007.41002095</v>
      </c>
      <c r="BI18" s="61">
        <f t="shared" si="8"/>
        <v>271989652.30254686</v>
      </c>
      <c r="BJ18" s="61">
        <f t="shared" si="8"/>
        <v>286431145.03724933</v>
      </c>
      <c r="BK18" s="61">
        <f t="shared" si="8"/>
        <v>301361789.92977524</v>
      </c>
      <c r="BL18" s="61">
        <f t="shared" si="8"/>
        <v>316292434.82230115</v>
      </c>
      <c r="BM18" s="61">
        <f t="shared" si="8"/>
        <v>330733927.55700362</v>
      </c>
    </row>
    <row r="19" spans="1:65">
      <c r="A19" s="51"/>
      <c r="B19" s="51"/>
      <c r="C19" s="51"/>
      <c r="D19" s="51"/>
      <c r="E19" s="53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</row>
    <row r="20" spans="1:65" s="11" customFormat="1">
      <c r="A20" s="9"/>
      <c r="B20" s="9"/>
      <c r="C20" s="9"/>
      <c r="D20" s="9"/>
      <c r="E20" s="10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</row>
    <row r="21" spans="1:65">
      <c r="A21" s="12"/>
      <c r="B21" s="51"/>
      <c r="C21" s="51"/>
      <c r="D21" s="51"/>
      <c r="E21" s="54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</row>
    <row r="22" spans="1:65">
      <c r="A22" s="3" t="s">
        <v>143</v>
      </c>
      <c r="B22" s="51"/>
      <c r="C22" s="51"/>
      <c r="D22" s="51"/>
      <c r="E22" s="54"/>
      <c r="F22" s="63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63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</row>
    <row r="23" spans="1:65">
      <c r="A23" s="51"/>
      <c r="B23" t="s">
        <v>144</v>
      </c>
      <c r="C23" s="51" t="s">
        <v>130</v>
      </c>
      <c r="D23" s="51"/>
      <c r="E23" s="54">
        <f t="shared" ref="E23:E26" si="9">SUM(F23:BM23)</f>
        <v>86000000</v>
      </c>
      <c r="F23" s="55">
        <v>43000000</v>
      </c>
      <c r="G23" s="55">
        <v>0</v>
      </c>
      <c r="H23" s="55">
        <v>0</v>
      </c>
      <c r="I23" s="55">
        <v>18000000</v>
      </c>
      <c r="J23" s="55">
        <v>0</v>
      </c>
      <c r="K23" s="55">
        <v>0</v>
      </c>
      <c r="L23" s="55">
        <v>20000000</v>
      </c>
      <c r="M23" s="55">
        <v>0</v>
      </c>
      <c r="N23" s="51"/>
      <c r="O23" s="55">
        <v>5000000</v>
      </c>
      <c r="P23" s="55">
        <v>0</v>
      </c>
      <c r="Q23" s="51"/>
      <c r="R23" s="51"/>
      <c r="S23" s="51"/>
      <c r="T23" s="51"/>
      <c r="U23" s="51"/>
      <c r="V23" s="51"/>
      <c r="W23" s="51"/>
      <c r="X23" s="63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</row>
    <row r="24" spans="1:65">
      <c r="A24" s="51"/>
      <c r="B24" s="51" t="s">
        <v>145</v>
      </c>
      <c r="C24" s="51"/>
      <c r="D24" s="51"/>
      <c r="E24" s="54">
        <f t="shared" si="9"/>
        <v>86000000</v>
      </c>
      <c r="F24" s="55">
        <v>43000000</v>
      </c>
      <c r="G24" s="55">
        <v>0</v>
      </c>
      <c r="H24" s="55">
        <v>0</v>
      </c>
      <c r="I24" s="55">
        <v>18000000</v>
      </c>
      <c r="J24" s="55">
        <v>0</v>
      </c>
      <c r="K24" s="55">
        <v>0</v>
      </c>
      <c r="L24" s="55">
        <v>20000000</v>
      </c>
      <c r="M24" s="55">
        <v>0</v>
      </c>
      <c r="N24" s="51"/>
      <c r="O24" s="55">
        <v>5000000</v>
      </c>
      <c r="P24" s="55">
        <v>0</v>
      </c>
      <c r="Q24" s="51"/>
      <c r="R24" s="51"/>
      <c r="S24" s="51"/>
      <c r="T24" s="51"/>
      <c r="U24" s="51"/>
      <c r="V24" s="51"/>
      <c r="W24" s="51"/>
      <c r="X24" s="63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</row>
    <row r="25" spans="1:65">
      <c r="A25" s="51"/>
      <c r="B25"/>
      <c r="C25" s="51"/>
      <c r="D25" s="51"/>
      <c r="E25" s="54">
        <f t="shared" si="9"/>
        <v>0</v>
      </c>
      <c r="F25" s="64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63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</row>
    <row r="26" spans="1:65">
      <c r="A26" s="51"/>
      <c r="B26" t="s">
        <v>146</v>
      </c>
      <c r="C26" s="51" t="s">
        <v>138</v>
      </c>
      <c r="D26" s="51"/>
      <c r="E26" s="54">
        <f t="shared" si="9"/>
        <v>0</v>
      </c>
      <c r="F26" s="63"/>
      <c r="G26" s="51"/>
      <c r="H26" s="51"/>
      <c r="I26" s="51"/>
      <c r="J26" s="51"/>
      <c r="K26" s="51"/>
      <c r="L26" s="51"/>
      <c r="M26" s="51"/>
      <c r="N26" s="51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>
        <v>0</v>
      </c>
      <c r="AD26" s="65"/>
      <c r="AE26" s="65">
        <v>0</v>
      </c>
      <c r="AF26" s="65"/>
      <c r="AG26" s="65"/>
      <c r="AH26" s="65">
        <v>0</v>
      </c>
      <c r="AI26" s="65"/>
      <c r="AJ26" s="65"/>
      <c r="AK26" s="65">
        <v>0</v>
      </c>
      <c r="AL26" s="65"/>
      <c r="AM26" s="65"/>
      <c r="AN26" s="65">
        <v>0</v>
      </c>
      <c r="AO26" s="65"/>
      <c r="AP26" s="65"/>
      <c r="AQ26" s="65">
        <v>0</v>
      </c>
      <c r="AR26" s="65"/>
      <c r="AS26" s="65"/>
      <c r="AT26" s="65">
        <v>0</v>
      </c>
      <c r="AU26" s="65"/>
      <c r="AV26" s="65"/>
      <c r="AW26" s="65">
        <v>0</v>
      </c>
      <c r="AX26" s="65"/>
      <c r="AY26" s="65"/>
      <c r="AZ26" s="65">
        <v>0</v>
      </c>
      <c r="BA26" s="65"/>
      <c r="BB26" s="65"/>
      <c r="BC26" s="65">
        <v>0</v>
      </c>
      <c r="BD26" s="65"/>
      <c r="BE26" s="65"/>
      <c r="BF26" s="65"/>
      <c r="BG26" s="65"/>
      <c r="BH26" s="65"/>
      <c r="BI26" s="65"/>
      <c r="BJ26" s="65"/>
      <c r="BK26" s="65"/>
      <c r="BL26" s="65"/>
      <c r="BM26" s="65"/>
    </row>
    <row r="27" spans="1:65">
      <c r="A27" s="51"/>
      <c r="B27" s="51"/>
      <c r="C27" s="51"/>
      <c r="D27" s="51"/>
      <c r="E27" s="54"/>
      <c r="F27" s="63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63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</row>
    <row r="28" spans="1:65">
      <c r="A28" s="51"/>
      <c r="B28" s="51"/>
      <c r="C28" s="51"/>
      <c r="D28" s="51"/>
      <c r="E28" s="54"/>
      <c r="F28" s="66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66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</row>
    <row r="29" spans="1:65">
      <c r="A29" s="3" t="s">
        <v>147</v>
      </c>
      <c r="B29" s="51"/>
      <c r="C29" s="51"/>
      <c r="D29" s="51"/>
      <c r="E29" s="54"/>
      <c r="F29" s="66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66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</row>
    <row r="30" spans="1:65">
      <c r="A30" s="51"/>
      <c r="B30" t="s">
        <v>148</v>
      </c>
      <c r="C30" s="51"/>
      <c r="D30" s="51"/>
      <c r="E30" s="54">
        <f t="shared" ref="E30:E35" si="10">SUM(F30:BM30)</f>
        <v>0</v>
      </c>
      <c r="F30" s="66">
        <v>0</v>
      </c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66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</row>
    <row r="31" spans="1:65">
      <c r="A31" s="51"/>
      <c r="B31" t="s">
        <v>149</v>
      </c>
      <c r="C31" s="51"/>
      <c r="D31" s="51"/>
      <c r="E31" s="54">
        <f t="shared" si="10"/>
        <v>4200000</v>
      </c>
      <c r="F31" s="67">
        <v>4200000</v>
      </c>
      <c r="G31" s="51"/>
      <c r="H31" s="51"/>
      <c r="I31" s="51"/>
      <c r="J31" s="51"/>
      <c r="K31" s="51"/>
      <c r="L31" s="51"/>
      <c r="M31" s="51"/>
      <c r="N31" s="51"/>
      <c r="O31" s="68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8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</row>
    <row r="32" spans="1:65">
      <c r="A32" s="51"/>
      <c r="B32" t="s">
        <v>150</v>
      </c>
      <c r="C32" s="51"/>
      <c r="D32" s="51"/>
      <c r="E32" s="54">
        <f t="shared" si="10"/>
        <v>250000</v>
      </c>
      <c r="F32" s="70">
        <v>250000</v>
      </c>
      <c r="G32" s="71">
        <v>0</v>
      </c>
      <c r="H32" s="71">
        <v>0</v>
      </c>
      <c r="I32" s="71">
        <v>0</v>
      </c>
      <c r="J32" s="72">
        <v>0</v>
      </c>
      <c r="K32" s="71"/>
      <c r="L32" s="13">
        <v>0</v>
      </c>
      <c r="M32" s="51"/>
      <c r="N32" s="51"/>
      <c r="O32" s="68">
        <v>0</v>
      </c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</row>
    <row r="33" spans="1:65">
      <c r="A33" s="51"/>
      <c r="B33" t="s">
        <v>151</v>
      </c>
      <c r="C33" s="51"/>
      <c r="D33" s="73">
        <v>0</v>
      </c>
      <c r="E33" s="54">
        <f t="shared" si="10"/>
        <v>0</v>
      </c>
      <c r="F33" s="66"/>
      <c r="G33" s="51"/>
      <c r="H33" s="51"/>
      <c r="I33" s="51"/>
      <c r="J33" s="51"/>
      <c r="K33" s="51"/>
      <c r="L33" s="51"/>
      <c r="M33" s="51"/>
      <c r="N33" s="51"/>
      <c r="O33" s="69">
        <f t="shared" ref="O33:BM33" si="11">-IPMT($D33/12,O6-$N6,$BM6-$N6,$F23,)</f>
        <v>0</v>
      </c>
      <c r="P33" s="69">
        <f t="shared" si="11"/>
        <v>0</v>
      </c>
      <c r="Q33" s="69">
        <f t="shared" si="11"/>
        <v>0</v>
      </c>
      <c r="R33" s="69">
        <f t="shared" si="11"/>
        <v>0</v>
      </c>
      <c r="S33" s="69">
        <f t="shared" si="11"/>
        <v>0</v>
      </c>
      <c r="T33" s="69">
        <f t="shared" si="11"/>
        <v>0</v>
      </c>
      <c r="U33" s="69">
        <f t="shared" si="11"/>
        <v>0</v>
      </c>
      <c r="V33" s="69">
        <f t="shared" si="11"/>
        <v>0</v>
      </c>
      <c r="W33" s="69">
        <f t="shared" si="11"/>
        <v>0</v>
      </c>
      <c r="X33" s="69">
        <f t="shared" si="11"/>
        <v>0</v>
      </c>
      <c r="Y33" s="69">
        <f t="shared" si="11"/>
        <v>0</v>
      </c>
      <c r="Z33" s="69">
        <f t="shared" si="11"/>
        <v>0</v>
      </c>
      <c r="AA33" s="69">
        <f t="shared" si="11"/>
        <v>0</v>
      </c>
      <c r="AB33" s="69">
        <f t="shared" si="11"/>
        <v>0</v>
      </c>
      <c r="AC33" s="69">
        <f t="shared" si="11"/>
        <v>0</v>
      </c>
      <c r="AD33" s="69">
        <f t="shared" si="11"/>
        <v>0</v>
      </c>
      <c r="AE33" s="69">
        <f t="shared" si="11"/>
        <v>0</v>
      </c>
      <c r="AF33" s="69">
        <f t="shared" si="11"/>
        <v>0</v>
      </c>
      <c r="AG33" s="69">
        <f t="shared" si="11"/>
        <v>0</v>
      </c>
      <c r="AH33" s="69">
        <f t="shared" si="11"/>
        <v>0</v>
      </c>
      <c r="AI33" s="69">
        <f t="shared" si="11"/>
        <v>0</v>
      </c>
      <c r="AJ33" s="69">
        <f t="shared" si="11"/>
        <v>0</v>
      </c>
      <c r="AK33" s="69">
        <f t="shared" si="11"/>
        <v>0</v>
      </c>
      <c r="AL33" s="69">
        <f t="shared" si="11"/>
        <v>0</v>
      </c>
      <c r="AM33" s="69">
        <f t="shared" si="11"/>
        <v>0</v>
      </c>
      <c r="AN33" s="69">
        <f t="shared" si="11"/>
        <v>0</v>
      </c>
      <c r="AO33" s="69">
        <f t="shared" si="11"/>
        <v>0</v>
      </c>
      <c r="AP33" s="69">
        <f t="shared" si="11"/>
        <v>0</v>
      </c>
      <c r="AQ33" s="69">
        <f t="shared" si="11"/>
        <v>0</v>
      </c>
      <c r="AR33" s="69">
        <f t="shared" si="11"/>
        <v>0</v>
      </c>
      <c r="AS33" s="69">
        <f t="shared" si="11"/>
        <v>0</v>
      </c>
      <c r="AT33" s="69">
        <f t="shared" si="11"/>
        <v>0</v>
      </c>
      <c r="AU33" s="69">
        <f t="shared" si="11"/>
        <v>0</v>
      </c>
      <c r="AV33" s="69">
        <f t="shared" si="11"/>
        <v>0</v>
      </c>
      <c r="AW33" s="69">
        <f t="shared" si="11"/>
        <v>0</v>
      </c>
      <c r="AX33" s="69">
        <f t="shared" si="11"/>
        <v>0</v>
      </c>
      <c r="AY33" s="69">
        <f t="shared" si="11"/>
        <v>0</v>
      </c>
      <c r="AZ33" s="69">
        <f t="shared" si="11"/>
        <v>0</v>
      </c>
      <c r="BA33" s="69">
        <f t="shared" si="11"/>
        <v>0</v>
      </c>
      <c r="BB33" s="69">
        <f t="shared" si="11"/>
        <v>0</v>
      </c>
      <c r="BC33" s="69">
        <f t="shared" si="11"/>
        <v>0</v>
      </c>
      <c r="BD33" s="69">
        <f t="shared" si="11"/>
        <v>0</v>
      </c>
      <c r="BE33" s="69">
        <f t="shared" si="11"/>
        <v>0</v>
      </c>
      <c r="BF33" s="69">
        <f t="shared" si="11"/>
        <v>0</v>
      </c>
      <c r="BG33" s="69">
        <f t="shared" si="11"/>
        <v>0</v>
      </c>
      <c r="BH33" s="69">
        <f t="shared" si="11"/>
        <v>0</v>
      </c>
      <c r="BI33" s="69">
        <f t="shared" si="11"/>
        <v>0</v>
      </c>
      <c r="BJ33" s="69">
        <f t="shared" si="11"/>
        <v>0</v>
      </c>
      <c r="BK33" s="69">
        <f t="shared" si="11"/>
        <v>0</v>
      </c>
      <c r="BL33" s="69">
        <f t="shared" si="11"/>
        <v>0</v>
      </c>
      <c r="BM33" s="69">
        <f t="shared" si="11"/>
        <v>0</v>
      </c>
    </row>
    <row r="34" spans="1:65">
      <c r="A34" s="51"/>
      <c r="B34"/>
      <c r="C34" s="51"/>
      <c r="D34" s="51"/>
      <c r="E34" s="54">
        <f t="shared" si="10"/>
        <v>0</v>
      </c>
      <c r="F34" s="66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66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3">
        <f>F25</f>
        <v>0</v>
      </c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3"/>
    </row>
    <row r="35" spans="1:65">
      <c r="A35" s="51"/>
      <c r="B35" s="14" t="s">
        <v>152</v>
      </c>
      <c r="C35" s="74" t="s">
        <v>132</v>
      </c>
      <c r="D35" s="75">
        <f>E35/E23</f>
        <v>5.1744186046511625E-2</v>
      </c>
      <c r="E35" s="76">
        <f t="shared" si="10"/>
        <v>4450000</v>
      </c>
      <c r="F35" s="77">
        <f t="shared" ref="F35:BM35" si="12">SUM(F30:F34)</f>
        <v>4450000</v>
      </c>
      <c r="G35" s="77">
        <f t="shared" si="12"/>
        <v>0</v>
      </c>
      <c r="H35" s="77">
        <f t="shared" si="12"/>
        <v>0</v>
      </c>
      <c r="I35" s="77">
        <f t="shared" si="12"/>
        <v>0</v>
      </c>
      <c r="J35" s="77">
        <f t="shared" si="12"/>
        <v>0</v>
      </c>
      <c r="K35" s="77">
        <f t="shared" si="12"/>
        <v>0</v>
      </c>
      <c r="L35" s="77">
        <f t="shared" si="12"/>
        <v>0</v>
      </c>
      <c r="M35" s="77">
        <f t="shared" si="12"/>
        <v>0</v>
      </c>
      <c r="N35" s="77">
        <f t="shared" si="12"/>
        <v>0</v>
      </c>
      <c r="O35" s="77">
        <f t="shared" si="12"/>
        <v>0</v>
      </c>
      <c r="P35" s="77">
        <f t="shared" si="12"/>
        <v>0</v>
      </c>
      <c r="Q35" s="77">
        <f t="shared" si="12"/>
        <v>0</v>
      </c>
      <c r="R35" s="77">
        <f t="shared" si="12"/>
        <v>0</v>
      </c>
      <c r="S35" s="77">
        <f t="shared" si="12"/>
        <v>0</v>
      </c>
      <c r="T35" s="77">
        <f t="shared" si="12"/>
        <v>0</v>
      </c>
      <c r="U35" s="77">
        <f t="shared" si="12"/>
        <v>0</v>
      </c>
      <c r="V35" s="77">
        <f t="shared" si="12"/>
        <v>0</v>
      </c>
      <c r="W35" s="77">
        <f t="shared" si="12"/>
        <v>0</v>
      </c>
      <c r="X35" s="77">
        <f t="shared" si="12"/>
        <v>0</v>
      </c>
      <c r="Y35" s="77">
        <f t="shared" si="12"/>
        <v>0</v>
      </c>
      <c r="Z35" s="77">
        <f t="shared" si="12"/>
        <v>0</v>
      </c>
      <c r="AA35" s="77">
        <f t="shared" si="12"/>
        <v>0</v>
      </c>
      <c r="AB35" s="77">
        <f t="shared" si="12"/>
        <v>0</v>
      </c>
      <c r="AC35" s="77">
        <f t="shared" si="12"/>
        <v>0</v>
      </c>
      <c r="AD35" s="77">
        <f t="shared" si="12"/>
        <v>0</v>
      </c>
      <c r="AE35" s="77">
        <f t="shared" si="12"/>
        <v>0</v>
      </c>
      <c r="AF35" s="77">
        <f t="shared" si="12"/>
        <v>0</v>
      </c>
      <c r="AG35" s="77">
        <f t="shared" si="12"/>
        <v>0</v>
      </c>
      <c r="AH35" s="77">
        <f t="shared" si="12"/>
        <v>0</v>
      </c>
      <c r="AI35" s="77">
        <f t="shared" si="12"/>
        <v>0</v>
      </c>
      <c r="AJ35" s="77">
        <f t="shared" si="12"/>
        <v>0</v>
      </c>
      <c r="AK35" s="77">
        <f t="shared" si="12"/>
        <v>0</v>
      </c>
      <c r="AL35" s="77">
        <f t="shared" si="12"/>
        <v>0</v>
      </c>
      <c r="AM35" s="77">
        <f t="shared" si="12"/>
        <v>0</v>
      </c>
      <c r="AN35" s="77">
        <f t="shared" si="12"/>
        <v>0</v>
      </c>
      <c r="AO35" s="77">
        <f t="shared" si="12"/>
        <v>0</v>
      </c>
      <c r="AP35" s="77">
        <f t="shared" si="12"/>
        <v>0</v>
      </c>
      <c r="AQ35" s="77">
        <f t="shared" si="12"/>
        <v>0</v>
      </c>
      <c r="AR35" s="77">
        <f t="shared" si="12"/>
        <v>0</v>
      </c>
      <c r="AS35" s="77">
        <f t="shared" si="12"/>
        <v>0</v>
      </c>
      <c r="AT35" s="77">
        <f t="shared" si="12"/>
        <v>0</v>
      </c>
      <c r="AU35" s="77">
        <f t="shared" si="12"/>
        <v>0</v>
      </c>
      <c r="AV35" s="77">
        <f t="shared" si="12"/>
        <v>0</v>
      </c>
      <c r="AW35" s="77">
        <f t="shared" si="12"/>
        <v>0</v>
      </c>
      <c r="AX35" s="77">
        <f t="shared" si="12"/>
        <v>0</v>
      </c>
      <c r="AY35" s="77">
        <f t="shared" si="12"/>
        <v>0</v>
      </c>
      <c r="AZ35" s="77">
        <f t="shared" si="12"/>
        <v>0</v>
      </c>
      <c r="BA35" s="77">
        <f t="shared" si="12"/>
        <v>0</v>
      </c>
      <c r="BB35" s="77">
        <f t="shared" si="12"/>
        <v>0</v>
      </c>
      <c r="BC35" s="77">
        <f t="shared" si="12"/>
        <v>0</v>
      </c>
      <c r="BD35" s="77">
        <f t="shared" si="12"/>
        <v>0</v>
      </c>
      <c r="BE35" s="77">
        <f t="shared" si="12"/>
        <v>0</v>
      </c>
      <c r="BF35" s="77">
        <f t="shared" si="12"/>
        <v>0</v>
      </c>
      <c r="BG35" s="77">
        <f t="shared" si="12"/>
        <v>0</v>
      </c>
      <c r="BH35" s="77">
        <f t="shared" si="12"/>
        <v>0</v>
      </c>
      <c r="BI35" s="77">
        <f t="shared" si="12"/>
        <v>0</v>
      </c>
      <c r="BJ35" s="77">
        <f t="shared" si="12"/>
        <v>0</v>
      </c>
      <c r="BK35" s="77">
        <f t="shared" si="12"/>
        <v>0</v>
      </c>
      <c r="BL35" s="77">
        <f t="shared" si="12"/>
        <v>0</v>
      </c>
      <c r="BM35" s="77">
        <f t="shared" si="12"/>
        <v>0</v>
      </c>
    </row>
    <row r="36" spans="1:65">
      <c r="A36" s="51"/>
      <c r="B36" s="51"/>
      <c r="C36" s="51"/>
      <c r="D36" s="51"/>
      <c r="E36" s="54"/>
      <c r="F36" s="66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66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</row>
    <row r="37" spans="1:65">
      <c r="A37" s="3" t="s">
        <v>153</v>
      </c>
      <c r="B37" s="51"/>
      <c r="C37" s="51"/>
      <c r="D37" s="51"/>
      <c r="E37" s="78"/>
      <c r="F37" s="66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66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</row>
    <row r="38" spans="1:65">
      <c r="A38" s="51"/>
      <c r="B38" s="51"/>
      <c r="C38" s="51"/>
      <c r="D38" s="51"/>
      <c r="E38" s="78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80"/>
      <c r="BM38" s="80"/>
    </row>
    <row r="39" spans="1:65">
      <c r="A39" s="51"/>
      <c r="B39" s="3" t="s">
        <v>154</v>
      </c>
      <c r="C39" s="51"/>
      <c r="D39" s="51"/>
      <c r="E39" s="8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</row>
    <row r="40" spans="1:65" outlineLevel="1">
      <c r="A40" s="51"/>
      <c r="B40" s="51" t="s">
        <v>155</v>
      </c>
      <c r="C40" s="51"/>
      <c r="D40" s="51"/>
      <c r="E40" s="81">
        <f t="shared" ref="E40:E63" si="13">SUM(F40:BM40)</f>
        <v>0</v>
      </c>
      <c r="F40" s="82">
        <v>0</v>
      </c>
      <c r="G40" s="82">
        <f>F40</f>
        <v>0</v>
      </c>
      <c r="H40" s="82">
        <f t="shared" ref="H40:Q40" si="14">G40</f>
        <v>0</v>
      </c>
      <c r="I40" s="82">
        <f t="shared" si="14"/>
        <v>0</v>
      </c>
      <c r="J40" s="82">
        <f t="shared" si="14"/>
        <v>0</v>
      </c>
      <c r="K40" s="82">
        <f t="shared" si="14"/>
        <v>0</v>
      </c>
      <c r="L40" s="82">
        <f t="shared" si="14"/>
        <v>0</v>
      </c>
      <c r="M40" s="82">
        <f t="shared" si="14"/>
        <v>0</v>
      </c>
      <c r="N40" s="82">
        <f t="shared" si="14"/>
        <v>0</v>
      </c>
      <c r="O40" s="82">
        <f t="shared" si="14"/>
        <v>0</v>
      </c>
      <c r="P40" s="82">
        <f t="shared" si="14"/>
        <v>0</v>
      </c>
      <c r="Q40" s="82">
        <f t="shared" si="14"/>
        <v>0</v>
      </c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2"/>
      <c r="BM40" s="82"/>
    </row>
    <row r="41" spans="1:65" outlineLevel="1">
      <c r="A41" s="51"/>
      <c r="B41" t="s">
        <v>156</v>
      </c>
      <c r="C41" s="51"/>
      <c r="D41" s="51"/>
      <c r="E41" s="81">
        <f t="shared" si="13"/>
        <v>150000</v>
      </c>
      <c r="F41" s="83">
        <v>2500</v>
      </c>
      <c r="G41" s="82">
        <f t="shared" ref="G41:V56" si="15">F41</f>
        <v>2500</v>
      </c>
      <c r="H41" s="82">
        <f t="shared" si="15"/>
        <v>2500</v>
      </c>
      <c r="I41" s="82">
        <f t="shared" si="15"/>
        <v>2500</v>
      </c>
      <c r="J41" s="82">
        <f t="shared" si="15"/>
        <v>2500</v>
      </c>
      <c r="K41" s="82">
        <f t="shared" si="15"/>
        <v>2500</v>
      </c>
      <c r="L41" s="82">
        <f t="shared" si="15"/>
        <v>2500</v>
      </c>
      <c r="M41" s="82">
        <f t="shared" si="15"/>
        <v>2500</v>
      </c>
      <c r="N41" s="82">
        <f t="shared" si="15"/>
        <v>2500</v>
      </c>
      <c r="O41" s="82">
        <f t="shared" si="15"/>
        <v>2500</v>
      </c>
      <c r="P41" s="82">
        <f t="shared" si="15"/>
        <v>2500</v>
      </c>
      <c r="Q41" s="82">
        <f t="shared" si="15"/>
        <v>2500</v>
      </c>
      <c r="R41" s="82">
        <f t="shared" si="15"/>
        <v>2500</v>
      </c>
      <c r="S41" s="82">
        <f t="shared" si="15"/>
        <v>2500</v>
      </c>
      <c r="T41" s="82">
        <f t="shared" si="15"/>
        <v>2500</v>
      </c>
      <c r="U41" s="82">
        <f t="shared" si="15"/>
        <v>2500</v>
      </c>
      <c r="V41" s="82">
        <f t="shared" si="15"/>
        <v>2500</v>
      </c>
      <c r="W41" s="82">
        <f t="shared" ref="W41:AL56" si="16">V41</f>
        <v>2500</v>
      </c>
      <c r="X41" s="82">
        <f t="shared" si="16"/>
        <v>2500</v>
      </c>
      <c r="Y41" s="82">
        <f t="shared" si="16"/>
        <v>2500</v>
      </c>
      <c r="Z41" s="82">
        <f t="shared" si="16"/>
        <v>2500</v>
      </c>
      <c r="AA41" s="82">
        <f t="shared" si="16"/>
        <v>2500</v>
      </c>
      <c r="AB41" s="82">
        <f t="shared" si="16"/>
        <v>2500</v>
      </c>
      <c r="AC41" s="82">
        <f t="shared" si="16"/>
        <v>2500</v>
      </c>
      <c r="AD41" s="82">
        <f t="shared" si="16"/>
        <v>2500</v>
      </c>
      <c r="AE41" s="82">
        <f t="shared" si="16"/>
        <v>2500</v>
      </c>
      <c r="AF41" s="82">
        <f t="shared" si="16"/>
        <v>2500</v>
      </c>
      <c r="AG41" s="82">
        <f t="shared" si="16"/>
        <v>2500</v>
      </c>
      <c r="AH41" s="82">
        <f t="shared" si="16"/>
        <v>2500</v>
      </c>
      <c r="AI41" s="82">
        <f t="shared" si="16"/>
        <v>2500</v>
      </c>
      <c r="AJ41" s="82">
        <f t="shared" si="16"/>
        <v>2500</v>
      </c>
      <c r="AK41" s="82">
        <f t="shared" si="16"/>
        <v>2500</v>
      </c>
      <c r="AL41" s="82">
        <f t="shared" si="16"/>
        <v>2500</v>
      </c>
      <c r="AM41" s="82">
        <f t="shared" ref="AM41:BB56" si="17">AL41</f>
        <v>2500</v>
      </c>
      <c r="AN41" s="82">
        <f t="shared" si="17"/>
        <v>2500</v>
      </c>
      <c r="AO41" s="82">
        <f t="shared" si="17"/>
        <v>2500</v>
      </c>
      <c r="AP41" s="82">
        <f t="shared" si="17"/>
        <v>2500</v>
      </c>
      <c r="AQ41" s="82">
        <f t="shared" si="17"/>
        <v>2500</v>
      </c>
      <c r="AR41" s="82">
        <f t="shared" si="17"/>
        <v>2500</v>
      </c>
      <c r="AS41" s="82">
        <f t="shared" si="17"/>
        <v>2500</v>
      </c>
      <c r="AT41" s="82">
        <f t="shared" si="17"/>
        <v>2500</v>
      </c>
      <c r="AU41" s="82">
        <f t="shared" si="17"/>
        <v>2500</v>
      </c>
      <c r="AV41" s="82">
        <f t="shared" si="17"/>
        <v>2500</v>
      </c>
      <c r="AW41" s="82">
        <f t="shared" si="17"/>
        <v>2500</v>
      </c>
      <c r="AX41" s="82">
        <f t="shared" si="17"/>
        <v>2500</v>
      </c>
      <c r="AY41" s="82">
        <f t="shared" si="17"/>
        <v>2500</v>
      </c>
      <c r="AZ41" s="82">
        <f t="shared" si="17"/>
        <v>2500</v>
      </c>
      <c r="BA41" s="82">
        <f t="shared" si="17"/>
        <v>2500</v>
      </c>
      <c r="BB41" s="82">
        <f t="shared" si="17"/>
        <v>2500</v>
      </c>
      <c r="BC41" s="82">
        <f t="shared" ref="BC41:BM56" si="18">BB41</f>
        <v>2500</v>
      </c>
      <c r="BD41" s="82">
        <f t="shared" si="18"/>
        <v>2500</v>
      </c>
      <c r="BE41" s="82">
        <f t="shared" si="18"/>
        <v>2500</v>
      </c>
      <c r="BF41" s="82">
        <f t="shared" si="18"/>
        <v>2500</v>
      </c>
      <c r="BG41" s="82">
        <f t="shared" si="18"/>
        <v>2500</v>
      </c>
      <c r="BH41" s="82">
        <f t="shared" si="18"/>
        <v>2500</v>
      </c>
      <c r="BI41" s="82">
        <f t="shared" si="18"/>
        <v>2500</v>
      </c>
      <c r="BJ41" s="82">
        <f t="shared" si="18"/>
        <v>2500</v>
      </c>
      <c r="BK41" s="82">
        <f t="shared" si="18"/>
        <v>2500</v>
      </c>
      <c r="BL41" s="82">
        <f t="shared" si="18"/>
        <v>2500</v>
      </c>
      <c r="BM41" s="82">
        <f t="shared" si="18"/>
        <v>2500</v>
      </c>
    </row>
    <row r="42" spans="1:65" outlineLevel="1">
      <c r="A42" s="51"/>
      <c r="B42" s="51" t="s">
        <v>157</v>
      </c>
      <c r="C42" s="51"/>
      <c r="D42" s="51"/>
      <c r="E42" s="81">
        <f t="shared" si="13"/>
        <v>9000</v>
      </c>
      <c r="F42" s="83">
        <v>150</v>
      </c>
      <c r="G42" s="82">
        <f t="shared" si="15"/>
        <v>150</v>
      </c>
      <c r="H42" s="82">
        <f t="shared" si="15"/>
        <v>150</v>
      </c>
      <c r="I42" s="82">
        <f t="shared" si="15"/>
        <v>150</v>
      </c>
      <c r="J42" s="82">
        <f t="shared" si="15"/>
        <v>150</v>
      </c>
      <c r="K42" s="82">
        <f t="shared" si="15"/>
        <v>150</v>
      </c>
      <c r="L42" s="82">
        <f t="shared" si="15"/>
        <v>150</v>
      </c>
      <c r="M42" s="82">
        <f t="shared" si="15"/>
        <v>150</v>
      </c>
      <c r="N42" s="82">
        <f t="shared" si="15"/>
        <v>150</v>
      </c>
      <c r="O42" s="82">
        <f t="shared" si="15"/>
        <v>150</v>
      </c>
      <c r="P42" s="82">
        <f t="shared" si="15"/>
        <v>150</v>
      </c>
      <c r="Q42" s="82">
        <f t="shared" si="15"/>
        <v>150</v>
      </c>
      <c r="R42" s="82">
        <f t="shared" si="15"/>
        <v>150</v>
      </c>
      <c r="S42" s="82">
        <f t="shared" si="15"/>
        <v>150</v>
      </c>
      <c r="T42" s="82">
        <f t="shared" si="15"/>
        <v>150</v>
      </c>
      <c r="U42" s="82">
        <f t="shared" si="15"/>
        <v>150</v>
      </c>
      <c r="V42" s="82">
        <f t="shared" si="15"/>
        <v>150</v>
      </c>
      <c r="W42" s="82">
        <f t="shared" si="16"/>
        <v>150</v>
      </c>
      <c r="X42" s="82">
        <f t="shared" si="16"/>
        <v>150</v>
      </c>
      <c r="Y42" s="82">
        <f t="shared" si="16"/>
        <v>150</v>
      </c>
      <c r="Z42" s="82">
        <f t="shared" si="16"/>
        <v>150</v>
      </c>
      <c r="AA42" s="82">
        <f t="shared" si="16"/>
        <v>150</v>
      </c>
      <c r="AB42" s="82">
        <f t="shared" si="16"/>
        <v>150</v>
      </c>
      <c r="AC42" s="82">
        <f t="shared" si="16"/>
        <v>150</v>
      </c>
      <c r="AD42" s="82">
        <f t="shared" si="16"/>
        <v>150</v>
      </c>
      <c r="AE42" s="82">
        <f t="shared" si="16"/>
        <v>150</v>
      </c>
      <c r="AF42" s="82">
        <f t="shared" si="16"/>
        <v>150</v>
      </c>
      <c r="AG42" s="82">
        <f t="shared" si="16"/>
        <v>150</v>
      </c>
      <c r="AH42" s="82">
        <f t="shared" si="16"/>
        <v>150</v>
      </c>
      <c r="AI42" s="82">
        <f t="shared" si="16"/>
        <v>150</v>
      </c>
      <c r="AJ42" s="82">
        <f t="shared" si="16"/>
        <v>150</v>
      </c>
      <c r="AK42" s="82">
        <f t="shared" si="16"/>
        <v>150</v>
      </c>
      <c r="AL42" s="82">
        <f t="shared" si="16"/>
        <v>150</v>
      </c>
      <c r="AM42" s="82">
        <f t="shared" si="17"/>
        <v>150</v>
      </c>
      <c r="AN42" s="82">
        <f t="shared" si="17"/>
        <v>150</v>
      </c>
      <c r="AO42" s="82">
        <f t="shared" si="17"/>
        <v>150</v>
      </c>
      <c r="AP42" s="82">
        <f t="shared" si="17"/>
        <v>150</v>
      </c>
      <c r="AQ42" s="82">
        <f t="shared" si="17"/>
        <v>150</v>
      </c>
      <c r="AR42" s="82">
        <f t="shared" si="17"/>
        <v>150</v>
      </c>
      <c r="AS42" s="82">
        <f t="shared" si="17"/>
        <v>150</v>
      </c>
      <c r="AT42" s="82">
        <f t="shared" si="17"/>
        <v>150</v>
      </c>
      <c r="AU42" s="82">
        <f t="shared" si="17"/>
        <v>150</v>
      </c>
      <c r="AV42" s="82">
        <f t="shared" si="17"/>
        <v>150</v>
      </c>
      <c r="AW42" s="82">
        <f t="shared" si="17"/>
        <v>150</v>
      </c>
      <c r="AX42" s="82">
        <f t="shared" si="17"/>
        <v>150</v>
      </c>
      <c r="AY42" s="82">
        <f t="shared" si="17"/>
        <v>150</v>
      </c>
      <c r="AZ42" s="82">
        <f t="shared" si="17"/>
        <v>150</v>
      </c>
      <c r="BA42" s="82">
        <f t="shared" si="17"/>
        <v>150</v>
      </c>
      <c r="BB42" s="82">
        <f t="shared" si="17"/>
        <v>150</v>
      </c>
      <c r="BC42" s="82">
        <f t="shared" si="18"/>
        <v>150</v>
      </c>
      <c r="BD42" s="82">
        <f t="shared" si="18"/>
        <v>150</v>
      </c>
      <c r="BE42" s="82">
        <f t="shared" si="18"/>
        <v>150</v>
      </c>
      <c r="BF42" s="82">
        <f t="shared" si="18"/>
        <v>150</v>
      </c>
      <c r="BG42" s="82">
        <f t="shared" si="18"/>
        <v>150</v>
      </c>
      <c r="BH42" s="82">
        <f t="shared" si="18"/>
        <v>150</v>
      </c>
      <c r="BI42" s="82">
        <f t="shared" si="18"/>
        <v>150</v>
      </c>
      <c r="BJ42" s="82">
        <f t="shared" si="18"/>
        <v>150</v>
      </c>
      <c r="BK42" s="82">
        <f t="shared" si="18"/>
        <v>150</v>
      </c>
      <c r="BL42" s="82">
        <f t="shared" si="18"/>
        <v>150</v>
      </c>
      <c r="BM42" s="82">
        <f t="shared" si="18"/>
        <v>150</v>
      </c>
    </row>
    <row r="43" spans="1:65" outlineLevel="1">
      <c r="A43" s="51"/>
      <c r="B43" s="51" t="s">
        <v>158</v>
      </c>
      <c r="C43" s="51"/>
      <c r="D43" s="51"/>
      <c r="E43" s="81">
        <f t="shared" si="13"/>
        <v>0</v>
      </c>
      <c r="F43" s="83">
        <v>0</v>
      </c>
      <c r="G43" s="82">
        <f t="shared" si="15"/>
        <v>0</v>
      </c>
      <c r="H43" s="82">
        <f t="shared" si="15"/>
        <v>0</v>
      </c>
      <c r="I43" s="82">
        <f t="shared" si="15"/>
        <v>0</v>
      </c>
      <c r="J43" s="82">
        <f t="shared" si="15"/>
        <v>0</v>
      </c>
      <c r="K43" s="82">
        <f t="shared" si="15"/>
        <v>0</v>
      </c>
      <c r="L43" s="82">
        <f t="shared" si="15"/>
        <v>0</v>
      </c>
      <c r="M43" s="82">
        <f t="shared" si="15"/>
        <v>0</v>
      </c>
      <c r="N43" s="82">
        <f t="shared" si="15"/>
        <v>0</v>
      </c>
      <c r="O43" s="82">
        <f t="shared" si="15"/>
        <v>0</v>
      </c>
      <c r="P43" s="82">
        <f t="shared" si="15"/>
        <v>0</v>
      </c>
      <c r="Q43" s="82">
        <f t="shared" si="15"/>
        <v>0</v>
      </c>
      <c r="R43" s="82">
        <f t="shared" si="15"/>
        <v>0</v>
      </c>
      <c r="S43" s="82">
        <f t="shared" si="15"/>
        <v>0</v>
      </c>
      <c r="T43" s="82">
        <f t="shared" si="15"/>
        <v>0</v>
      </c>
      <c r="U43" s="82">
        <f t="shared" si="15"/>
        <v>0</v>
      </c>
      <c r="V43" s="82">
        <f t="shared" si="15"/>
        <v>0</v>
      </c>
      <c r="W43" s="82">
        <f t="shared" si="16"/>
        <v>0</v>
      </c>
      <c r="X43" s="82">
        <f t="shared" si="16"/>
        <v>0</v>
      </c>
      <c r="Y43" s="82">
        <f t="shared" si="16"/>
        <v>0</v>
      </c>
      <c r="Z43" s="82">
        <f t="shared" si="16"/>
        <v>0</v>
      </c>
      <c r="AA43" s="82">
        <f t="shared" si="16"/>
        <v>0</v>
      </c>
      <c r="AB43" s="82">
        <f t="shared" si="16"/>
        <v>0</v>
      </c>
      <c r="AC43" s="82">
        <f t="shared" si="16"/>
        <v>0</v>
      </c>
      <c r="AD43" s="82">
        <f t="shared" si="16"/>
        <v>0</v>
      </c>
      <c r="AE43" s="82">
        <f t="shared" si="16"/>
        <v>0</v>
      </c>
      <c r="AF43" s="82">
        <f t="shared" si="16"/>
        <v>0</v>
      </c>
      <c r="AG43" s="82">
        <f t="shared" si="16"/>
        <v>0</v>
      </c>
      <c r="AH43" s="82">
        <f t="shared" si="16"/>
        <v>0</v>
      </c>
      <c r="AI43" s="82">
        <f t="shared" si="16"/>
        <v>0</v>
      </c>
      <c r="AJ43" s="82">
        <f t="shared" si="16"/>
        <v>0</v>
      </c>
      <c r="AK43" s="82">
        <f t="shared" si="16"/>
        <v>0</v>
      </c>
      <c r="AL43" s="82">
        <f t="shared" si="16"/>
        <v>0</v>
      </c>
      <c r="AM43" s="82">
        <f t="shared" si="17"/>
        <v>0</v>
      </c>
      <c r="AN43" s="82">
        <f t="shared" si="17"/>
        <v>0</v>
      </c>
      <c r="AO43" s="82">
        <f t="shared" si="17"/>
        <v>0</v>
      </c>
      <c r="AP43" s="82">
        <f t="shared" si="17"/>
        <v>0</v>
      </c>
      <c r="AQ43" s="82">
        <f t="shared" si="17"/>
        <v>0</v>
      </c>
      <c r="AR43" s="82">
        <f t="shared" si="17"/>
        <v>0</v>
      </c>
      <c r="AS43" s="82">
        <f t="shared" si="17"/>
        <v>0</v>
      </c>
      <c r="AT43" s="82">
        <f t="shared" si="17"/>
        <v>0</v>
      </c>
      <c r="AU43" s="82">
        <f t="shared" si="17"/>
        <v>0</v>
      </c>
      <c r="AV43" s="82">
        <f t="shared" si="17"/>
        <v>0</v>
      </c>
      <c r="AW43" s="82">
        <f t="shared" si="17"/>
        <v>0</v>
      </c>
      <c r="AX43" s="82">
        <f t="shared" si="17"/>
        <v>0</v>
      </c>
      <c r="AY43" s="82">
        <f t="shared" si="17"/>
        <v>0</v>
      </c>
      <c r="AZ43" s="82">
        <f t="shared" si="17"/>
        <v>0</v>
      </c>
      <c r="BA43" s="82">
        <f t="shared" si="17"/>
        <v>0</v>
      </c>
      <c r="BB43" s="82">
        <f t="shared" si="17"/>
        <v>0</v>
      </c>
      <c r="BC43" s="82">
        <f t="shared" si="18"/>
        <v>0</v>
      </c>
      <c r="BD43" s="82">
        <f t="shared" si="18"/>
        <v>0</v>
      </c>
      <c r="BE43" s="82">
        <f t="shared" si="18"/>
        <v>0</v>
      </c>
      <c r="BF43" s="82">
        <f t="shared" si="18"/>
        <v>0</v>
      </c>
      <c r="BG43" s="82">
        <f t="shared" si="18"/>
        <v>0</v>
      </c>
      <c r="BH43" s="82">
        <f t="shared" si="18"/>
        <v>0</v>
      </c>
      <c r="BI43" s="82">
        <f t="shared" si="18"/>
        <v>0</v>
      </c>
      <c r="BJ43" s="82">
        <f t="shared" si="18"/>
        <v>0</v>
      </c>
      <c r="BK43" s="82">
        <f t="shared" si="18"/>
        <v>0</v>
      </c>
      <c r="BL43" s="82">
        <f t="shared" si="18"/>
        <v>0</v>
      </c>
      <c r="BM43" s="82">
        <f t="shared" si="18"/>
        <v>0</v>
      </c>
    </row>
    <row r="44" spans="1:65" outlineLevel="1">
      <c r="A44" s="51"/>
      <c r="B44" t="s">
        <v>159</v>
      </c>
      <c r="C44" s="51"/>
      <c r="D44" s="51"/>
      <c r="E44" s="81">
        <f t="shared" si="13"/>
        <v>3408000</v>
      </c>
      <c r="F44" s="72">
        <v>56800</v>
      </c>
      <c r="G44" s="82">
        <f t="shared" si="15"/>
        <v>56800</v>
      </c>
      <c r="H44" s="82">
        <f t="shared" si="15"/>
        <v>56800</v>
      </c>
      <c r="I44" s="82">
        <f t="shared" si="15"/>
        <v>56800</v>
      </c>
      <c r="J44" s="82">
        <f t="shared" si="15"/>
        <v>56800</v>
      </c>
      <c r="K44" s="82">
        <f t="shared" si="15"/>
        <v>56800</v>
      </c>
      <c r="L44" s="82">
        <f t="shared" si="15"/>
        <v>56800</v>
      </c>
      <c r="M44" s="82">
        <f t="shared" si="15"/>
        <v>56800</v>
      </c>
      <c r="N44" s="82">
        <f t="shared" si="15"/>
        <v>56800</v>
      </c>
      <c r="O44" s="82">
        <f t="shared" si="15"/>
        <v>56800</v>
      </c>
      <c r="P44" s="82">
        <f t="shared" si="15"/>
        <v>56800</v>
      </c>
      <c r="Q44" s="82">
        <f t="shared" si="15"/>
        <v>56800</v>
      </c>
      <c r="R44" s="82">
        <f t="shared" si="15"/>
        <v>56800</v>
      </c>
      <c r="S44" s="82">
        <f t="shared" si="15"/>
        <v>56800</v>
      </c>
      <c r="T44" s="82">
        <f t="shared" si="15"/>
        <v>56800</v>
      </c>
      <c r="U44" s="82">
        <f t="shared" si="15"/>
        <v>56800</v>
      </c>
      <c r="V44" s="82">
        <f t="shared" si="15"/>
        <v>56800</v>
      </c>
      <c r="W44" s="82">
        <f t="shared" si="16"/>
        <v>56800</v>
      </c>
      <c r="X44" s="82">
        <f t="shared" si="16"/>
        <v>56800</v>
      </c>
      <c r="Y44" s="82">
        <f t="shared" si="16"/>
        <v>56800</v>
      </c>
      <c r="Z44" s="82">
        <f t="shared" si="16"/>
        <v>56800</v>
      </c>
      <c r="AA44" s="82">
        <f t="shared" si="16"/>
        <v>56800</v>
      </c>
      <c r="AB44" s="82">
        <f t="shared" si="16"/>
        <v>56800</v>
      </c>
      <c r="AC44" s="82">
        <f t="shared" si="16"/>
        <v>56800</v>
      </c>
      <c r="AD44" s="82">
        <f t="shared" si="16"/>
        <v>56800</v>
      </c>
      <c r="AE44" s="82">
        <f t="shared" si="16"/>
        <v>56800</v>
      </c>
      <c r="AF44" s="82">
        <f t="shared" si="16"/>
        <v>56800</v>
      </c>
      <c r="AG44" s="82">
        <f t="shared" si="16"/>
        <v>56800</v>
      </c>
      <c r="AH44" s="82">
        <f t="shared" si="16"/>
        <v>56800</v>
      </c>
      <c r="AI44" s="82">
        <f t="shared" si="16"/>
        <v>56800</v>
      </c>
      <c r="AJ44" s="82">
        <f t="shared" si="16"/>
        <v>56800</v>
      </c>
      <c r="AK44" s="82">
        <f t="shared" si="16"/>
        <v>56800</v>
      </c>
      <c r="AL44" s="82">
        <f t="shared" si="16"/>
        <v>56800</v>
      </c>
      <c r="AM44" s="82">
        <f t="shared" si="17"/>
        <v>56800</v>
      </c>
      <c r="AN44" s="82">
        <f t="shared" si="17"/>
        <v>56800</v>
      </c>
      <c r="AO44" s="82">
        <f t="shared" si="17"/>
        <v>56800</v>
      </c>
      <c r="AP44" s="82">
        <f t="shared" si="17"/>
        <v>56800</v>
      </c>
      <c r="AQ44" s="82">
        <f t="shared" si="17"/>
        <v>56800</v>
      </c>
      <c r="AR44" s="82">
        <f t="shared" si="17"/>
        <v>56800</v>
      </c>
      <c r="AS44" s="82">
        <f t="shared" si="17"/>
        <v>56800</v>
      </c>
      <c r="AT44" s="82">
        <f t="shared" si="17"/>
        <v>56800</v>
      </c>
      <c r="AU44" s="82">
        <f t="shared" si="17"/>
        <v>56800</v>
      </c>
      <c r="AV44" s="82">
        <f t="shared" si="17"/>
        <v>56800</v>
      </c>
      <c r="AW44" s="82">
        <f t="shared" si="17"/>
        <v>56800</v>
      </c>
      <c r="AX44" s="82">
        <f t="shared" si="17"/>
        <v>56800</v>
      </c>
      <c r="AY44" s="82">
        <f t="shared" si="17"/>
        <v>56800</v>
      </c>
      <c r="AZ44" s="82">
        <f t="shared" si="17"/>
        <v>56800</v>
      </c>
      <c r="BA44" s="82">
        <f t="shared" si="17"/>
        <v>56800</v>
      </c>
      <c r="BB44" s="82">
        <f t="shared" si="17"/>
        <v>56800</v>
      </c>
      <c r="BC44" s="82">
        <f t="shared" si="18"/>
        <v>56800</v>
      </c>
      <c r="BD44" s="82">
        <f t="shared" si="18"/>
        <v>56800</v>
      </c>
      <c r="BE44" s="82">
        <f t="shared" si="18"/>
        <v>56800</v>
      </c>
      <c r="BF44" s="82">
        <f t="shared" si="18"/>
        <v>56800</v>
      </c>
      <c r="BG44" s="82">
        <f t="shared" si="18"/>
        <v>56800</v>
      </c>
      <c r="BH44" s="82">
        <f t="shared" si="18"/>
        <v>56800</v>
      </c>
      <c r="BI44" s="82">
        <f t="shared" si="18"/>
        <v>56800</v>
      </c>
      <c r="BJ44" s="82">
        <f t="shared" si="18"/>
        <v>56800</v>
      </c>
      <c r="BK44" s="82">
        <f t="shared" si="18"/>
        <v>56800</v>
      </c>
      <c r="BL44" s="82">
        <f t="shared" si="18"/>
        <v>56800</v>
      </c>
      <c r="BM44" s="82">
        <f t="shared" si="18"/>
        <v>56800</v>
      </c>
    </row>
    <row r="45" spans="1:65" outlineLevel="1">
      <c r="A45" s="51"/>
      <c r="B45" s="51" t="s">
        <v>160</v>
      </c>
      <c r="C45" s="51"/>
      <c r="D45" s="51"/>
      <c r="E45" s="81">
        <f t="shared" si="13"/>
        <v>132000</v>
      </c>
      <c r="F45" s="83">
        <v>2200</v>
      </c>
      <c r="G45" s="82">
        <f t="shared" si="15"/>
        <v>2200</v>
      </c>
      <c r="H45" s="82">
        <f t="shared" si="15"/>
        <v>2200</v>
      </c>
      <c r="I45" s="82">
        <f t="shared" si="15"/>
        <v>2200</v>
      </c>
      <c r="J45" s="82">
        <f t="shared" si="15"/>
        <v>2200</v>
      </c>
      <c r="K45" s="82">
        <f t="shared" si="15"/>
        <v>2200</v>
      </c>
      <c r="L45" s="82">
        <f t="shared" si="15"/>
        <v>2200</v>
      </c>
      <c r="M45" s="82">
        <f t="shared" si="15"/>
        <v>2200</v>
      </c>
      <c r="N45" s="82">
        <f t="shared" si="15"/>
        <v>2200</v>
      </c>
      <c r="O45" s="82">
        <f t="shared" si="15"/>
        <v>2200</v>
      </c>
      <c r="P45" s="82">
        <f t="shared" si="15"/>
        <v>2200</v>
      </c>
      <c r="Q45" s="82">
        <f t="shared" si="15"/>
        <v>2200</v>
      </c>
      <c r="R45" s="82">
        <f t="shared" si="15"/>
        <v>2200</v>
      </c>
      <c r="S45" s="82">
        <f t="shared" si="15"/>
        <v>2200</v>
      </c>
      <c r="T45" s="82">
        <f t="shared" si="15"/>
        <v>2200</v>
      </c>
      <c r="U45" s="82">
        <f t="shared" si="15"/>
        <v>2200</v>
      </c>
      <c r="V45" s="82">
        <f t="shared" si="15"/>
        <v>2200</v>
      </c>
      <c r="W45" s="82">
        <f t="shared" si="16"/>
        <v>2200</v>
      </c>
      <c r="X45" s="82">
        <f t="shared" si="16"/>
        <v>2200</v>
      </c>
      <c r="Y45" s="82">
        <f t="shared" si="16"/>
        <v>2200</v>
      </c>
      <c r="Z45" s="82">
        <f t="shared" si="16"/>
        <v>2200</v>
      </c>
      <c r="AA45" s="82">
        <f t="shared" si="16"/>
        <v>2200</v>
      </c>
      <c r="AB45" s="82">
        <f t="shared" si="16"/>
        <v>2200</v>
      </c>
      <c r="AC45" s="82">
        <f t="shared" si="16"/>
        <v>2200</v>
      </c>
      <c r="AD45" s="82">
        <f t="shared" si="16"/>
        <v>2200</v>
      </c>
      <c r="AE45" s="82">
        <f t="shared" si="16"/>
        <v>2200</v>
      </c>
      <c r="AF45" s="82">
        <f t="shared" si="16"/>
        <v>2200</v>
      </c>
      <c r="AG45" s="82">
        <f t="shared" si="16"/>
        <v>2200</v>
      </c>
      <c r="AH45" s="82">
        <f t="shared" si="16"/>
        <v>2200</v>
      </c>
      <c r="AI45" s="82">
        <f t="shared" si="16"/>
        <v>2200</v>
      </c>
      <c r="AJ45" s="82">
        <f t="shared" si="16"/>
        <v>2200</v>
      </c>
      <c r="AK45" s="82">
        <f t="shared" si="16"/>
        <v>2200</v>
      </c>
      <c r="AL45" s="82">
        <f t="shared" si="16"/>
        <v>2200</v>
      </c>
      <c r="AM45" s="82">
        <f t="shared" si="17"/>
        <v>2200</v>
      </c>
      <c r="AN45" s="82">
        <f t="shared" si="17"/>
        <v>2200</v>
      </c>
      <c r="AO45" s="82">
        <f t="shared" si="17"/>
        <v>2200</v>
      </c>
      <c r="AP45" s="82">
        <f t="shared" si="17"/>
        <v>2200</v>
      </c>
      <c r="AQ45" s="82">
        <f t="shared" si="17"/>
        <v>2200</v>
      </c>
      <c r="AR45" s="82">
        <f t="shared" si="17"/>
        <v>2200</v>
      </c>
      <c r="AS45" s="82">
        <f t="shared" si="17"/>
        <v>2200</v>
      </c>
      <c r="AT45" s="82">
        <f t="shared" si="17"/>
        <v>2200</v>
      </c>
      <c r="AU45" s="82">
        <f t="shared" si="17"/>
        <v>2200</v>
      </c>
      <c r="AV45" s="82">
        <f t="shared" si="17"/>
        <v>2200</v>
      </c>
      <c r="AW45" s="82">
        <f t="shared" si="17"/>
        <v>2200</v>
      </c>
      <c r="AX45" s="82">
        <f t="shared" si="17"/>
        <v>2200</v>
      </c>
      <c r="AY45" s="82">
        <f t="shared" si="17"/>
        <v>2200</v>
      </c>
      <c r="AZ45" s="82">
        <f t="shared" si="17"/>
        <v>2200</v>
      </c>
      <c r="BA45" s="82">
        <f t="shared" si="17"/>
        <v>2200</v>
      </c>
      <c r="BB45" s="82">
        <f t="shared" si="17"/>
        <v>2200</v>
      </c>
      <c r="BC45" s="82">
        <f t="shared" si="18"/>
        <v>2200</v>
      </c>
      <c r="BD45" s="82">
        <f t="shared" si="18"/>
        <v>2200</v>
      </c>
      <c r="BE45" s="82">
        <f t="shared" si="18"/>
        <v>2200</v>
      </c>
      <c r="BF45" s="82">
        <f t="shared" si="18"/>
        <v>2200</v>
      </c>
      <c r="BG45" s="82">
        <f t="shared" si="18"/>
        <v>2200</v>
      </c>
      <c r="BH45" s="82">
        <f t="shared" si="18"/>
        <v>2200</v>
      </c>
      <c r="BI45" s="82">
        <f t="shared" si="18"/>
        <v>2200</v>
      </c>
      <c r="BJ45" s="82">
        <f t="shared" si="18"/>
        <v>2200</v>
      </c>
      <c r="BK45" s="82">
        <f t="shared" si="18"/>
        <v>2200</v>
      </c>
      <c r="BL45" s="82">
        <f t="shared" si="18"/>
        <v>2200</v>
      </c>
      <c r="BM45" s="82">
        <f t="shared" si="18"/>
        <v>2200</v>
      </c>
    </row>
    <row r="46" spans="1:65" outlineLevel="1">
      <c r="A46" s="51"/>
      <c r="B46" s="51" t="s">
        <v>161</v>
      </c>
      <c r="C46" s="51"/>
      <c r="D46" s="51"/>
      <c r="E46" s="81">
        <f t="shared" si="13"/>
        <v>708000</v>
      </c>
      <c r="F46" s="72">
        <f>SUM(F44:F45)*0.2</f>
        <v>11800</v>
      </c>
      <c r="G46" s="82">
        <f t="shared" si="15"/>
        <v>11800</v>
      </c>
      <c r="H46" s="82">
        <f t="shared" si="15"/>
        <v>11800</v>
      </c>
      <c r="I46" s="82">
        <f t="shared" si="15"/>
        <v>11800</v>
      </c>
      <c r="J46" s="82">
        <f t="shared" si="15"/>
        <v>11800</v>
      </c>
      <c r="K46" s="82">
        <f t="shared" si="15"/>
        <v>11800</v>
      </c>
      <c r="L46" s="82">
        <f t="shared" si="15"/>
        <v>11800</v>
      </c>
      <c r="M46" s="82">
        <f t="shared" si="15"/>
        <v>11800</v>
      </c>
      <c r="N46" s="82">
        <f t="shared" si="15"/>
        <v>11800</v>
      </c>
      <c r="O46" s="82">
        <f t="shared" si="15"/>
        <v>11800</v>
      </c>
      <c r="P46" s="82">
        <f t="shared" si="15"/>
        <v>11800</v>
      </c>
      <c r="Q46" s="82">
        <f t="shared" si="15"/>
        <v>11800</v>
      </c>
      <c r="R46" s="82">
        <f t="shared" si="15"/>
        <v>11800</v>
      </c>
      <c r="S46" s="82">
        <f t="shared" si="15"/>
        <v>11800</v>
      </c>
      <c r="T46" s="82">
        <f t="shared" si="15"/>
        <v>11800</v>
      </c>
      <c r="U46" s="82">
        <f t="shared" si="15"/>
        <v>11800</v>
      </c>
      <c r="V46" s="82">
        <f t="shared" si="15"/>
        <v>11800</v>
      </c>
      <c r="W46" s="82">
        <f t="shared" si="16"/>
        <v>11800</v>
      </c>
      <c r="X46" s="82">
        <f t="shared" si="16"/>
        <v>11800</v>
      </c>
      <c r="Y46" s="82">
        <f t="shared" si="16"/>
        <v>11800</v>
      </c>
      <c r="Z46" s="82">
        <f t="shared" si="16"/>
        <v>11800</v>
      </c>
      <c r="AA46" s="82">
        <f t="shared" si="16"/>
        <v>11800</v>
      </c>
      <c r="AB46" s="82">
        <f t="shared" si="16"/>
        <v>11800</v>
      </c>
      <c r="AC46" s="82">
        <f t="shared" si="16"/>
        <v>11800</v>
      </c>
      <c r="AD46" s="82">
        <f t="shared" si="16"/>
        <v>11800</v>
      </c>
      <c r="AE46" s="82">
        <f t="shared" si="16"/>
        <v>11800</v>
      </c>
      <c r="AF46" s="82">
        <f t="shared" si="16"/>
        <v>11800</v>
      </c>
      <c r="AG46" s="82">
        <f t="shared" si="16"/>
        <v>11800</v>
      </c>
      <c r="AH46" s="82">
        <f t="shared" si="16"/>
        <v>11800</v>
      </c>
      <c r="AI46" s="82">
        <f t="shared" si="16"/>
        <v>11800</v>
      </c>
      <c r="AJ46" s="82">
        <f t="shared" si="16"/>
        <v>11800</v>
      </c>
      <c r="AK46" s="82">
        <f t="shared" si="16"/>
        <v>11800</v>
      </c>
      <c r="AL46" s="82">
        <f t="shared" si="16"/>
        <v>11800</v>
      </c>
      <c r="AM46" s="82">
        <f t="shared" si="17"/>
        <v>11800</v>
      </c>
      <c r="AN46" s="82">
        <f t="shared" si="17"/>
        <v>11800</v>
      </c>
      <c r="AO46" s="82">
        <f t="shared" si="17"/>
        <v>11800</v>
      </c>
      <c r="AP46" s="82">
        <f t="shared" si="17"/>
        <v>11800</v>
      </c>
      <c r="AQ46" s="82">
        <f t="shared" si="17"/>
        <v>11800</v>
      </c>
      <c r="AR46" s="82">
        <f t="shared" si="17"/>
        <v>11800</v>
      </c>
      <c r="AS46" s="82">
        <f t="shared" si="17"/>
        <v>11800</v>
      </c>
      <c r="AT46" s="82">
        <f t="shared" si="17"/>
        <v>11800</v>
      </c>
      <c r="AU46" s="82">
        <f t="shared" si="17"/>
        <v>11800</v>
      </c>
      <c r="AV46" s="82">
        <f t="shared" si="17"/>
        <v>11800</v>
      </c>
      <c r="AW46" s="82">
        <f t="shared" si="17"/>
        <v>11800</v>
      </c>
      <c r="AX46" s="82">
        <f t="shared" si="17"/>
        <v>11800</v>
      </c>
      <c r="AY46" s="82">
        <f t="shared" si="17"/>
        <v>11800</v>
      </c>
      <c r="AZ46" s="82">
        <f t="shared" si="17"/>
        <v>11800</v>
      </c>
      <c r="BA46" s="82">
        <f t="shared" si="17"/>
        <v>11800</v>
      </c>
      <c r="BB46" s="82">
        <f t="shared" si="17"/>
        <v>11800</v>
      </c>
      <c r="BC46" s="82">
        <f t="shared" si="18"/>
        <v>11800</v>
      </c>
      <c r="BD46" s="82">
        <f t="shared" si="18"/>
        <v>11800</v>
      </c>
      <c r="BE46" s="82">
        <f t="shared" si="18"/>
        <v>11800</v>
      </c>
      <c r="BF46" s="82">
        <f t="shared" si="18"/>
        <v>11800</v>
      </c>
      <c r="BG46" s="82">
        <f t="shared" si="18"/>
        <v>11800</v>
      </c>
      <c r="BH46" s="82">
        <f t="shared" si="18"/>
        <v>11800</v>
      </c>
      <c r="BI46" s="82">
        <f t="shared" si="18"/>
        <v>11800</v>
      </c>
      <c r="BJ46" s="82">
        <f t="shared" si="18"/>
        <v>11800</v>
      </c>
      <c r="BK46" s="82">
        <f t="shared" si="18"/>
        <v>11800</v>
      </c>
      <c r="BL46" s="82">
        <f t="shared" si="18"/>
        <v>11800</v>
      </c>
      <c r="BM46" s="82">
        <f t="shared" si="18"/>
        <v>11800</v>
      </c>
    </row>
    <row r="47" spans="1:65" outlineLevel="1">
      <c r="A47" s="51"/>
      <c r="B47" s="51" t="s">
        <v>162</v>
      </c>
      <c r="C47" s="51"/>
      <c r="D47" s="51"/>
      <c r="E47" s="81">
        <f t="shared" si="13"/>
        <v>450000</v>
      </c>
      <c r="F47" s="83">
        <v>7500</v>
      </c>
      <c r="G47" s="82">
        <f t="shared" si="15"/>
        <v>7500</v>
      </c>
      <c r="H47" s="82">
        <f t="shared" si="15"/>
        <v>7500</v>
      </c>
      <c r="I47" s="82">
        <f t="shared" si="15"/>
        <v>7500</v>
      </c>
      <c r="J47" s="82">
        <f t="shared" si="15"/>
        <v>7500</v>
      </c>
      <c r="K47" s="82">
        <f t="shared" si="15"/>
        <v>7500</v>
      </c>
      <c r="L47" s="82">
        <f t="shared" si="15"/>
        <v>7500</v>
      </c>
      <c r="M47" s="82">
        <f t="shared" si="15"/>
        <v>7500</v>
      </c>
      <c r="N47" s="82">
        <f t="shared" si="15"/>
        <v>7500</v>
      </c>
      <c r="O47" s="82">
        <f t="shared" si="15"/>
        <v>7500</v>
      </c>
      <c r="P47" s="82">
        <f t="shared" si="15"/>
        <v>7500</v>
      </c>
      <c r="Q47" s="82">
        <f t="shared" si="15"/>
        <v>7500</v>
      </c>
      <c r="R47" s="82">
        <f t="shared" si="15"/>
        <v>7500</v>
      </c>
      <c r="S47" s="82">
        <f t="shared" si="15"/>
        <v>7500</v>
      </c>
      <c r="T47" s="82">
        <f t="shared" si="15"/>
        <v>7500</v>
      </c>
      <c r="U47" s="82">
        <f t="shared" si="15"/>
        <v>7500</v>
      </c>
      <c r="V47" s="82">
        <f t="shared" si="15"/>
        <v>7500</v>
      </c>
      <c r="W47" s="82">
        <f t="shared" si="16"/>
        <v>7500</v>
      </c>
      <c r="X47" s="82">
        <f t="shared" si="16"/>
        <v>7500</v>
      </c>
      <c r="Y47" s="82">
        <f t="shared" si="16"/>
        <v>7500</v>
      </c>
      <c r="Z47" s="82">
        <f t="shared" si="16"/>
        <v>7500</v>
      </c>
      <c r="AA47" s="82">
        <f t="shared" si="16"/>
        <v>7500</v>
      </c>
      <c r="AB47" s="82">
        <f t="shared" si="16"/>
        <v>7500</v>
      </c>
      <c r="AC47" s="82">
        <f t="shared" si="16"/>
        <v>7500</v>
      </c>
      <c r="AD47" s="82">
        <f t="shared" si="16"/>
        <v>7500</v>
      </c>
      <c r="AE47" s="82">
        <f t="shared" si="16"/>
        <v>7500</v>
      </c>
      <c r="AF47" s="82">
        <f t="shared" si="16"/>
        <v>7500</v>
      </c>
      <c r="AG47" s="82">
        <f t="shared" si="16"/>
        <v>7500</v>
      </c>
      <c r="AH47" s="82">
        <f t="shared" si="16"/>
        <v>7500</v>
      </c>
      <c r="AI47" s="82">
        <f t="shared" si="16"/>
        <v>7500</v>
      </c>
      <c r="AJ47" s="82">
        <f t="shared" si="16"/>
        <v>7500</v>
      </c>
      <c r="AK47" s="82">
        <f t="shared" si="16"/>
        <v>7500</v>
      </c>
      <c r="AL47" s="82">
        <f t="shared" si="16"/>
        <v>7500</v>
      </c>
      <c r="AM47" s="82">
        <f t="shared" si="17"/>
        <v>7500</v>
      </c>
      <c r="AN47" s="82">
        <f t="shared" si="17"/>
        <v>7500</v>
      </c>
      <c r="AO47" s="82">
        <f t="shared" si="17"/>
        <v>7500</v>
      </c>
      <c r="AP47" s="82">
        <f t="shared" si="17"/>
        <v>7500</v>
      </c>
      <c r="AQ47" s="82">
        <f t="shared" si="17"/>
        <v>7500</v>
      </c>
      <c r="AR47" s="82">
        <f t="shared" si="17"/>
        <v>7500</v>
      </c>
      <c r="AS47" s="82">
        <f t="shared" si="17"/>
        <v>7500</v>
      </c>
      <c r="AT47" s="82">
        <f t="shared" si="17"/>
        <v>7500</v>
      </c>
      <c r="AU47" s="82">
        <f t="shared" si="17"/>
        <v>7500</v>
      </c>
      <c r="AV47" s="82">
        <f t="shared" si="17"/>
        <v>7500</v>
      </c>
      <c r="AW47" s="82">
        <f t="shared" si="17"/>
        <v>7500</v>
      </c>
      <c r="AX47" s="82">
        <f t="shared" si="17"/>
        <v>7500</v>
      </c>
      <c r="AY47" s="82">
        <f t="shared" si="17"/>
        <v>7500</v>
      </c>
      <c r="AZ47" s="82">
        <f t="shared" si="17"/>
        <v>7500</v>
      </c>
      <c r="BA47" s="82">
        <f t="shared" si="17"/>
        <v>7500</v>
      </c>
      <c r="BB47" s="82">
        <f t="shared" si="17"/>
        <v>7500</v>
      </c>
      <c r="BC47" s="82">
        <f t="shared" si="18"/>
        <v>7500</v>
      </c>
      <c r="BD47" s="82">
        <f t="shared" si="18"/>
        <v>7500</v>
      </c>
      <c r="BE47" s="82">
        <f t="shared" si="18"/>
        <v>7500</v>
      </c>
      <c r="BF47" s="82">
        <f t="shared" si="18"/>
        <v>7500</v>
      </c>
      <c r="BG47" s="82">
        <f t="shared" si="18"/>
        <v>7500</v>
      </c>
      <c r="BH47" s="82">
        <f t="shared" si="18"/>
        <v>7500</v>
      </c>
      <c r="BI47" s="82">
        <f t="shared" si="18"/>
        <v>7500</v>
      </c>
      <c r="BJ47" s="82">
        <f t="shared" si="18"/>
        <v>7500</v>
      </c>
      <c r="BK47" s="82">
        <f t="shared" si="18"/>
        <v>7500</v>
      </c>
      <c r="BL47" s="82">
        <f t="shared" si="18"/>
        <v>7500</v>
      </c>
      <c r="BM47" s="82">
        <f t="shared" si="18"/>
        <v>7500</v>
      </c>
    </row>
    <row r="48" spans="1:65" outlineLevel="1">
      <c r="A48" s="51"/>
      <c r="B48" t="s">
        <v>163</v>
      </c>
      <c r="C48" s="51"/>
      <c r="D48" s="51"/>
      <c r="E48" s="81">
        <f t="shared" si="13"/>
        <v>0</v>
      </c>
      <c r="F48" s="83">
        <v>0</v>
      </c>
      <c r="G48" s="82">
        <f t="shared" si="15"/>
        <v>0</v>
      </c>
      <c r="H48" s="82">
        <f t="shared" si="15"/>
        <v>0</v>
      </c>
      <c r="I48" s="82">
        <f t="shared" si="15"/>
        <v>0</v>
      </c>
      <c r="J48" s="82">
        <f t="shared" si="15"/>
        <v>0</v>
      </c>
      <c r="K48" s="82">
        <f t="shared" si="15"/>
        <v>0</v>
      </c>
      <c r="L48" s="82">
        <f t="shared" si="15"/>
        <v>0</v>
      </c>
      <c r="M48" s="82">
        <f t="shared" si="15"/>
        <v>0</v>
      </c>
      <c r="N48" s="82">
        <f t="shared" si="15"/>
        <v>0</v>
      </c>
      <c r="O48" s="82">
        <f t="shared" si="15"/>
        <v>0</v>
      </c>
      <c r="P48" s="82">
        <f t="shared" si="15"/>
        <v>0</v>
      </c>
      <c r="Q48" s="82">
        <f t="shared" si="15"/>
        <v>0</v>
      </c>
      <c r="R48" s="82">
        <f t="shared" si="15"/>
        <v>0</v>
      </c>
      <c r="S48" s="82">
        <f t="shared" si="15"/>
        <v>0</v>
      </c>
      <c r="T48" s="82">
        <f t="shared" si="15"/>
        <v>0</v>
      </c>
      <c r="U48" s="82">
        <f t="shared" si="15"/>
        <v>0</v>
      </c>
      <c r="V48" s="82">
        <f t="shared" si="15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2">
        <f t="shared" si="16"/>
        <v>0</v>
      </c>
      <c r="AA48" s="82">
        <f t="shared" si="16"/>
        <v>0</v>
      </c>
      <c r="AB48" s="82">
        <f t="shared" si="16"/>
        <v>0</v>
      </c>
      <c r="AC48" s="82">
        <f t="shared" si="16"/>
        <v>0</v>
      </c>
      <c r="AD48" s="82">
        <f t="shared" si="16"/>
        <v>0</v>
      </c>
      <c r="AE48" s="82">
        <f t="shared" si="16"/>
        <v>0</v>
      </c>
      <c r="AF48" s="82">
        <f t="shared" si="16"/>
        <v>0</v>
      </c>
      <c r="AG48" s="82">
        <f t="shared" si="16"/>
        <v>0</v>
      </c>
      <c r="AH48" s="82">
        <f t="shared" si="16"/>
        <v>0</v>
      </c>
      <c r="AI48" s="82">
        <f t="shared" si="16"/>
        <v>0</v>
      </c>
      <c r="AJ48" s="82">
        <f t="shared" si="16"/>
        <v>0</v>
      </c>
      <c r="AK48" s="82">
        <f t="shared" si="16"/>
        <v>0</v>
      </c>
      <c r="AL48" s="82">
        <f t="shared" si="16"/>
        <v>0</v>
      </c>
      <c r="AM48" s="82">
        <f t="shared" si="17"/>
        <v>0</v>
      </c>
      <c r="AN48" s="82">
        <f t="shared" si="17"/>
        <v>0</v>
      </c>
      <c r="AO48" s="82">
        <f t="shared" si="17"/>
        <v>0</v>
      </c>
      <c r="AP48" s="82">
        <f t="shared" si="17"/>
        <v>0</v>
      </c>
      <c r="AQ48" s="82">
        <f t="shared" si="17"/>
        <v>0</v>
      </c>
      <c r="AR48" s="82">
        <f t="shared" si="17"/>
        <v>0</v>
      </c>
      <c r="AS48" s="82">
        <f t="shared" si="17"/>
        <v>0</v>
      </c>
      <c r="AT48" s="82">
        <f t="shared" si="17"/>
        <v>0</v>
      </c>
      <c r="AU48" s="82">
        <f t="shared" si="17"/>
        <v>0</v>
      </c>
      <c r="AV48" s="82">
        <f t="shared" si="17"/>
        <v>0</v>
      </c>
      <c r="AW48" s="82">
        <f t="shared" si="17"/>
        <v>0</v>
      </c>
      <c r="AX48" s="82">
        <f t="shared" si="17"/>
        <v>0</v>
      </c>
      <c r="AY48" s="82">
        <f t="shared" si="17"/>
        <v>0</v>
      </c>
      <c r="AZ48" s="82">
        <f t="shared" si="17"/>
        <v>0</v>
      </c>
      <c r="BA48" s="82">
        <f t="shared" si="17"/>
        <v>0</v>
      </c>
      <c r="BB48" s="82">
        <f t="shared" si="17"/>
        <v>0</v>
      </c>
      <c r="BC48" s="82">
        <f t="shared" si="18"/>
        <v>0</v>
      </c>
      <c r="BD48" s="82">
        <f t="shared" si="18"/>
        <v>0</v>
      </c>
      <c r="BE48" s="82">
        <f t="shared" si="18"/>
        <v>0</v>
      </c>
      <c r="BF48" s="82">
        <f t="shared" si="18"/>
        <v>0</v>
      </c>
      <c r="BG48" s="82">
        <f t="shared" si="18"/>
        <v>0</v>
      </c>
      <c r="BH48" s="82">
        <f t="shared" si="18"/>
        <v>0</v>
      </c>
      <c r="BI48" s="82">
        <f t="shared" si="18"/>
        <v>0</v>
      </c>
      <c r="BJ48" s="82">
        <f t="shared" si="18"/>
        <v>0</v>
      </c>
      <c r="BK48" s="82">
        <f t="shared" si="18"/>
        <v>0</v>
      </c>
      <c r="BL48" s="82">
        <f t="shared" si="18"/>
        <v>0</v>
      </c>
      <c r="BM48" s="82">
        <f t="shared" si="18"/>
        <v>0</v>
      </c>
    </row>
    <row r="49" spans="2:65" outlineLevel="1">
      <c r="B49" s="51" t="s">
        <v>164</v>
      </c>
      <c r="C49" s="51"/>
      <c r="D49" s="51"/>
      <c r="E49" s="81">
        <f t="shared" si="13"/>
        <v>36000</v>
      </c>
      <c r="F49" s="83">
        <v>600</v>
      </c>
      <c r="G49" s="82">
        <f t="shared" si="15"/>
        <v>600</v>
      </c>
      <c r="H49" s="82">
        <f t="shared" si="15"/>
        <v>600</v>
      </c>
      <c r="I49" s="82">
        <f t="shared" si="15"/>
        <v>600</v>
      </c>
      <c r="J49" s="82">
        <f t="shared" si="15"/>
        <v>600</v>
      </c>
      <c r="K49" s="82">
        <f t="shared" si="15"/>
        <v>600</v>
      </c>
      <c r="L49" s="82">
        <f t="shared" si="15"/>
        <v>600</v>
      </c>
      <c r="M49" s="82">
        <f t="shared" si="15"/>
        <v>600</v>
      </c>
      <c r="N49" s="82">
        <f t="shared" si="15"/>
        <v>600</v>
      </c>
      <c r="O49" s="82">
        <f t="shared" si="15"/>
        <v>600</v>
      </c>
      <c r="P49" s="82">
        <f t="shared" si="15"/>
        <v>600</v>
      </c>
      <c r="Q49" s="82">
        <f t="shared" si="15"/>
        <v>600</v>
      </c>
      <c r="R49" s="82">
        <f t="shared" si="15"/>
        <v>600</v>
      </c>
      <c r="S49" s="82">
        <f t="shared" si="15"/>
        <v>600</v>
      </c>
      <c r="T49" s="82">
        <f t="shared" si="15"/>
        <v>600</v>
      </c>
      <c r="U49" s="82">
        <f t="shared" si="15"/>
        <v>600</v>
      </c>
      <c r="V49" s="82">
        <f t="shared" si="15"/>
        <v>600</v>
      </c>
      <c r="W49" s="82">
        <f t="shared" si="16"/>
        <v>600</v>
      </c>
      <c r="X49" s="82">
        <f t="shared" si="16"/>
        <v>600</v>
      </c>
      <c r="Y49" s="82">
        <f t="shared" si="16"/>
        <v>600</v>
      </c>
      <c r="Z49" s="82">
        <f t="shared" si="16"/>
        <v>600</v>
      </c>
      <c r="AA49" s="82">
        <f t="shared" si="16"/>
        <v>600</v>
      </c>
      <c r="AB49" s="82">
        <f t="shared" si="16"/>
        <v>600</v>
      </c>
      <c r="AC49" s="82">
        <f t="shared" si="16"/>
        <v>600</v>
      </c>
      <c r="AD49" s="82">
        <f t="shared" si="16"/>
        <v>600</v>
      </c>
      <c r="AE49" s="82">
        <f t="shared" si="16"/>
        <v>600</v>
      </c>
      <c r="AF49" s="82">
        <f t="shared" si="16"/>
        <v>600</v>
      </c>
      <c r="AG49" s="82">
        <f t="shared" si="16"/>
        <v>600</v>
      </c>
      <c r="AH49" s="82">
        <f t="shared" si="16"/>
        <v>600</v>
      </c>
      <c r="AI49" s="82">
        <f t="shared" si="16"/>
        <v>600</v>
      </c>
      <c r="AJ49" s="82">
        <f t="shared" si="16"/>
        <v>600</v>
      </c>
      <c r="AK49" s="82">
        <f t="shared" si="16"/>
        <v>600</v>
      </c>
      <c r="AL49" s="82">
        <f t="shared" si="16"/>
        <v>600</v>
      </c>
      <c r="AM49" s="82">
        <f t="shared" si="17"/>
        <v>600</v>
      </c>
      <c r="AN49" s="82">
        <f t="shared" si="17"/>
        <v>600</v>
      </c>
      <c r="AO49" s="82">
        <f t="shared" si="17"/>
        <v>600</v>
      </c>
      <c r="AP49" s="82">
        <f t="shared" si="17"/>
        <v>600</v>
      </c>
      <c r="AQ49" s="82">
        <f t="shared" si="17"/>
        <v>600</v>
      </c>
      <c r="AR49" s="82">
        <f t="shared" si="17"/>
        <v>600</v>
      </c>
      <c r="AS49" s="82">
        <f t="shared" si="17"/>
        <v>600</v>
      </c>
      <c r="AT49" s="82">
        <f t="shared" si="17"/>
        <v>600</v>
      </c>
      <c r="AU49" s="82">
        <f t="shared" si="17"/>
        <v>600</v>
      </c>
      <c r="AV49" s="82">
        <f t="shared" si="17"/>
        <v>600</v>
      </c>
      <c r="AW49" s="82">
        <f t="shared" si="17"/>
        <v>600</v>
      </c>
      <c r="AX49" s="82">
        <f t="shared" si="17"/>
        <v>600</v>
      </c>
      <c r="AY49" s="82">
        <f t="shared" si="17"/>
        <v>600</v>
      </c>
      <c r="AZ49" s="82">
        <f t="shared" si="17"/>
        <v>600</v>
      </c>
      <c r="BA49" s="82">
        <f t="shared" si="17"/>
        <v>600</v>
      </c>
      <c r="BB49" s="82">
        <f t="shared" si="17"/>
        <v>600</v>
      </c>
      <c r="BC49" s="82">
        <f t="shared" si="18"/>
        <v>600</v>
      </c>
      <c r="BD49" s="82">
        <f t="shared" si="18"/>
        <v>600</v>
      </c>
      <c r="BE49" s="82">
        <f t="shared" si="18"/>
        <v>600</v>
      </c>
      <c r="BF49" s="82">
        <f t="shared" si="18"/>
        <v>600</v>
      </c>
      <c r="BG49" s="82">
        <f t="shared" si="18"/>
        <v>600</v>
      </c>
      <c r="BH49" s="82">
        <f t="shared" si="18"/>
        <v>600</v>
      </c>
      <c r="BI49" s="82">
        <f t="shared" si="18"/>
        <v>600</v>
      </c>
      <c r="BJ49" s="82">
        <f t="shared" si="18"/>
        <v>600</v>
      </c>
      <c r="BK49" s="82">
        <f t="shared" si="18"/>
        <v>600</v>
      </c>
      <c r="BL49" s="82">
        <f t="shared" si="18"/>
        <v>600</v>
      </c>
      <c r="BM49" s="82">
        <f t="shared" si="18"/>
        <v>600</v>
      </c>
    </row>
    <row r="50" spans="2:65" outlineLevel="1">
      <c r="B50" s="51" t="s">
        <v>165</v>
      </c>
      <c r="C50" s="51"/>
      <c r="D50" s="51"/>
      <c r="E50" s="81">
        <f t="shared" si="13"/>
        <v>21000</v>
      </c>
      <c r="F50" s="83">
        <v>350</v>
      </c>
      <c r="G50" s="82">
        <f t="shared" si="15"/>
        <v>350</v>
      </c>
      <c r="H50" s="82">
        <f t="shared" si="15"/>
        <v>350</v>
      </c>
      <c r="I50" s="82">
        <f t="shared" si="15"/>
        <v>350</v>
      </c>
      <c r="J50" s="82">
        <f t="shared" si="15"/>
        <v>350</v>
      </c>
      <c r="K50" s="82">
        <f t="shared" si="15"/>
        <v>350</v>
      </c>
      <c r="L50" s="82">
        <f t="shared" si="15"/>
        <v>350</v>
      </c>
      <c r="M50" s="82">
        <f t="shared" si="15"/>
        <v>350</v>
      </c>
      <c r="N50" s="82">
        <f t="shared" si="15"/>
        <v>350</v>
      </c>
      <c r="O50" s="82">
        <f t="shared" si="15"/>
        <v>350</v>
      </c>
      <c r="P50" s="82">
        <f t="shared" si="15"/>
        <v>350</v>
      </c>
      <c r="Q50" s="82">
        <f t="shared" si="15"/>
        <v>350</v>
      </c>
      <c r="R50" s="82">
        <f t="shared" si="15"/>
        <v>350</v>
      </c>
      <c r="S50" s="82">
        <f t="shared" si="15"/>
        <v>350</v>
      </c>
      <c r="T50" s="82">
        <f t="shared" si="15"/>
        <v>350</v>
      </c>
      <c r="U50" s="82">
        <f t="shared" si="15"/>
        <v>350</v>
      </c>
      <c r="V50" s="82">
        <f t="shared" si="15"/>
        <v>350</v>
      </c>
      <c r="W50" s="82">
        <f t="shared" si="16"/>
        <v>350</v>
      </c>
      <c r="X50" s="82">
        <f t="shared" si="16"/>
        <v>350</v>
      </c>
      <c r="Y50" s="82">
        <f t="shared" si="16"/>
        <v>350</v>
      </c>
      <c r="Z50" s="82">
        <f t="shared" si="16"/>
        <v>350</v>
      </c>
      <c r="AA50" s="82">
        <f t="shared" si="16"/>
        <v>350</v>
      </c>
      <c r="AB50" s="82">
        <f t="shared" si="16"/>
        <v>350</v>
      </c>
      <c r="AC50" s="82">
        <f t="shared" si="16"/>
        <v>350</v>
      </c>
      <c r="AD50" s="82">
        <f t="shared" si="16"/>
        <v>350</v>
      </c>
      <c r="AE50" s="82">
        <f t="shared" si="16"/>
        <v>350</v>
      </c>
      <c r="AF50" s="82">
        <f t="shared" si="16"/>
        <v>350</v>
      </c>
      <c r="AG50" s="82">
        <f t="shared" si="16"/>
        <v>350</v>
      </c>
      <c r="AH50" s="82">
        <f t="shared" si="16"/>
        <v>350</v>
      </c>
      <c r="AI50" s="82">
        <f t="shared" si="16"/>
        <v>350</v>
      </c>
      <c r="AJ50" s="82">
        <f t="shared" si="16"/>
        <v>350</v>
      </c>
      <c r="AK50" s="82">
        <f t="shared" si="16"/>
        <v>350</v>
      </c>
      <c r="AL50" s="82">
        <f t="shared" si="16"/>
        <v>350</v>
      </c>
      <c r="AM50" s="82">
        <f t="shared" si="17"/>
        <v>350</v>
      </c>
      <c r="AN50" s="82">
        <f t="shared" si="17"/>
        <v>350</v>
      </c>
      <c r="AO50" s="82">
        <f t="shared" si="17"/>
        <v>350</v>
      </c>
      <c r="AP50" s="82">
        <f t="shared" si="17"/>
        <v>350</v>
      </c>
      <c r="AQ50" s="82">
        <f t="shared" si="17"/>
        <v>350</v>
      </c>
      <c r="AR50" s="82">
        <f t="shared" si="17"/>
        <v>350</v>
      </c>
      <c r="AS50" s="82">
        <f t="shared" si="17"/>
        <v>350</v>
      </c>
      <c r="AT50" s="82">
        <f t="shared" si="17"/>
        <v>350</v>
      </c>
      <c r="AU50" s="82">
        <f t="shared" si="17"/>
        <v>350</v>
      </c>
      <c r="AV50" s="82">
        <f t="shared" si="17"/>
        <v>350</v>
      </c>
      <c r="AW50" s="82">
        <f t="shared" si="17"/>
        <v>350</v>
      </c>
      <c r="AX50" s="82">
        <f t="shared" si="17"/>
        <v>350</v>
      </c>
      <c r="AY50" s="82">
        <f t="shared" si="17"/>
        <v>350</v>
      </c>
      <c r="AZ50" s="82">
        <f t="shared" si="17"/>
        <v>350</v>
      </c>
      <c r="BA50" s="82">
        <f t="shared" si="17"/>
        <v>350</v>
      </c>
      <c r="BB50" s="82">
        <f t="shared" si="17"/>
        <v>350</v>
      </c>
      <c r="BC50" s="82">
        <f t="shared" si="18"/>
        <v>350</v>
      </c>
      <c r="BD50" s="82">
        <f t="shared" si="18"/>
        <v>350</v>
      </c>
      <c r="BE50" s="82">
        <f t="shared" si="18"/>
        <v>350</v>
      </c>
      <c r="BF50" s="82">
        <f t="shared" si="18"/>
        <v>350</v>
      </c>
      <c r="BG50" s="82">
        <f t="shared" si="18"/>
        <v>350</v>
      </c>
      <c r="BH50" s="82">
        <f t="shared" si="18"/>
        <v>350</v>
      </c>
      <c r="BI50" s="82">
        <f t="shared" si="18"/>
        <v>350</v>
      </c>
      <c r="BJ50" s="82">
        <f t="shared" si="18"/>
        <v>350</v>
      </c>
      <c r="BK50" s="82">
        <f t="shared" si="18"/>
        <v>350</v>
      </c>
      <c r="BL50" s="82">
        <f t="shared" si="18"/>
        <v>350</v>
      </c>
      <c r="BM50" s="82">
        <f t="shared" si="18"/>
        <v>350</v>
      </c>
    </row>
    <row r="51" spans="2:65" outlineLevel="1">
      <c r="B51" s="51" t="s">
        <v>166</v>
      </c>
      <c r="C51" s="51"/>
      <c r="D51" s="51"/>
      <c r="E51" s="81">
        <f t="shared" si="13"/>
        <v>45000</v>
      </c>
      <c r="F51" s="83">
        <v>750</v>
      </c>
      <c r="G51" s="82">
        <f t="shared" si="15"/>
        <v>750</v>
      </c>
      <c r="H51" s="82">
        <f t="shared" si="15"/>
        <v>750</v>
      </c>
      <c r="I51" s="82">
        <f t="shared" si="15"/>
        <v>750</v>
      </c>
      <c r="J51" s="82">
        <f t="shared" si="15"/>
        <v>750</v>
      </c>
      <c r="K51" s="82">
        <f t="shared" si="15"/>
        <v>750</v>
      </c>
      <c r="L51" s="82">
        <f t="shared" si="15"/>
        <v>750</v>
      </c>
      <c r="M51" s="82">
        <f t="shared" si="15"/>
        <v>750</v>
      </c>
      <c r="N51" s="82">
        <f t="shared" si="15"/>
        <v>750</v>
      </c>
      <c r="O51" s="82">
        <f t="shared" si="15"/>
        <v>750</v>
      </c>
      <c r="P51" s="82">
        <f t="shared" si="15"/>
        <v>750</v>
      </c>
      <c r="Q51" s="82">
        <f t="shared" si="15"/>
        <v>750</v>
      </c>
      <c r="R51" s="82">
        <f t="shared" si="15"/>
        <v>750</v>
      </c>
      <c r="S51" s="82">
        <f t="shared" si="15"/>
        <v>750</v>
      </c>
      <c r="T51" s="82">
        <f t="shared" si="15"/>
        <v>750</v>
      </c>
      <c r="U51" s="82">
        <f t="shared" si="15"/>
        <v>750</v>
      </c>
      <c r="V51" s="82">
        <f t="shared" si="15"/>
        <v>750</v>
      </c>
      <c r="W51" s="82">
        <f t="shared" si="16"/>
        <v>750</v>
      </c>
      <c r="X51" s="82">
        <f t="shared" si="16"/>
        <v>750</v>
      </c>
      <c r="Y51" s="82">
        <f t="shared" si="16"/>
        <v>750</v>
      </c>
      <c r="Z51" s="82">
        <f t="shared" si="16"/>
        <v>750</v>
      </c>
      <c r="AA51" s="82">
        <f t="shared" si="16"/>
        <v>750</v>
      </c>
      <c r="AB51" s="82">
        <f t="shared" si="16"/>
        <v>750</v>
      </c>
      <c r="AC51" s="82">
        <f t="shared" si="16"/>
        <v>750</v>
      </c>
      <c r="AD51" s="82">
        <f t="shared" si="16"/>
        <v>750</v>
      </c>
      <c r="AE51" s="82">
        <f t="shared" si="16"/>
        <v>750</v>
      </c>
      <c r="AF51" s="82">
        <f t="shared" si="16"/>
        <v>750</v>
      </c>
      <c r="AG51" s="82">
        <f t="shared" si="16"/>
        <v>750</v>
      </c>
      <c r="AH51" s="82">
        <f t="shared" si="16"/>
        <v>750</v>
      </c>
      <c r="AI51" s="82">
        <f t="shared" si="16"/>
        <v>750</v>
      </c>
      <c r="AJ51" s="82">
        <f t="shared" si="16"/>
        <v>750</v>
      </c>
      <c r="AK51" s="82">
        <f t="shared" si="16"/>
        <v>750</v>
      </c>
      <c r="AL51" s="82">
        <f t="shared" si="16"/>
        <v>750</v>
      </c>
      <c r="AM51" s="82">
        <f t="shared" si="17"/>
        <v>750</v>
      </c>
      <c r="AN51" s="82">
        <f t="shared" si="17"/>
        <v>750</v>
      </c>
      <c r="AO51" s="82">
        <f t="shared" si="17"/>
        <v>750</v>
      </c>
      <c r="AP51" s="82">
        <f t="shared" si="17"/>
        <v>750</v>
      </c>
      <c r="AQ51" s="82">
        <f t="shared" si="17"/>
        <v>750</v>
      </c>
      <c r="AR51" s="82">
        <f t="shared" si="17"/>
        <v>750</v>
      </c>
      <c r="AS51" s="82">
        <f t="shared" si="17"/>
        <v>750</v>
      </c>
      <c r="AT51" s="82">
        <f t="shared" si="17"/>
        <v>750</v>
      </c>
      <c r="AU51" s="82">
        <f t="shared" si="17"/>
        <v>750</v>
      </c>
      <c r="AV51" s="82">
        <f t="shared" si="17"/>
        <v>750</v>
      </c>
      <c r="AW51" s="82">
        <f t="shared" si="17"/>
        <v>750</v>
      </c>
      <c r="AX51" s="82">
        <f t="shared" si="17"/>
        <v>750</v>
      </c>
      <c r="AY51" s="82">
        <f t="shared" si="17"/>
        <v>750</v>
      </c>
      <c r="AZ51" s="82">
        <f t="shared" si="17"/>
        <v>750</v>
      </c>
      <c r="BA51" s="82">
        <f t="shared" si="17"/>
        <v>750</v>
      </c>
      <c r="BB51" s="82">
        <f t="shared" si="17"/>
        <v>750</v>
      </c>
      <c r="BC51" s="82">
        <f t="shared" si="18"/>
        <v>750</v>
      </c>
      <c r="BD51" s="82">
        <f t="shared" si="18"/>
        <v>750</v>
      </c>
      <c r="BE51" s="82">
        <f t="shared" si="18"/>
        <v>750</v>
      </c>
      <c r="BF51" s="82">
        <f t="shared" si="18"/>
        <v>750</v>
      </c>
      <c r="BG51" s="82">
        <f t="shared" si="18"/>
        <v>750</v>
      </c>
      <c r="BH51" s="82">
        <f t="shared" si="18"/>
        <v>750</v>
      </c>
      <c r="BI51" s="82">
        <f t="shared" si="18"/>
        <v>750</v>
      </c>
      <c r="BJ51" s="82">
        <f t="shared" si="18"/>
        <v>750</v>
      </c>
      <c r="BK51" s="82">
        <f t="shared" si="18"/>
        <v>750</v>
      </c>
      <c r="BL51" s="82">
        <f t="shared" si="18"/>
        <v>750</v>
      </c>
      <c r="BM51" s="82">
        <f t="shared" si="18"/>
        <v>750</v>
      </c>
    </row>
    <row r="52" spans="2:65" outlineLevel="1">
      <c r="B52" s="51" t="s">
        <v>167</v>
      </c>
      <c r="C52" s="51"/>
      <c r="D52" s="51"/>
      <c r="E52" s="81">
        <f t="shared" si="13"/>
        <v>36000</v>
      </c>
      <c r="F52" s="83">
        <v>600</v>
      </c>
      <c r="G52" s="82">
        <f t="shared" si="15"/>
        <v>600</v>
      </c>
      <c r="H52" s="82">
        <f t="shared" si="15"/>
        <v>600</v>
      </c>
      <c r="I52" s="82">
        <f t="shared" si="15"/>
        <v>600</v>
      </c>
      <c r="J52" s="82">
        <f t="shared" si="15"/>
        <v>600</v>
      </c>
      <c r="K52" s="82">
        <f t="shared" si="15"/>
        <v>600</v>
      </c>
      <c r="L52" s="82">
        <f t="shared" si="15"/>
        <v>600</v>
      </c>
      <c r="M52" s="82">
        <f t="shared" si="15"/>
        <v>600</v>
      </c>
      <c r="N52" s="82">
        <f t="shared" si="15"/>
        <v>600</v>
      </c>
      <c r="O52" s="82">
        <f t="shared" si="15"/>
        <v>600</v>
      </c>
      <c r="P52" s="82">
        <f t="shared" si="15"/>
        <v>600</v>
      </c>
      <c r="Q52" s="82">
        <f t="shared" si="15"/>
        <v>600</v>
      </c>
      <c r="R52" s="82">
        <f t="shared" si="15"/>
        <v>600</v>
      </c>
      <c r="S52" s="82">
        <f t="shared" si="15"/>
        <v>600</v>
      </c>
      <c r="T52" s="82">
        <f t="shared" si="15"/>
        <v>600</v>
      </c>
      <c r="U52" s="82">
        <f t="shared" si="15"/>
        <v>600</v>
      </c>
      <c r="V52" s="82">
        <f t="shared" si="15"/>
        <v>600</v>
      </c>
      <c r="W52" s="82">
        <f t="shared" si="16"/>
        <v>600</v>
      </c>
      <c r="X52" s="82">
        <f t="shared" si="16"/>
        <v>600</v>
      </c>
      <c r="Y52" s="82">
        <f t="shared" si="16"/>
        <v>600</v>
      </c>
      <c r="Z52" s="82">
        <f t="shared" si="16"/>
        <v>600</v>
      </c>
      <c r="AA52" s="82">
        <f t="shared" si="16"/>
        <v>600</v>
      </c>
      <c r="AB52" s="82">
        <f t="shared" si="16"/>
        <v>600</v>
      </c>
      <c r="AC52" s="82">
        <f t="shared" si="16"/>
        <v>600</v>
      </c>
      <c r="AD52" s="82">
        <f t="shared" si="16"/>
        <v>600</v>
      </c>
      <c r="AE52" s="82">
        <f t="shared" si="16"/>
        <v>600</v>
      </c>
      <c r="AF52" s="82">
        <f t="shared" si="16"/>
        <v>600</v>
      </c>
      <c r="AG52" s="82">
        <f t="shared" si="16"/>
        <v>600</v>
      </c>
      <c r="AH52" s="82">
        <f t="shared" si="16"/>
        <v>600</v>
      </c>
      <c r="AI52" s="82">
        <f t="shared" si="16"/>
        <v>600</v>
      </c>
      <c r="AJ52" s="82">
        <f t="shared" si="16"/>
        <v>600</v>
      </c>
      <c r="AK52" s="82">
        <f t="shared" si="16"/>
        <v>600</v>
      </c>
      <c r="AL52" s="82">
        <f t="shared" si="16"/>
        <v>600</v>
      </c>
      <c r="AM52" s="82">
        <f t="shared" si="17"/>
        <v>600</v>
      </c>
      <c r="AN52" s="82">
        <f t="shared" si="17"/>
        <v>600</v>
      </c>
      <c r="AO52" s="82">
        <f t="shared" si="17"/>
        <v>600</v>
      </c>
      <c r="AP52" s="82">
        <f t="shared" si="17"/>
        <v>600</v>
      </c>
      <c r="AQ52" s="82">
        <f t="shared" si="17"/>
        <v>600</v>
      </c>
      <c r="AR52" s="82">
        <f t="shared" si="17"/>
        <v>600</v>
      </c>
      <c r="AS52" s="82">
        <f t="shared" si="17"/>
        <v>600</v>
      </c>
      <c r="AT52" s="82">
        <f t="shared" si="17"/>
        <v>600</v>
      </c>
      <c r="AU52" s="82">
        <f t="shared" si="17"/>
        <v>600</v>
      </c>
      <c r="AV52" s="82">
        <f t="shared" si="17"/>
        <v>600</v>
      </c>
      <c r="AW52" s="82">
        <f t="shared" si="17"/>
        <v>600</v>
      </c>
      <c r="AX52" s="82">
        <f t="shared" si="17"/>
        <v>600</v>
      </c>
      <c r="AY52" s="82">
        <f t="shared" si="17"/>
        <v>600</v>
      </c>
      <c r="AZ52" s="82">
        <f t="shared" si="17"/>
        <v>600</v>
      </c>
      <c r="BA52" s="82">
        <f t="shared" si="17"/>
        <v>600</v>
      </c>
      <c r="BB52" s="82">
        <f t="shared" si="17"/>
        <v>600</v>
      </c>
      <c r="BC52" s="82">
        <f t="shared" si="18"/>
        <v>600</v>
      </c>
      <c r="BD52" s="82">
        <f t="shared" si="18"/>
        <v>600</v>
      </c>
      <c r="BE52" s="82">
        <f t="shared" si="18"/>
        <v>600</v>
      </c>
      <c r="BF52" s="82">
        <f t="shared" si="18"/>
        <v>600</v>
      </c>
      <c r="BG52" s="82">
        <f t="shared" si="18"/>
        <v>600</v>
      </c>
      <c r="BH52" s="82">
        <f t="shared" si="18"/>
        <v>600</v>
      </c>
      <c r="BI52" s="82">
        <f t="shared" si="18"/>
        <v>600</v>
      </c>
      <c r="BJ52" s="82">
        <f t="shared" si="18"/>
        <v>600</v>
      </c>
      <c r="BK52" s="82">
        <f t="shared" si="18"/>
        <v>600</v>
      </c>
      <c r="BL52" s="82">
        <f t="shared" si="18"/>
        <v>600</v>
      </c>
      <c r="BM52" s="82">
        <f t="shared" si="18"/>
        <v>600</v>
      </c>
    </row>
    <row r="53" spans="2:65" outlineLevel="1">
      <c r="B53" s="51" t="s">
        <v>168</v>
      </c>
      <c r="C53" s="51"/>
      <c r="D53" s="51"/>
      <c r="E53" s="81">
        <f t="shared" si="13"/>
        <v>168000</v>
      </c>
      <c r="F53" s="83">
        <v>2800</v>
      </c>
      <c r="G53" s="82">
        <f t="shared" si="15"/>
        <v>2800</v>
      </c>
      <c r="H53" s="82">
        <f t="shared" si="15"/>
        <v>2800</v>
      </c>
      <c r="I53" s="82">
        <f t="shared" si="15"/>
        <v>2800</v>
      </c>
      <c r="J53" s="82">
        <f t="shared" si="15"/>
        <v>2800</v>
      </c>
      <c r="K53" s="82">
        <f t="shared" si="15"/>
        <v>2800</v>
      </c>
      <c r="L53" s="82">
        <f t="shared" si="15"/>
        <v>2800</v>
      </c>
      <c r="M53" s="82">
        <f t="shared" si="15"/>
        <v>2800</v>
      </c>
      <c r="N53" s="82">
        <f t="shared" si="15"/>
        <v>2800</v>
      </c>
      <c r="O53" s="82">
        <f t="shared" si="15"/>
        <v>2800</v>
      </c>
      <c r="P53" s="82">
        <f t="shared" si="15"/>
        <v>2800</v>
      </c>
      <c r="Q53" s="82">
        <f t="shared" si="15"/>
        <v>2800</v>
      </c>
      <c r="R53" s="82">
        <f t="shared" si="15"/>
        <v>2800</v>
      </c>
      <c r="S53" s="82">
        <f t="shared" si="15"/>
        <v>2800</v>
      </c>
      <c r="T53" s="82">
        <f t="shared" si="15"/>
        <v>2800</v>
      </c>
      <c r="U53" s="82">
        <f t="shared" si="15"/>
        <v>2800</v>
      </c>
      <c r="V53" s="82">
        <f t="shared" si="15"/>
        <v>2800</v>
      </c>
      <c r="W53" s="82">
        <f t="shared" si="16"/>
        <v>2800</v>
      </c>
      <c r="X53" s="82">
        <f t="shared" si="16"/>
        <v>2800</v>
      </c>
      <c r="Y53" s="82">
        <f t="shared" si="16"/>
        <v>2800</v>
      </c>
      <c r="Z53" s="82">
        <f t="shared" si="16"/>
        <v>2800</v>
      </c>
      <c r="AA53" s="82">
        <f t="shared" si="16"/>
        <v>2800</v>
      </c>
      <c r="AB53" s="82">
        <f t="shared" si="16"/>
        <v>2800</v>
      </c>
      <c r="AC53" s="82">
        <f t="shared" si="16"/>
        <v>2800</v>
      </c>
      <c r="AD53" s="82">
        <f t="shared" si="16"/>
        <v>2800</v>
      </c>
      <c r="AE53" s="82">
        <f t="shared" si="16"/>
        <v>2800</v>
      </c>
      <c r="AF53" s="82">
        <f t="shared" si="16"/>
        <v>2800</v>
      </c>
      <c r="AG53" s="82">
        <f t="shared" si="16"/>
        <v>2800</v>
      </c>
      <c r="AH53" s="82">
        <f t="shared" si="16"/>
        <v>2800</v>
      </c>
      <c r="AI53" s="82">
        <f t="shared" si="16"/>
        <v>2800</v>
      </c>
      <c r="AJ53" s="82">
        <f t="shared" si="16"/>
        <v>2800</v>
      </c>
      <c r="AK53" s="82">
        <f t="shared" si="16"/>
        <v>2800</v>
      </c>
      <c r="AL53" s="82">
        <f t="shared" si="16"/>
        <v>2800</v>
      </c>
      <c r="AM53" s="82">
        <f t="shared" si="17"/>
        <v>2800</v>
      </c>
      <c r="AN53" s="82">
        <f t="shared" si="17"/>
        <v>2800</v>
      </c>
      <c r="AO53" s="82">
        <f t="shared" si="17"/>
        <v>2800</v>
      </c>
      <c r="AP53" s="82">
        <f t="shared" si="17"/>
        <v>2800</v>
      </c>
      <c r="AQ53" s="82">
        <f t="shared" si="17"/>
        <v>2800</v>
      </c>
      <c r="AR53" s="82">
        <f t="shared" si="17"/>
        <v>2800</v>
      </c>
      <c r="AS53" s="82">
        <f t="shared" si="17"/>
        <v>2800</v>
      </c>
      <c r="AT53" s="82">
        <f t="shared" si="17"/>
        <v>2800</v>
      </c>
      <c r="AU53" s="82">
        <f t="shared" si="17"/>
        <v>2800</v>
      </c>
      <c r="AV53" s="82">
        <f t="shared" si="17"/>
        <v>2800</v>
      </c>
      <c r="AW53" s="82">
        <f t="shared" si="17"/>
        <v>2800</v>
      </c>
      <c r="AX53" s="82">
        <f t="shared" si="17"/>
        <v>2800</v>
      </c>
      <c r="AY53" s="82">
        <f t="shared" si="17"/>
        <v>2800</v>
      </c>
      <c r="AZ53" s="82">
        <f t="shared" si="17"/>
        <v>2800</v>
      </c>
      <c r="BA53" s="82">
        <f t="shared" si="17"/>
        <v>2800</v>
      </c>
      <c r="BB53" s="82">
        <f t="shared" si="17"/>
        <v>2800</v>
      </c>
      <c r="BC53" s="82">
        <f t="shared" si="18"/>
        <v>2800</v>
      </c>
      <c r="BD53" s="82">
        <f t="shared" si="18"/>
        <v>2800</v>
      </c>
      <c r="BE53" s="82">
        <f t="shared" si="18"/>
        <v>2800</v>
      </c>
      <c r="BF53" s="82">
        <f t="shared" si="18"/>
        <v>2800</v>
      </c>
      <c r="BG53" s="82">
        <f t="shared" si="18"/>
        <v>2800</v>
      </c>
      <c r="BH53" s="82">
        <f t="shared" si="18"/>
        <v>2800</v>
      </c>
      <c r="BI53" s="82">
        <f t="shared" si="18"/>
        <v>2800</v>
      </c>
      <c r="BJ53" s="82">
        <f t="shared" si="18"/>
        <v>2800</v>
      </c>
      <c r="BK53" s="82">
        <f t="shared" si="18"/>
        <v>2800</v>
      </c>
      <c r="BL53" s="82">
        <f t="shared" si="18"/>
        <v>2800</v>
      </c>
      <c r="BM53" s="82">
        <f t="shared" si="18"/>
        <v>2800</v>
      </c>
    </row>
    <row r="54" spans="2:65" outlineLevel="1">
      <c r="B54" s="51" t="s">
        <v>169</v>
      </c>
      <c r="C54" s="51"/>
      <c r="D54" s="51"/>
      <c r="E54" s="81">
        <f t="shared" si="13"/>
        <v>72000</v>
      </c>
      <c r="F54" s="83">
        <v>1200</v>
      </c>
      <c r="G54" s="82">
        <f t="shared" si="15"/>
        <v>1200</v>
      </c>
      <c r="H54" s="82">
        <f t="shared" si="15"/>
        <v>1200</v>
      </c>
      <c r="I54" s="82">
        <f t="shared" si="15"/>
        <v>1200</v>
      </c>
      <c r="J54" s="82">
        <f t="shared" si="15"/>
        <v>1200</v>
      </c>
      <c r="K54" s="82">
        <f t="shared" si="15"/>
        <v>1200</v>
      </c>
      <c r="L54" s="82">
        <f t="shared" si="15"/>
        <v>1200</v>
      </c>
      <c r="M54" s="82">
        <f t="shared" si="15"/>
        <v>1200</v>
      </c>
      <c r="N54" s="82">
        <f t="shared" si="15"/>
        <v>1200</v>
      </c>
      <c r="O54" s="82">
        <f t="shared" si="15"/>
        <v>1200</v>
      </c>
      <c r="P54" s="82">
        <f t="shared" si="15"/>
        <v>1200</v>
      </c>
      <c r="Q54" s="82">
        <f t="shared" si="15"/>
        <v>1200</v>
      </c>
      <c r="R54" s="82">
        <f t="shared" si="15"/>
        <v>1200</v>
      </c>
      <c r="S54" s="82">
        <f t="shared" si="15"/>
        <v>1200</v>
      </c>
      <c r="T54" s="82">
        <f t="shared" si="15"/>
        <v>1200</v>
      </c>
      <c r="U54" s="82">
        <f t="shared" si="15"/>
        <v>1200</v>
      </c>
      <c r="V54" s="82">
        <f t="shared" si="15"/>
        <v>1200</v>
      </c>
      <c r="W54" s="82">
        <f t="shared" si="16"/>
        <v>1200</v>
      </c>
      <c r="X54" s="82">
        <f t="shared" si="16"/>
        <v>1200</v>
      </c>
      <c r="Y54" s="82">
        <f t="shared" si="16"/>
        <v>1200</v>
      </c>
      <c r="Z54" s="82">
        <f t="shared" si="16"/>
        <v>1200</v>
      </c>
      <c r="AA54" s="82">
        <f t="shared" si="16"/>
        <v>1200</v>
      </c>
      <c r="AB54" s="82">
        <f t="shared" si="16"/>
        <v>1200</v>
      </c>
      <c r="AC54" s="82">
        <f t="shared" si="16"/>
        <v>1200</v>
      </c>
      <c r="AD54" s="82">
        <f t="shared" si="16"/>
        <v>1200</v>
      </c>
      <c r="AE54" s="82">
        <f t="shared" si="16"/>
        <v>1200</v>
      </c>
      <c r="AF54" s="82">
        <f t="shared" si="16"/>
        <v>1200</v>
      </c>
      <c r="AG54" s="82">
        <f t="shared" si="16"/>
        <v>1200</v>
      </c>
      <c r="AH54" s="82">
        <f t="shared" si="16"/>
        <v>1200</v>
      </c>
      <c r="AI54" s="82">
        <f t="shared" si="16"/>
        <v>1200</v>
      </c>
      <c r="AJ54" s="82">
        <f t="shared" si="16"/>
        <v>1200</v>
      </c>
      <c r="AK54" s="82">
        <f t="shared" si="16"/>
        <v>1200</v>
      </c>
      <c r="AL54" s="82">
        <f t="shared" si="16"/>
        <v>1200</v>
      </c>
      <c r="AM54" s="82">
        <f t="shared" si="17"/>
        <v>1200</v>
      </c>
      <c r="AN54" s="82">
        <f t="shared" si="17"/>
        <v>1200</v>
      </c>
      <c r="AO54" s="82">
        <f t="shared" si="17"/>
        <v>1200</v>
      </c>
      <c r="AP54" s="82">
        <f t="shared" si="17"/>
        <v>1200</v>
      </c>
      <c r="AQ54" s="82">
        <f t="shared" si="17"/>
        <v>1200</v>
      </c>
      <c r="AR54" s="82">
        <f t="shared" si="17"/>
        <v>1200</v>
      </c>
      <c r="AS54" s="82">
        <f t="shared" si="17"/>
        <v>1200</v>
      </c>
      <c r="AT54" s="82">
        <f t="shared" si="17"/>
        <v>1200</v>
      </c>
      <c r="AU54" s="82">
        <f t="shared" si="17"/>
        <v>1200</v>
      </c>
      <c r="AV54" s="82">
        <f t="shared" si="17"/>
        <v>1200</v>
      </c>
      <c r="AW54" s="82">
        <f t="shared" si="17"/>
        <v>1200</v>
      </c>
      <c r="AX54" s="82">
        <f t="shared" si="17"/>
        <v>1200</v>
      </c>
      <c r="AY54" s="82">
        <f t="shared" si="17"/>
        <v>1200</v>
      </c>
      <c r="AZ54" s="82">
        <f t="shared" si="17"/>
        <v>1200</v>
      </c>
      <c r="BA54" s="82">
        <f t="shared" si="17"/>
        <v>1200</v>
      </c>
      <c r="BB54" s="82">
        <f t="shared" si="17"/>
        <v>1200</v>
      </c>
      <c r="BC54" s="82">
        <f t="shared" si="18"/>
        <v>1200</v>
      </c>
      <c r="BD54" s="82">
        <f t="shared" si="18"/>
        <v>1200</v>
      </c>
      <c r="BE54" s="82">
        <f t="shared" si="18"/>
        <v>1200</v>
      </c>
      <c r="BF54" s="82">
        <f t="shared" si="18"/>
        <v>1200</v>
      </c>
      <c r="BG54" s="82">
        <f t="shared" si="18"/>
        <v>1200</v>
      </c>
      <c r="BH54" s="82">
        <f t="shared" si="18"/>
        <v>1200</v>
      </c>
      <c r="BI54" s="82">
        <f t="shared" si="18"/>
        <v>1200</v>
      </c>
      <c r="BJ54" s="82">
        <f t="shared" si="18"/>
        <v>1200</v>
      </c>
      <c r="BK54" s="82">
        <f t="shared" si="18"/>
        <v>1200</v>
      </c>
      <c r="BL54" s="82">
        <f t="shared" si="18"/>
        <v>1200</v>
      </c>
      <c r="BM54" s="82">
        <f t="shared" si="18"/>
        <v>1200</v>
      </c>
    </row>
    <row r="55" spans="2:65" outlineLevel="1">
      <c r="B55" s="51" t="s">
        <v>170</v>
      </c>
      <c r="C55" s="51"/>
      <c r="D55" s="51"/>
      <c r="E55" s="81">
        <f t="shared" si="13"/>
        <v>108000</v>
      </c>
      <c r="F55" s="83">
        <v>1800</v>
      </c>
      <c r="G55" s="82">
        <f t="shared" si="15"/>
        <v>1800</v>
      </c>
      <c r="H55" s="82">
        <f t="shared" si="15"/>
        <v>1800</v>
      </c>
      <c r="I55" s="82">
        <f t="shared" si="15"/>
        <v>1800</v>
      </c>
      <c r="J55" s="82">
        <f t="shared" si="15"/>
        <v>1800</v>
      </c>
      <c r="K55" s="82">
        <f t="shared" si="15"/>
        <v>1800</v>
      </c>
      <c r="L55" s="82">
        <f t="shared" si="15"/>
        <v>1800</v>
      </c>
      <c r="M55" s="82">
        <f t="shared" si="15"/>
        <v>1800</v>
      </c>
      <c r="N55" s="82">
        <f t="shared" si="15"/>
        <v>1800</v>
      </c>
      <c r="O55" s="82">
        <f t="shared" si="15"/>
        <v>1800</v>
      </c>
      <c r="P55" s="82">
        <f t="shared" si="15"/>
        <v>1800</v>
      </c>
      <c r="Q55" s="82">
        <f t="shared" si="15"/>
        <v>1800</v>
      </c>
      <c r="R55" s="82">
        <f t="shared" si="15"/>
        <v>1800</v>
      </c>
      <c r="S55" s="82">
        <f t="shared" si="15"/>
        <v>1800</v>
      </c>
      <c r="T55" s="82">
        <f t="shared" si="15"/>
        <v>1800</v>
      </c>
      <c r="U55" s="82">
        <f t="shared" si="15"/>
        <v>1800</v>
      </c>
      <c r="V55" s="82">
        <f t="shared" si="15"/>
        <v>1800</v>
      </c>
      <c r="W55" s="82">
        <f t="shared" si="16"/>
        <v>1800</v>
      </c>
      <c r="X55" s="82">
        <f t="shared" si="16"/>
        <v>1800</v>
      </c>
      <c r="Y55" s="82">
        <f t="shared" si="16"/>
        <v>1800</v>
      </c>
      <c r="Z55" s="82">
        <f t="shared" si="16"/>
        <v>1800</v>
      </c>
      <c r="AA55" s="82">
        <f t="shared" si="16"/>
        <v>1800</v>
      </c>
      <c r="AB55" s="82">
        <f t="shared" si="16"/>
        <v>1800</v>
      </c>
      <c r="AC55" s="82">
        <f t="shared" si="16"/>
        <v>1800</v>
      </c>
      <c r="AD55" s="82">
        <f t="shared" si="16"/>
        <v>1800</v>
      </c>
      <c r="AE55" s="82">
        <f t="shared" si="16"/>
        <v>1800</v>
      </c>
      <c r="AF55" s="82">
        <f t="shared" si="16"/>
        <v>1800</v>
      </c>
      <c r="AG55" s="82">
        <f t="shared" si="16"/>
        <v>1800</v>
      </c>
      <c r="AH55" s="82">
        <f t="shared" si="16"/>
        <v>1800</v>
      </c>
      <c r="AI55" s="82">
        <f t="shared" si="16"/>
        <v>1800</v>
      </c>
      <c r="AJ55" s="82">
        <f t="shared" si="16"/>
        <v>1800</v>
      </c>
      <c r="AK55" s="82">
        <f t="shared" si="16"/>
        <v>1800</v>
      </c>
      <c r="AL55" s="82">
        <f t="shared" si="16"/>
        <v>1800</v>
      </c>
      <c r="AM55" s="82">
        <f t="shared" si="17"/>
        <v>1800</v>
      </c>
      <c r="AN55" s="82">
        <f t="shared" si="17"/>
        <v>1800</v>
      </c>
      <c r="AO55" s="82">
        <f t="shared" si="17"/>
        <v>1800</v>
      </c>
      <c r="AP55" s="82">
        <f t="shared" si="17"/>
        <v>1800</v>
      </c>
      <c r="AQ55" s="82">
        <f t="shared" si="17"/>
        <v>1800</v>
      </c>
      <c r="AR55" s="82">
        <f t="shared" si="17"/>
        <v>1800</v>
      </c>
      <c r="AS55" s="82">
        <f t="shared" si="17"/>
        <v>1800</v>
      </c>
      <c r="AT55" s="82">
        <f t="shared" si="17"/>
        <v>1800</v>
      </c>
      <c r="AU55" s="82">
        <f t="shared" si="17"/>
        <v>1800</v>
      </c>
      <c r="AV55" s="82">
        <f t="shared" si="17"/>
        <v>1800</v>
      </c>
      <c r="AW55" s="82">
        <f t="shared" si="17"/>
        <v>1800</v>
      </c>
      <c r="AX55" s="82">
        <f t="shared" si="17"/>
        <v>1800</v>
      </c>
      <c r="AY55" s="82">
        <f t="shared" si="17"/>
        <v>1800</v>
      </c>
      <c r="AZ55" s="82">
        <f t="shared" si="17"/>
        <v>1800</v>
      </c>
      <c r="BA55" s="82">
        <f t="shared" si="17"/>
        <v>1800</v>
      </c>
      <c r="BB55" s="82">
        <f t="shared" si="17"/>
        <v>1800</v>
      </c>
      <c r="BC55" s="82">
        <f t="shared" si="18"/>
        <v>1800</v>
      </c>
      <c r="BD55" s="82">
        <f t="shared" si="18"/>
        <v>1800</v>
      </c>
      <c r="BE55" s="82">
        <f t="shared" si="18"/>
        <v>1800</v>
      </c>
      <c r="BF55" s="82">
        <f t="shared" si="18"/>
        <v>1800</v>
      </c>
      <c r="BG55" s="82">
        <f t="shared" si="18"/>
        <v>1800</v>
      </c>
      <c r="BH55" s="82">
        <f t="shared" si="18"/>
        <v>1800</v>
      </c>
      <c r="BI55" s="82">
        <f t="shared" si="18"/>
        <v>1800</v>
      </c>
      <c r="BJ55" s="82">
        <f t="shared" si="18"/>
        <v>1800</v>
      </c>
      <c r="BK55" s="82">
        <f t="shared" si="18"/>
        <v>1800</v>
      </c>
      <c r="BL55" s="82">
        <f t="shared" si="18"/>
        <v>1800</v>
      </c>
      <c r="BM55" s="82">
        <f t="shared" si="18"/>
        <v>1800</v>
      </c>
    </row>
    <row r="56" spans="2:65" outlineLevel="1">
      <c r="B56" s="51" t="s">
        <v>171</v>
      </c>
      <c r="C56" s="51"/>
      <c r="D56" s="51"/>
      <c r="E56" s="81">
        <f t="shared" si="13"/>
        <v>48000</v>
      </c>
      <c r="F56" s="83">
        <v>800</v>
      </c>
      <c r="G56" s="82">
        <f t="shared" si="15"/>
        <v>800</v>
      </c>
      <c r="H56" s="82">
        <f t="shared" si="15"/>
        <v>800</v>
      </c>
      <c r="I56" s="82">
        <f t="shared" si="15"/>
        <v>800</v>
      </c>
      <c r="J56" s="82">
        <f t="shared" si="15"/>
        <v>800</v>
      </c>
      <c r="K56" s="82">
        <f t="shared" si="15"/>
        <v>800</v>
      </c>
      <c r="L56" s="82">
        <f t="shared" si="15"/>
        <v>800</v>
      </c>
      <c r="M56" s="82">
        <f t="shared" si="15"/>
        <v>800</v>
      </c>
      <c r="N56" s="82">
        <f t="shared" si="15"/>
        <v>800</v>
      </c>
      <c r="O56" s="82">
        <f t="shared" si="15"/>
        <v>800</v>
      </c>
      <c r="P56" s="82">
        <f t="shared" si="15"/>
        <v>800</v>
      </c>
      <c r="Q56" s="82">
        <f t="shared" si="15"/>
        <v>800</v>
      </c>
      <c r="R56" s="82">
        <f t="shared" si="15"/>
        <v>800</v>
      </c>
      <c r="S56" s="82">
        <f t="shared" si="15"/>
        <v>800</v>
      </c>
      <c r="T56" s="82">
        <f t="shared" si="15"/>
        <v>800</v>
      </c>
      <c r="U56" s="82">
        <f t="shared" si="15"/>
        <v>800</v>
      </c>
      <c r="V56" s="82">
        <f t="shared" ref="V56:AK62" si="19">U56</f>
        <v>800</v>
      </c>
      <c r="W56" s="82">
        <f t="shared" si="19"/>
        <v>800</v>
      </c>
      <c r="X56" s="82">
        <f t="shared" si="19"/>
        <v>800</v>
      </c>
      <c r="Y56" s="82">
        <f t="shared" si="19"/>
        <v>800</v>
      </c>
      <c r="Z56" s="82">
        <f t="shared" si="16"/>
        <v>800</v>
      </c>
      <c r="AA56" s="82">
        <f t="shared" si="16"/>
        <v>800</v>
      </c>
      <c r="AB56" s="82">
        <f t="shared" si="16"/>
        <v>800</v>
      </c>
      <c r="AC56" s="82">
        <f t="shared" si="16"/>
        <v>800</v>
      </c>
      <c r="AD56" s="82">
        <f t="shared" si="16"/>
        <v>800</v>
      </c>
      <c r="AE56" s="82">
        <f t="shared" si="16"/>
        <v>800</v>
      </c>
      <c r="AF56" s="82">
        <f t="shared" si="16"/>
        <v>800</v>
      </c>
      <c r="AG56" s="82">
        <f t="shared" si="16"/>
        <v>800</v>
      </c>
      <c r="AH56" s="82">
        <f t="shared" si="16"/>
        <v>800</v>
      </c>
      <c r="AI56" s="82">
        <f t="shared" si="16"/>
        <v>800</v>
      </c>
      <c r="AJ56" s="82">
        <f t="shared" si="16"/>
        <v>800</v>
      </c>
      <c r="AK56" s="82">
        <f t="shared" si="16"/>
        <v>800</v>
      </c>
      <c r="AL56" s="82">
        <f t="shared" si="16"/>
        <v>800</v>
      </c>
      <c r="AM56" s="82">
        <f t="shared" si="17"/>
        <v>800</v>
      </c>
      <c r="AN56" s="82">
        <f t="shared" si="17"/>
        <v>800</v>
      </c>
      <c r="AO56" s="82">
        <f t="shared" si="17"/>
        <v>800</v>
      </c>
      <c r="AP56" s="82">
        <f t="shared" si="17"/>
        <v>800</v>
      </c>
      <c r="AQ56" s="82">
        <f t="shared" si="17"/>
        <v>800</v>
      </c>
      <c r="AR56" s="82">
        <f t="shared" si="17"/>
        <v>800</v>
      </c>
      <c r="AS56" s="82">
        <f t="shared" si="17"/>
        <v>800</v>
      </c>
      <c r="AT56" s="82">
        <f t="shared" si="17"/>
        <v>800</v>
      </c>
      <c r="AU56" s="82">
        <f t="shared" si="17"/>
        <v>800</v>
      </c>
      <c r="AV56" s="82">
        <f t="shared" si="17"/>
        <v>800</v>
      </c>
      <c r="AW56" s="82">
        <f t="shared" si="17"/>
        <v>800</v>
      </c>
      <c r="AX56" s="82">
        <f t="shared" si="17"/>
        <v>800</v>
      </c>
      <c r="AY56" s="82">
        <f t="shared" si="17"/>
        <v>800</v>
      </c>
      <c r="AZ56" s="82">
        <f t="shared" si="17"/>
        <v>800</v>
      </c>
      <c r="BA56" s="82">
        <f t="shared" si="17"/>
        <v>800</v>
      </c>
      <c r="BB56" s="82">
        <f t="shared" ref="AP56:BE62" si="20">BA56</f>
        <v>800</v>
      </c>
      <c r="BC56" s="82">
        <f t="shared" si="20"/>
        <v>800</v>
      </c>
      <c r="BD56" s="82">
        <f t="shared" si="20"/>
        <v>800</v>
      </c>
      <c r="BE56" s="82">
        <f t="shared" si="20"/>
        <v>800</v>
      </c>
      <c r="BF56" s="82">
        <f t="shared" si="18"/>
        <v>800</v>
      </c>
      <c r="BG56" s="82">
        <f t="shared" si="18"/>
        <v>800</v>
      </c>
      <c r="BH56" s="82">
        <f t="shared" si="18"/>
        <v>800</v>
      </c>
      <c r="BI56" s="82">
        <f t="shared" si="18"/>
        <v>800</v>
      </c>
      <c r="BJ56" s="82">
        <f t="shared" si="18"/>
        <v>800</v>
      </c>
      <c r="BK56" s="82">
        <f t="shared" si="18"/>
        <v>800</v>
      </c>
      <c r="BL56" s="82">
        <f t="shared" si="18"/>
        <v>800</v>
      </c>
      <c r="BM56" s="82">
        <f t="shared" si="18"/>
        <v>800</v>
      </c>
    </row>
    <row r="57" spans="2:65" outlineLevel="1">
      <c r="B57" s="51" t="s">
        <v>172</v>
      </c>
      <c r="C57" s="51"/>
      <c r="D57" s="51"/>
      <c r="E57" s="81">
        <f t="shared" si="13"/>
        <v>12000</v>
      </c>
      <c r="F57" s="83">
        <v>200</v>
      </c>
      <c r="G57" s="82">
        <f t="shared" ref="G57:V62" si="21">F57</f>
        <v>200</v>
      </c>
      <c r="H57" s="82">
        <f t="shared" si="21"/>
        <v>200</v>
      </c>
      <c r="I57" s="82">
        <f t="shared" si="21"/>
        <v>200</v>
      </c>
      <c r="J57" s="82">
        <f t="shared" si="21"/>
        <v>200</v>
      </c>
      <c r="K57" s="82">
        <f t="shared" si="21"/>
        <v>200</v>
      </c>
      <c r="L57" s="82">
        <f t="shared" si="21"/>
        <v>200</v>
      </c>
      <c r="M57" s="82">
        <f t="shared" si="21"/>
        <v>200</v>
      </c>
      <c r="N57" s="82">
        <f t="shared" si="21"/>
        <v>200</v>
      </c>
      <c r="O57" s="82">
        <f t="shared" si="21"/>
        <v>200</v>
      </c>
      <c r="P57" s="82">
        <f t="shared" si="21"/>
        <v>200</v>
      </c>
      <c r="Q57" s="82">
        <f t="shared" si="21"/>
        <v>200</v>
      </c>
      <c r="R57" s="82">
        <f t="shared" si="21"/>
        <v>200</v>
      </c>
      <c r="S57" s="82">
        <f t="shared" si="21"/>
        <v>200</v>
      </c>
      <c r="T57" s="82">
        <f t="shared" si="21"/>
        <v>200</v>
      </c>
      <c r="U57" s="82">
        <f t="shared" si="21"/>
        <v>200</v>
      </c>
      <c r="V57" s="82">
        <f t="shared" si="21"/>
        <v>200</v>
      </c>
      <c r="W57" s="82">
        <f t="shared" si="19"/>
        <v>200</v>
      </c>
      <c r="X57" s="82">
        <f t="shared" si="19"/>
        <v>200</v>
      </c>
      <c r="Y57" s="82">
        <f t="shared" si="19"/>
        <v>200</v>
      </c>
      <c r="Z57" s="82">
        <f t="shared" si="19"/>
        <v>200</v>
      </c>
      <c r="AA57" s="82">
        <f t="shared" si="19"/>
        <v>200</v>
      </c>
      <c r="AB57" s="82">
        <f t="shared" si="19"/>
        <v>200</v>
      </c>
      <c r="AC57" s="82">
        <f t="shared" si="19"/>
        <v>200</v>
      </c>
      <c r="AD57" s="82">
        <f t="shared" si="19"/>
        <v>200</v>
      </c>
      <c r="AE57" s="82">
        <f t="shared" si="19"/>
        <v>200</v>
      </c>
      <c r="AF57" s="82">
        <f t="shared" si="19"/>
        <v>200</v>
      </c>
      <c r="AG57" s="82">
        <f t="shared" si="19"/>
        <v>200</v>
      </c>
      <c r="AH57" s="82">
        <f t="shared" si="19"/>
        <v>200</v>
      </c>
      <c r="AI57" s="82">
        <f t="shared" si="19"/>
        <v>200</v>
      </c>
      <c r="AJ57" s="82">
        <f t="shared" si="19"/>
        <v>200</v>
      </c>
      <c r="AK57" s="82">
        <f t="shared" si="19"/>
        <v>200</v>
      </c>
      <c r="AL57" s="82">
        <f t="shared" ref="Z57:AO62" si="22">AK57</f>
        <v>200</v>
      </c>
      <c r="AM57" s="82">
        <f t="shared" si="22"/>
        <v>200</v>
      </c>
      <c r="AN57" s="82">
        <f t="shared" si="22"/>
        <v>200</v>
      </c>
      <c r="AO57" s="82">
        <f t="shared" si="22"/>
        <v>200</v>
      </c>
      <c r="AP57" s="82">
        <f t="shared" si="20"/>
        <v>200</v>
      </c>
      <c r="AQ57" s="82">
        <f t="shared" si="20"/>
        <v>200</v>
      </c>
      <c r="AR57" s="82">
        <f t="shared" si="20"/>
        <v>200</v>
      </c>
      <c r="AS57" s="82">
        <f t="shared" si="20"/>
        <v>200</v>
      </c>
      <c r="AT57" s="82">
        <f t="shared" si="20"/>
        <v>200</v>
      </c>
      <c r="AU57" s="82">
        <f t="shared" si="20"/>
        <v>200</v>
      </c>
      <c r="AV57" s="82">
        <f t="shared" si="20"/>
        <v>200</v>
      </c>
      <c r="AW57" s="82">
        <f t="shared" si="20"/>
        <v>200</v>
      </c>
      <c r="AX57" s="82">
        <f t="shared" si="20"/>
        <v>200</v>
      </c>
      <c r="AY57" s="82">
        <f t="shared" si="20"/>
        <v>200</v>
      </c>
      <c r="AZ57" s="82">
        <f t="shared" si="20"/>
        <v>200</v>
      </c>
      <c r="BA57" s="82">
        <f t="shared" si="20"/>
        <v>200</v>
      </c>
      <c r="BB57" s="82">
        <f t="shared" si="20"/>
        <v>200</v>
      </c>
      <c r="BC57" s="82">
        <f t="shared" si="20"/>
        <v>200</v>
      </c>
      <c r="BD57" s="82">
        <f t="shared" si="20"/>
        <v>200</v>
      </c>
      <c r="BE57" s="82">
        <f t="shared" si="20"/>
        <v>200</v>
      </c>
      <c r="BF57" s="82">
        <f t="shared" ref="BF57:BM62" si="23">BE57</f>
        <v>200</v>
      </c>
      <c r="BG57" s="82">
        <f t="shared" si="23"/>
        <v>200</v>
      </c>
      <c r="BH57" s="82">
        <f t="shared" si="23"/>
        <v>200</v>
      </c>
      <c r="BI57" s="82">
        <f t="shared" si="23"/>
        <v>200</v>
      </c>
      <c r="BJ57" s="82">
        <f t="shared" si="23"/>
        <v>200</v>
      </c>
      <c r="BK57" s="82">
        <f t="shared" si="23"/>
        <v>200</v>
      </c>
      <c r="BL57" s="82">
        <f t="shared" si="23"/>
        <v>200</v>
      </c>
      <c r="BM57" s="82">
        <f t="shared" si="23"/>
        <v>200</v>
      </c>
    </row>
    <row r="58" spans="2:65" outlineLevel="1">
      <c r="B58" s="51" t="s">
        <v>173</v>
      </c>
      <c r="C58" s="51"/>
      <c r="D58" s="51"/>
      <c r="E58" s="81">
        <f t="shared" si="13"/>
        <v>12000</v>
      </c>
      <c r="F58" s="83">
        <v>200</v>
      </c>
      <c r="G58" s="82">
        <f t="shared" si="21"/>
        <v>200</v>
      </c>
      <c r="H58" s="82">
        <f t="shared" si="21"/>
        <v>200</v>
      </c>
      <c r="I58" s="82">
        <f t="shared" si="21"/>
        <v>200</v>
      </c>
      <c r="J58" s="82">
        <f t="shared" si="21"/>
        <v>200</v>
      </c>
      <c r="K58" s="82">
        <f t="shared" si="21"/>
        <v>200</v>
      </c>
      <c r="L58" s="82">
        <f t="shared" si="21"/>
        <v>200</v>
      </c>
      <c r="M58" s="82">
        <f t="shared" si="21"/>
        <v>200</v>
      </c>
      <c r="N58" s="82">
        <f t="shared" si="21"/>
        <v>200</v>
      </c>
      <c r="O58" s="82">
        <f t="shared" si="21"/>
        <v>200</v>
      </c>
      <c r="P58" s="82">
        <f t="shared" si="21"/>
        <v>200</v>
      </c>
      <c r="Q58" s="82">
        <f t="shared" si="21"/>
        <v>200</v>
      </c>
      <c r="R58" s="82">
        <f t="shared" si="21"/>
        <v>200</v>
      </c>
      <c r="S58" s="82">
        <f t="shared" si="21"/>
        <v>200</v>
      </c>
      <c r="T58" s="82">
        <f t="shared" si="21"/>
        <v>200</v>
      </c>
      <c r="U58" s="82">
        <f t="shared" si="21"/>
        <v>200</v>
      </c>
      <c r="V58" s="82">
        <f t="shared" si="21"/>
        <v>200</v>
      </c>
      <c r="W58" s="82">
        <f t="shared" si="19"/>
        <v>200</v>
      </c>
      <c r="X58" s="82">
        <f t="shared" si="19"/>
        <v>200</v>
      </c>
      <c r="Y58" s="82">
        <f t="shared" si="19"/>
        <v>200</v>
      </c>
      <c r="Z58" s="82">
        <f t="shared" si="22"/>
        <v>200</v>
      </c>
      <c r="AA58" s="82">
        <f t="shared" si="22"/>
        <v>200</v>
      </c>
      <c r="AB58" s="82">
        <f t="shared" si="22"/>
        <v>200</v>
      </c>
      <c r="AC58" s="82">
        <f t="shared" si="22"/>
        <v>200</v>
      </c>
      <c r="AD58" s="82">
        <f t="shared" si="22"/>
        <v>200</v>
      </c>
      <c r="AE58" s="82">
        <f t="shared" si="22"/>
        <v>200</v>
      </c>
      <c r="AF58" s="82">
        <f t="shared" si="22"/>
        <v>200</v>
      </c>
      <c r="AG58" s="82">
        <f t="shared" si="22"/>
        <v>200</v>
      </c>
      <c r="AH58" s="82">
        <f t="shared" si="22"/>
        <v>200</v>
      </c>
      <c r="AI58" s="82">
        <f t="shared" si="22"/>
        <v>200</v>
      </c>
      <c r="AJ58" s="82">
        <f t="shared" si="22"/>
        <v>200</v>
      </c>
      <c r="AK58" s="82">
        <f t="shared" si="22"/>
        <v>200</v>
      </c>
      <c r="AL58" s="82">
        <f t="shared" si="22"/>
        <v>200</v>
      </c>
      <c r="AM58" s="82">
        <f t="shared" si="22"/>
        <v>200</v>
      </c>
      <c r="AN58" s="82">
        <f t="shared" si="22"/>
        <v>200</v>
      </c>
      <c r="AO58" s="82">
        <f t="shared" si="22"/>
        <v>200</v>
      </c>
      <c r="AP58" s="82">
        <f t="shared" si="20"/>
        <v>200</v>
      </c>
      <c r="AQ58" s="82">
        <f t="shared" si="20"/>
        <v>200</v>
      </c>
      <c r="AR58" s="82">
        <f t="shared" si="20"/>
        <v>200</v>
      </c>
      <c r="AS58" s="82">
        <f t="shared" si="20"/>
        <v>200</v>
      </c>
      <c r="AT58" s="82">
        <f t="shared" si="20"/>
        <v>200</v>
      </c>
      <c r="AU58" s="82">
        <f t="shared" si="20"/>
        <v>200</v>
      </c>
      <c r="AV58" s="82">
        <f t="shared" si="20"/>
        <v>200</v>
      </c>
      <c r="AW58" s="82">
        <f t="shared" si="20"/>
        <v>200</v>
      </c>
      <c r="AX58" s="82">
        <f t="shared" si="20"/>
        <v>200</v>
      </c>
      <c r="AY58" s="82">
        <f t="shared" si="20"/>
        <v>200</v>
      </c>
      <c r="AZ58" s="82">
        <f t="shared" si="20"/>
        <v>200</v>
      </c>
      <c r="BA58" s="82">
        <f t="shared" si="20"/>
        <v>200</v>
      </c>
      <c r="BB58" s="82">
        <f t="shared" si="20"/>
        <v>200</v>
      </c>
      <c r="BC58" s="82">
        <f t="shared" si="20"/>
        <v>200</v>
      </c>
      <c r="BD58" s="82">
        <f t="shared" si="20"/>
        <v>200</v>
      </c>
      <c r="BE58" s="82">
        <f t="shared" si="20"/>
        <v>200</v>
      </c>
      <c r="BF58" s="82">
        <f t="shared" si="23"/>
        <v>200</v>
      </c>
      <c r="BG58" s="82">
        <f t="shared" si="23"/>
        <v>200</v>
      </c>
      <c r="BH58" s="82">
        <f t="shared" si="23"/>
        <v>200</v>
      </c>
      <c r="BI58" s="82">
        <f t="shared" si="23"/>
        <v>200</v>
      </c>
      <c r="BJ58" s="82">
        <f t="shared" si="23"/>
        <v>200</v>
      </c>
      <c r="BK58" s="82">
        <f t="shared" si="23"/>
        <v>200</v>
      </c>
      <c r="BL58" s="82">
        <f t="shared" si="23"/>
        <v>200</v>
      </c>
      <c r="BM58" s="82">
        <f t="shared" si="23"/>
        <v>200</v>
      </c>
    </row>
    <row r="59" spans="2:65" outlineLevel="1">
      <c r="B59" s="51" t="s">
        <v>174</v>
      </c>
      <c r="C59" s="51"/>
      <c r="D59" s="51"/>
      <c r="E59" s="81">
        <f t="shared" si="13"/>
        <v>6000</v>
      </c>
      <c r="F59" s="83">
        <v>100</v>
      </c>
      <c r="G59" s="82">
        <f t="shared" si="21"/>
        <v>100</v>
      </c>
      <c r="H59" s="82">
        <f t="shared" si="21"/>
        <v>100</v>
      </c>
      <c r="I59" s="82">
        <f t="shared" si="21"/>
        <v>100</v>
      </c>
      <c r="J59" s="82">
        <f t="shared" si="21"/>
        <v>100</v>
      </c>
      <c r="K59" s="82">
        <f t="shared" si="21"/>
        <v>100</v>
      </c>
      <c r="L59" s="82">
        <f t="shared" si="21"/>
        <v>100</v>
      </c>
      <c r="M59" s="82">
        <f t="shared" si="21"/>
        <v>100</v>
      </c>
      <c r="N59" s="82">
        <f t="shared" si="21"/>
        <v>100</v>
      </c>
      <c r="O59" s="82">
        <f t="shared" si="21"/>
        <v>100</v>
      </c>
      <c r="P59" s="82">
        <f t="shared" si="21"/>
        <v>100</v>
      </c>
      <c r="Q59" s="82">
        <f t="shared" si="21"/>
        <v>100</v>
      </c>
      <c r="R59" s="82">
        <f t="shared" si="21"/>
        <v>100</v>
      </c>
      <c r="S59" s="82">
        <f t="shared" si="21"/>
        <v>100</v>
      </c>
      <c r="T59" s="82">
        <f t="shared" si="21"/>
        <v>100</v>
      </c>
      <c r="U59" s="82">
        <f t="shared" si="21"/>
        <v>100</v>
      </c>
      <c r="V59" s="82">
        <f t="shared" si="21"/>
        <v>100</v>
      </c>
      <c r="W59" s="82">
        <f t="shared" si="19"/>
        <v>100</v>
      </c>
      <c r="X59" s="82">
        <f t="shared" si="19"/>
        <v>100</v>
      </c>
      <c r="Y59" s="82">
        <f t="shared" si="19"/>
        <v>100</v>
      </c>
      <c r="Z59" s="82">
        <f t="shared" si="22"/>
        <v>100</v>
      </c>
      <c r="AA59" s="82">
        <f t="shared" si="22"/>
        <v>100</v>
      </c>
      <c r="AB59" s="82">
        <f t="shared" si="22"/>
        <v>100</v>
      </c>
      <c r="AC59" s="82">
        <f t="shared" si="22"/>
        <v>100</v>
      </c>
      <c r="AD59" s="82">
        <f t="shared" si="22"/>
        <v>100</v>
      </c>
      <c r="AE59" s="82">
        <f t="shared" si="22"/>
        <v>100</v>
      </c>
      <c r="AF59" s="82">
        <f t="shared" si="22"/>
        <v>100</v>
      </c>
      <c r="AG59" s="82">
        <f t="shared" si="22"/>
        <v>100</v>
      </c>
      <c r="AH59" s="82">
        <f t="shared" si="22"/>
        <v>100</v>
      </c>
      <c r="AI59" s="82">
        <f t="shared" si="22"/>
        <v>100</v>
      </c>
      <c r="AJ59" s="82">
        <f t="shared" si="22"/>
        <v>100</v>
      </c>
      <c r="AK59" s="82">
        <f t="shared" si="22"/>
        <v>100</v>
      </c>
      <c r="AL59" s="82">
        <f t="shared" si="22"/>
        <v>100</v>
      </c>
      <c r="AM59" s="82">
        <f t="shared" si="22"/>
        <v>100</v>
      </c>
      <c r="AN59" s="82">
        <f t="shared" si="22"/>
        <v>100</v>
      </c>
      <c r="AO59" s="82">
        <f t="shared" si="22"/>
        <v>100</v>
      </c>
      <c r="AP59" s="82">
        <f t="shared" si="20"/>
        <v>100</v>
      </c>
      <c r="AQ59" s="82">
        <f t="shared" si="20"/>
        <v>100</v>
      </c>
      <c r="AR59" s="82">
        <f t="shared" si="20"/>
        <v>100</v>
      </c>
      <c r="AS59" s="82">
        <f t="shared" si="20"/>
        <v>100</v>
      </c>
      <c r="AT59" s="82">
        <f t="shared" si="20"/>
        <v>100</v>
      </c>
      <c r="AU59" s="82">
        <f t="shared" si="20"/>
        <v>100</v>
      </c>
      <c r="AV59" s="82">
        <f t="shared" si="20"/>
        <v>100</v>
      </c>
      <c r="AW59" s="82">
        <f t="shared" si="20"/>
        <v>100</v>
      </c>
      <c r="AX59" s="82">
        <f t="shared" si="20"/>
        <v>100</v>
      </c>
      <c r="AY59" s="82">
        <f t="shared" si="20"/>
        <v>100</v>
      </c>
      <c r="AZ59" s="82">
        <f t="shared" si="20"/>
        <v>100</v>
      </c>
      <c r="BA59" s="82">
        <f t="shared" si="20"/>
        <v>100</v>
      </c>
      <c r="BB59" s="82">
        <f t="shared" si="20"/>
        <v>100</v>
      </c>
      <c r="BC59" s="82">
        <f t="shared" si="20"/>
        <v>100</v>
      </c>
      <c r="BD59" s="82">
        <f t="shared" si="20"/>
        <v>100</v>
      </c>
      <c r="BE59" s="82">
        <f t="shared" si="20"/>
        <v>100</v>
      </c>
      <c r="BF59" s="82">
        <f t="shared" si="23"/>
        <v>100</v>
      </c>
      <c r="BG59" s="82">
        <f t="shared" si="23"/>
        <v>100</v>
      </c>
      <c r="BH59" s="82">
        <f t="shared" si="23"/>
        <v>100</v>
      </c>
      <c r="BI59" s="82">
        <f t="shared" si="23"/>
        <v>100</v>
      </c>
      <c r="BJ59" s="82">
        <f t="shared" si="23"/>
        <v>100</v>
      </c>
      <c r="BK59" s="82">
        <f t="shared" si="23"/>
        <v>100</v>
      </c>
      <c r="BL59" s="82">
        <f t="shared" si="23"/>
        <v>100</v>
      </c>
      <c r="BM59" s="82">
        <f t="shared" si="23"/>
        <v>100</v>
      </c>
    </row>
    <row r="60" spans="2:65" outlineLevel="1">
      <c r="B60" s="51" t="s">
        <v>175</v>
      </c>
      <c r="C60" s="51"/>
      <c r="D60" s="51"/>
      <c r="E60" s="81">
        <f t="shared" si="13"/>
        <v>30000</v>
      </c>
      <c r="F60" s="84">
        <v>500</v>
      </c>
      <c r="G60" s="82">
        <f t="shared" si="21"/>
        <v>500</v>
      </c>
      <c r="H60" s="82">
        <f t="shared" si="21"/>
        <v>500</v>
      </c>
      <c r="I60" s="82">
        <f t="shared" si="21"/>
        <v>500</v>
      </c>
      <c r="J60" s="82">
        <f t="shared" si="21"/>
        <v>500</v>
      </c>
      <c r="K60" s="82">
        <f t="shared" si="21"/>
        <v>500</v>
      </c>
      <c r="L60" s="82">
        <f t="shared" si="21"/>
        <v>500</v>
      </c>
      <c r="M60" s="82">
        <f t="shared" si="21"/>
        <v>500</v>
      </c>
      <c r="N60" s="82">
        <f t="shared" si="21"/>
        <v>500</v>
      </c>
      <c r="O60" s="82">
        <f t="shared" si="21"/>
        <v>500</v>
      </c>
      <c r="P60" s="82">
        <f t="shared" si="21"/>
        <v>500</v>
      </c>
      <c r="Q60" s="82">
        <f t="shared" si="21"/>
        <v>500</v>
      </c>
      <c r="R60" s="82">
        <f t="shared" si="21"/>
        <v>500</v>
      </c>
      <c r="S60" s="82">
        <f t="shared" si="21"/>
        <v>500</v>
      </c>
      <c r="T60" s="82">
        <f t="shared" si="21"/>
        <v>500</v>
      </c>
      <c r="U60" s="82">
        <f t="shared" si="21"/>
        <v>500</v>
      </c>
      <c r="V60" s="82">
        <f t="shared" si="21"/>
        <v>500</v>
      </c>
      <c r="W60" s="82">
        <f t="shared" si="19"/>
        <v>500</v>
      </c>
      <c r="X60" s="82">
        <f t="shared" si="19"/>
        <v>500</v>
      </c>
      <c r="Y60" s="82">
        <f t="shared" si="19"/>
        <v>500</v>
      </c>
      <c r="Z60" s="82">
        <f t="shared" si="22"/>
        <v>500</v>
      </c>
      <c r="AA60" s="82">
        <f t="shared" si="22"/>
        <v>500</v>
      </c>
      <c r="AB60" s="82">
        <f t="shared" si="22"/>
        <v>500</v>
      </c>
      <c r="AC60" s="82">
        <f t="shared" si="22"/>
        <v>500</v>
      </c>
      <c r="AD60" s="82">
        <f t="shared" si="22"/>
        <v>500</v>
      </c>
      <c r="AE60" s="82">
        <f t="shared" si="22"/>
        <v>500</v>
      </c>
      <c r="AF60" s="82">
        <f t="shared" si="22"/>
        <v>500</v>
      </c>
      <c r="AG60" s="82">
        <f t="shared" si="22"/>
        <v>500</v>
      </c>
      <c r="AH60" s="82">
        <f t="shared" si="22"/>
        <v>500</v>
      </c>
      <c r="AI60" s="82">
        <f t="shared" si="22"/>
        <v>500</v>
      </c>
      <c r="AJ60" s="82">
        <f t="shared" si="22"/>
        <v>500</v>
      </c>
      <c r="AK60" s="82">
        <f t="shared" si="22"/>
        <v>500</v>
      </c>
      <c r="AL60" s="82">
        <f t="shared" si="22"/>
        <v>500</v>
      </c>
      <c r="AM60" s="82">
        <f t="shared" si="22"/>
        <v>500</v>
      </c>
      <c r="AN60" s="82">
        <f t="shared" si="22"/>
        <v>500</v>
      </c>
      <c r="AO60" s="82">
        <f t="shared" si="22"/>
        <v>500</v>
      </c>
      <c r="AP60" s="82">
        <f t="shared" si="20"/>
        <v>500</v>
      </c>
      <c r="AQ60" s="82">
        <f t="shared" si="20"/>
        <v>500</v>
      </c>
      <c r="AR60" s="82">
        <f t="shared" si="20"/>
        <v>500</v>
      </c>
      <c r="AS60" s="82">
        <f t="shared" si="20"/>
        <v>500</v>
      </c>
      <c r="AT60" s="82">
        <f t="shared" si="20"/>
        <v>500</v>
      </c>
      <c r="AU60" s="82">
        <f t="shared" si="20"/>
        <v>500</v>
      </c>
      <c r="AV60" s="82">
        <f t="shared" si="20"/>
        <v>500</v>
      </c>
      <c r="AW60" s="82">
        <f t="shared" si="20"/>
        <v>500</v>
      </c>
      <c r="AX60" s="82">
        <f t="shared" si="20"/>
        <v>500</v>
      </c>
      <c r="AY60" s="82">
        <f t="shared" si="20"/>
        <v>500</v>
      </c>
      <c r="AZ60" s="82">
        <f t="shared" si="20"/>
        <v>500</v>
      </c>
      <c r="BA60" s="82">
        <f t="shared" si="20"/>
        <v>500</v>
      </c>
      <c r="BB60" s="82">
        <f t="shared" si="20"/>
        <v>500</v>
      </c>
      <c r="BC60" s="82">
        <f t="shared" si="20"/>
        <v>500</v>
      </c>
      <c r="BD60" s="82">
        <f t="shared" si="20"/>
        <v>500</v>
      </c>
      <c r="BE60" s="82">
        <f t="shared" si="20"/>
        <v>500</v>
      </c>
      <c r="BF60" s="82">
        <f t="shared" si="23"/>
        <v>500</v>
      </c>
      <c r="BG60" s="82">
        <f t="shared" si="23"/>
        <v>500</v>
      </c>
      <c r="BH60" s="82">
        <f t="shared" si="23"/>
        <v>500</v>
      </c>
      <c r="BI60" s="82">
        <f t="shared" si="23"/>
        <v>500</v>
      </c>
      <c r="BJ60" s="82">
        <f t="shared" si="23"/>
        <v>500</v>
      </c>
      <c r="BK60" s="82">
        <f t="shared" si="23"/>
        <v>500</v>
      </c>
      <c r="BL60" s="82">
        <f t="shared" si="23"/>
        <v>500</v>
      </c>
      <c r="BM60" s="82">
        <f t="shared" si="23"/>
        <v>500</v>
      </c>
    </row>
    <row r="61" spans="2:65" outlineLevel="1">
      <c r="B61" s="51" t="s">
        <v>176</v>
      </c>
      <c r="C61" s="51"/>
      <c r="D61" s="51"/>
      <c r="E61" s="81">
        <f t="shared" si="13"/>
        <v>0</v>
      </c>
      <c r="F61" s="83">
        <v>0</v>
      </c>
      <c r="G61" s="82">
        <f t="shared" si="21"/>
        <v>0</v>
      </c>
      <c r="H61" s="82">
        <f t="shared" si="21"/>
        <v>0</v>
      </c>
      <c r="I61" s="82">
        <f t="shared" si="21"/>
        <v>0</v>
      </c>
      <c r="J61" s="82">
        <f t="shared" si="21"/>
        <v>0</v>
      </c>
      <c r="K61" s="82">
        <f t="shared" si="21"/>
        <v>0</v>
      </c>
      <c r="L61" s="82">
        <f t="shared" si="21"/>
        <v>0</v>
      </c>
      <c r="M61" s="82">
        <f t="shared" si="21"/>
        <v>0</v>
      </c>
      <c r="N61" s="82">
        <f t="shared" si="21"/>
        <v>0</v>
      </c>
      <c r="O61" s="82">
        <f t="shared" si="21"/>
        <v>0</v>
      </c>
      <c r="P61" s="82">
        <f t="shared" si="21"/>
        <v>0</v>
      </c>
      <c r="Q61" s="82">
        <f t="shared" si="21"/>
        <v>0</v>
      </c>
      <c r="R61" s="82">
        <f t="shared" si="21"/>
        <v>0</v>
      </c>
      <c r="S61" s="82">
        <f t="shared" si="21"/>
        <v>0</v>
      </c>
      <c r="T61" s="82">
        <f t="shared" si="21"/>
        <v>0</v>
      </c>
      <c r="U61" s="82">
        <f t="shared" si="21"/>
        <v>0</v>
      </c>
      <c r="V61" s="82">
        <f t="shared" si="21"/>
        <v>0</v>
      </c>
      <c r="W61" s="82">
        <f t="shared" si="19"/>
        <v>0</v>
      </c>
      <c r="X61" s="82">
        <f t="shared" si="19"/>
        <v>0</v>
      </c>
      <c r="Y61" s="82">
        <f t="shared" si="19"/>
        <v>0</v>
      </c>
      <c r="Z61" s="82">
        <f t="shared" si="19"/>
        <v>0</v>
      </c>
      <c r="AA61" s="82">
        <f t="shared" si="19"/>
        <v>0</v>
      </c>
      <c r="AB61" s="82">
        <f t="shared" si="19"/>
        <v>0</v>
      </c>
      <c r="AC61" s="82">
        <f t="shared" si="19"/>
        <v>0</v>
      </c>
      <c r="AD61" s="82">
        <f t="shared" si="19"/>
        <v>0</v>
      </c>
      <c r="AE61" s="82">
        <f t="shared" si="22"/>
        <v>0</v>
      </c>
      <c r="AF61" s="82">
        <f t="shared" si="22"/>
        <v>0</v>
      </c>
      <c r="AG61" s="82">
        <f t="shared" si="22"/>
        <v>0</v>
      </c>
      <c r="AH61" s="82">
        <f t="shared" si="22"/>
        <v>0</v>
      </c>
      <c r="AI61" s="82">
        <f t="shared" si="22"/>
        <v>0</v>
      </c>
      <c r="AJ61" s="82">
        <f t="shared" si="22"/>
        <v>0</v>
      </c>
      <c r="AK61" s="82">
        <f t="shared" si="22"/>
        <v>0</v>
      </c>
      <c r="AL61" s="82">
        <f t="shared" si="22"/>
        <v>0</v>
      </c>
      <c r="AM61" s="82">
        <f t="shared" si="22"/>
        <v>0</v>
      </c>
      <c r="AN61" s="82">
        <f t="shared" si="22"/>
        <v>0</v>
      </c>
      <c r="AO61" s="82">
        <f t="shared" si="22"/>
        <v>0</v>
      </c>
      <c r="AP61" s="82">
        <f t="shared" si="20"/>
        <v>0</v>
      </c>
      <c r="AQ61" s="82">
        <f t="shared" si="20"/>
        <v>0</v>
      </c>
      <c r="AR61" s="82">
        <f t="shared" si="20"/>
        <v>0</v>
      </c>
      <c r="AS61" s="82">
        <f t="shared" si="20"/>
        <v>0</v>
      </c>
      <c r="AT61" s="82">
        <f t="shared" si="20"/>
        <v>0</v>
      </c>
      <c r="AU61" s="82">
        <f t="shared" si="20"/>
        <v>0</v>
      </c>
      <c r="AV61" s="82">
        <f t="shared" si="20"/>
        <v>0</v>
      </c>
      <c r="AW61" s="82">
        <f t="shared" si="20"/>
        <v>0</v>
      </c>
      <c r="AX61" s="82">
        <f t="shared" si="20"/>
        <v>0</v>
      </c>
      <c r="AY61" s="82">
        <f t="shared" si="20"/>
        <v>0</v>
      </c>
      <c r="AZ61" s="82">
        <f t="shared" si="20"/>
        <v>0</v>
      </c>
      <c r="BA61" s="82">
        <f t="shared" si="20"/>
        <v>0</v>
      </c>
      <c r="BB61" s="82">
        <f t="shared" si="20"/>
        <v>0</v>
      </c>
      <c r="BC61" s="82">
        <f t="shared" si="20"/>
        <v>0</v>
      </c>
      <c r="BD61" s="82">
        <f t="shared" si="20"/>
        <v>0</v>
      </c>
      <c r="BE61" s="82">
        <f t="shared" si="20"/>
        <v>0</v>
      </c>
      <c r="BF61" s="82">
        <f t="shared" si="23"/>
        <v>0</v>
      </c>
      <c r="BG61" s="82">
        <f t="shared" si="23"/>
        <v>0</v>
      </c>
      <c r="BH61" s="82">
        <f t="shared" si="23"/>
        <v>0</v>
      </c>
      <c r="BI61" s="82">
        <f t="shared" si="23"/>
        <v>0</v>
      </c>
      <c r="BJ61" s="82">
        <f t="shared" si="23"/>
        <v>0</v>
      </c>
      <c r="BK61" s="82">
        <f t="shared" si="23"/>
        <v>0</v>
      </c>
      <c r="BL61" s="82">
        <f t="shared" si="23"/>
        <v>0</v>
      </c>
      <c r="BM61" s="82">
        <f t="shared" si="23"/>
        <v>0</v>
      </c>
    </row>
    <row r="62" spans="2:65" outlineLevel="1">
      <c r="B62" s="51" t="s">
        <v>177</v>
      </c>
      <c r="C62" s="51"/>
      <c r="D62" s="51"/>
      <c r="E62" s="81">
        <f t="shared" si="13"/>
        <v>24000</v>
      </c>
      <c r="F62" s="83">
        <v>400</v>
      </c>
      <c r="G62" s="82">
        <f t="shared" si="21"/>
        <v>400</v>
      </c>
      <c r="H62" s="82">
        <f t="shared" si="21"/>
        <v>400</v>
      </c>
      <c r="I62" s="82">
        <f t="shared" si="21"/>
        <v>400</v>
      </c>
      <c r="J62" s="82">
        <f t="shared" si="21"/>
        <v>400</v>
      </c>
      <c r="K62" s="82">
        <f t="shared" si="21"/>
        <v>400</v>
      </c>
      <c r="L62" s="82">
        <f t="shared" si="21"/>
        <v>400</v>
      </c>
      <c r="M62" s="82">
        <f t="shared" si="21"/>
        <v>400</v>
      </c>
      <c r="N62" s="82">
        <f t="shared" si="21"/>
        <v>400</v>
      </c>
      <c r="O62" s="82">
        <f t="shared" si="21"/>
        <v>400</v>
      </c>
      <c r="P62" s="82">
        <f t="shared" si="21"/>
        <v>400</v>
      </c>
      <c r="Q62" s="82">
        <f t="shared" si="21"/>
        <v>400</v>
      </c>
      <c r="R62" s="82">
        <f t="shared" si="21"/>
        <v>400</v>
      </c>
      <c r="S62" s="82">
        <f t="shared" si="21"/>
        <v>400</v>
      </c>
      <c r="T62" s="82">
        <f t="shared" si="21"/>
        <v>400</v>
      </c>
      <c r="U62" s="82">
        <f t="shared" si="21"/>
        <v>400</v>
      </c>
      <c r="V62" s="82">
        <f t="shared" si="21"/>
        <v>400</v>
      </c>
      <c r="W62" s="82">
        <f t="shared" si="19"/>
        <v>400</v>
      </c>
      <c r="X62" s="82">
        <f t="shared" si="19"/>
        <v>400</v>
      </c>
      <c r="Y62" s="82">
        <f t="shared" si="19"/>
        <v>400</v>
      </c>
      <c r="Z62" s="82">
        <f t="shared" si="19"/>
        <v>400</v>
      </c>
      <c r="AA62" s="82">
        <f t="shared" si="19"/>
        <v>400</v>
      </c>
      <c r="AB62" s="82">
        <f t="shared" si="19"/>
        <v>400</v>
      </c>
      <c r="AC62" s="82">
        <f t="shared" si="19"/>
        <v>400</v>
      </c>
      <c r="AD62" s="82">
        <f t="shared" si="19"/>
        <v>400</v>
      </c>
      <c r="AE62" s="82">
        <f t="shared" si="22"/>
        <v>400</v>
      </c>
      <c r="AF62" s="82">
        <f t="shared" si="22"/>
        <v>400</v>
      </c>
      <c r="AG62" s="82">
        <f t="shared" si="22"/>
        <v>400</v>
      </c>
      <c r="AH62" s="82">
        <f t="shared" si="22"/>
        <v>400</v>
      </c>
      <c r="AI62" s="82">
        <f t="shared" si="22"/>
        <v>400</v>
      </c>
      <c r="AJ62" s="82">
        <f t="shared" si="22"/>
        <v>400</v>
      </c>
      <c r="AK62" s="82">
        <f t="shared" si="22"/>
        <v>400</v>
      </c>
      <c r="AL62" s="82">
        <f t="shared" si="22"/>
        <v>400</v>
      </c>
      <c r="AM62" s="82">
        <f t="shared" si="22"/>
        <v>400</v>
      </c>
      <c r="AN62" s="82">
        <f t="shared" si="22"/>
        <v>400</v>
      </c>
      <c r="AO62" s="82">
        <f t="shared" si="22"/>
        <v>400</v>
      </c>
      <c r="AP62" s="82">
        <f t="shared" si="20"/>
        <v>400</v>
      </c>
      <c r="AQ62" s="82">
        <f t="shared" si="20"/>
        <v>400</v>
      </c>
      <c r="AR62" s="82">
        <f t="shared" si="20"/>
        <v>400</v>
      </c>
      <c r="AS62" s="82">
        <f t="shared" si="20"/>
        <v>400</v>
      </c>
      <c r="AT62" s="82">
        <f t="shared" si="20"/>
        <v>400</v>
      </c>
      <c r="AU62" s="82">
        <f t="shared" si="20"/>
        <v>400</v>
      </c>
      <c r="AV62" s="82">
        <f t="shared" si="20"/>
        <v>400</v>
      </c>
      <c r="AW62" s="82">
        <f t="shared" si="20"/>
        <v>400</v>
      </c>
      <c r="AX62" s="82">
        <f t="shared" si="20"/>
        <v>400</v>
      </c>
      <c r="AY62" s="82">
        <f t="shared" si="20"/>
        <v>400</v>
      </c>
      <c r="AZ62" s="82">
        <f t="shared" si="20"/>
        <v>400</v>
      </c>
      <c r="BA62" s="82">
        <f t="shared" si="20"/>
        <v>400</v>
      </c>
      <c r="BB62" s="82">
        <f t="shared" si="20"/>
        <v>400</v>
      </c>
      <c r="BC62" s="82">
        <f t="shared" si="20"/>
        <v>400</v>
      </c>
      <c r="BD62" s="82">
        <f t="shared" si="20"/>
        <v>400</v>
      </c>
      <c r="BE62" s="82">
        <f t="shared" si="20"/>
        <v>400</v>
      </c>
      <c r="BF62" s="82">
        <f t="shared" si="23"/>
        <v>400</v>
      </c>
      <c r="BG62" s="82">
        <f t="shared" si="23"/>
        <v>400</v>
      </c>
      <c r="BH62" s="82">
        <f t="shared" si="23"/>
        <v>400</v>
      </c>
      <c r="BI62" s="82">
        <f t="shared" si="23"/>
        <v>400</v>
      </c>
      <c r="BJ62" s="82">
        <f t="shared" si="23"/>
        <v>400</v>
      </c>
      <c r="BK62" s="82">
        <f t="shared" si="23"/>
        <v>400</v>
      </c>
      <c r="BL62" s="82">
        <f t="shared" si="23"/>
        <v>400</v>
      </c>
      <c r="BM62" s="82">
        <f t="shared" si="23"/>
        <v>400</v>
      </c>
    </row>
    <row r="63" spans="2:65">
      <c r="B63" s="51" t="s">
        <v>178</v>
      </c>
      <c r="C63" s="51" t="s">
        <v>136</v>
      </c>
      <c r="D63" s="3"/>
      <c r="E63" s="85">
        <f t="shared" si="13"/>
        <v>5475000</v>
      </c>
      <c r="F63" s="86">
        <f t="shared" ref="F63:BM63" si="24">SUM(F40:F62)</f>
        <v>91250</v>
      </c>
      <c r="G63" s="86">
        <f t="shared" si="24"/>
        <v>91250</v>
      </c>
      <c r="H63" s="86">
        <f t="shared" si="24"/>
        <v>91250</v>
      </c>
      <c r="I63" s="86">
        <f t="shared" si="24"/>
        <v>91250</v>
      </c>
      <c r="J63" s="86">
        <f t="shared" si="24"/>
        <v>91250</v>
      </c>
      <c r="K63" s="86">
        <f t="shared" si="24"/>
        <v>91250</v>
      </c>
      <c r="L63" s="86">
        <f t="shared" si="24"/>
        <v>91250</v>
      </c>
      <c r="M63" s="86">
        <f t="shared" si="24"/>
        <v>91250</v>
      </c>
      <c r="N63" s="86">
        <f t="shared" si="24"/>
        <v>91250</v>
      </c>
      <c r="O63" s="86">
        <f t="shared" si="24"/>
        <v>91250</v>
      </c>
      <c r="P63" s="86">
        <f t="shared" si="24"/>
        <v>91250</v>
      </c>
      <c r="Q63" s="86">
        <f t="shared" si="24"/>
        <v>91250</v>
      </c>
      <c r="R63" s="86">
        <f t="shared" si="24"/>
        <v>91250</v>
      </c>
      <c r="S63" s="86">
        <f t="shared" si="24"/>
        <v>91250</v>
      </c>
      <c r="T63" s="86">
        <f t="shared" si="24"/>
        <v>91250</v>
      </c>
      <c r="U63" s="86">
        <f t="shared" si="24"/>
        <v>91250</v>
      </c>
      <c r="V63" s="86">
        <f t="shared" si="24"/>
        <v>91250</v>
      </c>
      <c r="W63" s="86">
        <f t="shared" si="24"/>
        <v>91250</v>
      </c>
      <c r="X63" s="86">
        <f t="shared" si="24"/>
        <v>91250</v>
      </c>
      <c r="Y63" s="86">
        <f t="shared" si="24"/>
        <v>91250</v>
      </c>
      <c r="Z63" s="86">
        <f t="shared" si="24"/>
        <v>91250</v>
      </c>
      <c r="AA63" s="86">
        <f t="shared" si="24"/>
        <v>91250</v>
      </c>
      <c r="AB63" s="86">
        <f t="shared" si="24"/>
        <v>91250</v>
      </c>
      <c r="AC63" s="86">
        <f t="shared" si="24"/>
        <v>91250</v>
      </c>
      <c r="AD63" s="86">
        <f t="shared" si="24"/>
        <v>91250</v>
      </c>
      <c r="AE63" s="86">
        <f t="shared" si="24"/>
        <v>91250</v>
      </c>
      <c r="AF63" s="86">
        <f t="shared" si="24"/>
        <v>91250</v>
      </c>
      <c r="AG63" s="86">
        <f t="shared" si="24"/>
        <v>91250</v>
      </c>
      <c r="AH63" s="86">
        <f t="shared" si="24"/>
        <v>91250</v>
      </c>
      <c r="AI63" s="86">
        <f t="shared" si="24"/>
        <v>91250</v>
      </c>
      <c r="AJ63" s="86">
        <f t="shared" si="24"/>
        <v>91250</v>
      </c>
      <c r="AK63" s="86">
        <f t="shared" si="24"/>
        <v>91250</v>
      </c>
      <c r="AL63" s="86">
        <f t="shared" si="24"/>
        <v>91250</v>
      </c>
      <c r="AM63" s="86">
        <f t="shared" si="24"/>
        <v>91250</v>
      </c>
      <c r="AN63" s="86">
        <f t="shared" si="24"/>
        <v>91250</v>
      </c>
      <c r="AO63" s="86">
        <f t="shared" si="24"/>
        <v>91250</v>
      </c>
      <c r="AP63" s="86">
        <f t="shared" si="24"/>
        <v>91250</v>
      </c>
      <c r="AQ63" s="86">
        <f t="shared" si="24"/>
        <v>91250</v>
      </c>
      <c r="AR63" s="86">
        <f t="shared" si="24"/>
        <v>91250</v>
      </c>
      <c r="AS63" s="86">
        <f t="shared" si="24"/>
        <v>91250</v>
      </c>
      <c r="AT63" s="86">
        <f t="shared" si="24"/>
        <v>91250</v>
      </c>
      <c r="AU63" s="86">
        <f t="shared" si="24"/>
        <v>91250</v>
      </c>
      <c r="AV63" s="86">
        <f t="shared" si="24"/>
        <v>91250</v>
      </c>
      <c r="AW63" s="86">
        <f t="shared" si="24"/>
        <v>91250</v>
      </c>
      <c r="AX63" s="86">
        <f t="shared" si="24"/>
        <v>91250</v>
      </c>
      <c r="AY63" s="86">
        <f t="shared" si="24"/>
        <v>91250</v>
      </c>
      <c r="AZ63" s="86">
        <f t="shared" si="24"/>
        <v>91250</v>
      </c>
      <c r="BA63" s="86">
        <f t="shared" si="24"/>
        <v>91250</v>
      </c>
      <c r="BB63" s="86">
        <f t="shared" si="24"/>
        <v>91250</v>
      </c>
      <c r="BC63" s="86">
        <f t="shared" si="24"/>
        <v>91250</v>
      </c>
      <c r="BD63" s="86">
        <f t="shared" si="24"/>
        <v>91250</v>
      </c>
      <c r="BE63" s="86">
        <f t="shared" si="24"/>
        <v>91250</v>
      </c>
      <c r="BF63" s="86">
        <f t="shared" si="24"/>
        <v>91250</v>
      </c>
      <c r="BG63" s="86">
        <f t="shared" si="24"/>
        <v>91250</v>
      </c>
      <c r="BH63" s="86">
        <f t="shared" si="24"/>
        <v>91250</v>
      </c>
      <c r="BI63" s="86">
        <f t="shared" si="24"/>
        <v>91250</v>
      </c>
      <c r="BJ63" s="86">
        <f t="shared" si="24"/>
        <v>91250</v>
      </c>
      <c r="BK63" s="86">
        <f t="shared" si="24"/>
        <v>91250</v>
      </c>
      <c r="BL63" s="86">
        <f t="shared" si="24"/>
        <v>91250</v>
      </c>
      <c r="BM63" s="86">
        <f t="shared" si="24"/>
        <v>91250</v>
      </c>
    </row>
    <row r="64" spans="2:65">
      <c r="B64" s="51"/>
      <c r="C64" s="51"/>
      <c r="D64" s="3"/>
      <c r="E64" s="81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7"/>
      <c r="AR64" s="87"/>
      <c r="AS64" s="87"/>
      <c r="AT64" s="87"/>
      <c r="AU64" s="87"/>
      <c r="AV64" s="87"/>
      <c r="AW64" s="87"/>
      <c r="AX64" s="87"/>
      <c r="AY64" s="87"/>
      <c r="AZ64" s="87"/>
      <c r="BA64" s="87"/>
      <c r="BB64" s="87"/>
      <c r="BC64" s="87"/>
      <c r="BD64" s="87"/>
      <c r="BE64" s="87"/>
      <c r="BF64" s="87"/>
      <c r="BG64" s="87"/>
      <c r="BH64" s="87"/>
      <c r="BI64" s="87"/>
      <c r="BJ64" s="87"/>
      <c r="BK64" s="87"/>
      <c r="BL64" s="87"/>
      <c r="BM64" s="87"/>
    </row>
    <row r="65" spans="1:65">
      <c r="A65" s="3" t="s">
        <v>179</v>
      </c>
      <c r="B65" s="51"/>
      <c r="C65" s="51"/>
      <c r="D65" s="3"/>
      <c r="E65" s="81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7"/>
      <c r="BC65" s="87"/>
      <c r="BD65" s="87"/>
      <c r="BE65" s="87"/>
      <c r="BF65" s="87"/>
      <c r="BG65" s="87"/>
      <c r="BH65" s="87"/>
      <c r="BI65" s="87"/>
      <c r="BJ65" s="87"/>
      <c r="BK65" s="87"/>
      <c r="BL65" s="87"/>
      <c r="BM65" s="87"/>
    </row>
    <row r="66" spans="1:65">
      <c r="A66" s="51"/>
      <c r="B66" s="3" t="s">
        <v>180</v>
      </c>
      <c r="C66" s="51"/>
      <c r="D66" s="3"/>
      <c r="E66" s="81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7"/>
      <c r="BC66" s="87"/>
      <c r="BD66" s="87"/>
      <c r="BE66" s="87"/>
      <c r="BF66" s="87"/>
      <c r="BG66" s="87"/>
      <c r="BH66" s="87"/>
      <c r="BI66" s="87"/>
      <c r="BJ66" s="87"/>
      <c r="BK66" s="87"/>
      <c r="BL66" s="87"/>
      <c r="BM66" s="87"/>
    </row>
    <row r="67" spans="1:65" outlineLevel="1">
      <c r="A67" s="51"/>
      <c r="B67" t="s">
        <v>181</v>
      </c>
      <c r="C67" s="51"/>
      <c r="D67" s="3"/>
      <c r="E67" s="81">
        <f t="shared" ref="E67:E92" si="25">SUM(F67:BM67)</f>
        <v>450000</v>
      </c>
      <c r="F67" s="87">
        <v>7500</v>
      </c>
      <c r="G67" s="87">
        <f t="shared" ref="G67:BM67" si="26">F67</f>
        <v>7500</v>
      </c>
      <c r="H67" s="87">
        <f t="shared" si="26"/>
        <v>7500</v>
      </c>
      <c r="I67" s="87">
        <f t="shared" si="26"/>
        <v>7500</v>
      </c>
      <c r="J67" s="87">
        <f t="shared" si="26"/>
        <v>7500</v>
      </c>
      <c r="K67" s="87">
        <f t="shared" si="26"/>
        <v>7500</v>
      </c>
      <c r="L67" s="87">
        <f t="shared" si="26"/>
        <v>7500</v>
      </c>
      <c r="M67" s="87">
        <f t="shared" si="26"/>
        <v>7500</v>
      </c>
      <c r="N67" s="87">
        <f t="shared" si="26"/>
        <v>7500</v>
      </c>
      <c r="O67" s="87">
        <f t="shared" si="26"/>
        <v>7500</v>
      </c>
      <c r="P67" s="87">
        <f t="shared" si="26"/>
        <v>7500</v>
      </c>
      <c r="Q67" s="87">
        <f t="shared" si="26"/>
        <v>7500</v>
      </c>
      <c r="R67" s="87">
        <f t="shared" si="26"/>
        <v>7500</v>
      </c>
      <c r="S67" s="87">
        <f t="shared" si="26"/>
        <v>7500</v>
      </c>
      <c r="T67" s="87">
        <f t="shared" si="26"/>
        <v>7500</v>
      </c>
      <c r="U67" s="87">
        <f t="shared" si="26"/>
        <v>7500</v>
      </c>
      <c r="V67" s="87">
        <f t="shared" si="26"/>
        <v>7500</v>
      </c>
      <c r="W67" s="87">
        <f t="shared" si="26"/>
        <v>7500</v>
      </c>
      <c r="X67" s="87">
        <f t="shared" si="26"/>
        <v>7500</v>
      </c>
      <c r="Y67" s="87">
        <f t="shared" si="26"/>
        <v>7500</v>
      </c>
      <c r="Z67" s="87">
        <f t="shared" si="26"/>
        <v>7500</v>
      </c>
      <c r="AA67" s="87">
        <f t="shared" si="26"/>
        <v>7500</v>
      </c>
      <c r="AB67" s="87">
        <f t="shared" si="26"/>
        <v>7500</v>
      </c>
      <c r="AC67" s="87">
        <f t="shared" si="26"/>
        <v>7500</v>
      </c>
      <c r="AD67" s="87">
        <f t="shared" si="26"/>
        <v>7500</v>
      </c>
      <c r="AE67" s="87">
        <f t="shared" si="26"/>
        <v>7500</v>
      </c>
      <c r="AF67" s="87">
        <f t="shared" si="26"/>
        <v>7500</v>
      </c>
      <c r="AG67" s="87">
        <f t="shared" si="26"/>
        <v>7500</v>
      </c>
      <c r="AH67" s="87">
        <f t="shared" si="26"/>
        <v>7500</v>
      </c>
      <c r="AI67" s="87">
        <f t="shared" si="26"/>
        <v>7500</v>
      </c>
      <c r="AJ67" s="87">
        <f t="shared" si="26"/>
        <v>7500</v>
      </c>
      <c r="AK67" s="87">
        <f t="shared" si="26"/>
        <v>7500</v>
      </c>
      <c r="AL67" s="87">
        <f t="shared" si="26"/>
        <v>7500</v>
      </c>
      <c r="AM67" s="87">
        <f t="shared" si="26"/>
        <v>7500</v>
      </c>
      <c r="AN67" s="87">
        <f t="shared" si="26"/>
        <v>7500</v>
      </c>
      <c r="AO67" s="87">
        <f t="shared" si="26"/>
        <v>7500</v>
      </c>
      <c r="AP67" s="87">
        <f t="shared" si="26"/>
        <v>7500</v>
      </c>
      <c r="AQ67" s="87">
        <f t="shared" si="26"/>
        <v>7500</v>
      </c>
      <c r="AR67" s="87">
        <f t="shared" si="26"/>
        <v>7500</v>
      </c>
      <c r="AS67" s="87">
        <f t="shared" si="26"/>
        <v>7500</v>
      </c>
      <c r="AT67" s="87">
        <f t="shared" si="26"/>
        <v>7500</v>
      </c>
      <c r="AU67" s="87">
        <f t="shared" si="26"/>
        <v>7500</v>
      </c>
      <c r="AV67" s="87">
        <f t="shared" si="26"/>
        <v>7500</v>
      </c>
      <c r="AW67" s="87">
        <f t="shared" si="26"/>
        <v>7500</v>
      </c>
      <c r="AX67" s="87">
        <f t="shared" si="26"/>
        <v>7500</v>
      </c>
      <c r="AY67" s="87">
        <f t="shared" si="26"/>
        <v>7500</v>
      </c>
      <c r="AZ67" s="87">
        <f t="shared" si="26"/>
        <v>7500</v>
      </c>
      <c r="BA67" s="87">
        <f t="shared" si="26"/>
        <v>7500</v>
      </c>
      <c r="BB67" s="87">
        <f t="shared" si="26"/>
        <v>7500</v>
      </c>
      <c r="BC67" s="87">
        <f t="shared" si="26"/>
        <v>7500</v>
      </c>
      <c r="BD67" s="87">
        <f t="shared" si="26"/>
        <v>7500</v>
      </c>
      <c r="BE67" s="87">
        <f t="shared" si="26"/>
        <v>7500</v>
      </c>
      <c r="BF67" s="87">
        <f t="shared" si="26"/>
        <v>7500</v>
      </c>
      <c r="BG67" s="87">
        <f t="shared" si="26"/>
        <v>7500</v>
      </c>
      <c r="BH67" s="87">
        <f t="shared" si="26"/>
        <v>7500</v>
      </c>
      <c r="BI67" s="87">
        <f t="shared" si="26"/>
        <v>7500</v>
      </c>
      <c r="BJ67" s="87">
        <f t="shared" si="26"/>
        <v>7500</v>
      </c>
      <c r="BK67" s="87">
        <f t="shared" si="26"/>
        <v>7500</v>
      </c>
      <c r="BL67" s="87">
        <f t="shared" si="26"/>
        <v>7500</v>
      </c>
      <c r="BM67" s="87">
        <f t="shared" si="26"/>
        <v>7500</v>
      </c>
    </row>
    <row r="68" spans="1:65" outlineLevel="1">
      <c r="A68" s="51"/>
      <c r="B68" s="51" t="s">
        <v>182</v>
      </c>
      <c r="C68" s="51"/>
      <c r="D68" s="3"/>
      <c r="E68" s="81">
        <f t="shared" si="25"/>
        <v>69000</v>
      </c>
      <c r="F68" s="87">
        <v>1150</v>
      </c>
      <c r="G68" s="87">
        <v>1150</v>
      </c>
      <c r="H68" s="87">
        <v>1150</v>
      </c>
      <c r="I68" s="87">
        <v>1150</v>
      </c>
      <c r="J68" s="87">
        <v>1150</v>
      </c>
      <c r="K68" s="87">
        <v>1150</v>
      </c>
      <c r="L68" s="87">
        <v>1150</v>
      </c>
      <c r="M68" s="87">
        <v>1150</v>
      </c>
      <c r="N68" s="87">
        <v>1150</v>
      </c>
      <c r="O68" s="87">
        <v>1150</v>
      </c>
      <c r="P68" s="87">
        <v>1150</v>
      </c>
      <c r="Q68" s="87">
        <v>1150</v>
      </c>
      <c r="R68" s="87">
        <v>1150</v>
      </c>
      <c r="S68" s="87">
        <v>1150</v>
      </c>
      <c r="T68" s="87">
        <v>1150</v>
      </c>
      <c r="U68" s="87">
        <v>1150</v>
      </c>
      <c r="V68" s="87">
        <v>1150</v>
      </c>
      <c r="W68" s="87">
        <v>1150</v>
      </c>
      <c r="X68" s="87">
        <v>1150</v>
      </c>
      <c r="Y68" s="87">
        <v>1150</v>
      </c>
      <c r="Z68" s="87">
        <v>1150</v>
      </c>
      <c r="AA68" s="87">
        <v>1150</v>
      </c>
      <c r="AB68" s="87">
        <v>1150</v>
      </c>
      <c r="AC68" s="87">
        <v>1150</v>
      </c>
      <c r="AD68" s="87">
        <v>1150</v>
      </c>
      <c r="AE68" s="87">
        <v>1150</v>
      </c>
      <c r="AF68" s="87">
        <v>1150</v>
      </c>
      <c r="AG68" s="87">
        <v>1150</v>
      </c>
      <c r="AH68" s="87">
        <v>1150</v>
      </c>
      <c r="AI68" s="87">
        <v>1150</v>
      </c>
      <c r="AJ68" s="87">
        <v>1150</v>
      </c>
      <c r="AK68" s="87">
        <v>1150</v>
      </c>
      <c r="AL68" s="87">
        <v>1150</v>
      </c>
      <c r="AM68" s="87">
        <v>1150</v>
      </c>
      <c r="AN68" s="87">
        <v>1150</v>
      </c>
      <c r="AO68" s="87">
        <v>1150</v>
      </c>
      <c r="AP68" s="87">
        <v>1150</v>
      </c>
      <c r="AQ68" s="87">
        <v>1150</v>
      </c>
      <c r="AR68" s="87">
        <v>1150</v>
      </c>
      <c r="AS68" s="87">
        <v>1150</v>
      </c>
      <c r="AT68" s="87">
        <v>1150</v>
      </c>
      <c r="AU68" s="87">
        <v>1150</v>
      </c>
      <c r="AV68" s="87">
        <v>1150</v>
      </c>
      <c r="AW68" s="87">
        <v>1150</v>
      </c>
      <c r="AX68" s="87">
        <v>1150</v>
      </c>
      <c r="AY68" s="87">
        <v>1150</v>
      </c>
      <c r="AZ68" s="87">
        <v>1150</v>
      </c>
      <c r="BA68" s="87">
        <v>1150</v>
      </c>
      <c r="BB68" s="87">
        <v>1150</v>
      </c>
      <c r="BC68" s="87">
        <v>1150</v>
      </c>
      <c r="BD68" s="87">
        <v>1150</v>
      </c>
      <c r="BE68" s="87">
        <v>1150</v>
      </c>
      <c r="BF68" s="87">
        <v>1150</v>
      </c>
      <c r="BG68" s="87">
        <v>1150</v>
      </c>
      <c r="BH68" s="87">
        <v>1150</v>
      </c>
      <c r="BI68" s="87">
        <v>1150</v>
      </c>
      <c r="BJ68" s="87">
        <v>1150</v>
      </c>
      <c r="BK68" s="87">
        <v>1150</v>
      </c>
      <c r="BL68" s="87">
        <v>1150</v>
      </c>
      <c r="BM68" s="87">
        <v>1150</v>
      </c>
    </row>
    <row r="69" spans="1:65" outlineLevel="1">
      <c r="A69" s="51"/>
      <c r="B69" s="51" t="s">
        <v>183</v>
      </c>
      <c r="C69" s="51"/>
      <c r="D69" s="3"/>
      <c r="E69" s="81">
        <f t="shared" si="25"/>
        <v>15600</v>
      </c>
      <c r="F69" s="87">
        <v>260</v>
      </c>
      <c r="G69" s="87">
        <f t="shared" ref="G69:V76" si="27">F69</f>
        <v>260</v>
      </c>
      <c r="H69" s="87">
        <f t="shared" si="27"/>
        <v>260</v>
      </c>
      <c r="I69" s="87">
        <f t="shared" si="27"/>
        <v>260</v>
      </c>
      <c r="J69" s="87">
        <f t="shared" si="27"/>
        <v>260</v>
      </c>
      <c r="K69" s="87">
        <f t="shared" si="27"/>
        <v>260</v>
      </c>
      <c r="L69" s="87">
        <f t="shared" si="27"/>
        <v>260</v>
      </c>
      <c r="M69" s="87">
        <f t="shared" si="27"/>
        <v>260</v>
      </c>
      <c r="N69" s="87">
        <f t="shared" si="27"/>
        <v>260</v>
      </c>
      <c r="O69" s="87">
        <f t="shared" si="27"/>
        <v>260</v>
      </c>
      <c r="P69" s="87">
        <f t="shared" si="27"/>
        <v>260</v>
      </c>
      <c r="Q69" s="87">
        <f t="shared" si="27"/>
        <v>260</v>
      </c>
      <c r="R69" s="87">
        <f t="shared" si="27"/>
        <v>260</v>
      </c>
      <c r="S69" s="87">
        <f t="shared" si="27"/>
        <v>260</v>
      </c>
      <c r="T69" s="87">
        <f t="shared" si="27"/>
        <v>260</v>
      </c>
      <c r="U69" s="87">
        <f t="shared" si="27"/>
        <v>260</v>
      </c>
      <c r="V69" s="87">
        <f t="shared" si="27"/>
        <v>260</v>
      </c>
      <c r="W69" s="87">
        <f t="shared" ref="W69:AL84" si="28">V69</f>
        <v>260</v>
      </c>
      <c r="X69" s="87">
        <f t="shared" si="28"/>
        <v>260</v>
      </c>
      <c r="Y69" s="87">
        <f t="shared" si="28"/>
        <v>260</v>
      </c>
      <c r="Z69" s="87">
        <f t="shared" si="28"/>
        <v>260</v>
      </c>
      <c r="AA69" s="87">
        <f t="shared" si="28"/>
        <v>260</v>
      </c>
      <c r="AB69" s="87">
        <f t="shared" si="28"/>
        <v>260</v>
      </c>
      <c r="AC69" s="87">
        <f t="shared" si="28"/>
        <v>260</v>
      </c>
      <c r="AD69" s="87">
        <f t="shared" si="28"/>
        <v>260</v>
      </c>
      <c r="AE69" s="87">
        <f t="shared" si="28"/>
        <v>260</v>
      </c>
      <c r="AF69" s="87">
        <f t="shared" si="28"/>
        <v>260</v>
      </c>
      <c r="AG69" s="87">
        <f t="shared" si="28"/>
        <v>260</v>
      </c>
      <c r="AH69" s="87">
        <f t="shared" si="28"/>
        <v>260</v>
      </c>
      <c r="AI69" s="87">
        <f t="shared" si="28"/>
        <v>260</v>
      </c>
      <c r="AJ69" s="87">
        <f t="shared" si="28"/>
        <v>260</v>
      </c>
      <c r="AK69" s="87">
        <f t="shared" si="28"/>
        <v>260</v>
      </c>
      <c r="AL69" s="87">
        <f t="shared" si="28"/>
        <v>260</v>
      </c>
      <c r="AM69" s="87">
        <f t="shared" ref="AM69:BB84" si="29">AL69</f>
        <v>260</v>
      </c>
      <c r="AN69" s="87">
        <f t="shared" si="29"/>
        <v>260</v>
      </c>
      <c r="AO69" s="87">
        <f t="shared" si="29"/>
        <v>260</v>
      </c>
      <c r="AP69" s="87">
        <f t="shared" si="29"/>
        <v>260</v>
      </c>
      <c r="AQ69" s="87">
        <f t="shared" si="29"/>
        <v>260</v>
      </c>
      <c r="AR69" s="87">
        <f t="shared" si="29"/>
        <v>260</v>
      </c>
      <c r="AS69" s="87">
        <f t="shared" si="29"/>
        <v>260</v>
      </c>
      <c r="AT69" s="87">
        <f t="shared" si="29"/>
        <v>260</v>
      </c>
      <c r="AU69" s="87">
        <f t="shared" si="29"/>
        <v>260</v>
      </c>
      <c r="AV69" s="87">
        <f t="shared" si="29"/>
        <v>260</v>
      </c>
      <c r="AW69" s="87">
        <f t="shared" si="29"/>
        <v>260</v>
      </c>
      <c r="AX69" s="87">
        <f t="shared" si="29"/>
        <v>260</v>
      </c>
      <c r="AY69" s="87">
        <f t="shared" si="29"/>
        <v>260</v>
      </c>
      <c r="AZ69" s="87">
        <f t="shared" si="29"/>
        <v>260</v>
      </c>
      <c r="BA69" s="87">
        <f t="shared" si="29"/>
        <v>260</v>
      </c>
      <c r="BB69" s="87">
        <f t="shared" si="29"/>
        <v>260</v>
      </c>
      <c r="BC69" s="87">
        <f t="shared" ref="BC69:BM84" si="30">BB69</f>
        <v>260</v>
      </c>
      <c r="BD69" s="87">
        <f t="shared" si="30"/>
        <v>260</v>
      </c>
      <c r="BE69" s="87">
        <f t="shared" si="30"/>
        <v>260</v>
      </c>
      <c r="BF69" s="87">
        <f t="shared" si="30"/>
        <v>260</v>
      </c>
      <c r="BG69" s="87">
        <f t="shared" si="30"/>
        <v>260</v>
      </c>
      <c r="BH69" s="87">
        <f t="shared" si="30"/>
        <v>260</v>
      </c>
      <c r="BI69" s="87">
        <f t="shared" si="30"/>
        <v>260</v>
      </c>
      <c r="BJ69" s="87">
        <f t="shared" si="30"/>
        <v>260</v>
      </c>
      <c r="BK69" s="87">
        <f t="shared" si="30"/>
        <v>260</v>
      </c>
      <c r="BL69" s="87">
        <f t="shared" si="30"/>
        <v>260</v>
      </c>
      <c r="BM69" s="87">
        <f t="shared" si="30"/>
        <v>260</v>
      </c>
    </row>
    <row r="70" spans="1:65" outlineLevel="1">
      <c r="A70" s="51"/>
      <c r="B70" s="51" t="s">
        <v>184</v>
      </c>
      <c r="C70" s="51"/>
      <c r="D70" s="3"/>
      <c r="E70" s="81">
        <f t="shared" si="25"/>
        <v>0</v>
      </c>
      <c r="F70" s="87">
        <v>0</v>
      </c>
      <c r="G70" s="87">
        <f t="shared" si="27"/>
        <v>0</v>
      </c>
      <c r="H70" s="87">
        <f t="shared" si="27"/>
        <v>0</v>
      </c>
      <c r="I70" s="87">
        <f t="shared" si="27"/>
        <v>0</v>
      </c>
      <c r="J70" s="87">
        <f t="shared" si="27"/>
        <v>0</v>
      </c>
      <c r="K70" s="87">
        <f t="shared" si="27"/>
        <v>0</v>
      </c>
      <c r="L70" s="87">
        <f t="shared" si="27"/>
        <v>0</v>
      </c>
      <c r="M70" s="87">
        <f t="shared" si="27"/>
        <v>0</v>
      </c>
      <c r="N70" s="87">
        <f t="shared" si="27"/>
        <v>0</v>
      </c>
      <c r="O70" s="87">
        <f t="shared" si="27"/>
        <v>0</v>
      </c>
      <c r="P70" s="87">
        <f t="shared" si="27"/>
        <v>0</v>
      </c>
      <c r="Q70" s="87">
        <f t="shared" si="27"/>
        <v>0</v>
      </c>
      <c r="R70" s="87">
        <f t="shared" si="27"/>
        <v>0</v>
      </c>
      <c r="S70" s="87">
        <f t="shared" si="27"/>
        <v>0</v>
      </c>
      <c r="T70" s="87">
        <f t="shared" si="27"/>
        <v>0</v>
      </c>
      <c r="U70" s="87">
        <f t="shared" si="27"/>
        <v>0</v>
      </c>
      <c r="V70" s="87">
        <f t="shared" si="27"/>
        <v>0</v>
      </c>
      <c r="W70" s="87">
        <f t="shared" si="28"/>
        <v>0</v>
      </c>
      <c r="X70" s="87">
        <f t="shared" si="28"/>
        <v>0</v>
      </c>
      <c r="Y70" s="87">
        <f t="shared" si="28"/>
        <v>0</v>
      </c>
      <c r="Z70" s="87">
        <f t="shared" si="28"/>
        <v>0</v>
      </c>
      <c r="AA70" s="87">
        <f t="shared" si="28"/>
        <v>0</v>
      </c>
      <c r="AB70" s="87">
        <f t="shared" si="28"/>
        <v>0</v>
      </c>
      <c r="AC70" s="87">
        <f t="shared" si="28"/>
        <v>0</v>
      </c>
      <c r="AD70" s="87">
        <f t="shared" si="28"/>
        <v>0</v>
      </c>
      <c r="AE70" s="87">
        <f t="shared" si="28"/>
        <v>0</v>
      </c>
      <c r="AF70" s="87">
        <f t="shared" si="28"/>
        <v>0</v>
      </c>
      <c r="AG70" s="87">
        <f t="shared" si="28"/>
        <v>0</v>
      </c>
      <c r="AH70" s="87">
        <f t="shared" si="28"/>
        <v>0</v>
      </c>
      <c r="AI70" s="87">
        <f t="shared" si="28"/>
        <v>0</v>
      </c>
      <c r="AJ70" s="87">
        <f t="shared" si="28"/>
        <v>0</v>
      </c>
      <c r="AK70" s="87">
        <f t="shared" si="28"/>
        <v>0</v>
      </c>
      <c r="AL70" s="87">
        <f t="shared" si="28"/>
        <v>0</v>
      </c>
      <c r="AM70" s="87">
        <f t="shared" si="29"/>
        <v>0</v>
      </c>
      <c r="AN70" s="87">
        <f t="shared" si="29"/>
        <v>0</v>
      </c>
      <c r="AO70" s="87">
        <f t="shared" si="29"/>
        <v>0</v>
      </c>
      <c r="AP70" s="87">
        <f t="shared" si="29"/>
        <v>0</v>
      </c>
      <c r="AQ70" s="87">
        <f t="shared" si="29"/>
        <v>0</v>
      </c>
      <c r="AR70" s="87">
        <f t="shared" si="29"/>
        <v>0</v>
      </c>
      <c r="AS70" s="87">
        <f t="shared" si="29"/>
        <v>0</v>
      </c>
      <c r="AT70" s="87">
        <f t="shared" si="29"/>
        <v>0</v>
      </c>
      <c r="AU70" s="87">
        <f t="shared" si="29"/>
        <v>0</v>
      </c>
      <c r="AV70" s="87">
        <f t="shared" si="29"/>
        <v>0</v>
      </c>
      <c r="AW70" s="87">
        <f t="shared" si="29"/>
        <v>0</v>
      </c>
      <c r="AX70" s="87">
        <f t="shared" si="29"/>
        <v>0</v>
      </c>
      <c r="AY70" s="87">
        <f t="shared" si="29"/>
        <v>0</v>
      </c>
      <c r="AZ70" s="87">
        <f t="shared" si="29"/>
        <v>0</v>
      </c>
      <c r="BA70" s="87">
        <f t="shared" si="29"/>
        <v>0</v>
      </c>
      <c r="BB70" s="87">
        <f t="shared" si="29"/>
        <v>0</v>
      </c>
      <c r="BC70" s="87">
        <f t="shared" si="30"/>
        <v>0</v>
      </c>
      <c r="BD70" s="87">
        <f t="shared" si="30"/>
        <v>0</v>
      </c>
      <c r="BE70" s="87">
        <f t="shared" si="30"/>
        <v>0</v>
      </c>
      <c r="BF70" s="87">
        <f t="shared" si="30"/>
        <v>0</v>
      </c>
      <c r="BG70" s="87">
        <f t="shared" si="30"/>
        <v>0</v>
      </c>
      <c r="BH70" s="87">
        <f t="shared" si="30"/>
        <v>0</v>
      </c>
      <c r="BI70" s="87">
        <f t="shared" si="30"/>
        <v>0</v>
      </c>
      <c r="BJ70" s="87">
        <f t="shared" si="30"/>
        <v>0</v>
      </c>
      <c r="BK70" s="87">
        <f t="shared" si="30"/>
        <v>0</v>
      </c>
      <c r="BL70" s="87">
        <f t="shared" si="30"/>
        <v>0</v>
      </c>
      <c r="BM70" s="87">
        <f t="shared" si="30"/>
        <v>0</v>
      </c>
    </row>
    <row r="71" spans="1:65" outlineLevel="1">
      <c r="A71" s="51"/>
      <c r="B71" s="51" t="s">
        <v>185</v>
      </c>
      <c r="C71" s="51"/>
      <c r="D71" s="3"/>
      <c r="E71" s="81">
        <f t="shared" si="25"/>
        <v>0</v>
      </c>
      <c r="F71" s="87">
        <v>0</v>
      </c>
      <c r="G71" s="87">
        <f t="shared" si="27"/>
        <v>0</v>
      </c>
      <c r="H71" s="87">
        <f t="shared" si="27"/>
        <v>0</v>
      </c>
      <c r="I71" s="87">
        <f t="shared" si="27"/>
        <v>0</v>
      </c>
      <c r="J71" s="87">
        <f t="shared" si="27"/>
        <v>0</v>
      </c>
      <c r="K71" s="87">
        <f t="shared" si="27"/>
        <v>0</v>
      </c>
      <c r="L71" s="87">
        <f t="shared" si="27"/>
        <v>0</v>
      </c>
      <c r="M71" s="87">
        <f t="shared" si="27"/>
        <v>0</v>
      </c>
      <c r="N71" s="87">
        <f t="shared" si="27"/>
        <v>0</v>
      </c>
      <c r="O71" s="87">
        <f t="shared" si="27"/>
        <v>0</v>
      </c>
      <c r="P71" s="87">
        <f t="shared" si="27"/>
        <v>0</v>
      </c>
      <c r="Q71" s="87">
        <f t="shared" si="27"/>
        <v>0</v>
      </c>
      <c r="R71" s="87">
        <f t="shared" si="27"/>
        <v>0</v>
      </c>
      <c r="S71" s="87">
        <f t="shared" si="27"/>
        <v>0</v>
      </c>
      <c r="T71" s="87">
        <f t="shared" si="27"/>
        <v>0</v>
      </c>
      <c r="U71" s="87">
        <f t="shared" si="27"/>
        <v>0</v>
      </c>
      <c r="V71" s="87">
        <f t="shared" si="27"/>
        <v>0</v>
      </c>
      <c r="W71" s="87">
        <f t="shared" si="28"/>
        <v>0</v>
      </c>
      <c r="X71" s="87">
        <f t="shared" si="28"/>
        <v>0</v>
      </c>
      <c r="Y71" s="87">
        <f t="shared" si="28"/>
        <v>0</v>
      </c>
      <c r="Z71" s="87">
        <f t="shared" si="28"/>
        <v>0</v>
      </c>
      <c r="AA71" s="87">
        <f t="shared" si="28"/>
        <v>0</v>
      </c>
      <c r="AB71" s="87">
        <f t="shared" si="28"/>
        <v>0</v>
      </c>
      <c r="AC71" s="87">
        <f t="shared" si="28"/>
        <v>0</v>
      </c>
      <c r="AD71" s="87">
        <f t="shared" si="28"/>
        <v>0</v>
      </c>
      <c r="AE71" s="87">
        <f t="shared" si="28"/>
        <v>0</v>
      </c>
      <c r="AF71" s="87">
        <f t="shared" si="28"/>
        <v>0</v>
      </c>
      <c r="AG71" s="87">
        <f t="shared" si="28"/>
        <v>0</v>
      </c>
      <c r="AH71" s="87">
        <f t="shared" si="28"/>
        <v>0</v>
      </c>
      <c r="AI71" s="87">
        <f t="shared" si="28"/>
        <v>0</v>
      </c>
      <c r="AJ71" s="87">
        <f t="shared" si="28"/>
        <v>0</v>
      </c>
      <c r="AK71" s="87">
        <f t="shared" si="28"/>
        <v>0</v>
      </c>
      <c r="AL71" s="87">
        <f t="shared" si="28"/>
        <v>0</v>
      </c>
      <c r="AM71" s="87">
        <f t="shared" si="29"/>
        <v>0</v>
      </c>
      <c r="AN71" s="87">
        <f t="shared" si="29"/>
        <v>0</v>
      </c>
      <c r="AO71" s="87">
        <f t="shared" si="29"/>
        <v>0</v>
      </c>
      <c r="AP71" s="87">
        <f t="shared" si="29"/>
        <v>0</v>
      </c>
      <c r="AQ71" s="87">
        <f t="shared" si="29"/>
        <v>0</v>
      </c>
      <c r="AR71" s="87">
        <f t="shared" si="29"/>
        <v>0</v>
      </c>
      <c r="AS71" s="87">
        <f t="shared" si="29"/>
        <v>0</v>
      </c>
      <c r="AT71" s="87">
        <f t="shared" si="29"/>
        <v>0</v>
      </c>
      <c r="AU71" s="87">
        <f t="shared" si="29"/>
        <v>0</v>
      </c>
      <c r="AV71" s="87">
        <f t="shared" si="29"/>
        <v>0</v>
      </c>
      <c r="AW71" s="87">
        <f t="shared" si="29"/>
        <v>0</v>
      </c>
      <c r="AX71" s="87">
        <f t="shared" si="29"/>
        <v>0</v>
      </c>
      <c r="AY71" s="87">
        <f t="shared" si="29"/>
        <v>0</v>
      </c>
      <c r="AZ71" s="87">
        <f t="shared" si="29"/>
        <v>0</v>
      </c>
      <c r="BA71" s="87">
        <f t="shared" si="29"/>
        <v>0</v>
      </c>
      <c r="BB71" s="87">
        <f t="shared" si="29"/>
        <v>0</v>
      </c>
      <c r="BC71" s="87">
        <f t="shared" si="30"/>
        <v>0</v>
      </c>
      <c r="BD71" s="87">
        <f t="shared" si="30"/>
        <v>0</v>
      </c>
      <c r="BE71" s="87">
        <f t="shared" si="30"/>
        <v>0</v>
      </c>
      <c r="BF71" s="87">
        <f t="shared" si="30"/>
        <v>0</v>
      </c>
      <c r="BG71" s="87">
        <f t="shared" si="30"/>
        <v>0</v>
      </c>
      <c r="BH71" s="87">
        <f t="shared" si="30"/>
        <v>0</v>
      </c>
      <c r="BI71" s="87">
        <f t="shared" si="30"/>
        <v>0</v>
      </c>
      <c r="BJ71" s="87">
        <f t="shared" si="30"/>
        <v>0</v>
      </c>
      <c r="BK71" s="87">
        <f t="shared" si="30"/>
        <v>0</v>
      </c>
      <c r="BL71" s="87">
        <f t="shared" si="30"/>
        <v>0</v>
      </c>
      <c r="BM71" s="87">
        <f t="shared" si="30"/>
        <v>0</v>
      </c>
    </row>
    <row r="72" spans="1:65" outlineLevel="1">
      <c r="A72" s="51"/>
      <c r="B72" s="51" t="s">
        <v>186</v>
      </c>
      <c r="C72" s="51"/>
      <c r="D72" s="3"/>
      <c r="E72" s="81">
        <f t="shared" si="25"/>
        <v>0</v>
      </c>
      <c r="F72" s="87">
        <v>0</v>
      </c>
      <c r="G72" s="87">
        <f t="shared" si="27"/>
        <v>0</v>
      </c>
      <c r="H72" s="87">
        <f t="shared" si="27"/>
        <v>0</v>
      </c>
      <c r="I72" s="87">
        <f t="shared" si="27"/>
        <v>0</v>
      </c>
      <c r="J72" s="87">
        <f t="shared" si="27"/>
        <v>0</v>
      </c>
      <c r="K72" s="87">
        <f t="shared" si="27"/>
        <v>0</v>
      </c>
      <c r="L72" s="87">
        <f t="shared" si="27"/>
        <v>0</v>
      </c>
      <c r="M72" s="87">
        <f t="shared" si="27"/>
        <v>0</v>
      </c>
      <c r="N72" s="87">
        <f t="shared" si="27"/>
        <v>0</v>
      </c>
      <c r="O72" s="87">
        <f t="shared" si="27"/>
        <v>0</v>
      </c>
      <c r="P72" s="87">
        <f t="shared" si="27"/>
        <v>0</v>
      </c>
      <c r="Q72" s="87">
        <f t="shared" si="27"/>
        <v>0</v>
      </c>
      <c r="R72" s="87">
        <f t="shared" si="27"/>
        <v>0</v>
      </c>
      <c r="S72" s="87">
        <f t="shared" si="27"/>
        <v>0</v>
      </c>
      <c r="T72" s="87">
        <f t="shared" si="27"/>
        <v>0</v>
      </c>
      <c r="U72" s="87">
        <f t="shared" si="27"/>
        <v>0</v>
      </c>
      <c r="V72" s="87">
        <f t="shared" si="27"/>
        <v>0</v>
      </c>
      <c r="W72" s="87">
        <f t="shared" si="28"/>
        <v>0</v>
      </c>
      <c r="X72" s="87">
        <f t="shared" si="28"/>
        <v>0</v>
      </c>
      <c r="Y72" s="87">
        <f t="shared" si="28"/>
        <v>0</v>
      </c>
      <c r="Z72" s="87">
        <f t="shared" si="28"/>
        <v>0</v>
      </c>
      <c r="AA72" s="87">
        <f t="shared" si="28"/>
        <v>0</v>
      </c>
      <c r="AB72" s="87">
        <f t="shared" si="28"/>
        <v>0</v>
      </c>
      <c r="AC72" s="87">
        <f t="shared" si="28"/>
        <v>0</v>
      </c>
      <c r="AD72" s="87">
        <f t="shared" si="28"/>
        <v>0</v>
      </c>
      <c r="AE72" s="87">
        <f t="shared" si="28"/>
        <v>0</v>
      </c>
      <c r="AF72" s="87">
        <f t="shared" si="28"/>
        <v>0</v>
      </c>
      <c r="AG72" s="87">
        <f t="shared" si="28"/>
        <v>0</v>
      </c>
      <c r="AH72" s="87">
        <f t="shared" si="28"/>
        <v>0</v>
      </c>
      <c r="AI72" s="87">
        <f t="shared" si="28"/>
        <v>0</v>
      </c>
      <c r="AJ72" s="87">
        <f t="shared" si="28"/>
        <v>0</v>
      </c>
      <c r="AK72" s="87">
        <f t="shared" si="28"/>
        <v>0</v>
      </c>
      <c r="AL72" s="87">
        <f t="shared" si="28"/>
        <v>0</v>
      </c>
      <c r="AM72" s="87">
        <f t="shared" si="29"/>
        <v>0</v>
      </c>
      <c r="AN72" s="87">
        <f t="shared" si="29"/>
        <v>0</v>
      </c>
      <c r="AO72" s="87">
        <f t="shared" si="29"/>
        <v>0</v>
      </c>
      <c r="AP72" s="87">
        <f t="shared" si="29"/>
        <v>0</v>
      </c>
      <c r="AQ72" s="87">
        <f t="shared" si="29"/>
        <v>0</v>
      </c>
      <c r="AR72" s="87">
        <f t="shared" si="29"/>
        <v>0</v>
      </c>
      <c r="AS72" s="87">
        <f t="shared" si="29"/>
        <v>0</v>
      </c>
      <c r="AT72" s="87">
        <f t="shared" si="29"/>
        <v>0</v>
      </c>
      <c r="AU72" s="87">
        <f t="shared" si="29"/>
        <v>0</v>
      </c>
      <c r="AV72" s="87">
        <f t="shared" si="29"/>
        <v>0</v>
      </c>
      <c r="AW72" s="87">
        <f t="shared" si="29"/>
        <v>0</v>
      </c>
      <c r="AX72" s="87">
        <f t="shared" si="29"/>
        <v>0</v>
      </c>
      <c r="AY72" s="87">
        <f t="shared" si="29"/>
        <v>0</v>
      </c>
      <c r="AZ72" s="87">
        <f t="shared" si="29"/>
        <v>0</v>
      </c>
      <c r="BA72" s="87">
        <f t="shared" si="29"/>
        <v>0</v>
      </c>
      <c r="BB72" s="87">
        <f t="shared" si="29"/>
        <v>0</v>
      </c>
      <c r="BC72" s="87">
        <f t="shared" si="30"/>
        <v>0</v>
      </c>
      <c r="BD72" s="87">
        <f t="shared" si="30"/>
        <v>0</v>
      </c>
      <c r="BE72" s="87">
        <f t="shared" si="30"/>
        <v>0</v>
      </c>
      <c r="BF72" s="87">
        <f t="shared" si="30"/>
        <v>0</v>
      </c>
      <c r="BG72" s="87">
        <f t="shared" si="30"/>
        <v>0</v>
      </c>
      <c r="BH72" s="87">
        <f t="shared" si="30"/>
        <v>0</v>
      </c>
      <c r="BI72" s="87">
        <f t="shared" si="30"/>
        <v>0</v>
      </c>
      <c r="BJ72" s="87">
        <f t="shared" si="30"/>
        <v>0</v>
      </c>
      <c r="BK72" s="87">
        <f t="shared" si="30"/>
        <v>0</v>
      </c>
      <c r="BL72" s="87">
        <f t="shared" si="30"/>
        <v>0</v>
      </c>
      <c r="BM72" s="87">
        <f t="shared" si="30"/>
        <v>0</v>
      </c>
    </row>
    <row r="73" spans="1:65" outlineLevel="1">
      <c r="A73" s="51"/>
      <c r="B73" s="51" t="s">
        <v>187</v>
      </c>
      <c r="C73" s="51"/>
      <c r="D73" s="3"/>
      <c r="E73" s="81">
        <f t="shared" si="25"/>
        <v>0</v>
      </c>
      <c r="F73" s="87">
        <v>0</v>
      </c>
      <c r="G73" s="87">
        <f t="shared" si="27"/>
        <v>0</v>
      </c>
      <c r="H73" s="87">
        <f t="shared" si="27"/>
        <v>0</v>
      </c>
      <c r="I73" s="87">
        <f t="shared" si="27"/>
        <v>0</v>
      </c>
      <c r="J73" s="87">
        <f t="shared" si="27"/>
        <v>0</v>
      </c>
      <c r="K73" s="87">
        <f t="shared" si="27"/>
        <v>0</v>
      </c>
      <c r="L73" s="87">
        <f t="shared" si="27"/>
        <v>0</v>
      </c>
      <c r="M73" s="87">
        <f t="shared" si="27"/>
        <v>0</v>
      </c>
      <c r="N73" s="87">
        <f t="shared" si="27"/>
        <v>0</v>
      </c>
      <c r="O73" s="87">
        <f t="shared" si="27"/>
        <v>0</v>
      </c>
      <c r="P73" s="87">
        <f t="shared" si="27"/>
        <v>0</v>
      </c>
      <c r="Q73" s="87">
        <f t="shared" si="27"/>
        <v>0</v>
      </c>
      <c r="R73" s="87">
        <f t="shared" si="27"/>
        <v>0</v>
      </c>
      <c r="S73" s="87">
        <f t="shared" si="27"/>
        <v>0</v>
      </c>
      <c r="T73" s="87">
        <f t="shared" si="27"/>
        <v>0</v>
      </c>
      <c r="U73" s="87">
        <f t="shared" si="27"/>
        <v>0</v>
      </c>
      <c r="V73" s="87">
        <f t="shared" si="27"/>
        <v>0</v>
      </c>
      <c r="W73" s="87">
        <f t="shared" si="28"/>
        <v>0</v>
      </c>
      <c r="X73" s="87">
        <f t="shared" si="28"/>
        <v>0</v>
      </c>
      <c r="Y73" s="87">
        <f t="shared" si="28"/>
        <v>0</v>
      </c>
      <c r="Z73" s="87">
        <f t="shared" si="28"/>
        <v>0</v>
      </c>
      <c r="AA73" s="87">
        <f t="shared" si="28"/>
        <v>0</v>
      </c>
      <c r="AB73" s="87">
        <f t="shared" si="28"/>
        <v>0</v>
      </c>
      <c r="AC73" s="87">
        <f t="shared" si="28"/>
        <v>0</v>
      </c>
      <c r="AD73" s="87">
        <f t="shared" si="28"/>
        <v>0</v>
      </c>
      <c r="AE73" s="87">
        <f t="shared" si="28"/>
        <v>0</v>
      </c>
      <c r="AF73" s="87">
        <f t="shared" si="28"/>
        <v>0</v>
      </c>
      <c r="AG73" s="87">
        <f t="shared" si="28"/>
        <v>0</v>
      </c>
      <c r="AH73" s="87">
        <f t="shared" si="28"/>
        <v>0</v>
      </c>
      <c r="AI73" s="87">
        <f t="shared" si="28"/>
        <v>0</v>
      </c>
      <c r="AJ73" s="87">
        <f t="shared" si="28"/>
        <v>0</v>
      </c>
      <c r="AK73" s="87">
        <f t="shared" si="28"/>
        <v>0</v>
      </c>
      <c r="AL73" s="87">
        <f t="shared" si="28"/>
        <v>0</v>
      </c>
      <c r="AM73" s="87">
        <f t="shared" si="29"/>
        <v>0</v>
      </c>
      <c r="AN73" s="87">
        <f t="shared" si="29"/>
        <v>0</v>
      </c>
      <c r="AO73" s="87">
        <f t="shared" si="29"/>
        <v>0</v>
      </c>
      <c r="AP73" s="87">
        <f t="shared" si="29"/>
        <v>0</v>
      </c>
      <c r="AQ73" s="87">
        <f t="shared" si="29"/>
        <v>0</v>
      </c>
      <c r="AR73" s="87">
        <f t="shared" si="29"/>
        <v>0</v>
      </c>
      <c r="AS73" s="87">
        <f t="shared" si="29"/>
        <v>0</v>
      </c>
      <c r="AT73" s="87">
        <f t="shared" si="29"/>
        <v>0</v>
      </c>
      <c r="AU73" s="87">
        <f t="shared" si="29"/>
        <v>0</v>
      </c>
      <c r="AV73" s="87">
        <f t="shared" si="29"/>
        <v>0</v>
      </c>
      <c r="AW73" s="87">
        <f t="shared" si="29"/>
        <v>0</v>
      </c>
      <c r="AX73" s="87">
        <f t="shared" si="29"/>
        <v>0</v>
      </c>
      <c r="AY73" s="87">
        <f t="shared" si="29"/>
        <v>0</v>
      </c>
      <c r="AZ73" s="87">
        <f t="shared" si="29"/>
        <v>0</v>
      </c>
      <c r="BA73" s="87">
        <f t="shared" si="29"/>
        <v>0</v>
      </c>
      <c r="BB73" s="87">
        <f t="shared" si="29"/>
        <v>0</v>
      </c>
      <c r="BC73" s="87">
        <f t="shared" si="30"/>
        <v>0</v>
      </c>
      <c r="BD73" s="87">
        <f t="shared" si="30"/>
        <v>0</v>
      </c>
      <c r="BE73" s="87">
        <f t="shared" si="30"/>
        <v>0</v>
      </c>
      <c r="BF73" s="87">
        <f t="shared" si="30"/>
        <v>0</v>
      </c>
      <c r="BG73" s="87">
        <f t="shared" si="30"/>
        <v>0</v>
      </c>
      <c r="BH73" s="87">
        <f t="shared" si="30"/>
        <v>0</v>
      </c>
      <c r="BI73" s="87">
        <f t="shared" si="30"/>
        <v>0</v>
      </c>
      <c r="BJ73" s="87">
        <f t="shared" si="30"/>
        <v>0</v>
      </c>
      <c r="BK73" s="87">
        <f t="shared" si="30"/>
        <v>0</v>
      </c>
      <c r="BL73" s="87">
        <f t="shared" si="30"/>
        <v>0</v>
      </c>
      <c r="BM73" s="87">
        <f t="shared" si="30"/>
        <v>0</v>
      </c>
    </row>
    <row r="74" spans="1:65" outlineLevel="1">
      <c r="A74" s="51"/>
      <c r="B74" s="51" t="s">
        <v>188</v>
      </c>
      <c r="C74" s="51"/>
      <c r="D74" s="3"/>
      <c r="E74" s="81">
        <f t="shared" si="25"/>
        <v>0</v>
      </c>
      <c r="F74" s="87">
        <v>0</v>
      </c>
      <c r="G74" s="87">
        <f t="shared" si="27"/>
        <v>0</v>
      </c>
      <c r="H74" s="87">
        <f t="shared" si="27"/>
        <v>0</v>
      </c>
      <c r="I74" s="87">
        <f t="shared" si="27"/>
        <v>0</v>
      </c>
      <c r="J74" s="87">
        <f t="shared" si="27"/>
        <v>0</v>
      </c>
      <c r="K74" s="87">
        <f t="shared" si="27"/>
        <v>0</v>
      </c>
      <c r="L74" s="87">
        <f t="shared" si="27"/>
        <v>0</v>
      </c>
      <c r="M74" s="87">
        <f t="shared" si="27"/>
        <v>0</v>
      </c>
      <c r="N74" s="87">
        <f t="shared" si="27"/>
        <v>0</v>
      </c>
      <c r="O74" s="87">
        <f t="shared" si="27"/>
        <v>0</v>
      </c>
      <c r="P74" s="87">
        <f t="shared" si="27"/>
        <v>0</v>
      </c>
      <c r="Q74" s="87">
        <f t="shared" si="27"/>
        <v>0</v>
      </c>
      <c r="R74" s="87">
        <f t="shared" si="27"/>
        <v>0</v>
      </c>
      <c r="S74" s="87">
        <f t="shared" si="27"/>
        <v>0</v>
      </c>
      <c r="T74" s="87">
        <f t="shared" si="27"/>
        <v>0</v>
      </c>
      <c r="U74" s="87">
        <f t="shared" si="27"/>
        <v>0</v>
      </c>
      <c r="V74" s="87">
        <f t="shared" si="27"/>
        <v>0</v>
      </c>
      <c r="W74" s="87">
        <f t="shared" si="28"/>
        <v>0</v>
      </c>
      <c r="X74" s="87">
        <f t="shared" si="28"/>
        <v>0</v>
      </c>
      <c r="Y74" s="87">
        <f t="shared" si="28"/>
        <v>0</v>
      </c>
      <c r="Z74" s="87">
        <f t="shared" si="28"/>
        <v>0</v>
      </c>
      <c r="AA74" s="87">
        <f t="shared" si="28"/>
        <v>0</v>
      </c>
      <c r="AB74" s="87">
        <f t="shared" si="28"/>
        <v>0</v>
      </c>
      <c r="AC74" s="87">
        <f t="shared" si="28"/>
        <v>0</v>
      </c>
      <c r="AD74" s="87">
        <f t="shared" si="28"/>
        <v>0</v>
      </c>
      <c r="AE74" s="87">
        <f t="shared" si="28"/>
        <v>0</v>
      </c>
      <c r="AF74" s="87">
        <f t="shared" si="28"/>
        <v>0</v>
      </c>
      <c r="AG74" s="87">
        <f t="shared" si="28"/>
        <v>0</v>
      </c>
      <c r="AH74" s="87">
        <f t="shared" si="28"/>
        <v>0</v>
      </c>
      <c r="AI74" s="87">
        <f t="shared" si="28"/>
        <v>0</v>
      </c>
      <c r="AJ74" s="87">
        <f t="shared" si="28"/>
        <v>0</v>
      </c>
      <c r="AK74" s="87">
        <f t="shared" si="28"/>
        <v>0</v>
      </c>
      <c r="AL74" s="87">
        <f t="shared" si="28"/>
        <v>0</v>
      </c>
      <c r="AM74" s="87">
        <f t="shared" si="29"/>
        <v>0</v>
      </c>
      <c r="AN74" s="87">
        <f t="shared" si="29"/>
        <v>0</v>
      </c>
      <c r="AO74" s="87">
        <f t="shared" si="29"/>
        <v>0</v>
      </c>
      <c r="AP74" s="87">
        <f t="shared" si="29"/>
        <v>0</v>
      </c>
      <c r="AQ74" s="87">
        <f t="shared" si="29"/>
        <v>0</v>
      </c>
      <c r="AR74" s="87">
        <f t="shared" si="29"/>
        <v>0</v>
      </c>
      <c r="AS74" s="87">
        <f t="shared" si="29"/>
        <v>0</v>
      </c>
      <c r="AT74" s="87">
        <f t="shared" si="29"/>
        <v>0</v>
      </c>
      <c r="AU74" s="87">
        <f t="shared" si="29"/>
        <v>0</v>
      </c>
      <c r="AV74" s="87">
        <f t="shared" si="29"/>
        <v>0</v>
      </c>
      <c r="AW74" s="87">
        <f t="shared" si="29"/>
        <v>0</v>
      </c>
      <c r="AX74" s="87">
        <f t="shared" si="29"/>
        <v>0</v>
      </c>
      <c r="AY74" s="87">
        <f t="shared" si="29"/>
        <v>0</v>
      </c>
      <c r="AZ74" s="87">
        <f t="shared" si="29"/>
        <v>0</v>
      </c>
      <c r="BA74" s="87">
        <f t="shared" si="29"/>
        <v>0</v>
      </c>
      <c r="BB74" s="87">
        <f t="shared" si="29"/>
        <v>0</v>
      </c>
      <c r="BC74" s="87">
        <f t="shared" si="30"/>
        <v>0</v>
      </c>
      <c r="BD74" s="87">
        <f t="shared" si="30"/>
        <v>0</v>
      </c>
      <c r="BE74" s="87">
        <f t="shared" si="30"/>
        <v>0</v>
      </c>
      <c r="BF74" s="87">
        <f t="shared" si="30"/>
        <v>0</v>
      </c>
      <c r="BG74" s="87">
        <f t="shared" si="30"/>
        <v>0</v>
      </c>
      <c r="BH74" s="87">
        <f t="shared" si="30"/>
        <v>0</v>
      </c>
      <c r="BI74" s="87">
        <f t="shared" si="30"/>
        <v>0</v>
      </c>
      <c r="BJ74" s="87">
        <f t="shared" si="30"/>
        <v>0</v>
      </c>
      <c r="BK74" s="87">
        <f t="shared" si="30"/>
        <v>0</v>
      </c>
      <c r="BL74" s="87">
        <f t="shared" si="30"/>
        <v>0</v>
      </c>
      <c r="BM74" s="87">
        <f t="shared" si="30"/>
        <v>0</v>
      </c>
    </row>
    <row r="75" spans="1:65" outlineLevel="1">
      <c r="A75" s="51"/>
      <c r="B75" s="51" t="s">
        <v>189</v>
      </c>
      <c r="C75" s="51"/>
      <c r="D75" s="3"/>
      <c r="E75" s="81">
        <f t="shared" si="25"/>
        <v>4500</v>
      </c>
      <c r="F75" s="87">
        <v>75</v>
      </c>
      <c r="G75" s="87">
        <f t="shared" si="27"/>
        <v>75</v>
      </c>
      <c r="H75" s="87">
        <f t="shared" si="27"/>
        <v>75</v>
      </c>
      <c r="I75" s="87">
        <f t="shared" si="27"/>
        <v>75</v>
      </c>
      <c r="J75" s="87">
        <f t="shared" si="27"/>
        <v>75</v>
      </c>
      <c r="K75" s="87">
        <f t="shared" si="27"/>
        <v>75</v>
      </c>
      <c r="L75" s="87">
        <f t="shared" si="27"/>
        <v>75</v>
      </c>
      <c r="M75" s="87">
        <f t="shared" si="27"/>
        <v>75</v>
      </c>
      <c r="N75" s="87">
        <f t="shared" si="27"/>
        <v>75</v>
      </c>
      <c r="O75" s="87">
        <f t="shared" si="27"/>
        <v>75</v>
      </c>
      <c r="P75" s="87">
        <f t="shared" si="27"/>
        <v>75</v>
      </c>
      <c r="Q75" s="87">
        <f t="shared" si="27"/>
        <v>75</v>
      </c>
      <c r="R75" s="87">
        <f t="shared" si="27"/>
        <v>75</v>
      </c>
      <c r="S75" s="87">
        <f t="shared" si="27"/>
        <v>75</v>
      </c>
      <c r="T75" s="87">
        <f t="shared" si="27"/>
        <v>75</v>
      </c>
      <c r="U75" s="87">
        <f t="shared" si="27"/>
        <v>75</v>
      </c>
      <c r="V75" s="87">
        <f t="shared" si="27"/>
        <v>75</v>
      </c>
      <c r="W75" s="87">
        <f t="shared" si="28"/>
        <v>75</v>
      </c>
      <c r="X75" s="87">
        <f t="shared" si="28"/>
        <v>75</v>
      </c>
      <c r="Y75" s="87">
        <f t="shared" si="28"/>
        <v>75</v>
      </c>
      <c r="Z75" s="87">
        <f t="shared" si="28"/>
        <v>75</v>
      </c>
      <c r="AA75" s="87">
        <f t="shared" si="28"/>
        <v>75</v>
      </c>
      <c r="AB75" s="87">
        <f t="shared" si="28"/>
        <v>75</v>
      </c>
      <c r="AC75" s="87">
        <f t="shared" si="28"/>
        <v>75</v>
      </c>
      <c r="AD75" s="87">
        <f t="shared" si="28"/>
        <v>75</v>
      </c>
      <c r="AE75" s="87">
        <f t="shared" si="28"/>
        <v>75</v>
      </c>
      <c r="AF75" s="87">
        <f t="shared" si="28"/>
        <v>75</v>
      </c>
      <c r="AG75" s="87">
        <f t="shared" si="28"/>
        <v>75</v>
      </c>
      <c r="AH75" s="87">
        <f t="shared" si="28"/>
        <v>75</v>
      </c>
      <c r="AI75" s="87">
        <f t="shared" si="28"/>
        <v>75</v>
      </c>
      <c r="AJ75" s="87">
        <f t="shared" si="28"/>
        <v>75</v>
      </c>
      <c r="AK75" s="87">
        <f t="shared" si="28"/>
        <v>75</v>
      </c>
      <c r="AL75" s="87">
        <f t="shared" si="28"/>
        <v>75</v>
      </c>
      <c r="AM75" s="87">
        <f t="shared" si="29"/>
        <v>75</v>
      </c>
      <c r="AN75" s="87">
        <f t="shared" si="29"/>
        <v>75</v>
      </c>
      <c r="AO75" s="87">
        <f t="shared" si="29"/>
        <v>75</v>
      </c>
      <c r="AP75" s="87">
        <f t="shared" si="29"/>
        <v>75</v>
      </c>
      <c r="AQ75" s="87">
        <f t="shared" si="29"/>
        <v>75</v>
      </c>
      <c r="AR75" s="87">
        <f t="shared" si="29"/>
        <v>75</v>
      </c>
      <c r="AS75" s="87">
        <f t="shared" si="29"/>
        <v>75</v>
      </c>
      <c r="AT75" s="87">
        <f t="shared" si="29"/>
        <v>75</v>
      </c>
      <c r="AU75" s="87">
        <f t="shared" si="29"/>
        <v>75</v>
      </c>
      <c r="AV75" s="87">
        <f t="shared" si="29"/>
        <v>75</v>
      </c>
      <c r="AW75" s="87">
        <f t="shared" si="29"/>
        <v>75</v>
      </c>
      <c r="AX75" s="87">
        <f t="shared" si="29"/>
        <v>75</v>
      </c>
      <c r="AY75" s="87">
        <f t="shared" si="29"/>
        <v>75</v>
      </c>
      <c r="AZ75" s="87">
        <f t="shared" si="29"/>
        <v>75</v>
      </c>
      <c r="BA75" s="87">
        <f t="shared" si="29"/>
        <v>75</v>
      </c>
      <c r="BB75" s="87">
        <f t="shared" si="29"/>
        <v>75</v>
      </c>
      <c r="BC75" s="87">
        <f t="shared" si="30"/>
        <v>75</v>
      </c>
      <c r="BD75" s="87">
        <f t="shared" si="30"/>
        <v>75</v>
      </c>
      <c r="BE75" s="87">
        <f t="shared" si="30"/>
        <v>75</v>
      </c>
      <c r="BF75" s="87">
        <f t="shared" si="30"/>
        <v>75</v>
      </c>
      <c r="BG75" s="87">
        <f t="shared" si="30"/>
        <v>75</v>
      </c>
      <c r="BH75" s="87">
        <f t="shared" si="30"/>
        <v>75</v>
      </c>
      <c r="BI75" s="87">
        <f t="shared" si="30"/>
        <v>75</v>
      </c>
      <c r="BJ75" s="87">
        <f t="shared" si="30"/>
        <v>75</v>
      </c>
      <c r="BK75" s="87">
        <f t="shared" si="30"/>
        <v>75</v>
      </c>
      <c r="BL75" s="87">
        <f t="shared" si="30"/>
        <v>75</v>
      </c>
      <c r="BM75" s="87">
        <f t="shared" si="30"/>
        <v>75</v>
      </c>
    </row>
    <row r="76" spans="1:65" outlineLevel="1">
      <c r="A76" s="51"/>
      <c r="B76" t="s">
        <v>190</v>
      </c>
      <c r="C76" s="51"/>
      <c r="D76" s="3"/>
      <c r="E76" s="81">
        <f t="shared" si="25"/>
        <v>270000</v>
      </c>
      <c r="F76" s="87">
        <v>0</v>
      </c>
      <c r="G76" s="87">
        <v>100000</v>
      </c>
      <c r="H76" s="87">
        <v>0</v>
      </c>
      <c r="I76" s="87">
        <f t="shared" si="27"/>
        <v>0</v>
      </c>
      <c r="J76" s="87">
        <f t="shared" si="27"/>
        <v>0</v>
      </c>
      <c r="K76" s="87">
        <v>100000</v>
      </c>
      <c r="L76" s="87">
        <v>0</v>
      </c>
      <c r="M76" s="87">
        <f t="shared" si="27"/>
        <v>0</v>
      </c>
      <c r="N76" s="87">
        <v>70000</v>
      </c>
      <c r="O76" s="87">
        <v>0</v>
      </c>
      <c r="P76" s="87">
        <f t="shared" si="27"/>
        <v>0</v>
      </c>
      <c r="Q76" s="87">
        <f t="shared" si="27"/>
        <v>0</v>
      </c>
      <c r="R76" s="87">
        <f t="shared" si="27"/>
        <v>0</v>
      </c>
      <c r="S76" s="87">
        <f t="shared" si="27"/>
        <v>0</v>
      </c>
      <c r="T76" s="87">
        <f t="shared" si="27"/>
        <v>0</v>
      </c>
      <c r="U76" s="87">
        <f t="shared" si="27"/>
        <v>0</v>
      </c>
      <c r="V76" s="87">
        <f t="shared" si="27"/>
        <v>0</v>
      </c>
      <c r="W76" s="87">
        <f t="shared" si="28"/>
        <v>0</v>
      </c>
      <c r="X76" s="87">
        <f t="shared" si="28"/>
        <v>0</v>
      </c>
      <c r="Y76" s="87">
        <f t="shared" si="28"/>
        <v>0</v>
      </c>
      <c r="Z76" s="87">
        <f t="shared" si="28"/>
        <v>0</v>
      </c>
      <c r="AA76" s="87">
        <f t="shared" si="28"/>
        <v>0</v>
      </c>
      <c r="AB76" s="87">
        <f t="shared" si="28"/>
        <v>0</v>
      </c>
      <c r="AC76" s="87">
        <f t="shared" si="28"/>
        <v>0</v>
      </c>
      <c r="AD76" s="87">
        <f t="shared" si="28"/>
        <v>0</v>
      </c>
      <c r="AE76" s="87">
        <f t="shared" si="28"/>
        <v>0</v>
      </c>
      <c r="AF76" s="87">
        <f t="shared" si="28"/>
        <v>0</v>
      </c>
      <c r="AG76" s="87">
        <f t="shared" si="28"/>
        <v>0</v>
      </c>
      <c r="AH76" s="87">
        <f t="shared" si="28"/>
        <v>0</v>
      </c>
      <c r="AI76" s="87">
        <f t="shared" si="28"/>
        <v>0</v>
      </c>
      <c r="AJ76" s="87">
        <f t="shared" si="28"/>
        <v>0</v>
      </c>
      <c r="AK76" s="87">
        <f t="shared" si="28"/>
        <v>0</v>
      </c>
      <c r="AL76" s="87">
        <f t="shared" si="28"/>
        <v>0</v>
      </c>
      <c r="AM76" s="87">
        <f t="shared" si="29"/>
        <v>0</v>
      </c>
      <c r="AN76" s="87">
        <f t="shared" si="29"/>
        <v>0</v>
      </c>
      <c r="AO76" s="87">
        <f t="shared" si="29"/>
        <v>0</v>
      </c>
      <c r="AP76" s="87">
        <f t="shared" si="29"/>
        <v>0</v>
      </c>
      <c r="AQ76" s="87">
        <f t="shared" si="29"/>
        <v>0</v>
      </c>
      <c r="AR76" s="87">
        <f t="shared" si="29"/>
        <v>0</v>
      </c>
      <c r="AS76" s="87">
        <f t="shared" si="29"/>
        <v>0</v>
      </c>
      <c r="AT76" s="87">
        <f t="shared" si="29"/>
        <v>0</v>
      </c>
      <c r="AU76" s="87">
        <f t="shared" si="29"/>
        <v>0</v>
      </c>
      <c r="AV76" s="87">
        <f t="shared" si="29"/>
        <v>0</v>
      </c>
      <c r="AW76" s="87">
        <f t="shared" si="29"/>
        <v>0</v>
      </c>
      <c r="AX76" s="87">
        <f t="shared" si="29"/>
        <v>0</v>
      </c>
      <c r="AY76" s="87">
        <f t="shared" si="29"/>
        <v>0</v>
      </c>
      <c r="AZ76" s="87">
        <f t="shared" si="29"/>
        <v>0</v>
      </c>
      <c r="BA76" s="87">
        <f t="shared" si="29"/>
        <v>0</v>
      </c>
      <c r="BB76" s="87">
        <f t="shared" si="29"/>
        <v>0</v>
      </c>
      <c r="BC76" s="87">
        <f t="shared" si="30"/>
        <v>0</v>
      </c>
      <c r="BD76" s="87">
        <f t="shared" si="30"/>
        <v>0</v>
      </c>
      <c r="BE76" s="87">
        <f t="shared" si="30"/>
        <v>0</v>
      </c>
      <c r="BF76" s="87">
        <f t="shared" si="30"/>
        <v>0</v>
      </c>
      <c r="BG76" s="87">
        <f t="shared" si="30"/>
        <v>0</v>
      </c>
      <c r="BH76" s="87">
        <f t="shared" si="30"/>
        <v>0</v>
      </c>
      <c r="BI76" s="87">
        <f t="shared" si="30"/>
        <v>0</v>
      </c>
      <c r="BJ76" s="87">
        <f t="shared" si="30"/>
        <v>0</v>
      </c>
      <c r="BK76" s="87">
        <f t="shared" si="30"/>
        <v>0</v>
      </c>
      <c r="BL76" s="87">
        <f t="shared" si="30"/>
        <v>0</v>
      </c>
      <c r="BM76" s="87">
        <f t="shared" si="30"/>
        <v>0</v>
      </c>
    </row>
    <row r="77" spans="1:65" outlineLevel="1">
      <c r="A77" s="51"/>
      <c r="B77" s="51" t="s">
        <v>191</v>
      </c>
      <c r="C77" s="51"/>
      <c r="D77" s="3"/>
      <c r="E77" s="81">
        <f t="shared" si="25"/>
        <v>0</v>
      </c>
      <c r="F77" s="87">
        <v>0</v>
      </c>
      <c r="G77" s="87">
        <f t="shared" ref="G77:V91" si="31">F77</f>
        <v>0</v>
      </c>
      <c r="H77" s="87">
        <f t="shared" si="31"/>
        <v>0</v>
      </c>
      <c r="I77" s="87">
        <f t="shared" si="31"/>
        <v>0</v>
      </c>
      <c r="J77" s="87">
        <f t="shared" si="31"/>
        <v>0</v>
      </c>
      <c r="K77" s="87">
        <f t="shared" si="31"/>
        <v>0</v>
      </c>
      <c r="L77" s="87">
        <f t="shared" si="31"/>
        <v>0</v>
      </c>
      <c r="M77" s="87">
        <f t="shared" si="31"/>
        <v>0</v>
      </c>
      <c r="N77" s="87">
        <f t="shared" si="31"/>
        <v>0</v>
      </c>
      <c r="O77" s="87">
        <f t="shared" si="31"/>
        <v>0</v>
      </c>
      <c r="P77" s="87">
        <f t="shared" si="31"/>
        <v>0</v>
      </c>
      <c r="Q77" s="87">
        <f t="shared" si="31"/>
        <v>0</v>
      </c>
      <c r="R77" s="87">
        <f t="shared" si="31"/>
        <v>0</v>
      </c>
      <c r="S77" s="87">
        <f t="shared" si="31"/>
        <v>0</v>
      </c>
      <c r="T77" s="87">
        <f t="shared" si="31"/>
        <v>0</v>
      </c>
      <c r="U77" s="87">
        <f t="shared" si="31"/>
        <v>0</v>
      </c>
      <c r="V77" s="87">
        <f t="shared" si="31"/>
        <v>0</v>
      </c>
      <c r="W77" s="87">
        <f t="shared" si="28"/>
        <v>0</v>
      </c>
      <c r="X77" s="87">
        <f t="shared" si="28"/>
        <v>0</v>
      </c>
      <c r="Y77" s="87">
        <f t="shared" si="28"/>
        <v>0</v>
      </c>
      <c r="Z77" s="87">
        <f t="shared" si="28"/>
        <v>0</v>
      </c>
      <c r="AA77" s="87">
        <f t="shared" si="28"/>
        <v>0</v>
      </c>
      <c r="AB77" s="87">
        <f t="shared" si="28"/>
        <v>0</v>
      </c>
      <c r="AC77" s="87">
        <f t="shared" si="28"/>
        <v>0</v>
      </c>
      <c r="AD77" s="87">
        <f t="shared" si="28"/>
        <v>0</v>
      </c>
      <c r="AE77" s="87">
        <f t="shared" si="28"/>
        <v>0</v>
      </c>
      <c r="AF77" s="87">
        <f t="shared" si="28"/>
        <v>0</v>
      </c>
      <c r="AG77" s="87">
        <f t="shared" si="28"/>
        <v>0</v>
      </c>
      <c r="AH77" s="87">
        <f t="shared" si="28"/>
        <v>0</v>
      </c>
      <c r="AI77" s="87">
        <f t="shared" si="28"/>
        <v>0</v>
      </c>
      <c r="AJ77" s="87">
        <f t="shared" si="28"/>
        <v>0</v>
      </c>
      <c r="AK77" s="87">
        <f t="shared" si="28"/>
        <v>0</v>
      </c>
      <c r="AL77" s="87">
        <f t="shared" si="28"/>
        <v>0</v>
      </c>
      <c r="AM77" s="87">
        <f t="shared" si="29"/>
        <v>0</v>
      </c>
      <c r="AN77" s="87">
        <f t="shared" si="29"/>
        <v>0</v>
      </c>
      <c r="AO77" s="87">
        <f t="shared" si="29"/>
        <v>0</v>
      </c>
      <c r="AP77" s="87">
        <f t="shared" si="29"/>
        <v>0</v>
      </c>
      <c r="AQ77" s="87">
        <f t="shared" si="29"/>
        <v>0</v>
      </c>
      <c r="AR77" s="87">
        <f t="shared" si="29"/>
        <v>0</v>
      </c>
      <c r="AS77" s="87">
        <f t="shared" si="29"/>
        <v>0</v>
      </c>
      <c r="AT77" s="87">
        <f t="shared" si="29"/>
        <v>0</v>
      </c>
      <c r="AU77" s="87">
        <f t="shared" si="29"/>
        <v>0</v>
      </c>
      <c r="AV77" s="87">
        <f t="shared" si="29"/>
        <v>0</v>
      </c>
      <c r="AW77" s="87">
        <f t="shared" si="29"/>
        <v>0</v>
      </c>
      <c r="AX77" s="87">
        <f t="shared" si="29"/>
        <v>0</v>
      </c>
      <c r="AY77" s="87">
        <f t="shared" si="29"/>
        <v>0</v>
      </c>
      <c r="AZ77" s="87">
        <f t="shared" si="29"/>
        <v>0</v>
      </c>
      <c r="BA77" s="87">
        <f t="shared" si="29"/>
        <v>0</v>
      </c>
      <c r="BB77" s="87">
        <f t="shared" si="29"/>
        <v>0</v>
      </c>
      <c r="BC77" s="87">
        <f t="shared" si="30"/>
        <v>0</v>
      </c>
      <c r="BD77" s="87">
        <f t="shared" si="30"/>
        <v>0</v>
      </c>
      <c r="BE77" s="87">
        <f t="shared" si="30"/>
        <v>0</v>
      </c>
      <c r="BF77" s="87">
        <f t="shared" si="30"/>
        <v>0</v>
      </c>
      <c r="BG77" s="87">
        <f t="shared" si="30"/>
        <v>0</v>
      </c>
      <c r="BH77" s="87">
        <f t="shared" si="30"/>
        <v>0</v>
      </c>
      <c r="BI77" s="87">
        <f t="shared" si="30"/>
        <v>0</v>
      </c>
      <c r="BJ77" s="87">
        <f t="shared" si="30"/>
        <v>0</v>
      </c>
      <c r="BK77" s="87">
        <f t="shared" si="30"/>
        <v>0</v>
      </c>
      <c r="BL77" s="87">
        <f t="shared" si="30"/>
        <v>0</v>
      </c>
      <c r="BM77" s="87">
        <f t="shared" si="30"/>
        <v>0</v>
      </c>
    </row>
    <row r="78" spans="1:65" outlineLevel="1">
      <c r="A78" s="51"/>
      <c r="B78" s="51" t="s">
        <v>192</v>
      </c>
      <c r="C78" s="51"/>
      <c r="D78" s="3"/>
      <c r="E78" s="81">
        <f t="shared" si="25"/>
        <v>884000</v>
      </c>
      <c r="F78" s="87">
        <v>13000</v>
      </c>
      <c r="G78" s="87">
        <f t="shared" si="31"/>
        <v>13000</v>
      </c>
      <c r="H78" s="87">
        <f t="shared" si="31"/>
        <v>13000</v>
      </c>
      <c r="I78" s="87">
        <f t="shared" si="31"/>
        <v>13000</v>
      </c>
      <c r="J78" s="87">
        <f t="shared" si="31"/>
        <v>13000</v>
      </c>
      <c r="K78" s="87">
        <f t="shared" si="31"/>
        <v>13000</v>
      </c>
      <c r="L78" s="87">
        <f t="shared" si="31"/>
        <v>13000</v>
      </c>
      <c r="M78" s="87">
        <v>13000</v>
      </c>
      <c r="N78" s="87">
        <v>15000</v>
      </c>
      <c r="O78" s="87">
        <f t="shared" si="31"/>
        <v>15000</v>
      </c>
      <c r="P78" s="87">
        <f t="shared" si="31"/>
        <v>15000</v>
      </c>
      <c r="Q78" s="87">
        <f t="shared" si="31"/>
        <v>15000</v>
      </c>
      <c r="R78" s="87">
        <f t="shared" si="31"/>
        <v>15000</v>
      </c>
      <c r="S78" s="87">
        <f t="shared" si="31"/>
        <v>15000</v>
      </c>
      <c r="T78" s="87">
        <f t="shared" si="31"/>
        <v>15000</v>
      </c>
      <c r="U78" s="87">
        <f t="shared" si="31"/>
        <v>15000</v>
      </c>
      <c r="V78" s="87">
        <f t="shared" si="31"/>
        <v>15000</v>
      </c>
      <c r="W78" s="87">
        <f t="shared" si="28"/>
        <v>15000</v>
      </c>
      <c r="X78" s="87">
        <f t="shared" si="28"/>
        <v>15000</v>
      </c>
      <c r="Y78" s="87">
        <f t="shared" si="28"/>
        <v>15000</v>
      </c>
      <c r="Z78" s="87">
        <f t="shared" si="28"/>
        <v>15000</v>
      </c>
      <c r="AA78" s="87">
        <f t="shared" si="28"/>
        <v>15000</v>
      </c>
      <c r="AB78" s="87">
        <f t="shared" si="28"/>
        <v>15000</v>
      </c>
      <c r="AC78" s="87">
        <f t="shared" si="28"/>
        <v>15000</v>
      </c>
      <c r="AD78" s="87">
        <f t="shared" si="28"/>
        <v>15000</v>
      </c>
      <c r="AE78" s="87">
        <f t="shared" si="28"/>
        <v>15000</v>
      </c>
      <c r="AF78" s="87">
        <f t="shared" si="28"/>
        <v>15000</v>
      </c>
      <c r="AG78" s="87">
        <f t="shared" si="28"/>
        <v>15000</v>
      </c>
      <c r="AH78" s="87">
        <f t="shared" si="28"/>
        <v>15000</v>
      </c>
      <c r="AI78" s="87">
        <f t="shared" si="28"/>
        <v>15000</v>
      </c>
      <c r="AJ78" s="87">
        <f t="shared" si="28"/>
        <v>15000</v>
      </c>
      <c r="AK78" s="87">
        <f t="shared" si="28"/>
        <v>15000</v>
      </c>
      <c r="AL78" s="87">
        <f t="shared" si="28"/>
        <v>15000</v>
      </c>
      <c r="AM78" s="87">
        <f t="shared" si="29"/>
        <v>15000</v>
      </c>
      <c r="AN78" s="87">
        <f t="shared" si="29"/>
        <v>15000</v>
      </c>
      <c r="AO78" s="87">
        <f t="shared" si="29"/>
        <v>15000</v>
      </c>
      <c r="AP78" s="87">
        <f t="shared" si="29"/>
        <v>15000</v>
      </c>
      <c r="AQ78" s="87">
        <f t="shared" si="29"/>
        <v>15000</v>
      </c>
      <c r="AR78" s="87">
        <f t="shared" si="29"/>
        <v>15000</v>
      </c>
      <c r="AS78" s="87">
        <f t="shared" si="29"/>
        <v>15000</v>
      </c>
      <c r="AT78" s="87">
        <f t="shared" si="29"/>
        <v>15000</v>
      </c>
      <c r="AU78" s="87">
        <f t="shared" si="29"/>
        <v>15000</v>
      </c>
      <c r="AV78" s="87">
        <f t="shared" si="29"/>
        <v>15000</v>
      </c>
      <c r="AW78" s="87">
        <f t="shared" si="29"/>
        <v>15000</v>
      </c>
      <c r="AX78" s="87">
        <f t="shared" si="29"/>
        <v>15000</v>
      </c>
      <c r="AY78" s="87">
        <f t="shared" si="29"/>
        <v>15000</v>
      </c>
      <c r="AZ78" s="87">
        <f t="shared" si="29"/>
        <v>15000</v>
      </c>
      <c r="BA78" s="87">
        <f t="shared" si="29"/>
        <v>15000</v>
      </c>
      <c r="BB78" s="87">
        <f t="shared" si="29"/>
        <v>15000</v>
      </c>
      <c r="BC78" s="87">
        <f t="shared" si="30"/>
        <v>15000</v>
      </c>
      <c r="BD78" s="87">
        <f t="shared" si="30"/>
        <v>15000</v>
      </c>
      <c r="BE78" s="87">
        <f t="shared" si="30"/>
        <v>15000</v>
      </c>
      <c r="BF78" s="87">
        <f t="shared" si="30"/>
        <v>15000</v>
      </c>
      <c r="BG78" s="87">
        <f t="shared" si="30"/>
        <v>15000</v>
      </c>
      <c r="BH78" s="87">
        <f t="shared" si="30"/>
        <v>15000</v>
      </c>
      <c r="BI78" s="87">
        <f t="shared" si="30"/>
        <v>15000</v>
      </c>
      <c r="BJ78" s="87">
        <f t="shared" si="30"/>
        <v>15000</v>
      </c>
      <c r="BK78" s="87">
        <f t="shared" si="30"/>
        <v>15000</v>
      </c>
      <c r="BL78" s="87">
        <f t="shared" si="30"/>
        <v>15000</v>
      </c>
      <c r="BM78" s="87">
        <f t="shared" si="30"/>
        <v>15000</v>
      </c>
    </row>
    <row r="79" spans="1:65" outlineLevel="1">
      <c r="A79" s="51"/>
      <c r="B79" s="51" t="s">
        <v>193</v>
      </c>
      <c r="C79" s="51"/>
      <c r="D79" s="3"/>
      <c r="E79" s="81">
        <f t="shared" si="25"/>
        <v>240000</v>
      </c>
      <c r="F79" s="87">
        <v>4000</v>
      </c>
      <c r="G79" s="87">
        <f t="shared" si="31"/>
        <v>4000</v>
      </c>
      <c r="H79" s="87">
        <f t="shared" si="31"/>
        <v>4000</v>
      </c>
      <c r="I79" s="87">
        <f t="shared" si="31"/>
        <v>4000</v>
      </c>
      <c r="J79" s="87">
        <f t="shared" si="31"/>
        <v>4000</v>
      </c>
      <c r="K79" s="87">
        <f t="shared" si="31"/>
        <v>4000</v>
      </c>
      <c r="L79" s="87">
        <f t="shared" si="31"/>
        <v>4000</v>
      </c>
      <c r="M79" s="87">
        <f t="shared" si="31"/>
        <v>4000</v>
      </c>
      <c r="N79" s="87">
        <f t="shared" si="31"/>
        <v>4000</v>
      </c>
      <c r="O79" s="87">
        <f t="shared" si="31"/>
        <v>4000</v>
      </c>
      <c r="P79" s="87">
        <f t="shared" si="31"/>
        <v>4000</v>
      </c>
      <c r="Q79" s="87">
        <f t="shared" si="31"/>
        <v>4000</v>
      </c>
      <c r="R79" s="87">
        <f t="shared" si="31"/>
        <v>4000</v>
      </c>
      <c r="S79" s="87">
        <f t="shared" si="31"/>
        <v>4000</v>
      </c>
      <c r="T79" s="87">
        <f t="shared" si="31"/>
        <v>4000</v>
      </c>
      <c r="U79" s="87">
        <f t="shared" si="31"/>
        <v>4000</v>
      </c>
      <c r="V79" s="87">
        <f t="shared" si="31"/>
        <v>4000</v>
      </c>
      <c r="W79" s="87">
        <f t="shared" si="28"/>
        <v>4000</v>
      </c>
      <c r="X79" s="87">
        <f t="shared" si="28"/>
        <v>4000</v>
      </c>
      <c r="Y79" s="87">
        <f t="shared" si="28"/>
        <v>4000</v>
      </c>
      <c r="Z79" s="87">
        <f t="shared" si="28"/>
        <v>4000</v>
      </c>
      <c r="AA79" s="87">
        <f t="shared" si="28"/>
        <v>4000</v>
      </c>
      <c r="AB79" s="87">
        <f t="shared" si="28"/>
        <v>4000</v>
      </c>
      <c r="AC79" s="87">
        <f t="shared" si="28"/>
        <v>4000</v>
      </c>
      <c r="AD79" s="87">
        <f t="shared" si="28"/>
        <v>4000</v>
      </c>
      <c r="AE79" s="87">
        <f t="shared" si="28"/>
        <v>4000</v>
      </c>
      <c r="AF79" s="87">
        <f t="shared" si="28"/>
        <v>4000</v>
      </c>
      <c r="AG79" s="87">
        <f t="shared" si="28"/>
        <v>4000</v>
      </c>
      <c r="AH79" s="87">
        <f t="shared" si="28"/>
        <v>4000</v>
      </c>
      <c r="AI79" s="87">
        <f t="shared" si="28"/>
        <v>4000</v>
      </c>
      <c r="AJ79" s="87">
        <f t="shared" si="28"/>
        <v>4000</v>
      </c>
      <c r="AK79" s="87">
        <f t="shared" si="28"/>
        <v>4000</v>
      </c>
      <c r="AL79" s="87">
        <f t="shared" si="28"/>
        <v>4000</v>
      </c>
      <c r="AM79" s="87">
        <f t="shared" si="29"/>
        <v>4000</v>
      </c>
      <c r="AN79" s="87">
        <f t="shared" si="29"/>
        <v>4000</v>
      </c>
      <c r="AO79" s="87">
        <f t="shared" si="29"/>
        <v>4000</v>
      </c>
      <c r="AP79" s="87">
        <f t="shared" si="29"/>
        <v>4000</v>
      </c>
      <c r="AQ79" s="87">
        <f t="shared" si="29"/>
        <v>4000</v>
      </c>
      <c r="AR79" s="87">
        <f t="shared" si="29"/>
        <v>4000</v>
      </c>
      <c r="AS79" s="87">
        <f t="shared" si="29"/>
        <v>4000</v>
      </c>
      <c r="AT79" s="87">
        <f t="shared" si="29"/>
        <v>4000</v>
      </c>
      <c r="AU79" s="87">
        <f t="shared" si="29"/>
        <v>4000</v>
      </c>
      <c r="AV79" s="87">
        <f t="shared" si="29"/>
        <v>4000</v>
      </c>
      <c r="AW79" s="87">
        <f t="shared" si="29"/>
        <v>4000</v>
      </c>
      <c r="AX79" s="87">
        <f t="shared" si="29"/>
        <v>4000</v>
      </c>
      <c r="AY79" s="87">
        <f t="shared" si="29"/>
        <v>4000</v>
      </c>
      <c r="AZ79" s="87">
        <f t="shared" si="29"/>
        <v>4000</v>
      </c>
      <c r="BA79" s="87">
        <f t="shared" si="29"/>
        <v>4000</v>
      </c>
      <c r="BB79" s="87">
        <f t="shared" si="29"/>
        <v>4000</v>
      </c>
      <c r="BC79" s="87">
        <f t="shared" si="30"/>
        <v>4000</v>
      </c>
      <c r="BD79" s="87">
        <f t="shared" si="30"/>
        <v>4000</v>
      </c>
      <c r="BE79" s="87">
        <f t="shared" si="30"/>
        <v>4000</v>
      </c>
      <c r="BF79" s="87">
        <f t="shared" si="30"/>
        <v>4000</v>
      </c>
      <c r="BG79" s="87">
        <f t="shared" si="30"/>
        <v>4000</v>
      </c>
      <c r="BH79" s="87">
        <f t="shared" si="30"/>
        <v>4000</v>
      </c>
      <c r="BI79" s="87">
        <f t="shared" si="30"/>
        <v>4000</v>
      </c>
      <c r="BJ79" s="87">
        <f t="shared" si="30"/>
        <v>4000</v>
      </c>
      <c r="BK79" s="87">
        <f t="shared" si="30"/>
        <v>4000</v>
      </c>
      <c r="BL79" s="87">
        <f t="shared" si="30"/>
        <v>4000</v>
      </c>
      <c r="BM79" s="87">
        <f t="shared" si="30"/>
        <v>4000</v>
      </c>
    </row>
    <row r="80" spans="1:65" outlineLevel="1">
      <c r="A80" s="51"/>
      <c r="B80" t="s">
        <v>194</v>
      </c>
      <c r="C80" s="51"/>
      <c r="D80" s="3"/>
      <c r="E80" s="81">
        <f t="shared" si="25"/>
        <v>472000</v>
      </c>
      <c r="F80" s="87"/>
      <c r="G80" s="87">
        <v>8000</v>
      </c>
      <c r="H80" s="87">
        <f t="shared" si="31"/>
        <v>8000</v>
      </c>
      <c r="I80" s="87">
        <f t="shared" si="31"/>
        <v>8000</v>
      </c>
      <c r="J80" s="87">
        <f t="shared" si="31"/>
        <v>8000</v>
      </c>
      <c r="K80" s="87">
        <f t="shared" si="31"/>
        <v>8000</v>
      </c>
      <c r="L80" s="87">
        <f t="shared" si="31"/>
        <v>8000</v>
      </c>
      <c r="M80" s="87">
        <f t="shared" si="31"/>
        <v>8000</v>
      </c>
      <c r="N80" s="87">
        <f t="shared" si="31"/>
        <v>8000</v>
      </c>
      <c r="O80" s="87">
        <f t="shared" si="31"/>
        <v>8000</v>
      </c>
      <c r="P80" s="87">
        <f t="shared" si="31"/>
        <v>8000</v>
      </c>
      <c r="Q80" s="87">
        <f t="shared" si="31"/>
        <v>8000</v>
      </c>
      <c r="R80" s="87">
        <f t="shared" si="31"/>
        <v>8000</v>
      </c>
      <c r="S80" s="87">
        <f t="shared" si="31"/>
        <v>8000</v>
      </c>
      <c r="T80" s="87">
        <f t="shared" si="31"/>
        <v>8000</v>
      </c>
      <c r="U80" s="87">
        <f t="shared" si="31"/>
        <v>8000</v>
      </c>
      <c r="V80" s="87">
        <f t="shared" si="31"/>
        <v>8000</v>
      </c>
      <c r="W80" s="87">
        <f t="shared" si="28"/>
        <v>8000</v>
      </c>
      <c r="X80" s="87">
        <f t="shared" si="28"/>
        <v>8000</v>
      </c>
      <c r="Y80" s="87">
        <f t="shared" si="28"/>
        <v>8000</v>
      </c>
      <c r="Z80" s="87">
        <f t="shared" si="28"/>
        <v>8000</v>
      </c>
      <c r="AA80" s="87">
        <f t="shared" si="28"/>
        <v>8000</v>
      </c>
      <c r="AB80" s="87">
        <f t="shared" si="28"/>
        <v>8000</v>
      </c>
      <c r="AC80" s="87">
        <f t="shared" si="28"/>
        <v>8000</v>
      </c>
      <c r="AD80" s="87">
        <f t="shared" si="28"/>
        <v>8000</v>
      </c>
      <c r="AE80" s="87">
        <f t="shared" si="28"/>
        <v>8000</v>
      </c>
      <c r="AF80" s="87">
        <f t="shared" si="28"/>
        <v>8000</v>
      </c>
      <c r="AG80" s="87">
        <f t="shared" si="28"/>
        <v>8000</v>
      </c>
      <c r="AH80" s="87">
        <f t="shared" si="28"/>
        <v>8000</v>
      </c>
      <c r="AI80" s="87">
        <f t="shared" si="28"/>
        <v>8000</v>
      </c>
      <c r="AJ80" s="87">
        <f t="shared" si="28"/>
        <v>8000</v>
      </c>
      <c r="AK80" s="87">
        <f t="shared" si="28"/>
        <v>8000</v>
      </c>
      <c r="AL80" s="87">
        <f t="shared" si="28"/>
        <v>8000</v>
      </c>
      <c r="AM80" s="87">
        <f t="shared" si="29"/>
        <v>8000</v>
      </c>
      <c r="AN80" s="87">
        <f t="shared" si="29"/>
        <v>8000</v>
      </c>
      <c r="AO80" s="87">
        <f t="shared" si="29"/>
        <v>8000</v>
      </c>
      <c r="AP80" s="87">
        <f t="shared" si="29"/>
        <v>8000</v>
      </c>
      <c r="AQ80" s="87">
        <f t="shared" si="29"/>
        <v>8000</v>
      </c>
      <c r="AR80" s="87">
        <f t="shared" si="29"/>
        <v>8000</v>
      </c>
      <c r="AS80" s="87">
        <f t="shared" si="29"/>
        <v>8000</v>
      </c>
      <c r="AT80" s="87">
        <f t="shared" si="29"/>
        <v>8000</v>
      </c>
      <c r="AU80" s="87">
        <f t="shared" si="29"/>
        <v>8000</v>
      </c>
      <c r="AV80" s="87">
        <f t="shared" si="29"/>
        <v>8000</v>
      </c>
      <c r="AW80" s="87">
        <f t="shared" si="29"/>
        <v>8000</v>
      </c>
      <c r="AX80" s="87">
        <f t="shared" si="29"/>
        <v>8000</v>
      </c>
      <c r="AY80" s="87">
        <f t="shared" si="29"/>
        <v>8000</v>
      </c>
      <c r="AZ80" s="87">
        <f t="shared" si="29"/>
        <v>8000</v>
      </c>
      <c r="BA80" s="87">
        <f t="shared" si="29"/>
        <v>8000</v>
      </c>
      <c r="BB80" s="87">
        <f t="shared" si="29"/>
        <v>8000</v>
      </c>
      <c r="BC80" s="87">
        <f t="shared" si="30"/>
        <v>8000</v>
      </c>
      <c r="BD80" s="87">
        <f t="shared" si="30"/>
        <v>8000</v>
      </c>
      <c r="BE80" s="87">
        <f t="shared" si="30"/>
        <v>8000</v>
      </c>
      <c r="BF80" s="87">
        <f t="shared" si="30"/>
        <v>8000</v>
      </c>
      <c r="BG80" s="87">
        <f t="shared" si="30"/>
        <v>8000</v>
      </c>
      <c r="BH80" s="87">
        <f t="shared" si="30"/>
        <v>8000</v>
      </c>
      <c r="BI80" s="87">
        <f t="shared" si="30"/>
        <v>8000</v>
      </c>
      <c r="BJ80" s="87">
        <f t="shared" si="30"/>
        <v>8000</v>
      </c>
      <c r="BK80" s="87">
        <f t="shared" si="30"/>
        <v>8000</v>
      </c>
      <c r="BL80" s="87">
        <f t="shared" si="30"/>
        <v>8000</v>
      </c>
      <c r="BM80" s="87">
        <f t="shared" si="30"/>
        <v>8000</v>
      </c>
    </row>
    <row r="81" spans="1:65" outlineLevel="1">
      <c r="A81" s="51"/>
      <c r="B81" s="51" t="s">
        <v>195</v>
      </c>
      <c r="C81" s="51"/>
      <c r="D81" s="3"/>
      <c r="E81" s="81">
        <f t="shared" si="25"/>
        <v>288800</v>
      </c>
      <c r="F81" s="72">
        <f>SUM(F78:F80)*0.2</f>
        <v>3400</v>
      </c>
      <c r="G81" s="87">
        <f t="shared" ref="G81:M82" si="32">F81</f>
        <v>3400</v>
      </c>
      <c r="H81" s="87">
        <f t="shared" si="32"/>
        <v>3400</v>
      </c>
      <c r="I81" s="87">
        <f t="shared" si="32"/>
        <v>3400</v>
      </c>
      <c r="J81" s="87">
        <f t="shared" si="32"/>
        <v>3400</v>
      </c>
      <c r="K81" s="87">
        <f t="shared" si="32"/>
        <v>3400</v>
      </c>
      <c r="L81" s="87">
        <f t="shared" si="32"/>
        <v>3400</v>
      </c>
      <c r="M81" s="72">
        <f>SUM(M78:M80)*0.2</f>
        <v>5000</v>
      </c>
      <c r="N81" s="87">
        <f t="shared" si="31"/>
        <v>5000</v>
      </c>
      <c r="O81" s="87">
        <f t="shared" si="31"/>
        <v>5000</v>
      </c>
      <c r="P81" s="87">
        <f t="shared" si="31"/>
        <v>5000</v>
      </c>
      <c r="Q81" s="87">
        <f t="shared" si="31"/>
        <v>5000</v>
      </c>
      <c r="R81" s="87">
        <f t="shared" si="31"/>
        <v>5000</v>
      </c>
      <c r="S81" s="87">
        <f t="shared" si="31"/>
        <v>5000</v>
      </c>
      <c r="T81" s="87">
        <f t="shared" si="31"/>
        <v>5000</v>
      </c>
      <c r="U81" s="87">
        <f t="shared" si="31"/>
        <v>5000</v>
      </c>
      <c r="V81" s="87">
        <f t="shared" si="31"/>
        <v>5000</v>
      </c>
      <c r="W81" s="87">
        <f t="shared" si="28"/>
        <v>5000</v>
      </c>
      <c r="X81" s="87">
        <f t="shared" si="28"/>
        <v>5000</v>
      </c>
      <c r="Y81" s="87">
        <f t="shared" si="28"/>
        <v>5000</v>
      </c>
      <c r="Z81" s="87">
        <f t="shared" si="28"/>
        <v>5000</v>
      </c>
      <c r="AA81" s="87">
        <f t="shared" si="28"/>
        <v>5000</v>
      </c>
      <c r="AB81" s="87">
        <f t="shared" si="28"/>
        <v>5000</v>
      </c>
      <c r="AC81" s="87">
        <f t="shared" si="28"/>
        <v>5000</v>
      </c>
      <c r="AD81" s="87">
        <f t="shared" si="28"/>
        <v>5000</v>
      </c>
      <c r="AE81" s="87">
        <f t="shared" si="28"/>
        <v>5000</v>
      </c>
      <c r="AF81" s="87">
        <f t="shared" si="28"/>
        <v>5000</v>
      </c>
      <c r="AG81" s="87">
        <f t="shared" si="28"/>
        <v>5000</v>
      </c>
      <c r="AH81" s="87">
        <f t="shared" si="28"/>
        <v>5000</v>
      </c>
      <c r="AI81" s="87">
        <f t="shared" si="28"/>
        <v>5000</v>
      </c>
      <c r="AJ81" s="87">
        <f t="shared" si="28"/>
        <v>5000</v>
      </c>
      <c r="AK81" s="87">
        <f t="shared" si="28"/>
        <v>5000</v>
      </c>
      <c r="AL81" s="87">
        <f t="shared" si="28"/>
        <v>5000</v>
      </c>
      <c r="AM81" s="87">
        <f t="shared" si="29"/>
        <v>5000</v>
      </c>
      <c r="AN81" s="87">
        <f t="shared" si="29"/>
        <v>5000</v>
      </c>
      <c r="AO81" s="87">
        <f t="shared" si="29"/>
        <v>5000</v>
      </c>
      <c r="AP81" s="87">
        <f t="shared" si="29"/>
        <v>5000</v>
      </c>
      <c r="AQ81" s="87">
        <f t="shared" si="29"/>
        <v>5000</v>
      </c>
      <c r="AR81" s="87">
        <f t="shared" si="29"/>
        <v>5000</v>
      </c>
      <c r="AS81" s="87">
        <f t="shared" si="29"/>
        <v>5000</v>
      </c>
      <c r="AT81" s="87">
        <f t="shared" si="29"/>
        <v>5000</v>
      </c>
      <c r="AU81" s="87">
        <f t="shared" si="29"/>
        <v>5000</v>
      </c>
      <c r="AV81" s="87">
        <f t="shared" si="29"/>
        <v>5000</v>
      </c>
      <c r="AW81" s="87">
        <f t="shared" si="29"/>
        <v>5000</v>
      </c>
      <c r="AX81" s="87">
        <f t="shared" si="29"/>
        <v>5000</v>
      </c>
      <c r="AY81" s="87">
        <f t="shared" si="29"/>
        <v>5000</v>
      </c>
      <c r="AZ81" s="87">
        <f t="shared" si="29"/>
        <v>5000</v>
      </c>
      <c r="BA81" s="87">
        <f t="shared" si="29"/>
        <v>5000</v>
      </c>
      <c r="BB81" s="87">
        <f t="shared" si="29"/>
        <v>5000</v>
      </c>
      <c r="BC81" s="87">
        <f t="shared" si="30"/>
        <v>5000</v>
      </c>
      <c r="BD81" s="87">
        <f t="shared" si="30"/>
        <v>5000</v>
      </c>
      <c r="BE81" s="87">
        <f t="shared" si="30"/>
        <v>5000</v>
      </c>
      <c r="BF81" s="87">
        <f t="shared" si="30"/>
        <v>5000</v>
      </c>
      <c r="BG81" s="87">
        <f t="shared" si="30"/>
        <v>5000</v>
      </c>
      <c r="BH81" s="87">
        <f t="shared" si="30"/>
        <v>5000</v>
      </c>
      <c r="BI81" s="87">
        <f t="shared" si="30"/>
        <v>5000</v>
      </c>
      <c r="BJ81" s="87">
        <f t="shared" si="30"/>
        <v>5000</v>
      </c>
      <c r="BK81" s="87">
        <f t="shared" si="30"/>
        <v>5000</v>
      </c>
      <c r="BL81" s="87">
        <f t="shared" si="30"/>
        <v>5000</v>
      </c>
      <c r="BM81" s="87">
        <f t="shared" si="30"/>
        <v>5000</v>
      </c>
    </row>
    <row r="82" spans="1:65" outlineLevel="1">
      <c r="A82" s="51"/>
      <c r="B82" t="s">
        <v>196</v>
      </c>
      <c r="C82" s="51"/>
      <c r="D82" s="3"/>
      <c r="E82" s="81">
        <f t="shared" si="25"/>
        <v>30000</v>
      </c>
      <c r="F82" s="87">
        <v>500</v>
      </c>
      <c r="G82" s="87">
        <v>500</v>
      </c>
      <c r="H82" s="87">
        <v>500</v>
      </c>
      <c r="I82" s="87">
        <v>500</v>
      </c>
      <c r="J82" s="87">
        <f t="shared" si="32"/>
        <v>500</v>
      </c>
      <c r="K82" s="87">
        <f t="shared" si="32"/>
        <v>500</v>
      </c>
      <c r="L82" s="87">
        <f t="shared" si="32"/>
        <v>500</v>
      </c>
      <c r="M82" s="87">
        <f t="shared" si="32"/>
        <v>500</v>
      </c>
      <c r="N82" s="87">
        <f t="shared" si="31"/>
        <v>500</v>
      </c>
      <c r="O82" s="87">
        <f t="shared" si="31"/>
        <v>500</v>
      </c>
      <c r="P82" s="87">
        <f t="shared" si="31"/>
        <v>500</v>
      </c>
      <c r="Q82" s="87">
        <f t="shared" si="31"/>
        <v>500</v>
      </c>
      <c r="R82" s="87">
        <f t="shared" si="31"/>
        <v>500</v>
      </c>
      <c r="S82" s="87">
        <f t="shared" si="31"/>
        <v>500</v>
      </c>
      <c r="T82" s="87">
        <f t="shared" si="31"/>
        <v>500</v>
      </c>
      <c r="U82" s="87">
        <f t="shared" si="31"/>
        <v>500</v>
      </c>
      <c r="V82" s="87">
        <f t="shared" si="31"/>
        <v>500</v>
      </c>
      <c r="W82" s="87">
        <f t="shared" si="28"/>
        <v>500</v>
      </c>
      <c r="X82" s="87">
        <f t="shared" si="28"/>
        <v>500</v>
      </c>
      <c r="Y82" s="87">
        <f t="shared" si="28"/>
        <v>500</v>
      </c>
      <c r="Z82" s="87">
        <f t="shared" si="28"/>
        <v>500</v>
      </c>
      <c r="AA82" s="87">
        <f t="shared" si="28"/>
        <v>500</v>
      </c>
      <c r="AB82" s="87">
        <f t="shared" si="28"/>
        <v>500</v>
      </c>
      <c r="AC82" s="87">
        <f t="shared" si="28"/>
        <v>500</v>
      </c>
      <c r="AD82" s="87">
        <f t="shared" si="28"/>
        <v>500</v>
      </c>
      <c r="AE82" s="87">
        <f t="shared" si="28"/>
        <v>500</v>
      </c>
      <c r="AF82" s="87">
        <f t="shared" si="28"/>
        <v>500</v>
      </c>
      <c r="AG82" s="87">
        <f t="shared" si="28"/>
        <v>500</v>
      </c>
      <c r="AH82" s="87">
        <f t="shared" si="28"/>
        <v>500</v>
      </c>
      <c r="AI82" s="87">
        <f t="shared" si="28"/>
        <v>500</v>
      </c>
      <c r="AJ82" s="87">
        <f t="shared" si="28"/>
        <v>500</v>
      </c>
      <c r="AK82" s="87">
        <f t="shared" si="28"/>
        <v>500</v>
      </c>
      <c r="AL82" s="87">
        <f t="shared" si="28"/>
        <v>500</v>
      </c>
      <c r="AM82" s="87">
        <f t="shared" si="29"/>
        <v>500</v>
      </c>
      <c r="AN82" s="87">
        <f t="shared" si="29"/>
        <v>500</v>
      </c>
      <c r="AO82" s="87">
        <f t="shared" si="29"/>
        <v>500</v>
      </c>
      <c r="AP82" s="87">
        <f t="shared" si="29"/>
        <v>500</v>
      </c>
      <c r="AQ82" s="87">
        <f t="shared" si="29"/>
        <v>500</v>
      </c>
      <c r="AR82" s="87">
        <f t="shared" si="29"/>
        <v>500</v>
      </c>
      <c r="AS82" s="87">
        <f t="shared" si="29"/>
        <v>500</v>
      </c>
      <c r="AT82" s="87">
        <f t="shared" si="29"/>
        <v>500</v>
      </c>
      <c r="AU82" s="87">
        <f t="shared" si="29"/>
        <v>500</v>
      </c>
      <c r="AV82" s="87">
        <f t="shared" si="29"/>
        <v>500</v>
      </c>
      <c r="AW82" s="87">
        <f t="shared" si="29"/>
        <v>500</v>
      </c>
      <c r="AX82" s="87">
        <f t="shared" si="29"/>
        <v>500</v>
      </c>
      <c r="AY82" s="87">
        <f t="shared" si="29"/>
        <v>500</v>
      </c>
      <c r="AZ82" s="87">
        <f t="shared" si="29"/>
        <v>500</v>
      </c>
      <c r="BA82" s="87">
        <f t="shared" si="29"/>
        <v>500</v>
      </c>
      <c r="BB82" s="87">
        <f t="shared" si="29"/>
        <v>500</v>
      </c>
      <c r="BC82" s="87">
        <f t="shared" si="30"/>
        <v>500</v>
      </c>
      <c r="BD82" s="87">
        <f t="shared" si="30"/>
        <v>500</v>
      </c>
      <c r="BE82" s="87">
        <f t="shared" si="30"/>
        <v>500</v>
      </c>
      <c r="BF82" s="87">
        <f t="shared" si="30"/>
        <v>500</v>
      </c>
      <c r="BG82" s="87">
        <f t="shared" si="30"/>
        <v>500</v>
      </c>
      <c r="BH82" s="87">
        <f t="shared" si="30"/>
        <v>500</v>
      </c>
      <c r="BI82" s="87">
        <f t="shared" si="30"/>
        <v>500</v>
      </c>
      <c r="BJ82" s="87">
        <f t="shared" si="30"/>
        <v>500</v>
      </c>
      <c r="BK82" s="87">
        <f t="shared" si="30"/>
        <v>500</v>
      </c>
      <c r="BL82" s="87">
        <f t="shared" si="30"/>
        <v>500</v>
      </c>
      <c r="BM82" s="87">
        <f t="shared" si="30"/>
        <v>500</v>
      </c>
    </row>
    <row r="83" spans="1:65" outlineLevel="1">
      <c r="A83" s="51"/>
      <c r="B83" s="51" t="s">
        <v>197</v>
      </c>
      <c r="C83" s="51"/>
      <c r="D83" s="3"/>
      <c r="E83" s="81">
        <f t="shared" si="25"/>
        <v>0</v>
      </c>
      <c r="F83" s="87">
        <v>0</v>
      </c>
      <c r="G83" s="87">
        <f t="shared" ref="G83:M91" si="33">F83</f>
        <v>0</v>
      </c>
      <c r="H83" s="87">
        <f t="shared" si="33"/>
        <v>0</v>
      </c>
      <c r="I83" s="87">
        <f t="shared" si="33"/>
        <v>0</v>
      </c>
      <c r="J83" s="87">
        <f t="shared" si="33"/>
        <v>0</v>
      </c>
      <c r="K83" s="87">
        <f t="shared" si="33"/>
        <v>0</v>
      </c>
      <c r="L83" s="87">
        <f t="shared" si="33"/>
        <v>0</v>
      </c>
      <c r="M83" s="87">
        <f t="shared" si="33"/>
        <v>0</v>
      </c>
      <c r="N83" s="87">
        <f t="shared" si="31"/>
        <v>0</v>
      </c>
      <c r="O83" s="87">
        <f t="shared" si="31"/>
        <v>0</v>
      </c>
      <c r="P83" s="87">
        <f t="shared" si="31"/>
        <v>0</v>
      </c>
      <c r="Q83" s="87">
        <f t="shared" si="31"/>
        <v>0</v>
      </c>
      <c r="R83" s="87">
        <f t="shared" si="31"/>
        <v>0</v>
      </c>
      <c r="S83" s="87">
        <f t="shared" si="31"/>
        <v>0</v>
      </c>
      <c r="T83" s="87">
        <f t="shared" si="31"/>
        <v>0</v>
      </c>
      <c r="U83" s="87">
        <f t="shared" si="31"/>
        <v>0</v>
      </c>
      <c r="V83" s="87">
        <f t="shared" si="31"/>
        <v>0</v>
      </c>
      <c r="W83" s="87">
        <f t="shared" si="28"/>
        <v>0</v>
      </c>
      <c r="X83" s="87">
        <f t="shared" si="28"/>
        <v>0</v>
      </c>
      <c r="Y83" s="87">
        <f t="shared" si="28"/>
        <v>0</v>
      </c>
      <c r="Z83" s="87">
        <f t="shared" si="28"/>
        <v>0</v>
      </c>
      <c r="AA83" s="87">
        <f t="shared" si="28"/>
        <v>0</v>
      </c>
      <c r="AB83" s="87">
        <f t="shared" si="28"/>
        <v>0</v>
      </c>
      <c r="AC83" s="87">
        <f t="shared" si="28"/>
        <v>0</v>
      </c>
      <c r="AD83" s="87">
        <f t="shared" si="28"/>
        <v>0</v>
      </c>
      <c r="AE83" s="87">
        <f t="shared" si="28"/>
        <v>0</v>
      </c>
      <c r="AF83" s="87">
        <f t="shared" si="28"/>
        <v>0</v>
      </c>
      <c r="AG83" s="87">
        <f t="shared" si="28"/>
        <v>0</v>
      </c>
      <c r="AH83" s="87">
        <f t="shared" si="28"/>
        <v>0</v>
      </c>
      <c r="AI83" s="87">
        <f t="shared" si="28"/>
        <v>0</v>
      </c>
      <c r="AJ83" s="87">
        <f t="shared" si="28"/>
        <v>0</v>
      </c>
      <c r="AK83" s="87">
        <f t="shared" si="28"/>
        <v>0</v>
      </c>
      <c r="AL83" s="87">
        <f t="shared" si="28"/>
        <v>0</v>
      </c>
      <c r="AM83" s="87">
        <f t="shared" si="29"/>
        <v>0</v>
      </c>
      <c r="AN83" s="87">
        <f t="shared" si="29"/>
        <v>0</v>
      </c>
      <c r="AO83" s="87">
        <f t="shared" si="29"/>
        <v>0</v>
      </c>
      <c r="AP83" s="87">
        <f t="shared" si="29"/>
        <v>0</v>
      </c>
      <c r="AQ83" s="87">
        <f t="shared" si="29"/>
        <v>0</v>
      </c>
      <c r="AR83" s="87">
        <f t="shared" si="29"/>
        <v>0</v>
      </c>
      <c r="AS83" s="87">
        <f t="shared" si="29"/>
        <v>0</v>
      </c>
      <c r="AT83" s="87">
        <f t="shared" si="29"/>
        <v>0</v>
      </c>
      <c r="AU83" s="87">
        <f t="shared" si="29"/>
        <v>0</v>
      </c>
      <c r="AV83" s="87">
        <f t="shared" si="29"/>
        <v>0</v>
      </c>
      <c r="AW83" s="87">
        <f t="shared" si="29"/>
        <v>0</v>
      </c>
      <c r="AX83" s="87">
        <f t="shared" si="29"/>
        <v>0</v>
      </c>
      <c r="AY83" s="87">
        <f t="shared" si="29"/>
        <v>0</v>
      </c>
      <c r="AZ83" s="87">
        <f t="shared" si="29"/>
        <v>0</v>
      </c>
      <c r="BA83" s="87">
        <f t="shared" si="29"/>
        <v>0</v>
      </c>
      <c r="BB83" s="87">
        <f t="shared" si="29"/>
        <v>0</v>
      </c>
      <c r="BC83" s="87">
        <f t="shared" si="30"/>
        <v>0</v>
      </c>
      <c r="BD83" s="87">
        <f t="shared" si="30"/>
        <v>0</v>
      </c>
      <c r="BE83" s="87">
        <f t="shared" si="30"/>
        <v>0</v>
      </c>
      <c r="BF83" s="87">
        <f t="shared" si="30"/>
        <v>0</v>
      </c>
      <c r="BG83" s="87">
        <f t="shared" si="30"/>
        <v>0</v>
      </c>
      <c r="BH83" s="87">
        <f t="shared" si="30"/>
        <v>0</v>
      </c>
      <c r="BI83" s="87">
        <f t="shared" si="30"/>
        <v>0</v>
      </c>
      <c r="BJ83" s="87">
        <f t="shared" si="30"/>
        <v>0</v>
      </c>
      <c r="BK83" s="87">
        <f t="shared" si="30"/>
        <v>0</v>
      </c>
      <c r="BL83" s="87">
        <f t="shared" si="30"/>
        <v>0</v>
      </c>
      <c r="BM83" s="87">
        <f t="shared" si="30"/>
        <v>0</v>
      </c>
    </row>
    <row r="84" spans="1:65" outlineLevel="1">
      <c r="A84" s="51"/>
      <c r="B84" s="51" t="s">
        <v>198</v>
      </c>
      <c r="C84" s="51"/>
      <c r="D84" s="3"/>
      <c r="E84" s="81">
        <f t="shared" si="25"/>
        <v>27000</v>
      </c>
      <c r="F84" s="87">
        <v>450</v>
      </c>
      <c r="G84" s="87">
        <f t="shared" si="33"/>
        <v>450</v>
      </c>
      <c r="H84" s="87">
        <f t="shared" si="33"/>
        <v>450</v>
      </c>
      <c r="I84" s="87">
        <f t="shared" si="33"/>
        <v>450</v>
      </c>
      <c r="J84" s="87">
        <f t="shared" si="33"/>
        <v>450</v>
      </c>
      <c r="K84" s="87">
        <f t="shared" si="33"/>
        <v>450</v>
      </c>
      <c r="L84" s="87">
        <f t="shared" si="33"/>
        <v>450</v>
      </c>
      <c r="M84" s="87">
        <f t="shared" si="33"/>
        <v>450</v>
      </c>
      <c r="N84" s="87">
        <f t="shared" si="31"/>
        <v>450</v>
      </c>
      <c r="O84" s="87">
        <f t="shared" si="31"/>
        <v>450</v>
      </c>
      <c r="P84" s="87">
        <f t="shared" si="31"/>
        <v>450</v>
      </c>
      <c r="Q84" s="87">
        <f t="shared" si="31"/>
        <v>450</v>
      </c>
      <c r="R84" s="87">
        <f t="shared" si="31"/>
        <v>450</v>
      </c>
      <c r="S84" s="87">
        <f t="shared" si="31"/>
        <v>450</v>
      </c>
      <c r="T84" s="87">
        <f t="shared" si="31"/>
        <v>450</v>
      </c>
      <c r="U84" s="87">
        <f t="shared" si="31"/>
        <v>450</v>
      </c>
      <c r="V84" s="87">
        <f t="shared" si="31"/>
        <v>450</v>
      </c>
      <c r="W84" s="87">
        <f t="shared" si="28"/>
        <v>450</v>
      </c>
      <c r="X84" s="87">
        <f t="shared" si="28"/>
        <v>450</v>
      </c>
      <c r="Y84" s="87">
        <f t="shared" si="28"/>
        <v>450</v>
      </c>
      <c r="Z84" s="87">
        <f t="shared" si="28"/>
        <v>450</v>
      </c>
      <c r="AA84" s="87">
        <f t="shared" si="28"/>
        <v>450</v>
      </c>
      <c r="AB84" s="87">
        <f t="shared" si="28"/>
        <v>450</v>
      </c>
      <c r="AC84" s="87">
        <f t="shared" si="28"/>
        <v>450</v>
      </c>
      <c r="AD84" s="87">
        <f t="shared" si="28"/>
        <v>450</v>
      </c>
      <c r="AE84" s="87">
        <f t="shared" si="28"/>
        <v>450</v>
      </c>
      <c r="AF84" s="87">
        <f t="shared" si="28"/>
        <v>450</v>
      </c>
      <c r="AG84" s="87">
        <f t="shared" si="28"/>
        <v>450</v>
      </c>
      <c r="AH84" s="87">
        <f t="shared" si="28"/>
        <v>450</v>
      </c>
      <c r="AI84" s="87">
        <f t="shared" si="28"/>
        <v>450</v>
      </c>
      <c r="AJ84" s="87">
        <f t="shared" si="28"/>
        <v>450</v>
      </c>
      <c r="AK84" s="87">
        <f t="shared" si="28"/>
        <v>450</v>
      </c>
      <c r="AL84" s="87">
        <f t="shared" ref="Z84:AO91" si="34">AK84</f>
        <v>450</v>
      </c>
      <c r="AM84" s="87">
        <f t="shared" si="34"/>
        <v>450</v>
      </c>
      <c r="AN84" s="87">
        <f t="shared" si="34"/>
        <v>450</v>
      </c>
      <c r="AO84" s="87">
        <f t="shared" si="34"/>
        <v>450</v>
      </c>
      <c r="AP84" s="87">
        <f t="shared" si="29"/>
        <v>450</v>
      </c>
      <c r="AQ84" s="87">
        <f t="shared" si="29"/>
        <v>450</v>
      </c>
      <c r="AR84" s="87">
        <f t="shared" si="29"/>
        <v>450</v>
      </c>
      <c r="AS84" s="87">
        <f t="shared" si="29"/>
        <v>450</v>
      </c>
      <c r="AT84" s="87">
        <f t="shared" si="29"/>
        <v>450</v>
      </c>
      <c r="AU84" s="87">
        <f t="shared" si="29"/>
        <v>450</v>
      </c>
      <c r="AV84" s="87">
        <f t="shared" si="29"/>
        <v>450</v>
      </c>
      <c r="AW84" s="87">
        <f t="shared" si="29"/>
        <v>450</v>
      </c>
      <c r="AX84" s="87">
        <f t="shared" si="29"/>
        <v>450</v>
      </c>
      <c r="AY84" s="87">
        <f t="shared" si="29"/>
        <v>450</v>
      </c>
      <c r="AZ84" s="87">
        <f t="shared" si="29"/>
        <v>450</v>
      </c>
      <c r="BA84" s="87">
        <f t="shared" si="29"/>
        <v>450</v>
      </c>
      <c r="BB84" s="87">
        <f t="shared" si="29"/>
        <v>450</v>
      </c>
      <c r="BC84" s="87">
        <f t="shared" si="30"/>
        <v>450</v>
      </c>
      <c r="BD84" s="87">
        <f t="shared" si="30"/>
        <v>450</v>
      </c>
      <c r="BE84" s="87">
        <f t="shared" si="30"/>
        <v>450</v>
      </c>
      <c r="BF84" s="87">
        <f t="shared" si="30"/>
        <v>450</v>
      </c>
      <c r="BG84" s="87">
        <f t="shared" si="30"/>
        <v>450</v>
      </c>
      <c r="BH84" s="87">
        <f t="shared" si="30"/>
        <v>450</v>
      </c>
      <c r="BI84" s="87">
        <f t="shared" si="30"/>
        <v>450</v>
      </c>
      <c r="BJ84" s="87">
        <f t="shared" si="30"/>
        <v>450</v>
      </c>
      <c r="BK84" s="87">
        <f t="shared" si="30"/>
        <v>450</v>
      </c>
      <c r="BL84" s="87">
        <f t="shared" si="30"/>
        <v>450</v>
      </c>
      <c r="BM84" s="87">
        <f t="shared" si="30"/>
        <v>450</v>
      </c>
    </row>
    <row r="85" spans="1:65" outlineLevel="1">
      <c r="A85" s="51"/>
      <c r="B85" s="51" t="s">
        <v>199</v>
      </c>
      <c r="C85" s="51"/>
      <c r="D85" s="3"/>
      <c r="E85" s="81">
        <f t="shared" si="25"/>
        <v>15000</v>
      </c>
      <c r="F85" s="87">
        <v>250</v>
      </c>
      <c r="G85" s="87">
        <f t="shared" si="33"/>
        <v>250</v>
      </c>
      <c r="H85" s="87">
        <f t="shared" si="33"/>
        <v>250</v>
      </c>
      <c r="I85" s="87">
        <f t="shared" si="33"/>
        <v>250</v>
      </c>
      <c r="J85" s="87">
        <f t="shared" si="33"/>
        <v>250</v>
      </c>
      <c r="K85" s="87">
        <f t="shared" si="33"/>
        <v>250</v>
      </c>
      <c r="L85" s="87">
        <f t="shared" si="33"/>
        <v>250</v>
      </c>
      <c r="M85" s="87">
        <f t="shared" si="33"/>
        <v>250</v>
      </c>
      <c r="N85" s="87">
        <f t="shared" si="31"/>
        <v>250</v>
      </c>
      <c r="O85" s="87">
        <f t="shared" si="31"/>
        <v>250</v>
      </c>
      <c r="P85" s="87">
        <f t="shared" si="31"/>
        <v>250</v>
      </c>
      <c r="Q85" s="87">
        <f t="shared" si="31"/>
        <v>250</v>
      </c>
      <c r="R85" s="87">
        <f t="shared" si="31"/>
        <v>250</v>
      </c>
      <c r="S85" s="87">
        <f t="shared" si="31"/>
        <v>250</v>
      </c>
      <c r="T85" s="87">
        <f t="shared" si="31"/>
        <v>250</v>
      </c>
      <c r="U85" s="87">
        <f t="shared" si="31"/>
        <v>250</v>
      </c>
      <c r="V85" s="87">
        <f t="shared" si="31"/>
        <v>250</v>
      </c>
      <c r="W85" s="87">
        <f t="shared" ref="Q85:Y91" si="35">V85</f>
        <v>250</v>
      </c>
      <c r="X85" s="87">
        <f t="shared" si="35"/>
        <v>250</v>
      </c>
      <c r="Y85" s="87">
        <f t="shared" si="35"/>
        <v>250</v>
      </c>
      <c r="Z85" s="87">
        <f t="shared" si="34"/>
        <v>250</v>
      </c>
      <c r="AA85" s="87">
        <f t="shared" si="34"/>
        <v>250</v>
      </c>
      <c r="AB85" s="87">
        <f t="shared" si="34"/>
        <v>250</v>
      </c>
      <c r="AC85" s="87">
        <f t="shared" si="34"/>
        <v>250</v>
      </c>
      <c r="AD85" s="87">
        <f t="shared" si="34"/>
        <v>250</v>
      </c>
      <c r="AE85" s="87">
        <f t="shared" si="34"/>
        <v>250</v>
      </c>
      <c r="AF85" s="87">
        <f t="shared" si="34"/>
        <v>250</v>
      </c>
      <c r="AG85" s="87">
        <f t="shared" si="34"/>
        <v>250</v>
      </c>
      <c r="AH85" s="87">
        <f t="shared" si="34"/>
        <v>250</v>
      </c>
      <c r="AI85" s="87">
        <f t="shared" si="34"/>
        <v>250</v>
      </c>
      <c r="AJ85" s="87">
        <f t="shared" si="34"/>
        <v>250</v>
      </c>
      <c r="AK85" s="87">
        <f t="shared" si="34"/>
        <v>250</v>
      </c>
      <c r="AL85" s="87">
        <f t="shared" si="34"/>
        <v>250</v>
      </c>
      <c r="AM85" s="87">
        <f t="shared" si="34"/>
        <v>250</v>
      </c>
      <c r="AN85" s="87">
        <f t="shared" si="34"/>
        <v>250</v>
      </c>
      <c r="AO85" s="87">
        <f t="shared" si="34"/>
        <v>250</v>
      </c>
      <c r="AP85" s="87">
        <f t="shared" ref="AP85:BE91" si="36">AO85</f>
        <v>250</v>
      </c>
      <c r="AQ85" s="87">
        <f t="shared" si="36"/>
        <v>250</v>
      </c>
      <c r="AR85" s="87">
        <f t="shared" si="36"/>
        <v>250</v>
      </c>
      <c r="AS85" s="87">
        <f t="shared" si="36"/>
        <v>250</v>
      </c>
      <c r="AT85" s="87">
        <f t="shared" si="36"/>
        <v>250</v>
      </c>
      <c r="AU85" s="87">
        <f t="shared" si="36"/>
        <v>250</v>
      </c>
      <c r="AV85" s="87">
        <f t="shared" si="36"/>
        <v>250</v>
      </c>
      <c r="AW85" s="87">
        <f t="shared" si="36"/>
        <v>250</v>
      </c>
      <c r="AX85" s="87">
        <f t="shared" si="36"/>
        <v>250</v>
      </c>
      <c r="AY85" s="87">
        <f t="shared" si="36"/>
        <v>250</v>
      </c>
      <c r="AZ85" s="87">
        <f t="shared" si="36"/>
        <v>250</v>
      </c>
      <c r="BA85" s="87">
        <f t="shared" si="36"/>
        <v>250</v>
      </c>
      <c r="BB85" s="87">
        <f t="shared" si="36"/>
        <v>250</v>
      </c>
      <c r="BC85" s="87">
        <f t="shared" si="36"/>
        <v>250</v>
      </c>
      <c r="BD85" s="87">
        <f t="shared" si="36"/>
        <v>250</v>
      </c>
      <c r="BE85" s="87">
        <f t="shared" si="36"/>
        <v>250</v>
      </c>
      <c r="BF85" s="87">
        <f t="shared" ref="BF85:BM91" si="37">BE85</f>
        <v>250</v>
      </c>
      <c r="BG85" s="87">
        <f t="shared" si="37"/>
        <v>250</v>
      </c>
      <c r="BH85" s="87">
        <f t="shared" si="37"/>
        <v>250</v>
      </c>
      <c r="BI85" s="87">
        <f t="shared" si="37"/>
        <v>250</v>
      </c>
      <c r="BJ85" s="87">
        <f t="shared" si="37"/>
        <v>250</v>
      </c>
      <c r="BK85" s="87">
        <f t="shared" si="37"/>
        <v>250</v>
      </c>
      <c r="BL85" s="87">
        <f t="shared" si="37"/>
        <v>250</v>
      </c>
      <c r="BM85" s="87">
        <f t="shared" si="37"/>
        <v>250</v>
      </c>
    </row>
    <row r="86" spans="1:65" outlineLevel="1">
      <c r="A86" s="51"/>
      <c r="B86" s="51" t="s">
        <v>200</v>
      </c>
      <c r="C86" s="51"/>
      <c r="D86" s="3"/>
      <c r="E86" s="81">
        <f t="shared" si="25"/>
        <v>96000</v>
      </c>
      <c r="F86" s="87">
        <v>1600</v>
      </c>
      <c r="G86" s="87">
        <f t="shared" si="33"/>
        <v>1600</v>
      </c>
      <c r="H86" s="87">
        <f t="shared" si="33"/>
        <v>1600</v>
      </c>
      <c r="I86" s="87">
        <f t="shared" si="33"/>
        <v>1600</v>
      </c>
      <c r="J86" s="87">
        <f t="shared" si="33"/>
        <v>1600</v>
      </c>
      <c r="K86" s="87">
        <f t="shared" si="33"/>
        <v>1600</v>
      </c>
      <c r="L86" s="87">
        <f t="shared" si="33"/>
        <v>1600</v>
      </c>
      <c r="M86" s="87">
        <f t="shared" si="33"/>
        <v>1600</v>
      </c>
      <c r="N86" s="87">
        <f t="shared" si="31"/>
        <v>1600</v>
      </c>
      <c r="O86" s="87">
        <f t="shared" si="31"/>
        <v>1600</v>
      </c>
      <c r="P86" s="87">
        <f t="shared" si="31"/>
        <v>1600</v>
      </c>
      <c r="Q86" s="87">
        <f t="shared" si="35"/>
        <v>1600</v>
      </c>
      <c r="R86" s="87">
        <f t="shared" si="35"/>
        <v>1600</v>
      </c>
      <c r="S86" s="87">
        <f t="shared" si="35"/>
        <v>1600</v>
      </c>
      <c r="T86" s="87">
        <f t="shared" si="35"/>
        <v>1600</v>
      </c>
      <c r="U86" s="87">
        <f t="shared" si="35"/>
        <v>1600</v>
      </c>
      <c r="V86" s="87">
        <f t="shared" si="35"/>
        <v>1600</v>
      </c>
      <c r="W86" s="87">
        <f t="shared" si="35"/>
        <v>1600</v>
      </c>
      <c r="X86" s="87">
        <f t="shared" si="35"/>
        <v>1600</v>
      </c>
      <c r="Y86" s="87">
        <f t="shared" si="35"/>
        <v>1600</v>
      </c>
      <c r="Z86" s="87">
        <f t="shared" si="34"/>
        <v>1600</v>
      </c>
      <c r="AA86" s="87">
        <f t="shared" si="34"/>
        <v>1600</v>
      </c>
      <c r="AB86" s="87">
        <f t="shared" si="34"/>
        <v>1600</v>
      </c>
      <c r="AC86" s="87">
        <f t="shared" si="34"/>
        <v>1600</v>
      </c>
      <c r="AD86" s="87">
        <f t="shared" si="34"/>
        <v>1600</v>
      </c>
      <c r="AE86" s="87">
        <f t="shared" si="34"/>
        <v>1600</v>
      </c>
      <c r="AF86" s="87">
        <f t="shared" si="34"/>
        <v>1600</v>
      </c>
      <c r="AG86" s="87">
        <f t="shared" si="34"/>
        <v>1600</v>
      </c>
      <c r="AH86" s="87">
        <f t="shared" si="34"/>
        <v>1600</v>
      </c>
      <c r="AI86" s="87">
        <f t="shared" si="34"/>
        <v>1600</v>
      </c>
      <c r="AJ86" s="87">
        <f t="shared" si="34"/>
        <v>1600</v>
      </c>
      <c r="AK86" s="87">
        <f t="shared" si="34"/>
        <v>1600</v>
      </c>
      <c r="AL86" s="87">
        <f t="shared" si="34"/>
        <v>1600</v>
      </c>
      <c r="AM86" s="87">
        <f t="shared" si="34"/>
        <v>1600</v>
      </c>
      <c r="AN86" s="87">
        <f t="shared" si="34"/>
        <v>1600</v>
      </c>
      <c r="AO86" s="87">
        <f t="shared" si="34"/>
        <v>1600</v>
      </c>
      <c r="AP86" s="87">
        <f t="shared" si="36"/>
        <v>1600</v>
      </c>
      <c r="AQ86" s="87">
        <f t="shared" si="36"/>
        <v>1600</v>
      </c>
      <c r="AR86" s="87">
        <f t="shared" si="36"/>
        <v>1600</v>
      </c>
      <c r="AS86" s="87">
        <f t="shared" si="36"/>
        <v>1600</v>
      </c>
      <c r="AT86" s="87">
        <f t="shared" si="36"/>
        <v>1600</v>
      </c>
      <c r="AU86" s="87">
        <f t="shared" si="36"/>
        <v>1600</v>
      </c>
      <c r="AV86" s="87">
        <f t="shared" si="36"/>
        <v>1600</v>
      </c>
      <c r="AW86" s="87">
        <f t="shared" si="36"/>
        <v>1600</v>
      </c>
      <c r="AX86" s="87">
        <f t="shared" si="36"/>
        <v>1600</v>
      </c>
      <c r="AY86" s="87">
        <f t="shared" si="36"/>
        <v>1600</v>
      </c>
      <c r="AZ86" s="87">
        <f t="shared" si="36"/>
        <v>1600</v>
      </c>
      <c r="BA86" s="87">
        <f t="shared" si="36"/>
        <v>1600</v>
      </c>
      <c r="BB86" s="87">
        <f t="shared" si="36"/>
        <v>1600</v>
      </c>
      <c r="BC86" s="87">
        <f t="shared" si="36"/>
        <v>1600</v>
      </c>
      <c r="BD86" s="87">
        <f t="shared" si="36"/>
        <v>1600</v>
      </c>
      <c r="BE86" s="87">
        <f t="shared" si="36"/>
        <v>1600</v>
      </c>
      <c r="BF86" s="87">
        <f t="shared" si="37"/>
        <v>1600</v>
      </c>
      <c r="BG86" s="87">
        <f t="shared" si="37"/>
        <v>1600</v>
      </c>
      <c r="BH86" s="87">
        <f t="shared" si="37"/>
        <v>1600</v>
      </c>
      <c r="BI86" s="87">
        <f t="shared" si="37"/>
        <v>1600</v>
      </c>
      <c r="BJ86" s="87">
        <f t="shared" si="37"/>
        <v>1600</v>
      </c>
      <c r="BK86" s="87">
        <f t="shared" si="37"/>
        <v>1600</v>
      </c>
      <c r="BL86" s="87">
        <f t="shared" si="37"/>
        <v>1600</v>
      </c>
      <c r="BM86" s="87">
        <f t="shared" si="37"/>
        <v>1600</v>
      </c>
    </row>
    <row r="87" spans="1:65" outlineLevel="1">
      <c r="A87" s="51"/>
      <c r="B87" s="51" t="s">
        <v>201</v>
      </c>
      <c r="C87" s="51"/>
      <c r="D87" s="3"/>
      <c r="E87" s="81">
        <f t="shared" si="25"/>
        <v>9000</v>
      </c>
      <c r="F87" s="87">
        <v>150</v>
      </c>
      <c r="G87" s="87">
        <f t="shared" si="33"/>
        <v>150</v>
      </c>
      <c r="H87" s="87">
        <f t="shared" si="33"/>
        <v>150</v>
      </c>
      <c r="I87" s="87">
        <f t="shared" si="33"/>
        <v>150</v>
      </c>
      <c r="J87" s="87">
        <f t="shared" si="33"/>
        <v>150</v>
      </c>
      <c r="K87" s="87">
        <f t="shared" si="33"/>
        <v>150</v>
      </c>
      <c r="L87" s="87">
        <f t="shared" si="33"/>
        <v>150</v>
      </c>
      <c r="M87" s="87">
        <f t="shared" si="33"/>
        <v>150</v>
      </c>
      <c r="N87" s="87">
        <f t="shared" si="31"/>
        <v>150</v>
      </c>
      <c r="O87" s="87">
        <f t="shared" si="31"/>
        <v>150</v>
      </c>
      <c r="P87" s="87">
        <f t="shared" si="31"/>
        <v>150</v>
      </c>
      <c r="Q87" s="87">
        <f t="shared" si="35"/>
        <v>150</v>
      </c>
      <c r="R87" s="87">
        <f t="shared" si="35"/>
        <v>150</v>
      </c>
      <c r="S87" s="87">
        <f t="shared" si="35"/>
        <v>150</v>
      </c>
      <c r="T87" s="87">
        <f t="shared" si="35"/>
        <v>150</v>
      </c>
      <c r="U87" s="87">
        <f t="shared" si="35"/>
        <v>150</v>
      </c>
      <c r="V87" s="87">
        <f t="shared" si="35"/>
        <v>150</v>
      </c>
      <c r="W87" s="87">
        <f t="shared" si="35"/>
        <v>150</v>
      </c>
      <c r="X87" s="87">
        <f t="shared" si="35"/>
        <v>150</v>
      </c>
      <c r="Y87" s="87">
        <f t="shared" si="35"/>
        <v>150</v>
      </c>
      <c r="Z87" s="87">
        <f t="shared" si="34"/>
        <v>150</v>
      </c>
      <c r="AA87" s="87">
        <f t="shared" si="34"/>
        <v>150</v>
      </c>
      <c r="AB87" s="87">
        <f t="shared" si="34"/>
        <v>150</v>
      </c>
      <c r="AC87" s="87">
        <f t="shared" si="34"/>
        <v>150</v>
      </c>
      <c r="AD87" s="87">
        <f t="shared" si="34"/>
        <v>150</v>
      </c>
      <c r="AE87" s="87">
        <f t="shared" si="34"/>
        <v>150</v>
      </c>
      <c r="AF87" s="87">
        <f t="shared" si="34"/>
        <v>150</v>
      </c>
      <c r="AG87" s="87">
        <f t="shared" si="34"/>
        <v>150</v>
      </c>
      <c r="AH87" s="87">
        <f t="shared" si="34"/>
        <v>150</v>
      </c>
      <c r="AI87" s="87">
        <f t="shared" si="34"/>
        <v>150</v>
      </c>
      <c r="AJ87" s="87">
        <f t="shared" si="34"/>
        <v>150</v>
      </c>
      <c r="AK87" s="87">
        <f t="shared" si="34"/>
        <v>150</v>
      </c>
      <c r="AL87" s="87">
        <f t="shared" si="34"/>
        <v>150</v>
      </c>
      <c r="AM87" s="87">
        <f t="shared" si="34"/>
        <v>150</v>
      </c>
      <c r="AN87" s="87">
        <f t="shared" si="34"/>
        <v>150</v>
      </c>
      <c r="AO87" s="87">
        <f t="shared" si="34"/>
        <v>150</v>
      </c>
      <c r="AP87" s="87">
        <f t="shared" si="36"/>
        <v>150</v>
      </c>
      <c r="AQ87" s="87">
        <f t="shared" si="36"/>
        <v>150</v>
      </c>
      <c r="AR87" s="87">
        <f t="shared" si="36"/>
        <v>150</v>
      </c>
      <c r="AS87" s="87">
        <f t="shared" si="36"/>
        <v>150</v>
      </c>
      <c r="AT87" s="87">
        <f t="shared" si="36"/>
        <v>150</v>
      </c>
      <c r="AU87" s="87">
        <f t="shared" si="36"/>
        <v>150</v>
      </c>
      <c r="AV87" s="87">
        <f t="shared" si="36"/>
        <v>150</v>
      </c>
      <c r="AW87" s="87">
        <f t="shared" si="36"/>
        <v>150</v>
      </c>
      <c r="AX87" s="87">
        <f t="shared" si="36"/>
        <v>150</v>
      </c>
      <c r="AY87" s="87">
        <f t="shared" si="36"/>
        <v>150</v>
      </c>
      <c r="AZ87" s="87">
        <f t="shared" si="36"/>
        <v>150</v>
      </c>
      <c r="BA87" s="87">
        <f t="shared" si="36"/>
        <v>150</v>
      </c>
      <c r="BB87" s="87">
        <f t="shared" si="36"/>
        <v>150</v>
      </c>
      <c r="BC87" s="87">
        <f t="shared" si="36"/>
        <v>150</v>
      </c>
      <c r="BD87" s="87">
        <f t="shared" si="36"/>
        <v>150</v>
      </c>
      <c r="BE87" s="87">
        <f t="shared" si="36"/>
        <v>150</v>
      </c>
      <c r="BF87" s="87">
        <f t="shared" si="37"/>
        <v>150</v>
      </c>
      <c r="BG87" s="87">
        <f t="shared" si="37"/>
        <v>150</v>
      </c>
      <c r="BH87" s="87">
        <f t="shared" si="37"/>
        <v>150</v>
      </c>
      <c r="BI87" s="87">
        <f t="shared" si="37"/>
        <v>150</v>
      </c>
      <c r="BJ87" s="87">
        <f t="shared" si="37"/>
        <v>150</v>
      </c>
      <c r="BK87" s="87">
        <f t="shared" si="37"/>
        <v>150</v>
      </c>
      <c r="BL87" s="87">
        <f t="shared" si="37"/>
        <v>150</v>
      </c>
      <c r="BM87" s="87">
        <f t="shared" si="37"/>
        <v>150</v>
      </c>
    </row>
    <row r="88" spans="1:65" outlineLevel="1">
      <c r="A88" s="51"/>
      <c r="B88" s="51" t="s">
        <v>202</v>
      </c>
      <c r="C88" s="51"/>
      <c r="D88" s="3"/>
      <c r="E88" s="81">
        <f t="shared" si="25"/>
        <v>12000</v>
      </c>
      <c r="F88" s="87">
        <v>200</v>
      </c>
      <c r="G88" s="87">
        <f t="shared" si="33"/>
        <v>200</v>
      </c>
      <c r="H88" s="87">
        <f t="shared" si="33"/>
        <v>200</v>
      </c>
      <c r="I88" s="87">
        <f t="shared" si="33"/>
        <v>200</v>
      </c>
      <c r="J88" s="87">
        <f t="shared" si="33"/>
        <v>200</v>
      </c>
      <c r="K88" s="87">
        <f t="shared" si="33"/>
        <v>200</v>
      </c>
      <c r="L88" s="87">
        <f t="shared" si="33"/>
        <v>200</v>
      </c>
      <c r="M88" s="87">
        <f t="shared" si="33"/>
        <v>200</v>
      </c>
      <c r="N88" s="87">
        <f t="shared" si="31"/>
        <v>200</v>
      </c>
      <c r="O88" s="87">
        <f t="shared" si="31"/>
        <v>200</v>
      </c>
      <c r="P88" s="87">
        <f t="shared" si="31"/>
        <v>200</v>
      </c>
      <c r="Q88" s="87">
        <f t="shared" si="35"/>
        <v>200</v>
      </c>
      <c r="R88" s="87">
        <f t="shared" si="35"/>
        <v>200</v>
      </c>
      <c r="S88" s="87">
        <f t="shared" si="35"/>
        <v>200</v>
      </c>
      <c r="T88" s="87">
        <f t="shared" si="35"/>
        <v>200</v>
      </c>
      <c r="U88" s="87">
        <f t="shared" si="35"/>
        <v>200</v>
      </c>
      <c r="V88" s="87">
        <f t="shared" si="35"/>
        <v>200</v>
      </c>
      <c r="W88" s="87">
        <f t="shared" si="35"/>
        <v>200</v>
      </c>
      <c r="X88" s="87">
        <f t="shared" si="35"/>
        <v>200</v>
      </c>
      <c r="Y88" s="87">
        <f t="shared" si="35"/>
        <v>200</v>
      </c>
      <c r="Z88" s="87">
        <f t="shared" si="34"/>
        <v>200</v>
      </c>
      <c r="AA88" s="87">
        <f t="shared" si="34"/>
        <v>200</v>
      </c>
      <c r="AB88" s="87">
        <f t="shared" si="34"/>
        <v>200</v>
      </c>
      <c r="AC88" s="87">
        <f t="shared" si="34"/>
        <v>200</v>
      </c>
      <c r="AD88" s="87">
        <f t="shared" si="34"/>
        <v>200</v>
      </c>
      <c r="AE88" s="87">
        <f t="shared" si="34"/>
        <v>200</v>
      </c>
      <c r="AF88" s="87">
        <f t="shared" si="34"/>
        <v>200</v>
      </c>
      <c r="AG88" s="87">
        <f t="shared" si="34"/>
        <v>200</v>
      </c>
      <c r="AH88" s="87">
        <f t="shared" si="34"/>
        <v>200</v>
      </c>
      <c r="AI88" s="87">
        <f t="shared" si="34"/>
        <v>200</v>
      </c>
      <c r="AJ88" s="87">
        <f t="shared" si="34"/>
        <v>200</v>
      </c>
      <c r="AK88" s="87">
        <f t="shared" si="34"/>
        <v>200</v>
      </c>
      <c r="AL88" s="87">
        <f t="shared" si="34"/>
        <v>200</v>
      </c>
      <c r="AM88" s="87">
        <f t="shared" si="34"/>
        <v>200</v>
      </c>
      <c r="AN88" s="87">
        <f t="shared" si="34"/>
        <v>200</v>
      </c>
      <c r="AO88" s="87">
        <f t="shared" si="34"/>
        <v>200</v>
      </c>
      <c r="AP88" s="87">
        <f t="shared" si="36"/>
        <v>200</v>
      </c>
      <c r="AQ88" s="87">
        <f t="shared" si="36"/>
        <v>200</v>
      </c>
      <c r="AR88" s="87">
        <f t="shared" si="36"/>
        <v>200</v>
      </c>
      <c r="AS88" s="87">
        <f t="shared" si="36"/>
        <v>200</v>
      </c>
      <c r="AT88" s="87">
        <f t="shared" si="36"/>
        <v>200</v>
      </c>
      <c r="AU88" s="87">
        <f t="shared" si="36"/>
        <v>200</v>
      </c>
      <c r="AV88" s="87">
        <f t="shared" si="36"/>
        <v>200</v>
      </c>
      <c r="AW88" s="87">
        <f t="shared" si="36"/>
        <v>200</v>
      </c>
      <c r="AX88" s="87">
        <f t="shared" si="36"/>
        <v>200</v>
      </c>
      <c r="AY88" s="87">
        <f t="shared" si="36"/>
        <v>200</v>
      </c>
      <c r="AZ88" s="87">
        <f t="shared" si="36"/>
        <v>200</v>
      </c>
      <c r="BA88" s="87">
        <f t="shared" si="36"/>
        <v>200</v>
      </c>
      <c r="BB88" s="87">
        <f t="shared" si="36"/>
        <v>200</v>
      </c>
      <c r="BC88" s="87">
        <f t="shared" si="36"/>
        <v>200</v>
      </c>
      <c r="BD88" s="87">
        <f t="shared" si="36"/>
        <v>200</v>
      </c>
      <c r="BE88" s="87">
        <f t="shared" si="36"/>
        <v>200</v>
      </c>
      <c r="BF88" s="87">
        <f t="shared" si="37"/>
        <v>200</v>
      </c>
      <c r="BG88" s="87">
        <f t="shared" si="37"/>
        <v>200</v>
      </c>
      <c r="BH88" s="87">
        <f t="shared" si="37"/>
        <v>200</v>
      </c>
      <c r="BI88" s="87">
        <f t="shared" si="37"/>
        <v>200</v>
      </c>
      <c r="BJ88" s="87">
        <f t="shared" si="37"/>
        <v>200</v>
      </c>
      <c r="BK88" s="87">
        <f t="shared" si="37"/>
        <v>200</v>
      </c>
      <c r="BL88" s="87">
        <f t="shared" si="37"/>
        <v>200</v>
      </c>
      <c r="BM88" s="87">
        <f t="shared" si="37"/>
        <v>200</v>
      </c>
    </row>
    <row r="89" spans="1:65" outlineLevel="1">
      <c r="A89" s="51"/>
      <c r="B89" s="51" t="s">
        <v>203</v>
      </c>
      <c r="C89" s="51"/>
      <c r="D89" s="3"/>
      <c r="E89" s="81">
        <f t="shared" si="25"/>
        <v>24000</v>
      </c>
      <c r="F89" s="87">
        <v>400</v>
      </c>
      <c r="G89" s="87">
        <f t="shared" si="33"/>
        <v>400</v>
      </c>
      <c r="H89" s="87">
        <f t="shared" si="33"/>
        <v>400</v>
      </c>
      <c r="I89" s="87">
        <f t="shared" si="33"/>
        <v>400</v>
      </c>
      <c r="J89" s="87">
        <f t="shared" si="33"/>
        <v>400</v>
      </c>
      <c r="K89" s="87">
        <f t="shared" si="33"/>
        <v>400</v>
      </c>
      <c r="L89" s="87">
        <f t="shared" si="33"/>
        <v>400</v>
      </c>
      <c r="M89" s="87">
        <f t="shared" si="33"/>
        <v>400</v>
      </c>
      <c r="N89" s="87">
        <f t="shared" si="31"/>
        <v>400</v>
      </c>
      <c r="O89" s="87">
        <f t="shared" si="31"/>
        <v>400</v>
      </c>
      <c r="P89" s="87">
        <f t="shared" si="31"/>
        <v>400</v>
      </c>
      <c r="Q89" s="87">
        <f t="shared" si="35"/>
        <v>400</v>
      </c>
      <c r="R89" s="87">
        <f t="shared" si="35"/>
        <v>400</v>
      </c>
      <c r="S89" s="87">
        <f t="shared" si="35"/>
        <v>400</v>
      </c>
      <c r="T89" s="87">
        <f t="shared" si="35"/>
        <v>400</v>
      </c>
      <c r="U89" s="87">
        <f t="shared" si="35"/>
        <v>400</v>
      </c>
      <c r="V89" s="87">
        <f t="shared" si="35"/>
        <v>400</v>
      </c>
      <c r="W89" s="87">
        <f t="shared" si="35"/>
        <v>400</v>
      </c>
      <c r="X89" s="87">
        <f t="shared" si="35"/>
        <v>400</v>
      </c>
      <c r="Y89" s="87">
        <f t="shared" si="35"/>
        <v>400</v>
      </c>
      <c r="Z89" s="87">
        <f t="shared" si="34"/>
        <v>400</v>
      </c>
      <c r="AA89" s="87">
        <f t="shared" si="34"/>
        <v>400</v>
      </c>
      <c r="AB89" s="87">
        <f t="shared" si="34"/>
        <v>400</v>
      </c>
      <c r="AC89" s="87">
        <f t="shared" si="34"/>
        <v>400</v>
      </c>
      <c r="AD89" s="87">
        <f t="shared" si="34"/>
        <v>400</v>
      </c>
      <c r="AE89" s="87">
        <f t="shared" si="34"/>
        <v>400</v>
      </c>
      <c r="AF89" s="87">
        <f t="shared" si="34"/>
        <v>400</v>
      </c>
      <c r="AG89" s="87">
        <f t="shared" si="34"/>
        <v>400</v>
      </c>
      <c r="AH89" s="87">
        <f t="shared" si="34"/>
        <v>400</v>
      </c>
      <c r="AI89" s="87">
        <f t="shared" si="34"/>
        <v>400</v>
      </c>
      <c r="AJ89" s="87">
        <f t="shared" si="34"/>
        <v>400</v>
      </c>
      <c r="AK89" s="87">
        <f t="shared" si="34"/>
        <v>400</v>
      </c>
      <c r="AL89" s="87">
        <f t="shared" si="34"/>
        <v>400</v>
      </c>
      <c r="AM89" s="87">
        <f t="shared" si="34"/>
        <v>400</v>
      </c>
      <c r="AN89" s="87">
        <f t="shared" si="34"/>
        <v>400</v>
      </c>
      <c r="AO89" s="87">
        <f t="shared" si="34"/>
        <v>400</v>
      </c>
      <c r="AP89" s="87">
        <f t="shared" si="36"/>
        <v>400</v>
      </c>
      <c r="AQ89" s="87">
        <f t="shared" si="36"/>
        <v>400</v>
      </c>
      <c r="AR89" s="87">
        <f t="shared" si="36"/>
        <v>400</v>
      </c>
      <c r="AS89" s="87">
        <f t="shared" si="36"/>
        <v>400</v>
      </c>
      <c r="AT89" s="87">
        <f t="shared" si="36"/>
        <v>400</v>
      </c>
      <c r="AU89" s="87">
        <f t="shared" si="36"/>
        <v>400</v>
      </c>
      <c r="AV89" s="87">
        <f t="shared" si="36"/>
        <v>400</v>
      </c>
      <c r="AW89" s="87">
        <f t="shared" si="36"/>
        <v>400</v>
      </c>
      <c r="AX89" s="87">
        <f t="shared" si="36"/>
        <v>400</v>
      </c>
      <c r="AY89" s="87">
        <f t="shared" si="36"/>
        <v>400</v>
      </c>
      <c r="AZ89" s="87">
        <f t="shared" si="36"/>
        <v>400</v>
      </c>
      <c r="BA89" s="87">
        <f t="shared" si="36"/>
        <v>400</v>
      </c>
      <c r="BB89" s="87">
        <f t="shared" si="36"/>
        <v>400</v>
      </c>
      <c r="BC89" s="87">
        <f t="shared" si="36"/>
        <v>400</v>
      </c>
      <c r="BD89" s="87">
        <f t="shared" si="36"/>
        <v>400</v>
      </c>
      <c r="BE89" s="87">
        <f t="shared" si="36"/>
        <v>400</v>
      </c>
      <c r="BF89" s="87">
        <f t="shared" si="37"/>
        <v>400</v>
      </c>
      <c r="BG89" s="87">
        <f t="shared" si="37"/>
        <v>400</v>
      </c>
      <c r="BH89" s="87">
        <f t="shared" si="37"/>
        <v>400</v>
      </c>
      <c r="BI89" s="87">
        <f t="shared" si="37"/>
        <v>400</v>
      </c>
      <c r="BJ89" s="87">
        <f t="shared" si="37"/>
        <v>400</v>
      </c>
      <c r="BK89" s="87">
        <f t="shared" si="37"/>
        <v>400</v>
      </c>
      <c r="BL89" s="87">
        <f t="shared" si="37"/>
        <v>400</v>
      </c>
      <c r="BM89" s="87">
        <f t="shared" si="37"/>
        <v>400</v>
      </c>
    </row>
    <row r="90" spans="1:65" outlineLevel="1">
      <c r="A90" s="51"/>
      <c r="B90" s="51" t="s">
        <v>204</v>
      </c>
      <c r="C90" s="51"/>
      <c r="D90" s="3"/>
      <c r="E90" s="81">
        <f t="shared" si="25"/>
        <v>68700</v>
      </c>
      <c r="F90" s="87">
        <v>1145</v>
      </c>
      <c r="G90" s="87">
        <f t="shared" si="33"/>
        <v>1145</v>
      </c>
      <c r="H90" s="87">
        <f t="shared" si="33"/>
        <v>1145</v>
      </c>
      <c r="I90" s="87">
        <f t="shared" si="33"/>
        <v>1145</v>
      </c>
      <c r="J90" s="87">
        <f t="shared" si="33"/>
        <v>1145</v>
      </c>
      <c r="K90" s="87">
        <f t="shared" si="33"/>
        <v>1145</v>
      </c>
      <c r="L90" s="87">
        <f t="shared" si="33"/>
        <v>1145</v>
      </c>
      <c r="M90" s="87">
        <f t="shared" si="33"/>
        <v>1145</v>
      </c>
      <c r="N90" s="87">
        <f t="shared" si="31"/>
        <v>1145</v>
      </c>
      <c r="O90" s="87">
        <f t="shared" si="31"/>
        <v>1145</v>
      </c>
      <c r="P90" s="87">
        <f t="shared" si="31"/>
        <v>1145</v>
      </c>
      <c r="Q90" s="87">
        <f t="shared" si="31"/>
        <v>1145</v>
      </c>
      <c r="R90" s="87">
        <f t="shared" si="31"/>
        <v>1145</v>
      </c>
      <c r="S90" s="87">
        <f t="shared" si="31"/>
        <v>1145</v>
      </c>
      <c r="T90" s="87">
        <f t="shared" si="31"/>
        <v>1145</v>
      </c>
      <c r="U90" s="87">
        <f t="shared" si="31"/>
        <v>1145</v>
      </c>
      <c r="V90" s="87">
        <f t="shared" si="31"/>
        <v>1145</v>
      </c>
      <c r="W90" s="87">
        <f t="shared" si="35"/>
        <v>1145</v>
      </c>
      <c r="X90" s="87">
        <f t="shared" si="35"/>
        <v>1145</v>
      </c>
      <c r="Y90" s="87">
        <f t="shared" si="35"/>
        <v>1145</v>
      </c>
      <c r="Z90" s="87">
        <f t="shared" si="34"/>
        <v>1145</v>
      </c>
      <c r="AA90" s="87">
        <f t="shared" si="34"/>
        <v>1145</v>
      </c>
      <c r="AB90" s="87">
        <f t="shared" si="34"/>
        <v>1145</v>
      </c>
      <c r="AC90" s="87">
        <f t="shared" si="34"/>
        <v>1145</v>
      </c>
      <c r="AD90" s="87">
        <f t="shared" si="34"/>
        <v>1145</v>
      </c>
      <c r="AE90" s="87">
        <f t="shared" si="34"/>
        <v>1145</v>
      </c>
      <c r="AF90" s="87">
        <f t="shared" si="34"/>
        <v>1145</v>
      </c>
      <c r="AG90" s="87">
        <f t="shared" si="34"/>
        <v>1145</v>
      </c>
      <c r="AH90" s="87">
        <f t="shared" si="34"/>
        <v>1145</v>
      </c>
      <c r="AI90" s="87">
        <f t="shared" si="34"/>
        <v>1145</v>
      </c>
      <c r="AJ90" s="87">
        <f t="shared" si="34"/>
        <v>1145</v>
      </c>
      <c r="AK90" s="87">
        <f t="shared" si="34"/>
        <v>1145</v>
      </c>
      <c r="AL90" s="87">
        <f t="shared" si="34"/>
        <v>1145</v>
      </c>
      <c r="AM90" s="87">
        <f t="shared" si="34"/>
        <v>1145</v>
      </c>
      <c r="AN90" s="87">
        <f t="shared" si="34"/>
        <v>1145</v>
      </c>
      <c r="AO90" s="87">
        <f t="shared" si="34"/>
        <v>1145</v>
      </c>
      <c r="AP90" s="87">
        <f t="shared" si="36"/>
        <v>1145</v>
      </c>
      <c r="AQ90" s="87">
        <f t="shared" si="36"/>
        <v>1145</v>
      </c>
      <c r="AR90" s="87">
        <f t="shared" si="36"/>
        <v>1145</v>
      </c>
      <c r="AS90" s="87">
        <f t="shared" si="36"/>
        <v>1145</v>
      </c>
      <c r="AT90" s="87">
        <f t="shared" si="36"/>
        <v>1145</v>
      </c>
      <c r="AU90" s="87">
        <f t="shared" si="36"/>
        <v>1145</v>
      </c>
      <c r="AV90" s="87">
        <f t="shared" si="36"/>
        <v>1145</v>
      </c>
      <c r="AW90" s="87">
        <f t="shared" si="36"/>
        <v>1145</v>
      </c>
      <c r="AX90" s="87">
        <f t="shared" si="36"/>
        <v>1145</v>
      </c>
      <c r="AY90" s="87">
        <f t="shared" si="36"/>
        <v>1145</v>
      </c>
      <c r="AZ90" s="87">
        <f t="shared" si="36"/>
        <v>1145</v>
      </c>
      <c r="BA90" s="87">
        <f t="shared" si="36"/>
        <v>1145</v>
      </c>
      <c r="BB90" s="87">
        <f t="shared" si="36"/>
        <v>1145</v>
      </c>
      <c r="BC90" s="87">
        <f t="shared" si="36"/>
        <v>1145</v>
      </c>
      <c r="BD90" s="87">
        <f t="shared" si="36"/>
        <v>1145</v>
      </c>
      <c r="BE90" s="87">
        <f t="shared" si="36"/>
        <v>1145</v>
      </c>
      <c r="BF90" s="87">
        <f t="shared" si="37"/>
        <v>1145</v>
      </c>
      <c r="BG90" s="87">
        <f t="shared" si="37"/>
        <v>1145</v>
      </c>
      <c r="BH90" s="87">
        <f t="shared" si="37"/>
        <v>1145</v>
      </c>
      <c r="BI90" s="87">
        <f t="shared" si="37"/>
        <v>1145</v>
      </c>
      <c r="BJ90" s="87">
        <f t="shared" si="37"/>
        <v>1145</v>
      </c>
      <c r="BK90" s="87">
        <f t="shared" si="37"/>
        <v>1145</v>
      </c>
      <c r="BL90" s="87">
        <f t="shared" si="37"/>
        <v>1145</v>
      </c>
      <c r="BM90" s="87">
        <f t="shared" si="37"/>
        <v>1145</v>
      </c>
    </row>
    <row r="91" spans="1:65" outlineLevel="1">
      <c r="A91" s="51"/>
      <c r="B91" s="51" t="s">
        <v>205</v>
      </c>
      <c r="C91" s="51"/>
      <c r="D91" s="3"/>
      <c r="E91" s="81">
        <f t="shared" si="25"/>
        <v>108000</v>
      </c>
      <c r="F91" s="87">
        <v>1800</v>
      </c>
      <c r="G91" s="87">
        <f t="shared" si="33"/>
        <v>1800</v>
      </c>
      <c r="H91" s="87">
        <f t="shared" si="33"/>
        <v>1800</v>
      </c>
      <c r="I91" s="87">
        <f t="shared" si="33"/>
        <v>1800</v>
      </c>
      <c r="J91" s="87">
        <f t="shared" si="33"/>
        <v>1800</v>
      </c>
      <c r="K91" s="87">
        <f t="shared" si="33"/>
        <v>1800</v>
      </c>
      <c r="L91" s="87">
        <f t="shared" si="33"/>
        <v>1800</v>
      </c>
      <c r="M91" s="87">
        <f t="shared" si="33"/>
        <v>1800</v>
      </c>
      <c r="N91" s="87">
        <f t="shared" si="31"/>
        <v>1800</v>
      </c>
      <c r="O91" s="87">
        <f t="shared" si="31"/>
        <v>1800</v>
      </c>
      <c r="P91" s="87">
        <f t="shared" si="31"/>
        <v>1800</v>
      </c>
      <c r="Q91" s="87">
        <f t="shared" si="31"/>
        <v>1800</v>
      </c>
      <c r="R91" s="87">
        <f t="shared" si="31"/>
        <v>1800</v>
      </c>
      <c r="S91" s="87">
        <f t="shared" si="31"/>
        <v>1800</v>
      </c>
      <c r="T91" s="87">
        <f t="shared" si="31"/>
        <v>1800</v>
      </c>
      <c r="U91" s="87">
        <f t="shared" si="31"/>
        <v>1800</v>
      </c>
      <c r="V91" s="87">
        <f t="shared" si="31"/>
        <v>1800</v>
      </c>
      <c r="W91" s="87">
        <f t="shared" si="35"/>
        <v>1800</v>
      </c>
      <c r="X91" s="87">
        <f t="shared" si="35"/>
        <v>1800</v>
      </c>
      <c r="Y91" s="87">
        <f t="shared" si="35"/>
        <v>1800</v>
      </c>
      <c r="Z91" s="87">
        <f t="shared" si="34"/>
        <v>1800</v>
      </c>
      <c r="AA91" s="87">
        <f t="shared" si="34"/>
        <v>1800</v>
      </c>
      <c r="AB91" s="87">
        <f t="shared" si="34"/>
        <v>1800</v>
      </c>
      <c r="AC91" s="87">
        <f t="shared" si="34"/>
        <v>1800</v>
      </c>
      <c r="AD91" s="87">
        <f t="shared" si="34"/>
        <v>1800</v>
      </c>
      <c r="AE91" s="87">
        <f t="shared" si="34"/>
        <v>1800</v>
      </c>
      <c r="AF91" s="87">
        <f t="shared" si="34"/>
        <v>1800</v>
      </c>
      <c r="AG91" s="87">
        <f t="shared" si="34"/>
        <v>1800</v>
      </c>
      <c r="AH91" s="87">
        <f t="shared" si="34"/>
        <v>1800</v>
      </c>
      <c r="AI91" s="87">
        <f t="shared" si="34"/>
        <v>1800</v>
      </c>
      <c r="AJ91" s="87">
        <f t="shared" si="34"/>
        <v>1800</v>
      </c>
      <c r="AK91" s="87">
        <f t="shared" si="34"/>
        <v>1800</v>
      </c>
      <c r="AL91" s="87">
        <f t="shared" si="34"/>
        <v>1800</v>
      </c>
      <c r="AM91" s="87">
        <f t="shared" si="34"/>
        <v>1800</v>
      </c>
      <c r="AN91" s="87">
        <f t="shared" si="34"/>
        <v>1800</v>
      </c>
      <c r="AO91" s="87">
        <f t="shared" si="34"/>
        <v>1800</v>
      </c>
      <c r="AP91" s="87">
        <f t="shared" si="36"/>
        <v>1800</v>
      </c>
      <c r="AQ91" s="87">
        <f t="shared" si="36"/>
        <v>1800</v>
      </c>
      <c r="AR91" s="87">
        <f t="shared" si="36"/>
        <v>1800</v>
      </c>
      <c r="AS91" s="87">
        <f t="shared" si="36"/>
        <v>1800</v>
      </c>
      <c r="AT91" s="87">
        <f t="shared" si="36"/>
        <v>1800</v>
      </c>
      <c r="AU91" s="87">
        <f t="shared" si="36"/>
        <v>1800</v>
      </c>
      <c r="AV91" s="87">
        <f t="shared" si="36"/>
        <v>1800</v>
      </c>
      <c r="AW91" s="87">
        <f t="shared" si="36"/>
        <v>1800</v>
      </c>
      <c r="AX91" s="87">
        <f t="shared" si="36"/>
        <v>1800</v>
      </c>
      <c r="AY91" s="87">
        <f t="shared" si="36"/>
        <v>1800</v>
      </c>
      <c r="AZ91" s="87">
        <f t="shared" si="36"/>
        <v>1800</v>
      </c>
      <c r="BA91" s="87">
        <f t="shared" si="36"/>
        <v>1800</v>
      </c>
      <c r="BB91" s="87">
        <f t="shared" si="36"/>
        <v>1800</v>
      </c>
      <c r="BC91" s="87">
        <f t="shared" si="36"/>
        <v>1800</v>
      </c>
      <c r="BD91" s="87">
        <f t="shared" si="36"/>
        <v>1800</v>
      </c>
      <c r="BE91" s="87">
        <f t="shared" si="36"/>
        <v>1800</v>
      </c>
      <c r="BF91" s="87">
        <f t="shared" si="37"/>
        <v>1800</v>
      </c>
      <c r="BG91" s="87">
        <f t="shared" si="37"/>
        <v>1800</v>
      </c>
      <c r="BH91" s="87">
        <f t="shared" si="37"/>
        <v>1800</v>
      </c>
      <c r="BI91" s="87">
        <f t="shared" si="37"/>
        <v>1800</v>
      </c>
      <c r="BJ91" s="87">
        <f t="shared" si="37"/>
        <v>1800</v>
      </c>
      <c r="BK91" s="87">
        <f t="shared" si="37"/>
        <v>1800</v>
      </c>
      <c r="BL91" s="87">
        <f t="shared" si="37"/>
        <v>1800</v>
      </c>
      <c r="BM91" s="87">
        <f t="shared" si="37"/>
        <v>1800</v>
      </c>
    </row>
    <row r="92" spans="1:65">
      <c r="A92" s="51"/>
      <c r="B92" s="51" t="s">
        <v>206</v>
      </c>
      <c r="C92" s="51" t="s">
        <v>136</v>
      </c>
      <c r="D92" s="3"/>
      <c r="E92" s="85">
        <f t="shared" si="25"/>
        <v>3083600</v>
      </c>
      <c r="F92" s="86">
        <f t="shared" ref="F92:BM92" si="38">SUM(F67:F91)</f>
        <v>35880</v>
      </c>
      <c r="G92" s="86">
        <f t="shared" si="38"/>
        <v>143880</v>
      </c>
      <c r="H92" s="86">
        <f t="shared" si="38"/>
        <v>43880</v>
      </c>
      <c r="I92" s="86">
        <f t="shared" si="38"/>
        <v>43880</v>
      </c>
      <c r="J92" s="86">
        <f t="shared" si="38"/>
        <v>43880</v>
      </c>
      <c r="K92" s="86">
        <f t="shared" si="38"/>
        <v>143880</v>
      </c>
      <c r="L92" s="86">
        <f t="shared" si="38"/>
        <v>43880</v>
      </c>
      <c r="M92" s="86">
        <f t="shared" si="38"/>
        <v>45480</v>
      </c>
      <c r="N92" s="86">
        <f t="shared" si="38"/>
        <v>117480</v>
      </c>
      <c r="O92" s="86">
        <f t="shared" si="38"/>
        <v>47480</v>
      </c>
      <c r="P92" s="86">
        <f t="shared" si="38"/>
        <v>47480</v>
      </c>
      <c r="Q92" s="86">
        <f t="shared" si="38"/>
        <v>47480</v>
      </c>
      <c r="R92" s="86">
        <f t="shared" si="38"/>
        <v>47480</v>
      </c>
      <c r="S92" s="86">
        <f t="shared" si="38"/>
        <v>47480</v>
      </c>
      <c r="T92" s="86">
        <f t="shared" si="38"/>
        <v>47480</v>
      </c>
      <c r="U92" s="86">
        <f t="shared" si="38"/>
        <v>47480</v>
      </c>
      <c r="V92" s="86">
        <f t="shared" si="38"/>
        <v>47480</v>
      </c>
      <c r="W92" s="86">
        <f t="shared" si="38"/>
        <v>47480</v>
      </c>
      <c r="X92" s="86">
        <f t="shared" si="38"/>
        <v>47480</v>
      </c>
      <c r="Y92" s="86">
        <f t="shared" si="38"/>
        <v>47480</v>
      </c>
      <c r="Z92" s="86">
        <f t="shared" si="38"/>
        <v>47480</v>
      </c>
      <c r="AA92" s="86">
        <f t="shared" si="38"/>
        <v>47480</v>
      </c>
      <c r="AB92" s="86">
        <f t="shared" si="38"/>
        <v>47480</v>
      </c>
      <c r="AC92" s="86">
        <f t="shared" si="38"/>
        <v>47480</v>
      </c>
      <c r="AD92" s="86">
        <f t="shared" si="38"/>
        <v>47480</v>
      </c>
      <c r="AE92" s="86">
        <f t="shared" si="38"/>
        <v>47480</v>
      </c>
      <c r="AF92" s="86">
        <f t="shared" si="38"/>
        <v>47480</v>
      </c>
      <c r="AG92" s="86">
        <f t="shared" si="38"/>
        <v>47480</v>
      </c>
      <c r="AH92" s="86">
        <f t="shared" si="38"/>
        <v>47480</v>
      </c>
      <c r="AI92" s="86">
        <f t="shared" si="38"/>
        <v>47480</v>
      </c>
      <c r="AJ92" s="86">
        <f t="shared" si="38"/>
        <v>47480</v>
      </c>
      <c r="AK92" s="86">
        <f t="shared" si="38"/>
        <v>47480</v>
      </c>
      <c r="AL92" s="86">
        <f t="shared" si="38"/>
        <v>47480</v>
      </c>
      <c r="AM92" s="86">
        <f t="shared" si="38"/>
        <v>47480</v>
      </c>
      <c r="AN92" s="86">
        <f t="shared" si="38"/>
        <v>47480</v>
      </c>
      <c r="AO92" s="86">
        <f t="shared" si="38"/>
        <v>47480</v>
      </c>
      <c r="AP92" s="86">
        <f t="shared" si="38"/>
        <v>47480</v>
      </c>
      <c r="AQ92" s="86">
        <f t="shared" si="38"/>
        <v>47480</v>
      </c>
      <c r="AR92" s="86">
        <f t="shared" si="38"/>
        <v>47480</v>
      </c>
      <c r="AS92" s="86">
        <f t="shared" si="38"/>
        <v>47480</v>
      </c>
      <c r="AT92" s="86">
        <f t="shared" si="38"/>
        <v>47480</v>
      </c>
      <c r="AU92" s="86">
        <f t="shared" si="38"/>
        <v>47480</v>
      </c>
      <c r="AV92" s="86">
        <f t="shared" si="38"/>
        <v>47480</v>
      </c>
      <c r="AW92" s="86">
        <f t="shared" si="38"/>
        <v>47480</v>
      </c>
      <c r="AX92" s="86">
        <f t="shared" si="38"/>
        <v>47480</v>
      </c>
      <c r="AY92" s="86">
        <f t="shared" si="38"/>
        <v>47480</v>
      </c>
      <c r="AZ92" s="86">
        <f t="shared" si="38"/>
        <v>47480</v>
      </c>
      <c r="BA92" s="86">
        <f t="shared" si="38"/>
        <v>47480</v>
      </c>
      <c r="BB92" s="86">
        <f t="shared" si="38"/>
        <v>47480</v>
      </c>
      <c r="BC92" s="86">
        <f t="shared" si="38"/>
        <v>47480</v>
      </c>
      <c r="BD92" s="86">
        <f t="shared" si="38"/>
        <v>47480</v>
      </c>
      <c r="BE92" s="86">
        <f t="shared" si="38"/>
        <v>47480</v>
      </c>
      <c r="BF92" s="86">
        <f t="shared" si="38"/>
        <v>47480</v>
      </c>
      <c r="BG92" s="86">
        <f t="shared" si="38"/>
        <v>47480</v>
      </c>
      <c r="BH92" s="86">
        <f t="shared" si="38"/>
        <v>47480</v>
      </c>
      <c r="BI92" s="86">
        <f t="shared" si="38"/>
        <v>47480</v>
      </c>
      <c r="BJ92" s="86">
        <f t="shared" si="38"/>
        <v>47480</v>
      </c>
      <c r="BK92" s="86">
        <f t="shared" si="38"/>
        <v>47480</v>
      </c>
      <c r="BL92" s="86">
        <f t="shared" si="38"/>
        <v>47480</v>
      </c>
      <c r="BM92" s="86">
        <f t="shared" si="38"/>
        <v>47480</v>
      </c>
    </row>
    <row r="93" spans="1:65">
      <c r="A93" s="51"/>
      <c r="B93" s="51"/>
      <c r="C93" s="51"/>
      <c r="D93" s="3"/>
      <c r="E93" s="81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7"/>
      <c r="AR93" s="87"/>
      <c r="AS93" s="87"/>
      <c r="AT93" s="87"/>
      <c r="AU93" s="87"/>
      <c r="AV93" s="87"/>
      <c r="AW93" s="87"/>
      <c r="AX93" s="87"/>
      <c r="AY93" s="87"/>
      <c r="AZ93" s="87"/>
      <c r="BA93" s="87"/>
      <c r="BB93" s="87"/>
      <c r="BC93" s="87"/>
      <c r="BD93" s="87"/>
      <c r="BE93" s="87"/>
      <c r="BF93" s="87"/>
      <c r="BG93" s="87"/>
      <c r="BH93" s="87"/>
      <c r="BI93" s="87"/>
      <c r="BJ93" s="87"/>
      <c r="BK93" s="87"/>
      <c r="BL93" s="87"/>
      <c r="BM93" s="87"/>
    </row>
    <row r="94" spans="1:65">
      <c r="A94" s="3" t="s">
        <v>207</v>
      </c>
      <c r="B94" s="51"/>
      <c r="C94" s="51"/>
      <c r="D94" s="51"/>
      <c r="E94" s="54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66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</row>
    <row r="95" spans="1:65" outlineLevel="1">
      <c r="A95" s="51"/>
      <c r="B95" t="s">
        <v>208</v>
      </c>
      <c r="C95" s="51"/>
      <c r="D95" s="51"/>
      <c r="E95" s="54">
        <f t="shared" ref="E95:E98" si="39">SUM(F95:BM95)</f>
        <v>309000</v>
      </c>
      <c r="F95" s="88">
        <v>13000</v>
      </c>
      <c r="G95" s="88">
        <f>F95</f>
        <v>13000</v>
      </c>
      <c r="H95" s="88">
        <f t="shared" ref="H95:N96" si="40">G95</f>
        <v>13000</v>
      </c>
      <c r="I95" s="88">
        <f t="shared" si="40"/>
        <v>13000</v>
      </c>
      <c r="J95" s="88">
        <f t="shared" si="40"/>
        <v>13000</v>
      </c>
      <c r="K95" s="88">
        <f t="shared" si="40"/>
        <v>13000</v>
      </c>
      <c r="L95" s="88">
        <f t="shared" si="40"/>
        <v>13000</v>
      </c>
      <c r="M95" s="88">
        <f t="shared" si="40"/>
        <v>13000</v>
      </c>
      <c r="N95" s="88">
        <f t="shared" si="40"/>
        <v>13000</v>
      </c>
      <c r="O95" s="89">
        <v>6000</v>
      </c>
      <c r="P95" s="89">
        <v>6000</v>
      </c>
      <c r="Q95" s="89">
        <v>6000</v>
      </c>
      <c r="R95" s="89">
        <v>6000</v>
      </c>
      <c r="S95" s="89">
        <v>6000</v>
      </c>
      <c r="T95" s="89">
        <v>6000</v>
      </c>
      <c r="U95" s="89">
        <v>6000</v>
      </c>
      <c r="V95" s="89">
        <v>6000</v>
      </c>
      <c r="W95" s="89">
        <v>6000</v>
      </c>
      <c r="X95" s="89">
        <v>6000</v>
      </c>
      <c r="Y95" s="89">
        <v>6000</v>
      </c>
      <c r="Z95" s="89">
        <v>6000</v>
      </c>
      <c r="AA95" s="89">
        <v>6000</v>
      </c>
      <c r="AB95" s="89">
        <v>6000</v>
      </c>
      <c r="AC95" s="89">
        <v>6000</v>
      </c>
      <c r="AD95" s="89">
        <v>6000</v>
      </c>
      <c r="AE95" s="89">
        <v>6000</v>
      </c>
      <c r="AF95" s="89">
        <v>6000</v>
      </c>
      <c r="AG95" s="89">
        <v>6000</v>
      </c>
      <c r="AH95" s="89">
        <v>6000</v>
      </c>
      <c r="AI95" s="89">
        <v>6000</v>
      </c>
      <c r="AJ95" s="89">
        <v>6000</v>
      </c>
      <c r="AK95" s="89">
        <v>6000</v>
      </c>
      <c r="AL95" s="89">
        <v>6000</v>
      </c>
      <c r="AM95" s="89">
        <v>6000</v>
      </c>
      <c r="AN95" s="89">
        <v>6000</v>
      </c>
      <c r="AO95" s="89">
        <v>6000</v>
      </c>
      <c r="AP95" s="89">
        <v>6000</v>
      </c>
      <c r="AQ95" s="89">
        <v>6000</v>
      </c>
      <c r="AR95" s="89">
        <v>6000</v>
      </c>
      <c r="AS95" s="89">
        <v>6000</v>
      </c>
      <c r="AT95" s="89">
        <v>6000</v>
      </c>
      <c r="AU95" s="89"/>
      <c r="AV95" s="89"/>
      <c r="AW95" s="89"/>
      <c r="AX95" s="89"/>
      <c r="AY95" s="89"/>
      <c r="AZ95" s="89"/>
      <c r="BA95" s="89"/>
      <c r="BB95" s="89"/>
      <c r="BC95" s="89"/>
      <c r="BD95" s="89"/>
      <c r="BE95" s="89"/>
      <c r="BF95" s="89"/>
      <c r="BG95" s="89"/>
      <c r="BH95" s="89"/>
      <c r="BI95" s="89"/>
      <c r="BJ95" s="89"/>
      <c r="BK95" s="89"/>
      <c r="BL95" s="89"/>
      <c r="BM95" s="89"/>
    </row>
    <row r="96" spans="1:65" outlineLevel="1">
      <c r="A96" s="51"/>
      <c r="B96" t="s">
        <v>209</v>
      </c>
      <c r="C96" s="51"/>
      <c r="D96" s="51"/>
      <c r="E96" s="54">
        <f t="shared" si="39"/>
        <v>492000</v>
      </c>
      <c r="F96" s="88">
        <v>12000</v>
      </c>
      <c r="G96" s="88">
        <f>F96</f>
        <v>12000</v>
      </c>
      <c r="H96" s="88">
        <f t="shared" si="40"/>
        <v>12000</v>
      </c>
      <c r="I96" s="88">
        <f t="shared" si="40"/>
        <v>12000</v>
      </c>
      <c r="J96" s="88">
        <f t="shared" si="40"/>
        <v>12000</v>
      </c>
      <c r="K96" s="88">
        <f t="shared" si="40"/>
        <v>12000</v>
      </c>
      <c r="L96" s="88">
        <f t="shared" si="40"/>
        <v>12000</v>
      </c>
      <c r="M96" s="88">
        <f t="shared" si="40"/>
        <v>12000</v>
      </c>
      <c r="N96" s="88">
        <f t="shared" si="40"/>
        <v>12000</v>
      </c>
      <c r="O96" s="89">
        <v>12000</v>
      </c>
      <c r="P96" s="89">
        <v>12000</v>
      </c>
      <c r="Q96" s="89">
        <v>12000</v>
      </c>
      <c r="R96" s="89">
        <v>12000</v>
      </c>
      <c r="S96" s="89">
        <v>12000</v>
      </c>
      <c r="T96" s="89">
        <v>12000</v>
      </c>
      <c r="U96" s="89">
        <v>12000</v>
      </c>
      <c r="V96" s="89">
        <v>12000</v>
      </c>
      <c r="W96" s="89">
        <v>12000</v>
      </c>
      <c r="X96" s="89">
        <v>12000</v>
      </c>
      <c r="Y96" s="89">
        <v>12000</v>
      </c>
      <c r="Z96" s="89">
        <v>12000</v>
      </c>
      <c r="AA96" s="89">
        <v>12000</v>
      </c>
      <c r="AB96" s="89">
        <v>12000</v>
      </c>
      <c r="AC96" s="89">
        <v>12000</v>
      </c>
      <c r="AD96" s="89">
        <v>12000</v>
      </c>
      <c r="AE96" s="89">
        <v>12000</v>
      </c>
      <c r="AF96" s="89">
        <v>12000</v>
      </c>
      <c r="AG96" s="89">
        <v>12000</v>
      </c>
      <c r="AH96" s="89">
        <v>12000</v>
      </c>
      <c r="AI96" s="89">
        <v>12000</v>
      </c>
      <c r="AJ96" s="89">
        <v>12000</v>
      </c>
      <c r="AK96" s="89">
        <v>12000</v>
      </c>
      <c r="AL96" s="89">
        <v>12000</v>
      </c>
      <c r="AM96" s="89">
        <v>12000</v>
      </c>
      <c r="AN96" s="89">
        <v>12000</v>
      </c>
      <c r="AO96" s="89">
        <v>12000</v>
      </c>
      <c r="AP96" s="89">
        <v>12000</v>
      </c>
      <c r="AQ96" s="89">
        <v>12000</v>
      </c>
      <c r="AR96" s="89">
        <v>12000</v>
      </c>
      <c r="AS96" s="89">
        <v>12000</v>
      </c>
      <c r="AT96" s="89">
        <v>12000</v>
      </c>
      <c r="AU96" s="89"/>
      <c r="AV96" s="89"/>
      <c r="AW96" s="89"/>
      <c r="AX96" s="89"/>
      <c r="AY96" s="89"/>
      <c r="AZ96" s="89"/>
      <c r="BA96" s="89"/>
      <c r="BB96" s="89"/>
      <c r="BC96" s="89"/>
      <c r="BD96" s="89"/>
      <c r="BE96" s="89"/>
      <c r="BF96" s="89"/>
      <c r="BG96" s="89"/>
      <c r="BH96" s="89"/>
      <c r="BI96" s="89"/>
      <c r="BJ96" s="89"/>
      <c r="BK96" s="89"/>
      <c r="BL96" s="89"/>
      <c r="BM96" s="89"/>
    </row>
    <row r="97" spans="1:65" outlineLevel="1">
      <c r="A97" s="51"/>
      <c r="B97" t="s">
        <v>210</v>
      </c>
      <c r="C97" s="51"/>
      <c r="D97" s="51"/>
      <c r="E97" s="90">
        <f t="shared" si="39"/>
        <v>82000</v>
      </c>
      <c r="F97" s="91">
        <v>2000</v>
      </c>
      <c r="G97" s="91">
        <v>2000</v>
      </c>
      <c r="H97" s="91">
        <v>2000</v>
      </c>
      <c r="I97" s="91">
        <v>2000</v>
      </c>
      <c r="J97" s="91">
        <v>2000</v>
      </c>
      <c r="K97" s="91">
        <v>2000</v>
      </c>
      <c r="L97" s="91">
        <v>2000</v>
      </c>
      <c r="M97" s="91">
        <v>2000</v>
      </c>
      <c r="N97" s="91">
        <v>2000</v>
      </c>
      <c r="O97" s="91">
        <v>2000</v>
      </c>
      <c r="P97" s="91">
        <v>2000</v>
      </c>
      <c r="Q97" s="91">
        <v>2000</v>
      </c>
      <c r="R97" s="91">
        <v>2000</v>
      </c>
      <c r="S97" s="91">
        <v>2000</v>
      </c>
      <c r="T97" s="91">
        <v>2000</v>
      </c>
      <c r="U97" s="91">
        <v>2000</v>
      </c>
      <c r="V97" s="91">
        <v>2000</v>
      </c>
      <c r="W97" s="91">
        <v>2000</v>
      </c>
      <c r="X97" s="91">
        <v>2000</v>
      </c>
      <c r="Y97" s="91">
        <v>2000</v>
      </c>
      <c r="Z97" s="91">
        <v>2000</v>
      </c>
      <c r="AA97" s="91">
        <v>2000</v>
      </c>
      <c r="AB97" s="91">
        <v>2000</v>
      </c>
      <c r="AC97" s="91">
        <v>2000</v>
      </c>
      <c r="AD97" s="91">
        <v>2000</v>
      </c>
      <c r="AE97" s="91">
        <v>2000</v>
      </c>
      <c r="AF97" s="91">
        <v>2000</v>
      </c>
      <c r="AG97" s="91">
        <v>2000</v>
      </c>
      <c r="AH97" s="91">
        <v>2000</v>
      </c>
      <c r="AI97" s="91">
        <v>2000</v>
      </c>
      <c r="AJ97" s="91">
        <v>2000</v>
      </c>
      <c r="AK97" s="91">
        <v>2000</v>
      </c>
      <c r="AL97" s="91">
        <v>2000</v>
      </c>
      <c r="AM97" s="91">
        <v>2000</v>
      </c>
      <c r="AN97" s="91">
        <v>2000</v>
      </c>
      <c r="AO97" s="91">
        <v>2000</v>
      </c>
      <c r="AP97" s="91">
        <v>2000</v>
      </c>
      <c r="AQ97" s="91">
        <v>2000</v>
      </c>
      <c r="AR97" s="91">
        <v>2000</v>
      </c>
      <c r="AS97" s="91">
        <v>2000</v>
      </c>
      <c r="AT97" s="91">
        <v>2000</v>
      </c>
      <c r="AU97" s="91">
        <v>0</v>
      </c>
      <c r="AV97" s="91">
        <v>0</v>
      </c>
      <c r="AW97" s="91">
        <v>0</v>
      </c>
      <c r="AX97" s="91">
        <v>0</v>
      </c>
      <c r="AY97" s="91">
        <v>0</v>
      </c>
      <c r="AZ97" s="91">
        <v>0</v>
      </c>
      <c r="BA97" s="91">
        <v>0</v>
      </c>
      <c r="BB97" s="91">
        <v>0</v>
      </c>
      <c r="BC97" s="91">
        <v>0</v>
      </c>
      <c r="BD97" s="91">
        <v>0</v>
      </c>
      <c r="BE97" s="91">
        <v>0</v>
      </c>
      <c r="BF97" s="91">
        <v>0</v>
      </c>
      <c r="BG97" s="91">
        <v>0</v>
      </c>
      <c r="BH97" s="91">
        <v>0</v>
      </c>
      <c r="BI97" s="91">
        <v>0</v>
      </c>
      <c r="BJ97" s="91">
        <v>0</v>
      </c>
      <c r="BK97" s="91">
        <v>0</v>
      </c>
      <c r="BL97" s="91">
        <v>0</v>
      </c>
      <c r="BM97" s="91">
        <v>0</v>
      </c>
    </row>
    <row r="98" spans="1:65">
      <c r="A98" s="74"/>
      <c r="B98" s="74" t="s">
        <v>211</v>
      </c>
      <c r="C98" s="74" t="s">
        <v>136</v>
      </c>
      <c r="D98" s="74"/>
      <c r="E98" s="54">
        <f t="shared" si="39"/>
        <v>883000</v>
      </c>
      <c r="F98" s="89">
        <f t="shared" ref="F98:BM98" si="41">SUM(F95:F97)</f>
        <v>27000</v>
      </c>
      <c r="G98" s="89">
        <f t="shared" si="41"/>
        <v>27000</v>
      </c>
      <c r="H98" s="89">
        <f t="shared" si="41"/>
        <v>27000</v>
      </c>
      <c r="I98" s="89">
        <f t="shared" si="41"/>
        <v>27000</v>
      </c>
      <c r="J98" s="89">
        <f t="shared" si="41"/>
        <v>27000</v>
      </c>
      <c r="K98" s="89">
        <f t="shared" si="41"/>
        <v>27000</v>
      </c>
      <c r="L98" s="89">
        <f t="shared" si="41"/>
        <v>27000</v>
      </c>
      <c r="M98" s="89">
        <f t="shared" si="41"/>
        <v>27000</v>
      </c>
      <c r="N98" s="89">
        <f t="shared" si="41"/>
        <v>27000</v>
      </c>
      <c r="O98" s="89">
        <f t="shared" si="41"/>
        <v>20000</v>
      </c>
      <c r="P98" s="89">
        <f t="shared" si="41"/>
        <v>20000</v>
      </c>
      <c r="Q98" s="89">
        <f t="shared" si="41"/>
        <v>20000</v>
      </c>
      <c r="R98" s="89">
        <f t="shared" si="41"/>
        <v>20000</v>
      </c>
      <c r="S98" s="89">
        <f t="shared" si="41"/>
        <v>20000</v>
      </c>
      <c r="T98" s="89">
        <f t="shared" si="41"/>
        <v>20000</v>
      </c>
      <c r="U98" s="89">
        <f t="shared" si="41"/>
        <v>20000</v>
      </c>
      <c r="V98" s="89">
        <f t="shared" si="41"/>
        <v>20000</v>
      </c>
      <c r="W98" s="89">
        <f t="shared" si="41"/>
        <v>20000</v>
      </c>
      <c r="X98" s="89">
        <f t="shared" si="41"/>
        <v>20000</v>
      </c>
      <c r="Y98" s="89">
        <f t="shared" si="41"/>
        <v>20000</v>
      </c>
      <c r="Z98" s="89">
        <f t="shared" si="41"/>
        <v>20000</v>
      </c>
      <c r="AA98" s="89">
        <f t="shared" si="41"/>
        <v>20000</v>
      </c>
      <c r="AB98" s="89">
        <f t="shared" si="41"/>
        <v>20000</v>
      </c>
      <c r="AC98" s="89">
        <f t="shared" si="41"/>
        <v>20000</v>
      </c>
      <c r="AD98" s="89">
        <f t="shared" si="41"/>
        <v>20000</v>
      </c>
      <c r="AE98" s="89">
        <f t="shared" si="41"/>
        <v>20000</v>
      </c>
      <c r="AF98" s="89">
        <f t="shared" si="41"/>
        <v>20000</v>
      </c>
      <c r="AG98" s="89">
        <f t="shared" si="41"/>
        <v>20000</v>
      </c>
      <c r="AH98" s="89">
        <f t="shared" si="41"/>
        <v>20000</v>
      </c>
      <c r="AI98" s="89">
        <f t="shared" si="41"/>
        <v>20000</v>
      </c>
      <c r="AJ98" s="89">
        <f t="shared" si="41"/>
        <v>20000</v>
      </c>
      <c r="AK98" s="89">
        <f t="shared" si="41"/>
        <v>20000</v>
      </c>
      <c r="AL98" s="89">
        <f t="shared" si="41"/>
        <v>20000</v>
      </c>
      <c r="AM98" s="89">
        <f t="shared" si="41"/>
        <v>20000</v>
      </c>
      <c r="AN98" s="89">
        <f t="shared" si="41"/>
        <v>20000</v>
      </c>
      <c r="AO98" s="89">
        <f t="shared" si="41"/>
        <v>20000</v>
      </c>
      <c r="AP98" s="89">
        <f t="shared" si="41"/>
        <v>20000</v>
      </c>
      <c r="AQ98" s="89">
        <f t="shared" si="41"/>
        <v>20000</v>
      </c>
      <c r="AR98" s="89">
        <f t="shared" si="41"/>
        <v>20000</v>
      </c>
      <c r="AS98" s="89">
        <f t="shared" si="41"/>
        <v>20000</v>
      </c>
      <c r="AT98" s="89">
        <f t="shared" si="41"/>
        <v>20000</v>
      </c>
      <c r="AU98" s="89">
        <f t="shared" si="41"/>
        <v>0</v>
      </c>
      <c r="AV98" s="89">
        <f t="shared" si="41"/>
        <v>0</v>
      </c>
      <c r="AW98" s="89">
        <f t="shared" si="41"/>
        <v>0</v>
      </c>
      <c r="AX98" s="89">
        <f t="shared" si="41"/>
        <v>0</v>
      </c>
      <c r="AY98" s="89">
        <f t="shared" si="41"/>
        <v>0</v>
      </c>
      <c r="AZ98" s="89">
        <f t="shared" si="41"/>
        <v>0</v>
      </c>
      <c r="BA98" s="89">
        <f t="shared" si="41"/>
        <v>0</v>
      </c>
      <c r="BB98" s="89">
        <f t="shared" si="41"/>
        <v>0</v>
      </c>
      <c r="BC98" s="89">
        <f t="shared" si="41"/>
        <v>0</v>
      </c>
      <c r="BD98" s="89">
        <f t="shared" si="41"/>
        <v>0</v>
      </c>
      <c r="BE98" s="89">
        <f t="shared" si="41"/>
        <v>0</v>
      </c>
      <c r="BF98" s="89">
        <f t="shared" si="41"/>
        <v>0</v>
      </c>
      <c r="BG98" s="89">
        <f t="shared" si="41"/>
        <v>0</v>
      </c>
      <c r="BH98" s="89">
        <f t="shared" si="41"/>
        <v>0</v>
      </c>
      <c r="BI98" s="89">
        <f t="shared" si="41"/>
        <v>0</v>
      </c>
      <c r="BJ98" s="89">
        <f t="shared" si="41"/>
        <v>0</v>
      </c>
      <c r="BK98" s="89">
        <f t="shared" si="41"/>
        <v>0</v>
      </c>
      <c r="BL98" s="89">
        <f t="shared" si="41"/>
        <v>0</v>
      </c>
      <c r="BM98" s="89">
        <f t="shared" si="41"/>
        <v>0</v>
      </c>
    </row>
    <row r="99" spans="1:65">
      <c r="A99" s="51"/>
      <c r="B99" s="51"/>
      <c r="C99" s="51"/>
      <c r="D99" s="51"/>
      <c r="E99" s="54"/>
      <c r="F99" s="80"/>
      <c r="G99" s="80"/>
      <c r="H99" s="80"/>
      <c r="I99" s="80"/>
      <c r="J99" s="80"/>
      <c r="K99" s="80"/>
      <c r="L99" s="80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66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</row>
    <row r="100" spans="1:65">
      <c r="A100" s="3" t="s">
        <v>212</v>
      </c>
      <c r="B100" s="51"/>
      <c r="C100" s="51"/>
      <c r="D100" s="51"/>
      <c r="E100" s="54"/>
      <c r="F100" s="66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66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</row>
    <row r="101" spans="1:65">
      <c r="A101" s="51"/>
      <c r="B101" s="3" t="s">
        <v>213</v>
      </c>
      <c r="C101" s="51"/>
      <c r="D101" s="51"/>
      <c r="E101" s="54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66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</row>
    <row r="102" spans="1:65" outlineLevel="1">
      <c r="A102" s="51"/>
      <c r="B102" t="s">
        <v>214</v>
      </c>
      <c r="C102" s="51"/>
      <c r="D102" s="51"/>
      <c r="E102" s="54">
        <f>SUM(F102:BM102)</f>
        <v>670824</v>
      </c>
      <c r="F102" s="92"/>
      <c r="G102" s="93">
        <f>20*43560*0.77</f>
        <v>670824</v>
      </c>
      <c r="H102" s="93">
        <v>0</v>
      </c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66"/>
      <c r="Y102" s="51"/>
      <c r="Z102" s="51"/>
      <c r="AA102" s="51"/>
      <c r="AB102" s="51"/>
      <c r="AC102" s="51"/>
      <c r="AD102" s="92"/>
      <c r="AE102" s="94"/>
      <c r="AF102" s="94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</row>
    <row r="103" spans="1:65" outlineLevel="1">
      <c r="A103" s="51"/>
      <c r="B103" s="51" t="s">
        <v>215</v>
      </c>
      <c r="C103" s="51"/>
      <c r="D103" s="51"/>
      <c r="E103" s="54">
        <f>SUM(F103:BM103)</f>
        <v>110000</v>
      </c>
      <c r="F103" s="95">
        <v>0</v>
      </c>
      <c r="G103" s="95">
        <v>35000</v>
      </c>
      <c r="H103" s="72">
        <v>75000</v>
      </c>
      <c r="I103" s="72">
        <v>0</v>
      </c>
      <c r="J103" s="72"/>
      <c r="K103" s="72"/>
      <c r="L103" s="72"/>
      <c r="M103" s="72"/>
      <c r="N103" s="72"/>
      <c r="O103" s="51"/>
      <c r="P103" s="51"/>
      <c r="Q103" s="51"/>
      <c r="R103" s="51"/>
      <c r="S103" s="51"/>
      <c r="T103" s="51"/>
      <c r="U103" s="51"/>
      <c r="V103" s="51"/>
      <c r="W103" s="51"/>
      <c r="X103" s="66"/>
      <c r="Y103" s="51"/>
      <c r="Z103" s="51"/>
      <c r="AA103" s="51"/>
      <c r="AB103" s="51"/>
      <c r="AC103" s="51"/>
      <c r="AD103" s="92"/>
      <c r="AE103" s="94"/>
      <c r="AF103" s="94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</row>
    <row r="104" spans="1:65" outlineLevel="1">
      <c r="A104" s="51"/>
      <c r="B104" t="s">
        <v>216</v>
      </c>
      <c r="C104" s="51"/>
      <c r="D104" s="51"/>
      <c r="E104" s="54">
        <f>SUM(F104:BM104)</f>
        <v>96000</v>
      </c>
      <c r="F104" s="95">
        <v>0</v>
      </c>
      <c r="G104" s="96">
        <v>0</v>
      </c>
      <c r="H104" s="72">
        <v>96000</v>
      </c>
      <c r="I104" s="72">
        <v>0</v>
      </c>
      <c r="J104" s="72"/>
      <c r="K104" s="72"/>
      <c r="L104" s="72"/>
      <c r="M104" s="72"/>
      <c r="N104" s="72"/>
      <c r="O104" s="51"/>
      <c r="P104" s="51"/>
      <c r="Q104" s="51"/>
      <c r="R104" s="51"/>
      <c r="S104" s="51"/>
      <c r="T104" s="51"/>
      <c r="U104" s="51"/>
      <c r="V104" s="51"/>
      <c r="W104" s="51"/>
      <c r="X104" s="66"/>
      <c r="Y104" s="51"/>
      <c r="Z104" s="51"/>
      <c r="AA104" s="51"/>
      <c r="AB104" s="51"/>
      <c r="AC104" s="51"/>
      <c r="AD104" s="92"/>
      <c r="AE104" s="94"/>
      <c r="AF104" s="94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</row>
    <row r="105" spans="1:65" outlineLevel="1">
      <c r="A105" s="51"/>
      <c r="B105" t="s">
        <v>217</v>
      </c>
      <c r="C105" s="51"/>
      <c r="D105" s="51"/>
      <c r="E105" s="54">
        <f t="shared" ref="E105:E106" si="42">SUM(F105:BM105)</f>
        <v>475000</v>
      </c>
      <c r="F105" s="95">
        <v>0</v>
      </c>
      <c r="G105" s="72"/>
      <c r="H105" s="72">
        <v>250000</v>
      </c>
      <c r="I105" s="72">
        <v>225000</v>
      </c>
      <c r="J105" s="72">
        <v>0</v>
      </c>
      <c r="K105" s="72"/>
      <c r="L105" s="96"/>
      <c r="M105" s="96"/>
      <c r="N105" s="96">
        <v>0</v>
      </c>
      <c r="O105" s="51"/>
      <c r="P105" s="51"/>
      <c r="Q105" s="51"/>
      <c r="R105" s="51"/>
      <c r="S105" s="51"/>
      <c r="T105" s="51"/>
      <c r="U105" s="51"/>
      <c r="V105" s="51"/>
      <c r="W105" s="51"/>
      <c r="X105" s="66"/>
      <c r="Y105" s="51"/>
      <c r="Z105" s="51"/>
      <c r="AA105" s="51"/>
      <c r="AB105" s="51"/>
      <c r="AC105" s="51"/>
      <c r="AD105" s="92"/>
      <c r="AE105" s="51"/>
      <c r="AF105" s="51"/>
      <c r="AG105" s="51"/>
      <c r="AH105" s="51"/>
      <c r="AI105" s="51"/>
      <c r="AJ105" s="94"/>
      <c r="AK105" s="94"/>
      <c r="AL105" s="94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</row>
    <row r="106" spans="1:65" outlineLevel="1">
      <c r="A106" s="51"/>
      <c r="B106" t="s">
        <v>218</v>
      </c>
      <c r="C106" s="51"/>
      <c r="D106" s="51"/>
      <c r="E106" s="54">
        <f t="shared" si="42"/>
        <v>800000</v>
      </c>
      <c r="F106" s="96">
        <v>0</v>
      </c>
      <c r="G106" s="96">
        <v>0</v>
      </c>
      <c r="H106" s="96">
        <v>175000</v>
      </c>
      <c r="I106" s="72">
        <v>250000</v>
      </c>
      <c r="J106" s="72">
        <v>150000</v>
      </c>
      <c r="K106" s="72">
        <v>225000</v>
      </c>
      <c r="L106" s="96">
        <v>0</v>
      </c>
      <c r="M106" s="96"/>
      <c r="N106" s="96"/>
      <c r="O106" s="51"/>
      <c r="P106" s="51"/>
      <c r="Q106" s="51"/>
      <c r="R106" s="51"/>
      <c r="S106" s="51"/>
      <c r="T106" s="51"/>
      <c r="U106" s="51"/>
      <c r="V106" s="51"/>
      <c r="W106" s="51"/>
      <c r="X106" s="66"/>
      <c r="Y106" s="51"/>
      <c r="Z106" s="51"/>
      <c r="AA106" s="51"/>
      <c r="AB106" s="51"/>
      <c r="AC106" s="51"/>
      <c r="AD106" s="94">
        <v>0</v>
      </c>
      <c r="AE106" s="94"/>
      <c r="AF106" s="94"/>
      <c r="AG106" s="51"/>
      <c r="AH106" s="51"/>
      <c r="AI106" s="51"/>
      <c r="AJ106" s="94"/>
      <c r="AK106" s="94"/>
      <c r="AL106" s="94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</row>
    <row r="107" spans="1:65" outlineLevel="1">
      <c r="A107" s="51"/>
      <c r="B107" t="s">
        <v>219</v>
      </c>
      <c r="C107" s="51"/>
      <c r="D107" s="51"/>
      <c r="E107" s="90">
        <f>SUM(F107:BM107)</f>
        <v>150000</v>
      </c>
      <c r="F107" s="97">
        <v>0</v>
      </c>
      <c r="G107" s="97">
        <v>0</v>
      </c>
      <c r="H107" s="97">
        <v>65000</v>
      </c>
      <c r="I107" s="98">
        <v>35000</v>
      </c>
      <c r="J107" s="98">
        <v>50000</v>
      </c>
      <c r="K107" s="98"/>
      <c r="L107" s="97"/>
      <c r="M107" s="97"/>
      <c r="N107" s="97"/>
      <c r="O107" s="51"/>
      <c r="P107" s="51"/>
      <c r="Q107" s="51"/>
      <c r="R107" s="51"/>
      <c r="S107" s="51"/>
      <c r="T107" s="51"/>
      <c r="U107" s="51"/>
      <c r="V107" s="51"/>
      <c r="W107" s="51"/>
      <c r="X107" s="66"/>
      <c r="Y107" s="51"/>
      <c r="Z107" s="51"/>
      <c r="AA107" s="51"/>
      <c r="AB107" s="51"/>
      <c r="AC107" s="51"/>
      <c r="AD107" s="91">
        <v>0</v>
      </c>
      <c r="AE107" s="91"/>
      <c r="AF107" s="91"/>
      <c r="AG107" s="59"/>
      <c r="AH107" s="59"/>
      <c r="AI107" s="59"/>
      <c r="AJ107" s="91"/>
      <c r="AK107" s="91"/>
      <c r="AL107" s="9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</row>
    <row r="108" spans="1:65">
      <c r="A108" s="74"/>
      <c r="B108" s="74" t="s">
        <v>220</v>
      </c>
      <c r="C108" s="74" t="s">
        <v>136</v>
      </c>
      <c r="D108" s="74"/>
      <c r="E108" s="54">
        <f>SUM(F108:BM108)</f>
        <v>2301824</v>
      </c>
      <c r="F108" s="89">
        <f t="shared" ref="F108:N108" si="43">SUM(F102:F107)</f>
        <v>0</v>
      </c>
      <c r="G108" s="89">
        <f t="shared" si="43"/>
        <v>705824</v>
      </c>
      <c r="H108" s="89">
        <f t="shared" si="43"/>
        <v>661000</v>
      </c>
      <c r="I108" s="89">
        <f t="shared" si="43"/>
        <v>510000</v>
      </c>
      <c r="J108" s="89">
        <f t="shared" si="43"/>
        <v>200000</v>
      </c>
      <c r="K108" s="89">
        <f t="shared" si="43"/>
        <v>225000</v>
      </c>
      <c r="L108" s="89">
        <f t="shared" si="43"/>
        <v>0</v>
      </c>
      <c r="M108" s="89">
        <f t="shared" si="43"/>
        <v>0</v>
      </c>
      <c r="N108" s="89">
        <f t="shared" si="43"/>
        <v>0</v>
      </c>
      <c r="O108" s="51"/>
      <c r="P108" s="51"/>
      <c r="Q108" s="51"/>
      <c r="R108" s="51"/>
      <c r="S108" s="51"/>
      <c r="T108" s="51"/>
      <c r="U108" s="51"/>
      <c r="V108" s="51"/>
      <c r="W108" s="51"/>
      <c r="X108" s="66"/>
      <c r="Y108" s="51"/>
      <c r="Z108" s="51"/>
      <c r="AA108" s="51"/>
      <c r="AB108" s="51"/>
      <c r="AC108" s="51"/>
      <c r="AD108" s="89">
        <f t="shared" ref="AD108:AL108" si="44">SUM(AD102:AD107)</f>
        <v>0</v>
      </c>
      <c r="AE108" s="89">
        <f t="shared" si="44"/>
        <v>0</v>
      </c>
      <c r="AF108" s="89">
        <f t="shared" si="44"/>
        <v>0</v>
      </c>
      <c r="AG108" s="89">
        <f t="shared" si="44"/>
        <v>0</v>
      </c>
      <c r="AH108" s="89">
        <f t="shared" si="44"/>
        <v>0</v>
      </c>
      <c r="AI108" s="89">
        <f t="shared" si="44"/>
        <v>0</v>
      </c>
      <c r="AJ108" s="89">
        <f t="shared" si="44"/>
        <v>0</v>
      </c>
      <c r="AK108" s="89">
        <f t="shared" si="44"/>
        <v>0</v>
      </c>
      <c r="AL108" s="89">
        <f t="shared" si="44"/>
        <v>0</v>
      </c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</row>
    <row r="109" spans="1:65">
      <c r="A109" s="3"/>
      <c r="B109" s="51"/>
      <c r="C109" s="51"/>
      <c r="D109" s="51"/>
      <c r="E109" s="54"/>
      <c r="F109" s="66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66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</row>
    <row r="110" spans="1:65">
      <c r="A110" s="51"/>
      <c r="B110" s="16" t="s">
        <v>221</v>
      </c>
      <c r="C110" s="51"/>
      <c r="D110" s="51"/>
      <c r="E110" s="54"/>
      <c r="F110" s="80"/>
      <c r="G110" s="69"/>
      <c r="H110" s="69"/>
      <c r="I110" s="69"/>
      <c r="J110" s="69"/>
      <c r="K110" s="69"/>
      <c r="L110" s="69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66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</row>
    <row r="111" spans="1:65" outlineLevel="1">
      <c r="A111" s="51"/>
      <c r="B111" t="s">
        <v>222</v>
      </c>
      <c r="C111" s="51"/>
      <c r="D111" s="51"/>
      <c r="E111" s="54">
        <f t="shared" ref="E111:E132" si="45">SUM(F111:BM111)</f>
        <v>1975000</v>
      </c>
      <c r="F111" s="80">
        <v>250000</v>
      </c>
      <c r="G111" s="69">
        <v>250000</v>
      </c>
      <c r="H111" s="69">
        <v>300000</v>
      </c>
      <c r="I111" s="69">
        <v>350000</v>
      </c>
      <c r="J111" s="69">
        <v>250000</v>
      </c>
      <c r="K111" s="69">
        <v>275000</v>
      </c>
      <c r="L111" s="69">
        <v>150000</v>
      </c>
      <c r="M111" s="69">
        <v>150000</v>
      </c>
      <c r="N111" s="51"/>
      <c r="O111" s="51"/>
      <c r="P111" s="51"/>
      <c r="Q111" s="51"/>
      <c r="R111" s="51"/>
      <c r="S111" s="51"/>
      <c r="T111" s="51"/>
      <c r="U111" s="51"/>
      <c r="V111" s="99"/>
      <c r="W111" s="99"/>
      <c r="X111" s="99"/>
      <c r="Y111" s="99"/>
      <c r="Z111" s="99"/>
      <c r="AA111" s="99"/>
      <c r="AB111" s="51"/>
      <c r="AC111" s="100"/>
      <c r="AD111" s="69">
        <v>0</v>
      </c>
      <c r="AE111" s="69">
        <v>0</v>
      </c>
      <c r="AF111" s="69">
        <v>0</v>
      </c>
      <c r="AG111" s="69">
        <v>0</v>
      </c>
      <c r="AH111" s="69">
        <v>0</v>
      </c>
      <c r="AI111" s="69">
        <v>0</v>
      </c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</row>
    <row r="112" spans="1:65" outlineLevel="1">
      <c r="A112" s="51"/>
      <c r="B112" t="s">
        <v>223</v>
      </c>
      <c r="C112" s="51"/>
      <c r="D112" s="51"/>
      <c r="E112" s="54">
        <f t="shared" si="45"/>
        <v>608510</v>
      </c>
      <c r="F112" s="101">
        <v>0</v>
      </c>
      <c r="G112" s="102">
        <v>0</v>
      </c>
      <c r="H112" s="69">
        <v>100000</v>
      </c>
      <c r="I112" s="69">
        <v>100000</v>
      </c>
      <c r="J112" s="69">
        <v>83510</v>
      </c>
      <c r="K112" s="69">
        <v>175000</v>
      </c>
      <c r="L112" s="69">
        <v>150000</v>
      </c>
      <c r="M112" s="69"/>
      <c r="N112" s="51"/>
      <c r="O112" s="51"/>
      <c r="P112" s="51"/>
      <c r="Q112" s="51"/>
      <c r="R112" s="51"/>
      <c r="S112" s="51"/>
      <c r="T112" s="51"/>
      <c r="U112" s="51"/>
      <c r="V112" s="99"/>
      <c r="W112" s="99"/>
      <c r="X112" s="99"/>
      <c r="Y112" s="99"/>
      <c r="Z112" s="99"/>
      <c r="AA112" s="99"/>
      <c r="AB112" s="51"/>
      <c r="AC112" s="100"/>
      <c r="AD112" s="69">
        <v>0</v>
      </c>
      <c r="AE112" s="69">
        <v>0</v>
      </c>
      <c r="AF112" s="69">
        <v>0</v>
      </c>
      <c r="AG112" s="69">
        <v>0</v>
      </c>
      <c r="AH112" s="69">
        <v>0</v>
      </c>
      <c r="AI112" s="69">
        <v>0</v>
      </c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</row>
    <row r="113" spans="2:65" outlineLevel="1">
      <c r="B113" t="s">
        <v>224</v>
      </c>
      <c r="C113" s="51"/>
      <c r="D113" s="51"/>
      <c r="E113" s="54">
        <f t="shared" si="45"/>
        <v>4775000</v>
      </c>
      <c r="F113" s="103">
        <v>0</v>
      </c>
      <c r="G113" s="68">
        <v>0</v>
      </c>
      <c r="H113" s="68">
        <v>850000</v>
      </c>
      <c r="I113" s="68">
        <v>200000</v>
      </c>
      <c r="J113" s="68">
        <v>225000</v>
      </c>
      <c r="K113" s="68">
        <v>250000</v>
      </c>
      <c r="L113" s="69">
        <v>300000</v>
      </c>
      <c r="M113" s="69">
        <v>200000</v>
      </c>
      <c r="N113" s="69">
        <v>250000</v>
      </c>
      <c r="O113" s="69">
        <v>150000</v>
      </c>
      <c r="P113" s="69">
        <v>150000</v>
      </c>
      <c r="Q113" s="69">
        <v>175000</v>
      </c>
      <c r="R113" s="69">
        <v>450000</v>
      </c>
      <c r="S113" s="69">
        <v>175000</v>
      </c>
      <c r="T113" s="69">
        <v>150000</v>
      </c>
      <c r="U113" s="69">
        <v>250000</v>
      </c>
      <c r="V113" s="99">
        <v>150000</v>
      </c>
      <c r="W113" s="99">
        <v>275000</v>
      </c>
      <c r="X113" s="99">
        <v>150000</v>
      </c>
      <c r="Y113" s="99">
        <v>175000</v>
      </c>
      <c r="Z113" s="99">
        <v>250000</v>
      </c>
      <c r="AA113" s="99"/>
      <c r="AB113" s="51"/>
      <c r="AC113" s="100"/>
      <c r="AD113" s="69">
        <v>0</v>
      </c>
      <c r="AE113" s="69">
        <v>0</v>
      </c>
      <c r="AF113" s="69">
        <v>0</v>
      </c>
      <c r="AG113" s="69">
        <v>0</v>
      </c>
      <c r="AH113" s="69">
        <v>0</v>
      </c>
      <c r="AI113" s="69">
        <v>0</v>
      </c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</row>
    <row r="114" spans="2:65" outlineLevel="1">
      <c r="B114" t="s">
        <v>225</v>
      </c>
      <c r="C114" s="51"/>
      <c r="D114" s="51"/>
      <c r="E114" s="54">
        <f t="shared" si="45"/>
        <v>1908000</v>
      </c>
      <c r="F114" s="80">
        <v>0</v>
      </c>
      <c r="G114" s="69">
        <v>0</v>
      </c>
      <c r="H114" s="69">
        <v>0</v>
      </c>
      <c r="I114" s="69">
        <v>100000</v>
      </c>
      <c r="J114" s="80">
        <v>100000</v>
      </c>
      <c r="K114" s="69">
        <v>150000</v>
      </c>
      <c r="L114" s="69">
        <v>250000</v>
      </c>
      <c r="M114" s="69">
        <v>300000</v>
      </c>
      <c r="N114" s="69">
        <v>250000</v>
      </c>
      <c r="O114" s="69">
        <v>250000</v>
      </c>
      <c r="P114" s="69">
        <v>208000</v>
      </c>
      <c r="Q114" s="69">
        <v>200000</v>
      </c>
      <c r="R114" s="69">
        <v>100000</v>
      </c>
      <c r="S114" s="51"/>
      <c r="T114" s="51"/>
      <c r="U114" s="51"/>
      <c r="V114" s="99"/>
      <c r="W114" s="99"/>
      <c r="X114" s="99"/>
      <c r="Y114" s="99"/>
      <c r="Z114" s="99"/>
      <c r="AA114" s="99"/>
      <c r="AB114" s="51"/>
      <c r="AC114" s="100"/>
      <c r="AD114" s="80">
        <v>0</v>
      </c>
      <c r="AE114" s="69">
        <v>0</v>
      </c>
      <c r="AF114" s="69">
        <v>0</v>
      </c>
      <c r="AG114" s="69">
        <v>0</v>
      </c>
      <c r="AH114" s="69">
        <v>0</v>
      </c>
      <c r="AI114" s="69">
        <v>0</v>
      </c>
      <c r="AJ114" s="69">
        <v>0</v>
      </c>
      <c r="AK114" s="69">
        <v>0</v>
      </c>
      <c r="AL114" s="69">
        <v>0</v>
      </c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</row>
    <row r="115" spans="2:65" outlineLevel="1">
      <c r="B115" t="s">
        <v>50</v>
      </c>
      <c r="C115" s="51"/>
      <c r="D115" s="51"/>
      <c r="E115" s="54">
        <f t="shared" si="45"/>
        <v>4708000</v>
      </c>
      <c r="F115" s="80">
        <v>0</v>
      </c>
      <c r="G115" s="69">
        <v>450000</v>
      </c>
      <c r="H115" s="69">
        <v>350000</v>
      </c>
      <c r="I115" s="69">
        <v>300000</v>
      </c>
      <c r="J115" s="69">
        <v>250000</v>
      </c>
      <c r="K115" s="69">
        <v>250000</v>
      </c>
      <c r="L115" s="69">
        <v>208000</v>
      </c>
      <c r="M115" s="69">
        <v>200000</v>
      </c>
      <c r="N115" s="69">
        <v>350000</v>
      </c>
      <c r="O115" s="69">
        <v>250000</v>
      </c>
      <c r="P115" s="69">
        <v>175000</v>
      </c>
      <c r="Q115" s="69">
        <v>200000</v>
      </c>
      <c r="R115" s="69">
        <v>300000</v>
      </c>
      <c r="S115" s="69">
        <v>300000</v>
      </c>
      <c r="T115" s="69">
        <v>200000</v>
      </c>
      <c r="U115" s="69">
        <v>200000</v>
      </c>
      <c r="V115" s="99">
        <v>150000</v>
      </c>
      <c r="W115" s="99">
        <v>100000</v>
      </c>
      <c r="X115" s="99">
        <v>100000</v>
      </c>
      <c r="Y115" s="99">
        <v>125000</v>
      </c>
      <c r="Z115" s="99">
        <v>100000</v>
      </c>
      <c r="AA115" s="99">
        <v>150000</v>
      </c>
      <c r="AB115" s="51"/>
      <c r="AC115" s="100"/>
      <c r="AD115" s="80">
        <v>0</v>
      </c>
      <c r="AE115" s="69">
        <v>0</v>
      </c>
      <c r="AF115" s="69">
        <v>0</v>
      </c>
      <c r="AG115" s="69">
        <v>0</v>
      </c>
      <c r="AH115" s="69">
        <v>0</v>
      </c>
      <c r="AI115" s="69">
        <v>0</v>
      </c>
      <c r="AJ115" s="69">
        <v>0</v>
      </c>
      <c r="AK115" s="69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</row>
    <row r="116" spans="2:65" outlineLevel="1">
      <c r="B116" t="s">
        <v>226</v>
      </c>
      <c r="C116" s="51"/>
      <c r="D116" s="51"/>
      <c r="E116" s="54">
        <f t="shared" si="45"/>
        <v>975000</v>
      </c>
      <c r="F116" s="80">
        <v>0</v>
      </c>
      <c r="G116" s="69">
        <v>250000</v>
      </c>
      <c r="H116" s="69">
        <v>250000</v>
      </c>
      <c r="I116" s="69">
        <v>150000</v>
      </c>
      <c r="J116" s="69">
        <v>100000</v>
      </c>
      <c r="K116" s="69">
        <v>75000</v>
      </c>
      <c r="L116" s="69">
        <v>50000</v>
      </c>
      <c r="M116" s="69">
        <v>50000</v>
      </c>
      <c r="N116" s="69">
        <v>50000</v>
      </c>
      <c r="O116" s="51"/>
      <c r="P116" s="51"/>
      <c r="Q116" s="51"/>
      <c r="R116" s="51"/>
      <c r="S116" s="51"/>
      <c r="T116" s="51"/>
      <c r="U116" s="51"/>
      <c r="V116" s="99"/>
      <c r="W116" s="99"/>
      <c r="X116" s="99"/>
      <c r="Y116" s="99"/>
      <c r="Z116" s="99"/>
      <c r="AA116" s="99"/>
      <c r="AB116" s="51"/>
      <c r="AC116" s="100"/>
      <c r="AD116" s="80"/>
      <c r="AE116" s="69"/>
      <c r="AF116" s="69">
        <v>0</v>
      </c>
      <c r="AG116" s="69">
        <v>0</v>
      </c>
      <c r="AH116" s="69">
        <v>0</v>
      </c>
      <c r="AI116" s="69">
        <v>0</v>
      </c>
      <c r="AJ116" s="69">
        <v>0</v>
      </c>
      <c r="AK116" s="69">
        <v>0</v>
      </c>
      <c r="AL116" s="69">
        <v>0</v>
      </c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</row>
    <row r="117" spans="2:65" outlineLevel="1">
      <c r="B117" t="s">
        <v>52</v>
      </c>
      <c r="C117" s="51"/>
      <c r="D117" s="51"/>
      <c r="E117" s="54">
        <f t="shared" si="45"/>
        <v>3150000</v>
      </c>
      <c r="F117" s="80"/>
      <c r="G117" s="69">
        <v>450000</v>
      </c>
      <c r="H117" s="69">
        <v>0</v>
      </c>
      <c r="I117" s="69">
        <v>0</v>
      </c>
      <c r="J117" s="69">
        <v>450000</v>
      </c>
      <c r="K117" s="69">
        <v>0</v>
      </c>
      <c r="L117" s="69">
        <v>0</v>
      </c>
      <c r="M117" s="69">
        <v>450000</v>
      </c>
      <c r="N117" s="69">
        <v>0</v>
      </c>
      <c r="O117" s="51"/>
      <c r="P117" s="69">
        <v>450000</v>
      </c>
      <c r="Q117" s="51"/>
      <c r="R117" s="51"/>
      <c r="S117" s="51">
        <v>450000</v>
      </c>
      <c r="T117" s="51"/>
      <c r="U117" s="51"/>
      <c r="V117" s="99">
        <v>450000</v>
      </c>
      <c r="W117" s="99"/>
      <c r="X117" s="99">
        <v>450000</v>
      </c>
      <c r="Y117" s="99"/>
      <c r="Z117" s="99"/>
      <c r="AA117" s="99"/>
      <c r="AB117" s="51"/>
      <c r="AC117" s="100"/>
      <c r="AD117" s="103">
        <v>0</v>
      </c>
      <c r="AE117" s="68">
        <v>0</v>
      </c>
      <c r="AF117" s="68">
        <v>0</v>
      </c>
      <c r="AG117" s="68">
        <v>0</v>
      </c>
      <c r="AH117" s="68">
        <v>0</v>
      </c>
      <c r="AI117" s="68">
        <v>0</v>
      </c>
      <c r="AJ117" s="69"/>
      <c r="AK117" s="69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</row>
    <row r="118" spans="2:65" outlineLevel="1">
      <c r="B118" t="s">
        <v>227</v>
      </c>
      <c r="C118" s="51"/>
      <c r="D118" s="51"/>
      <c r="E118" s="54">
        <f t="shared" si="45"/>
        <v>5900000</v>
      </c>
      <c r="F118" s="103">
        <v>0</v>
      </c>
      <c r="G118" s="68">
        <v>950000</v>
      </c>
      <c r="H118" s="68">
        <v>150000</v>
      </c>
      <c r="I118" s="68">
        <v>550000</v>
      </c>
      <c r="J118" s="68">
        <v>550000</v>
      </c>
      <c r="K118" s="68">
        <v>150000</v>
      </c>
      <c r="L118" s="69">
        <v>150000</v>
      </c>
      <c r="M118" s="69">
        <v>500000</v>
      </c>
      <c r="N118" s="69">
        <v>175000</v>
      </c>
      <c r="O118" s="69">
        <v>150000</v>
      </c>
      <c r="P118" s="69">
        <v>450000</v>
      </c>
      <c r="Q118" s="69">
        <v>250000</v>
      </c>
      <c r="R118" s="69">
        <v>150000</v>
      </c>
      <c r="S118" s="69">
        <v>175000</v>
      </c>
      <c r="T118" s="69">
        <v>450000</v>
      </c>
      <c r="U118" s="69">
        <v>175000</v>
      </c>
      <c r="V118" s="99">
        <v>300000</v>
      </c>
      <c r="W118" s="99">
        <v>175000</v>
      </c>
      <c r="X118" s="99">
        <v>450000</v>
      </c>
      <c r="Y118" s="99">
        <v>0</v>
      </c>
      <c r="Z118" s="99">
        <v>0</v>
      </c>
      <c r="AA118" s="99">
        <v>0</v>
      </c>
      <c r="AB118" s="51"/>
      <c r="AC118" s="100"/>
      <c r="AD118" s="103"/>
      <c r="AE118" s="68"/>
      <c r="AF118" s="68"/>
      <c r="AG118" s="68">
        <v>0</v>
      </c>
      <c r="AH118" s="68">
        <v>0</v>
      </c>
      <c r="AI118" s="68">
        <v>0</v>
      </c>
      <c r="AJ118" s="69"/>
      <c r="AK118" s="69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</row>
    <row r="119" spans="2:65" outlineLevel="1">
      <c r="B119" t="s">
        <v>55</v>
      </c>
      <c r="C119" s="51"/>
      <c r="D119" s="51"/>
      <c r="E119" s="54">
        <f t="shared" si="45"/>
        <v>300000</v>
      </c>
      <c r="F119" s="103"/>
      <c r="G119" s="68"/>
      <c r="H119" s="68"/>
      <c r="I119" s="68">
        <v>0</v>
      </c>
      <c r="J119" s="68">
        <v>0</v>
      </c>
      <c r="K119" s="68">
        <v>0</v>
      </c>
      <c r="L119" s="69"/>
      <c r="M119" s="69"/>
      <c r="N119" s="51"/>
      <c r="O119" s="51"/>
      <c r="P119" s="51"/>
      <c r="Q119" s="51"/>
      <c r="R119" s="51"/>
      <c r="S119" s="51"/>
      <c r="T119" s="51"/>
      <c r="U119" s="51"/>
      <c r="V119" s="99"/>
      <c r="W119" s="99"/>
      <c r="X119" s="99">
        <v>150000</v>
      </c>
      <c r="Y119" s="99"/>
      <c r="Z119" s="99"/>
      <c r="AA119" s="99">
        <v>150000</v>
      </c>
      <c r="AB119" s="51"/>
      <c r="AC119" s="100"/>
      <c r="AD119" s="103"/>
      <c r="AE119" s="68">
        <v>0</v>
      </c>
      <c r="AF119" s="68">
        <v>0</v>
      </c>
      <c r="AG119" s="68">
        <v>0</v>
      </c>
      <c r="AH119" s="68">
        <v>0</v>
      </c>
      <c r="AI119" s="68">
        <v>0</v>
      </c>
      <c r="AJ119" s="69">
        <v>0</v>
      </c>
      <c r="AK119" s="69">
        <v>0</v>
      </c>
      <c r="AL119" s="69">
        <v>0</v>
      </c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</row>
    <row r="120" spans="2:65" outlineLevel="1">
      <c r="B120" t="s">
        <v>228</v>
      </c>
      <c r="C120" s="51"/>
      <c r="D120" s="51"/>
      <c r="E120" s="54">
        <f t="shared" si="45"/>
        <v>6500000</v>
      </c>
      <c r="F120" s="103"/>
      <c r="G120" s="68">
        <v>3250000</v>
      </c>
      <c r="H120" s="68">
        <v>150000</v>
      </c>
      <c r="I120" s="68">
        <v>250000</v>
      </c>
      <c r="J120" s="68">
        <v>75000</v>
      </c>
      <c r="K120" s="68">
        <v>100000</v>
      </c>
      <c r="L120" s="69">
        <v>50000</v>
      </c>
      <c r="M120" s="69">
        <v>550000</v>
      </c>
      <c r="N120" s="69">
        <v>50000</v>
      </c>
      <c r="O120" s="69">
        <v>75000</v>
      </c>
      <c r="P120" s="69">
        <v>350000</v>
      </c>
      <c r="Q120" s="69">
        <v>150000</v>
      </c>
      <c r="R120" s="69">
        <v>250000</v>
      </c>
      <c r="S120" s="69">
        <v>350000</v>
      </c>
      <c r="T120" s="69">
        <v>100000</v>
      </c>
      <c r="U120" s="69">
        <v>50000</v>
      </c>
      <c r="V120" s="99">
        <v>100000</v>
      </c>
      <c r="W120" s="99">
        <v>200000</v>
      </c>
      <c r="X120" s="99">
        <v>150000</v>
      </c>
      <c r="Y120" s="99">
        <v>100000</v>
      </c>
      <c r="Z120" s="99">
        <v>150000</v>
      </c>
      <c r="AA120" s="99">
        <v>0</v>
      </c>
      <c r="AB120" s="51"/>
      <c r="AC120" s="100"/>
      <c r="AD120" s="80"/>
      <c r="AE120" s="69"/>
      <c r="AF120" s="69">
        <v>0</v>
      </c>
      <c r="AG120" s="69"/>
      <c r="AH120" s="69">
        <v>0</v>
      </c>
      <c r="AI120" s="69">
        <v>0</v>
      </c>
      <c r="AJ120" s="69"/>
      <c r="AK120" s="69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</row>
    <row r="121" spans="2:65" outlineLevel="1">
      <c r="B121" t="s">
        <v>57</v>
      </c>
      <c r="C121" s="51"/>
      <c r="D121" s="51"/>
      <c r="E121" s="54">
        <f t="shared" si="45"/>
        <v>2345000</v>
      </c>
      <c r="F121" s="80"/>
      <c r="G121" s="69">
        <v>350000</v>
      </c>
      <c r="H121" s="69">
        <v>30000</v>
      </c>
      <c r="I121" s="69">
        <v>25000</v>
      </c>
      <c r="J121" s="69">
        <v>15000</v>
      </c>
      <c r="K121" s="69">
        <v>350000</v>
      </c>
      <c r="L121" s="69">
        <v>30000</v>
      </c>
      <c r="M121" s="69">
        <v>25000</v>
      </c>
      <c r="N121" s="69">
        <v>350000</v>
      </c>
      <c r="O121" s="69">
        <v>30000</v>
      </c>
      <c r="P121" s="69">
        <v>25000</v>
      </c>
      <c r="Q121" s="51">
        <v>350000</v>
      </c>
      <c r="R121" s="69">
        <v>30000</v>
      </c>
      <c r="S121" s="69">
        <v>25000</v>
      </c>
      <c r="T121" s="51">
        <v>250000</v>
      </c>
      <c r="U121" s="69">
        <v>30000</v>
      </c>
      <c r="V121" s="99">
        <v>25000</v>
      </c>
      <c r="W121" s="99">
        <v>350000</v>
      </c>
      <c r="X121" s="99">
        <v>30000</v>
      </c>
      <c r="Y121" s="99">
        <v>25000</v>
      </c>
      <c r="Z121" s="99"/>
      <c r="AA121" s="99"/>
      <c r="AB121" s="51"/>
      <c r="AC121" s="100"/>
      <c r="AD121" s="80"/>
      <c r="AE121" s="69"/>
      <c r="AF121" s="69">
        <v>0</v>
      </c>
      <c r="AG121" s="69">
        <v>0</v>
      </c>
      <c r="AH121" s="69">
        <v>0</v>
      </c>
      <c r="AI121" s="69">
        <v>0</v>
      </c>
      <c r="AJ121" s="69"/>
      <c r="AK121" s="69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</row>
    <row r="122" spans="2:65" outlineLevel="1">
      <c r="B122" t="s">
        <v>58</v>
      </c>
      <c r="C122" s="51"/>
      <c r="D122" s="51"/>
      <c r="E122" s="54">
        <f t="shared" si="45"/>
        <v>750000</v>
      </c>
      <c r="F122" s="80"/>
      <c r="G122" s="69"/>
      <c r="H122" s="69">
        <v>250000</v>
      </c>
      <c r="I122" s="69">
        <v>0</v>
      </c>
      <c r="J122" s="69">
        <v>0</v>
      </c>
      <c r="K122" s="69">
        <v>0</v>
      </c>
      <c r="L122" s="69">
        <v>250000</v>
      </c>
      <c r="M122" s="69"/>
      <c r="N122" s="51"/>
      <c r="O122" s="51"/>
      <c r="P122" s="69">
        <v>250000</v>
      </c>
      <c r="Q122" s="51"/>
      <c r="R122" s="51"/>
      <c r="S122" s="51"/>
      <c r="T122" s="51"/>
      <c r="U122" s="51"/>
      <c r="V122" s="99"/>
      <c r="W122" s="99"/>
      <c r="X122" s="99"/>
      <c r="Y122" s="99"/>
      <c r="Z122" s="99"/>
      <c r="AA122" s="99"/>
      <c r="AB122" s="51"/>
      <c r="AC122" s="100"/>
      <c r="AD122" s="80"/>
      <c r="AE122" s="69">
        <v>0</v>
      </c>
      <c r="AF122" s="69">
        <v>0</v>
      </c>
      <c r="AG122" s="69">
        <v>0</v>
      </c>
      <c r="AH122" s="69">
        <v>0</v>
      </c>
      <c r="AI122" s="69">
        <v>0</v>
      </c>
      <c r="AJ122" s="69"/>
      <c r="AK122" s="69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</row>
    <row r="123" spans="2:65" outlineLevel="1">
      <c r="B123" t="s">
        <v>229</v>
      </c>
      <c r="C123" s="51"/>
      <c r="D123" s="51"/>
      <c r="E123" s="54">
        <f t="shared" si="45"/>
        <v>1480000</v>
      </c>
      <c r="F123" s="80"/>
      <c r="G123" s="69">
        <v>0</v>
      </c>
      <c r="H123" s="69">
        <v>0</v>
      </c>
      <c r="I123" s="69">
        <v>675000</v>
      </c>
      <c r="J123" s="69">
        <v>65000</v>
      </c>
      <c r="K123" s="69">
        <v>0</v>
      </c>
      <c r="L123" s="69"/>
      <c r="M123" s="69"/>
      <c r="N123" s="51"/>
      <c r="O123" s="51"/>
      <c r="P123" s="51"/>
      <c r="Q123" s="51"/>
      <c r="R123" s="51"/>
      <c r="S123" s="51"/>
      <c r="T123" s="51">
        <v>675000</v>
      </c>
      <c r="U123" s="51">
        <v>65000</v>
      </c>
      <c r="V123" s="99"/>
      <c r="W123" s="99"/>
      <c r="X123" s="99"/>
      <c r="Y123" s="99"/>
      <c r="Z123" s="99"/>
      <c r="AA123" s="99"/>
      <c r="AB123" s="51"/>
      <c r="AC123" s="100"/>
      <c r="AD123" s="80"/>
      <c r="AE123" s="69"/>
      <c r="AF123" s="69">
        <v>0</v>
      </c>
      <c r="AG123" s="69">
        <v>0</v>
      </c>
      <c r="AH123" s="69">
        <v>0</v>
      </c>
      <c r="AI123" s="69">
        <v>0</v>
      </c>
      <c r="AJ123" s="69"/>
      <c r="AK123" s="69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</row>
    <row r="124" spans="2:65" outlineLevel="1">
      <c r="B124" t="s">
        <v>230</v>
      </c>
      <c r="C124" s="51"/>
      <c r="D124" s="51"/>
      <c r="E124" s="54">
        <f t="shared" si="45"/>
        <v>1200000</v>
      </c>
      <c r="F124" s="80"/>
      <c r="G124" s="69"/>
      <c r="H124" s="69">
        <v>600000</v>
      </c>
      <c r="I124" s="69">
        <v>0</v>
      </c>
      <c r="J124" s="69">
        <v>0</v>
      </c>
      <c r="K124" s="69">
        <v>0</v>
      </c>
      <c r="L124" s="69"/>
      <c r="M124" s="69"/>
      <c r="N124" s="51"/>
      <c r="O124" s="51">
        <v>0</v>
      </c>
      <c r="P124" s="51">
        <v>0</v>
      </c>
      <c r="Q124" s="51">
        <v>0</v>
      </c>
      <c r="R124" s="51">
        <v>0</v>
      </c>
      <c r="S124" s="51">
        <v>600000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80"/>
      <c r="AE124" s="69"/>
      <c r="AF124" s="69">
        <v>0</v>
      </c>
      <c r="AG124" s="69">
        <v>0</v>
      </c>
      <c r="AH124" s="69">
        <v>0</v>
      </c>
      <c r="AI124" s="69">
        <v>0</v>
      </c>
      <c r="AJ124" s="69"/>
      <c r="AK124" s="69"/>
      <c r="AL124" s="51"/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</row>
    <row r="125" spans="2:65" outlineLevel="1">
      <c r="B125" t="s">
        <v>59</v>
      </c>
      <c r="C125" s="51"/>
      <c r="D125" s="51"/>
      <c r="E125" s="54">
        <f t="shared" si="45"/>
        <v>800000</v>
      </c>
      <c r="F125" s="80"/>
      <c r="G125" s="69"/>
      <c r="H125" s="69">
        <v>350000</v>
      </c>
      <c r="I125" s="69">
        <v>0</v>
      </c>
      <c r="J125" s="69">
        <v>0</v>
      </c>
      <c r="K125" s="69">
        <v>0</v>
      </c>
      <c r="L125" s="69"/>
      <c r="M125" s="69"/>
      <c r="N125" s="51"/>
      <c r="O125" s="51"/>
      <c r="P125" s="51"/>
      <c r="Q125" s="51"/>
      <c r="R125">
        <v>350000</v>
      </c>
      <c r="S125" s="51"/>
      <c r="T125" s="51"/>
      <c r="U125" s="51"/>
      <c r="V125" s="99"/>
      <c r="W125" s="99">
        <v>100000</v>
      </c>
      <c r="X125" s="99"/>
      <c r="Y125" s="99"/>
      <c r="Z125" s="99"/>
      <c r="AA125" s="99"/>
      <c r="AB125" s="51"/>
      <c r="AC125" s="100"/>
      <c r="AD125" s="80"/>
      <c r="AE125" s="69"/>
      <c r="AF125" s="69"/>
      <c r="AG125" s="69">
        <v>0</v>
      </c>
      <c r="AH125" s="69">
        <v>0</v>
      </c>
      <c r="AI125" s="69">
        <v>0</v>
      </c>
      <c r="AJ125" s="69"/>
      <c r="AK125" s="69">
        <v>0</v>
      </c>
      <c r="AL125" s="69">
        <v>0</v>
      </c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</row>
    <row r="126" spans="2:65" outlineLevel="1">
      <c r="B126" t="s">
        <v>231</v>
      </c>
      <c r="C126" s="51"/>
      <c r="D126" s="51"/>
      <c r="E126" s="54">
        <f t="shared" si="45"/>
        <v>250000</v>
      </c>
      <c r="F126" s="80"/>
      <c r="G126" s="69">
        <v>250000</v>
      </c>
      <c r="H126" s="69"/>
      <c r="I126" s="69">
        <v>0</v>
      </c>
      <c r="J126" s="69"/>
      <c r="K126" s="69">
        <v>0</v>
      </c>
      <c r="L126" s="69"/>
      <c r="M126" s="69">
        <v>0</v>
      </c>
      <c r="N126" s="69">
        <v>0</v>
      </c>
      <c r="O126" s="51"/>
      <c r="P126" s="51"/>
      <c r="Q126" s="51"/>
      <c r="R126" s="51"/>
      <c r="S126" s="51"/>
      <c r="T126" s="51"/>
      <c r="U126" s="51"/>
      <c r="V126" s="99">
        <v>0</v>
      </c>
      <c r="W126" s="99"/>
      <c r="X126" s="99"/>
      <c r="Y126" s="99"/>
      <c r="Z126" s="99"/>
      <c r="AA126" s="99"/>
      <c r="AB126" s="51"/>
      <c r="AC126" s="100"/>
      <c r="AD126" s="69">
        <v>0</v>
      </c>
      <c r="AE126" s="69"/>
      <c r="AF126" s="69"/>
      <c r="AG126" s="69"/>
      <c r="AH126" s="69">
        <v>0</v>
      </c>
      <c r="AI126" s="69">
        <v>0</v>
      </c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</row>
    <row r="127" spans="2:65" outlineLevel="1">
      <c r="B127" t="s">
        <v>232</v>
      </c>
      <c r="C127" s="51"/>
      <c r="D127" s="51"/>
      <c r="E127" s="54">
        <f t="shared" si="45"/>
        <v>2050000</v>
      </c>
      <c r="F127" s="80"/>
      <c r="G127" s="69">
        <v>1800000</v>
      </c>
      <c r="H127" s="69">
        <v>0</v>
      </c>
      <c r="I127" s="69">
        <v>0</v>
      </c>
      <c r="J127" s="69">
        <v>0</v>
      </c>
      <c r="K127" s="69">
        <v>0</v>
      </c>
      <c r="L127" s="69">
        <v>0</v>
      </c>
      <c r="M127" s="69">
        <v>0</v>
      </c>
      <c r="N127" s="69">
        <v>250000</v>
      </c>
      <c r="O127" s="51"/>
      <c r="P127" s="51"/>
      <c r="Q127" s="51"/>
      <c r="R127" s="51"/>
      <c r="S127" s="51"/>
      <c r="T127" s="51"/>
      <c r="U127" s="51"/>
      <c r="V127" s="99"/>
      <c r="W127" s="99"/>
      <c r="X127" s="99"/>
      <c r="Y127" s="99"/>
      <c r="Z127" s="99"/>
      <c r="AA127" s="99"/>
      <c r="AB127" s="51"/>
      <c r="AC127" s="100"/>
      <c r="AD127" s="69">
        <v>0</v>
      </c>
      <c r="AE127" s="69"/>
      <c r="AF127" s="69"/>
      <c r="AG127" s="69"/>
      <c r="AH127" s="69">
        <v>0</v>
      </c>
      <c r="AI127" s="69">
        <v>0</v>
      </c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</row>
    <row r="128" spans="2:65" outlineLevel="1">
      <c r="B128" t="s">
        <v>233</v>
      </c>
      <c r="C128" s="17"/>
      <c r="D128" s="51"/>
      <c r="E128" s="54">
        <f t="shared" si="45"/>
        <v>2100000</v>
      </c>
      <c r="F128" s="80"/>
      <c r="G128" s="69">
        <v>0</v>
      </c>
      <c r="H128" s="69">
        <v>350000</v>
      </c>
      <c r="I128" s="69">
        <v>0</v>
      </c>
      <c r="J128" s="69">
        <v>400000</v>
      </c>
      <c r="K128" s="69">
        <v>0</v>
      </c>
      <c r="L128" s="69">
        <v>450000</v>
      </c>
      <c r="M128" s="69">
        <v>0</v>
      </c>
      <c r="N128" s="69">
        <v>0</v>
      </c>
      <c r="O128" s="69">
        <v>0</v>
      </c>
      <c r="P128" s="69">
        <v>0</v>
      </c>
      <c r="Q128" s="69">
        <v>0</v>
      </c>
      <c r="R128" s="69">
        <v>450000</v>
      </c>
      <c r="S128" s="69">
        <v>0</v>
      </c>
      <c r="T128" s="69">
        <v>0</v>
      </c>
      <c r="U128" s="69">
        <v>0</v>
      </c>
      <c r="V128" s="69">
        <v>0</v>
      </c>
      <c r="W128" s="69">
        <v>450000</v>
      </c>
      <c r="X128" s="69">
        <v>0</v>
      </c>
      <c r="Y128" s="69">
        <v>0</v>
      </c>
      <c r="Z128" s="69">
        <v>0</v>
      </c>
      <c r="AA128" s="69">
        <v>0</v>
      </c>
      <c r="AB128" s="69">
        <v>0</v>
      </c>
      <c r="AC128" s="69">
        <v>0</v>
      </c>
      <c r="AD128" s="69">
        <v>0</v>
      </c>
      <c r="AE128" s="69">
        <v>0</v>
      </c>
      <c r="AF128" s="69">
        <v>0</v>
      </c>
      <c r="AG128" s="69">
        <v>0</v>
      </c>
      <c r="AH128" s="69">
        <v>0</v>
      </c>
      <c r="AI128" s="69">
        <v>0</v>
      </c>
      <c r="AJ128" s="69">
        <v>0</v>
      </c>
      <c r="AK128" s="69">
        <v>0</v>
      </c>
      <c r="AL128" s="69">
        <v>0</v>
      </c>
      <c r="AM128" s="69">
        <v>0</v>
      </c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</row>
    <row r="129" spans="1:65" outlineLevel="1">
      <c r="A129" s="51"/>
      <c r="B129" t="s">
        <v>234</v>
      </c>
      <c r="C129" s="51"/>
      <c r="D129" s="51"/>
      <c r="E129" s="54">
        <f t="shared" si="45"/>
        <v>120000</v>
      </c>
      <c r="F129" s="80">
        <v>65000</v>
      </c>
      <c r="G129" s="69">
        <v>0</v>
      </c>
      <c r="H129" s="69">
        <v>35000</v>
      </c>
      <c r="I129" s="69">
        <v>0</v>
      </c>
      <c r="J129" s="69">
        <v>20000</v>
      </c>
      <c r="K129" s="69">
        <v>0</v>
      </c>
      <c r="L129" s="69"/>
      <c r="M129" s="69"/>
      <c r="N129" s="51"/>
      <c r="O129" s="51"/>
      <c r="P129" s="51"/>
      <c r="Q129" s="51"/>
      <c r="R129" s="51"/>
      <c r="S129" s="51"/>
      <c r="T129" s="51"/>
      <c r="U129" s="51"/>
      <c r="V129" s="99"/>
      <c r="W129" s="99"/>
      <c r="X129" s="99"/>
      <c r="Y129" s="99"/>
      <c r="Z129" s="99"/>
      <c r="AA129" s="99"/>
      <c r="AB129" s="51"/>
      <c r="AC129" s="100"/>
      <c r="AD129" s="69">
        <v>0</v>
      </c>
      <c r="AE129" s="69"/>
      <c r="AF129" s="69"/>
      <c r="AG129" s="69"/>
      <c r="AH129" s="69">
        <v>0</v>
      </c>
      <c r="AI129" s="69">
        <v>0</v>
      </c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</row>
    <row r="130" spans="1:65" outlineLevel="1">
      <c r="A130" s="51"/>
      <c r="B130" t="s">
        <v>235</v>
      </c>
      <c r="C130" s="51"/>
      <c r="D130" s="51"/>
      <c r="E130" s="54">
        <f t="shared" si="45"/>
        <v>65000</v>
      </c>
      <c r="F130" s="80">
        <v>65000</v>
      </c>
      <c r="G130" s="69">
        <v>0</v>
      </c>
      <c r="H130" s="69">
        <v>0</v>
      </c>
      <c r="I130" s="69">
        <v>0</v>
      </c>
      <c r="J130" s="69">
        <f t="shared" ref="J130:K131" si="46">I130</f>
        <v>0</v>
      </c>
      <c r="K130" s="69">
        <f t="shared" si="46"/>
        <v>0</v>
      </c>
      <c r="L130" s="69"/>
      <c r="M130" s="69"/>
      <c r="N130" s="51"/>
      <c r="O130" s="51"/>
      <c r="P130" s="51"/>
      <c r="Q130" s="51"/>
      <c r="R130" s="51"/>
      <c r="S130" s="51"/>
      <c r="T130" s="51"/>
      <c r="U130" s="51"/>
      <c r="V130" s="99"/>
      <c r="W130" s="99"/>
      <c r="X130" s="99"/>
      <c r="Y130" s="99"/>
      <c r="Z130" s="99"/>
      <c r="AA130" s="99"/>
      <c r="AB130" s="51"/>
      <c r="AC130" s="100"/>
      <c r="AD130" s="80"/>
      <c r="AE130" s="69"/>
      <c r="AF130" s="69"/>
      <c r="AG130" s="69"/>
      <c r="AH130" s="69">
        <v>0</v>
      </c>
      <c r="AI130" s="69">
        <v>0</v>
      </c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</row>
    <row r="131" spans="1:65" outlineLevel="1">
      <c r="A131" s="51"/>
      <c r="B131" s="51"/>
      <c r="C131" s="51"/>
      <c r="D131" s="51"/>
      <c r="E131" s="90">
        <f t="shared" si="45"/>
        <v>0</v>
      </c>
      <c r="F131" s="104">
        <v>0</v>
      </c>
      <c r="G131" s="104">
        <v>0</v>
      </c>
      <c r="H131" s="104">
        <v>0</v>
      </c>
      <c r="I131" s="104">
        <v>0</v>
      </c>
      <c r="J131" s="104">
        <f t="shared" si="46"/>
        <v>0</v>
      </c>
      <c r="K131" s="104">
        <f t="shared" si="46"/>
        <v>0</v>
      </c>
      <c r="L131" s="69"/>
      <c r="M131" s="69"/>
      <c r="N131" s="51"/>
      <c r="O131" s="51"/>
      <c r="P131" s="51"/>
      <c r="Q131" s="51"/>
      <c r="R131" s="51"/>
      <c r="S131" s="51"/>
      <c r="T131" s="51"/>
      <c r="U131" s="51"/>
      <c r="V131" s="99"/>
      <c r="W131" s="99"/>
      <c r="X131" s="99"/>
      <c r="Y131" s="99"/>
      <c r="Z131" s="99"/>
      <c r="AA131" s="99"/>
      <c r="AB131" s="51"/>
      <c r="AC131" s="100"/>
      <c r="AD131" s="80"/>
      <c r="AE131" s="69"/>
      <c r="AF131" s="69"/>
      <c r="AG131" s="69"/>
      <c r="AH131" s="69">
        <v>0</v>
      </c>
      <c r="AI131" s="69">
        <v>0</v>
      </c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</row>
    <row r="132" spans="1:65">
      <c r="A132" s="51"/>
      <c r="B132" s="74" t="s">
        <v>236</v>
      </c>
      <c r="C132" s="74" t="s">
        <v>136</v>
      </c>
      <c r="D132" s="74"/>
      <c r="E132" s="54">
        <f t="shared" si="45"/>
        <v>41959510</v>
      </c>
      <c r="F132" s="80">
        <f>SUM(F111:F131)</f>
        <v>380000</v>
      </c>
      <c r="G132" s="80">
        <f t="shared" ref="G132:BM132" si="47">SUM(G111:G131)</f>
        <v>8000000</v>
      </c>
      <c r="H132" s="80">
        <f t="shared" si="47"/>
        <v>3765000</v>
      </c>
      <c r="I132" s="80">
        <f t="shared" si="47"/>
        <v>2700000</v>
      </c>
      <c r="J132" s="80">
        <f t="shared" si="47"/>
        <v>2583510</v>
      </c>
      <c r="K132" s="80">
        <f t="shared" si="47"/>
        <v>1775000</v>
      </c>
      <c r="L132" s="105">
        <f t="shared" si="47"/>
        <v>2038000</v>
      </c>
      <c r="M132" s="105">
        <f t="shared" si="47"/>
        <v>2425000</v>
      </c>
      <c r="N132" s="105">
        <f t="shared" si="47"/>
        <v>1725000</v>
      </c>
      <c r="O132" s="105">
        <f t="shared" si="47"/>
        <v>905000</v>
      </c>
      <c r="P132" s="105">
        <f t="shared" si="47"/>
        <v>2058000</v>
      </c>
      <c r="Q132" s="105">
        <f t="shared" si="47"/>
        <v>1325000</v>
      </c>
      <c r="R132" s="105">
        <f t="shared" si="47"/>
        <v>2080000</v>
      </c>
      <c r="S132" s="105">
        <f t="shared" si="47"/>
        <v>2075000</v>
      </c>
      <c r="T132" s="105">
        <f t="shared" si="47"/>
        <v>1825000</v>
      </c>
      <c r="U132" s="105">
        <f t="shared" si="47"/>
        <v>770000</v>
      </c>
      <c r="V132" s="105">
        <f t="shared" si="47"/>
        <v>1175000</v>
      </c>
      <c r="W132" s="105">
        <f t="shared" si="47"/>
        <v>1650000</v>
      </c>
      <c r="X132" s="105">
        <f t="shared" si="47"/>
        <v>1480000</v>
      </c>
      <c r="Y132" s="105">
        <f t="shared" si="47"/>
        <v>425000</v>
      </c>
      <c r="Z132" s="105">
        <f t="shared" si="47"/>
        <v>500000</v>
      </c>
      <c r="AA132" s="105">
        <f t="shared" si="47"/>
        <v>300000</v>
      </c>
      <c r="AB132" s="105">
        <f t="shared" si="47"/>
        <v>0</v>
      </c>
      <c r="AC132" s="105">
        <f t="shared" si="47"/>
        <v>0</v>
      </c>
      <c r="AD132" s="105">
        <f t="shared" si="47"/>
        <v>0</v>
      </c>
      <c r="AE132" s="105">
        <f t="shared" si="47"/>
        <v>0</v>
      </c>
      <c r="AF132" s="105">
        <f t="shared" si="47"/>
        <v>0</v>
      </c>
      <c r="AG132" s="105">
        <f t="shared" si="47"/>
        <v>0</v>
      </c>
      <c r="AH132" s="105">
        <f t="shared" si="47"/>
        <v>0</v>
      </c>
      <c r="AI132" s="105">
        <f t="shared" si="47"/>
        <v>0</v>
      </c>
      <c r="AJ132" s="105">
        <f t="shared" si="47"/>
        <v>0</v>
      </c>
      <c r="AK132" s="105">
        <f t="shared" si="47"/>
        <v>0</v>
      </c>
      <c r="AL132" s="105">
        <f t="shared" si="47"/>
        <v>0</v>
      </c>
      <c r="AM132" s="105">
        <f t="shared" si="47"/>
        <v>0</v>
      </c>
      <c r="AN132" s="105">
        <f t="shared" si="47"/>
        <v>0</v>
      </c>
      <c r="AO132" s="105">
        <f t="shared" si="47"/>
        <v>0</v>
      </c>
      <c r="AP132" s="105">
        <f t="shared" si="47"/>
        <v>0</v>
      </c>
      <c r="AQ132" s="105">
        <f t="shared" si="47"/>
        <v>0</v>
      </c>
      <c r="AR132" s="105">
        <f t="shared" si="47"/>
        <v>0</v>
      </c>
      <c r="AS132" s="105">
        <f t="shared" si="47"/>
        <v>0</v>
      </c>
      <c r="AT132" s="105">
        <f t="shared" si="47"/>
        <v>0</v>
      </c>
      <c r="AU132" s="105">
        <f t="shared" si="47"/>
        <v>0</v>
      </c>
      <c r="AV132" s="105">
        <f t="shared" si="47"/>
        <v>0</v>
      </c>
      <c r="AW132" s="105">
        <f t="shared" si="47"/>
        <v>0</v>
      </c>
      <c r="AX132" s="105">
        <f t="shared" si="47"/>
        <v>0</v>
      </c>
      <c r="AY132" s="105">
        <f t="shared" si="47"/>
        <v>0</v>
      </c>
      <c r="AZ132" s="105">
        <f t="shared" si="47"/>
        <v>0</v>
      </c>
      <c r="BA132" s="105">
        <f t="shared" si="47"/>
        <v>0</v>
      </c>
      <c r="BB132" s="105">
        <f t="shared" si="47"/>
        <v>0</v>
      </c>
      <c r="BC132" s="105">
        <f t="shared" si="47"/>
        <v>0</v>
      </c>
      <c r="BD132" s="105">
        <f t="shared" si="47"/>
        <v>0</v>
      </c>
      <c r="BE132" s="105">
        <f t="shared" si="47"/>
        <v>0</v>
      </c>
      <c r="BF132" s="105">
        <f t="shared" si="47"/>
        <v>0</v>
      </c>
      <c r="BG132" s="105">
        <f t="shared" si="47"/>
        <v>0</v>
      </c>
      <c r="BH132" s="105">
        <f t="shared" si="47"/>
        <v>0</v>
      </c>
      <c r="BI132" s="105">
        <f t="shared" si="47"/>
        <v>0</v>
      </c>
      <c r="BJ132" s="105">
        <f t="shared" si="47"/>
        <v>0</v>
      </c>
      <c r="BK132" s="105">
        <f t="shared" si="47"/>
        <v>0</v>
      </c>
      <c r="BL132" s="105">
        <f t="shared" si="47"/>
        <v>0</v>
      </c>
      <c r="BM132" s="105">
        <f t="shared" si="47"/>
        <v>0</v>
      </c>
    </row>
    <row r="133" spans="1:65">
      <c r="A133" s="51"/>
      <c r="B133" s="51"/>
      <c r="C133" s="51"/>
      <c r="D133" s="51"/>
      <c r="E133" s="54"/>
      <c r="F133" s="80"/>
      <c r="G133" s="69"/>
      <c r="H133" s="69"/>
      <c r="I133" s="69"/>
      <c r="J133" s="69"/>
      <c r="K133" s="69"/>
      <c r="L133" s="69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66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51"/>
    </row>
    <row r="134" spans="1:65">
      <c r="A134" s="51"/>
      <c r="B134" s="3" t="s">
        <v>237</v>
      </c>
      <c r="C134" s="51"/>
      <c r="D134" s="51"/>
      <c r="E134" s="54"/>
      <c r="F134" s="80"/>
      <c r="G134" s="69"/>
      <c r="H134" s="69"/>
      <c r="I134" s="69"/>
      <c r="J134" s="69"/>
      <c r="K134" s="69"/>
      <c r="L134" s="69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66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</row>
    <row r="135" spans="1:65" outlineLevel="1">
      <c r="A135" s="51" t="s">
        <v>4</v>
      </c>
      <c r="B135" s="51"/>
      <c r="C135" s="51"/>
      <c r="D135" s="51"/>
      <c r="E135" s="54"/>
      <c r="F135" s="80"/>
      <c r="G135" s="69"/>
      <c r="H135" s="69"/>
      <c r="I135" s="69"/>
      <c r="J135" s="69"/>
      <c r="K135" s="69"/>
      <c r="L135" s="69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66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</row>
    <row r="136" spans="1:65" outlineLevel="1">
      <c r="A136" s="51"/>
      <c r="B136" t="s">
        <v>8</v>
      </c>
      <c r="C136" s="51"/>
      <c r="D136" s="51"/>
      <c r="E136" s="54">
        <f>SUM(F136:BM136)</f>
        <v>1865000</v>
      </c>
      <c r="F136" s="69">
        <v>225000</v>
      </c>
      <c r="G136" s="69">
        <v>0</v>
      </c>
      <c r="H136" s="69">
        <v>225000</v>
      </c>
      <c r="I136" s="69">
        <v>0</v>
      </c>
      <c r="J136" s="69">
        <v>225000</v>
      </c>
      <c r="K136" s="69">
        <v>0</v>
      </c>
      <c r="L136" s="69">
        <v>225000</v>
      </c>
      <c r="M136" s="69">
        <v>0</v>
      </c>
      <c r="N136" s="69">
        <v>225000</v>
      </c>
      <c r="O136" s="69"/>
      <c r="P136" s="69">
        <v>225000</v>
      </c>
      <c r="Q136" s="100">
        <v>0</v>
      </c>
      <c r="R136" s="18">
        <v>225000</v>
      </c>
      <c r="S136" s="51"/>
      <c r="T136" s="19">
        <v>225000</v>
      </c>
      <c r="U136" s="51"/>
      <c r="V136" s="51"/>
      <c r="W136" s="51"/>
      <c r="X136" s="66"/>
      <c r="Y136" s="72">
        <v>65000</v>
      </c>
      <c r="Z136" s="51"/>
      <c r="AA136" s="51"/>
      <c r="AB136" s="51"/>
      <c r="AC136" s="51"/>
      <c r="AD136" s="80"/>
      <c r="AE136" s="80">
        <v>0</v>
      </c>
      <c r="AF136" s="69">
        <v>0</v>
      </c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</row>
    <row r="137" spans="1:65" outlineLevel="1">
      <c r="A137" s="51"/>
      <c r="B137" t="s">
        <v>9</v>
      </c>
      <c r="C137" s="51"/>
      <c r="D137" s="51"/>
      <c r="E137" s="54">
        <f>SUM(F137:BM137)</f>
        <v>4875000</v>
      </c>
      <c r="F137" s="69">
        <v>525000</v>
      </c>
      <c r="G137" s="69">
        <v>75000</v>
      </c>
      <c r="H137" s="69">
        <v>525000</v>
      </c>
      <c r="I137" s="69">
        <v>75000</v>
      </c>
      <c r="J137" s="69">
        <v>525000</v>
      </c>
      <c r="K137" s="69">
        <v>75000</v>
      </c>
      <c r="L137" s="69">
        <v>525000</v>
      </c>
      <c r="M137" s="69">
        <v>75000</v>
      </c>
      <c r="N137" s="69">
        <v>525000</v>
      </c>
      <c r="O137" s="69">
        <v>75000</v>
      </c>
      <c r="P137" s="69">
        <v>525000</v>
      </c>
      <c r="Q137" s="100">
        <v>75000</v>
      </c>
      <c r="R137" s="18">
        <v>525000</v>
      </c>
      <c r="S137" s="18">
        <v>75000</v>
      </c>
      <c r="T137" s="19">
        <v>525000</v>
      </c>
      <c r="U137" s="18">
        <v>75000</v>
      </c>
      <c r="V137" s="51"/>
      <c r="W137" s="51"/>
      <c r="X137" s="66"/>
      <c r="Y137" s="72">
        <v>75000</v>
      </c>
      <c r="Z137" s="51"/>
      <c r="AA137" s="51"/>
      <c r="AB137" s="51"/>
      <c r="AC137" s="51"/>
      <c r="AD137" s="80"/>
      <c r="AE137" s="80">
        <v>0</v>
      </c>
      <c r="AF137" s="69">
        <v>0</v>
      </c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</row>
    <row r="138" spans="1:65" outlineLevel="1">
      <c r="A138" s="51"/>
      <c r="B138" s="51" t="s">
        <v>10</v>
      </c>
      <c r="C138" s="51"/>
      <c r="D138" s="51"/>
      <c r="E138" s="54">
        <f>SUM(F138:BM138)</f>
        <v>4130000</v>
      </c>
      <c r="F138" s="69">
        <v>475000</v>
      </c>
      <c r="G138" s="69">
        <v>35000</v>
      </c>
      <c r="H138" s="69">
        <v>475000</v>
      </c>
      <c r="I138" s="69">
        <v>35000</v>
      </c>
      <c r="J138" s="69">
        <v>475000</v>
      </c>
      <c r="K138" s="69">
        <v>35000</v>
      </c>
      <c r="L138" s="69">
        <v>475000</v>
      </c>
      <c r="M138" s="69">
        <v>35000</v>
      </c>
      <c r="N138" s="69">
        <v>475000</v>
      </c>
      <c r="O138" s="69">
        <v>35000</v>
      </c>
      <c r="P138" s="69">
        <v>475000</v>
      </c>
      <c r="Q138" s="100">
        <v>35000</v>
      </c>
      <c r="R138" s="18">
        <v>475000</v>
      </c>
      <c r="S138" s="18">
        <v>35000</v>
      </c>
      <c r="T138" s="19">
        <v>475000</v>
      </c>
      <c r="U138" s="18">
        <v>35000</v>
      </c>
      <c r="V138" s="51"/>
      <c r="W138" s="51"/>
      <c r="X138" s="66"/>
      <c r="Y138" s="72">
        <v>50000</v>
      </c>
      <c r="Z138" s="51"/>
      <c r="AA138" s="51"/>
      <c r="AB138" s="51"/>
      <c r="AC138" s="51"/>
      <c r="AD138" s="80"/>
      <c r="AE138" s="80">
        <v>0</v>
      </c>
      <c r="AF138" s="69">
        <v>0</v>
      </c>
      <c r="AG138" s="69">
        <v>0</v>
      </c>
      <c r="AH138" s="69">
        <v>0</v>
      </c>
      <c r="AI138" s="69">
        <v>0</v>
      </c>
      <c r="AJ138" s="69"/>
      <c r="AK138" s="69"/>
      <c r="AL138" s="69"/>
      <c r="AM138" s="69"/>
      <c r="AN138" s="69"/>
      <c r="AO138" s="69"/>
      <c r="AP138" s="69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</row>
    <row r="139" spans="1:65" outlineLevel="1">
      <c r="A139" s="51"/>
      <c r="B139" t="s">
        <v>11</v>
      </c>
      <c r="C139" s="51"/>
      <c r="D139" s="51"/>
      <c r="E139" s="54">
        <f>SUM(F139:BM139)</f>
        <v>4660000</v>
      </c>
      <c r="F139" s="69">
        <v>575000</v>
      </c>
      <c r="G139" s="69">
        <v>0</v>
      </c>
      <c r="H139" s="69">
        <v>575000</v>
      </c>
      <c r="I139" s="69"/>
      <c r="J139" s="69">
        <v>575000</v>
      </c>
      <c r="K139" s="69"/>
      <c r="L139" s="69">
        <v>575000</v>
      </c>
      <c r="M139" s="69"/>
      <c r="N139" s="69">
        <v>575000</v>
      </c>
      <c r="O139" s="69"/>
      <c r="P139" s="69">
        <v>575000</v>
      </c>
      <c r="Q139" s="100"/>
      <c r="R139" s="18">
        <v>575000</v>
      </c>
      <c r="S139" s="51"/>
      <c r="T139" s="19">
        <v>575000</v>
      </c>
      <c r="U139" s="51"/>
      <c r="V139" s="51"/>
      <c r="W139" s="51"/>
      <c r="X139" s="66"/>
      <c r="Y139" s="72">
        <v>60000</v>
      </c>
      <c r="Z139" s="51"/>
      <c r="AA139" s="51"/>
      <c r="AB139" s="51"/>
      <c r="AC139" s="51"/>
      <c r="AD139" s="80"/>
      <c r="AE139" s="80">
        <v>0</v>
      </c>
      <c r="AF139" s="69">
        <v>0</v>
      </c>
      <c r="AG139" s="69">
        <v>0</v>
      </c>
      <c r="AH139" s="69">
        <v>0</v>
      </c>
      <c r="AI139" s="69"/>
      <c r="AJ139" s="69"/>
      <c r="AK139" s="69"/>
      <c r="AL139" s="69"/>
      <c r="AM139" s="69"/>
      <c r="AN139" s="69"/>
      <c r="AO139" s="69"/>
      <c r="AP139" s="69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</row>
    <row r="140" spans="1:65" outlineLevel="1">
      <c r="A140" s="51" t="s">
        <v>12</v>
      </c>
      <c r="B140" s="51"/>
      <c r="C140" s="51"/>
      <c r="D140" s="51"/>
      <c r="E140" s="54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100"/>
      <c r="R140" s="51"/>
      <c r="S140" s="51"/>
      <c r="T140" s="72"/>
      <c r="U140" s="51"/>
      <c r="V140" s="51"/>
      <c r="W140" s="51"/>
      <c r="X140" s="66"/>
      <c r="Y140" s="72"/>
      <c r="Z140" s="51"/>
      <c r="AA140" s="51"/>
      <c r="AB140" s="51"/>
      <c r="AC140" s="51"/>
      <c r="AD140" s="80"/>
      <c r="AE140" s="80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</row>
    <row r="141" spans="1:65" outlineLevel="1">
      <c r="A141" s="51"/>
      <c r="B141" s="51" t="s">
        <v>13</v>
      </c>
      <c r="C141" s="51"/>
      <c r="D141" s="51"/>
      <c r="E141" s="54">
        <f>SUM(F141:BM141)</f>
        <v>2640000</v>
      </c>
      <c r="F141" s="69">
        <v>320000</v>
      </c>
      <c r="G141" s="69">
        <v>0</v>
      </c>
      <c r="H141" s="69">
        <v>320000</v>
      </c>
      <c r="I141" s="69"/>
      <c r="J141" s="69">
        <v>320000</v>
      </c>
      <c r="K141" s="69"/>
      <c r="L141" s="69">
        <v>320000</v>
      </c>
      <c r="M141" s="69"/>
      <c r="N141" s="69">
        <v>320000</v>
      </c>
      <c r="O141" s="69"/>
      <c r="P141" s="69">
        <v>320000</v>
      </c>
      <c r="Q141" s="100"/>
      <c r="R141" s="18">
        <v>320000</v>
      </c>
      <c r="S141" s="51"/>
      <c r="T141" s="19">
        <v>320000</v>
      </c>
      <c r="U141" s="51"/>
      <c r="V141" s="51"/>
      <c r="W141" s="51"/>
      <c r="X141" s="66"/>
      <c r="Y141" s="72">
        <v>80000</v>
      </c>
      <c r="Z141" s="51"/>
      <c r="AA141" s="51"/>
      <c r="AB141" s="51"/>
      <c r="AC141" s="51"/>
      <c r="AD141" s="80"/>
      <c r="AE141" s="80">
        <v>0</v>
      </c>
      <c r="AF141" s="69">
        <v>0</v>
      </c>
      <c r="AG141" s="69">
        <v>0</v>
      </c>
      <c r="AH141" s="69">
        <v>0</v>
      </c>
      <c r="AI141" s="69"/>
      <c r="AJ141" s="69"/>
      <c r="AK141" s="69"/>
      <c r="AL141" s="69"/>
      <c r="AM141" s="69"/>
      <c r="AN141" s="69"/>
      <c r="AO141" s="69"/>
      <c r="AP141" s="69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</row>
    <row r="142" spans="1:65" outlineLevel="1">
      <c r="A142" s="51" t="s">
        <v>14</v>
      </c>
      <c r="B142" s="51"/>
      <c r="C142" s="51"/>
      <c r="D142" s="51"/>
      <c r="E142" s="54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100"/>
      <c r="R142" s="51"/>
      <c r="S142" s="51"/>
      <c r="T142" s="72"/>
      <c r="U142" s="51"/>
      <c r="V142" s="51"/>
      <c r="W142" s="51"/>
      <c r="X142" s="66"/>
      <c r="Y142" s="72"/>
      <c r="Z142" s="51"/>
      <c r="AA142" s="51"/>
      <c r="AB142" s="51"/>
      <c r="AC142" s="51"/>
      <c r="AD142" s="80"/>
      <c r="AE142" s="80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  <c r="AP142" s="69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</row>
    <row r="143" spans="1:65" outlineLevel="1">
      <c r="A143" s="51"/>
      <c r="B143" s="51" t="s">
        <v>15</v>
      </c>
      <c r="C143" s="51"/>
      <c r="D143" s="51"/>
      <c r="E143" s="54">
        <f>SUM(F143:BM143)</f>
        <v>1280000</v>
      </c>
      <c r="F143" s="69">
        <v>145000</v>
      </c>
      <c r="G143" s="69">
        <v>15000</v>
      </c>
      <c r="H143" s="69">
        <v>145000</v>
      </c>
      <c r="I143" s="69">
        <v>15000</v>
      </c>
      <c r="J143" s="69">
        <v>145000</v>
      </c>
      <c r="K143" s="69">
        <v>15000</v>
      </c>
      <c r="L143" s="69">
        <v>145000</v>
      </c>
      <c r="M143" s="69">
        <v>15000</v>
      </c>
      <c r="N143" s="69">
        <v>145000</v>
      </c>
      <c r="O143" s="69">
        <v>15000</v>
      </c>
      <c r="P143" s="69">
        <v>145000</v>
      </c>
      <c r="Q143" s="100">
        <v>15000</v>
      </c>
      <c r="R143" s="18">
        <v>145000</v>
      </c>
      <c r="S143" s="18">
        <v>15000</v>
      </c>
      <c r="T143" s="19">
        <v>145000</v>
      </c>
      <c r="U143" s="18">
        <v>15000</v>
      </c>
      <c r="V143" s="51"/>
      <c r="W143" s="51"/>
      <c r="X143" s="66"/>
      <c r="Y143" s="72"/>
      <c r="Z143" s="51"/>
      <c r="AA143" s="51"/>
      <c r="AB143" s="51"/>
      <c r="AC143" s="51"/>
      <c r="AD143" s="80"/>
      <c r="AE143" s="80"/>
      <c r="AF143" s="69">
        <v>0</v>
      </c>
      <c r="AG143" s="69">
        <v>0</v>
      </c>
      <c r="AH143" s="69">
        <v>0</v>
      </c>
      <c r="AI143" s="69"/>
      <c r="AJ143" s="69"/>
      <c r="AK143" s="69"/>
      <c r="AL143" s="69"/>
      <c r="AM143" s="69"/>
      <c r="AN143" s="69"/>
      <c r="AO143" s="69"/>
      <c r="AP143" s="69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</row>
    <row r="144" spans="1:65" outlineLevel="1">
      <c r="A144" s="51"/>
      <c r="B144" s="51" t="s">
        <v>16</v>
      </c>
      <c r="C144" s="51"/>
      <c r="D144" s="51"/>
      <c r="E144" s="54">
        <f>SUM(F144:BM144)</f>
        <v>1000000</v>
      </c>
      <c r="F144" s="69">
        <v>125000</v>
      </c>
      <c r="G144" s="69">
        <v>0</v>
      </c>
      <c r="H144" s="69">
        <v>125000</v>
      </c>
      <c r="I144" s="69"/>
      <c r="J144" s="69">
        <v>125000</v>
      </c>
      <c r="K144" s="69"/>
      <c r="L144" s="69">
        <v>125000</v>
      </c>
      <c r="M144" s="69"/>
      <c r="N144" s="69">
        <v>125000</v>
      </c>
      <c r="O144" s="69"/>
      <c r="P144" s="69">
        <v>125000</v>
      </c>
      <c r="Q144" s="100"/>
      <c r="R144">
        <v>125000</v>
      </c>
      <c r="S144" s="51"/>
      <c r="T144" s="19">
        <v>125000</v>
      </c>
      <c r="U144" s="51"/>
      <c r="V144" s="51"/>
      <c r="W144" s="51"/>
      <c r="X144" s="66"/>
      <c r="Y144" s="72"/>
      <c r="Z144" s="51"/>
      <c r="AA144" s="51"/>
      <c r="AB144" s="51"/>
      <c r="AC144" s="51"/>
      <c r="AD144" s="80"/>
      <c r="AE144" s="80"/>
      <c r="AF144" s="69">
        <v>0</v>
      </c>
      <c r="AG144" s="69">
        <v>0</v>
      </c>
      <c r="AH144" s="69"/>
      <c r="AI144" s="69"/>
      <c r="AJ144" s="69"/>
      <c r="AK144" s="69"/>
      <c r="AL144" s="69"/>
      <c r="AM144" s="69"/>
      <c r="AN144" s="69"/>
      <c r="AO144" s="69"/>
      <c r="AP144" s="69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</row>
    <row r="145" spans="1:42" outlineLevel="1">
      <c r="A145" s="51" t="s">
        <v>17</v>
      </c>
      <c r="B145" s="51"/>
      <c r="C145" s="51"/>
      <c r="D145" s="51"/>
      <c r="E145" s="54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100"/>
      <c r="R145" s="51"/>
      <c r="S145" s="51"/>
      <c r="T145" s="72"/>
      <c r="U145" s="51"/>
      <c r="V145" s="51"/>
      <c r="W145" s="51"/>
      <c r="X145" s="66"/>
      <c r="Y145" s="72"/>
      <c r="Z145" s="51"/>
      <c r="AA145" s="51"/>
      <c r="AB145" s="51"/>
      <c r="AC145" s="51"/>
      <c r="AD145" s="80"/>
      <c r="AE145" s="80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</row>
    <row r="146" spans="1:42" outlineLevel="1">
      <c r="A146" s="51"/>
      <c r="B146" t="s">
        <v>18</v>
      </c>
      <c r="C146" s="51"/>
      <c r="D146" s="51"/>
      <c r="E146" s="54">
        <f t="shared" ref="E146:E155" si="48">SUM(F146:BM146)</f>
        <v>3825000</v>
      </c>
      <c r="F146" s="69">
        <v>950000</v>
      </c>
      <c r="G146" s="69">
        <v>450000</v>
      </c>
      <c r="H146" s="69">
        <v>475000</v>
      </c>
      <c r="I146" s="69">
        <v>175000</v>
      </c>
      <c r="J146" s="69">
        <v>475000</v>
      </c>
      <c r="K146" s="69">
        <v>200000</v>
      </c>
      <c r="L146" s="69">
        <v>475000</v>
      </c>
      <c r="M146" s="69"/>
      <c r="N146" s="69">
        <v>475000</v>
      </c>
      <c r="O146" s="69"/>
      <c r="P146" s="69">
        <v>50000</v>
      </c>
      <c r="Q146" s="100"/>
      <c r="R146" s="51">
        <v>50000</v>
      </c>
      <c r="S146" s="51"/>
      <c r="T146" s="72">
        <v>50000</v>
      </c>
      <c r="U146" s="51"/>
      <c r="V146" s="51"/>
      <c r="W146" s="51"/>
      <c r="X146" s="66"/>
      <c r="Y146" s="72"/>
      <c r="Z146" s="51"/>
      <c r="AA146" s="51"/>
      <c r="AB146" s="51"/>
      <c r="AC146" s="51"/>
      <c r="AD146" s="80"/>
      <c r="AE146" s="80"/>
      <c r="AF146" s="69">
        <v>0</v>
      </c>
      <c r="AG146" s="69">
        <v>0</v>
      </c>
      <c r="AH146" s="69">
        <v>0</v>
      </c>
      <c r="AI146" s="69">
        <v>0</v>
      </c>
      <c r="AJ146" s="69"/>
      <c r="AK146" s="69"/>
      <c r="AL146" s="69"/>
      <c r="AM146" s="69"/>
      <c r="AN146" s="69"/>
      <c r="AO146" s="69"/>
      <c r="AP146" s="69"/>
    </row>
    <row r="147" spans="1:42" outlineLevel="1">
      <c r="A147" s="51"/>
      <c r="B147" t="s">
        <v>19</v>
      </c>
      <c r="C147" s="51"/>
      <c r="D147" s="51"/>
      <c r="E147" s="54">
        <f t="shared" si="48"/>
        <v>2850000</v>
      </c>
      <c r="F147" s="69">
        <v>2150000</v>
      </c>
      <c r="G147" s="69">
        <v>0</v>
      </c>
      <c r="H147" s="69">
        <v>200000</v>
      </c>
      <c r="I147" s="69"/>
      <c r="J147" s="69">
        <v>50000</v>
      </c>
      <c r="K147" s="69"/>
      <c r="L147" s="69">
        <v>50000</v>
      </c>
      <c r="M147" s="69"/>
      <c r="N147" s="69">
        <v>250000</v>
      </c>
      <c r="O147" s="69"/>
      <c r="P147" s="69">
        <v>50000</v>
      </c>
      <c r="Q147" s="100"/>
      <c r="R147" s="51">
        <v>50000</v>
      </c>
      <c r="S147" s="51"/>
      <c r="T147" s="72">
        <v>50000</v>
      </c>
      <c r="U147" s="51"/>
      <c r="V147" s="51"/>
      <c r="W147" s="51"/>
      <c r="X147" s="66"/>
      <c r="Y147" s="72"/>
      <c r="Z147" s="51"/>
      <c r="AA147" s="51"/>
      <c r="AB147" s="51"/>
      <c r="AC147" s="51"/>
      <c r="AD147" s="80"/>
      <c r="AE147" s="80"/>
      <c r="AF147" s="69">
        <v>0</v>
      </c>
      <c r="AG147" s="69">
        <v>0</v>
      </c>
      <c r="AH147" s="69">
        <v>0</v>
      </c>
      <c r="AI147" s="69"/>
      <c r="AJ147" s="69"/>
      <c r="AK147" s="69"/>
      <c r="AL147" s="69"/>
      <c r="AM147" s="69"/>
      <c r="AN147" s="69"/>
      <c r="AO147" s="69"/>
      <c r="AP147" s="69"/>
    </row>
    <row r="148" spans="1:42" outlineLevel="1">
      <c r="A148" s="51"/>
      <c r="B148" s="51" t="s">
        <v>20</v>
      </c>
      <c r="C148" s="51"/>
      <c r="D148" s="51"/>
      <c r="E148" s="54">
        <f t="shared" si="48"/>
        <v>1580000</v>
      </c>
      <c r="F148" s="69">
        <v>175000</v>
      </c>
      <c r="G148" s="69">
        <v>30000</v>
      </c>
      <c r="H148" s="69">
        <v>175000</v>
      </c>
      <c r="I148" s="69">
        <v>30000</v>
      </c>
      <c r="J148" s="69">
        <v>175000</v>
      </c>
      <c r="K148" s="69">
        <v>30000</v>
      </c>
      <c r="L148" s="69">
        <v>175000</v>
      </c>
      <c r="M148" s="69">
        <v>30000</v>
      </c>
      <c r="N148" s="69">
        <v>175000</v>
      </c>
      <c r="O148" s="69"/>
      <c r="P148" s="69">
        <v>175000</v>
      </c>
      <c r="Q148" s="100">
        <v>30000</v>
      </c>
      <c r="R148" s="18">
        <v>175000</v>
      </c>
      <c r="S148" s="51"/>
      <c r="T148" s="19">
        <v>175000</v>
      </c>
      <c r="U148" s="51"/>
      <c r="V148" s="51"/>
      <c r="W148" s="51"/>
      <c r="X148" s="66"/>
      <c r="Y148" s="72">
        <v>30000</v>
      </c>
      <c r="Z148" s="51"/>
      <c r="AA148" s="51"/>
      <c r="AB148" s="51"/>
      <c r="AC148" s="51"/>
      <c r="AD148" s="80"/>
      <c r="AE148" s="80"/>
      <c r="AF148" s="69">
        <v>0</v>
      </c>
      <c r="AG148" s="69">
        <v>0</v>
      </c>
      <c r="AH148" s="69">
        <v>0</v>
      </c>
      <c r="AI148" s="69">
        <v>0</v>
      </c>
      <c r="AJ148" s="69"/>
      <c r="AK148" s="69"/>
      <c r="AL148" s="69"/>
      <c r="AM148" s="69"/>
      <c r="AN148" s="69"/>
      <c r="AO148" s="69"/>
      <c r="AP148" s="69"/>
    </row>
    <row r="149" spans="1:42" outlineLevel="1">
      <c r="A149" s="51"/>
      <c r="B149" s="51" t="s">
        <v>21</v>
      </c>
      <c r="C149" s="51"/>
      <c r="D149" s="51"/>
      <c r="E149" s="54">
        <f t="shared" si="48"/>
        <v>900000</v>
      </c>
      <c r="F149" s="69">
        <v>450000</v>
      </c>
      <c r="G149" s="69">
        <v>0</v>
      </c>
      <c r="H149" s="69">
        <v>0</v>
      </c>
      <c r="I149" s="69">
        <v>450000</v>
      </c>
      <c r="J149" s="69"/>
      <c r="K149" s="69"/>
      <c r="L149" s="69"/>
      <c r="M149" s="69"/>
      <c r="N149" s="69"/>
      <c r="O149" s="69"/>
      <c r="P149" s="69"/>
      <c r="Q149" s="100"/>
      <c r="R149" s="51"/>
      <c r="S149" s="51"/>
      <c r="T149" s="72"/>
      <c r="U149" s="51"/>
      <c r="V149" s="51"/>
      <c r="W149" s="51"/>
      <c r="X149" s="66"/>
      <c r="Y149" s="72"/>
      <c r="Z149" s="51"/>
      <c r="AA149" s="51"/>
      <c r="AB149" s="51"/>
      <c r="AC149" s="51"/>
      <c r="AD149" s="80"/>
      <c r="AE149" s="80"/>
      <c r="AF149" s="69">
        <v>0</v>
      </c>
      <c r="AG149" s="69">
        <v>0</v>
      </c>
      <c r="AH149" s="69">
        <v>0</v>
      </c>
      <c r="AI149" s="69"/>
      <c r="AJ149" s="69"/>
      <c r="AK149" s="69"/>
      <c r="AL149" s="69"/>
      <c r="AM149" s="69"/>
      <c r="AN149" s="69"/>
      <c r="AO149" s="69"/>
      <c r="AP149" s="69"/>
    </row>
    <row r="150" spans="1:42" outlineLevel="1">
      <c r="A150" s="51"/>
      <c r="B150" s="51" t="s">
        <v>22</v>
      </c>
      <c r="C150" s="51"/>
      <c r="D150" s="51"/>
      <c r="E150" s="54">
        <f t="shared" si="48"/>
        <v>2685000</v>
      </c>
      <c r="F150" s="69">
        <v>1600000</v>
      </c>
      <c r="G150" s="69">
        <v>0</v>
      </c>
      <c r="H150" s="69">
        <v>150000</v>
      </c>
      <c r="I150" s="69">
        <v>0</v>
      </c>
      <c r="J150" s="69">
        <v>150000</v>
      </c>
      <c r="K150" s="69"/>
      <c r="L150" s="69">
        <v>150000</v>
      </c>
      <c r="M150" s="69"/>
      <c r="N150" s="69">
        <v>150000</v>
      </c>
      <c r="O150" s="69"/>
      <c r="P150" s="69">
        <v>150000</v>
      </c>
      <c r="Q150" s="100"/>
      <c r="R150" s="20">
        <v>150000</v>
      </c>
      <c r="S150" s="51"/>
      <c r="T150" s="19">
        <v>150000</v>
      </c>
      <c r="U150" s="51"/>
      <c r="V150" s="51"/>
      <c r="W150" s="51"/>
      <c r="X150" s="66"/>
      <c r="Y150" s="72">
        <v>35000</v>
      </c>
      <c r="Z150" s="51"/>
      <c r="AA150" s="51"/>
      <c r="AB150" s="51"/>
      <c r="AC150" s="51"/>
      <c r="AD150" s="80"/>
      <c r="AE150" s="80"/>
      <c r="AF150" s="69">
        <v>0</v>
      </c>
      <c r="AG150" s="69">
        <v>0</v>
      </c>
      <c r="AH150" s="69">
        <v>0</v>
      </c>
      <c r="AI150" s="69">
        <v>0</v>
      </c>
      <c r="AJ150" s="69"/>
      <c r="AK150" s="69"/>
      <c r="AL150" s="69"/>
      <c r="AM150" s="69"/>
      <c r="AN150" s="69"/>
      <c r="AO150" s="69"/>
      <c r="AP150" s="69"/>
    </row>
    <row r="151" spans="1:42" outlineLevel="1">
      <c r="A151" s="51"/>
      <c r="B151" s="51" t="s">
        <v>23</v>
      </c>
      <c r="C151" s="51"/>
      <c r="D151" s="51"/>
      <c r="E151" s="54">
        <f t="shared" si="48"/>
        <v>1360000</v>
      </c>
      <c r="F151" s="69">
        <v>1200000</v>
      </c>
      <c r="G151" s="69">
        <v>0</v>
      </c>
      <c r="H151" s="69">
        <v>20000</v>
      </c>
      <c r="I151" s="69"/>
      <c r="J151" s="69">
        <v>20000</v>
      </c>
      <c r="K151" s="69"/>
      <c r="L151" s="69">
        <v>20000</v>
      </c>
      <c r="M151" s="69"/>
      <c r="N151" s="69">
        <v>20000</v>
      </c>
      <c r="O151" s="69"/>
      <c r="P151" s="69">
        <v>20000</v>
      </c>
      <c r="Q151" s="100"/>
      <c r="R151" s="20">
        <v>20000</v>
      </c>
      <c r="S151" s="51"/>
      <c r="T151" s="19">
        <v>20000</v>
      </c>
      <c r="U151" s="51"/>
      <c r="V151" s="51"/>
      <c r="W151" s="51"/>
      <c r="X151" s="66"/>
      <c r="Y151" s="72">
        <v>20000</v>
      </c>
      <c r="Z151" s="51"/>
      <c r="AA151" s="51"/>
      <c r="AB151" s="51"/>
      <c r="AC151" s="51"/>
      <c r="AD151" s="80"/>
      <c r="AE151" s="80"/>
      <c r="AF151" s="69">
        <v>0</v>
      </c>
      <c r="AG151" s="69">
        <v>0</v>
      </c>
      <c r="AH151" s="69">
        <v>0</v>
      </c>
      <c r="AI151" s="69">
        <v>0</v>
      </c>
      <c r="AJ151" s="69"/>
      <c r="AK151" s="69"/>
      <c r="AL151" s="69"/>
      <c r="AM151" s="69"/>
      <c r="AN151" s="69"/>
      <c r="AO151" s="69"/>
      <c r="AP151" s="69"/>
    </row>
    <row r="152" spans="1:42" outlineLevel="1">
      <c r="A152" s="51"/>
      <c r="B152" s="51" t="s">
        <v>24</v>
      </c>
      <c r="C152" s="51"/>
      <c r="D152" s="51"/>
      <c r="E152" s="54">
        <f t="shared" si="48"/>
        <v>1380000</v>
      </c>
      <c r="F152" s="69">
        <v>1300000</v>
      </c>
      <c r="G152" s="69">
        <v>0</v>
      </c>
      <c r="H152" s="69">
        <v>10000</v>
      </c>
      <c r="I152" s="69">
        <v>0</v>
      </c>
      <c r="J152" s="69">
        <v>10000</v>
      </c>
      <c r="K152" s="69"/>
      <c r="L152" s="69">
        <v>10000</v>
      </c>
      <c r="M152" s="69"/>
      <c r="N152" s="69">
        <v>10000</v>
      </c>
      <c r="O152" s="69"/>
      <c r="P152" s="69">
        <v>10000</v>
      </c>
      <c r="Q152" s="100"/>
      <c r="R152" s="20">
        <v>10000</v>
      </c>
      <c r="S152" s="51"/>
      <c r="T152" s="19">
        <v>10000</v>
      </c>
      <c r="U152" s="51"/>
      <c r="V152" s="51"/>
      <c r="W152" s="51"/>
      <c r="X152" s="66"/>
      <c r="Y152" s="19">
        <v>10000</v>
      </c>
      <c r="Z152" s="51"/>
      <c r="AA152" s="51"/>
      <c r="AB152" s="51"/>
      <c r="AC152" s="51"/>
      <c r="AD152" s="80"/>
      <c r="AE152" s="80"/>
      <c r="AF152" s="69">
        <v>0</v>
      </c>
      <c r="AG152" s="69">
        <v>0</v>
      </c>
      <c r="AH152" s="69">
        <v>0</v>
      </c>
      <c r="AI152" s="69">
        <v>0</v>
      </c>
      <c r="AJ152" s="69"/>
      <c r="AK152" s="69"/>
      <c r="AL152" s="69"/>
      <c r="AM152" s="69"/>
      <c r="AN152" s="69"/>
      <c r="AO152" s="69"/>
      <c r="AP152" s="69"/>
    </row>
    <row r="153" spans="1:42" outlineLevel="1">
      <c r="A153" s="51"/>
      <c r="B153" s="51" t="s">
        <v>25</v>
      </c>
      <c r="C153" s="51"/>
      <c r="D153" s="51"/>
      <c r="E153" s="54">
        <f t="shared" si="48"/>
        <v>1345000</v>
      </c>
      <c r="F153" s="69">
        <v>975000</v>
      </c>
      <c r="G153" s="69"/>
      <c r="H153" s="69">
        <v>50000</v>
      </c>
      <c r="I153" s="69"/>
      <c r="J153" s="69">
        <v>50000</v>
      </c>
      <c r="K153" s="69"/>
      <c r="L153" s="69">
        <v>50000</v>
      </c>
      <c r="M153" s="69"/>
      <c r="N153" s="69">
        <v>50000</v>
      </c>
      <c r="O153" s="69"/>
      <c r="P153" s="69">
        <v>50000</v>
      </c>
      <c r="Q153" s="100"/>
      <c r="R153" s="20">
        <v>50000</v>
      </c>
      <c r="S153" s="51"/>
      <c r="T153" s="19">
        <v>50000</v>
      </c>
      <c r="U153" s="51"/>
      <c r="V153" s="51"/>
      <c r="W153" s="51"/>
      <c r="X153" s="66"/>
      <c r="Y153" s="19">
        <v>20000</v>
      </c>
      <c r="Z153" s="51"/>
      <c r="AA153" s="51"/>
      <c r="AB153" s="51"/>
      <c r="AC153" s="51"/>
      <c r="AD153" s="80"/>
      <c r="AE153" s="80"/>
      <c r="AF153" s="69">
        <v>0</v>
      </c>
      <c r="AG153" s="69"/>
      <c r="AH153" s="69">
        <v>0</v>
      </c>
      <c r="AI153" s="69">
        <v>0</v>
      </c>
      <c r="AJ153" s="69"/>
      <c r="AK153" s="69"/>
      <c r="AL153" s="69"/>
      <c r="AM153" s="69"/>
      <c r="AN153" s="69"/>
      <c r="AO153" s="69"/>
      <c r="AP153" s="69"/>
    </row>
    <row r="154" spans="1:42" outlineLevel="1">
      <c r="A154" s="51"/>
      <c r="B154" t="s">
        <v>26</v>
      </c>
      <c r="C154" s="51"/>
      <c r="D154" s="51"/>
      <c r="E154" s="54">
        <f t="shared" si="48"/>
        <v>1625000</v>
      </c>
      <c r="F154" s="69">
        <v>200000</v>
      </c>
      <c r="G154" s="69">
        <v>0</v>
      </c>
      <c r="H154" s="69">
        <v>200000</v>
      </c>
      <c r="I154" s="69">
        <v>25000</v>
      </c>
      <c r="J154" s="69">
        <v>200000</v>
      </c>
      <c r="K154" s="69"/>
      <c r="L154" s="69">
        <v>200000</v>
      </c>
      <c r="M154" s="69"/>
      <c r="N154" s="69">
        <v>200000</v>
      </c>
      <c r="O154" s="69"/>
      <c r="P154" s="69">
        <v>200000</v>
      </c>
      <c r="Q154" s="100"/>
      <c r="R154" s="20">
        <v>200000</v>
      </c>
      <c r="S154" s="51"/>
      <c r="T154" s="19">
        <v>200000</v>
      </c>
      <c r="U154" s="51"/>
      <c r="V154" s="51"/>
      <c r="W154" s="51"/>
      <c r="X154" s="66"/>
      <c r="Y154" s="72"/>
      <c r="Z154" s="51"/>
      <c r="AA154" s="51"/>
      <c r="AB154" s="51"/>
      <c r="AC154" s="51"/>
      <c r="AD154" s="80"/>
      <c r="AE154" s="80"/>
      <c r="AF154" s="69">
        <v>0</v>
      </c>
      <c r="AG154" s="69">
        <v>0</v>
      </c>
      <c r="AH154" s="69">
        <v>0</v>
      </c>
      <c r="AI154" s="69">
        <v>0</v>
      </c>
      <c r="AJ154" s="69"/>
      <c r="AK154" s="69"/>
      <c r="AL154" s="69"/>
      <c r="AM154" s="69"/>
      <c r="AN154" s="69"/>
      <c r="AO154" s="69"/>
      <c r="AP154" s="69"/>
    </row>
    <row r="155" spans="1:42" outlineLevel="1">
      <c r="A155" s="51"/>
      <c r="B155" t="s">
        <v>27</v>
      </c>
      <c r="C155" s="51"/>
      <c r="D155" s="51"/>
      <c r="E155" s="54">
        <f t="shared" si="48"/>
        <v>3180000</v>
      </c>
      <c r="F155" s="69">
        <v>375000</v>
      </c>
      <c r="G155" s="69">
        <v>20000</v>
      </c>
      <c r="H155" s="69">
        <v>375000</v>
      </c>
      <c r="I155" s="69">
        <v>20000</v>
      </c>
      <c r="J155" s="69">
        <v>375000</v>
      </c>
      <c r="K155" s="69">
        <v>20000</v>
      </c>
      <c r="L155" s="69">
        <v>375000</v>
      </c>
      <c r="M155" s="69">
        <v>20000</v>
      </c>
      <c r="N155" s="69">
        <v>375000</v>
      </c>
      <c r="O155" s="69">
        <v>20000</v>
      </c>
      <c r="P155" s="69">
        <v>375000</v>
      </c>
      <c r="Q155" s="100">
        <v>20000</v>
      </c>
      <c r="R155" s="18">
        <v>375000</v>
      </c>
      <c r="S155" s="18">
        <v>20000</v>
      </c>
      <c r="T155" s="18">
        <v>375000</v>
      </c>
      <c r="U155" s="18">
        <v>20000</v>
      </c>
      <c r="V155" s="51"/>
      <c r="W155" s="51"/>
      <c r="X155" s="66"/>
      <c r="Y155" s="19">
        <v>20000</v>
      </c>
      <c r="Z155" s="51"/>
      <c r="AA155" s="51"/>
      <c r="AB155" s="51"/>
      <c r="AC155" s="51"/>
      <c r="AD155" s="80"/>
      <c r="AE155" s="80"/>
      <c r="AF155" s="69">
        <v>0</v>
      </c>
      <c r="AG155" s="69">
        <v>0</v>
      </c>
      <c r="AH155" s="69">
        <v>0</v>
      </c>
      <c r="AI155" s="69">
        <v>0</v>
      </c>
      <c r="AJ155" s="69"/>
      <c r="AK155" s="69"/>
      <c r="AL155" s="69"/>
      <c r="AM155" s="69"/>
      <c r="AN155" s="69"/>
      <c r="AO155" s="69"/>
      <c r="AP155" s="69"/>
    </row>
    <row r="156" spans="1:42" outlineLevel="1">
      <c r="A156" s="51" t="s">
        <v>28</v>
      </c>
      <c r="B156" s="51"/>
      <c r="C156" s="51"/>
      <c r="D156" s="51"/>
      <c r="E156" s="54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100"/>
      <c r="R156" s="51"/>
      <c r="S156" s="51"/>
      <c r="T156" s="51"/>
      <c r="U156" s="51"/>
      <c r="V156" s="51"/>
      <c r="W156" s="51"/>
      <c r="X156" s="66"/>
      <c r="Y156" s="51"/>
      <c r="Z156" s="51"/>
      <c r="AA156" s="51"/>
      <c r="AB156" s="51"/>
      <c r="AC156" s="51"/>
      <c r="AD156" s="80"/>
      <c r="AE156" s="80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</row>
    <row r="157" spans="1:42" outlineLevel="1">
      <c r="A157" s="51"/>
      <c r="B157" s="51" t="s">
        <v>29</v>
      </c>
      <c r="C157" s="51"/>
      <c r="D157" s="51"/>
      <c r="E157" s="54">
        <f>SUM(F157:BM157)</f>
        <v>1440000</v>
      </c>
      <c r="F157" s="69">
        <v>0</v>
      </c>
      <c r="G157" s="69">
        <v>180000</v>
      </c>
      <c r="H157" s="69">
        <v>180000</v>
      </c>
      <c r="I157" s="69"/>
      <c r="J157" s="69">
        <v>180000</v>
      </c>
      <c r="K157" s="69">
        <v>180000</v>
      </c>
      <c r="L157" s="69"/>
      <c r="M157" s="69"/>
      <c r="N157" s="69">
        <v>180000</v>
      </c>
      <c r="O157" s="69"/>
      <c r="P157" s="69"/>
      <c r="Q157" s="100">
        <v>180000</v>
      </c>
      <c r="R157" s="51"/>
      <c r="S157" s="51"/>
      <c r="T157" s="19">
        <v>180000</v>
      </c>
      <c r="U157" s="51"/>
      <c r="V157" s="51"/>
      <c r="W157" s="51"/>
      <c r="X157" s="66">
        <v>180000</v>
      </c>
      <c r="Y157" s="51"/>
      <c r="Z157" s="51"/>
      <c r="AA157" s="51"/>
      <c r="AB157" s="51"/>
      <c r="AC157" s="51"/>
      <c r="AD157" s="80"/>
      <c r="AE157" s="80"/>
      <c r="AF157" s="69">
        <v>0</v>
      </c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</row>
    <row r="158" spans="1:42" outlineLevel="1">
      <c r="A158" s="51"/>
      <c r="B158" s="51" t="s">
        <v>30</v>
      </c>
      <c r="C158" s="51"/>
      <c r="D158" s="51"/>
      <c r="E158" s="54">
        <f>SUM(F158:BM158)</f>
        <v>2860000</v>
      </c>
      <c r="F158" s="69">
        <v>350000</v>
      </c>
      <c r="G158" s="69">
        <v>0</v>
      </c>
      <c r="H158" s="69">
        <v>350000</v>
      </c>
      <c r="I158" s="69">
        <v>15000</v>
      </c>
      <c r="J158" s="69">
        <v>350000</v>
      </c>
      <c r="K158" s="69"/>
      <c r="L158" s="69">
        <v>350000</v>
      </c>
      <c r="M158" s="69">
        <v>15000</v>
      </c>
      <c r="N158" s="69">
        <v>350000</v>
      </c>
      <c r="O158" s="69"/>
      <c r="P158" s="69">
        <v>350000</v>
      </c>
      <c r="Q158" s="100">
        <v>15000</v>
      </c>
      <c r="R158" s="18">
        <v>350000</v>
      </c>
      <c r="S158" s="51"/>
      <c r="T158" s="19">
        <v>350000</v>
      </c>
      <c r="U158" s="51"/>
      <c r="V158" s="51"/>
      <c r="W158" s="51"/>
      <c r="X158" s="66">
        <v>15000</v>
      </c>
      <c r="Y158" s="51"/>
      <c r="Z158" s="51"/>
      <c r="AA158" s="51"/>
      <c r="AB158" s="51"/>
      <c r="AC158" s="51"/>
      <c r="AD158" s="80"/>
      <c r="AE158" s="80">
        <v>0</v>
      </c>
      <c r="AF158" s="69">
        <v>0</v>
      </c>
      <c r="AG158" s="69">
        <v>0</v>
      </c>
      <c r="AH158" s="69"/>
      <c r="AI158" s="69"/>
      <c r="AJ158" s="69"/>
      <c r="AK158" s="69"/>
      <c r="AL158" s="69"/>
      <c r="AM158" s="69"/>
      <c r="AN158" s="69"/>
      <c r="AO158" s="69"/>
      <c r="AP158" s="69"/>
    </row>
    <row r="159" spans="1:42" outlineLevel="1">
      <c r="A159" s="51"/>
      <c r="B159" s="51" t="s">
        <v>31</v>
      </c>
      <c r="C159" s="51"/>
      <c r="D159" s="51"/>
      <c r="E159" s="54">
        <f>SUM(F159:BM159)</f>
        <v>2120000</v>
      </c>
      <c r="F159" s="69">
        <v>0</v>
      </c>
      <c r="G159" s="69">
        <v>250000</v>
      </c>
      <c r="H159" s="69">
        <v>20000</v>
      </c>
      <c r="I159" s="69"/>
      <c r="J159" s="69">
        <v>250000</v>
      </c>
      <c r="K159" s="69">
        <v>20000</v>
      </c>
      <c r="L159" s="69">
        <v>250000</v>
      </c>
      <c r="M159" s="69">
        <v>20000</v>
      </c>
      <c r="N159" s="69">
        <v>250000</v>
      </c>
      <c r="O159" s="69">
        <v>20000</v>
      </c>
      <c r="P159" s="69">
        <v>250000</v>
      </c>
      <c r="Q159" s="100"/>
      <c r="R159" s="18">
        <v>250000</v>
      </c>
      <c r="S159" s="51"/>
      <c r="T159" s="19">
        <v>250000</v>
      </c>
      <c r="U159" s="18">
        <v>20000</v>
      </c>
      <c r="V159" s="51"/>
      <c r="W159" s="51"/>
      <c r="X159" s="66">
        <v>250000</v>
      </c>
      <c r="Y159" s="51">
        <v>20000</v>
      </c>
      <c r="Z159" s="51"/>
      <c r="AA159" s="51"/>
      <c r="AB159" s="51"/>
      <c r="AC159" s="51"/>
      <c r="AD159" s="80"/>
      <c r="AE159" s="80"/>
      <c r="AF159" s="69">
        <v>0</v>
      </c>
      <c r="AG159" s="69">
        <v>0</v>
      </c>
      <c r="AH159" s="69">
        <v>0</v>
      </c>
      <c r="AI159" s="69"/>
      <c r="AJ159" s="69"/>
      <c r="AK159" s="69"/>
      <c r="AL159" s="69"/>
      <c r="AM159" s="69"/>
      <c r="AN159" s="69"/>
      <c r="AO159" s="69"/>
      <c r="AP159" s="69"/>
    </row>
    <row r="160" spans="1:42" outlineLevel="1">
      <c r="A160" s="51"/>
      <c r="B160" s="51" t="s">
        <v>32</v>
      </c>
      <c r="C160" s="51"/>
      <c r="D160" s="51"/>
      <c r="E160" s="54">
        <f>SUM(F160:BM160)</f>
        <v>2100000</v>
      </c>
      <c r="F160" s="69">
        <v>450000</v>
      </c>
      <c r="G160" s="69"/>
      <c r="H160" s="69">
        <v>50000</v>
      </c>
      <c r="I160" s="69"/>
      <c r="J160" s="69">
        <v>50000</v>
      </c>
      <c r="K160" s="69"/>
      <c r="L160" s="69">
        <v>450000</v>
      </c>
      <c r="M160" s="69"/>
      <c r="N160" s="69">
        <v>50000</v>
      </c>
      <c r="O160" s="69"/>
      <c r="P160" s="69">
        <v>450000</v>
      </c>
      <c r="Q160" s="100"/>
      <c r="R160" s="18">
        <v>50000</v>
      </c>
      <c r="S160" s="51"/>
      <c r="T160" s="19">
        <v>450000</v>
      </c>
      <c r="U160" s="51"/>
      <c r="V160" s="72">
        <v>50000</v>
      </c>
      <c r="W160" s="72">
        <v>50000</v>
      </c>
      <c r="X160" s="66"/>
      <c r="Y160" s="51"/>
      <c r="Z160" s="51"/>
      <c r="AA160" s="51"/>
      <c r="AB160" s="51"/>
      <c r="AC160" s="51"/>
      <c r="AD160" s="80"/>
      <c r="AE160" s="80"/>
      <c r="AF160" s="69">
        <v>0</v>
      </c>
      <c r="AG160" s="69"/>
      <c r="AH160" s="69">
        <v>0</v>
      </c>
      <c r="AI160" s="69"/>
      <c r="AJ160" s="69"/>
      <c r="AK160" s="69"/>
      <c r="AL160" s="69"/>
      <c r="AM160" s="69"/>
      <c r="AN160" s="69"/>
      <c r="AO160" s="69"/>
      <c r="AP160" s="69"/>
    </row>
    <row r="161" spans="1:65" outlineLevel="1">
      <c r="A161" s="51"/>
      <c r="B161" s="51" t="s">
        <v>33</v>
      </c>
      <c r="C161" s="51"/>
      <c r="D161" s="51"/>
      <c r="E161" s="54">
        <f>SUM(F161:BM161)</f>
        <v>960000</v>
      </c>
      <c r="F161" s="69"/>
      <c r="G161" s="69">
        <v>800000</v>
      </c>
      <c r="H161" s="69">
        <v>20000</v>
      </c>
      <c r="I161" s="69"/>
      <c r="J161" s="69">
        <v>20000</v>
      </c>
      <c r="K161" s="69"/>
      <c r="L161" s="69">
        <v>20000</v>
      </c>
      <c r="M161" s="69"/>
      <c r="N161" s="69">
        <v>20000</v>
      </c>
      <c r="O161" s="69"/>
      <c r="P161" s="69">
        <v>20000</v>
      </c>
      <c r="Q161" s="100"/>
      <c r="R161" s="18">
        <v>20000</v>
      </c>
      <c r="S161" s="51"/>
      <c r="T161" s="19">
        <v>20000</v>
      </c>
      <c r="U161" s="51"/>
      <c r="V161" s="72"/>
      <c r="W161" s="72"/>
      <c r="X161" s="66">
        <v>20000</v>
      </c>
      <c r="Y161" s="51"/>
      <c r="Z161" s="51"/>
      <c r="AA161" s="51"/>
      <c r="AB161" s="51"/>
      <c r="AC161" s="51"/>
      <c r="AD161" s="80"/>
      <c r="AE161" s="80"/>
      <c r="AF161" s="69"/>
      <c r="AG161" s="69">
        <v>0</v>
      </c>
      <c r="AH161" s="69">
        <v>0</v>
      </c>
      <c r="AI161" s="69"/>
      <c r="AJ161" s="69">
        <v>0</v>
      </c>
      <c r="AK161" s="69"/>
      <c r="AL161" s="69"/>
      <c r="AM161" s="69"/>
      <c r="AN161" s="69"/>
      <c r="AO161" s="69"/>
      <c r="AP161" s="69"/>
      <c r="AQ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  <c r="BL161" s="51"/>
      <c r="BM161" s="51"/>
    </row>
    <row r="162" spans="1:65" outlineLevel="1">
      <c r="A162" s="51" t="s">
        <v>34</v>
      </c>
      <c r="B162" s="51"/>
      <c r="C162" s="51"/>
      <c r="D162" s="51"/>
      <c r="E162" s="54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100"/>
      <c r="R162" s="51"/>
      <c r="S162" s="51"/>
      <c r="T162" s="51"/>
      <c r="U162" s="51"/>
      <c r="V162" s="72"/>
      <c r="W162" s="72"/>
      <c r="X162" s="66"/>
      <c r="Y162" s="51"/>
      <c r="Z162" s="51"/>
      <c r="AA162" s="51"/>
      <c r="AB162" s="51"/>
      <c r="AC162" s="51"/>
      <c r="AD162" s="80"/>
      <c r="AE162" s="80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  <c r="BL162" s="51"/>
      <c r="BM162" s="51"/>
    </row>
    <row r="163" spans="1:65" outlineLevel="1">
      <c r="A163" s="51"/>
      <c r="B163" s="51" t="s">
        <v>35</v>
      </c>
      <c r="C163" s="51"/>
      <c r="D163" s="51"/>
      <c r="E163" s="54">
        <f>SUM(F163:BM163)</f>
        <v>960000</v>
      </c>
      <c r="F163" s="69">
        <v>120000</v>
      </c>
      <c r="G163" s="69">
        <v>0</v>
      </c>
      <c r="H163" s="69">
        <v>120000</v>
      </c>
      <c r="I163" s="69"/>
      <c r="J163" s="69">
        <v>120000</v>
      </c>
      <c r="K163" s="69"/>
      <c r="L163" s="69">
        <v>120000</v>
      </c>
      <c r="M163" s="69"/>
      <c r="N163" s="69">
        <v>120000</v>
      </c>
      <c r="O163" s="69"/>
      <c r="P163" s="69">
        <v>120000</v>
      </c>
      <c r="Q163" s="100"/>
      <c r="R163" s="18">
        <v>120000</v>
      </c>
      <c r="S163" s="51"/>
      <c r="T163" s="19">
        <v>120000</v>
      </c>
      <c r="U163" s="51"/>
      <c r="V163" s="72"/>
      <c r="W163" s="72"/>
      <c r="X163" s="66"/>
      <c r="Y163" s="51"/>
      <c r="Z163" s="51"/>
      <c r="AA163" s="51"/>
      <c r="AB163" s="51"/>
      <c r="AC163" s="51"/>
      <c r="AD163" s="80"/>
      <c r="AE163" s="80"/>
      <c r="AF163" s="69">
        <v>0</v>
      </c>
      <c r="AG163" s="69">
        <v>0</v>
      </c>
      <c r="AH163" s="69"/>
      <c r="AI163" s="69"/>
      <c r="AJ163" s="69"/>
      <c r="AK163" s="69"/>
      <c r="AL163" s="69"/>
      <c r="AM163" s="69"/>
      <c r="AN163" s="69"/>
      <c r="AO163" s="69"/>
      <c r="AP163" s="69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51"/>
      <c r="BJ163" s="51"/>
      <c r="BK163" s="51"/>
      <c r="BL163" s="51"/>
      <c r="BM163" s="51"/>
    </row>
    <row r="164" spans="1:65" outlineLevel="1">
      <c r="A164" s="51"/>
      <c r="B164" s="51" t="s">
        <v>36</v>
      </c>
      <c r="C164" s="51"/>
      <c r="D164" s="51"/>
      <c r="E164" s="54">
        <f>SUM(F164:BM164)</f>
        <v>960000</v>
      </c>
      <c r="F164" s="69">
        <v>120000</v>
      </c>
      <c r="G164" s="69">
        <v>0</v>
      </c>
      <c r="H164" s="69">
        <v>120000</v>
      </c>
      <c r="I164" s="69"/>
      <c r="J164" s="69">
        <v>120000</v>
      </c>
      <c r="K164" s="69"/>
      <c r="L164" s="69">
        <v>120000</v>
      </c>
      <c r="M164" s="69"/>
      <c r="N164" s="69">
        <v>120000</v>
      </c>
      <c r="O164" s="69"/>
      <c r="P164" s="69">
        <v>120000</v>
      </c>
      <c r="Q164" s="100"/>
      <c r="R164" s="18">
        <v>120000</v>
      </c>
      <c r="S164" s="51"/>
      <c r="T164" s="19">
        <v>120000</v>
      </c>
      <c r="U164" s="51"/>
      <c r="V164" s="72"/>
      <c r="W164" s="72"/>
      <c r="X164" s="66"/>
      <c r="Y164" s="51"/>
      <c r="Z164" s="51"/>
      <c r="AA164" s="51"/>
      <c r="AB164" s="51"/>
      <c r="AC164" s="51"/>
      <c r="AD164" s="80"/>
      <c r="AE164" s="80"/>
      <c r="AF164" s="69">
        <v>0</v>
      </c>
      <c r="AG164" s="69">
        <v>0</v>
      </c>
      <c r="AH164" s="69">
        <v>0</v>
      </c>
      <c r="AI164" s="69"/>
      <c r="AJ164" s="69"/>
      <c r="AK164" s="69"/>
      <c r="AL164" s="69"/>
      <c r="AM164" s="69"/>
      <c r="AN164" s="69"/>
      <c r="AO164" s="69"/>
      <c r="AP164" s="69"/>
      <c r="AQ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51"/>
      <c r="BD164" s="51"/>
      <c r="BE164" s="51"/>
      <c r="BF164" s="51"/>
      <c r="BG164" s="51"/>
      <c r="BH164" s="51"/>
      <c r="BI164" s="51"/>
      <c r="BJ164" s="51"/>
      <c r="BK164" s="51"/>
      <c r="BL164" s="51"/>
      <c r="BM164" s="51"/>
    </row>
    <row r="165" spans="1:65" outlineLevel="1">
      <c r="A165" s="51"/>
      <c r="B165" t="s">
        <v>37</v>
      </c>
      <c r="C165" s="51"/>
      <c r="D165" s="51"/>
      <c r="E165" s="54">
        <f>SUM(F165:BM165)</f>
        <v>580000</v>
      </c>
      <c r="F165" s="69">
        <v>50000</v>
      </c>
      <c r="G165" s="69">
        <v>0</v>
      </c>
      <c r="H165" s="69">
        <v>50000</v>
      </c>
      <c r="I165" s="69"/>
      <c r="J165" s="69">
        <v>80000</v>
      </c>
      <c r="K165" s="69"/>
      <c r="L165" s="69">
        <v>80000</v>
      </c>
      <c r="M165" s="69"/>
      <c r="N165" s="69">
        <v>80000</v>
      </c>
      <c r="O165" s="69"/>
      <c r="P165" s="69">
        <v>80000</v>
      </c>
      <c r="Q165" s="100"/>
      <c r="R165" s="18">
        <v>80000</v>
      </c>
      <c r="S165" s="51"/>
      <c r="T165" s="19">
        <v>80000</v>
      </c>
      <c r="U165" s="51"/>
      <c r="V165" s="72"/>
      <c r="W165" s="72"/>
      <c r="X165" s="66"/>
      <c r="Y165" s="51"/>
      <c r="Z165" s="51"/>
      <c r="AA165" s="51"/>
      <c r="AB165" s="51"/>
      <c r="AC165" s="51"/>
      <c r="AD165" s="80"/>
      <c r="AE165" s="80"/>
      <c r="AF165" s="69">
        <v>0</v>
      </c>
      <c r="AG165" s="69">
        <v>0</v>
      </c>
      <c r="AH165" s="69">
        <v>0</v>
      </c>
      <c r="AI165" s="69"/>
      <c r="AJ165" s="69"/>
      <c r="AK165" s="69"/>
      <c r="AL165" s="69"/>
      <c r="AM165" s="69"/>
      <c r="AN165" s="69"/>
      <c r="AO165" s="69"/>
      <c r="AP165" s="69"/>
      <c r="AQ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  <c r="BI165" s="51"/>
      <c r="BJ165" s="51"/>
      <c r="BK165" s="51"/>
      <c r="BL165" s="51"/>
      <c r="BM165" s="51"/>
    </row>
    <row r="166" spans="1:65" outlineLevel="1">
      <c r="A166"/>
      <c r="B166" s="51"/>
      <c r="C166" s="51"/>
      <c r="D166" s="51"/>
      <c r="E166" s="54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100"/>
      <c r="R166" s="51"/>
      <c r="S166" s="51"/>
      <c r="T166" s="51"/>
      <c r="U166" s="51"/>
      <c r="V166" s="72"/>
      <c r="W166" s="72"/>
      <c r="X166" s="66"/>
      <c r="Y166" s="51"/>
      <c r="Z166" s="51"/>
      <c r="AA166" s="51"/>
      <c r="AB166" s="51"/>
      <c r="AC166" s="51"/>
      <c r="AD166" s="80"/>
      <c r="AE166" s="80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  <c r="BI166" s="51"/>
      <c r="BJ166" s="51"/>
      <c r="BK166" s="51"/>
      <c r="BL166" s="51"/>
      <c r="BM166" s="51"/>
    </row>
    <row r="167" spans="1:65" outlineLevel="1">
      <c r="A167" t="s">
        <v>38</v>
      </c>
      <c r="B167"/>
      <c r="C167" s="51"/>
      <c r="D167" s="51"/>
      <c r="E167" s="54">
        <f t="shared" ref="E167:E173" si="49">SUM(F167:BM167)</f>
        <v>3804780.4</v>
      </c>
      <c r="F167" s="69">
        <f>SUM(F132:F165)*4%</f>
        <v>529400</v>
      </c>
      <c r="G167" s="69">
        <f t="shared" ref="G167:AO167" si="50">SUM(G132:G165)*4%</f>
        <v>394200</v>
      </c>
      <c r="H167" s="69">
        <f t="shared" si="50"/>
        <v>348800</v>
      </c>
      <c r="I167" s="69">
        <f t="shared" si="50"/>
        <v>141600</v>
      </c>
      <c r="J167" s="69">
        <f t="shared" si="50"/>
        <v>305940.40000000002</v>
      </c>
      <c r="K167" s="69">
        <f t="shared" si="50"/>
        <v>94000</v>
      </c>
      <c r="L167" s="69">
        <f t="shared" si="50"/>
        <v>292920</v>
      </c>
      <c r="M167" s="69">
        <f t="shared" si="50"/>
        <v>105400</v>
      </c>
      <c r="N167" s="69">
        <f t="shared" si="50"/>
        <v>279600</v>
      </c>
      <c r="O167" s="69">
        <f t="shared" si="50"/>
        <v>42800</v>
      </c>
      <c r="P167" s="69">
        <f t="shared" si="50"/>
        <v>276720</v>
      </c>
      <c r="Q167" s="69">
        <f t="shared" si="50"/>
        <v>67800</v>
      </c>
      <c r="R167" s="69">
        <f t="shared" si="50"/>
        <v>261600</v>
      </c>
      <c r="S167" s="69">
        <f t="shared" si="50"/>
        <v>88800</v>
      </c>
      <c r="T167" s="69">
        <f t="shared" si="50"/>
        <v>274600</v>
      </c>
      <c r="U167" s="69">
        <f t="shared" si="50"/>
        <v>37400</v>
      </c>
      <c r="V167" s="69">
        <f t="shared" si="50"/>
        <v>49000</v>
      </c>
      <c r="W167" s="69">
        <f t="shared" si="50"/>
        <v>68000</v>
      </c>
      <c r="X167" s="69">
        <f t="shared" si="50"/>
        <v>77800</v>
      </c>
      <c r="Y167" s="69">
        <f t="shared" si="50"/>
        <v>36400</v>
      </c>
      <c r="Z167" s="69">
        <f t="shared" si="50"/>
        <v>20000</v>
      </c>
      <c r="AA167" s="69">
        <f t="shared" si="50"/>
        <v>12000</v>
      </c>
      <c r="AB167" s="69">
        <f t="shared" si="50"/>
        <v>0</v>
      </c>
      <c r="AC167" s="69">
        <f t="shared" si="50"/>
        <v>0</v>
      </c>
      <c r="AD167" s="69">
        <f t="shared" si="50"/>
        <v>0</v>
      </c>
      <c r="AE167" s="69">
        <f t="shared" si="50"/>
        <v>0</v>
      </c>
      <c r="AF167" s="69">
        <f t="shared" si="50"/>
        <v>0</v>
      </c>
      <c r="AG167" s="69">
        <f t="shared" si="50"/>
        <v>0</v>
      </c>
      <c r="AH167" s="69">
        <f t="shared" si="50"/>
        <v>0</v>
      </c>
      <c r="AI167" s="69">
        <f t="shared" si="50"/>
        <v>0</v>
      </c>
      <c r="AJ167" s="69">
        <f t="shared" si="50"/>
        <v>0</v>
      </c>
      <c r="AK167" s="69">
        <f t="shared" si="50"/>
        <v>0</v>
      </c>
      <c r="AL167" s="69">
        <f t="shared" si="50"/>
        <v>0</v>
      </c>
      <c r="AM167" s="69">
        <f t="shared" si="50"/>
        <v>0</v>
      </c>
      <c r="AN167" s="69">
        <f t="shared" si="50"/>
        <v>0</v>
      </c>
      <c r="AO167" s="69">
        <f t="shared" si="50"/>
        <v>0</v>
      </c>
      <c r="AP167" s="69">
        <f t="shared" ref="AP167:BM167" si="51">SUM(AP132:AP165)*1%</f>
        <v>0</v>
      </c>
      <c r="AQ167" s="69">
        <f t="shared" si="51"/>
        <v>0</v>
      </c>
      <c r="AR167" s="69">
        <f t="shared" si="51"/>
        <v>0</v>
      </c>
      <c r="AS167" s="69">
        <f t="shared" si="51"/>
        <v>0</v>
      </c>
      <c r="AT167" s="69">
        <f t="shared" si="51"/>
        <v>0</v>
      </c>
      <c r="AU167" s="69">
        <f t="shared" si="51"/>
        <v>0</v>
      </c>
      <c r="AV167" s="69">
        <f t="shared" si="51"/>
        <v>0</v>
      </c>
      <c r="AW167" s="69">
        <f t="shared" si="51"/>
        <v>0</v>
      </c>
      <c r="AX167" s="69">
        <f t="shared" si="51"/>
        <v>0</v>
      </c>
      <c r="AY167" s="69">
        <f t="shared" si="51"/>
        <v>0</v>
      </c>
      <c r="AZ167" s="69">
        <f t="shared" si="51"/>
        <v>0</v>
      </c>
      <c r="BA167" s="69">
        <f t="shared" si="51"/>
        <v>0</v>
      </c>
      <c r="BB167" s="69">
        <f t="shared" si="51"/>
        <v>0</v>
      </c>
      <c r="BC167" s="69">
        <f t="shared" si="51"/>
        <v>0</v>
      </c>
      <c r="BD167" s="69">
        <f t="shared" si="51"/>
        <v>0</v>
      </c>
      <c r="BE167" s="69">
        <f t="shared" si="51"/>
        <v>0</v>
      </c>
      <c r="BF167" s="69">
        <f t="shared" si="51"/>
        <v>0</v>
      </c>
      <c r="BG167" s="69">
        <f t="shared" si="51"/>
        <v>0</v>
      </c>
      <c r="BH167" s="69">
        <f t="shared" si="51"/>
        <v>0</v>
      </c>
      <c r="BI167" s="69">
        <f t="shared" si="51"/>
        <v>0</v>
      </c>
      <c r="BJ167" s="69">
        <f t="shared" si="51"/>
        <v>0</v>
      </c>
      <c r="BK167" s="69">
        <f t="shared" si="51"/>
        <v>0</v>
      </c>
      <c r="BL167" s="69">
        <f t="shared" si="51"/>
        <v>0</v>
      </c>
      <c r="BM167" s="69">
        <f t="shared" si="51"/>
        <v>0</v>
      </c>
    </row>
    <row r="168" spans="1:65" outlineLevel="1">
      <c r="A168" t="s">
        <v>39</v>
      </c>
      <c r="B168" s="51"/>
      <c r="C168" s="51"/>
      <c r="D168" s="51"/>
      <c r="E168" s="54">
        <f t="shared" si="49"/>
        <v>800000</v>
      </c>
      <c r="F168" s="69"/>
      <c r="G168" s="69">
        <v>0</v>
      </c>
      <c r="H168" s="69">
        <v>0</v>
      </c>
      <c r="I168" s="69">
        <v>0</v>
      </c>
      <c r="J168" s="69">
        <v>0</v>
      </c>
      <c r="K168" s="69">
        <v>0</v>
      </c>
      <c r="L168" s="69">
        <v>100000</v>
      </c>
      <c r="M168" s="69">
        <v>100000</v>
      </c>
      <c r="N168" s="69">
        <v>0</v>
      </c>
      <c r="O168" s="69">
        <v>100000</v>
      </c>
      <c r="P168" s="69">
        <v>0</v>
      </c>
      <c r="Q168" s="100">
        <v>100000</v>
      </c>
      <c r="R168" s="69">
        <v>0</v>
      </c>
      <c r="S168" s="69">
        <v>100000</v>
      </c>
      <c r="T168" s="19">
        <v>0</v>
      </c>
      <c r="U168" s="69">
        <v>100000</v>
      </c>
      <c r="V168" s="72"/>
      <c r="W168" s="72"/>
      <c r="X168" s="66">
        <v>100000</v>
      </c>
      <c r="Y168" s="51"/>
      <c r="Z168" s="51">
        <v>100000</v>
      </c>
      <c r="AA168" s="51"/>
      <c r="AB168" s="51"/>
      <c r="AC168" s="51"/>
      <c r="AD168" s="80"/>
      <c r="AE168" s="80"/>
      <c r="AF168" s="69"/>
      <c r="AG168" s="69">
        <v>0</v>
      </c>
      <c r="AH168" s="69">
        <v>0</v>
      </c>
      <c r="AI168" s="69">
        <v>0</v>
      </c>
      <c r="AJ168" s="69">
        <v>0</v>
      </c>
      <c r="AK168" s="69"/>
      <c r="AL168" s="69">
        <v>0</v>
      </c>
      <c r="AM168" s="69">
        <v>0</v>
      </c>
      <c r="AN168" s="69"/>
      <c r="AO168" s="69"/>
      <c r="AP168" s="69"/>
      <c r="AQ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1"/>
      <c r="BK168" s="51"/>
      <c r="BL168" s="51"/>
      <c r="BM168" s="51"/>
    </row>
    <row r="169" spans="1:65" outlineLevel="1">
      <c r="A169" t="s">
        <v>40</v>
      </c>
      <c r="B169" s="51"/>
      <c r="C169" s="51"/>
      <c r="D169" s="51"/>
      <c r="E169" s="54">
        <f t="shared" si="49"/>
        <v>560000</v>
      </c>
      <c r="F169" s="69">
        <v>0</v>
      </c>
      <c r="G169" s="69"/>
      <c r="H169" s="69"/>
      <c r="I169" s="69"/>
      <c r="J169" s="69"/>
      <c r="K169" s="69"/>
      <c r="L169" s="69">
        <v>80000</v>
      </c>
      <c r="M169" s="69"/>
      <c r="N169" s="69"/>
      <c r="O169" s="69">
        <v>80000</v>
      </c>
      <c r="P169" s="69"/>
      <c r="Q169" s="100">
        <v>80000</v>
      </c>
      <c r="R169" s="51"/>
      <c r="S169" s="51">
        <v>80000</v>
      </c>
      <c r="T169" s="51"/>
      <c r="U169" s="51">
        <v>80000</v>
      </c>
      <c r="V169" s="51"/>
      <c r="W169" s="51"/>
      <c r="X169" s="66">
        <v>80000</v>
      </c>
      <c r="Y169" s="51"/>
      <c r="Z169" s="51">
        <v>80000</v>
      </c>
      <c r="AA169" s="51"/>
      <c r="AB169" s="51"/>
      <c r="AC169" s="51"/>
      <c r="AD169" s="80"/>
      <c r="AE169" s="80"/>
      <c r="AF169" s="69">
        <v>0</v>
      </c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1"/>
      <c r="BK169" s="51"/>
      <c r="BL169" s="51"/>
      <c r="BM169" s="51"/>
    </row>
    <row r="170" spans="1:65" outlineLevel="1">
      <c r="A170" s="51"/>
      <c r="B170" s="51"/>
      <c r="C170" s="51"/>
      <c r="D170" s="51"/>
      <c r="E170" s="54">
        <f t="shared" si="49"/>
        <v>0</v>
      </c>
      <c r="F170" s="69"/>
      <c r="G170" s="69"/>
      <c r="H170" s="69">
        <v>0</v>
      </c>
      <c r="I170" s="69">
        <v>0</v>
      </c>
      <c r="J170" s="69"/>
      <c r="K170" s="69"/>
      <c r="L170" s="69"/>
      <c r="M170" s="69"/>
      <c r="N170" s="69"/>
      <c r="O170" s="69"/>
      <c r="P170" s="69"/>
      <c r="Q170" s="100"/>
      <c r="R170" s="51"/>
      <c r="S170" s="51"/>
      <c r="T170" s="51"/>
      <c r="U170" s="51"/>
      <c r="V170" s="51"/>
      <c r="W170" s="51"/>
      <c r="X170" s="66"/>
      <c r="Y170" s="51"/>
      <c r="Z170" s="51"/>
      <c r="AA170" s="51"/>
      <c r="AB170" s="51"/>
      <c r="AC170" s="51"/>
      <c r="AD170" s="80"/>
      <c r="AE170" s="80"/>
      <c r="AF170" s="69"/>
      <c r="AG170" s="69"/>
      <c r="AH170" s="69">
        <v>0</v>
      </c>
      <c r="AI170" s="69">
        <v>0</v>
      </c>
      <c r="AJ170" s="69"/>
      <c r="AK170" s="69"/>
      <c r="AL170" s="69"/>
      <c r="AM170" s="69"/>
      <c r="AN170" s="69"/>
      <c r="AO170" s="69"/>
      <c r="AP170" s="69"/>
      <c r="AQ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  <c r="BL170" s="51"/>
      <c r="BM170" s="51"/>
    </row>
    <row r="171" spans="1:65" outlineLevel="1">
      <c r="A171" s="51"/>
      <c r="B171" s="51"/>
      <c r="C171" s="51"/>
      <c r="D171" s="51"/>
      <c r="E171" s="54">
        <f t="shared" si="49"/>
        <v>0</v>
      </c>
      <c r="F171" s="69"/>
      <c r="G171" s="69"/>
      <c r="H171" s="69">
        <v>0</v>
      </c>
      <c r="I171" s="69">
        <v>0</v>
      </c>
      <c r="J171" s="69">
        <v>0</v>
      </c>
      <c r="K171" s="69"/>
      <c r="L171" s="69"/>
      <c r="M171" s="69"/>
      <c r="N171" s="69"/>
      <c r="O171" s="69"/>
      <c r="P171" s="69"/>
      <c r="Q171" s="100"/>
      <c r="R171" s="51"/>
      <c r="S171" s="51"/>
      <c r="T171" s="51"/>
      <c r="U171" s="51"/>
      <c r="V171" s="51"/>
      <c r="W171" s="51"/>
      <c r="X171" s="66"/>
      <c r="Y171" s="51"/>
      <c r="Z171" s="51"/>
      <c r="AA171" s="51"/>
      <c r="AB171" s="51"/>
      <c r="AC171" s="51"/>
      <c r="AD171" s="80"/>
      <c r="AE171" s="80"/>
      <c r="AF171" s="69"/>
      <c r="AG171" s="69"/>
      <c r="AH171" s="69">
        <v>0</v>
      </c>
      <c r="AI171" s="69">
        <v>0</v>
      </c>
      <c r="AJ171" s="69">
        <v>0</v>
      </c>
      <c r="AK171" s="69"/>
      <c r="AL171" s="69"/>
      <c r="AM171" s="69"/>
      <c r="AN171" s="69"/>
      <c r="AO171" s="69"/>
      <c r="AP171" s="69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  <c r="BL171" s="51"/>
      <c r="BM171" s="51"/>
    </row>
    <row r="172" spans="1:65" outlineLevel="1">
      <c r="A172" s="51"/>
      <c r="B172" s="51"/>
      <c r="C172" s="51"/>
      <c r="D172" s="51"/>
      <c r="E172" s="54">
        <f t="shared" si="49"/>
        <v>0</v>
      </c>
      <c r="F172" s="69"/>
      <c r="G172" s="69">
        <v>0</v>
      </c>
      <c r="H172" s="69">
        <v>0</v>
      </c>
      <c r="I172" s="69">
        <v>0</v>
      </c>
      <c r="J172" s="69"/>
      <c r="K172" s="69"/>
      <c r="L172" s="69"/>
      <c r="M172" s="69"/>
      <c r="N172" s="69"/>
      <c r="O172" s="69"/>
      <c r="P172" s="69"/>
      <c r="Q172" s="100"/>
      <c r="R172" s="51"/>
      <c r="S172" s="51"/>
      <c r="T172" s="51"/>
      <c r="U172" s="51"/>
      <c r="V172" s="51"/>
      <c r="W172" s="51"/>
      <c r="X172" s="66"/>
      <c r="Y172" s="51"/>
      <c r="Z172" s="51"/>
      <c r="AA172" s="51"/>
      <c r="AB172" s="51"/>
      <c r="AC172" s="51"/>
      <c r="AD172" s="80"/>
      <c r="AE172" s="80"/>
      <c r="AF172" s="69"/>
      <c r="AG172" s="69">
        <v>0</v>
      </c>
      <c r="AH172" s="69">
        <v>0</v>
      </c>
      <c r="AI172" s="69">
        <v>0</v>
      </c>
      <c r="AJ172" s="69"/>
      <c r="AK172" s="69"/>
      <c r="AL172" s="69"/>
      <c r="AM172" s="69"/>
      <c r="AN172" s="69"/>
      <c r="AO172" s="69"/>
      <c r="AP172" s="69"/>
      <c r="AQ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51"/>
      <c r="BC172" s="51"/>
      <c r="BD172" s="51"/>
      <c r="BE172" s="51"/>
      <c r="BF172" s="51"/>
      <c r="BG172" s="51"/>
      <c r="BH172" s="51"/>
      <c r="BI172" s="51"/>
      <c r="BJ172" s="51"/>
      <c r="BK172" s="51"/>
      <c r="BL172" s="51"/>
      <c r="BM172" s="51"/>
    </row>
    <row r="173" spans="1:65" outlineLevel="1">
      <c r="A173" s="51"/>
      <c r="B173" s="51"/>
      <c r="C173" s="51"/>
      <c r="D173" s="51"/>
      <c r="E173" s="54">
        <f t="shared" si="49"/>
        <v>0</v>
      </c>
      <c r="F173" s="69"/>
      <c r="G173" s="69">
        <v>0</v>
      </c>
      <c r="H173" s="69">
        <v>0</v>
      </c>
      <c r="I173" s="69">
        <v>0</v>
      </c>
      <c r="J173" s="69"/>
      <c r="K173" s="69"/>
      <c r="L173" s="69"/>
      <c r="M173" s="69"/>
      <c r="N173" s="69"/>
      <c r="O173" s="69"/>
      <c r="P173" s="69"/>
      <c r="Q173" s="100"/>
      <c r="R173" s="51"/>
      <c r="S173" s="51"/>
      <c r="T173" s="51"/>
      <c r="U173" s="51"/>
      <c r="V173" s="51"/>
      <c r="W173" s="51"/>
      <c r="X173" s="66"/>
      <c r="Y173" s="51"/>
      <c r="Z173" s="51"/>
      <c r="AA173" s="51"/>
      <c r="AB173" s="51"/>
      <c r="AC173" s="51"/>
      <c r="AD173" s="80"/>
      <c r="AE173" s="80"/>
      <c r="AF173" s="69"/>
      <c r="AG173" s="69">
        <v>0</v>
      </c>
      <c r="AH173" s="69">
        <v>0</v>
      </c>
      <c r="AI173" s="69">
        <v>0</v>
      </c>
      <c r="AJ173" s="69"/>
      <c r="AK173" s="69"/>
      <c r="AL173" s="69"/>
      <c r="AM173" s="69"/>
      <c r="AN173" s="69"/>
      <c r="AO173" s="69"/>
      <c r="AP173" s="69"/>
      <c r="AQ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1"/>
      <c r="BK173" s="51"/>
      <c r="BL173" s="51"/>
      <c r="BM173" s="51"/>
    </row>
    <row r="174" spans="1:65" outlineLevel="1">
      <c r="A174" s="51" t="s">
        <v>238</v>
      </c>
      <c r="B174" s="51"/>
      <c r="C174" s="51"/>
      <c r="D174" s="51"/>
      <c r="E174" s="54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100"/>
      <c r="R174" s="51"/>
      <c r="S174" s="51"/>
      <c r="T174" s="51"/>
      <c r="U174" s="51"/>
      <c r="V174" s="51"/>
      <c r="W174" s="51"/>
      <c r="X174" s="66"/>
      <c r="Y174" s="51"/>
      <c r="Z174" s="51"/>
      <c r="AA174" s="51"/>
      <c r="AB174" s="51"/>
      <c r="AC174" s="51"/>
      <c r="AD174" s="80"/>
      <c r="AE174" s="80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  <c r="AP174" s="69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  <c r="BI174" s="51"/>
      <c r="BJ174" s="51"/>
      <c r="BK174" s="51"/>
      <c r="BL174" s="51"/>
      <c r="BM174" s="51"/>
    </row>
    <row r="175" spans="1:65" outlineLevel="1">
      <c r="A175" s="51"/>
      <c r="B175" t="s">
        <v>239</v>
      </c>
      <c r="C175" s="51"/>
      <c r="D175" s="51"/>
      <c r="E175" s="54">
        <f>SUM(F175:BM175)</f>
        <v>1240000</v>
      </c>
      <c r="F175" s="69">
        <v>0</v>
      </c>
      <c r="G175" s="69">
        <v>0</v>
      </c>
      <c r="H175" s="69">
        <v>120000</v>
      </c>
      <c r="I175" s="69">
        <v>0</v>
      </c>
      <c r="J175" s="69">
        <v>140000</v>
      </c>
      <c r="K175" s="69">
        <v>0</v>
      </c>
      <c r="L175" s="69">
        <v>140000</v>
      </c>
      <c r="M175" s="69"/>
      <c r="N175" s="69">
        <v>140000</v>
      </c>
      <c r="O175" s="69">
        <v>0</v>
      </c>
      <c r="P175" s="69">
        <v>140000</v>
      </c>
      <c r="Q175" s="100">
        <v>0</v>
      </c>
      <c r="R175" s="18">
        <v>140000</v>
      </c>
      <c r="S175" s="51"/>
      <c r="T175" s="18">
        <v>140000</v>
      </c>
      <c r="U175" s="51"/>
      <c r="V175" s="18">
        <v>140000</v>
      </c>
      <c r="W175" s="18">
        <v>140000</v>
      </c>
      <c r="X175" s="66"/>
      <c r="Y175" s="51"/>
      <c r="Z175" s="51"/>
      <c r="AA175" s="51"/>
      <c r="AB175" s="51"/>
      <c r="AC175" s="51"/>
      <c r="AD175" s="80"/>
      <c r="AE175" s="80"/>
      <c r="AF175" s="69">
        <v>0</v>
      </c>
      <c r="AG175" s="69">
        <v>0</v>
      </c>
      <c r="AH175" s="69">
        <v>0</v>
      </c>
      <c r="AI175" s="69">
        <v>0</v>
      </c>
      <c r="AJ175" s="69">
        <v>0</v>
      </c>
      <c r="AK175" s="69">
        <v>0</v>
      </c>
      <c r="AL175" s="69">
        <v>0</v>
      </c>
      <c r="AM175" s="69"/>
      <c r="AN175" s="69"/>
      <c r="AO175" s="69"/>
      <c r="AP175" s="69"/>
      <c r="AQ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1"/>
      <c r="BJ175" s="51"/>
      <c r="BK175" s="51"/>
      <c r="BL175" s="51"/>
      <c r="BM175" s="51"/>
    </row>
    <row r="176" spans="1:65" outlineLevel="1">
      <c r="A176" s="51"/>
      <c r="B176" t="s">
        <v>240</v>
      </c>
      <c r="C176" s="51"/>
      <c r="D176" s="51"/>
      <c r="E176" s="54">
        <f>SUM(F176:BM176)</f>
        <v>132000</v>
      </c>
      <c r="F176" s="69">
        <v>6000</v>
      </c>
      <c r="G176" s="69">
        <v>6000</v>
      </c>
      <c r="H176" s="69">
        <v>6000</v>
      </c>
      <c r="I176" s="69">
        <v>6000</v>
      </c>
      <c r="J176" s="69">
        <v>6000</v>
      </c>
      <c r="K176" s="69">
        <v>6000</v>
      </c>
      <c r="L176" s="69">
        <v>6000</v>
      </c>
      <c r="M176" s="69">
        <v>6000</v>
      </c>
      <c r="N176" s="69">
        <v>6000</v>
      </c>
      <c r="O176" s="69">
        <v>6000</v>
      </c>
      <c r="P176" s="69">
        <v>6000</v>
      </c>
      <c r="Q176" s="69">
        <v>6000</v>
      </c>
      <c r="R176" s="69">
        <v>6000</v>
      </c>
      <c r="S176" s="69">
        <v>6000</v>
      </c>
      <c r="T176" s="69">
        <v>6000</v>
      </c>
      <c r="U176" s="69">
        <v>6000</v>
      </c>
      <c r="V176" s="69">
        <v>6000</v>
      </c>
      <c r="W176" s="69">
        <v>6000</v>
      </c>
      <c r="X176" s="69">
        <v>6000</v>
      </c>
      <c r="Y176" s="69">
        <v>6000</v>
      </c>
      <c r="Z176" s="69">
        <v>6000</v>
      </c>
      <c r="AA176" s="69">
        <v>6000</v>
      </c>
      <c r="AB176" s="51"/>
      <c r="AC176" s="51"/>
      <c r="AD176" s="80"/>
      <c r="AE176" s="80"/>
      <c r="AF176" s="69">
        <v>0</v>
      </c>
      <c r="AG176" s="69">
        <v>0</v>
      </c>
      <c r="AH176" s="69">
        <v>0</v>
      </c>
      <c r="AI176" s="69">
        <v>0</v>
      </c>
      <c r="AJ176" s="69"/>
      <c r="AK176" s="69"/>
      <c r="AL176" s="69"/>
      <c r="AM176" s="69"/>
      <c r="AN176" s="69"/>
      <c r="AO176" s="69"/>
      <c r="AP176" s="69"/>
      <c r="AQ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51"/>
      <c r="BC176" s="51"/>
      <c r="BD176" s="51"/>
      <c r="BE176" s="51"/>
      <c r="BF176" s="51"/>
      <c r="BG176" s="51"/>
      <c r="BH176" s="51"/>
      <c r="BI176" s="51"/>
      <c r="BJ176" s="51"/>
      <c r="BK176" s="51"/>
      <c r="BL176" s="51"/>
      <c r="BM176" s="51"/>
    </row>
    <row r="177" spans="1:65" outlineLevel="1">
      <c r="A177" s="51"/>
      <c r="B177" s="51" t="s">
        <v>241</v>
      </c>
      <c r="C177" s="51"/>
      <c r="D177" s="51"/>
      <c r="E177" s="54">
        <f>SUM(F177:BM177)</f>
        <v>191000</v>
      </c>
      <c r="F177" s="69">
        <v>15000</v>
      </c>
      <c r="G177" s="69">
        <v>10000</v>
      </c>
      <c r="H177" s="69">
        <v>8000</v>
      </c>
      <c r="I177" s="69">
        <v>8000</v>
      </c>
      <c r="J177" s="69">
        <v>8000</v>
      </c>
      <c r="K177" s="69">
        <v>8000</v>
      </c>
      <c r="L177" s="69">
        <v>8000</v>
      </c>
      <c r="M177" s="69">
        <v>8000</v>
      </c>
      <c r="N177" s="69">
        <v>8000</v>
      </c>
      <c r="O177" s="69">
        <v>8000</v>
      </c>
      <c r="P177" s="69">
        <v>8000</v>
      </c>
      <c r="Q177" s="69">
        <v>8000</v>
      </c>
      <c r="R177" s="69">
        <v>8000</v>
      </c>
      <c r="S177" s="69">
        <v>8000</v>
      </c>
      <c r="T177" s="69">
        <v>8000</v>
      </c>
      <c r="U177" s="69">
        <v>8000</v>
      </c>
      <c r="V177" s="69">
        <v>8000</v>
      </c>
      <c r="W177" s="69">
        <v>8000</v>
      </c>
      <c r="X177" s="69">
        <v>8000</v>
      </c>
      <c r="Y177" s="69">
        <v>8000</v>
      </c>
      <c r="Z177" s="69">
        <v>5000</v>
      </c>
      <c r="AA177" s="69">
        <v>4000</v>
      </c>
      <c r="AB177" s="69">
        <v>4000</v>
      </c>
      <c r="AC177" s="69">
        <v>3000</v>
      </c>
      <c r="AD177" s="69">
        <v>3000</v>
      </c>
      <c r="AE177" s="69">
        <v>3000</v>
      </c>
      <c r="AF177" s="69">
        <v>0</v>
      </c>
      <c r="AG177" s="69">
        <v>0</v>
      </c>
      <c r="AH177" s="69">
        <v>0</v>
      </c>
      <c r="AI177" s="69">
        <v>0</v>
      </c>
      <c r="AJ177" s="69">
        <v>0</v>
      </c>
      <c r="AK177" s="69">
        <v>0</v>
      </c>
      <c r="AL177" s="69">
        <v>0</v>
      </c>
      <c r="AM177" s="69">
        <v>0</v>
      </c>
      <c r="AN177" s="69">
        <v>0</v>
      </c>
      <c r="AO177" s="69">
        <v>0</v>
      </c>
      <c r="AP177" s="69">
        <v>0</v>
      </c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1"/>
      <c r="BK177" s="51"/>
      <c r="BL177" s="51"/>
      <c r="BM177" s="51"/>
    </row>
    <row r="178" spans="1:65" outlineLevel="1">
      <c r="A178" s="51"/>
      <c r="B178"/>
      <c r="C178" s="51"/>
      <c r="D178" s="51"/>
      <c r="E178" s="90">
        <f>SUM(F178:BM178)</f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/>
      <c r="L178" s="104"/>
      <c r="M178" s="104"/>
      <c r="N178" s="104"/>
      <c r="O178" s="104"/>
      <c r="P178" s="80"/>
      <c r="Q178" s="100"/>
      <c r="R178" s="51"/>
      <c r="S178" s="51"/>
      <c r="T178" s="51"/>
      <c r="U178" s="51"/>
      <c r="V178" s="51"/>
      <c r="W178" s="51"/>
      <c r="X178" s="66"/>
      <c r="Y178" s="51"/>
      <c r="Z178" s="51"/>
      <c r="AA178" s="51"/>
      <c r="AB178" s="51"/>
      <c r="AC178" s="51"/>
      <c r="AD178" s="104"/>
      <c r="AE178" s="104">
        <v>0</v>
      </c>
      <c r="AF178" s="104">
        <v>0</v>
      </c>
      <c r="AG178" s="104">
        <v>0</v>
      </c>
      <c r="AH178" s="104">
        <v>0</v>
      </c>
      <c r="AI178" s="104">
        <v>0</v>
      </c>
      <c r="AJ178" s="104">
        <v>0</v>
      </c>
      <c r="AK178" s="104"/>
      <c r="AL178" s="104"/>
      <c r="AM178" s="104"/>
      <c r="AN178" s="104"/>
      <c r="AO178" s="104"/>
      <c r="AP178" s="80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  <c r="BL178" s="51"/>
      <c r="BM178" s="51"/>
    </row>
    <row r="179" spans="1:65">
      <c r="A179" s="51"/>
      <c r="B179" s="74" t="s">
        <v>41</v>
      </c>
      <c r="C179" s="74" t="s">
        <v>136</v>
      </c>
      <c r="D179" s="74"/>
      <c r="E179" s="54">
        <f>SUM(F179:BM179)</f>
        <v>59887780.399999999</v>
      </c>
      <c r="F179" s="103">
        <f>SUM(F136:F178)</f>
        <v>13405400</v>
      </c>
      <c r="G179" s="80">
        <f t="shared" ref="G179:AC179" si="52">SUM(G136:G178)</f>
        <v>2265200</v>
      </c>
      <c r="H179" s="80">
        <f t="shared" si="52"/>
        <v>5437800</v>
      </c>
      <c r="I179" s="80">
        <f t="shared" si="52"/>
        <v>995600</v>
      </c>
      <c r="J179" s="80">
        <f t="shared" si="52"/>
        <v>5524940.4000000004</v>
      </c>
      <c r="K179" s="80">
        <f t="shared" si="52"/>
        <v>683000</v>
      </c>
      <c r="L179" s="80">
        <f t="shared" si="52"/>
        <v>5911920</v>
      </c>
      <c r="M179" s="80">
        <f t="shared" si="52"/>
        <v>429400</v>
      </c>
      <c r="N179" s="80">
        <f t="shared" si="52"/>
        <v>5698600</v>
      </c>
      <c r="O179" s="80">
        <f t="shared" si="52"/>
        <v>401800</v>
      </c>
      <c r="P179" s="80">
        <f t="shared" si="52"/>
        <v>5290720</v>
      </c>
      <c r="Q179" s="105">
        <f t="shared" si="52"/>
        <v>631800</v>
      </c>
      <c r="R179" s="105">
        <f t="shared" si="52"/>
        <v>4875600</v>
      </c>
      <c r="S179" s="105">
        <f t="shared" si="52"/>
        <v>427800</v>
      </c>
      <c r="T179" s="105">
        <f t="shared" si="52"/>
        <v>5468600</v>
      </c>
      <c r="U179" s="105">
        <f t="shared" si="52"/>
        <v>396400</v>
      </c>
      <c r="V179" s="105">
        <f t="shared" si="52"/>
        <v>253000</v>
      </c>
      <c r="W179" s="105">
        <f t="shared" si="52"/>
        <v>272000</v>
      </c>
      <c r="X179" s="105">
        <f t="shared" si="52"/>
        <v>736800</v>
      </c>
      <c r="Y179" s="105">
        <f t="shared" si="52"/>
        <v>535400</v>
      </c>
      <c r="Z179" s="105">
        <f t="shared" si="52"/>
        <v>211000</v>
      </c>
      <c r="AA179" s="105">
        <f t="shared" si="52"/>
        <v>22000</v>
      </c>
      <c r="AB179" s="105">
        <f t="shared" si="52"/>
        <v>4000</v>
      </c>
      <c r="AC179" s="105">
        <f t="shared" si="52"/>
        <v>3000</v>
      </c>
      <c r="AD179" s="80">
        <f>SUM(AD136:AD178)</f>
        <v>3000</v>
      </c>
      <c r="AE179" s="80">
        <f>SUM(AE136:AE178)</f>
        <v>3000</v>
      </c>
      <c r="AF179" s="80">
        <f t="shared" ref="AF179:AP179" si="53">SUM(AF136:AF178)</f>
        <v>0</v>
      </c>
      <c r="AG179" s="80">
        <f t="shared" si="53"/>
        <v>0</v>
      </c>
      <c r="AH179" s="80">
        <f t="shared" si="53"/>
        <v>0</v>
      </c>
      <c r="AI179" s="80">
        <f t="shared" si="53"/>
        <v>0</v>
      </c>
      <c r="AJ179" s="80">
        <f t="shared" si="53"/>
        <v>0</v>
      </c>
      <c r="AK179" s="80">
        <f t="shared" si="53"/>
        <v>0</v>
      </c>
      <c r="AL179" s="80">
        <f t="shared" si="53"/>
        <v>0</v>
      </c>
      <c r="AM179" s="80">
        <f t="shared" si="53"/>
        <v>0</v>
      </c>
      <c r="AN179" s="80">
        <f t="shared" si="53"/>
        <v>0</v>
      </c>
      <c r="AO179" s="80">
        <f t="shared" si="53"/>
        <v>0</v>
      </c>
      <c r="AP179" s="105">
        <f t="shared" si="53"/>
        <v>0</v>
      </c>
      <c r="AQ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1"/>
      <c r="BK179" s="51"/>
      <c r="BL179" s="51"/>
      <c r="BM179" s="51"/>
    </row>
    <row r="180" spans="1:65" outlineLevel="1">
      <c r="A180" s="51" t="s">
        <v>242</v>
      </c>
      <c r="B180" s="51"/>
      <c r="C180" s="51"/>
      <c r="D180" s="51"/>
      <c r="E180" s="54"/>
      <c r="F180" s="103"/>
      <c r="G180" s="69"/>
      <c r="H180" s="69"/>
      <c r="I180" s="69"/>
      <c r="J180" s="69"/>
      <c r="K180" s="69"/>
      <c r="L180" s="69"/>
      <c r="M180" s="51"/>
      <c r="N180" s="51"/>
      <c r="O180" s="51"/>
      <c r="P180" s="51"/>
      <c r="Q180" s="51"/>
      <c r="R180" s="100"/>
      <c r="S180" s="51"/>
      <c r="T180" s="51"/>
      <c r="U180" s="51"/>
      <c r="V180" s="51"/>
      <c r="W180" s="51"/>
      <c r="X180" s="66"/>
      <c r="Y180" s="51"/>
      <c r="Z180" s="51"/>
      <c r="AA180" s="51"/>
      <c r="AB180" s="51"/>
      <c r="AC180" s="51"/>
      <c r="AD180" s="80"/>
      <c r="AE180" s="80"/>
      <c r="AF180" s="69"/>
      <c r="AG180" s="69"/>
      <c r="AH180" s="69"/>
      <c r="AI180" s="69"/>
      <c r="AJ180" s="69"/>
      <c r="AK180" s="69"/>
      <c r="AL180" s="51"/>
      <c r="AM180" s="51"/>
      <c r="AN180" s="51"/>
      <c r="AO180" s="51"/>
      <c r="AP180" s="51"/>
      <c r="AQ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1"/>
      <c r="BJ180" s="51"/>
      <c r="BK180" s="51"/>
      <c r="BL180" s="51"/>
      <c r="BM180" s="51"/>
    </row>
    <row r="181" spans="1:65" outlineLevel="1">
      <c r="A181" s="51"/>
      <c r="B181" t="s">
        <v>243</v>
      </c>
      <c r="C181" s="51"/>
      <c r="D181" s="51"/>
      <c r="E181" s="54">
        <f t="shared" ref="E181:E197" si="54">SUM(F181:BM181)</f>
        <v>420000</v>
      </c>
      <c r="F181" s="103">
        <v>45000</v>
      </c>
      <c r="G181" s="69">
        <v>15000</v>
      </c>
      <c r="H181" s="69">
        <v>15000</v>
      </c>
      <c r="I181" s="69">
        <v>15000</v>
      </c>
      <c r="J181" s="69">
        <v>15000</v>
      </c>
      <c r="K181" s="69">
        <v>15000</v>
      </c>
      <c r="L181" s="69">
        <v>15000</v>
      </c>
      <c r="M181" s="69">
        <v>15000</v>
      </c>
      <c r="N181" s="69">
        <v>15000</v>
      </c>
      <c r="O181" s="69">
        <v>15000</v>
      </c>
      <c r="P181" s="69">
        <v>15000</v>
      </c>
      <c r="Q181" s="69">
        <v>15000</v>
      </c>
      <c r="R181" s="69">
        <v>15000</v>
      </c>
      <c r="S181" s="69">
        <v>15000</v>
      </c>
      <c r="T181" s="69">
        <v>15000</v>
      </c>
      <c r="U181" s="69">
        <v>15000</v>
      </c>
      <c r="V181" s="69">
        <v>15000</v>
      </c>
      <c r="W181" s="69">
        <v>15000</v>
      </c>
      <c r="X181" s="69">
        <v>15000</v>
      </c>
      <c r="Y181" s="69">
        <v>15000</v>
      </c>
      <c r="Z181" s="69">
        <v>15000</v>
      </c>
      <c r="AA181" s="69">
        <v>15000</v>
      </c>
      <c r="AB181" s="69">
        <v>15000</v>
      </c>
      <c r="AC181" s="69">
        <v>15000</v>
      </c>
      <c r="AD181" s="69">
        <v>15000</v>
      </c>
      <c r="AE181" s="69">
        <v>15000</v>
      </c>
      <c r="AF181" s="69">
        <v>0</v>
      </c>
      <c r="AG181" s="69">
        <v>0</v>
      </c>
      <c r="AH181" s="69">
        <v>0</v>
      </c>
      <c r="AI181" s="69">
        <v>0</v>
      </c>
      <c r="AJ181" s="69">
        <v>0</v>
      </c>
      <c r="AK181" s="69">
        <v>0</v>
      </c>
      <c r="AL181" s="69">
        <v>0</v>
      </c>
      <c r="AM181" s="69">
        <v>0</v>
      </c>
      <c r="AN181" s="69">
        <v>0</v>
      </c>
      <c r="AO181" s="69"/>
      <c r="AP181" s="69"/>
      <c r="AQ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  <c r="BB181" s="51"/>
      <c r="BC181" s="51"/>
      <c r="BD181" s="51"/>
      <c r="BE181" s="51"/>
      <c r="BF181" s="51"/>
      <c r="BG181" s="51"/>
      <c r="BH181" s="51"/>
      <c r="BI181" s="51"/>
      <c r="BJ181" s="51"/>
      <c r="BK181" s="51"/>
      <c r="BL181" s="51"/>
      <c r="BM181" s="51"/>
    </row>
    <row r="182" spans="1:65" outlineLevel="1">
      <c r="A182" s="51"/>
      <c r="B182" s="51" t="s">
        <v>244</v>
      </c>
      <c r="C182" s="51"/>
      <c r="D182" s="51"/>
      <c r="E182" s="54">
        <f t="shared" si="54"/>
        <v>260000</v>
      </c>
      <c r="F182" s="103">
        <v>10000</v>
      </c>
      <c r="G182" s="80">
        <v>10000</v>
      </c>
      <c r="H182" s="80">
        <v>10000</v>
      </c>
      <c r="I182" s="80">
        <v>10000</v>
      </c>
      <c r="J182" s="80">
        <v>10000</v>
      </c>
      <c r="K182" s="80">
        <v>10000</v>
      </c>
      <c r="L182" s="80">
        <v>10000</v>
      </c>
      <c r="M182" s="80">
        <v>10000</v>
      </c>
      <c r="N182" s="80">
        <v>10000</v>
      </c>
      <c r="O182" s="80">
        <v>10000</v>
      </c>
      <c r="P182" s="80">
        <v>10000</v>
      </c>
      <c r="Q182" s="80">
        <v>10000</v>
      </c>
      <c r="R182" s="80">
        <v>10000</v>
      </c>
      <c r="S182" s="80">
        <v>10000</v>
      </c>
      <c r="T182" s="80">
        <v>10000</v>
      </c>
      <c r="U182" s="80">
        <v>10000</v>
      </c>
      <c r="V182" s="80">
        <v>10000</v>
      </c>
      <c r="W182" s="80">
        <v>10000</v>
      </c>
      <c r="X182" s="80">
        <v>10000</v>
      </c>
      <c r="Y182" s="80">
        <v>10000</v>
      </c>
      <c r="Z182" s="80">
        <v>10000</v>
      </c>
      <c r="AA182" s="80">
        <v>10000</v>
      </c>
      <c r="AB182" s="80">
        <v>10000</v>
      </c>
      <c r="AC182" s="80">
        <v>10000</v>
      </c>
      <c r="AD182" s="80">
        <v>10000</v>
      </c>
      <c r="AE182" s="80">
        <v>10000</v>
      </c>
      <c r="AF182" s="80">
        <v>0</v>
      </c>
      <c r="AG182" s="80">
        <v>0</v>
      </c>
      <c r="AH182" s="80">
        <v>0</v>
      </c>
      <c r="AI182" s="80">
        <v>0</v>
      </c>
      <c r="AJ182" s="80">
        <v>0</v>
      </c>
      <c r="AK182" s="80">
        <v>0</v>
      </c>
      <c r="AL182" s="80">
        <v>0</v>
      </c>
      <c r="AM182" s="80">
        <v>0</v>
      </c>
      <c r="AN182" s="80">
        <v>0</v>
      </c>
      <c r="AO182" s="69">
        <v>0</v>
      </c>
      <c r="AP182" s="69">
        <v>0</v>
      </c>
      <c r="AQ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1"/>
      <c r="BJ182" s="51"/>
      <c r="BK182" s="51"/>
      <c r="BL182" s="51"/>
      <c r="BM182" s="51"/>
    </row>
    <row r="183" spans="1:65" outlineLevel="1">
      <c r="A183" s="51"/>
      <c r="B183" t="s">
        <v>245</v>
      </c>
      <c r="C183" s="51"/>
      <c r="D183" s="51"/>
      <c r="E183" s="54">
        <f t="shared" si="54"/>
        <v>574000</v>
      </c>
      <c r="F183" s="103"/>
      <c r="G183" s="69">
        <v>0</v>
      </c>
      <c r="H183" s="80">
        <v>14000</v>
      </c>
      <c r="I183" s="80">
        <v>14000</v>
      </c>
      <c r="J183" s="80">
        <v>14000</v>
      </c>
      <c r="K183" s="80">
        <v>14000</v>
      </c>
      <c r="L183" s="80">
        <v>14000</v>
      </c>
      <c r="M183" s="80">
        <v>14000</v>
      </c>
      <c r="N183" s="80">
        <v>14000</v>
      </c>
      <c r="O183" s="80">
        <v>14000</v>
      </c>
      <c r="P183" s="80">
        <v>14000</v>
      </c>
      <c r="Q183" s="80">
        <v>14000</v>
      </c>
      <c r="R183" s="80">
        <v>14000</v>
      </c>
      <c r="S183" s="80">
        <v>14000</v>
      </c>
      <c r="T183" s="80">
        <v>14000</v>
      </c>
      <c r="U183" s="80">
        <v>14000</v>
      </c>
      <c r="V183" s="80">
        <v>14000</v>
      </c>
      <c r="W183" s="80">
        <v>14000</v>
      </c>
      <c r="X183" s="80">
        <v>14000</v>
      </c>
      <c r="Y183" s="80">
        <v>14000</v>
      </c>
      <c r="Z183" s="80">
        <v>14000</v>
      </c>
      <c r="AA183" s="80">
        <v>14000</v>
      </c>
      <c r="AB183" s="80">
        <v>14000</v>
      </c>
      <c r="AC183" s="80">
        <v>14000</v>
      </c>
      <c r="AD183" s="80">
        <v>14000</v>
      </c>
      <c r="AE183" s="80">
        <v>14000</v>
      </c>
      <c r="AF183" s="80">
        <v>7000</v>
      </c>
      <c r="AG183" s="80">
        <v>7000</v>
      </c>
      <c r="AH183" s="80">
        <v>7000</v>
      </c>
      <c r="AI183" s="80">
        <v>7000</v>
      </c>
      <c r="AJ183" s="80">
        <v>7000</v>
      </c>
      <c r="AK183" s="80">
        <v>7000</v>
      </c>
      <c r="AL183" s="80">
        <v>7000</v>
      </c>
      <c r="AM183" s="80">
        <v>7000</v>
      </c>
      <c r="AN183" s="80">
        <v>7000</v>
      </c>
      <c r="AO183" s="80">
        <v>7000</v>
      </c>
      <c r="AP183" s="80">
        <v>7000</v>
      </c>
      <c r="AQ183" s="80">
        <v>7000</v>
      </c>
      <c r="AR183" s="80">
        <v>7000</v>
      </c>
      <c r="AS183" s="80">
        <v>7000</v>
      </c>
      <c r="AT183" s="80">
        <v>7000</v>
      </c>
      <c r="AU183" s="80">
        <v>7000</v>
      </c>
      <c r="AV183" s="80">
        <v>7000</v>
      </c>
      <c r="AW183" s="80">
        <v>7000</v>
      </c>
      <c r="AX183" s="80">
        <v>7000</v>
      </c>
      <c r="AY183" s="80">
        <v>7000</v>
      </c>
      <c r="AZ183" s="80">
        <v>7000</v>
      </c>
      <c r="BA183" s="80">
        <v>7000</v>
      </c>
      <c r="BB183" s="80">
        <v>7000</v>
      </c>
      <c r="BC183" s="80">
        <v>7000</v>
      </c>
      <c r="BD183" s="80">
        <v>7000</v>
      </c>
      <c r="BE183" s="80">
        <v>7000</v>
      </c>
      <c r="BF183" s="80">
        <v>7000</v>
      </c>
      <c r="BG183" s="80">
        <v>7000</v>
      </c>
      <c r="BH183" s="80">
        <v>7000</v>
      </c>
      <c r="BI183" s="80">
        <v>7000</v>
      </c>
      <c r="BJ183" s="80">
        <v>7000</v>
      </c>
      <c r="BK183" s="80">
        <v>7000</v>
      </c>
      <c r="BL183" s="80">
        <v>7000</v>
      </c>
      <c r="BM183" s="80">
        <v>7000</v>
      </c>
    </row>
    <row r="184" spans="1:65" outlineLevel="1">
      <c r="A184" s="51"/>
      <c r="B184" t="s">
        <v>246</v>
      </c>
      <c r="C184" s="51"/>
      <c r="D184" s="51"/>
      <c r="E184" s="54">
        <f t="shared" si="54"/>
        <v>336000</v>
      </c>
      <c r="F184" s="103"/>
      <c r="G184" s="69"/>
      <c r="H184" s="80">
        <v>14000</v>
      </c>
      <c r="I184" s="80">
        <v>14000</v>
      </c>
      <c r="J184" s="80">
        <v>14000</v>
      </c>
      <c r="K184" s="80">
        <v>14000</v>
      </c>
      <c r="L184" s="80">
        <v>14000</v>
      </c>
      <c r="M184" s="80">
        <v>14000</v>
      </c>
      <c r="N184" s="80">
        <v>14000</v>
      </c>
      <c r="O184" s="80">
        <v>14000</v>
      </c>
      <c r="P184" s="80">
        <v>14000</v>
      </c>
      <c r="Q184" s="80">
        <v>14000</v>
      </c>
      <c r="R184" s="80">
        <v>14000</v>
      </c>
      <c r="S184" s="80">
        <v>14000</v>
      </c>
      <c r="T184" s="80">
        <v>14000</v>
      </c>
      <c r="U184" s="80">
        <v>14000</v>
      </c>
      <c r="V184" s="80">
        <v>14000</v>
      </c>
      <c r="W184" s="80">
        <v>14000</v>
      </c>
      <c r="X184" s="80">
        <v>14000</v>
      </c>
      <c r="Y184" s="80">
        <v>14000</v>
      </c>
      <c r="Z184" s="80">
        <v>14000</v>
      </c>
      <c r="AA184" s="80">
        <v>14000</v>
      </c>
      <c r="AB184" s="80">
        <v>14000</v>
      </c>
      <c r="AC184" s="80">
        <v>14000</v>
      </c>
      <c r="AD184" s="80">
        <v>14000</v>
      </c>
      <c r="AE184" s="80">
        <v>14000</v>
      </c>
      <c r="AF184" s="69"/>
      <c r="AG184" s="69">
        <v>0</v>
      </c>
      <c r="AH184" s="69">
        <v>0</v>
      </c>
      <c r="AI184" s="69">
        <v>0</v>
      </c>
      <c r="AJ184" s="69">
        <v>0</v>
      </c>
      <c r="AK184" s="69">
        <v>0</v>
      </c>
      <c r="AL184" s="69">
        <v>0</v>
      </c>
      <c r="AM184" s="69">
        <v>0</v>
      </c>
      <c r="AN184" s="69">
        <v>0</v>
      </c>
      <c r="AO184" s="69">
        <v>0</v>
      </c>
      <c r="AP184" s="69">
        <v>0</v>
      </c>
      <c r="AQ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  <c r="BI184" s="51"/>
      <c r="BJ184" s="51"/>
      <c r="BK184" s="51"/>
      <c r="BL184" s="51"/>
      <c r="BM184" s="51"/>
    </row>
    <row r="185" spans="1:65" outlineLevel="1">
      <c r="A185" s="51"/>
      <c r="B185" s="51" t="s">
        <v>247</v>
      </c>
      <c r="C185" s="51"/>
      <c r="D185" s="51"/>
      <c r="E185" s="54">
        <f t="shared" si="54"/>
        <v>200000</v>
      </c>
      <c r="F185" s="103">
        <v>0</v>
      </c>
      <c r="G185" s="80">
        <v>8000</v>
      </c>
      <c r="H185" s="80">
        <v>8000</v>
      </c>
      <c r="I185" s="80">
        <v>8000</v>
      </c>
      <c r="J185" s="80">
        <v>8000</v>
      </c>
      <c r="K185" s="80">
        <v>8000</v>
      </c>
      <c r="L185" s="80">
        <v>8000</v>
      </c>
      <c r="M185" s="80">
        <v>8000</v>
      </c>
      <c r="N185" s="80">
        <v>8000</v>
      </c>
      <c r="O185" s="80">
        <v>8000</v>
      </c>
      <c r="P185" s="80">
        <v>8000</v>
      </c>
      <c r="Q185" s="80">
        <v>8000</v>
      </c>
      <c r="R185" s="80">
        <v>8000</v>
      </c>
      <c r="S185" s="80">
        <v>8000</v>
      </c>
      <c r="T185" s="80">
        <v>8000</v>
      </c>
      <c r="U185" s="80">
        <v>8000</v>
      </c>
      <c r="V185" s="80">
        <v>8000</v>
      </c>
      <c r="W185" s="80">
        <v>8000</v>
      </c>
      <c r="X185" s="80">
        <v>8000</v>
      </c>
      <c r="Y185" s="80">
        <v>8000</v>
      </c>
      <c r="Z185" s="80">
        <v>8000</v>
      </c>
      <c r="AA185" s="80">
        <v>8000</v>
      </c>
      <c r="AB185" s="80">
        <v>8000</v>
      </c>
      <c r="AC185" s="80">
        <v>8000</v>
      </c>
      <c r="AD185" s="80">
        <v>8000</v>
      </c>
      <c r="AE185" s="80">
        <v>8000</v>
      </c>
      <c r="AF185" s="80">
        <v>0</v>
      </c>
      <c r="AG185" s="80">
        <v>0</v>
      </c>
      <c r="AH185" s="80">
        <v>0</v>
      </c>
      <c r="AI185" s="80">
        <v>0</v>
      </c>
      <c r="AJ185" s="80">
        <v>0</v>
      </c>
      <c r="AK185" s="80">
        <v>0</v>
      </c>
      <c r="AL185" s="80">
        <v>0</v>
      </c>
      <c r="AM185" s="80">
        <v>0</v>
      </c>
      <c r="AN185" s="80">
        <v>0</v>
      </c>
      <c r="AO185" s="80">
        <v>0</v>
      </c>
      <c r="AP185" s="80">
        <v>0</v>
      </c>
      <c r="AQ185" s="51"/>
      <c r="AR185" s="51"/>
      <c r="AS185" s="51"/>
      <c r="AT185" s="51"/>
      <c r="AU185" s="51"/>
      <c r="AV185" s="51"/>
      <c r="AW185" s="51"/>
      <c r="AX185" s="51"/>
      <c r="AY185" s="51"/>
      <c r="AZ185" s="51"/>
      <c r="BA185" s="51"/>
      <c r="BB185" s="51"/>
      <c r="BC185" s="51"/>
      <c r="BD185" s="51"/>
      <c r="BE185" s="51"/>
      <c r="BF185" s="51"/>
      <c r="BG185" s="51"/>
      <c r="BH185" s="51"/>
      <c r="BI185" s="51"/>
      <c r="BJ185" s="51"/>
      <c r="BK185" s="51"/>
      <c r="BL185" s="51"/>
      <c r="BM185" s="51"/>
    </row>
    <row r="186" spans="1:65" outlineLevel="1">
      <c r="A186" s="51"/>
      <c r="B186" s="51" t="s">
        <v>248</v>
      </c>
      <c r="C186" s="51"/>
      <c r="D186" s="51"/>
      <c r="E186" s="54">
        <f t="shared" si="54"/>
        <v>175000</v>
      </c>
      <c r="F186" s="103">
        <v>0</v>
      </c>
      <c r="G186" s="80">
        <v>7000</v>
      </c>
      <c r="H186" s="80">
        <v>7000</v>
      </c>
      <c r="I186" s="80">
        <v>7000</v>
      </c>
      <c r="J186" s="80">
        <v>7000</v>
      </c>
      <c r="K186" s="80">
        <v>7000</v>
      </c>
      <c r="L186" s="80">
        <v>7000</v>
      </c>
      <c r="M186" s="80">
        <v>7000</v>
      </c>
      <c r="N186" s="80">
        <v>7000</v>
      </c>
      <c r="O186" s="80">
        <v>7000</v>
      </c>
      <c r="P186" s="80">
        <v>7000</v>
      </c>
      <c r="Q186" s="80">
        <v>7000</v>
      </c>
      <c r="R186" s="80">
        <v>7000</v>
      </c>
      <c r="S186" s="80">
        <v>7000</v>
      </c>
      <c r="T186" s="80">
        <v>7000</v>
      </c>
      <c r="U186" s="80">
        <v>7000</v>
      </c>
      <c r="V186" s="80">
        <v>7000</v>
      </c>
      <c r="W186" s="80">
        <v>7000</v>
      </c>
      <c r="X186" s="80">
        <v>7000</v>
      </c>
      <c r="Y186" s="80">
        <v>7000</v>
      </c>
      <c r="Z186" s="80">
        <v>7000</v>
      </c>
      <c r="AA186" s="80">
        <v>7000</v>
      </c>
      <c r="AB186" s="80">
        <v>7000</v>
      </c>
      <c r="AC186" s="80">
        <v>7000</v>
      </c>
      <c r="AD186" s="80">
        <v>7000</v>
      </c>
      <c r="AE186" s="80">
        <v>7000</v>
      </c>
      <c r="AF186" s="80">
        <v>0</v>
      </c>
      <c r="AG186" s="80">
        <v>0</v>
      </c>
      <c r="AH186" s="80">
        <v>0</v>
      </c>
      <c r="AI186" s="80">
        <v>0</v>
      </c>
      <c r="AJ186" s="80">
        <v>0</v>
      </c>
      <c r="AK186" s="80">
        <v>0</v>
      </c>
      <c r="AL186" s="80">
        <v>0</v>
      </c>
      <c r="AM186" s="80">
        <v>0</v>
      </c>
      <c r="AN186" s="80">
        <v>0</v>
      </c>
      <c r="AO186" s="80">
        <v>0</v>
      </c>
      <c r="AP186" s="80">
        <v>0</v>
      </c>
      <c r="AQ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  <c r="BI186" s="51"/>
      <c r="BJ186" s="51"/>
      <c r="BK186" s="51"/>
      <c r="BL186" s="51"/>
      <c r="BM186" s="51"/>
    </row>
    <row r="187" spans="1:65" outlineLevel="1">
      <c r="A187" s="51"/>
      <c r="B187" s="51" t="s">
        <v>249</v>
      </c>
      <c r="C187" s="51"/>
      <c r="D187" s="51"/>
      <c r="E187" s="54">
        <f t="shared" si="54"/>
        <v>150000</v>
      </c>
      <c r="F187" s="103">
        <v>0</v>
      </c>
      <c r="G187" s="80">
        <v>6000</v>
      </c>
      <c r="H187" s="80">
        <v>6000</v>
      </c>
      <c r="I187" s="80">
        <v>6000</v>
      </c>
      <c r="J187" s="80">
        <v>6000</v>
      </c>
      <c r="K187" s="80">
        <v>6000</v>
      </c>
      <c r="L187" s="80">
        <v>6000</v>
      </c>
      <c r="M187" s="80">
        <v>6000</v>
      </c>
      <c r="N187" s="80">
        <v>6000</v>
      </c>
      <c r="O187" s="80">
        <v>6000</v>
      </c>
      <c r="P187" s="80">
        <v>6000</v>
      </c>
      <c r="Q187" s="80">
        <v>6000</v>
      </c>
      <c r="R187" s="80">
        <v>6000</v>
      </c>
      <c r="S187" s="80">
        <v>6000</v>
      </c>
      <c r="T187" s="80">
        <v>6000</v>
      </c>
      <c r="U187" s="80">
        <v>6000</v>
      </c>
      <c r="V187" s="80">
        <v>6000</v>
      </c>
      <c r="W187" s="80">
        <v>6000</v>
      </c>
      <c r="X187" s="80">
        <v>6000</v>
      </c>
      <c r="Y187" s="80">
        <v>6000</v>
      </c>
      <c r="Z187" s="80">
        <v>6000</v>
      </c>
      <c r="AA187" s="80">
        <v>6000</v>
      </c>
      <c r="AB187" s="80">
        <v>6000</v>
      </c>
      <c r="AC187" s="80">
        <v>6000</v>
      </c>
      <c r="AD187" s="80">
        <v>6000</v>
      </c>
      <c r="AE187" s="80">
        <v>6000</v>
      </c>
      <c r="AF187" s="80">
        <v>0</v>
      </c>
      <c r="AG187" s="80">
        <v>0</v>
      </c>
      <c r="AH187" s="80">
        <v>0</v>
      </c>
      <c r="AI187" s="80">
        <v>0</v>
      </c>
      <c r="AJ187" s="80">
        <v>0</v>
      </c>
      <c r="AK187" s="80">
        <v>0</v>
      </c>
      <c r="AL187" s="80">
        <v>0</v>
      </c>
      <c r="AM187" s="80">
        <v>0</v>
      </c>
      <c r="AN187" s="80">
        <v>0</v>
      </c>
      <c r="AO187" s="80">
        <v>0</v>
      </c>
      <c r="AP187" s="80">
        <v>0</v>
      </c>
      <c r="AQ187" s="51"/>
      <c r="AR187" s="51"/>
      <c r="AS187" s="51"/>
      <c r="AT187" s="51"/>
      <c r="AU187" s="51"/>
      <c r="AV187" s="51"/>
      <c r="AW187" s="51"/>
      <c r="AX187" s="51"/>
      <c r="AY187" s="51"/>
      <c r="AZ187" s="51"/>
      <c r="BA187" s="51"/>
      <c r="BB187" s="51"/>
      <c r="BC187" s="51"/>
      <c r="BD187" s="51"/>
      <c r="BE187" s="51"/>
      <c r="BF187" s="51"/>
      <c r="BG187" s="51"/>
      <c r="BH187" s="51"/>
      <c r="BI187" s="51"/>
      <c r="BJ187" s="51"/>
      <c r="BK187" s="51"/>
      <c r="BL187" s="51"/>
      <c r="BM187" s="51"/>
    </row>
    <row r="188" spans="1:65" outlineLevel="1">
      <c r="A188" s="51"/>
      <c r="B188" t="s">
        <v>250</v>
      </c>
      <c r="C188" s="51"/>
      <c r="D188" s="51"/>
      <c r="E188" s="54">
        <f t="shared" si="54"/>
        <v>125000</v>
      </c>
      <c r="F188" s="103">
        <v>0</v>
      </c>
      <c r="G188" s="80">
        <v>5000</v>
      </c>
      <c r="H188" s="80">
        <v>5000</v>
      </c>
      <c r="I188" s="80">
        <v>5000</v>
      </c>
      <c r="J188" s="80">
        <v>5000</v>
      </c>
      <c r="K188" s="80">
        <v>5000</v>
      </c>
      <c r="L188" s="80">
        <v>5000</v>
      </c>
      <c r="M188" s="80">
        <v>5000</v>
      </c>
      <c r="N188" s="80">
        <v>5000</v>
      </c>
      <c r="O188" s="80">
        <v>5000</v>
      </c>
      <c r="P188" s="80">
        <v>5000</v>
      </c>
      <c r="Q188" s="80">
        <v>5000</v>
      </c>
      <c r="R188" s="80">
        <v>5000</v>
      </c>
      <c r="S188" s="80">
        <v>5000</v>
      </c>
      <c r="T188" s="80">
        <v>5000</v>
      </c>
      <c r="U188" s="80">
        <v>5000</v>
      </c>
      <c r="V188" s="80">
        <v>5000</v>
      </c>
      <c r="W188" s="80">
        <v>5000</v>
      </c>
      <c r="X188" s="80">
        <v>5000</v>
      </c>
      <c r="Y188" s="80">
        <v>5000</v>
      </c>
      <c r="Z188" s="80">
        <v>5000</v>
      </c>
      <c r="AA188" s="80">
        <v>5000</v>
      </c>
      <c r="AB188" s="80">
        <v>5000</v>
      </c>
      <c r="AC188" s="80">
        <v>5000</v>
      </c>
      <c r="AD188" s="80">
        <v>5000</v>
      </c>
      <c r="AE188" s="80">
        <v>5000</v>
      </c>
      <c r="AF188" s="80">
        <v>0</v>
      </c>
      <c r="AG188" s="80">
        <v>0</v>
      </c>
      <c r="AH188" s="80">
        <v>0</v>
      </c>
      <c r="AI188" s="80">
        <v>0</v>
      </c>
      <c r="AJ188" s="80">
        <v>0</v>
      </c>
      <c r="AK188" s="80">
        <v>0</v>
      </c>
      <c r="AL188" s="80">
        <v>0</v>
      </c>
      <c r="AM188" s="80">
        <v>0</v>
      </c>
      <c r="AN188" s="80">
        <v>0</v>
      </c>
      <c r="AO188" s="80">
        <v>0</v>
      </c>
      <c r="AP188" s="80">
        <v>0</v>
      </c>
      <c r="AQ188" s="51"/>
      <c r="AR188" s="51"/>
      <c r="AS188" s="51"/>
      <c r="AT188" s="51"/>
      <c r="AU188" s="51"/>
      <c r="AV188" s="51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1"/>
      <c r="BJ188" s="51"/>
      <c r="BK188" s="51"/>
      <c r="BL188" s="51"/>
      <c r="BM188" s="51"/>
    </row>
    <row r="189" spans="1:65" outlineLevel="1">
      <c r="A189" s="51"/>
      <c r="B189" s="51" t="s">
        <v>251</v>
      </c>
      <c r="C189" s="51"/>
      <c r="D189" s="51"/>
      <c r="E189" s="54">
        <f t="shared" si="54"/>
        <v>320000</v>
      </c>
      <c r="F189" s="103">
        <v>0</v>
      </c>
      <c r="G189" s="80">
        <v>0</v>
      </c>
      <c r="H189" s="80">
        <v>10000</v>
      </c>
      <c r="I189" s="80">
        <v>10000</v>
      </c>
      <c r="J189" s="80">
        <v>10000</v>
      </c>
      <c r="K189" s="80">
        <v>10000</v>
      </c>
      <c r="L189" s="80">
        <v>10000</v>
      </c>
      <c r="M189" s="80">
        <v>10000</v>
      </c>
      <c r="N189" s="80">
        <v>10000</v>
      </c>
      <c r="O189" s="80">
        <v>10000</v>
      </c>
      <c r="P189" s="80">
        <v>10000</v>
      </c>
      <c r="Q189" s="80">
        <v>10000</v>
      </c>
      <c r="R189" s="80">
        <v>10000</v>
      </c>
      <c r="S189" s="80">
        <v>10000</v>
      </c>
      <c r="T189" s="80">
        <v>10000</v>
      </c>
      <c r="U189" s="80">
        <v>10000</v>
      </c>
      <c r="V189" s="80">
        <v>10000</v>
      </c>
      <c r="W189" s="80">
        <v>10000</v>
      </c>
      <c r="X189" s="80">
        <v>10000</v>
      </c>
      <c r="Y189" s="80">
        <v>10000</v>
      </c>
      <c r="Z189" s="80">
        <v>10000</v>
      </c>
      <c r="AA189" s="80">
        <v>10000</v>
      </c>
      <c r="AB189" s="80">
        <v>10000</v>
      </c>
      <c r="AC189" s="80">
        <v>10000</v>
      </c>
      <c r="AD189" s="80">
        <v>10000</v>
      </c>
      <c r="AE189" s="80">
        <v>10000</v>
      </c>
      <c r="AF189" s="80">
        <v>10000</v>
      </c>
      <c r="AG189" s="80">
        <v>10000</v>
      </c>
      <c r="AH189" s="80">
        <v>10000</v>
      </c>
      <c r="AI189" s="80">
        <v>10000</v>
      </c>
      <c r="AJ189" s="80">
        <v>10000</v>
      </c>
      <c r="AK189" s="80">
        <v>10000</v>
      </c>
      <c r="AL189" s="80">
        <v>10000</v>
      </c>
      <c r="AM189" s="80">
        <v>10000</v>
      </c>
      <c r="AN189" s="80">
        <v>0</v>
      </c>
      <c r="AO189" s="80">
        <v>0</v>
      </c>
      <c r="AP189" s="80">
        <v>0</v>
      </c>
      <c r="AQ189" s="51"/>
      <c r="AR189" s="51"/>
      <c r="AS189" s="51"/>
      <c r="AT189" s="51"/>
      <c r="AU189" s="51"/>
      <c r="AV189" s="51"/>
      <c r="AW189" s="51"/>
      <c r="AX189" s="51"/>
      <c r="AY189" s="51"/>
      <c r="AZ189" s="51"/>
      <c r="BA189" s="51"/>
      <c r="BB189" s="51"/>
      <c r="BC189" s="51"/>
      <c r="BD189" s="51"/>
      <c r="BE189" s="51"/>
      <c r="BF189" s="51"/>
      <c r="BG189" s="51"/>
      <c r="BH189" s="51"/>
      <c r="BI189" s="51"/>
      <c r="BJ189" s="51"/>
      <c r="BK189" s="51"/>
      <c r="BL189" s="51"/>
      <c r="BM189" s="51"/>
    </row>
    <row r="190" spans="1:65" outlineLevel="1">
      <c r="A190" s="51"/>
      <c r="B190" s="51" t="s">
        <v>252</v>
      </c>
      <c r="C190" s="51"/>
      <c r="D190" s="51"/>
      <c r="E190" s="54">
        <f t="shared" si="54"/>
        <v>186000</v>
      </c>
      <c r="F190" s="103">
        <v>0</v>
      </c>
      <c r="G190" s="80">
        <v>0</v>
      </c>
      <c r="H190" s="80">
        <v>0</v>
      </c>
      <c r="I190" s="80">
        <v>6000</v>
      </c>
      <c r="J190" s="80">
        <v>6000</v>
      </c>
      <c r="K190" s="80">
        <v>6000</v>
      </c>
      <c r="L190" s="80">
        <v>6000</v>
      </c>
      <c r="M190" s="80">
        <v>6000</v>
      </c>
      <c r="N190" s="80">
        <v>6000</v>
      </c>
      <c r="O190" s="80">
        <v>6000</v>
      </c>
      <c r="P190" s="80">
        <v>6000</v>
      </c>
      <c r="Q190" s="80">
        <v>6000</v>
      </c>
      <c r="R190" s="80">
        <v>6000</v>
      </c>
      <c r="S190" s="80">
        <v>6000</v>
      </c>
      <c r="T190" s="80">
        <v>6000</v>
      </c>
      <c r="U190" s="80">
        <v>6000</v>
      </c>
      <c r="V190" s="80">
        <v>6000</v>
      </c>
      <c r="W190" s="80">
        <v>6000</v>
      </c>
      <c r="X190" s="80">
        <v>6000</v>
      </c>
      <c r="Y190" s="80">
        <v>6000</v>
      </c>
      <c r="Z190" s="80">
        <v>6000</v>
      </c>
      <c r="AA190" s="80">
        <v>6000</v>
      </c>
      <c r="AB190" s="80">
        <v>6000</v>
      </c>
      <c r="AC190" s="80">
        <v>6000</v>
      </c>
      <c r="AD190" s="80">
        <v>6000</v>
      </c>
      <c r="AE190" s="80">
        <v>6000</v>
      </c>
      <c r="AF190" s="80">
        <v>6000</v>
      </c>
      <c r="AG190" s="80">
        <v>6000</v>
      </c>
      <c r="AH190" s="80">
        <v>6000</v>
      </c>
      <c r="AI190" s="80">
        <v>6000</v>
      </c>
      <c r="AJ190" s="80">
        <v>6000</v>
      </c>
      <c r="AK190" s="80">
        <v>6000</v>
      </c>
      <c r="AL190" s="80">
        <v>6000</v>
      </c>
      <c r="AM190" s="80">
        <v>6000</v>
      </c>
      <c r="AN190" s="80"/>
      <c r="AO190" s="80">
        <v>0</v>
      </c>
      <c r="AP190" s="80">
        <v>0</v>
      </c>
      <c r="AQ190" s="51"/>
      <c r="AR190" s="51"/>
      <c r="AS190" s="51"/>
      <c r="AT190" s="51"/>
      <c r="AU190" s="51"/>
      <c r="AV190" s="51"/>
      <c r="AW190" s="51"/>
      <c r="AX190" s="51"/>
      <c r="AY190" s="51"/>
      <c r="AZ190" s="51"/>
      <c r="BA190" s="51"/>
      <c r="BB190" s="51"/>
      <c r="BC190" s="51"/>
      <c r="BD190" s="51"/>
      <c r="BE190" s="51"/>
      <c r="BF190" s="51"/>
      <c r="BG190" s="51"/>
      <c r="BH190" s="51"/>
      <c r="BI190" s="51"/>
      <c r="BJ190" s="51"/>
      <c r="BK190" s="51"/>
      <c r="BL190" s="51"/>
      <c r="BM190" s="51"/>
    </row>
    <row r="191" spans="1:65" outlineLevel="1">
      <c r="A191" s="51"/>
      <c r="B191" s="51" t="s">
        <v>253</v>
      </c>
      <c r="C191" s="51"/>
      <c r="D191" s="51"/>
      <c r="E191" s="54">
        <f t="shared" si="54"/>
        <v>138000</v>
      </c>
      <c r="F191" s="103">
        <v>0</v>
      </c>
      <c r="G191" s="80">
        <v>0</v>
      </c>
      <c r="H191" s="80">
        <v>0</v>
      </c>
      <c r="I191" s="80">
        <v>6000</v>
      </c>
      <c r="J191" s="80">
        <v>6000</v>
      </c>
      <c r="K191" s="80">
        <v>6000</v>
      </c>
      <c r="L191" s="80">
        <v>6000</v>
      </c>
      <c r="M191" s="80">
        <v>6000</v>
      </c>
      <c r="N191" s="80">
        <v>6000</v>
      </c>
      <c r="O191" s="80">
        <v>6000</v>
      </c>
      <c r="P191" s="80">
        <v>6000</v>
      </c>
      <c r="Q191" s="80">
        <v>6000</v>
      </c>
      <c r="R191" s="80">
        <v>6000</v>
      </c>
      <c r="S191" s="80">
        <v>6000</v>
      </c>
      <c r="T191" s="80">
        <v>6000</v>
      </c>
      <c r="U191" s="80">
        <v>6000</v>
      </c>
      <c r="V191" s="80">
        <v>6000</v>
      </c>
      <c r="W191" s="80">
        <v>6000</v>
      </c>
      <c r="X191" s="80">
        <v>6000</v>
      </c>
      <c r="Y191" s="80">
        <v>6000</v>
      </c>
      <c r="Z191" s="80">
        <v>6000</v>
      </c>
      <c r="AA191" s="80">
        <v>6000</v>
      </c>
      <c r="AB191" s="80">
        <v>6000</v>
      </c>
      <c r="AC191" s="80">
        <v>6000</v>
      </c>
      <c r="AD191" s="80">
        <v>6000</v>
      </c>
      <c r="AE191" s="80">
        <v>6000</v>
      </c>
      <c r="AF191" s="80">
        <v>0</v>
      </c>
      <c r="AG191" s="80">
        <v>0</v>
      </c>
      <c r="AH191" s="80">
        <v>0</v>
      </c>
      <c r="AI191" s="80">
        <v>0</v>
      </c>
      <c r="AJ191" s="80">
        <v>0</v>
      </c>
      <c r="AK191" s="80">
        <v>0</v>
      </c>
      <c r="AL191" s="80">
        <v>0</v>
      </c>
      <c r="AM191" s="80">
        <v>0</v>
      </c>
      <c r="AN191" s="80">
        <v>0</v>
      </c>
      <c r="AO191" s="80">
        <v>0</v>
      </c>
      <c r="AP191" s="80">
        <v>0</v>
      </c>
      <c r="AQ191" s="51"/>
      <c r="AR191" s="51"/>
      <c r="AS191" s="51"/>
      <c r="AT191" s="51"/>
      <c r="AU191" s="51"/>
      <c r="AV191" s="51"/>
      <c r="AW191" s="51"/>
      <c r="AX191" s="51"/>
      <c r="AY191" s="51"/>
      <c r="AZ191" s="51"/>
      <c r="BA191" s="51"/>
      <c r="BB191" s="51"/>
      <c r="BC191" s="51"/>
      <c r="BD191" s="51"/>
      <c r="BE191" s="51"/>
      <c r="BF191" s="51"/>
      <c r="BG191" s="51"/>
      <c r="BH191" s="51"/>
      <c r="BI191" s="51"/>
      <c r="BJ191" s="51"/>
      <c r="BK191" s="51"/>
      <c r="BL191" s="51"/>
      <c r="BM191" s="51"/>
    </row>
    <row r="192" spans="1:65" outlineLevel="1">
      <c r="A192" s="51"/>
      <c r="B192" t="s">
        <v>254</v>
      </c>
      <c r="C192" s="51"/>
      <c r="D192" s="51"/>
      <c r="E192" s="54">
        <f t="shared" si="54"/>
        <v>115000</v>
      </c>
      <c r="F192" s="103">
        <v>0</v>
      </c>
      <c r="G192" s="80">
        <v>0</v>
      </c>
      <c r="H192" s="80">
        <v>0</v>
      </c>
      <c r="I192" s="80">
        <v>5000</v>
      </c>
      <c r="J192" s="80">
        <v>5000</v>
      </c>
      <c r="K192" s="80">
        <v>5000</v>
      </c>
      <c r="L192" s="80">
        <v>5000</v>
      </c>
      <c r="M192" s="80">
        <v>5000</v>
      </c>
      <c r="N192" s="80">
        <v>5000</v>
      </c>
      <c r="O192" s="80">
        <v>5000</v>
      </c>
      <c r="P192" s="80">
        <v>5000</v>
      </c>
      <c r="Q192" s="80">
        <v>5000</v>
      </c>
      <c r="R192" s="80">
        <v>5000</v>
      </c>
      <c r="S192" s="80">
        <v>5000</v>
      </c>
      <c r="T192" s="80">
        <v>5000</v>
      </c>
      <c r="U192" s="80">
        <v>5000</v>
      </c>
      <c r="V192" s="80">
        <v>5000</v>
      </c>
      <c r="W192" s="80">
        <v>5000</v>
      </c>
      <c r="X192" s="80">
        <v>5000</v>
      </c>
      <c r="Y192" s="80">
        <v>5000</v>
      </c>
      <c r="Z192" s="80">
        <v>5000</v>
      </c>
      <c r="AA192" s="80">
        <v>5000</v>
      </c>
      <c r="AB192" s="80">
        <v>5000</v>
      </c>
      <c r="AC192" s="80">
        <v>5000</v>
      </c>
      <c r="AD192" s="80">
        <v>5000</v>
      </c>
      <c r="AE192" s="80">
        <v>5000</v>
      </c>
      <c r="AF192" s="80">
        <v>0</v>
      </c>
      <c r="AG192" s="80">
        <v>0</v>
      </c>
      <c r="AH192" s="80">
        <v>0</v>
      </c>
      <c r="AI192" s="80">
        <v>0</v>
      </c>
      <c r="AJ192" s="80">
        <v>0</v>
      </c>
      <c r="AK192" s="80">
        <v>0</v>
      </c>
      <c r="AL192" s="80">
        <v>0</v>
      </c>
      <c r="AM192" s="80">
        <v>0</v>
      </c>
      <c r="AN192" s="80">
        <v>0</v>
      </c>
      <c r="AO192" s="80">
        <v>0</v>
      </c>
      <c r="AP192" s="80">
        <v>0</v>
      </c>
      <c r="AQ192" s="51"/>
      <c r="AR192" s="51"/>
      <c r="AS192" s="51"/>
      <c r="AT192" s="51"/>
      <c r="AU192" s="51"/>
      <c r="AV192" s="51"/>
      <c r="AW192" s="51"/>
      <c r="AX192" s="51"/>
      <c r="AY192" s="51"/>
      <c r="AZ192" s="51"/>
      <c r="BA192" s="51"/>
      <c r="BB192" s="51"/>
      <c r="BC192" s="51"/>
      <c r="BD192" s="51"/>
      <c r="BE192" s="51"/>
      <c r="BF192" s="51"/>
      <c r="BG192" s="51"/>
      <c r="BH192" s="51"/>
      <c r="BI192" s="51"/>
      <c r="BJ192" s="51"/>
      <c r="BK192" s="51"/>
      <c r="BL192" s="51"/>
      <c r="BM192" s="51"/>
    </row>
    <row r="193" spans="1:66" outlineLevel="1">
      <c r="A193" s="51"/>
      <c r="B193" t="s">
        <v>255</v>
      </c>
      <c r="C193" s="51"/>
      <c r="D193" s="51"/>
      <c r="E193" s="54">
        <f t="shared" si="54"/>
        <v>103500</v>
      </c>
      <c r="F193" s="103">
        <v>0</v>
      </c>
      <c r="G193" s="80">
        <v>0</v>
      </c>
      <c r="H193" s="80">
        <v>0</v>
      </c>
      <c r="I193" s="80">
        <v>4500</v>
      </c>
      <c r="J193" s="80">
        <v>4500</v>
      </c>
      <c r="K193" s="80">
        <v>4500</v>
      </c>
      <c r="L193" s="80">
        <v>4500</v>
      </c>
      <c r="M193" s="80">
        <v>4500</v>
      </c>
      <c r="N193" s="80">
        <v>4500</v>
      </c>
      <c r="O193" s="80">
        <v>4500</v>
      </c>
      <c r="P193" s="80">
        <v>4500</v>
      </c>
      <c r="Q193" s="80">
        <v>4500</v>
      </c>
      <c r="R193" s="80">
        <v>4500</v>
      </c>
      <c r="S193" s="80">
        <v>4500</v>
      </c>
      <c r="T193" s="80">
        <v>4500</v>
      </c>
      <c r="U193" s="80">
        <v>4500</v>
      </c>
      <c r="V193" s="80">
        <v>4500</v>
      </c>
      <c r="W193" s="80">
        <v>4500</v>
      </c>
      <c r="X193" s="80">
        <v>4500</v>
      </c>
      <c r="Y193" s="80">
        <v>4500</v>
      </c>
      <c r="Z193" s="80">
        <v>4500</v>
      </c>
      <c r="AA193" s="80">
        <v>4500</v>
      </c>
      <c r="AB193" s="80">
        <v>4500</v>
      </c>
      <c r="AC193" s="80">
        <v>4500</v>
      </c>
      <c r="AD193" s="80">
        <v>4500</v>
      </c>
      <c r="AE193" s="80">
        <v>4500</v>
      </c>
      <c r="AF193" s="80">
        <v>0</v>
      </c>
      <c r="AG193" s="80">
        <v>0</v>
      </c>
      <c r="AH193" s="80">
        <v>0</v>
      </c>
      <c r="AI193" s="80">
        <v>0</v>
      </c>
      <c r="AJ193" s="80">
        <v>0</v>
      </c>
      <c r="AK193" s="80">
        <v>0</v>
      </c>
      <c r="AL193" s="80">
        <v>0</v>
      </c>
      <c r="AM193" s="80">
        <v>0</v>
      </c>
      <c r="AN193" s="80">
        <v>0</v>
      </c>
      <c r="AO193" s="80">
        <v>0</v>
      </c>
      <c r="AP193" s="80">
        <v>0</v>
      </c>
      <c r="AQ193" s="51"/>
      <c r="AR193" s="51"/>
      <c r="AS193" s="51"/>
      <c r="AT193" s="51"/>
      <c r="AU193" s="51"/>
      <c r="AV193" s="51"/>
      <c r="AW193" s="51"/>
      <c r="AX193" s="51"/>
      <c r="AY193" s="51"/>
      <c r="AZ193" s="51"/>
      <c r="BA193" s="51"/>
      <c r="BB193" s="51"/>
      <c r="BC193" s="51"/>
      <c r="BD193" s="51"/>
      <c r="BE193" s="51"/>
      <c r="BF193" s="51"/>
      <c r="BG193" s="51"/>
      <c r="BH193" s="51"/>
      <c r="BI193" s="51"/>
      <c r="BJ193" s="51"/>
      <c r="BK193" s="51"/>
      <c r="BL193" s="51"/>
      <c r="BM193" s="51"/>
      <c r="BN193" s="51"/>
    </row>
    <row r="194" spans="1:66" outlineLevel="1">
      <c r="A194" s="51"/>
      <c r="B194" s="51" t="s">
        <v>256</v>
      </c>
      <c r="C194" s="51"/>
      <c r="D194" s="51"/>
      <c r="E194" s="54">
        <f t="shared" si="54"/>
        <v>560000</v>
      </c>
      <c r="F194" s="103"/>
      <c r="G194" s="69">
        <v>0</v>
      </c>
      <c r="H194" s="69">
        <v>0</v>
      </c>
      <c r="I194" s="69">
        <v>0</v>
      </c>
      <c r="J194" s="69">
        <v>10000</v>
      </c>
      <c r="K194" s="69">
        <v>10000</v>
      </c>
      <c r="L194" s="69">
        <v>10000</v>
      </c>
      <c r="M194" s="69">
        <v>10000</v>
      </c>
      <c r="N194" s="69">
        <v>10000</v>
      </c>
      <c r="O194" s="69">
        <v>10000</v>
      </c>
      <c r="P194" s="69">
        <v>10000</v>
      </c>
      <c r="Q194" s="69">
        <v>10000</v>
      </c>
      <c r="R194" s="69">
        <v>10000</v>
      </c>
      <c r="S194" s="69">
        <v>10000</v>
      </c>
      <c r="T194" s="69">
        <v>10000</v>
      </c>
      <c r="U194" s="69">
        <v>10000</v>
      </c>
      <c r="V194" s="69">
        <v>10000</v>
      </c>
      <c r="W194" s="69">
        <v>10000</v>
      </c>
      <c r="X194" s="69">
        <v>10000</v>
      </c>
      <c r="Y194" s="69">
        <v>10000</v>
      </c>
      <c r="Z194" s="69">
        <v>10000</v>
      </c>
      <c r="AA194" s="69">
        <v>10000</v>
      </c>
      <c r="AB194" s="69">
        <v>10000</v>
      </c>
      <c r="AC194" s="69">
        <v>10000</v>
      </c>
      <c r="AD194" s="69">
        <v>10000</v>
      </c>
      <c r="AE194" s="69">
        <v>10000</v>
      </c>
      <c r="AF194" s="69">
        <v>10000</v>
      </c>
      <c r="AG194" s="69">
        <v>10000</v>
      </c>
      <c r="AH194" s="69">
        <v>10000</v>
      </c>
      <c r="AI194" s="69">
        <v>10000</v>
      </c>
      <c r="AJ194" s="69">
        <v>10000</v>
      </c>
      <c r="AK194" s="69">
        <v>10000</v>
      </c>
      <c r="AL194" s="69">
        <v>10000</v>
      </c>
      <c r="AM194" s="69">
        <v>10000</v>
      </c>
      <c r="AN194" s="69">
        <v>10000</v>
      </c>
      <c r="AO194" s="69">
        <v>10000</v>
      </c>
      <c r="AP194" s="69">
        <v>10000</v>
      </c>
      <c r="AQ194" s="69">
        <v>10000</v>
      </c>
      <c r="AR194" s="69">
        <v>10000</v>
      </c>
      <c r="AS194" s="69">
        <v>10000</v>
      </c>
      <c r="AT194" s="69">
        <v>10000</v>
      </c>
      <c r="AU194" s="69">
        <v>10000</v>
      </c>
      <c r="AV194" s="69">
        <v>10000</v>
      </c>
      <c r="AW194" s="69">
        <v>10000</v>
      </c>
      <c r="AX194" s="69">
        <v>10000</v>
      </c>
      <c r="AY194" s="69">
        <v>10000</v>
      </c>
      <c r="AZ194" s="69">
        <v>10000</v>
      </c>
      <c r="BA194" s="69">
        <v>10000</v>
      </c>
      <c r="BB194" s="69">
        <v>10000</v>
      </c>
      <c r="BC194" s="69">
        <v>10000</v>
      </c>
      <c r="BD194" s="69">
        <v>10000</v>
      </c>
      <c r="BE194" s="69">
        <v>10000</v>
      </c>
      <c r="BF194" s="69">
        <v>10000</v>
      </c>
      <c r="BG194" s="69">
        <v>10000</v>
      </c>
      <c r="BH194" s="69">
        <v>10000</v>
      </c>
      <c r="BI194" s="69">
        <v>10000</v>
      </c>
      <c r="BJ194" s="69">
        <v>10000</v>
      </c>
      <c r="BK194" s="69">
        <v>10000</v>
      </c>
      <c r="BL194" s="69">
        <v>10000</v>
      </c>
      <c r="BM194" s="69">
        <v>10000</v>
      </c>
      <c r="BN194" s="69">
        <v>0</v>
      </c>
    </row>
    <row r="195" spans="1:66" outlineLevel="1">
      <c r="A195" s="51"/>
      <c r="B195" t="s">
        <v>257</v>
      </c>
      <c r="C195" s="51"/>
      <c r="D195" s="51"/>
      <c r="E195" s="54">
        <f t="shared" si="54"/>
        <v>560000</v>
      </c>
      <c r="F195" s="103">
        <v>0</v>
      </c>
      <c r="G195" s="80">
        <v>0</v>
      </c>
      <c r="H195" s="80">
        <v>0</v>
      </c>
      <c r="I195" s="80">
        <v>0</v>
      </c>
      <c r="J195" s="80">
        <v>10000</v>
      </c>
      <c r="K195" s="80">
        <v>10000</v>
      </c>
      <c r="L195" s="80">
        <v>10000</v>
      </c>
      <c r="M195" s="80">
        <v>10000</v>
      </c>
      <c r="N195" s="80">
        <v>10000</v>
      </c>
      <c r="O195" s="80">
        <v>10000</v>
      </c>
      <c r="P195" s="80">
        <v>10000</v>
      </c>
      <c r="Q195" s="80">
        <v>10000</v>
      </c>
      <c r="R195" s="80">
        <v>10000</v>
      </c>
      <c r="S195" s="80">
        <v>10000</v>
      </c>
      <c r="T195" s="80">
        <v>10000</v>
      </c>
      <c r="U195" s="80">
        <v>10000</v>
      </c>
      <c r="V195" s="80">
        <v>10000</v>
      </c>
      <c r="W195" s="80">
        <v>10000</v>
      </c>
      <c r="X195" s="80">
        <v>10000</v>
      </c>
      <c r="Y195" s="80">
        <v>10000</v>
      </c>
      <c r="Z195" s="80">
        <v>10000</v>
      </c>
      <c r="AA195" s="80">
        <v>10000</v>
      </c>
      <c r="AB195" s="80">
        <v>10000</v>
      </c>
      <c r="AC195" s="80">
        <v>10000</v>
      </c>
      <c r="AD195" s="80">
        <v>10000</v>
      </c>
      <c r="AE195" s="80">
        <v>10000</v>
      </c>
      <c r="AF195" s="80">
        <v>10000</v>
      </c>
      <c r="AG195" s="80">
        <v>10000</v>
      </c>
      <c r="AH195" s="80">
        <v>10000</v>
      </c>
      <c r="AI195" s="80">
        <v>10000</v>
      </c>
      <c r="AJ195" s="80">
        <v>10000</v>
      </c>
      <c r="AK195" s="80">
        <v>10000</v>
      </c>
      <c r="AL195" s="80">
        <v>10000</v>
      </c>
      <c r="AM195" s="80">
        <v>10000</v>
      </c>
      <c r="AN195" s="80">
        <v>10000</v>
      </c>
      <c r="AO195" s="80">
        <v>10000</v>
      </c>
      <c r="AP195" s="80">
        <v>10000</v>
      </c>
      <c r="AQ195" s="80">
        <v>10000</v>
      </c>
      <c r="AR195" s="80">
        <v>10000</v>
      </c>
      <c r="AS195" s="80">
        <v>10000</v>
      </c>
      <c r="AT195" s="80">
        <v>10000</v>
      </c>
      <c r="AU195" s="80">
        <v>10000</v>
      </c>
      <c r="AV195" s="80">
        <v>10000</v>
      </c>
      <c r="AW195" s="80">
        <v>10000</v>
      </c>
      <c r="AX195" s="80">
        <v>10000</v>
      </c>
      <c r="AY195" s="80">
        <v>10000</v>
      </c>
      <c r="AZ195" s="80">
        <v>10000</v>
      </c>
      <c r="BA195" s="80">
        <v>10000</v>
      </c>
      <c r="BB195" s="80">
        <v>10000</v>
      </c>
      <c r="BC195" s="80">
        <v>10000</v>
      </c>
      <c r="BD195" s="80">
        <v>10000</v>
      </c>
      <c r="BE195" s="80">
        <v>10000</v>
      </c>
      <c r="BF195" s="80">
        <v>10000</v>
      </c>
      <c r="BG195" s="80">
        <v>10000</v>
      </c>
      <c r="BH195" s="80">
        <v>10000</v>
      </c>
      <c r="BI195" s="80">
        <v>10000</v>
      </c>
      <c r="BJ195" s="80">
        <v>10000</v>
      </c>
      <c r="BK195" s="80">
        <v>10000</v>
      </c>
      <c r="BL195" s="80">
        <v>10000</v>
      </c>
      <c r="BM195" s="80">
        <v>10000</v>
      </c>
      <c r="BN195" s="51"/>
    </row>
    <row r="196" spans="1:66" outlineLevel="1">
      <c r="A196" s="51"/>
      <c r="B196" s="51" t="s">
        <v>258</v>
      </c>
      <c r="C196" s="51"/>
      <c r="D196" s="51" t="s">
        <v>259</v>
      </c>
      <c r="E196" s="90">
        <f t="shared" si="54"/>
        <v>1266750</v>
      </c>
      <c r="F196" s="72">
        <f>SUM(F181:F195)*0.3</f>
        <v>16500</v>
      </c>
      <c r="G196" s="72">
        <f t="shared" ref="G196:BM196" si="55">SUM(G181:G195)*0.3</f>
        <v>15300</v>
      </c>
      <c r="H196" s="72">
        <f t="shared" si="55"/>
        <v>26700</v>
      </c>
      <c r="I196" s="72">
        <f t="shared" si="55"/>
        <v>33150</v>
      </c>
      <c r="J196" s="72">
        <f t="shared" si="55"/>
        <v>39150</v>
      </c>
      <c r="K196" s="72">
        <f t="shared" si="55"/>
        <v>39150</v>
      </c>
      <c r="L196" s="72">
        <f t="shared" si="55"/>
        <v>39150</v>
      </c>
      <c r="M196" s="72">
        <f t="shared" si="55"/>
        <v>39150</v>
      </c>
      <c r="N196" s="72">
        <f t="shared" si="55"/>
        <v>39150</v>
      </c>
      <c r="O196" s="72">
        <f t="shared" si="55"/>
        <v>39150</v>
      </c>
      <c r="P196" s="72">
        <f t="shared" si="55"/>
        <v>39150</v>
      </c>
      <c r="Q196" s="72">
        <f t="shared" si="55"/>
        <v>39150</v>
      </c>
      <c r="R196" s="72">
        <f t="shared" si="55"/>
        <v>39150</v>
      </c>
      <c r="S196" s="72">
        <f t="shared" si="55"/>
        <v>39150</v>
      </c>
      <c r="T196" s="72">
        <f t="shared" si="55"/>
        <v>39150</v>
      </c>
      <c r="U196" s="72">
        <f t="shared" si="55"/>
        <v>39150</v>
      </c>
      <c r="V196" s="72">
        <f t="shared" si="55"/>
        <v>39150</v>
      </c>
      <c r="W196" s="72">
        <f t="shared" si="55"/>
        <v>39150</v>
      </c>
      <c r="X196" s="72">
        <f t="shared" si="55"/>
        <v>39150</v>
      </c>
      <c r="Y196" s="72">
        <f t="shared" si="55"/>
        <v>39150</v>
      </c>
      <c r="Z196" s="72">
        <f t="shared" si="55"/>
        <v>39150</v>
      </c>
      <c r="AA196" s="72">
        <f t="shared" si="55"/>
        <v>39150</v>
      </c>
      <c r="AB196" s="72">
        <f t="shared" si="55"/>
        <v>39150</v>
      </c>
      <c r="AC196" s="72">
        <f t="shared" si="55"/>
        <v>39150</v>
      </c>
      <c r="AD196" s="72">
        <f t="shared" si="55"/>
        <v>39150</v>
      </c>
      <c r="AE196" s="72">
        <f t="shared" si="55"/>
        <v>39150</v>
      </c>
      <c r="AF196" s="72">
        <f t="shared" si="55"/>
        <v>12900</v>
      </c>
      <c r="AG196" s="72">
        <f t="shared" si="55"/>
        <v>12900</v>
      </c>
      <c r="AH196" s="72">
        <f t="shared" si="55"/>
        <v>12900</v>
      </c>
      <c r="AI196" s="72">
        <f t="shared" si="55"/>
        <v>12900</v>
      </c>
      <c r="AJ196" s="72">
        <f t="shared" si="55"/>
        <v>12900</v>
      </c>
      <c r="AK196" s="72">
        <f t="shared" si="55"/>
        <v>12900</v>
      </c>
      <c r="AL196" s="72">
        <f t="shared" si="55"/>
        <v>12900</v>
      </c>
      <c r="AM196" s="72">
        <f t="shared" si="55"/>
        <v>12900</v>
      </c>
      <c r="AN196" s="72">
        <f t="shared" si="55"/>
        <v>8100</v>
      </c>
      <c r="AO196" s="72">
        <f t="shared" si="55"/>
        <v>8100</v>
      </c>
      <c r="AP196" s="72">
        <f t="shared" si="55"/>
        <v>8100</v>
      </c>
      <c r="AQ196" s="72">
        <f t="shared" si="55"/>
        <v>8100</v>
      </c>
      <c r="AR196" s="72">
        <f t="shared" si="55"/>
        <v>8100</v>
      </c>
      <c r="AS196" s="72">
        <f t="shared" si="55"/>
        <v>8100</v>
      </c>
      <c r="AT196" s="72">
        <f t="shared" si="55"/>
        <v>8100</v>
      </c>
      <c r="AU196" s="72">
        <f t="shared" si="55"/>
        <v>8100</v>
      </c>
      <c r="AV196" s="72">
        <f t="shared" si="55"/>
        <v>8100</v>
      </c>
      <c r="AW196" s="72">
        <f t="shared" si="55"/>
        <v>8100</v>
      </c>
      <c r="AX196" s="72">
        <f t="shared" si="55"/>
        <v>8100</v>
      </c>
      <c r="AY196" s="72">
        <f t="shared" si="55"/>
        <v>8100</v>
      </c>
      <c r="AZ196" s="72">
        <f t="shared" si="55"/>
        <v>8100</v>
      </c>
      <c r="BA196" s="72">
        <f t="shared" si="55"/>
        <v>8100</v>
      </c>
      <c r="BB196" s="72">
        <f t="shared" si="55"/>
        <v>8100</v>
      </c>
      <c r="BC196" s="72">
        <f t="shared" si="55"/>
        <v>8100</v>
      </c>
      <c r="BD196" s="72">
        <f t="shared" si="55"/>
        <v>8100</v>
      </c>
      <c r="BE196" s="72">
        <f t="shared" si="55"/>
        <v>8100</v>
      </c>
      <c r="BF196" s="72">
        <f t="shared" si="55"/>
        <v>8100</v>
      </c>
      <c r="BG196" s="72">
        <f t="shared" si="55"/>
        <v>8100</v>
      </c>
      <c r="BH196" s="72">
        <f t="shared" si="55"/>
        <v>8100</v>
      </c>
      <c r="BI196" s="72">
        <f t="shared" si="55"/>
        <v>8100</v>
      </c>
      <c r="BJ196" s="72">
        <f t="shared" si="55"/>
        <v>8100</v>
      </c>
      <c r="BK196" s="72">
        <f t="shared" si="55"/>
        <v>8100</v>
      </c>
      <c r="BL196" s="72">
        <f t="shared" si="55"/>
        <v>8100</v>
      </c>
      <c r="BM196" s="72">
        <f t="shared" si="55"/>
        <v>8100</v>
      </c>
      <c r="BN196" s="51"/>
    </row>
    <row r="197" spans="1:66">
      <c r="A197" s="51"/>
      <c r="B197" s="74" t="s">
        <v>260</v>
      </c>
      <c r="C197" s="74" t="s">
        <v>136</v>
      </c>
      <c r="D197" s="74"/>
      <c r="E197" s="54">
        <f t="shared" si="54"/>
        <v>5489250</v>
      </c>
      <c r="F197" s="103">
        <f t="shared" ref="F197:BM197" si="56">SUM(F181:F196)</f>
        <v>71500</v>
      </c>
      <c r="G197" s="80">
        <f t="shared" si="56"/>
        <v>66300</v>
      </c>
      <c r="H197" s="80">
        <f t="shared" si="56"/>
        <v>115700</v>
      </c>
      <c r="I197" s="80">
        <f t="shared" si="56"/>
        <v>143650</v>
      </c>
      <c r="J197" s="80">
        <f t="shared" si="56"/>
        <v>169650</v>
      </c>
      <c r="K197" s="80">
        <f t="shared" si="56"/>
        <v>169650</v>
      </c>
      <c r="L197" s="80">
        <f t="shared" si="56"/>
        <v>169650</v>
      </c>
      <c r="M197" s="80">
        <f t="shared" si="56"/>
        <v>169650</v>
      </c>
      <c r="N197" s="80">
        <f t="shared" si="56"/>
        <v>169650</v>
      </c>
      <c r="O197" s="80">
        <f t="shared" si="56"/>
        <v>169650</v>
      </c>
      <c r="P197" s="80">
        <f t="shared" si="56"/>
        <v>169650</v>
      </c>
      <c r="Q197" s="80">
        <f t="shared" si="56"/>
        <v>169650</v>
      </c>
      <c r="R197" s="80">
        <f t="shared" si="56"/>
        <v>169650</v>
      </c>
      <c r="S197" s="80">
        <f t="shared" si="56"/>
        <v>169650</v>
      </c>
      <c r="T197" s="80">
        <f t="shared" si="56"/>
        <v>169650</v>
      </c>
      <c r="U197" s="80">
        <f t="shared" si="56"/>
        <v>169650</v>
      </c>
      <c r="V197" s="80">
        <f t="shared" si="56"/>
        <v>169650</v>
      </c>
      <c r="W197" s="80">
        <f t="shared" si="56"/>
        <v>169650</v>
      </c>
      <c r="X197" s="80">
        <f t="shared" si="56"/>
        <v>169650</v>
      </c>
      <c r="Y197" s="80">
        <f t="shared" si="56"/>
        <v>169650</v>
      </c>
      <c r="Z197" s="80">
        <f t="shared" si="56"/>
        <v>169650</v>
      </c>
      <c r="AA197" s="80">
        <f t="shared" si="56"/>
        <v>169650</v>
      </c>
      <c r="AB197" s="80">
        <f t="shared" si="56"/>
        <v>169650</v>
      </c>
      <c r="AC197" s="80">
        <f t="shared" si="56"/>
        <v>169650</v>
      </c>
      <c r="AD197" s="80">
        <f t="shared" si="56"/>
        <v>169650</v>
      </c>
      <c r="AE197" s="80">
        <f t="shared" si="56"/>
        <v>169650</v>
      </c>
      <c r="AF197" s="80">
        <f t="shared" si="56"/>
        <v>55900</v>
      </c>
      <c r="AG197" s="80">
        <f t="shared" si="56"/>
        <v>55900</v>
      </c>
      <c r="AH197" s="80">
        <f t="shared" si="56"/>
        <v>55900</v>
      </c>
      <c r="AI197" s="80">
        <f t="shared" si="56"/>
        <v>55900</v>
      </c>
      <c r="AJ197" s="80">
        <f t="shared" si="56"/>
        <v>55900</v>
      </c>
      <c r="AK197" s="80">
        <f t="shared" si="56"/>
        <v>55900</v>
      </c>
      <c r="AL197" s="80">
        <f t="shared" si="56"/>
        <v>55900</v>
      </c>
      <c r="AM197" s="80">
        <f t="shared" si="56"/>
        <v>55900</v>
      </c>
      <c r="AN197" s="80">
        <f t="shared" si="56"/>
        <v>35100</v>
      </c>
      <c r="AO197" s="80">
        <f t="shared" si="56"/>
        <v>35100</v>
      </c>
      <c r="AP197" s="80">
        <f t="shared" si="56"/>
        <v>35100</v>
      </c>
      <c r="AQ197" s="80">
        <f t="shared" si="56"/>
        <v>35100</v>
      </c>
      <c r="AR197" s="80">
        <f t="shared" si="56"/>
        <v>35100</v>
      </c>
      <c r="AS197" s="80">
        <f t="shared" si="56"/>
        <v>35100</v>
      </c>
      <c r="AT197" s="80">
        <f t="shared" si="56"/>
        <v>35100</v>
      </c>
      <c r="AU197" s="80">
        <f t="shared" si="56"/>
        <v>35100</v>
      </c>
      <c r="AV197" s="80">
        <f t="shared" si="56"/>
        <v>35100</v>
      </c>
      <c r="AW197" s="80">
        <f t="shared" si="56"/>
        <v>35100</v>
      </c>
      <c r="AX197" s="80">
        <f t="shared" si="56"/>
        <v>35100</v>
      </c>
      <c r="AY197" s="80">
        <f t="shared" si="56"/>
        <v>35100</v>
      </c>
      <c r="AZ197" s="80">
        <f t="shared" si="56"/>
        <v>35100</v>
      </c>
      <c r="BA197" s="80">
        <f t="shared" si="56"/>
        <v>35100</v>
      </c>
      <c r="BB197" s="80">
        <f t="shared" si="56"/>
        <v>35100</v>
      </c>
      <c r="BC197" s="80">
        <f t="shared" si="56"/>
        <v>35100</v>
      </c>
      <c r="BD197" s="80">
        <f t="shared" si="56"/>
        <v>35100</v>
      </c>
      <c r="BE197" s="80">
        <f t="shared" si="56"/>
        <v>35100</v>
      </c>
      <c r="BF197" s="80">
        <f t="shared" si="56"/>
        <v>35100</v>
      </c>
      <c r="BG197" s="80">
        <f t="shared" si="56"/>
        <v>35100</v>
      </c>
      <c r="BH197" s="80">
        <f t="shared" si="56"/>
        <v>35100</v>
      </c>
      <c r="BI197" s="80">
        <f t="shared" si="56"/>
        <v>35100</v>
      </c>
      <c r="BJ197" s="80">
        <f t="shared" si="56"/>
        <v>35100</v>
      </c>
      <c r="BK197" s="80">
        <f t="shared" si="56"/>
        <v>35100</v>
      </c>
      <c r="BL197" s="80">
        <f t="shared" si="56"/>
        <v>35100</v>
      </c>
      <c r="BM197" s="80">
        <f t="shared" si="56"/>
        <v>35100</v>
      </c>
      <c r="BN197" s="51"/>
    </row>
    <row r="198" spans="1:66">
      <c r="A198" s="51"/>
      <c r="B198" s="51"/>
      <c r="C198" s="51"/>
      <c r="D198" s="51"/>
      <c r="E198" s="54"/>
      <c r="F198" s="80"/>
      <c r="G198" s="69"/>
      <c r="H198" s="69"/>
      <c r="I198" s="69"/>
      <c r="J198" s="69"/>
      <c r="K198" s="69"/>
      <c r="L198" s="69"/>
      <c r="M198" s="51"/>
      <c r="N198" s="51"/>
      <c r="O198" s="51"/>
      <c r="P198" s="51"/>
      <c r="Q198" s="51"/>
      <c r="R198" s="100"/>
      <c r="S198" s="51"/>
      <c r="T198" s="51"/>
      <c r="U198" s="51"/>
      <c r="V198" s="51"/>
      <c r="W198" s="51"/>
      <c r="X198" s="66"/>
      <c r="Y198" s="51"/>
      <c r="Z198" s="51"/>
      <c r="AA198" s="51"/>
      <c r="AB198" s="51"/>
      <c r="AC198" s="51"/>
      <c r="AD198" s="80"/>
      <c r="AE198" s="80"/>
      <c r="AF198" s="69"/>
      <c r="AG198" s="69"/>
      <c r="AH198" s="69"/>
      <c r="AI198" s="69"/>
      <c r="AJ198" s="69"/>
      <c r="AK198" s="69"/>
      <c r="AL198" s="51"/>
      <c r="AM198" s="51"/>
      <c r="AN198" s="51"/>
      <c r="AO198" s="51"/>
      <c r="AP198" s="51"/>
      <c r="AQ198" s="51"/>
      <c r="AR198" s="51"/>
      <c r="AS198" s="51"/>
      <c r="AT198" s="51"/>
      <c r="AU198" s="51"/>
      <c r="AV198" s="51"/>
      <c r="AW198" s="51"/>
      <c r="AX198" s="51"/>
      <c r="AY198" s="51"/>
      <c r="AZ198" s="51"/>
      <c r="BA198" s="51"/>
      <c r="BB198" s="51"/>
      <c r="BC198" s="51"/>
      <c r="BD198" s="51"/>
      <c r="BE198" s="51"/>
      <c r="BF198" s="51"/>
      <c r="BG198" s="51"/>
      <c r="BH198" s="51"/>
      <c r="BI198" s="51"/>
      <c r="BJ198" s="51"/>
      <c r="BK198" s="51"/>
      <c r="BL198" s="51"/>
      <c r="BM198" s="51"/>
      <c r="BN198" s="51"/>
    </row>
    <row r="199" spans="1:66">
      <c r="A199" s="51"/>
      <c r="B199" s="51"/>
      <c r="C199" s="51"/>
      <c r="D199" s="51"/>
      <c r="E199" s="54"/>
      <c r="F199" s="80"/>
      <c r="G199" s="69"/>
      <c r="H199" s="69"/>
      <c r="I199" s="69"/>
      <c r="J199" s="69"/>
      <c r="K199" s="69"/>
      <c r="L199" s="69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66"/>
      <c r="Y199" s="51"/>
      <c r="Z199" s="51"/>
      <c r="AA199" s="51"/>
      <c r="AB199" s="51"/>
      <c r="AC199" s="51"/>
      <c r="AD199" s="80"/>
      <c r="AE199" s="80"/>
      <c r="AF199" s="69"/>
      <c r="AG199" s="69"/>
      <c r="AH199" s="69"/>
      <c r="AI199" s="69"/>
      <c r="AJ199" s="69"/>
      <c r="AK199" s="69"/>
      <c r="AL199" s="51"/>
      <c r="AM199" s="51"/>
      <c r="AN199" s="51"/>
      <c r="AO199" s="51"/>
      <c r="AP199" s="51"/>
      <c r="AQ199" s="51"/>
      <c r="AR199" s="51"/>
      <c r="AS199" s="51"/>
      <c r="AT199" s="51"/>
      <c r="AU199" s="51"/>
      <c r="AV199" s="51"/>
      <c r="AW199" s="51"/>
      <c r="AX199" s="51"/>
      <c r="AY199" s="51"/>
      <c r="AZ199" s="51"/>
      <c r="BA199" s="51"/>
      <c r="BB199" s="51"/>
      <c r="BC199" s="51"/>
      <c r="BD199" s="51"/>
      <c r="BE199" s="51"/>
      <c r="BF199" s="51"/>
      <c r="BG199" s="51"/>
      <c r="BH199" s="51"/>
      <c r="BI199" s="51"/>
      <c r="BJ199" s="51"/>
      <c r="BK199" s="51"/>
      <c r="BL199" s="51"/>
      <c r="BM199" s="51"/>
      <c r="BN199" s="51"/>
    </row>
    <row r="200" spans="1:66">
      <c r="A200" s="3" t="s">
        <v>261</v>
      </c>
      <c r="B200" s="51"/>
      <c r="C200" s="51"/>
      <c r="D200" s="51"/>
      <c r="E200" s="54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  <c r="AR200" s="51"/>
      <c r="AS200" s="51"/>
      <c r="AT200" s="51"/>
      <c r="AU200" s="51"/>
      <c r="AV200" s="51"/>
      <c r="AW200" s="51"/>
      <c r="AX200" s="51"/>
      <c r="AY200" s="51"/>
      <c r="AZ200" s="51"/>
      <c r="BA200" s="51"/>
      <c r="BB200" s="51"/>
      <c r="BC200" s="51"/>
      <c r="BD200" s="51"/>
      <c r="BE200" s="51"/>
      <c r="BF200" s="51"/>
      <c r="BG200" s="51"/>
      <c r="BH200" s="51"/>
      <c r="BI200" s="51"/>
      <c r="BJ200" s="51"/>
      <c r="BK200" s="51"/>
      <c r="BL200" s="51"/>
      <c r="BM200" s="51"/>
      <c r="BN200" s="51"/>
    </row>
    <row r="201" spans="1:66" outlineLevel="1">
      <c r="A201" s="51"/>
      <c r="B201" s="51" t="s">
        <v>262</v>
      </c>
      <c r="C201" s="51"/>
      <c r="D201" s="51"/>
      <c r="E201" s="54">
        <f t="shared" ref="E201:E208" si="57">SUM(F201:BM201)</f>
        <v>1650000</v>
      </c>
      <c r="F201" s="51"/>
      <c r="G201" s="94"/>
      <c r="H201" s="94"/>
      <c r="I201" s="106">
        <v>75000</v>
      </c>
      <c r="J201" s="96">
        <v>75000</v>
      </c>
      <c r="K201" s="96">
        <v>75000</v>
      </c>
      <c r="L201" s="96">
        <v>50000</v>
      </c>
      <c r="M201" s="96">
        <v>50000</v>
      </c>
      <c r="N201" s="96">
        <v>50000</v>
      </c>
      <c r="O201" s="96">
        <v>25000</v>
      </c>
      <c r="P201" s="96">
        <v>25000</v>
      </c>
      <c r="Q201" s="96">
        <v>25000</v>
      </c>
      <c r="R201" s="96">
        <v>25000</v>
      </c>
      <c r="S201" s="96">
        <v>25000</v>
      </c>
      <c r="T201" s="96">
        <v>25000</v>
      </c>
      <c r="U201" s="96">
        <v>25000</v>
      </c>
      <c r="V201" s="96">
        <v>25000</v>
      </c>
      <c r="W201" s="96">
        <v>25000</v>
      </c>
      <c r="X201" s="96">
        <v>25000</v>
      </c>
      <c r="Y201" s="96">
        <v>25000</v>
      </c>
      <c r="Z201" s="96">
        <v>25000</v>
      </c>
      <c r="AA201" s="96">
        <v>25000</v>
      </c>
      <c r="AB201" s="96">
        <v>25000</v>
      </c>
      <c r="AC201" s="96">
        <v>25000</v>
      </c>
      <c r="AD201" s="96">
        <v>25000</v>
      </c>
      <c r="AE201" s="96">
        <v>25000</v>
      </c>
      <c r="AF201" s="96">
        <v>25000</v>
      </c>
      <c r="AG201" s="96">
        <v>25000</v>
      </c>
      <c r="AH201" s="96">
        <v>25000</v>
      </c>
      <c r="AI201" s="96">
        <v>25000</v>
      </c>
      <c r="AJ201" s="96">
        <v>25000</v>
      </c>
      <c r="AK201" s="96">
        <v>25000</v>
      </c>
      <c r="AL201" s="96">
        <v>25000</v>
      </c>
      <c r="AM201" s="96">
        <v>25000</v>
      </c>
      <c r="AN201" s="96">
        <v>25000</v>
      </c>
      <c r="AO201" s="96">
        <v>25000</v>
      </c>
      <c r="AP201" s="96">
        <v>25000</v>
      </c>
      <c r="AQ201" s="96">
        <v>25000</v>
      </c>
      <c r="AR201" s="96">
        <v>25000</v>
      </c>
      <c r="AS201" s="96">
        <v>25000</v>
      </c>
      <c r="AT201" s="96">
        <v>25000</v>
      </c>
      <c r="AU201" s="96">
        <v>25000</v>
      </c>
      <c r="AV201" s="96">
        <v>25000</v>
      </c>
      <c r="AW201" s="96">
        <v>25000</v>
      </c>
      <c r="AX201" s="96">
        <v>25000</v>
      </c>
      <c r="AY201" s="96">
        <v>25000</v>
      </c>
      <c r="AZ201" s="96">
        <v>25000</v>
      </c>
      <c r="BA201" s="96">
        <v>25000</v>
      </c>
      <c r="BB201" s="96">
        <v>25000</v>
      </c>
      <c r="BC201" s="96">
        <v>25000</v>
      </c>
      <c r="BD201" s="96">
        <v>25000</v>
      </c>
      <c r="BE201" s="96">
        <v>25000</v>
      </c>
      <c r="BF201" s="96">
        <v>25000</v>
      </c>
      <c r="BG201" s="96">
        <v>25000</v>
      </c>
      <c r="BH201" s="96">
        <v>25000</v>
      </c>
      <c r="BI201" s="96">
        <v>25000</v>
      </c>
      <c r="BJ201" s="96">
        <v>25000</v>
      </c>
      <c r="BK201" s="96">
        <v>25000</v>
      </c>
      <c r="BL201" s="96">
        <v>25000</v>
      </c>
      <c r="BM201" s="96">
        <v>25000</v>
      </c>
      <c r="BN201" s="51"/>
    </row>
    <row r="202" spans="1:66" outlineLevel="1">
      <c r="A202" s="51"/>
      <c r="B202" t="s">
        <v>263</v>
      </c>
      <c r="C202" s="51"/>
      <c r="D202" s="51"/>
      <c r="E202" s="54">
        <f t="shared" si="57"/>
        <v>1200000</v>
      </c>
      <c r="F202" s="51"/>
      <c r="G202" s="51"/>
      <c r="H202" s="51"/>
      <c r="I202" s="51"/>
      <c r="J202" s="72"/>
      <c r="K202" s="72"/>
      <c r="L202" s="96">
        <v>0</v>
      </c>
      <c r="M202" s="96">
        <v>150000</v>
      </c>
      <c r="N202" s="96">
        <v>150000</v>
      </c>
      <c r="O202" s="96">
        <v>0</v>
      </c>
      <c r="P202" s="96">
        <v>150000</v>
      </c>
      <c r="Q202" s="72"/>
      <c r="R202" s="72">
        <v>150000</v>
      </c>
      <c r="S202" s="72"/>
      <c r="T202" s="72">
        <v>150000</v>
      </c>
      <c r="U202" s="72"/>
      <c r="V202" s="72">
        <v>150000</v>
      </c>
      <c r="W202" s="72"/>
      <c r="X202" s="72">
        <v>150000</v>
      </c>
      <c r="Y202" s="72"/>
      <c r="Z202" s="72">
        <v>150000</v>
      </c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96"/>
      <c r="AL202" s="96"/>
      <c r="AM202" s="96"/>
      <c r="AN202" s="96"/>
      <c r="AO202" s="96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51"/>
    </row>
    <row r="203" spans="1:66" outlineLevel="1">
      <c r="A203" s="51"/>
      <c r="B203" s="51" t="s">
        <v>264</v>
      </c>
      <c r="C203" s="51"/>
      <c r="D203" s="51"/>
      <c r="E203" s="54">
        <f t="shared" si="57"/>
        <v>0</v>
      </c>
      <c r="F203" s="100">
        <f t="shared" ref="F203:N203" si="58">F226</f>
        <v>0</v>
      </c>
      <c r="G203" s="100">
        <f t="shared" si="58"/>
        <v>0</v>
      </c>
      <c r="H203" s="100">
        <f t="shared" si="58"/>
        <v>0</v>
      </c>
      <c r="I203" s="100">
        <f t="shared" si="58"/>
        <v>0</v>
      </c>
      <c r="J203" s="72"/>
      <c r="K203" s="72"/>
      <c r="L203" s="72">
        <f t="shared" si="58"/>
        <v>0</v>
      </c>
      <c r="M203" s="72">
        <f t="shared" si="58"/>
        <v>0</v>
      </c>
      <c r="N203" s="72">
        <f t="shared" si="58"/>
        <v>0</v>
      </c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51"/>
    </row>
    <row r="204" spans="1:66" outlineLevel="1">
      <c r="A204" s="51"/>
      <c r="B204" s="51" t="s">
        <v>265</v>
      </c>
      <c r="C204" s="51"/>
      <c r="D204" s="51"/>
      <c r="E204" s="54">
        <f t="shared" si="57"/>
        <v>377613.60000000003</v>
      </c>
      <c r="F204" s="100">
        <f t="shared" ref="F204:N204" si="59">F257</f>
        <v>0</v>
      </c>
      <c r="G204" s="100">
        <f t="shared" si="59"/>
        <v>0</v>
      </c>
      <c r="H204" s="100">
        <f t="shared" si="59"/>
        <v>0</v>
      </c>
      <c r="I204" s="100">
        <f t="shared" si="59"/>
        <v>0</v>
      </c>
      <c r="J204" s="72"/>
      <c r="K204" s="72"/>
      <c r="L204" s="72">
        <f t="shared" si="59"/>
        <v>124488.00000000001</v>
      </c>
      <c r="M204" s="72">
        <f t="shared" si="59"/>
        <v>128637.6</v>
      </c>
      <c r="N204" s="72">
        <f t="shared" si="59"/>
        <v>124488.00000000001</v>
      </c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51"/>
    </row>
    <row r="205" spans="1:66" outlineLevel="1">
      <c r="A205" s="51"/>
      <c r="B205" s="51" t="s">
        <v>266</v>
      </c>
      <c r="C205" s="51"/>
      <c r="D205" s="51"/>
      <c r="E205" s="54">
        <f t="shared" si="57"/>
        <v>70000</v>
      </c>
      <c r="F205" s="100">
        <f t="shared" ref="F205:I205" si="60">F278</f>
        <v>0</v>
      </c>
      <c r="G205" s="100">
        <f t="shared" si="60"/>
        <v>0</v>
      </c>
      <c r="H205" s="100">
        <f t="shared" si="60"/>
        <v>0</v>
      </c>
      <c r="I205" s="100">
        <f t="shared" si="60"/>
        <v>0</v>
      </c>
      <c r="J205" s="72"/>
      <c r="K205" s="72"/>
      <c r="L205" s="72">
        <v>10000</v>
      </c>
      <c r="M205" s="72">
        <v>0</v>
      </c>
      <c r="N205" s="72">
        <v>10000</v>
      </c>
      <c r="O205" s="72"/>
      <c r="P205" s="72"/>
      <c r="Q205" s="72"/>
      <c r="R205" s="72">
        <v>10000</v>
      </c>
      <c r="S205" s="72"/>
      <c r="T205" s="72">
        <v>10000</v>
      </c>
      <c r="U205" s="72"/>
      <c r="V205" s="72">
        <v>10000</v>
      </c>
      <c r="W205" s="72"/>
      <c r="X205" s="72">
        <v>10000</v>
      </c>
      <c r="Y205" s="72"/>
      <c r="Z205" s="72">
        <v>10000</v>
      </c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51"/>
    </row>
    <row r="206" spans="1:66" outlineLevel="1">
      <c r="A206" s="51"/>
      <c r="B206" s="51" t="s">
        <v>267</v>
      </c>
      <c r="C206" s="51"/>
      <c r="D206" s="51"/>
      <c r="E206" s="54">
        <f t="shared" si="57"/>
        <v>25043.23</v>
      </c>
      <c r="F206" s="100">
        <f t="shared" ref="F206:M206" si="61">F303</f>
        <v>0</v>
      </c>
      <c r="G206" s="100">
        <f t="shared" si="61"/>
        <v>0</v>
      </c>
      <c r="H206" s="100">
        <f t="shared" si="61"/>
        <v>0</v>
      </c>
      <c r="I206" s="100">
        <f t="shared" si="61"/>
        <v>0</v>
      </c>
      <c r="J206" s="72"/>
      <c r="K206" s="72"/>
      <c r="L206" s="72">
        <v>2500</v>
      </c>
      <c r="M206" s="72">
        <f t="shared" si="61"/>
        <v>7543.23</v>
      </c>
      <c r="N206" s="72">
        <v>2500</v>
      </c>
      <c r="O206" s="72"/>
      <c r="P206" s="72"/>
      <c r="Q206" s="72"/>
      <c r="R206" s="72">
        <v>2500</v>
      </c>
      <c r="S206" s="72"/>
      <c r="T206" s="72">
        <v>2500</v>
      </c>
      <c r="U206" s="72"/>
      <c r="V206" s="72">
        <v>2500</v>
      </c>
      <c r="W206" s="72"/>
      <c r="X206" s="72">
        <v>2500</v>
      </c>
      <c r="Y206" s="72"/>
      <c r="Z206" s="72">
        <v>2500</v>
      </c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51"/>
    </row>
    <row r="207" spans="1:66" outlineLevel="1">
      <c r="A207" s="51"/>
      <c r="B207" s="51" t="s">
        <v>268</v>
      </c>
      <c r="C207" s="51"/>
      <c r="D207" s="51"/>
      <c r="E207" s="90">
        <f t="shared" si="57"/>
        <v>133440</v>
      </c>
      <c r="F207" s="107"/>
      <c r="G207" s="107"/>
      <c r="H207" s="107"/>
      <c r="I207" s="107"/>
      <c r="J207" s="98"/>
      <c r="K207" s="98"/>
      <c r="L207" s="98">
        <f>L344</f>
        <v>14400</v>
      </c>
      <c r="M207" s="98">
        <v>0</v>
      </c>
      <c r="N207" s="98">
        <v>119040</v>
      </c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  <c r="AB207" s="98"/>
      <c r="AC207" s="98"/>
      <c r="AD207" s="98"/>
      <c r="AE207" s="98"/>
      <c r="AF207" s="98"/>
      <c r="AG207" s="98"/>
      <c r="AH207" s="98"/>
      <c r="AI207" s="98"/>
      <c r="AJ207" s="98"/>
      <c r="AK207" s="98"/>
      <c r="AL207" s="98"/>
      <c r="AM207" s="98">
        <f t="shared" ref="AM207" si="62">AM344</f>
        <v>0</v>
      </c>
      <c r="AN207" s="98"/>
      <c r="AO207" s="98"/>
      <c r="AP207" s="98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51"/>
    </row>
    <row r="208" spans="1:66">
      <c r="A208" s="51"/>
      <c r="B208" s="74" t="s">
        <v>269</v>
      </c>
      <c r="C208" s="74" t="s">
        <v>136</v>
      </c>
      <c r="D208" s="74"/>
      <c r="E208" s="54">
        <f t="shared" si="57"/>
        <v>2856096.83</v>
      </c>
      <c r="F208" s="89">
        <f t="shared" ref="F208:AO208" si="63">SUM(F201:F207)</f>
        <v>0</v>
      </c>
      <c r="G208" s="89">
        <f t="shared" si="63"/>
        <v>0</v>
      </c>
      <c r="H208" s="89">
        <f t="shared" si="63"/>
        <v>0</v>
      </c>
      <c r="I208" s="89">
        <f t="shared" si="63"/>
        <v>75000</v>
      </c>
      <c r="J208" s="89">
        <f t="shared" si="63"/>
        <v>75000</v>
      </c>
      <c r="K208" s="89">
        <f t="shared" si="63"/>
        <v>75000</v>
      </c>
      <c r="L208" s="89">
        <f t="shared" si="63"/>
        <v>201388</v>
      </c>
      <c r="M208" s="89">
        <f t="shared" si="63"/>
        <v>336180.82999999996</v>
      </c>
      <c r="N208" s="89">
        <f t="shared" si="63"/>
        <v>456028</v>
      </c>
      <c r="O208" s="89">
        <f t="shared" si="63"/>
        <v>25000</v>
      </c>
      <c r="P208" s="89">
        <f t="shared" si="63"/>
        <v>175000</v>
      </c>
      <c r="Q208" s="89">
        <f t="shared" si="63"/>
        <v>25000</v>
      </c>
      <c r="R208" s="89">
        <f t="shared" si="63"/>
        <v>187500</v>
      </c>
      <c r="S208" s="89">
        <f t="shared" si="63"/>
        <v>25000</v>
      </c>
      <c r="T208" s="89">
        <f t="shared" si="63"/>
        <v>187500</v>
      </c>
      <c r="U208" s="89">
        <f t="shared" si="63"/>
        <v>25000</v>
      </c>
      <c r="V208" s="89">
        <f t="shared" si="63"/>
        <v>187500</v>
      </c>
      <c r="W208" s="89">
        <f t="shared" si="63"/>
        <v>25000</v>
      </c>
      <c r="X208" s="89">
        <f t="shared" si="63"/>
        <v>187500</v>
      </c>
      <c r="Y208" s="89">
        <f t="shared" si="63"/>
        <v>25000</v>
      </c>
      <c r="Z208" s="89">
        <f t="shared" si="63"/>
        <v>187500</v>
      </c>
      <c r="AA208" s="89">
        <f t="shared" si="63"/>
        <v>25000</v>
      </c>
      <c r="AB208" s="89">
        <f t="shared" si="63"/>
        <v>25000</v>
      </c>
      <c r="AC208" s="89">
        <f t="shared" si="63"/>
        <v>25000</v>
      </c>
      <c r="AD208" s="89">
        <f t="shared" si="63"/>
        <v>25000</v>
      </c>
      <c r="AE208" s="89">
        <f t="shared" si="63"/>
        <v>25000</v>
      </c>
      <c r="AF208" s="89">
        <f t="shared" si="63"/>
        <v>25000</v>
      </c>
      <c r="AG208" s="89">
        <f t="shared" si="63"/>
        <v>25000</v>
      </c>
      <c r="AH208" s="89">
        <f t="shared" si="63"/>
        <v>25000</v>
      </c>
      <c r="AI208" s="89">
        <f t="shared" si="63"/>
        <v>25000</v>
      </c>
      <c r="AJ208" s="89">
        <f t="shared" si="63"/>
        <v>25000</v>
      </c>
      <c r="AK208" s="89">
        <f t="shared" si="63"/>
        <v>25000</v>
      </c>
      <c r="AL208" s="89">
        <f t="shared" si="63"/>
        <v>25000</v>
      </c>
      <c r="AM208" s="89">
        <f t="shared" si="63"/>
        <v>25000</v>
      </c>
      <c r="AN208" s="89">
        <f t="shared" si="63"/>
        <v>25000</v>
      </c>
      <c r="AO208" s="89">
        <f t="shared" si="63"/>
        <v>25000</v>
      </c>
      <c r="AP208" s="51"/>
      <c r="AQ208" s="51"/>
      <c r="AR208" s="51"/>
      <c r="AS208" s="51"/>
      <c r="AT208" s="51"/>
      <c r="AU208" s="51"/>
      <c r="AV208" s="51"/>
      <c r="AW208" s="51"/>
      <c r="AX208" s="51"/>
      <c r="AY208" s="51"/>
      <c r="AZ208" s="51"/>
      <c r="BA208" s="51"/>
      <c r="BB208" s="51"/>
      <c r="BC208" s="51"/>
      <c r="BD208" s="51"/>
      <c r="BE208" s="51"/>
      <c r="BF208" s="51"/>
      <c r="BG208" s="51"/>
      <c r="BH208" s="51"/>
      <c r="BI208" s="51"/>
      <c r="BJ208" s="51"/>
      <c r="BK208" s="51"/>
      <c r="BL208" s="51"/>
      <c r="BM208" s="51"/>
      <c r="BN208" s="51"/>
    </row>
    <row r="209" spans="1:65">
      <c r="A209" s="51"/>
      <c r="B209" s="51"/>
      <c r="C209" s="51"/>
      <c r="D209" s="51"/>
      <c r="E209" s="54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89"/>
      <c r="Y209" s="89"/>
      <c r="Z209" s="89"/>
      <c r="AA209" s="89"/>
      <c r="AB209" s="89"/>
      <c r="AC209" s="89"/>
      <c r="AD209" s="89"/>
      <c r="AE209" s="89"/>
      <c r="AF209" s="89"/>
      <c r="AG209" s="94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  <c r="AT209" s="51"/>
      <c r="AU209" s="51"/>
      <c r="AV209" s="51"/>
      <c r="AW209" s="51"/>
      <c r="AX209" s="51"/>
      <c r="AY209" s="51"/>
      <c r="AZ209" s="51"/>
      <c r="BA209" s="51"/>
      <c r="BB209" s="51"/>
      <c r="BC209" s="51"/>
      <c r="BD209" s="51"/>
      <c r="BE209" s="51"/>
      <c r="BF209" s="51"/>
      <c r="BG209" s="51"/>
      <c r="BH209" s="51"/>
      <c r="BI209" s="51"/>
      <c r="BJ209" s="51"/>
      <c r="BK209" s="51"/>
      <c r="BL209" s="51"/>
      <c r="BM209" s="51"/>
    </row>
    <row r="210" spans="1:65">
      <c r="A210" s="3" t="s">
        <v>270</v>
      </c>
      <c r="B210" s="51"/>
      <c r="C210" s="51"/>
      <c r="D210" s="51"/>
      <c r="E210" s="54">
        <f t="shared" ref="E210:E211" si="64">SUM(F210:BM210)</f>
        <v>82158461.229999989</v>
      </c>
      <c r="F210" s="108">
        <f t="shared" ref="F210:P210" si="65">F98+F108+F132+F179+F197+F208</f>
        <v>13883900</v>
      </c>
      <c r="G210" s="108">
        <f t="shared" si="65"/>
        <v>11064324</v>
      </c>
      <c r="H210" s="108">
        <f t="shared" si="65"/>
        <v>10006500</v>
      </c>
      <c r="I210" s="108">
        <f t="shared" si="65"/>
        <v>4451250</v>
      </c>
      <c r="J210" s="108">
        <f t="shared" si="65"/>
        <v>8580100.4000000004</v>
      </c>
      <c r="K210" s="108">
        <f t="shared" si="65"/>
        <v>2954650</v>
      </c>
      <c r="L210" s="108">
        <f t="shared" si="65"/>
        <v>8347958</v>
      </c>
      <c r="M210" s="108">
        <f t="shared" si="65"/>
        <v>3387230.83</v>
      </c>
      <c r="N210" s="108">
        <f t="shared" si="65"/>
        <v>8076278</v>
      </c>
      <c r="O210" s="108">
        <f t="shared" si="65"/>
        <v>1521450</v>
      </c>
      <c r="P210" s="108">
        <f t="shared" si="65"/>
        <v>7713370</v>
      </c>
      <c r="Q210" s="108">
        <f>Q98+Q108+Q132+Q179+Q197+Q208</f>
        <v>2171450</v>
      </c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</row>
    <row r="211" spans="1:65">
      <c r="A211" s="3" t="s">
        <v>271</v>
      </c>
      <c r="B211" s="51"/>
      <c r="C211" s="51"/>
      <c r="D211" s="51"/>
      <c r="E211" s="54">
        <f t="shared" si="64"/>
        <v>31219000</v>
      </c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>
        <f>R98+R108+R132+R179+R197+R208</f>
        <v>7332750</v>
      </c>
      <c r="S211" s="108">
        <f t="shared" ref="S211:BM211" si="66">S98+S108+S132+S179+S197+S208</f>
        <v>2717450</v>
      </c>
      <c r="T211" s="108">
        <f t="shared" si="66"/>
        <v>7670750</v>
      </c>
      <c r="U211" s="108">
        <f t="shared" si="66"/>
        <v>1381050</v>
      </c>
      <c r="V211" s="108">
        <f t="shared" si="66"/>
        <v>1805150</v>
      </c>
      <c r="W211" s="108">
        <f t="shared" si="66"/>
        <v>2136650</v>
      </c>
      <c r="X211" s="108">
        <f t="shared" si="66"/>
        <v>2593950</v>
      </c>
      <c r="Y211" s="108">
        <f t="shared" si="66"/>
        <v>1175050</v>
      </c>
      <c r="Z211" s="108">
        <f t="shared" si="66"/>
        <v>1088150</v>
      </c>
      <c r="AA211" s="108">
        <f t="shared" si="66"/>
        <v>536650</v>
      </c>
      <c r="AB211" s="108">
        <f t="shared" si="66"/>
        <v>218650</v>
      </c>
      <c r="AC211" s="108">
        <f t="shared" si="66"/>
        <v>217650</v>
      </c>
      <c r="AD211" s="108">
        <f t="shared" si="66"/>
        <v>217650</v>
      </c>
      <c r="AE211" s="108">
        <f t="shared" si="66"/>
        <v>217650</v>
      </c>
      <c r="AF211" s="108">
        <f t="shared" si="66"/>
        <v>100900</v>
      </c>
      <c r="AG211" s="108">
        <f t="shared" si="66"/>
        <v>100900</v>
      </c>
      <c r="AH211" s="108">
        <f t="shared" si="66"/>
        <v>100900</v>
      </c>
      <c r="AI211" s="108">
        <f t="shared" si="66"/>
        <v>100900</v>
      </c>
      <c r="AJ211" s="108">
        <f t="shared" si="66"/>
        <v>100900</v>
      </c>
      <c r="AK211" s="108">
        <f t="shared" si="66"/>
        <v>100900</v>
      </c>
      <c r="AL211" s="108">
        <f t="shared" si="66"/>
        <v>100900</v>
      </c>
      <c r="AM211" s="108">
        <f t="shared" si="66"/>
        <v>100900</v>
      </c>
      <c r="AN211" s="108">
        <f t="shared" si="66"/>
        <v>80100</v>
      </c>
      <c r="AO211" s="108">
        <f t="shared" si="66"/>
        <v>80100</v>
      </c>
      <c r="AP211" s="108">
        <f t="shared" si="66"/>
        <v>55100</v>
      </c>
      <c r="AQ211" s="108">
        <f t="shared" si="66"/>
        <v>55100</v>
      </c>
      <c r="AR211" s="108">
        <f t="shared" si="66"/>
        <v>55100</v>
      </c>
      <c r="AS211" s="108">
        <f t="shared" si="66"/>
        <v>55100</v>
      </c>
      <c r="AT211" s="108">
        <f t="shared" si="66"/>
        <v>55100</v>
      </c>
      <c r="AU211" s="108">
        <f t="shared" si="66"/>
        <v>35100</v>
      </c>
      <c r="AV211" s="108">
        <f t="shared" si="66"/>
        <v>35100</v>
      </c>
      <c r="AW211" s="108">
        <f t="shared" si="66"/>
        <v>35100</v>
      </c>
      <c r="AX211" s="108">
        <f t="shared" si="66"/>
        <v>35100</v>
      </c>
      <c r="AY211" s="108">
        <f t="shared" si="66"/>
        <v>35100</v>
      </c>
      <c r="AZ211" s="108">
        <f t="shared" si="66"/>
        <v>35100</v>
      </c>
      <c r="BA211" s="108">
        <f t="shared" si="66"/>
        <v>35100</v>
      </c>
      <c r="BB211" s="108">
        <f t="shared" si="66"/>
        <v>35100</v>
      </c>
      <c r="BC211" s="108">
        <f t="shared" si="66"/>
        <v>35100</v>
      </c>
      <c r="BD211" s="108">
        <f t="shared" si="66"/>
        <v>35100</v>
      </c>
      <c r="BE211" s="108">
        <f t="shared" si="66"/>
        <v>35100</v>
      </c>
      <c r="BF211" s="108">
        <f t="shared" si="66"/>
        <v>35100</v>
      </c>
      <c r="BG211" s="108">
        <f t="shared" si="66"/>
        <v>35100</v>
      </c>
      <c r="BH211" s="108">
        <f t="shared" si="66"/>
        <v>35100</v>
      </c>
      <c r="BI211" s="108">
        <f t="shared" si="66"/>
        <v>35100</v>
      </c>
      <c r="BJ211" s="108">
        <f t="shared" si="66"/>
        <v>35100</v>
      </c>
      <c r="BK211" s="108">
        <f t="shared" si="66"/>
        <v>35100</v>
      </c>
      <c r="BL211" s="108">
        <f t="shared" si="66"/>
        <v>35100</v>
      </c>
      <c r="BM211" s="108">
        <f t="shared" si="66"/>
        <v>35100</v>
      </c>
    </row>
    <row r="212" spans="1:65">
      <c r="A212" s="51"/>
      <c r="B212" s="51"/>
      <c r="C212" s="51"/>
      <c r="D212" s="51"/>
      <c r="E212" s="54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</row>
    <row r="213" spans="1:65">
      <c r="A213" s="51"/>
      <c r="B213" t="s">
        <v>272</v>
      </c>
      <c r="C213" s="51" t="s">
        <v>140</v>
      </c>
      <c r="D213" s="51"/>
      <c r="E213" s="54"/>
      <c r="F213" s="51"/>
      <c r="G213" s="69"/>
      <c r="H213" s="69"/>
      <c r="I213" s="69"/>
      <c r="J213" s="69"/>
      <c r="K213" s="69"/>
      <c r="L213" s="51"/>
      <c r="M213" s="69"/>
      <c r="N213" s="69"/>
      <c r="O213" s="103">
        <f>(E210/[1]Assumptions!$C$11/12)</f>
        <v>1369307.6871666664</v>
      </c>
      <c r="P213" s="69">
        <f>O213</f>
        <v>1369307.6871666664</v>
      </c>
      <c r="Q213" s="69">
        <f t="shared" ref="Q213:BM213" si="67">P213</f>
        <v>1369307.6871666664</v>
      </c>
      <c r="R213" s="69">
        <f>Q213</f>
        <v>1369307.6871666664</v>
      </c>
      <c r="S213" s="69">
        <f t="shared" si="67"/>
        <v>1369307.6871666664</v>
      </c>
      <c r="T213" s="69">
        <f t="shared" si="67"/>
        <v>1369307.6871666664</v>
      </c>
      <c r="U213" s="69">
        <f t="shared" si="67"/>
        <v>1369307.6871666664</v>
      </c>
      <c r="V213" s="69">
        <f t="shared" si="67"/>
        <v>1369307.6871666664</v>
      </c>
      <c r="W213" s="69">
        <f t="shared" si="67"/>
        <v>1369307.6871666664</v>
      </c>
      <c r="X213" s="69">
        <f t="shared" si="67"/>
        <v>1369307.6871666664</v>
      </c>
      <c r="Y213" s="69">
        <f t="shared" si="67"/>
        <v>1369307.6871666664</v>
      </c>
      <c r="Z213" s="69">
        <f t="shared" si="67"/>
        <v>1369307.6871666664</v>
      </c>
      <c r="AA213" s="69">
        <f t="shared" si="67"/>
        <v>1369307.6871666664</v>
      </c>
      <c r="AB213" s="69">
        <f t="shared" si="67"/>
        <v>1369307.6871666664</v>
      </c>
      <c r="AC213" s="69">
        <f t="shared" si="67"/>
        <v>1369307.6871666664</v>
      </c>
      <c r="AD213" s="69">
        <f t="shared" si="67"/>
        <v>1369307.6871666664</v>
      </c>
      <c r="AE213" s="69">
        <f t="shared" si="67"/>
        <v>1369307.6871666664</v>
      </c>
      <c r="AF213" s="69">
        <f t="shared" si="67"/>
        <v>1369307.6871666664</v>
      </c>
      <c r="AG213" s="69">
        <f t="shared" si="67"/>
        <v>1369307.6871666664</v>
      </c>
      <c r="AH213" s="69">
        <f t="shared" si="67"/>
        <v>1369307.6871666664</v>
      </c>
      <c r="AI213" s="69">
        <f t="shared" si="67"/>
        <v>1369307.6871666664</v>
      </c>
      <c r="AJ213" s="109">
        <f>AI213+E211/[1]Assumptions!C11/12</f>
        <v>1889624.3538333331</v>
      </c>
      <c r="AK213" s="69">
        <f>AJ213</f>
        <v>1889624.3538333331</v>
      </c>
      <c r="AL213" s="69">
        <f t="shared" si="67"/>
        <v>1889624.3538333331</v>
      </c>
      <c r="AM213" s="69">
        <f t="shared" si="67"/>
        <v>1889624.3538333331</v>
      </c>
      <c r="AN213" s="69">
        <f t="shared" si="67"/>
        <v>1889624.3538333331</v>
      </c>
      <c r="AO213" s="69">
        <f t="shared" si="67"/>
        <v>1889624.3538333331</v>
      </c>
      <c r="AP213" s="69">
        <f t="shared" si="67"/>
        <v>1889624.3538333331</v>
      </c>
      <c r="AQ213" s="69">
        <f t="shared" si="67"/>
        <v>1889624.3538333331</v>
      </c>
      <c r="AR213" s="69">
        <f t="shared" si="67"/>
        <v>1889624.3538333331</v>
      </c>
      <c r="AS213" s="69">
        <f t="shared" si="67"/>
        <v>1889624.3538333331</v>
      </c>
      <c r="AT213" s="69">
        <f t="shared" si="67"/>
        <v>1889624.3538333331</v>
      </c>
      <c r="AU213" s="69">
        <f t="shared" si="67"/>
        <v>1889624.3538333331</v>
      </c>
      <c r="AV213" s="69">
        <f t="shared" si="67"/>
        <v>1889624.3538333331</v>
      </c>
      <c r="AW213" s="69">
        <f t="shared" si="67"/>
        <v>1889624.3538333331</v>
      </c>
      <c r="AX213" s="69">
        <f t="shared" si="67"/>
        <v>1889624.3538333331</v>
      </c>
      <c r="AY213" s="69">
        <f t="shared" si="67"/>
        <v>1889624.3538333331</v>
      </c>
      <c r="AZ213" s="69">
        <f t="shared" si="67"/>
        <v>1889624.3538333331</v>
      </c>
      <c r="BA213" s="69">
        <f t="shared" si="67"/>
        <v>1889624.3538333331</v>
      </c>
      <c r="BB213" s="69">
        <f>BA213</f>
        <v>1889624.3538333331</v>
      </c>
      <c r="BC213" s="69">
        <f t="shared" si="67"/>
        <v>1889624.3538333331</v>
      </c>
      <c r="BD213" s="69">
        <f t="shared" si="67"/>
        <v>1889624.3538333331</v>
      </c>
      <c r="BE213" s="69">
        <f t="shared" si="67"/>
        <v>1889624.3538333331</v>
      </c>
      <c r="BF213" s="69">
        <f t="shared" si="67"/>
        <v>1889624.3538333331</v>
      </c>
      <c r="BG213" s="69">
        <f t="shared" si="67"/>
        <v>1889624.3538333331</v>
      </c>
      <c r="BH213" s="69">
        <f t="shared" si="67"/>
        <v>1889624.3538333331</v>
      </c>
      <c r="BI213" s="69">
        <f t="shared" si="67"/>
        <v>1889624.3538333331</v>
      </c>
      <c r="BJ213" s="69">
        <f t="shared" si="67"/>
        <v>1889624.3538333331</v>
      </c>
      <c r="BK213" s="69">
        <f t="shared" si="67"/>
        <v>1889624.3538333331</v>
      </c>
      <c r="BL213" s="69">
        <f t="shared" si="67"/>
        <v>1889624.3538333331</v>
      </c>
      <c r="BM213" s="69">
        <f t="shared" si="67"/>
        <v>1889624.3538333331</v>
      </c>
    </row>
    <row r="214" spans="1:65">
      <c r="A214" s="51"/>
      <c r="B214" s="51"/>
      <c r="C214" s="51"/>
      <c r="D214" s="51"/>
      <c r="E214" s="54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51"/>
      <c r="AW214" s="51"/>
      <c r="AX214" s="51"/>
      <c r="AY214" s="51"/>
      <c r="AZ214" s="51"/>
      <c r="BA214" s="51"/>
      <c r="BB214" s="51"/>
      <c r="BC214" s="51"/>
      <c r="BD214" s="51"/>
      <c r="BE214" s="51"/>
      <c r="BF214" s="51"/>
      <c r="BG214" s="51"/>
      <c r="BH214" s="51"/>
      <c r="BI214" s="51"/>
      <c r="BJ214" s="51"/>
      <c r="BK214" s="51"/>
      <c r="BL214" s="51"/>
      <c r="BM214" s="51"/>
    </row>
    <row r="215" spans="1:65">
      <c r="A215" s="51"/>
      <c r="B215" s="21" t="s">
        <v>273</v>
      </c>
      <c r="C215" s="51"/>
      <c r="D215" s="51"/>
      <c r="E215" s="54"/>
      <c r="F215" s="69">
        <v>0</v>
      </c>
      <c r="G215" s="69">
        <f t="shared" ref="G215:BM215" si="68">F215</f>
        <v>0</v>
      </c>
      <c r="H215" s="69">
        <f t="shared" si="68"/>
        <v>0</v>
      </c>
      <c r="I215" s="69">
        <f t="shared" si="68"/>
        <v>0</v>
      </c>
      <c r="J215" s="69">
        <f t="shared" si="68"/>
        <v>0</v>
      </c>
      <c r="K215" s="69">
        <f t="shared" si="68"/>
        <v>0</v>
      </c>
      <c r="L215" s="69">
        <v>1</v>
      </c>
      <c r="M215" s="69">
        <f t="shared" si="68"/>
        <v>1</v>
      </c>
      <c r="N215" s="69">
        <v>2</v>
      </c>
      <c r="O215" s="69">
        <v>2</v>
      </c>
      <c r="P215" s="69">
        <v>3</v>
      </c>
      <c r="Q215" s="69">
        <v>3</v>
      </c>
      <c r="R215" s="69">
        <v>4</v>
      </c>
      <c r="S215" s="69">
        <v>4</v>
      </c>
      <c r="T215" s="69">
        <v>5</v>
      </c>
      <c r="U215" s="69">
        <f t="shared" si="68"/>
        <v>5</v>
      </c>
      <c r="V215" s="69">
        <v>6</v>
      </c>
      <c r="W215" s="69">
        <v>6</v>
      </c>
      <c r="X215" s="69">
        <v>7</v>
      </c>
      <c r="Y215" s="69">
        <v>7</v>
      </c>
      <c r="Z215" s="69">
        <v>8</v>
      </c>
      <c r="AA215" s="69">
        <v>8</v>
      </c>
      <c r="AB215" s="69">
        <f t="shared" si="68"/>
        <v>8</v>
      </c>
      <c r="AC215" s="69">
        <v>8</v>
      </c>
      <c r="AD215" s="69">
        <f t="shared" ref="AD215:AI215" si="69">AC215</f>
        <v>8</v>
      </c>
      <c r="AE215" s="69">
        <f t="shared" si="69"/>
        <v>8</v>
      </c>
      <c r="AF215" s="69">
        <f t="shared" si="69"/>
        <v>8</v>
      </c>
      <c r="AG215" s="69">
        <f t="shared" si="69"/>
        <v>8</v>
      </c>
      <c r="AH215" s="69">
        <f t="shared" si="69"/>
        <v>8</v>
      </c>
      <c r="AI215" s="69">
        <f t="shared" si="69"/>
        <v>8</v>
      </c>
      <c r="AJ215" s="110">
        <v>8</v>
      </c>
      <c r="AK215" s="69">
        <f t="shared" si="68"/>
        <v>8</v>
      </c>
      <c r="AL215" s="69">
        <f t="shared" si="68"/>
        <v>8</v>
      </c>
      <c r="AM215" s="69">
        <v>8</v>
      </c>
      <c r="AN215" s="69">
        <v>8</v>
      </c>
      <c r="AO215" s="69">
        <f t="shared" si="68"/>
        <v>8</v>
      </c>
      <c r="AP215" s="69">
        <f t="shared" si="68"/>
        <v>8</v>
      </c>
      <c r="AQ215" s="69">
        <f t="shared" si="68"/>
        <v>8</v>
      </c>
      <c r="AR215" s="69">
        <f t="shared" si="68"/>
        <v>8</v>
      </c>
      <c r="AS215" s="69">
        <f t="shared" si="68"/>
        <v>8</v>
      </c>
      <c r="AT215" s="69">
        <f t="shared" si="68"/>
        <v>8</v>
      </c>
      <c r="AU215" s="69">
        <f t="shared" si="68"/>
        <v>8</v>
      </c>
      <c r="AV215" s="69">
        <f t="shared" si="68"/>
        <v>8</v>
      </c>
      <c r="AW215" s="69">
        <f t="shared" si="68"/>
        <v>8</v>
      </c>
      <c r="AX215" s="69">
        <f t="shared" si="68"/>
        <v>8</v>
      </c>
      <c r="AY215" s="69">
        <f t="shared" si="68"/>
        <v>8</v>
      </c>
      <c r="AZ215" s="69">
        <f t="shared" si="68"/>
        <v>8</v>
      </c>
      <c r="BA215" s="69">
        <f t="shared" si="68"/>
        <v>8</v>
      </c>
      <c r="BB215" s="69">
        <f t="shared" si="68"/>
        <v>8</v>
      </c>
      <c r="BC215" s="69">
        <f t="shared" si="68"/>
        <v>8</v>
      </c>
      <c r="BD215" s="69">
        <f t="shared" si="68"/>
        <v>8</v>
      </c>
      <c r="BE215" s="69">
        <f t="shared" si="68"/>
        <v>8</v>
      </c>
      <c r="BF215" s="69">
        <f t="shared" si="68"/>
        <v>8</v>
      </c>
      <c r="BG215" s="69">
        <f t="shared" si="68"/>
        <v>8</v>
      </c>
      <c r="BH215" s="69">
        <f t="shared" si="68"/>
        <v>8</v>
      </c>
      <c r="BI215" s="69">
        <f t="shared" si="68"/>
        <v>8</v>
      </c>
      <c r="BJ215" s="69">
        <f t="shared" si="68"/>
        <v>8</v>
      </c>
      <c r="BK215" s="69">
        <f t="shared" si="68"/>
        <v>8</v>
      </c>
      <c r="BL215" s="69">
        <f t="shared" si="68"/>
        <v>8</v>
      </c>
      <c r="BM215" s="69">
        <f t="shared" si="68"/>
        <v>8</v>
      </c>
    </row>
    <row r="216" spans="1:65">
      <c r="A216" s="51"/>
      <c r="B216" s="51"/>
      <c r="C216" s="51"/>
      <c r="D216" s="51"/>
      <c r="E216" s="54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  <c r="AP216" s="69"/>
      <c r="AQ216" s="69"/>
      <c r="AR216" s="69"/>
      <c r="AS216" s="69"/>
      <c r="AT216" s="69"/>
      <c r="AU216" s="69"/>
      <c r="AV216" s="69"/>
      <c r="AW216" s="69"/>
      <c r="AX216" s="69"/>
      <c r="AY216" s="69"/>
      <c r="AZ216" s="69"/>
      <c r="BA216" s="69"/>
      <c r="BB216" s="69"/>
      <c r="BC216" s="69"/>
      <c r="BD216" s="69"/>
      <c r="BE216" s="69"/>
      <c r="BF216" s="69"/>
      <c r="BG216" s="69"/>
      <c r="BH216" s="69"/>
      <c r="BI216" s="69"/>
      <c r="BJ216" s="69"/>
      <c r="BK216" s="69"/>
      <c r="BL216" s="69"/>
      <c r="BM216" s="69"/>
    </row>
    <row r="217" spans="1:65">
      <c r="A217" s="12" t="s">
        <v>274</v>
      </c>
      <c r="B217" s="51"/>
      <c r="C217" s="51"/>
      <c r="D217" s="51"/>
      <c r="E217" s="54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  <c r="AP217" s="69"/>
      <c r="AQ217" s="69"/>
      <c r="AR217" s="69"/>
      <c r="AS217" s="69"/>
      <c r="AT217" s="69"/>
      <c r="AU217" s="69"/>
      <c r="AV217" s="69"/>
      <c r="AW217" s="69"/>
      <c r="AX217" s="69"/>
      <c r="AY217" s="69"/>
      <c r="AZ217" s="69"/>
      <c r="BA217" s="69"/>
      <c r="BB217" s="69"/>
      <c r="BC217" s="69"/>
      <c r="BD217" s="69"/>
      <c r="BE217" s="69"/>
      <c r="BF217" s="69"/>
      <c r="BG217" s="69"/>
      <c r="BH217" s="69"/>
      <c r="BI217" s="69"/>
      <c r="BJ217" s="69"/>
      <c r="BK217" s="69"/>
      <c r="BL217" s="69"/>
      <c r="BM217" s="69"/>
    </row>
    <row r="218" spans="1:65" outlineLevel="1">
      <c r="A218" s="51"/>
      <c r="B218" s="51" t="s">
        <v>275</v>
      </c>
      <c r="C218" s="51"/>
      <c r="D218" s="51"/>
      <c r="E218" s="54">
        <f t="shared" ref="E218:E224" si="70">SUM(F218:BM218)</f>
        <v>471684</v>
      </c>
      <c r="F218" s="69"/>
      <c r="G218" s="69"/>
      <c r="H218" s="69">
        <v>0</v>
      </c>
      <c r="I218" s="69">
        <f t="shared" ref="I218:X224" si="71">H218</f>
        <v>0</v>
      </c>
      <c r="J218" s="69">
        <v>0</v>
      </c>
      <c r="K218" s="69">
        <f t="shared" si="71"/>
        <v>0</v>
      </c>
      <c r="L218" s="69">
        <v>8000</v>
      </c>
      <c r="M218" s="69">
        <f t="shared" si="71"/>
        <v>8000</v>
      </c>
      <c r="N218" s="69">
        <f t="shared" si="71"/>
        <v>8000</v>
      </c>
      <c r="O218" s="69">
        <f t="shared" si="71"/>
        <v>8000</v>
      </c>
      <c r="P218" s="69">
        <f t="shared" si="71"/>
        <v>8000</v>
      </c>
      <c r="Q218" s="69">
        <f t="shared" si="71"/>
        <v>8000</v>
      </c>
      <c r="R218" s="69">
        <f t="shared" si="71"/>
        <v>8000</v>
      </c>
      <c r="S218" s="69">
        <f t="shared" si="71"/>
        <v>8000</v>
      </c>
      <c r="T218" s="69">
        <f t="shared" si="71"/>
        <v>8000</v>
      </c>
      <c r="U218" s="69">
        <v>8400</v>
      </c>
      <c r="V218" s="69">
        <f t="shared" si="71"/>
        <v>8400</v>
      </c>
      <c r="W218" s="69">
        <f t="shared" si="71"/>
        <v>8400</v>
      </c>
      <c r="X218" s="69">
        <f t="shared" si="71"/>
        <v>8400</v>
      </c>
      <c r="Y218" s="69">
        <f t="shared" ref="Y218:AN224" si="72">X218</f>
        <v>8400</v>
      </c>
      <c r="Z218" s="69">
        <f t="shared" si="72"/>
        <v>8400</v>
      </c>
      <c r="AA218" s="69">
        <f t="shared" si="72"/>
        <v>8400</v>
      </c>
      <c r="AB218" s="69">
        <f t="shared" si="72"/>
        <v>8400</v>
      </c>
      <c r="AC218" s="69">
        <f t="shared" si="72"/>
        <v>8400</v>
      </c>
      <c r="AD218" s="69">
        <f t="shared" si="72"/>
        <v>8400</v>
      </c>
      <c r="AE218" s="69">
        <f t="shared" si="72"/>
        <v>8400</v>
      </c>
      <c r="AF218" s="69">
        <f t="shared" si="72"/>
        <v>8400</v>
      </c>
      <c r="AG218" s="69">
        <v>8736</v>
      </c>
      <c r="AH218" s="69">
        <f t="shared" si="72"/>
        <v>8736</v>
      </c>
      <c r="AI218" s="69">
        <f t="shared" si="72"/>
        <v>8736</v>
      </c>
      <c r="AJ218" s="69">
        <f t="shared" si="72"/>
        <v>8736</v>
      </c>
      <c r="AK218" s="69">
        <f t="shared" si="72"/>
        <v>8736</v>
      </c>
      <c r="AL218" s="69">
        <f t="shared" si="72"/>
        <v>8736</v>
      </c>
      <c r="AM218" s="69">
        <f t="shared" si="72"/>
        <v>8736</v>
      </c>
      <c r="AN218" s="69">
        <f t="shared" si="72"/>
        <v>8736</v>
      </c>
      <c r="AO218" s="69">
        <f t="shared" ref="AO218:BD224" si="73">AN218</f>
        <v>8736</v>
      </c>
      <c r="AP218" s="69">
        <f t="shared" si="73"/>
        <v>8736</v>
      </c>
      <c r="AQ218" s="69">
        <f t="shared" si="73"/>
        <v>8736</v>
      </c>
      <c r="AR218" s="69">
        <f t="shared" si="73"/>
        <v>8736</v>
      </c>
      <c r="AS218" s="69">
        <v>9085</v>
      </c>
      <c r="AT218" s="69">
        <f t="shared" si="73"/>
        <v>9085</v>
      </c>
      <c r="AU218" s="69">
        <f t="shared" si="73"/>
        <v>9085</v>
      </c>
      <c r="AV218" s="69">
        <f t="shared" si="73"/>
        <v>9085</v>
      </c>
      <c r="AW218" s="69">
        <f t="shared" si="73"/>
        <v>9085</v>
      </c>
      <c r="AX218" s="69">
        <f t="shared" si="73"/>
        <v>9085</v>
      </c>
      <c r="AY218" s="69">
        <f t="shared" si="73"/>
        <v>9085</v>
      </c>
      <c r="AZ218" s="69">
        <f t="shared" si="73"/>
        <v>9085</v>
      </c>
      <c r="BA218" s="69">
        <f t="shared" si="73"/>
        <v>9085</v>
      </c>
      <c r="BB218" s="69">
        <f t="shared" si="73"/>
        <v>9085</v>
      </c>
      <c r="BC218" s="69">
        <f t="shared" si="73"/>
        <v>9085</v>
      </c>
      <c r="BD218" s="69">
        <f t="shared" si="73"/>
        <v>9085</v>
      </c>
      <c r="BE218" s="69">
        <v>9448</v>
      </c>
      <c r="BF218" s="69">
        <f t="shared" ref="BF218:BM224" si="74">BE218</f>
        <v>9448</v>
      </c>
      <c r="BG218" s="69">
        <f t="shared" si="74"/>
        <v>9448</v>
      </c>
      <c r="BH218" s="69">
        <f t="shared" si="74"/>
        <v>9448</v>
      </c>
      <c r="BI218" s="69">
        <f t="shared" si="74"/>
        <v>9448</v>
      </c>
      <c r="BJ218" s="69">
        <f t="shared" si="74"/>
        <v>9448</v>
      </c>
      <c r="BK218" s="69">
        <f t="shared" si="74"/>
        <v>9448</v>
      </c>
      <c r="BL218" s="69">
        <f t="shared" si="74"/>
        <v>9448</v>
      </c>
      <c r="BM218" s="69">
        <f t="shared" si="74"/>
        <v>9448</v>
      </c>
    </row>
    <row r="219" spans="1:65" outlineLevel="1">
      <c r="A219" s="51"/>
      <c r="B219" s="51" t="s">
        <v>276</v>
      </c>
      <c r="C219" s="51"/>
      <c r="D219" s="51"/>
      <c r="E219" s="54">
        <f t="shared" si="70"/>
        <v>409401</v>
      </c>
      <c r="F219" s="69"/>
      <c r="G219" s="69"/>
      <c r="H219" s="69">
        <v>0</v>
      </c>
      <c r="I219" s="69">
        <f t="shared" si="71"/>
        <v>0</v>
      </c>
      <c r="J219" s="69">
        <v>0</v>
      </c>
      <c r="K219" s="69">
        <f t="shared" si="71"/>
        <v>0</v>
      </c>
      <c r="L219" s="69">
        <v>7000</v>
      </c>
      <c r="M219" s="69">
        <f t="shared" si="71"/>
        <v>7000</v>
      </c>
      <c r="N219" s="69">
        <f t="shared" si="71"/>
        <v>7000</v>
      </c>
      <c r="O219" s="69">
        <f t="shared" si="71"/>
        <v>7000</v>
      </c>
      <c r="P219" s="69">
        <f t="shared" si="71"/>
        <v>7000</v>
      </c>
      <c r="Q219" s="69">
        <f t="shared" si="71"/>
        <v>7000</v>
      </c>
      <c r="R219" s="69">
        <f t="shared" si="71"/>
        <v>7000</v>
      </c>
      <c r="S219" s="69">
        <f t="shared" si="71"/>
        <v>7000</v>
      </c>
      <c r="T219" s="69">
        <f t="shared" si="71"/>
        <v>7000</v>
      </c>
      <c r="U219" s="69">
        <v>7280</v>
      </c>
      <c r="V219" s="69">
        <f t="shared" si="71"/>
        <v>7280</v>
      </c>
      <c r="W219" s="69">
        <f t="shared" si="71"/>
        <v>7280</v>
      </c>
      <c r="X219" s="69">
        <f t="shared" si="71"/>
        <v>7280</v>
      </c>
      <c r="Y219" s="69">
        <f t="shared" si="72"/>
        <v>7280</v>
      </c>
      <c r="Z219" s="69">
        <f t="shared" si="72"/>
        <v>7280</v>
      </c>
      <c r="AA219" s="69">
        <f t="shared" si="72"/>
        <v>7280</v>
      </c>
      <c r="AB219" s="69">
        <f t="shared" si="72"/>
        <v>7280</v>
      </c>
      <c r="AC219" s="69">
        <f t="shared" si="72"/>
        <v>7280</v>
      </c>
      <c r="AD219" s="69">
        <f t="shared" si="72"/>
        <v>7280</v>
      </c>
      <c r="AE219" s="69">
        <f t="shared" si="72"/>
        <v>7280</v>
      </c>
      <c r="AF219" s="69">
        <f t="shared" si="72"/>
        <v>7280</v>
      </c>
      <c r="AG219" s="69">
        <v>7571</v>
      </c>
      <c r="AH219" s="69">
        <f t="shared" si="72"/>
        <v>7571</v>
      </c>
      <c r="AI219" s="69">
        <f t="shared" si="72"/>
        <v>7571</v>
      </c>
      <c r="AJ219" s="69">
        <f t="shared" si="72"/>
        <v>7571</v>
      </c>
      <c r="AK219" s="69">
        <f t="shared" si="72"/>
        <v>7571</v>
      </c>
      <c r="AL219" s="69">
        <f t="shared" si="72"/>
        <v>7571</v>
      </c>
      <c r="AM219" s="69">
        <f t="shared" si="72"/>
        <v>7571</v>
      </c>
      <c r="AN219" s="69">
        <f t="shared" si="72"/>
        <v>7571</v>
      </c>
      <c r="AO219" s="69">
        <f t="shared" si="73"/>
        <v>7571</v>
      </c>
      <c r="AP219" s="69">
        <f t="shared" si="73"/>
        <v>7571</v>
      </c>
      <c r="AQ219" s="69">
        <f t="shared" si="73"/>
        <v>7571</v>
      </c>
      <c r="AR219" s="69">
        <f t="shared" si="73"/>
        <v>7571</v>
      </c>
      <c r="AS219" s="69">
        <v>7874</v>
      </c>
      <c r="AT219" s="69">
        <f t="shared" si="73"/>
        <v>7874</v>
      </c>
      <c r="AU219" s="69">
        <f t="shared" si="73"/>
        <v>7874</v>
      </c>
      <c r="AV219" s="69">
        <f t="shared" si="73"/>
        <v>7874</v>
      </c>
      <c r="AW219" s="69">
        <f t="shared" si="73"/>
        <v>7874</v>
      </c>
      <c r="AX219" s="69">
        <f t="shared" si="73"/>
        <v>7874</v>
      </c>
      <c r="AY219" s="69">
        <f t="shared" si="73"/>
        <v>7874</v>
      </c>
      <c r="AZ219" s="69">
        <f t="shared" si="73"/>
        <v>7874</v>
      </c>
      <c r="BA219" s="69">
        <f t="shared" si="73"/>
        <v>7874</v>
      </c>
      <c r="BB219" s="69">
        <f t="shared" si="73"/>
        <v>7874</v>
      </c>
      <c r="BC219" s="69">
        <f t="shared" si="73"/>
        <v>7874</v>
      </c>
      <c r="BD219" s="69">
        <f t="shared" si="73"/>
        <v>7874</v>
      </c>
      <c r="BE219" s="69">
        <v>8189</v>
      </c>
      <c r="BF219" s="69">
        <f t="shared" si="74"/>
        <v>8189</v>
      </c>
      <c r="BG219" s="69">
        <f t="shared" si="74"/>
        <v>8189</v>
      </c>
      <c r="BH219" s="69">
        <f t="shared" si="74"/>
        <v>8189</v>
      </c>
      <c r="BI219" s="69">
        <f t="shared" si="74"/>
        <v>8189</v>
      </c>
      <c r="BJ219" s="69">
        <f t="shared" si="74"/>
        <v>8189</v>
      </c>
      <c r="BK219" s="69">
        <f t="shared" si="74"/>
        <v>8189</v>
      </c>
      <c r="BL219" s="69">
        <f t="shared" si="74"/>
        <v>8189</v>
      </c>
      <c r="BM219" s="69">
        <f t="shared" si="74"/>
        <v>8189</v>
      </c>
    </row>
    <row r="220" spans="1:65" outlineLevel="1">
      <c r="A220" s="51"/>
      <c r="B220" s="51" t="s">
        <v>277</v>
      </c>
      <c r="C220" s="51"/>
      <c r="D220" s="51"/>
      <c r="E220" s="54">
        <f t="shared" si="70"/>
        <v>409401</v>
      </c>
      <c r="F220" s="69"/>
      <c r="G220" s="69"/>
      <c r="H220" s="69"/>
      <c r="I220" s="69"/>
      <c r="J220" s="69">
        <v>0</v>
      </c>
      <c r="K220" s="69">
        <f t="shared" si="71"/>
        <v>0</v>
      </c>
      <c r="L220" s="69">
        <v>7000</v>
      </c>
      <c r="M220" s="69">
        <f t="shared" si="71"/>
        <v>7000</v>
      </c>
      <c r="N220" s="69">
        <f t="shared" si="71"/>
        <v>7000</v>
      </c>
      <c r="O220" s="69">
        <f t="shared" si="71"/>
        <v>7000</v>
      </c>
      <c r="P220" s="69">
        <f t="shared" si="71"/>
        <v>7000</v>
      </c>
      <c r="Q220" s="69">
        <f t="shared" si="71"/>
        <v>7000</v>
      </c>
      <c r="R220" s="69">
        <f t="shared" si="71"/>
        <v>7000</v>
      </c>
      <c r="S220" s="69">
        <f t="shared" si="71"/>
        <v>7000</v>
      </c>
      <c r="T220" s="69">
        <f t="shared" si="71"/>
        <v>7000</v>
      </c>
      <c r="U220" s="69">
        <v>7280</v>
      </c>
      <c r="V220" s="69">
        <f t="shared" si="71"/>
        <v>7280</v>
      </c>
      <c r="W220" s="69">
        <f t="shared" si="71"/>
        <v>7280</v>
      </c>
      <c r="X220" s="69">
        <f t="shared" si="71"/>
        <v>7280</v>
      </c>
      <c r="Y220" s="69">
        <f t="shared" si="72"/>
        <v>7280</v>
      </c>
      <c r="Z220" s="69">
        <f t="shared" si="72"/>
        <v>7280</v>
      </c>
      <c r="AA220" s="69">
        <f t="shared" si="72"/>
        <v>7280</v>
      </c>
      <c r="AB220" s="69">
        <f t="shared" si="72"/>
        <v>7280</v>
      </c>
      <c r="AC220" s="69">
        <f t="shared" si="72"/>
        <v>7280</v>
      </c>
      <c r="AD220" s="69">
        <f t="shared" si="72"/>
        <v>7280</v>
      </c>
      <c r="AE220" s="69">
        <f t="shared" si="72"/>
        <v>7280</v>
      </c>
      <c r="AF220" s="69">
        <f t="shared" si="72"/>
        <v>7280</v>
      </c>
      <c r="AG220" s="69">
        <v>7571</v>
      </c>
      <c r="AH220" s="69">
        <f t="shared" si="72"/>
        <v>7571</v>
      </c>
      <c r="AI220" s="69">
        <f t="shared" si="72"/>
        <v>7571</v>
      </c>
      <c r="AJ220" s="69">
        <f t="shared" si="72"/>
        <v>7571</v>
      </c>
      <c r="AK220" s="69">
        <f t="shared" si="72"/>
        <v>7571</v>
      </c>
      <c r="AL220" s="69">
        <f t="shared" si="72"/>
        <v>7571</v>
      </c>
      <c r="AM220" s="69">
        <f t="shared" si="72"/>
        <v>7571</v>
      </c>
      <c r="AN220" s="69">
        <f t="shared" si="72"/>
        <v>7571</v>
      </c>
      <c r="AO220" s="69">
        <f t="shared" si="73"/>
        <v>7571</v>
      </c>
      <c r="AP220" s="69">
        <f t="shared" si="73"/>
        <v>7571</v>
      </c>
      <c r="AQ220" s="69">
        <f t="shared" si="73"/>
        <v>7571</v>
      </c>
      <c r="AR220" s="69">
        <f t="shared" si="73"/>
        <v>7571</v>
      </c>
      <c r="AS220" s="69">
        <v>7874</v>
      </c>
      <c r="AT220" s="69">
        <f t="shared" si="73"/>
        <v>7874</v>
      </c>
      <c r="AU220" s="69">
        <f t="shared" si="73"/>
        <v>7874</v>
      </c>
      <c r="AV220" s="69">
        <f t="shared" si="73"/>
        <v>7874</v>
      </c>
      <c r="AW220" s="69">
        <f t="shared" si="73"/>
        <v>7874</v>
      </c>
      <c r="AX220" s="69">
        <f t="shared" si="73"/>
        <v>7874</v>
      </c>
      <c r="AY220" s="69">
        <f t="shared" si="73"/>
        <v>7874</v>
      </c>
      <c r="AZ220" s="69">
        <f t="shared" si="73"/>
        <v>7874</v>
      </c>
      <c r="BA220" s="69">
        <f t="shared" si="73"/>
        <v>7874</v>
      </c>
      <c r="BB220" s="69">
        <f t="shared" si="73"/>
        <v>7874</v>
      </c>
      <c r="BC220" s="69">
        <f t="shared" si="73"/>
        <v>7874</v>
      </c>
      <c r="BD220" s="69">
        <f t="shared" si="73"/>
        <v>7874</v>
      </c>
      <c r="BE220" s="69">
        <v>8189</v>
      </c>
      <c r="BF220" s="69">
        <f t="shared" si="74"/>
        <v>8189</v>
      </c>
      <c r="BG220" s="69">
        <f t="shared" si="74"/>
        <v>8189</v>
      </c>
      <c r="BH220" s="69">
        <f t="shared" si="74"/>
        <v>8189</v>
      </c>
      <c r="BI220" s="69">
        <f t="shared" si="74"/>
        <v>8189</v>
      </c>
      <c r="BJ220" s="69">
        <f t="shared" si="74"/>
        <v>8189</v>
      </c>
      <c r="BK220" s="69">
        <f t="shared" si="74"/>
        <v>8189</v>
      </c>
      <c r="BL220" s="69">
        <f t="shared" si="74"/>
        <v>8189</v>
      </c>
      <c r="BM220" s="69">
        <f t="shared" si="74"/>
        <v>8189</v>
      </c>
    </row>
    <row r="221" spans="1:65" outlineLevel="1">
      <c r="A221" s="51"/>
      <c r="B221" s="51" t="s">
        <v>278</v>
      </c>
      <c r="C221" s="51"/>
      <c r="D221" s="51"/>
      <c r="E221" s="54">
        <f t="shared" si="70"/>
        <v>409401</v>
      </c>
      <c r="F221" s="69"/>
      <c r="G221" s="69"/>
      <c r="H221" s="69"/>
      <c r="I221" s="69"/>
      <c r="J221" s="69"/>
      <c r="K221" s="69">
        <v>0</v>
      </c>
      <c r="L221" s="69">
        <v>7000</v>
      </c>
      <c r="M221" s="69">
        <f t="shared" si="71"/>
        <v>7000</v>
      </c>
      <c r="N221" s="69">
        <f t="shared" si="71"/>
        <v>7000</v>
      </c>
      <c r="O221" s="69">
        <f t="shared" si="71"/>
        <v>7000</v>
      </c>
      <c r="P221" s="69">
        <f t="shared" si="71"/>
        <v>7000</v>
      </c>
      <c r="Q221" s="69">
        <f t="shared" si="71"/>
        <v>7000</v>
      </c>
      <c r="R221" s="69">
        <f t="shared" si="71"/>
        <v>7000</v>
      </c>
      <c r="S221" s="69">
        <f t="shared" si="71"/>
        <v>7000</v>
      </c>
      <c r="T221" s="69">
        <f t="shared" si="71"/>
        <v>7000</v>
      </c>
      <c r="U221" s="69">
        <v>7280</v>
      </c>
      <c r="V221" s="69">
        <f t="shared" si="71"/>
        <v>7280</v>
      </c>
      <c r="W221" s="69">
        <f t="shared" si="71"/>
        <v>7280</v>
      </c>
      <c r="X221" s="69">
        <f t="shared" si="71"/>
        <v>7280</v>
      </c>
      <c r="Y221" s="69">
        <f t="shared" si="72"/>
        <v>7280</v>
      </c>
      <c r="Z221" s="69">
        <f t="shared" si="72"/>
        <v>7280</v>
      </c>
      <c r="AA221" s="69">
        <f t="shared" si="72"/>
        <v>7280</v>
      </c>
      <c r="AB221" s="69">
        <f t="shared" si="72"/>
        <v>7280</v>
      </c>
      <c r="AC221" s="69">
        <f t="shared" si="72"/>
        <v>7280</v>
      </c>
      <c r="AD221" s="69">
        <f t="shared" si="72"/>
        <v>7280</v>
      </c>
      <c r="AE221" s="69">
        <f t="shared" si="72"/>
        <v>7280</v>
      </c>
      <c r="AF221" s="69">
        <f t="shared" si="72"/>
        <v>7280</v>
      </c>
      <c r="AG221" s="69">
        <v>7571</v>
      </c>
      <c r="AH221" s="69">
        <f t="shared" si="72"/>
        <v>7571</v>
      </c>
      <c r="AI221" s="69">
        <f t="shared" si="72"/>
        <v>7571</v>
      </c>
      <c r="AJ221" s="69">
        <f t="shared" si="72"/>
        <v>7571</v>
      </c>
      <c r="AK221" s="69">
        <f t="shared" si="72"/>
        <v>7571</v>
      </c>
      <c r="AL221" s="69">
        <f t="shared" si="72"/>
        <v>7571</v>
      </c>
      <c r="AM221" s="69">
        <f t="shared" si="72"/>
        <v>7571</v>
      </c>
      <c r="AN221" s="69">
        <f t="shared" si="72"/>
        <v>7571</v>
      </c>
      <c r="AO221" s="69">
        <f t="shared" si="73"/>
        <v>7571</v>
      </c>
      <c r="AP221" s="69">
        <f t="shared" si="73"/>
        <v>7571</v>
      </c>
      <c r="AQ221" s="69">
        <f t="shared" si="73"/>
        <v>7571</v>
      </c>
      <c r="AR221" s="69">
        <f t="shared" si="73"/>
        <v>7571</v>
      </c>
      <c r="AS221" s="69">
        <v>7874</v>
      </c>
      <c r="AT221" s="69">
        <f t="shared" si="73"/>
        <v>7874</v>
      </c>
      <c r="AU221" s="69">
        <f t="shared" si="73"/>
        <v>7874</v>
      </c>
      <c r="AV221" s="69">
        <f t="shared" si="73"/>
        <v>7874</v>
      </c>
      <c r="AW221" s="69">
        <f t="shared" si="73"/>
        <v>7874</v>
      </c>
      <c r="AX221" s="69">
        <f t="shared" si="73"/>
        <v>7874</v>
      </c>
      <c r="AY221" s="69">
        <f t="shared" si="73"/>
        <v>7874</v>
      </c>
      <c r="AZ221" s="69">
        <f t="shared" si="73"/>
        <v>7874</v>
      </c>
      <c r="BA221" s="69">
        <f t="shared" si="73"/>
        <v>7874</v>
      </c>
      <c r="BB221" s="69">
        <f t="shared" si="73"/>
        <v>7874</v>
      </c>
      <c r="BC221" s="69">
        <f t="shared" si="73"/>
        <v>7874</v>
      </c>
      <c r="BD221" s="69">
        <f t="shared" si="73"/>
        <v>7874</v>
      </c>
      <c r="BE221" s="69">
        <v>8189</v>
      </c>
      <c r="BF221" s="69">
        <f t="shared" si="74"/>
        <v>8189</v>
      </c>
      <c r="BG221" s="69">
        <f t="shared" si="74"/>
        <v>8189</v>
      </c>
      <c r="BH221" s="69">
        <f t="shared" si="74"/>
        <v>8189</v>
      </c>
      <c r="BI221" s="69">
        <f t="shared" si="74"/>
        <v>8189</v>
      </c>
      <c r="BJ221" s="69">
        <f t="shared" si="74"/>
        <v>8189</v>
      </c>
      <c r="BK221" s="69">
        <f t="shared" si="74"/>
        <v>8189</v>
      </c>
      <c r="BL221" s="69">
        <f t="shared" si="74"/>
        <v>8189</v>
      </c>
      <c r="BM221" s="69">
        <f t="shared" si="74"/>
        <v>8189</v>
      </c>
    </row>
    <row r="222" spans="1:65" outlineLevel="1">
      <c r="A222" s="51"/>
      <c r="B222" s="51" t="s">
        <v>279</v>
      </c>
      <c r="C222" s="51"/>
      <c r="D222" s="51"/>
      <c r="E222" s="54">
        <f t="shared" si="70"/>
        <v>409401</v>
      </c>
      <c r="F222" s="69"/>
      <c r="G222" s="69"/>
      <c r="H222" s="69"/>
      <c r="I222" s="69"/>
      <c r="J222" s="69"/>
      <c r="K222" s="69">
        <v>0</v>
      </c>
      <c r="L222" s="69">
        <v>7000</v>
      </c>
      <c r="M222" s="69">
        <f t="shared" si="71"/>
        <v>7000</v>
      </c>
      <c r="N222" s="69">
        <f t="shared" si="71"/>
        <v>7000</v>
      </c>
      <c r="O222" s="69">
        <f t="shared" si="71"/>
        <v>7000</v>
      </c>
      <c r="P222" s="69">
        <f t="shared" si="71"/>
        <v>7000</v>
      </c>
      <c r="Q222" s="69">
        <f t="shared" si="71"/>
        <v>7000</v>
      </c>
      <c r="R222" s="69">
        <f t="shared" si="71"/>
        <v>7000</v>
      </c>
      <c r="S222" s="69">
        <f t="shared" si="71"/>
        <v>7000</v>
      </c>
      <c r="T222" s="69">
        <f t="shared" si="71"/>
        <v>7000</v>
      </c>
      <c r="U222" s="69">
        <v>7280</v>
      </c>
      <c r="V222" s="69">
        <f t="shared" si="71"/>
        <v>7280</v>
      </c>
      <c r="W222" s="69">
        <f t="shared" si="71"/>
        <v>7280</v>
      </c>
      <c r="X222" s="69">
        <f t="shared" si="71"/>
        <v>7280</v>
      </c>
      <c r="Y222" s="69">
        <f t="shared" si="72"/>
        <v>7280</v>
      </c>
      <c r="Z222" s="69">
        <f t="shared" si="72"/>
        <v>7280</v>
      </c>
      <c r="AA222" s="69">
        <f t="shared" si="72"/>
        <v>7280</v>
      </c>
      <c r="AB222" s="69">
        <f t="shared" si="72"/>
        <v>7280</v>
      </c>
      <c r="AC222" s="69">
        <f t="shared" si="72"/>
        <v>7280</v>
      </c>
      <c r="AD222" s="69">
        <f t="shared" si="72"/>
        <v>7280</v>
      </c>
      <c r="AE222" s="69">
        <f t="shared" si="72"/>
        <v>7280</v>
      </c>
      <c r="AF222" s="69">
        <f t="shared" si="72"/>
        <v>7280</v>
      </c>
      <c r="AG222" s="69">
        <v>7571</v>
      </c>
      <c r="AH222" s="69">
        <f t="shared" si="72"/>
        <v>7571</v>
      </c>
      <c r="AI222" s="69">
        <f t="shared" si="72"/>
        <v>7571</v>
      </c>
      <c r="AJ222" s="69">
        <f t="shared" si="72"/>
        <v>7571</v>
      </c>
      <c r="AK222" s="69">
        <f t="shared" si="72"/>
        <v>7571</v>
      </c>
      <c r="AL222" s="69">
        <f t="shared" si="72"/>
        <v>7571</v>
      </c>
      <c r="AM222" s="69">
        <f t="shared" si="72"/>
        <v>7571</v>
      </c>
      <c r="AN222" s="69">
        <f t="shared" si="72"/>
        <v>7571</v>
      </c>
      <c r="AO222" s="69">
        <f t="shared" si="73"/>
        <v>7571</v>
      </c>
      <c r="AP222" s="69">
        <f t="shared" si="73"/>
        <v>7571</v>
      </c>
      <c r="AQ222" s="69">
        <f t="shared" si="73"/>
        <v>7571</v>
      </c>
      <c r="AR222" s="69">
        <f t="shared" si="73"/>
        <v>7571</v>
      </c>
      <c r="AS222" s="69">
        <v>7874</v>
      </c>
      <c r="AT222" s="69">
        <f t="shared" si="73"/>
        <v>7874</v>
      </c>
      <c r="AU222" s="69">
        <f t="shared" si="73"/>
        <v>7874</v>
      </c>
      <c r="AV222" s="69">
        <f t="shared" si="73"/>
        <v>7874</v>
      </c>
      <c r="AW222" s="69">
        <f t="shared" si="73"/>
        <v>7874</v>
      </c>
      <c r="AX222" s="69">
        <f t="shared" si="73"/>
        <v>7874</v>
      </c>
      <c r="AY222" s="69">
        <f t="shared" si="73"/>
        <v>7874</v>
      </c>
      <c r="AZ222" s="69">
        <f t="shared" si="73"/>
        <v>7874</v>
      </c>
      <c r="BA222" s="69">
        <f t="shared" si="73"/>
        <v>7874</v>
      </c>
      <c r="BB222" s="69">
        <f t="shared" si="73"/>
        <v>7874</v>
      </c>
      <c r="BC222" s="69">
        <f t="shared" si="73"/>
        <v>7874</v>
      </c>
      <c r="BD222" s="69">
        <f t="shared" si="73"/>
        <v>7874</v>
      </c>
      <c r="BE222" s="69">
        <v>8189</v>
      </c>
      <c r="BF222" s="69">
        <f t="shared" si="74"/>
        <v>8189</v>
      </c>
      <c r="BG222" s="69">
        <f t="shared" si="74"/>
        <v>8189</v>
      </c>
      <c r="BH222" s="69">
        <f t="shared" si="74"/>
        <v>8189</v>
      </c>
      <c r="BI222" s="69">
        <f t="shared" si="74"/>
        <v>8189</v>
      </c>
      <c r="BJ222" s="69">
        <f t="shared" si="74"/>
        <v>8189</v>
      </c>
      <c r="BK222" s="69">
        <f t="shared" si="74"/>
        <v>8189</v>
      </c>
      <c r="BL222" s="69">
        <f t="shared" si="74"/>
        <v>8189</v>
      </c>
      <c r="BM222" s="69">
        <f t="shared" si="74"/>
        <v>8189</v>
      </c>
    </row>
    <row r="223" spans="1:65" outlineLevel="1">
      <c r="A223" s="51"/>
      <c r="B223" s="51" t="s">
        <v>280</v>
      </c>
      <c r="C223" s="51"/>
      <c r="D223" s="51"/>
      <c r="E223" s="54">
        <f t="shared" si="70"/>
        <v>292425</v>
      </c>
      <c r="F223" s="69"/>
      <c r="G223" s="69"/>
      <c r="H223" s="69"/>
      <c r="I223" s="69"/>
      <c r="J223" s="69"/>
      <c r="K223" s="69">
        <v>0</v>
      </c>
      <c r="L223" s="69">
        <v>5000</v>
      </c>
      <c r="M223" s="69">
        <f t="shared" si="71"/>
        <v>5000</v>
      </c>
      <c r="N223" s="69">
        <f t="shared" si="71"/>
        <v>5000</v>
      </c>
      <c r="O223" s="69">
        <f t="shared" si="71"/>
        <v>5000</v>
      </c>
      <c r="P223" s="69">
        <f t="shared" si="71"/>
        <v>5000</v>
      </c>
      <c r="Q223" s="69">
        <f t="shared" si="71"/>
        <v>5000</v>
      </c>
      <c r="R223" s="69">
        <f t="shared" si="71"/>
        <v>5000</v>
      </c>
      <c r="S223" s="69">
        <f t="shared" si="71"/>
        <v>5000</v>
      </c>
      <c r="T223" s="69">
        <f t="shared" si="71"/>
        <v>5000</v>
      </c>
      <c r="U223" s="69">
        <v>5200</v>
      </c>
      <c r="V223" s="69">
        <f t="shared" si="71"/>
        <v>5200</v>
      </c>
      <c r="W223" s="69">
        <f t="shared" si="71"/>
        <v>5200</v>
      </c>
      <c r="X223" s="69">
        <f t="shared" si="71"/>
        <v>5200</v>
      </c>
      <c r="Y223" s="69">
        <f t="shared" si="72"/>
        <v>5200</v>
      </c>
      <c r="Z223" s="69">
        <f t="shared" si="72"/>
        <v>5200</v>
      </c>
      <c r="AA223" s="69">
        <f t="shared" si="72"/>
        <v>5200</v>
      </c>
      <c r="AB223" s="69">
        <f t="shared" si="72"/>
        <v>5200</v>
      </c>
      <c r="AC223" s="69">
        <f t="shared" si="72"/>
        <v>5200</v>
      </c>
      <c r="AD223" s="69">
        <f t="shared" si="72"/>
        <v>5200</v>
      </c>
      <c r="AE223" s="69">
        <f t="shared" si="72"/>
        <v>5200</v>
      </c>
      <c r="AF223" s="69">
        <f t="shared" si="72"/>
        <v>5200</v>
      </c>
      <c r="AG223" s="69">
        <v>5408</v>
      </c>
      <c r="AH223" s="69">
        <f t="shared" si="72"/>
        <v>5408</v>
      </c>
      <c r="AI223" s="69">
        <f t="shared" si="72"/>
        <v>5408</v>
      </c>
      <c r="AJ223" s="69">
        <f t="shared" si="72"/>
        <v>5408</v>
      </c>
      <c r="AK223" s="69">
        <f t="shared" si="72"/>
        <v>5408</v>
      </c>
      <c r="AL223" s="69">
        <f t="shared" si="72"/>
        <v>5408</v>
      </c>
      <c r="AM223" s="69">
        <f t="shared" si="72"/>
        <v>5408</v>
      </c>
      <c r="AN223" s="69">
        <f t="shared" si="72"/>
        <v>5408</v>
      </c>
      <c r="AO223" s="69">
        <f t="shared" si="73"/>
        <v>5408</v>
      </c>
      <c r="AP223" s="69">
        <f t="shared" si="73"/>
        <v>5408</v>
      </c>
      <c r="AQ223" s="69">
        <f t="shared" si="73"/>
        <v>5408</v>
      </c>
      <c r="AR223" s="69">
        <f t="shared" si="73"/>
        <v>5408</v>
      </c>
      <c r="AS223" s="69">
        <v>5624</v>
      </c>
      <c r="AT223" s="69">
        <f t="shared" si="73"/>
        <v>5624</v>
      </c>
      <c r="AU223" s="69">
        <f t="shared" si="73"/>
        <v>5624</v>
      </c>
      <c r="AV223" s="69">
        <f t="shared" si="73"/>
        <v>5624</v>
      </c>
      <c r="AW223" s="69">
        <f t="shared" si="73"/>
        <v>5624</v>
      </c>
      <c r="AX223" s="69">
        <f t="shared" si="73"/>
        <v>5624</v>
      </c>
      <c r="AY223" s="69">
        <f t="shared" si="73"/>
        <v>5624</v>
      </c>
      <c r="AZ223" s="69">
        <f t="shared" si="73"/>
        <v>5624</v>
      </c>
      <c r="BA223" s="69">
        <f t="shared" si="73"/>
        <v>5624</v>
      </c>
      <c r="BB223" s="69">
        <f t="shared" si="73"/>
        <v>5624</v>
      </c>
      <c r="BC223" s="69">
        <f t="shared" si="73"/>
        <v>5624</v>
      </c>
      <c r="BD223" s="69">
        <f t="shared" si="73"/>
        <v>5624</v>
      </c>
      <c r="BE223" s="69">
        <v>5849</v>
      </c>
      <c r="BF223" s="69">
        <f t="shared" si="74"/>
        <v>5849</v>
      </c>
      <c r="BG223" s="69">
        <f t="shared" si="74"/>
        <v>5849</v>
      </c>
      <c r="BH223" s="69">
        <f t="shared" si="74"/>
        <v>5849</v>
      </c>
      <c r="BI223" s="69">
        <f t="shared" si="74"/>
        <v>5849</v>
      </c>
      <c r="BJ223" s="69">
        <f t="shared" si="74"/>
        <v>5849</v>
      </c>
      <c r="BK223" s="69">
        <f t="shared" si="74"/>
        <v>5849</v>
      </c>
      <c r="BL223" s="69">
        <f t="shared" si="74"/>
        <v>5849</v>
      </c>
      <c r="BM223" s="69">
        <f t="shared" si="74"/>
        <v>5849</v>
      </c>
    </row>
    <row r="224" spans="1:65" outlineLevel="1">
      <c r="A224" s="51"/>
      <c r="B224" s="51" t="s">
        <v>281</v>
      </c>
      <c r="C224" s="51"/>
      <c r="D224" s="51"/>
      <c r="E224" s="54">
        <f t="shared" si="70"/>
        <v>409401</v>
      </c>
      <c r="F224" s="69"/>
      <c r="G224" s="69"/>
      <c r="H224" s="69"/>
      <c r="I224" s="69"/>
      <c r="J224" s="69"/>
      <c r="K224" s="69">
        <v>0</v>
      </c>
      <c r="L224" s="69">
        <v>7000</v>
      </c>
      <c r="M224" s="69">
        <f t="shared" si="71"/>
        <v>7000</v>
      </c>
      <c r="N224" s="69">
        <f t="shared" si="71"/>
        <v>7000</v>
      </c>
      <c r="O224" s="69">
        <f t="shared" si="71"/>
        <v>7000</v>
      </c>
      <c r="P224" s="69">
        <f t="shared" si="71"/>
        <v>7000</v>
      </c>
      <c r="Q224" s="69">
        <f t="shared" si="71"/>
        <v>7000</v>
      </c>
      <c r="R224" s="69">
        <f t="shared" si="71"/>
        <v>7000</v>
      </c>
      <c r="S224" s="69">
        <f t="shared" si="71"/>
        <v>7000</v>
      </c>
      <c r="T224" s="69">
        <f t="shared" si="71"/>
        <v>7000</v>
      </c>
      <c r="U224" s="69">
        <v>7280</v>
      </c>
      <c r="V224" s="69">
        <f t="shared" si="71"/>
        <v>7280</v>
      </c>
      <c r="W224" s="69">
        <f t="shared" si="71"/>
        <v>7280</v>
      </c>
      <c r="X224" s="69">
        <f t="shared" si="71"/>
        <v>7280</v>
      </c>
      <c r="Y224" s="69">
        <f t="shared" si="72"/>
        <v>7280</v>
      </c>
      <c r="Z224" s="69">
        <f t="shared" si="72"/>
        <v>7280</v>
      </c>
      <c r="AA224" s="69">
        <f t="shared" si="72"/>
        <v>7280</v>
      </c>
      <c r="AB224" s="69">
        <f t="shared" si="72"/>
        <v>7280</v>
      </c>
      <c r="AC224" s="69">
        <f t="shared" si="72"/>
        <v>7280</v>
      </c>
      <c r="AD224" s="69">
        <f t="shared" si="72"/>
        <v>7280</v>
      </c>
      <c r="AE224" s="69">
        <f t="shared" si="72"/>
        <v>7280</v>
      </c>
      <c r="AF224" s="69">
        <f t="shared" si="72"/>
        <v>7280</v>
      </c>
      <c r="AG224" s="69">
        <v>7571</v>
      </c>
      <c r="AH224" s="69">
        <f t="shared" si="72"/>
        <v>7571</v>
      </c>
      <c r="AI224" s="69">
        <f t="shared" si="72"/>
        <v>7571</v>
      </c>
      <c r="AJ224" s="69">
        <f t="shared" si="72"/>
        <v>7571</v>
      </c>
      <c r="AK224" s="69">
        <f t="shared" si="72"/>
        <v>7571</v>
      </c>
      <c r="AL224" s="69">
        <f t="shared" si="72"/>
        <v>7571</v>
      </c>
      <c r="AM224" s="69">
        <f t="shared" si="72"/>
        <v>7571</v>
      </c>
      <c r="AN224" s="69">
        <f t="shared" si="72"/>
        <v>7571</v>
      </c>
      <c r="AO224" s="69">
        <f t="shared" si="73"/>
        <v>7571</v>
      </c>
      <c r="AP224" s="69">
        <f t="shared" si="73"/>
        <v>7571</v>
      </c>
      <c r="AQ224" s="69">
        <f t="shared" si="73"/>
        <v>7571</v>
      </c>
      <c r="AR224" s="69">
        <f t="shared" si="73"/>
        <v>7571</v>
      </c>
      <c r="AS224" s="69">
        <v>7874</v>
      </c>
      <c r="AT224" s="69">
        <f t="shared" si="73"/>
        <v>7874</v>
      </c>
      <c r="AU224" s="69">
        <f t="shared" si="73"/>
        <v>7874</v>
      </c>
      <c r="AV224" s="69">
        <f t="shared" si="73"/>
        <v>7874</v>
      </c>
      <c r="AW224" s="69">
        <f t="shared" si="73"/>
        <v>7874</v>
      </c>
      <c r="AX224" s="69">
        <f t="shared" si="73"/>
        <v>7874</v>
      </c>
      <c r="AY224" s="69">
        <f t="shared" si="73"/>
        <v>7874</v>
      </c>
      <c r="AZ224" s="69">
        <f t="shared" si="73"/>
        <v>7874</v>
      </c>
      <c r="BA224" s="69">
        <f t="shared" si="73"/>
        <v>7874</v>
      </c>
      <c r="BB224" s="69">
        <f t="shared" si="73"/>
        <v>7874</v>
      </c>
      <c r="BC224" s="69">
        <f t="shared" si="73"/>
        <v>7874</v>
      </c>
      <c r="BD224" s="69">
        <f t="shared" si="73"/>
        <v>7874</v>
      </c>
      <c r="BE224" s="69">
        <v>8189</v>
      </c>
      <c r="BF224" s="69">
        <f t="shared" si="74"/>
        <v>8189</v>
      </c>
      <c r="BG224" s="69">
        <f t="shared" si="74"/>
        <v>8189</v>
      </c>
      <c r="BH224" s="69">
        <f t="shared" si="74"/>
        <v>8189</v>
      </c>
      <c r="BI224" s="69">
        <f t="shared" si="74"/>
        <v>8189</v>
      </c>
      <c r="BJ224" s="69">
        <f t="shared" si="74"/>
        <v>8189</v>
      </c>
      <c r="BK224" s="69">
        <f t="shared" si="74"/>
        <v>8189</v>
      </c>
      <c r="BL224" s="69">
        <f t="shared" si="74"/>
        <v>8189</v>
      </c>
      <c r="BM224" s="69">
        <f t="shared" si="74"/>
        <v>8189</v>
      </c>
    </row>
    <row r="225" spans="1:65">
      <c r="A225" s="51"/>
      <c r="B225" s="51" t="s">
        <v>282</v>
      </c>
      <c r="C225" s="51" t="s">
        <v>134</v>
      </c>
      <c r="D225" s="51"/>
      <c r="E225" s="76">
        <f>SUM(F225:BM225)</f>
        <v>2811114</v>
      </c>
      <c r="F225" s="56"/>
      <c r="G225" s="56"/>
      <c r="H225" s="105">
        <f t="shared" ref="F225:J226" si="75">SUM(H217:H223)</f>
        <v>0</v>
      </c>
      <c r="I225" s="105">
        <f t="shared" si="75"/>
        <v>0</v>
      </c>
      <c r="J225" s="105">
        <f t="shared" si="75"/>
        <v>0</v>
      </c>
      <c r="K225" s="105">
        <f>SUM(K218:K224)</f>
        <v>0</v>
      </c>
      <c r="L225" s="105">
        <f t="shared" ref="L225:BM225" si="76">SUM(L218:L224)</f>
        <v>48000</v>
      </c>
      <c r="M225" s="105">
        <f t="shared" si="76"/>
        <v>48000</v>
      </c>
      <c r="N225" s="105">
        <f t="shared" si="76"/>
        <v>48000</v>
      </c>
      <c r="O225" s="105">
        <f t="shared" si="76"/>
        <v>48000</v>
      </c>
      <c r="P225" s="105">
        <f t="shared" si="76"/>
        <v>48000</v>
      </c>
      <c r="Q225" s="105">
        <f t="shared" si="76"/>
        <v>48000</v>
      </c>
      <c r="R225" s="105">
        <f t="shared" si="76"/>
        <v>48000</v>
      </c>
      <c r="S225" s="105">
        <f t="shared" si="76"/>
        <v>48000</v>
      </c>
      <c r="T225" s="105">
        <f t="shared" si="76"/>
        <v>48000</v>
      </c>
      <c r="U225" s="105">
        <f t="shared" si="76"/>
        <v>50000</v>
      </c>
      <c r="V225" s="105">
        <f t="shared" si="76"/>
        <v>50000</v>
      </c>
      <c r="W225" s="105">
        <f t="shared" si="76"/>
        <v>50000</v>
      </c>
      <c r="X225" s="105">
        <f t="shared" si="76"/>
        <v>50000</v>
      </c>
      <c r="Y225" s="105">
        <f t="shared" si="76"/>
        <v>50000</v>
      </c>
      <c r="Z225" s="105">
        <f t="shared" si="76"/>
        <v>50000</v>
      </c>
      <c r="AA225" s="105">
        <f t="shared" si="76"/>
        <v>50000</v>
      </c>
      <c r="AB225" s="105">
        <f t="shared" si="76"/>
        <v>50000</v>
      </c>
      <c r="AC225" s="105">
        <f t="shared" si="76"/>
        <v>50000</v>
      </c>
      <c r="AD225" s="105">
        <f t="shared" si="76"/>
        <v>50000</v>
      </c>
      <c r="AE225" s="105">
        <f t="shared" si="76"/>
        <v>50000</v>
      </c>
      <c r="AF225" s="105">
        <f t="shared" si="76"/>
        <v>50000</v>
      </c>
      <c r="AG225" s="105">
        <f t="shared" si="76"/>
        <v>51999</v>
      </c>
      <c r="AH225" s="105">
        <f t="shared" si="76"/>
        <v>51999</v>
      </c>
      <c r="AI225" s="105">
        <f t="shared" si="76"/>
        <v>51999</v>
      </c>
      <c r="AJ225" s="105">
        <f t="shared" si="76"/>
        <v>51999</v>
      </c>
      <c r="AK225" s="105">
        <f t="shared" si="76"/>
        <v>51999</v>
      </c>
      <c r="AL225" s="105">
        <f t="shared" si="76"/>
        <v>51999</v>
      </c>
      <c r="AM225" s="105">
        <f t="shared" si="76"/>
        <v>51999</v>
      </c>
      <c r="AN225" s="105">
        <f t="shared" si="76"/>
        <v>51999</v>
      </c>
      <c r="AO225" s="105">
        <f t="shared" si="76"/>
        <v>51999</v>
      </c>
      <c r="AP225" s="105">
        <f t="shared" si="76"/>
        <v>51999</v>
      </c>
      <c r="AQ225" s="105">
        <f t="shared" si="76"/>
        <v>51999</v>
      </c>
      <c r="AR225" s="105">
        <f t="shared" si="76"/>
        <v>51999</v>
      </c>
      <c r="AS225" s="105">
        <f t="shared" si="76"/>
        <v>54079</v>
      </c>
      <c r="AT225" s="105">
        <f t="shared" si="76"/>
        <v>54079</v>
      </c>
      <c r="AU225" s="105">
        <f t="shared" si="76"/>
        <v>54079</v>
      </c>
      <c r="AV225" s="105">
        <f t="shared" si="76"/>
        <v>54079</v>
      </c>
      <c r="AW225" s="105">
        <f t="shared" si="76"/>
        <v>54079</v>
      </c>
      <c r="AX225" s="105">
        <f t="shared" si="76"/>
        <v>54079</v>
      </c>
      <c r="AY225" s="105">
        <f t="shared" si="76"/>
        <v>54079</v>
      </c>
      <c r="AZ225" s="105">
        <f t="shared" si="76"/>
        <v>54079</v>
      </c>
      <c r="BA225" s="105">
        <f t="shared" si="76"/>
        <v>54079</v>
      </c>
      <c r="BB225" s="105">
        <f t="shared" si="76"/>
        <v>54079</v>
      </c>
      <c r="BC225" s="105">
        <f t="shared" si="76"/>
        <v>54079</v>
      </c>
      <c r="BD225" s="105">
        <f t="shared" si="76"/>
        <v>54079</v>
      </c>
      <c r="BE225" s="105">
        <f t="shared" si="76"/>
        <v>56242</v>
      </c>
      <c r="BF225" s="105">
        <f t="shared" si="76"/>
        <v>56242</v>
      </c>
      <c r="BG225" s="105">
        <f t="shared" si="76"/>
        <v>56242</v>
      </c>
      <c r="BH225" s="105">
        <f t="shared" si="76"/>
        <v>56242</v>
      </c>
      <c r="BI225" s="105">
        <f>SUM(BI218:BI224)</f>
        <v>56242</v>
      </c>
      <c r="BJ225" s="105">
        <f t="shared" si="76"/>
        <v>56242</v>
      </c>
      <c r="BK225" s="105">
        <f t="shared" si="76"/>
        <v>56242</v>
      </c>
      <c r="BL225" s="105">
        <f t="shared" si="76"/>
        <v>56242</v>
      </c>
      <c r="BM225" s="105">
        <f t="shared" si="76"/>
        <v>56242</v>
      </c>
    </row>
    <row r="226" spans="1:65">
      <c r="A226" s="51"/>
      <c r="B226" s="51" t="s">
        <v>283</v>
      </c>
      <c r="C226" s="51"/>
      <c r="D226" s="51"/>
      <c r="E226" s="54">
        <f t="shared" ref="E226" si="77">SUM(F226:BM226)</f>
        <v>0</v>
      </c>
      <c r="F226" s="69">
        <f t="shared" si="75"/>
        <v>0</v>
      </c>
      <c r="G226" s="69">
        <f t="shared" si="75"/>
        <v>0</v>
      </c>
      <c r="H226" s="69"/>
      <c r="I226" s="69"/>
      <c r="J226" s="69"/>
      <c r="K226" s="69"/>
      <c r="L226" s="69"/>
      <c r="M226" s="69"/>
      <c r="N226" s="80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  <c r="AP226" s="69"/>
      <c r="AQ226" s="69"/>
      <c r="AR226" s="69"/>
      <c r="AS226" s="69"/>
      <c r="AT226" s="69"/>
      <c r="AU226" s="69"/>
      <c r="AV226" s="69"/>
      <c r="AW226" s="69"/>
      <c r="AX226" s="69"/>
      <c r="AY226" s="69"/>
      <c r="AZ226" s="69"/>
      <c r="BA226" s="69"/>
      <c r="BB226" s="69"/>
      <c r="BC226" s="69"/>
      <c r="BD226" s="69"/>
      <c r="BE226" s="69"/>
      <c r="BF226" s="69"/>
      <c r="BG226" s="69"/>
      <c r="BH226" s="69"/>
      <c r="BI226" s="69"/>
      <c r="BJ226" s="69"/>
      <c r="BK226" s="69"/>
      <c r="BL226" s="69"/>
      <c r="BM226" s="69"/>
    </row>
    <row r="227" spans="1:65">
      <c r="A227" s="51"/>
      <c r="B227" s="51" t="s">
        <v>284</v>
      </c>
      <c r="C227" s="51"/>
      <c r="D227" s="51"/>
      <c r="E227" s="111">
        <f>SUM(E225:E226)/SUM(E336:E339)</f>
        <v>4.413830505808479E-3</v>
      </c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  <c r="AT227" s="51"/>
      <c r="AU227" s="51"/>
      <c r="AV227" s="51"/>
      <c r="AW227" s="51"/>
      <c r="AX227" s="51"/>
      <c r="AY227" s="51"/>
      <c r="AZ227" s="51"/>
      <c r="BA227" s="51"/>
      <c r="BB227" s="51"/>
      <c r="BC227" s="51"/>
      <c r="BD227" s="51"/>
      <c r="BE227" s="51"/>
      <c r="BF227" s="51"/>
      <c r="BG227" s="51"/>
      <c r="BH227" s="51"/>
      <c r="BI227" s="51"/>
      <c r="BJ227" s="51"/>
      <c r="BK227" s="51"/>
      <c r="BL227" s="51"/>
      <c r="BM227" s="51"/>
    </row>
    <row r="228" spans="1:65">
      <c r="A228" s="51"/>
      <c r="B228" s="51"/>
      <c r="C228" s="51"/>
      <c r="D228" s="51"/>
      <c r="E228" s="111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  <c r="AT228" s="51"/>
      <c r="AU228" s="51"/>
      <c r="AV228" s="51"/>
      <c r="AW228" s="51"/>
      <c r="AX228" s="51"/>
      <c r="AY228" s="51"/>
      <c r="AZ228" s="51"/>
      <c r="BA228" s="51"/>
      <c r="BB228" s="51"/>
      <c r="BC228" s="51"/>
      <c r="BD228" s="51"/>
      <c r="BE228" s="51"/>
      <c r="BF228" s="51"/>
      <c r="BG228" s="51"/>
      <c r="BH228" s="51"/>
      <c r="BI228" s="51"/>
      <c r="BJ228" s="51"/>
      <c r="BK228" s="51"/>
      <c r="BL228" s="51"/>
      <c r="BM228" s="51"/>
    </row>
    <row r="229" spans="1:65">
      <c r="A229" s="12" t="s">
        <v>285</v>
      </c>
      <c r="B229" s="51"/>
      <c r="C229" s="51"/>
      <c r="D229" s="51"/>
      <c r="E229" s="54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  <c r="AT229" s="51"/>
      <c r="AU229" s="51"/>
      <c r="AV229" s="51"/>
      <c r="AW229" s="51"/>
      <c r="AX229" s="51"/>
      <c r="AY229" s="51"/>
      <c r="AZ229" s="51"/>
      <c r="BA229" s="51"/>
      <c r="BB229" s="51"/>
      <c r="BC229" s="51"/>
      <c r="BD229" s="51"/>
      <c r="BE229" s="51"/>
      <c r="BF229" s="51"/>
      <c r="BG229" s="51"/>
      <c r="BH229" s="51"/>
      <c r="BI229" s="51"/>
      <c r="BJ229" s="51"/>
      <c r="BK229" s="51"/>
      <c r="BL229" s="51"/>
      <c r="BM229" s="51"/>
    </row>
    <row r="230" spans="1:65" outlineLevel="1">
      <c r="A230" s="12"/>
      <c r="B230" s="51" t="s">
        <v>286</v>
      </c>
      <c r="C230" s="51"/>
      <c r="D230" s="51"/>
      <c r="E230" s="54"/>
      <c r="F230" s="100"/>
      <c r="G230" s="100"/>
      <c r="H230" s="100"/>
      <c r="I230" s="100"/>
      <c r="J230" s="100"/>
      <c r="K230" s="100"/>
      <c r="L230" s="100">
        <v>12</v>
      </c>
      <c r="M230" s="100">
        <f t="shared" ref="M230:M231" si="78">L230</f>
        <v>12</v>
      </c>
      <c r="N230" s="100">
        <v>12</v>
      </c>
      <c r="O230" s="100">
        <f>N230</f>
        <v>12</v>
      </c>
      <c r="P230" s="100">
        <f t="shared" ref="P230:AE231" si="79">O230</f>
        <v>12</v>
      </c>
      <c r="Q230" s="100">
        <f t="shared" si="79"/>
        <v>12</v>
      </c>
      <c r="R230" s="100">
        <f t="shared" si="79"/>
        <v>12</v>
      </c>
      <c r="S230" s="100">
        <f t="shared" si="79"/>
        <v>12</v>
      </c>
      <c r="T230" s="100">
        <f t="shared" si="79"/>
        <v>12</v>
      </c>
      <c r="U230" s="100">
        <f t="shared" si="79"/>
        <v>12</v>
      </c>
      <c r="V230" s="100">
        <f t="shared" si="79"/>
        <v>12</v>
      </c>
      <c r="W230" s="100">
        <f t="shared" si="79"/>
        <v>12</v>
      </c>
      <c r="X230" s="100">
        <f t="shared" si="79"/>
        <v>12</v>
      </c>
      <c r="Y230" s="100">
        <f t="shared" si="79"/>
        <v>12</v>
      </c>
      <c r="Z230" s="100">
        <f t="shared" si="79"/>
        <v>12</v>
      </c>
      <c r="AA230" s="100">
        <f t="shared" si="79"/>
        <v>12</v>
      </c>
      <c r="AB230" s="100">
        <f t="shared" si="79"/>
        <v>12</v>
      </c>
      <c r="AC230" s="100">
        <f t="shared" si="79"/>
        <v>12</v>
      </c>
      <c r="AD230" s="100">
        <f t="shared" si="79"/>
        <v>12</v>
      </c>
      <c r="AE230" s="100">
        <f t="shared" si="79"/>
        <v>12</v>
      </c>
      <c r="AF230" s="100">
        <f t="shared" ref="AF230:AU231" si="80">AE230</f>
        <v>12</v>
      </c>
      <c r="AG230" s="100">
        <f t="shared" si="80"/>
        <v>12</v>
      </c>
      <c r="AH230" s="100">
        <f t="shared" si="80"/>
        <v>12</v>
      </c>
      <c r="AI230" s="100">
        <f t="shared" si="80"/>
        <v>12</v>
      </c>
      <c r="AJ230" s="100">
        <f t="shared" si="80"/>
        <v>12</v>
      </c>
      <c r="AK230" s="100">
        <f t="shared" si="80"/>
        <v>12</v>
      </c>
      <c r="AL230" s="100">
        <f t="shared" si="80"/>
        <v>12</v>
      </c>
      <c r="AM230" s="100">
        <f t="shared" si="80"/>
        <v>12</v>
      </c>
      <c r="AN230" s="100">
        <f t="shared" si="80"/>
        <v>12</v>
      </c>
      <c r="AO230" s="100">
        <f t="shared" si="80"/>
        <v>12</v>
      </c>
      <c r="AP230" s="100">
        <f t="shared" si="80"/>
        <v>12</v>
      </c>
      <c r="AQ230" s="100">
        <f t="shared" si="80"/>
        <v>12</v>
      </c>
      <c r="AR230" s="100">
        <f t="shared" si="80"/>
        <v>12</v>
      </c>
      <c r="AS230" s="100">
        <f t="shared" si="80"/>
        <v>12</v>
      </c>
      <c r="AT230" s="100">
        <f t="shared" si="80"/>
        <v>12</v>
      </c>
      <c r="AU230" s="100">
        <f t="shared" si="80"/>
        <v>12</v>
      </c>
      <c r="AV230" s="100">
        <f t="shared" ref="AV230:BK231" si="81">AU230</f>
        <v>12</v>
      </c>
      <c r="AW230" s="100">
        <f t="shared" si="81"/>
        <v>12</v>
      </c>
      <c r="AX230" s="100">
        <f t="shared" si="81"/>
        <v>12</v>
      </c>
      <c r="AY230" s="100">
        <f t="shared" si="81"/>
        <v>12</v>
      </c>
      <c r="AZ230" s="100">
        <f t="shared" si="81"/>
        <v>12</v>
      </c>
      <c r="BA230" s="100">
        <f t="shared" si="81"/>
        <v>12</v>
      </c>
      <c r="BB230" s="100">
        <f t="shared" si="81"/>
        <v>12</v>
      </c>
      <c r="BC230" s="100">
        <f t="shared" si="81"/>
        <v>12</v>
      </c>
      <c r="BD230" s="100">
        <f t="shared" si="81"/>
        <v>12</v>
      </c>
      <c r="BE230" s="100">
        <f t="shared" si="81"/>
        <v>12</v>
      </c>
      <c r="BF230" s="100">
        <f t="shared" si="81"/>
        <v>12</v>
      </c>
      <c r="BG230" s="100">
        <f t="shared" si="81"/>
        <v>12</v>
      </c>
      <c r="BH230" s="100">
        <f t="shared" si="81"/>
        <v>12</v>
      </c>
      <c r="BI230" s="100">
        <f t="shared" si="81"/>
        <v>12</v>
      </c>
      <c r="BJ230" s="100">
        <f t="shared" si="81"/>
        <v>12</v>
      </c>
      <c r="BK230" s="100">
        <f t="shared" si="81"/>
        <v>12</v>
      </c>
      <c r="BL230" s="100">
        <f t="shared" ref="BL230:BM231" si="82">BK230</f>
        <v>12</v>
      </c>
      <c r="BM230" s="100">
        <f t="shared" si="82"/>
        <v>12</v>
      </c>
    </row>
    <row r="231" spans="1:65" outlineLevel="1">
      <c r="A231" s="12"/>
      <c r="B231" s="51" t="s">
        <v>287</v>
      </c>
      <c r="C231" s="51"/>
      <c r="D231" s="51"/>
      <c r="E231" s="54"/>
      <c r="F231" s="100"/>
      <c r="G231" s="100"/>
      <c r="H231" s="100"/>
      <c r="I231" s="100"/>
      <c r="J231" s="100"/>
      <c r="K231" s="100"/>
      <c r="L231" s="100">
        <v>12</v>
      </c>
      <c r="M231" s="100">
        <f t="shared" si="78"/>
        <v>12</v>
      </c>
      <c r="N231" s="100">
        <v>12</v>
      </c>
      <c r="O231" s="100">
        <f>N231</f>
        <v>12</v>
      </c>
      <c r="P231" s="100">
        <f t="shared" si="79"/>
        <v>12</v>
      </c>
      <c r="Q231" s="100">
        <f t="shared" si="79"/>
        <v>12</v>
      </c>
      <c r="R231" s="100">
        <f t="shared" si="79"/>
        <v>12</v>
      </c>
      <c r="S231" s="100">
        <f t="shared" si="79"/>
        <v>12</v>
      </c>
      <c r="T231" s="100">
        <f t="shared" si="79"/>
        <v>12</v>
      </c>
      <c r="U231" s="100">
        <f t="shared" si="79"/>
        <v>12</v>
      </c>
      <c r="V231" s="100">
        <f t="shared" si="79"/>
        <v>12</v>
      </c>
      <c r="W231" s="100">
        <f t="shared" si="79"/>
        <v>12</v>
      </c>
      <c r="X231" s="100">
        <f t="shared" si="79"/>
        <v>12</v>
      </c>
      <c r="Y231" s="100">
        <f t="shared" si="79"/>
        <v>12</v>
      </c>
      <c r="Z231" s="100">
        <f t="shared" si="79"/>
        <v>12</v>
      </c>
      <c r="AA231" s="100">
        <f t="shared" si="79"/>
        <v>12</v>
      </c>
      <c r="AB231" s="100">
        <f t="shared" si="79"/>
        <v>12</v>
      </c>
      <c r="AC231" s="100">
        <f t="shared" si="79"/>
        <v>12</v>
      </c>
      <c r="AD231" s="100">
        <f t="shared" si="79"/>
        <v>12</v>
      </c>
      <c r="AE231" s="100">
        <f t="shared" si="79"/>
        <v>12</v>
      </c>
      <c r="AF231" s="100">
        <f t="shared" si="80"/>
        <v>12</v>
      </c>
      <c r="AG231" s="100">
        <f t="shared" si="80"/>
        <v>12</v>
      </c>
      <c r="AH231" s="100">
        <f t="shared" si="80"/>
        <v>12</v>
      </c>
      <c r="AI231" s="100">
        <f t="shared" si="80"/>
        <v>12</v>
      </c>
      <c r="AJ231" s="100">
        <f t="shared" si="80"/>
        <v>12</v>
      </c>
      <c r="AK231" s="100">
        <f t="shared" si="80"/>
        <v>12</v>
      </c>
      <c r="AL231" s="100">
        <f t="shared" si="80"/>
        <v>12</v>
      </c>
      <c r="AM231" s="100">
        <f t="shared" si="80"/>
        <v>12</v>
      </c>
      <c r="AN231" s="100">
        <f t="shared" si="80"/>
        <v>12</v>
      </c>
      <c r="AO231" s="100">
        <f t="shared" si="80"/>
        <v>12</v>
      </c>
      <c r="AP231" s="100">
        <f t="shared" si="80"/>
        <v>12</v>
      </c>
      <c r="AQ231" s="100">
        <f t="shared" si="80"/>
        <v>12</v>
      </c>
      <c r="AR231" s="100">
        <f t="shared" si="80"/>
        <v>12</v>
      </c>
      <c r="AS231" s="100">
        <f t="shared" si="80"/>
        <v>12</v>
      </c>
      <c r="AT231" s="100">
        <f t="shared" si="80"/>
        <v>12</v>
      </c>
      <c r="AU231" s="100">
        <f t="shared" si="80"/>
        <v>12</v>
      </c>
      <c r="AV231" s="100">
        <f t="shared" si="81"/>
        <v>12</v>
      </c>
      <c r="AW231" s="100">
        <f t="shared" si="81"/>
        <v>12</v>
      </c>
      <c r="AX231" s="100">
        <f t="shared" si="81"/>
        <v>12</v>
      </c>
      <c r="AY231" s="100">
        <f t="shared" si="81"/>
        <v>12</v>
      </c>
      <c r="AZ231" s="100">
        <f t="shared" si="81"/>
        <v>12</v>
      </c>
      <c r="BA231" s="100">
        <f t="shared" si="81"/>
        <v>12</v>
      </c>
      <c r="BB231" s="100">
        <f t="shared" si="81"/>
        <v>12</v>
      </c>
      <c r="BC231" s="100">
        <f t="shared" si="81"/>
        <v>12</v>
      </c>
      <c r="BD231" s="100">
        <f t="shared" si="81"/>
        <v>12</v>
      </c>
      <c r="BE231" s="100">
        <f t="shared" si="81"/>
        <v>12</v>
      </c>
      <c r="BF231" s="100">
        <f t="shared" si="81"/>
        <v>12</v>
      </c>
      <c r="BG231" s="100">
        <f t="shared" si="81"/>
        <v>12</v>
      </c>
      <c r="BH231" s="100">
        <f t="shared" si="81"/>
        <v>12</v>
      </c>
      <c r="BI231" s="100">
        <f t="shared" si="81"/>
        <v>12</v>
      </c>
      <c r="BJ231" s="100">
        <f t="shared" si="81"/>
        <v>12</v>
      </c>
      <c r="BK231" s="100">
        <f t="shared" si="81"/>
        <v>12</v>
      </c>
      <c r="BL231" s="100">
        <f t="shared" si="82"/>
        <v>12</v>
      </c>
      <c r="BM231" s="100">
        <f t="shared" si="82"/>
        <v>12</v>
      </c>
    </row>
    <row r="232" spans="1:65" outlineLevel="1">
      <c r="A232" s="3" t="s">
        <v>288</v>
      </c>
      <c r="B232" s="51"/>
      <c r="C232" s="51"/>
      <c r="D232" s="51"/>
      <c r="E232" s="54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  <c r="AT232" s="51"/>
      <c r="AU232" s="51"/>
      <c r="AV232" s="51"/>
      <c r="AW232" s="51"/>
      <c r="AX232" s="51"/>
      <c r="AY232" s="51"/>
      <c r="AZ232" s="51"/>
      <c r="BA232" s="51"/>
      <c r="BB232" s="51"/>
      <c r="BC232" s="51"/>
      <c r="BD232" s="51"/>
      <c r="BE232" s="51"/>
      <c r="BF232" s="51"/>
      <c r="BG232" s="51"/>
      <c r="BH232" s="51"/>
      <c r="BI232" s="51"/>
      <c r="BJ232" s="51"/>
      <c r="BK232" s="51"/>
      <c r="BL232" s="51"/>
      <c r="BM232" s="51"/>
    </row>
    <row r="233" spans="1:65" outlineLevel="1">
      <c r="A233" s="51"/>
      <c r="B233" s="51" t="s">
        <v>289</v>
      </c>
      <c r="C233" s="51"/>
      <c r="D233" s="51"/>
      <c r="E233" s="54"/>
      <c r="F233" s="112"/>
      <c r="G233" s="113"/>
      <c r="H233" s="113"/>
      <c r="I233" s="113"/>
      <c r="J233" s="113"/>
      <c r="K233" s="113"/>
      <c r="L233" s="113">
        <v>45</v>
      </c>
      <c r="M233" s="113">
        <f t="shared" ref="M233:AB240" si="83">L233</f>
        <v>45</v>
      </c>
      <c r="N233" s="113">
        <f t="shared" si="83"/>
        <v>45</v>
      </c>
      <c r="O233" s="113">
        <f t="shared" si="83"/>
        <v>45</v>
      </c>
      <c r="P233" s="113">
        <f t="shared" si="83"/>
        <v>45</v>
      </c>
      <c r="Q233" s="113">
        <f t="shared" si="83"/>
        <v>45</v>
      </c>
      <c r="R233" s="113">
        <f t="shared" si="83"/>
        <v>45</v>
      </c>
      <c r="S233" s="113">
        <f t="shared" si="83"/>
        <v>45</v>
      </c>
      <c r="T233" s="113">
        <f t="shared" si="83"/>
        <v>45</v>
      </c>
      <c r="U233" s="113">
        <v>47</v>
      </c>
      <c r="V233" s="113">
        <f t="shared" si="83"/>
        <v>47</v>
      </c>
      <c r="W233" s="113">
        <f t="shared" si="83"/>
        <v>47</v>
      </c>
      <c r="X233" s="113">
        <f t="shared" si="83"/>
        <v>47</v>
      </c>
      <c r="Y233" s="113">
        <f t="shared" si="83"/>
        <v>47</v>
      </c>
      <c r="Z233" s="113">
        <f t="shared" si="83"/>
        <v>47</v>
      </c>
      <c r="AA233" s="113">
        <f t="shared" si="83"/>
        <v>47</v>
      </c>
      <c r="AB233" s="113">
        <f t="shared" si="83"/>
        <v>47</v>
      </c>
      <c r="AC233" s="113">
        <f t="shared" ref="AC233:AR240" si="84">AB233</f>
        <v>47</v>
      </c>
      <c r="AD233" s="113">
        <f t="shared" si="84"/>
        <v>47</v>
      </c>
      <c r="AE233" s="113">
        <f t="shared" si="84"/>
        <v>47</v>
      </c>
      <c r="AF233" s="113">
        <f t="shared" si="84"/>
        <v>47</v>
      </c>
      <c r="AG233" s="113">
        <v>49</v>
      </c>
      <c r="AH233" s="113">
        <f t="shared" si="84"/>
        <v>49</v>
      </c>
      <c r="AI233" s="113">
        <f t="shared" si="84"/>
        <v>49</v>
      </c>
      <c r="AJ233" s="113">
        <f t="shared" si="84"/>
        <v>49</v>
      </c>
      <c r="AK233" s="113">
        <f t="shared" si="84"/>
        <v>49</v>
      </c>
      <c r="AL233" s="113">
        <f t="shared" si="84"/>
        <v>49</v>
      </c>
      <c r="AM233" s="113">
        <f t="shared" si="84"/>
        <v>49</v>
      </c>
      <c r="AN233" s="113">
        <f t="shared" si="84"/>
        <v>49</v>
      </c>
      <c r="AO233" s="113">
        <f t="shared" si="84"/>
        <v>49</v>
      </c>
      <c r="AP233" s="113">
        <f t="shared" si="84"/>
        <v>49</v>
      </c>
      <c r="AQ233" s="113">
        <f t="shared" si="84"/>
        <v>49</v>
      </c>
      <c r="AR233" s="113">
        <f t="shared" si="84"/>
        <v>49</v>
      </c>
      <c r="AS233" s="113">
        <v>51</v>
      </c>
      <c r="AT233" s="113">
        <f t="shared" ref="AT233:BI239" si="85">AS233</f>
        <v>51</v>
      </c>
      <c r="AU233" s="113">
        <f t="shared" si="85"/>
        <v>51</v>
      </c>
      <c r="AV233" s="113">
        <f t="shared" si="85"/>
        <v>51</v>
      </c>
      <c r="AW233" s="113">
        <f t="shared" si="85"/>
        <v>51</v>
      </c>
      <c r="AX233" s="113">
        <f t="shared" si="85"/>
        <v>51</v>
      </c>
      <c r="AY233" s="113">
        <f t="shared" si="85"/>
        <v>51</v>
      </c>
      <c r="AZ233" s="113">
        <f t="shared" si="85"/>
        <v>51</v>
      </c>
      <c r="BA233" s="113">
        <f t="shared" si="85"/>
        <v>51</v>
      </c>
      <c r="BB233" s="113">
        <f t="shared" si="85"/>
        <v>51</v>
      </c>
      <c r="BC233" s="113">
        <f t="shared" si="85"/>
        <v>51</v>
      </c>
      <c r="BD233" s="113">
        <f t="shared" si="85"/>
        <v>51</v>
      </c>
      <c r="BE233" s="113">
        <v>53</v>
      </c>
      <c r="BF233" s="113">
        <f t="shared" si="85"/>
        <v>53</v>
      </c>
      <c r="BG233" s="113">
        <f t="shared" si="85"/>
        <v>53</v>
      </c>
      <c r="BH233" s="113">
        <f t="shared" si="85"/>
        <v>53</v>
      </c>
      <c r="BI233" s="113">
        <f t="shared" si="85"/>
        <v>53</v>
      </c>
      <c r="BJ233" s="113">
        <f t="shared" ref="BJ233:BM239" si="86">BI233</f>
        <v>53</v>
      </c>
      <c r="BK233" s="113">
        <f t="shared" si="86"/>
        <v>53</v>
      </c>
      <c r="BL233" s="113">
        <f t="shared" si="86"/>
        <v>53</v>
      </c>
      <c r="BM233" s="113">
        <f t="shared" si="86"/>
        <v>53</v>
      </c>
    </row>
    <row r="234" spans="1:65" outlineLevel="1">
      <c r="A234" s="51"/>
      <c r="B234" s="51" t="s">
        <v>290</v>
      </c>
      <c r="C234" s="51"/>
      <c r="D234" s="51"/>
      <c r="E234" s="54"/>
      <c r="F234" s="114"/>
      <c r="G234" s="115"/>
      <c r="H234" s="115"/>
      <c r="I234" s="115"/>
      <c r="J234" s="115"/>
      <c r="K234" s="115"/>
      <c r="L234" s="115">
        <v>1</v>
      </c>
      <c r="M234" s="115">
        <v>1</v>
      </c>
      <c r="N234" s="115">
        <f t="shared" si="83"/>
        <v>1</v>
      </c>
      <c r="O234" s="115">
        <v>1</v>
      </c>
      <c r="P234" s="115">
        <v>2</v>
      </c>
      <c r="Q234" s="115">
        <f t="shared" si="83"/>
        <v>2</v>
      </c>
      <c r="R234" s="115">
        <f t="shared" si="83"/>
        <v>2</v>
      </c>
      <c r="S234" s="115">
        <f t="shared" si="83"/>
        <v>2</v>
      </c>
      <c r="T234" s="115">
        <f t="shared" si="83"/>
        <v>2</v>
      </c>
      <c r="U234" s="115">
        <f t="shared" si="83"/>
        <v>2</v>
      </c>
      <c r="V234" s="115">
        <v>4</v>
      </c>
      <c r="W234" s="115">
        <f t="shared" si="83"/>
        <v>4</v>
      </c>
      <c r="X234" s="115">
        <f t="shared" si="83"/>
        <v>4</v>
      </c>
      <c r="Y234" s="115">
        <f t="shared" si="83"/>
        <v>4</v>
      </c>
      <c r="Z234" s="115">
        <f t="shared" si="83"/>
        <v>4</v>
      </c>
      <c r="AA234" s="115">
        <f t="shared" si="83"/>
        <v>4</v>
      </c>
      <c r="AB234" s="115">
        <f t="shared" si="83"/>
        <v>4</v>
      </c>
      <c r="AC234" s="115">
        <f t="shared" si="84"/>
        <v>4</v>
      </c>
      <c r="AD234" s="115">
        <f t="shared" si="84"/>
        <v>4</v>
      </c>
      <c r="AE234" s="115">
        <f t="shared" si="84"/>
        <v>4</v>
      </c>
      <c r="AF234" s="115">
        <f t="shared" si="84"/>
        <v>4</v>
      </c>
      <c r="AG234" s="115">
        <f t="shared" si="84"/>
        <v>4</v>
      </c>
      <c r="AH234" s="115">
        <f t="shared" si="84"/>
        <v>4</v>
      </c>
      <c r="AI234" s="115">
        <f t="shared" si="84"/>
        <v>4</v>
      </c>
      <c r="AJ234" s="115">
        <f t="shared" si="84"/>
        <v>4</v>
      </c>
      <c r="AK234" s="115">
        <f t="shared" si="84"/>
        <v>4</v>
      </c>
      <c r="AL234" s="115">
        <f t="shared" si="84"/>
        <v>4</v>
      </c>
      <c r="AM234" s="115">
        <f t="shared" si="84"/>
        <v>4</v>
      </c>
      <c r="AN234" s="115">
        <f t="shared" si="84"/>
        <v>4</v>
      </c>
      <c r="AO234" s="115">
        <f t="shared" si="84"/>
        <v>4</v>
      </c>
      <c r="AP234" s="115">
        <f t="shared" si="84"/>
        <v>4</v>
      </c>
      <c r="AQ234" s="115">
        <f t="shared" si="84"/>
        <v>4</v>
      </c>
      <c r="AR234" s="115">
        <f t="shared" si="84"/>
        <v>4</v>
      </c>
      <c r="AS234" s="115">
        <f t="shared" ref="AS234:BH235" si="87">AR234</f>
        <v>4</v>
      </c>
      <c r="AT234" s="115">
        <f t="shared" si="87"/>
        <v>4</v>
      </c>
      <c r="AU234" s="115">
        <f t="shared" si="87"/>
        <v>4</v>
      </c>
      <c r="AV234" s="115">
        <f t="shared" si="87"/>
        <v>4</v>
      </c>
      <c r="AW234" s="115">
        <f t="shared" si="87"/>
        <v>4</v>
      </c>
      <c r="AX234" s="115">
        <f t="shared" si="87"/>
        <v>4</v>
      </c>
      <c r="AY234" s="115">
        <f t="shared" si="87"/>
        <v>4</v>
      </c>
      <c r="AZ234" s="115">
        <f t="shared" si="87"/>
        <v>4</v>
      </c>
      <c r="BA234" s="115">
        <f t="shared" si="87"/>
        <v>4</v>
      </c>
      <c r="BB234" s="115">
        <f t="shared" si="87"/>
        <v>4</v>
      </c>
      <c r="BC234" s="115">
        <f t="shared" si="87"/>
        <v>4</v>
      </c>
      <c r="BD234" s="115">
        <f t="shared" si="87"/>
        <v>4</v>
      </c>
      <c r="BE234" s="115">
        <f t="shared" si="87"/>
        <v>4</v>
      </c>
      <c r="BF234" s="115">
        <f t="shared" si="87"/>
        <v>4</v>
      </c>
      <c r="BG234" s="115">
        <f t="shared" si="87"/>
        <v>4</v>
      </c>
      <c r="BH234" s="115">
        <f t="shared" si="87"/>
        <v>4</v>
      </c>
      <c r="BI234" s="115">
        <f t="shared" si="85"/>
        <v>4</v>
      </c>
      <c r="BJ234" s="115">
        <f t="shared" si="86"/>
        <v>4</v>
      </c>
      <c r="BK234" s="115">
        <f t="shared" si="86"/>
        <v>4</v>
      </c>
      <c r="BL234" s="115">
        <f t="shared" si="86"/>
        <v>4</v>
      </c>
      <c r="BM234" s="115">
        <f t="shared" si="86"/>
        <v>4</v>
      </c>
    </row>
    <row r="235" spans="1:65" outlineLevel="1">
      <c r="A235" s="51"/>
      <c r="B235" s="51" t="s">
        <v>291</v>
      </c>
      <c r="C235" s="51"/>
      <c r="D235" s="51"/>
      <c r="E235" s="54"/>
      <c r="F235" s="112"/>
      <c r="G235" s="113"/>
      <c r="H235" s="113"/>
      <c r="I235" s="113"/>
      <c r="J235" s="113"/>
      <c r="K235" s="113"/>
      <c r="L235" s="113">
        <v>35</v>
      </c>
      <c r="M235" s="113">
        <f t="shared" si="83"/>
        <v>35</v>
      </c>
      <c r="N235" s="113">
        <f t="shared" si="83"/>
        <v>35</v>
      </c>
      <c r="O235" s="113">
        <f t="shared" si="83"/>
        <v>35</v>
      </c>
      <c r="P235" s="113">
        <f t="shared" si="83"/>
        <v>35</v>
      </c>
      <c r="Q235" s="113">
        <f t="shared" si="83"/>
        <v>35</v>
      </c>
      <c r="R235" s="113">
        <f t="shared" si="83"/>
        <v>35</v>
      </c>
      <c r="S235" s="113">
        <f t="shared" si="83"/>
        <v>35</v>
      </c>
      <c r="T235" s="113">
        <f t="shared" si="83"/>
        <v>35</v>
      </c>
      <c r="U235" s="113">
        <v>36.5</v>
      </c>
      <c r="V235" s="113">
        <f t="shared" si="83"/>
        <v>36.5</v>
      </c>
      <c r="W235" s="113">
        <f t="shared" si="83"/>
        <v>36.5</v>
      </c>
      <c r="X235" s="113">
        <f t="shared" si="83"/>
        <v>36.5</v>
      </c>
      <c r="Y235" s="113">
        <f t="shared" si="83"/>
        <v>36.5</v>
      </c>
      <c r="Z235" s="113">
        <f t="shared" si="83"/>
        <v>36.5</v>
      </c>
      <c r="AA235" s="113">
        <f t="shared" si="83"/>
        <v>36.5</v>
      </c>
      <c r="AB235" s="113">
        <f t="shared" si="83"/>
        <v>36.5</v>
      </c>
      <c r="AC235" s="113">
        <f t="shared" si="84"/>
        <v>36.5</v>
      </c>
      <c r="AD235" s="113">
        <f t="shared" si="84"/>
        <v>36.5</v>
      </c>
      <c r="AE235" s="113">
        <f t="shared" si="84"/>
        <v>36.5</v>
      </c>
      <c r="AF235" s="113">
        <f t="shared" si="84"/>
        <v>36.5</v>
      </c>
      <c r="AG235" s="113">
        <v>38</v>
      </c>
      <c r="AH235" s="113">
        <f t="shared" si="84"/>
        <v>38</v>
      </c>
      <c r="AI235" s="113">
        <f t="shared" si="84"/>
        <v>38</v>
      </c>
      <c r="AJ235" s="113">
        <f t="shared" si="84"/>
        <v>38</v>
      </c>
      <c r="AK235" s="113">
        <f t="shared" si="84"/>
        <v>38</v>
      </c>
      <c r="AL235" s="113">
        <f t="shared" si="84"/>
        <v>38</v>
      </c>
      <c r="AM235" s="113">
        <f t="shared" si="84"/>
        <v>38</v>
      </c>
      <c r="AN235" s="113">
        <f t="shared" si="84"/>
        <v>38</v>
      </c>
      <c r="AO235" s="113">
        <f t="shared" si="84"/>
        <v>38</v>
      </c>
      <c r="AP235" s="113">
        <f t="shared" si="84"/>
        <v>38</v>
      </c>
      <c r="AQ235" s="113">
        <f t="shared" si="84"/>
        <v>38</v>
      </c>
      <c r="AR235" s="113">
        <f t="shared" si="84"/>
        <v>38</v>
      </c>
      <c r="AS235" s="113">
        <v>39.5</v>
      </c>
      <c r="AT235" s="113">
        <f t="shared" si="87"/>
        <v>39.5</v>
      </c>
      <c r="AU235" s="113">
        <f t="shared" si="87"/>
        <v>39.5</v>
      </c>
      <c r="AV235" s="113">
        <f t="shared" si="87"/>
        <v>39.5</v>
      </c>
      <c r="AW235" s="113">
        <f t="shared" si="87"/>
        <v>39.5</v>
      </c>
      <c r="AX235" s="113">
        <f t="shared" si="87"/>
        <v>39.5</v>
      </c>
      <c r="AY235" s="113">
        <f t="shared" si="87"/>
        <v>39.5</v>
      </c>
      <c r="AZ235" s="113">
        <f t="shared" si="87"/>
        <v>39.5</v>
      </c>
      <c r="BA235" s="113">
        <f t="shared" si="87"/>
        <v>39.5</v>
      </c>
      <c r="BB235" s="113">
        <f t="shared" si="87"/>
        <v>39.5</v>
      </c>
      <c r="BC235" s="113">
        <f t="shared" si="87"/>
        <v>39.5</v>
      </c>
      <c r="BD235" s="113">
        <f t="shared" si="87"/>
        <v>39.5</v>
      </c>
      <c r="BE235" s="113">
        <v>41.1</v>
      </c>
      <c r="BF235" s="113">
        <f t="shared" si="87"/>
        <v>41.1</v>
      </c>
      <c r="BG235" s="113">
        <f t="shared" si="87"/>
        <v>41.1</v>
      </c>
      <c r="BH235" s="113">
        <f t="shared" si="87"/>
        <v>41.1</v>
      </c>
      <c r="BI235" s="113">
        <f t="shared" si="85"/>
        <v>41.1</v>
      </c>
      <c r="BJ235" s="113">
        <f t="shared" si="86"/>
        <v>41.1</v>
      </c>
      <c r="BK235" s="113">
        <f t="shared" si="86"/>
        <v>41.1</v>
      </c>
      <c r="BL235" s="113">
        <f t="shared" si="86"/>
        <v>41.1</v>
      </c>
      <c r="BM235" s="113">
        <f t="shared" si="86"/>
        <v>41.1</v>
      </c>
    </row>
    <row r="236" spans="1:65" outlineLevel="1">
      <c r="A236" s="51"/>
      <c r="B236" s="51" t="s">
        <v>290</v>
      </c>
      <c r="C236" s="51"/>
      <c r="D236" s="51"/>
      <c r="E236" s="54"/>
      <c r="F236" s="116"/>
      <c r="G236" s="115"/>
      <c r="H236" s="115"/>
      <c r="I236" s="115"/>
      <c r="J236" s="115"/>
      <c r="K236" s="115"/>
      <c r="L236" s="115">
        <v>1</v>
      </c>
      <c r="M236" s="115">
        <f t="shared" si="83"/>
        <v>1</v>
      </c>
      <c r="N236" s="115">
        <f t="shared" si="83"/>
        <v>1</v>
      </c>
      <c r="O236" s="115">
        <v>2</v>
      </c>
      <c r="P236" s="115">
        <v>4</v>
      </c>
      <c r="Q236" s="115">
        <f t="shared" si="83"/>
        <v>4</v>
      </c>
      <c r="R236" s="115">
        <v>8</v>
      </c>
      <c r="S236" s="115">
        <f t="shared" si="83"/>
        <v>8</v>
      </c>
      <c r="T236" s="115">
        <v>8</v>
      </c>
      <c r="U236" s="115">
        <f t="shared" si="83"/>
        <v>8</v>
      </c>
      <c r="V236" s="115">
        <v>10</v>
      </c>
      <c r="W236" s="115">
        <f t="shared" si="83"/>
        <v>10</v>
      </c>
      <c r="X236" s="115">
        <v>12</v>
      </c>
      <c r="Y236" s="115">
        <f t="shared" si="83"/>
        <v>12</v>
      </c>
      <c r="Z236" s="115">
        <f t="shared" si="83"/>
        <v>12</v>
      </c>
      <c r="AA236" s="115">
        <v>14</v>
      </c>
      <c r="AB236" s="115">
        <f t="shared" si="83"/>
        <v>14</v>
      </c>
      <c r="AC236" s="115">
        <f t="shared" si="84"/>
        <v>14</v>
      </c>
      <c r="AD236" s="115">
        <f t="shared" si="84"/>
        <v>14</v>
      </c>
      <c r="AE236" s="115">
        <f t="shared" si="84"/>
        <v>14</v>
      </c>
      <c r="AF236" s="115">
        <f t="shared" si="84"/>
        <v>14</v>
      </c>
      <c r="AG236" s="115">
        <f t="shared" si="84"/>
        <v>14</v>
      </c>
      <c r="AH236" s="115">
        <f t="shared" si="84"/>
        <v>14</v>
      </c>
      <c r="AI236" s="115">
        <f t="shared" si="84"/>
        <v>14</v>
      </c>
      <c r="AJ236" s="114">
        <v>14</v>
      </c>
      <c r="AK236" s="115">
        <f t="shared" si="84"/>
        <v>14</v>
      </c>
      <c r="AL236" s="115">
        <f t="shared" si="84"/>
        <v>14</v>
      </c>
      <c r="AM236" s="115">
        <v>14</v>
      </c>
      <c r="AN236" s="115">
        <f t="shared" si="84"/>
        <v>14</v>
      </c>
      <c r="AO236" s="115">
        <f t="shared" si="84"/>
        <v>14</v>
      </c>
      <c r="AP236" s="115">
        <f t="shared" si="84"/>
        <v>14</v>
      </c>
      <c r="AQ236" s="115">
        <f t="shared" si="84"/>
        <v>14</v>
      </c>
      <c r="AR236" s="115">
        <f t="shared" si="84"/>
        <v>14</v>
      </c>
      <c r="AS236" s="115">
        <f t="shared" ref="AS236:BH237" si="88">AR236</f>
        <v>14</v>
      </c>
      <c r="AT236" s="115">
        <f t="shared" si="88"/>
        <v>14</v>
      </c>
      <c r="AU236" s="115">
        <f t="shared" si="88"/>
        <v>14</v>
      </c>
      <c r="AV236" s="115">
        <f t="shared" si="88"/>
        <v>14</v>
      </c>
      <c r="AW236" s="115">
        <f t="shared" si="88"/>
        <v>14</v>
      </c>
      <c r="AX236" s="115">
        <f t="shared" si="88"/>
        <v>14</v>
      </c>
      <c r="AY236" s="115">
        <f t="shared" si="88"/>
        <v>14</v>
      </c>
      <c r="AZ236" s="115">
        <f t="shared" si="88"/>
        <v>14</v>
      </c>
      <c r="BA236" s="115">
        <f t="shared" si="88"/>
        <v>14</v>
      </c>
      <c r="BB236" s="115">
        <f t="shared" si="88"/>
        <v>14</v>
      </c>
      <c r="BC236" s="115">
        <f t="shared" si="88"/>
        <v>14</v>
      </c>
      <c r="BD236" s="115">
        <f t="shared" si="88"/>
        <v>14</v>
      </c>
      <c r="BE236" s="115">
        <f t="shared" si="88"/>
        <v>14</v>
      </c>
      <c r="BF236" s="115">
        <f t="shared" si="88"/>
        <v>14</v>
      </c>
      <c r="BG236" s="115">
        <f t="shared" si="88"/>
        <v>14</v>
      </c>
      <c r="BH236" s="115">
        <f t="shared" si="88"/>
        <v>14</v>
      </c>
      <c r="BI236" s="115">
        <f t="shared" si="85"/>
        <v>14</v>
      </c>
      <c r="BJ236" s="115">
        <f t="shared" si="86"/>
        <v>14</v>
      </c>
      <c r="BK236" s="115">
        <f t="shared" si="86"/>
        <v>14</v>
      </c>
      <c r="BL236" s="115">
        <f t="shared" si="86"/>
        <v>14</v>
      </c>
      <c r="BM236" s="115">
        <f t="shared" si="86"/>
        <v>14</v>
      </c>
    </row>
    <row r="237" spans="1:65" outlineLevel="1">
      <c r="A237" s="51"/>
      <c r="B237" s="51" t="s">
        <v>292</v>
      </c>
      <c r="C237" s="51"/>
      <c r="D237" s="51"/>
      <c r="E237" s="54"/>
      <c r="F237" s="112"/>
      <c r="G237" s="113"/>
      <c r="H237" s="113"/>
      <c r="I237" s="113"/>
      <c r="J237" s="113"/>
      <c r="K237" s="113"/>
      <c r="L237" s="113">
        <v>28</v>
      </c>
      <c r="M237" s="113">
        <f t="shared" si="83"/>
        <v>28</v>
      </c>
      <c r="N237" s="113">
        <f t="shared" si="83"/>
        <v>28</v>
      </c>
      <c r="O237" s="113">
        <f t="shared" si="83"/>
        <v>28</v>
      </c>
      <c r="P237" s="113">
        <f t="shared" si="83"/>
        <v>28</v>
      </c>
      <c r="Q237" s="113">
        <f t="shared" si="83"/>
        <v>28</v>
      </c>
      <c r="R237" s="113">
        <f t="shared" si="83"/>
        <v>28</v>
      </c>
      <c r="S237" s="113">
        <f t="shared" si="83"/>
        <v>28</v>
      </c>
      <c r="T237" s="113">
        <f t="shared" si="83"/>
        <v>28</v>
      </c>
      <c r="U237" s="113">
        <v>29.12</v>
      </c>
      <c r="V237" s="113">
        <f t="shared" si="83"/>
        <v>29.12</v>
      </c>
      <c r="W237" s="113">
        <f t="shared" si="83"/>
        <v>29.12</v>
      </c>
      <c r="X237" s="113">
        <f t="shared" si="83"/>
        <v>29.12</v>
      </c>
      <c r="Y237" s="113">
        <f t="shared" si="83"/>
        <v>29.12</v>
      </c>
      <c r="Z237" s="113">
        <f t="shared" si="83"/>
        <v>29.12</v>
      </c>
      <c r="AA237" s="113">
        <f t="shared" si="83"/>
        <v>29.12</v>
      </c>
      <c r="AB237" s="113">
        <f t="shared" si="83"/>
        <v>29.12</v>
      </c>
      <c r="AC237" s="113">
        <f t="shared" si="84"/>
        <v>29.12</v>
      </c>
      <c r="AD237" s="113">
        <f t="shared" si="84"/>
        <v>29.12</v>
      </c>
      <c r="AE237" s="113">
        <f t="shared" si="84"/>
        <v>29.12</v>
      </c>
      <c r="AF237" s="113">
        <f t="shared" si="84"/>
        <v>29.12</v>
      </c>
      <c r="AG237" s="113">
        <v>30.28</v>
      </c>
      <c r="AH237" s="113">
        <f t="shared" si="84"/>
        <v>30.28</v>
      </c>
      <c r="AI237" s="113">
        <f t="shared" si="84"/>
        <v>30.28</v>
      </c>
      <c r="AJ237" s="113">
        <f t="shared" si="84"/>
        <v>30.28</v>
      </c>
      <c r="AK237" s="113">
        <f t="shared" si="84"/>
        <v>30.28</v>
      </c>
      <c r="AL237" s="113">
        <f t="shared" si="84"/>
        <v>30.28</v>
      </c>
      <c r="AM237" s="113">
        <f t="shared" si="84"/>
        <v>30.28</v>
      </c>
      <c r="AN237" s="113">
        <f t="shared" si="84"/>
        <v>30.28</v>
      </c>
      <c r="AO237" s="113">
        <f t="shared" si="84"/>
        <v>30.28</v>
      </c>
      <c r="AP237" s="113">
        <f t="shared" si="84"/>
        <v>30.28</v>
      </c>
      <c r="AQ237" s="113">
        <f t="shared" si="84"/>
        <v>30.28</v>
      </c>
      <c r="AR237" s="113">
        <f t="shared" si="84"/>
        <v>30.28</v>
      </c>
      <c r="AS237" s="113">
        <v>31.5</v>
      </c>
      <c r="AT237" s="113">
        <f t="shared" si="88"/>
        <v>31.5</v>
      </c>
      <c r="AU237" s="113">
        <f t="shared" si="88"/>
        <v>31.5</v>
      </c>
      <c r="AV237" s="113">
        <f t="shared" si="88"/>
        <v>31.5</v>
      </c>
      <c r="AW237" s="113">
        <f t="shared" si="88"/>
        <v>31.5</v>
      </c>
      <c r="AX237" s="113">
        <f t="shared" si="88"/>
        <v>31.5</v>
      </c>
      <c r="AY237" s="113">
        <f t="shared" si="88"/>
        <v>31.5</v>
      </c>
      <c r="AZ237" s="113">
        <f t="shared" si="88"/>
        <v>31.5</v>
      </c>
      <c r="BA237" s="113">
        <f t="shared" si="88"/>
        <v>31.5</v>
      </c>
      <c r="BB237" s="113">
        <f t="shared" si="88"/>
        <v>31.5</v>
      </c>
      <c r="BC237" s="113">
        <f t="shared" si="88"/>
        <v>31.5</v>
      </c>
      <c r="BD237" s="113">
        <f t="shared" si="88"/>
        <v>31.5</v>
      </c>
      <c r="BE237" s="113">
        <v>32.75</v>
      </c>
      <c r="BF237" s="113">
        <f t="shared" si="88"/>
        <v>32.75</v>
      </c>
      <c r="BG237" s="113">
        <f t="shared" si="88"/>
        <v>32.75</v>
      </c>
      <c r="BH237" s="113">
        <f t="shared" si="88"/>
        <v>32.75</v>
      </c>
      <c r="BI237" s="113">
        <f t="shared" si="85"/>
        <v>32.75</v>
      </c>
      <c r="BJ237" s="113">
        <f t="shared" si="86"/>
        <v>32.75</v>
      </c>
      <c r="BK237" s="113">
        <f t="shared" si="86"/>
        <v>32.75</v>
      </c>
      <c r="BL237" s="113">
        <f t="shared" si="86"/>
        <v>32.75</v>
      </c>
      <c r="BM237" s="113">
        <f t="shared" si="86"/>
        <v>32.75</v>
      </c>
    </row>
    <row r="238" spans="1:65" outlineLevel="1">
      <c r="A238" s="51"/>
      <c r="B238" s="51" t="s">
        <v>290</v>
      </c>
      <c r="C238" s="51"/>
      <c r="D238" s="51"/>
      <c r="E238" s="54"/>
      <c r="F238" s="114"/>
      <c r="G238" s="115"/>
      <c r="H238" s="115"/>
      <c r="I238" s="115"/>
      <c r="J238" s="115"/>
      <c r="K238" s="115"/>
      <c r="L238" s="115">
        <v>1</v>
      </c>
      <c r="M238" s="115">
        <f t="shared" si="83"/>
        <v>1</v>
      </c>
      <c r="N238" s="115">
        <f t="shared" si="83"/>
        <v>1</v>
      </c>
      <c r="O238" s="115">
        <v>2</v>
      </c>
      <c r="P238" s="115">
        <v>4</v>
      </c>
      <c r="Q238" s="115">
        <f t="shared" si="83"/>
        <v>4</v>
      </c>
      <c r="R238" s="115">
        <v>8</v>
      </c>
      <c r="S238" s="115">
        <v>8</v>
      </c>
      <c r="T238" s="115">
        <v>8</v>
      </c>
      <c r="U238" s="115">
        <v>10</v>
      </c>
      <c r="V238" s="115">
        <v>10</v>
      </c>
      <c r="W238" s="115">
        <v>12</v>
      </c>
      <c r="X238" s="115">
        <v>12</v>
      </c>
      <c r="Y238" s="115">
        <v>14</v>
      </c>
      <c r="Z238" s="115">
        <v>16</v>
      </c>
      <c r="AA238" s="115">
        <v>16</v>
      </c>
      <c r="AB238" s="115">
        <f t="shared" si="83"/>
        <v>16</v>
      </c>
      <c r="AC238" s="115">
        <f t="shared" si="84"/>
        <v>16</v>
      </c>
      <c r="AD238" s="115">
        <v>18</v>
      </c>
      <c r="AE238" s="115">
        <f t="shared" si="84"/>
        <v>18</v>
      </c>
      <c r="AF238" s="115">
        <f t="shared" si="84"/>
        <v>18</v>
      </c>
      <c r="AG238" s="115">
        <f t="shared" si="84"/>
        <v>18</v>
      </c>
      <c r="AH238" s="115">
        <f t="shared" si="84"/>
        <v>18</v>
      </c>
      <c r="AI238" s="115">
        <f t="shared" si="84"/>
        <v>18</v>
      </c>
      <c r="AJ238" s="114">
        <v>14</v>
      </c>
      <c r="AK238" s="115">
        <f t="shared" si="84"/>
        <v>14</v>
      </c>
      <c r="AL238" s="115">
        <f t="shared" si="84"/>
        <v>14</v>
      </c>
      <c r="AM238" s="115">
        <v>14</v>
      </c>
      <c r="AN238" s="115">
        <f t="shared" si="84"/>
        <v>14</v>
      </c>
      <c r="AO238" s="115">
        <f t="shared" si="84"/>
        <v>14</v>
      </c>
      <c r="AP238" s="115">
        <f t="shared" si="84"/>
        <v>14</v>
      </c>
      <c r="AQ238" s="115">
        <f t="shared" si="84"/>
        <v>14</v>
      </c>
      <c r="AR238" s="115">
        <f t="shared" si="84"/>
        <v>14</v>
      </c>
      <c r="AS238" s="115">
        <f t="shared" ref="AS238:BH239" si="89">AR238</f>
        <v>14</v>
      </c>
      <c r="AT238" s="115">
        <f t="shared" si="89"/>
        <v>14</v>
      </c>
      <c r="AU238" s="115">
        <f t="shared" si="89"/>
        <v>14</v>
      </c>
      <c r="AV238" s="115">
        <f t="shared" si="89"/>
        <v>14</v>
      </c>
      <c r="AW238" s="115">
        <f t="shared" si="89"/>
        <v>14</v>
      </c>
      <c r="AX238" s="115">
        <f t="shared" si="89"/>
        <v>14</v>
      </c>
      <c r="AY238" s="115">
        <f t="shared" si="89"/>
        <v>14</v>
      </c>
      <c r="AZ238" s="115">
        <f t="shared" si="89"/>
        <v>14</v>
      </c>
      <c r="BA238" s="115">
        <f t="shared" si="89"/>
        <v>14</v>
      </c>
      <c r="BB238" s="115">
        <f t="shared" si="89"/>
        <v>14</v>
      </c>
      <c r="BC238" s="115">
        <f t="shared" si="89"/>
        <v>14</v>
      </c>
      <c r="BD238" s="115">
        <f t="shared" si="89"/>
        <v>14</v>
      </c>
      <c r="BE238" s="115">
        <f t="shared" si="89"/>
        <v>14</v>
      </c>
      <c r="BF238" s="115">
        <v>18</v>
      </c>
      <c r="BG238" s="115">
        <f t="shared" si="89"/>
        <v>18</v>
      </c>
      <c r="BH238" s="115">
        <f t="shared" si="89"/>
        <v>18</v>
      </c>
      <c r="BI238" s="115">
        <f t="shared" si="85"/>
        <v>18</v>
      </c>
      <c r="BJ238" s="115">
        <f t="shared" si="86"/>
        <v>18</v>
      </c>
      <c r="BK238" s="115">
        <f t="shared" si="86"/>
        <v>18</v>
      </c>
      <c r="BL238" s="115">
        <f t="shared" si="86"/>
        <v>18</v>
      </c>
      <c r="BM238" s="115">
        <f t="shared" si="86"/>
        <v>18</v>
      </c>
    </row>
    <row r="239" spans="1:65" outlineLevel="1">
      <c r="A239" s="51"/>
      <c r="B239" s="51" t="s">
        <v>293</v>
      </c>
      <c r="C239" s="51"/>
      <c r="D239" s="51"/>
      <c r="E239" s="54"/>
      <c r="F239" s="112"/>
      <c r="G239" s="113"/>
      <c r="H239" s="113"/>
      <c r="I239" s="113"/>
      <c r="J239" s="113"/>
      <c r="K239" s="113"/>
      <c r="L239" s="113">
        <v>25</v>
      </c>
      <c r="M239" s="113">
        <f t="shared" si="83"/>
        <v>25</v>
      </c>
      <c r="N239" s="113">
        <f t="shared" si="83"/>
        <v>25</v>
      </c>
      <c r="O239" s="113">
        <f t="shared" si="83"/>
        <v>25</v>
      </c>
      <c r="P239" s="113">
        <f t="shared" si="83"/>
        <v>25</v>
      </c>
      <c r="Q239" s="113">
        <f t="shared" si="83"/>
        <v>25</v>
      </c>
      <c r="R239" s="113">
        <f t="shared" si="83"/>
        <v>25</v>
      </c>
      <c r="S239" s="113">
        <f t="shared" si="83"/>
        <v>25</v>
      </c>
      <c r="T239" s="113">
        <f t="shared" si="83"/>
        <v>25</v>
      </c>
      <c r="U239" s="113">
        <v>26</v>
      </c>
      <c r="V239" s="113">
        <f t="shared" si="83"/>
        <v>26</v>
      </c>
      <c r="W239" s="113">
        <f t="shared" si="83"/>
        <v>26</v>
      </c>
      <c r="X239" s="113">
        <f t="shared" si="83"/>
        <v>26</v>
      </c>
      <c r="Y239" s="113">
        <f t="shared" si="83"/>
        <v>26</v>
      </c>
      <c r="Z239" s="113">
        <f t="shared" si="83"/>
        <v>26</v>
      </c>
      <c r="AA239" s="113">
        <f t="shared" si="83"/>
        <v>26</v>
      </c>
      <c r="AB239" s="113">
        <f t="shared" si="83"/>
        <v>26</v>
      </c>
      <c r="AC239" s="113">
        <f t="shared" si="84"/>
        <v>26</v>
      </c>
      <c r="AD239" s="113">
        <f t="shared" si="84"/>
        <v>26</v>
      </c>
      <c r="AE239" s="113">
        <f t="shared" si="84"/>
        <v>26</v>
      </c>
      <c r="AF239" s="113">
        <f t="shared" si="84"/>
        <v>26</v>
      </c>
      <c r="AG239" s="113">
        <v>27.04</v>
      </c>
      <c r="AH239" s="113">
        <f t="shared" si="84"/>
        <v>27.04</v>
      </c>
      <c r="AI239" s="113">
        <f t="shared" si="84"/>
        <v>27.04</v>
      </c>
      <c r="AJ239" s="113">
        <f t="shared" si="84"/>
        <v>27.04</v>
      </c>
      <c r="AK239" s="113">
        <f t="shared" si="84"/>
        <v>27.04</v>
      </c>
      <c r="AL239" s="113">
        <f t="shared" si="84"/>
        <v>27.04</v>
      </c>
      <c r="AM239" s="113">
        <f t="shared" si="84"/>
        <v>27.04</v>
      </c>
      <c r="AN239" s="113">
        <f t="shared" si="84"/>
        <v>27.04</v>
      </c>
      <c r="AO239" s="113">
        <f t="shared" si="84"/>
        <v>27.04</v>
      </c>
      <c r="AP239" s="113">
        <f t="shared" si="84"/>
        <v>27.04</v>
      </c>
      <c r="AQ239" s="113">
        <f t="shared" si="84"/>
        <v>27.04</v>
      </c>
      <c r="AR239" s="113">
        <f t="shared" si="84"/>
        <v>27.04</v>
      </c>
      <c r="AS239" s="113">
        <v>28.12</v>
      </c>
      <c r="AT239" s="113">
        <f t="shared" si="89"/>
        <v>28.12</v>
      </c>
      <c r="AU239" s="113">
        <f t="shared" si="89"/>
        <v>28.12</v>
      </c>
      <c r="AV239" s="113">
        <f t="shared" si="89"/>
        <v>28.12</v>
      </c>
      <c r="AW239" s="113">
        <f t="shared" si="89"/>
        <v>28.12</v>
      </c>
      <c r="AX239" s="113">
        <f t="shared" si="89"/>
        <v>28.12</v>
      </c>
      <c r="AY239" s="113">
        <f t="shared" si="89"/>
        <v>28.12</v>
      </c>
      <c r="AZ239" s="113">
        <f t="shared" si="89"/>
        <v>28.12</v>
      </c>
      <c r="BA239" s="113">
        <f t="shared" si="89"/>
        <v>28.12</v>
      </c>
      <c r="BB239" s="113">
        <f t="shared" si="89"/>
        <v>28.12</v>
      </c>
      <c r="BC239" s="113">
        <f t="shared" si="89"/>
        <v>28.12</v>
      </c>
      <c r="BD239" s="113">
        <f t="shared" si="89"/>
        <v>28.12</v>
      </c>
      <c r="BE239" s="113">
        <v>29.25</v>
      </c>
      <c r="BF239" s="113">
        <f t="shared" si="89"/>
        <v>29.25</v>
      </c>
      <c r="BG239" s="113">
        <f t="shared" si="89"/>
        <v>29.25</v>
      </c>
      <c r="BH239" s="113">
        <f t="shared" si="89"/>
        <v>29.25</v>
      </c>
      <c r="BI239" s="113">
        <f t="shared" si="85"/>
        <v>29.25</v>
      </c>
      <c r="BJ239" s="113">
        <f t="shared" si="86"/>
        <v>29.25</v>
      </c>
      <c r="BK239" s="113">
        <f t="shared" si="86"/>
        <v>29.25</v>
      </c>
      <c r="BL239" s="113">
        <f t="shared" si="86"/>
        <v>29.25</v>
      </c>
      <c r="BM239" s="113">
        <f t="shared" si="86"/>
        <v>29.25</v>
      </c>
    </row>
    <row r="240" spans="1:65" outlineLevel="1">
      <c r="A240" s="51"/>
      <c r="B240" s="51" t="s">
        <v>290</v>
      </c>
      <c r="C240" s="51"/>
      <c r="D240" s="51"/>
      <c r="E240" s="54"/>
      <c r="F240" s="117"/>
      <c r="G240" s="115"/>
      <c r="H240" s="115"/>
      <c r="I240" s="115"/>
      <c r="J240" s="115"/>
      <c r="K240" s="115"/>
      <c r="L240" s="115">
        <v>1</v>
      </c>
      <c r="M240" s="115">
        <f t="shared" si="83"/>
        <v>1</v>
      </c>
      <c r="N240" s="115">
        <f t="shared" si="83"/>
        <v>1</v>
      </c>
      <c r="O240" s="115">
        <v>2</v>
      </c>
      <c r="P240" s="115">
        <v>4</v>
      </c>
      <c r="Q240" s="115">
        <f t="shared" si="83"/>
        <v>4</v>
      </c>
      <c r="R240" s="115">
        <v>12</v>
      </c>
      <c r="S240" s="115">
        <f t="shared" si="83"/>
        <v>12</v>
      </c>
      <c r="T240" s="115">
        <v>12</v>
      </c>
      <c r="U240" s="115">
        <f t="shared" si="83"/>
        <v>12</v>
      </c>
      <c r="V240" s="115">
        <v>14</v>
      </c>
      <c r="W240" s="115">
        <f t="shared" si="83"/>
        <v>14</v>
      </c>
      <c r="X240" s="115">
        <v>16</v>
      </c>
      <c r="Y240" s="115">
        <f t="shared" si="83"/>
        <v>16</v>
      </c>
      <c r="Z240" s="115">
        <f t="shared" si="83"/>
        <v>16</v>
      </c>
      <c r="AA240" s="115">
        <v>20</v>
      </c>
      <c r="AB240" s="115">
        <f t="shared" si="83"/>
        <v>20</v>
      </c>
      <c r="AC240" s="115">
        <f t="shared" si="84"/>
        <v>20</v>
      </c>
      <c r="AD240" s="115">
        <f t="shared" si="84"/>
        <v>20</v>
      </c>
      <c r="AE240" s="115">
        <f t="shared" si="84"/>
        <v>20</v>
      </c>
      <c r="AF240" s="115">
        <f t="shared" si="84"/>
        <v>20</v>
      </c>
      <c r="AG240" s="115">
        <f t="shared" si="84"/>
        <v>20</v>
      </c>
      <c r="AH240" s="115">
        <f t="shared" si="84"/>
        <v>20</v>
      </c>
      <c r="AI240" s="115">
        <f t="shared" si="84"/>
        <v>20</v>
      </c>
      <c r="AJ240" s="114">
        <v>20</v>
      </c>
      <c r="AK240" s="115">
        <f t="shared" si="84"/>
        <v>20</v>
      </c>
      <c r="AL240" s="115">
        <f t="shared" si="84"/>
        <v>20</v>
      </c>
      <c r="AM240" s="115">
        <v>20</v>
      </c>
      <c r="AN240" s="115">
        <f t="shared" si="84"/>
        <v>20</v>
      </c>
      <c r="AO240" s="115">
        <f t="shared" si="84"/>
        <v>20</v>
      </c>
      <c r="AP240" s="115">
        <f t="shared" si="84"/>
        <v>20</v>
      </c>
      <c r="AQ240" s="115">
        <f t="shared" si="84"/>
        <v>20</v>
      </c>
      <c r="AR240" s="115">
        <f t="shared" si="84"/>
        <v>20</v>
      </c>
      <c r="AS240" s="115">
        <f t="shared" ref="AS240:BM240" si="90">AR240</f>
        <v>20</v>
      </c>
      <c r="AT240" s="115">
        <f t="shared" si="90"/>
        <v>20</v>
      </c>
      <c r="AU240" s="115">
        <f t="shared" si="90"/>
        <v>20</v>
      </c>
      <c r="AV240" s="115">
        <f t="shared" si="90"/>
        <v>20</v>
      </c>
      <c r="AW240" s="115">
        <f t="shared" si="90"/>
        <v>20</v>
      </c>
      <c r="AX240" s="115">
        <f t="shared" si="90"/>
        <v>20</v>
      </c>
      <c r="AY240" s="115">
        <f t="shared" si="90"/>
        <v>20</v>
      </c>
      <c r="AZ240" s="115">
        <f t="shared" si="90"/>
        <v>20</v>
      </c>
      <c r="BA240" s="115">
        <f t="shared" si="90"/>
        <v>20</v>
      </c>
      <c r="BB240" s="115">
        <f t="shared" si="90"/>
        <v>20</v>
      </c>
      <c r="BC240" s="115">
        <f t="shared" si="90"/>
        <v>20</v>
      </c>
      <c r="BD240" s="115">
        <f t="shared" si="90"/>
        <v>20</v>
      </c>
      <c r="BE240" s="115">
        <f t="shared" si="90"/>
        <v>20</v>
      </c>
      <c r="BF240" s="115">
        <f t="shared" si="90"/>
        <v>20</v>
      </c>
      <c r="BG240" s="115">
        <f t="shared" si="90"/>
        <v>20</v>
      </c>
      <c r="BH240" s="115">
        <f t="shared" si="90"/>
        <v>20</v>
      </c>
      <c r="BI240" s="115">
        <f t="shared" si="90"/>
        <v>20</v>
      </c>
      <c r="BJ240" s="115">
        <f t="shared" si="90"/>
        <v>20</v>
      </c>
      <c r="BK240" s="115">
        <f t="shared" si="90"/>
        <v>20</v>
      </c>
      <c r="BL240" s="115">
        <f t="shared" si="90"/>
        <v>20</v>
      </c>
      <c r="BM240" s="115">
        <f t="shared" si="90"/>
        <v>20</v>
      </c>
    </row>
    <row r="241" spans="1:65" outlineLevel="1">
      <c r="A241" s="3" t="s">
        <v>294</v>
      </c>
      <c r="B241" s="51"/>
      <c r="C241" s="51"/>
      <c r="D241" s="51"/>
      <c r="E241" s="54"/>
      <c r="F241" s="117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  <c r="AH241" s="118"/>
      <c r="AI241" s="118"/>
      <c r="AJ241" s="118"/>
      <c r="AK241" s="118"/>
      <c r="AL241" s="118"/>
      <c r="AM241" s="118"/>
      <c r="AN241" s="118"/>
      <c r="AO241" s="118"/>
      <c r="AP241" s="118"/>
      <c r="AQ241" s="118"/>
      <c r="AR241" s="118"/>
      <c r="AS241" s="118"/>
      <c r="AT241" s="118"/>
      <c r="AU241" s="118"/>
      <c r="AV241" s="118"/>
      <c r="AW241" s="118"/>
      <c r="AX241" s="118"/>
      <c r="AY241" s="118"/>
      <c r="AZ241" s="118"/>
      <c r="BA241" s="118"/>
      <c r="BB241" s="118"/>
      <c r="BC241" s="118"/>
      <c r="BD241" s="118"/>
      <c r="BE241" s="118"/>
      <c r="BF241" s="118"/>
      <c r="BG241" s="118"/>
      <c r="BH241" s="118"/>
      <c r="BI241" s="118"/>
      <c r="BJ241" s="118"/>
      <c r="BK241" s="118"/>
      <c r="BL241" s="118"/>
      <c r="BM241" s="118"/>
    </row>
    <row r="242" spans="1:65" outlineLevel="1">
      <c r="A242" s="51"/>
      <c r="B242" s="51" t="s">
        <v>289</v>
      </c>
      <c r="C242" s="51"/>
      <c r="D242" s="51"/>
      <c r="E242" s="54"/>
      <c r="F242" s="112"/>
      <c r="G242" s="113"/>
      <c r="H242" s="113"/>
      <c r="I242" s="113"/>
      <c r="J242" s="113"/>
      <c r="K242" s="113"/>
      <c r="L242" s="113">
        <v>45</v>
      </c>
      <c r="M242" s="113">
        <f t="shared" ref="M242:AB249" si="91">L242</f>
        <v>45</v>
      </c>
      <c r="N242" s="113">
        <f t="shared" si="91"/>
        <v>45</v>
      </c>
      <c r="O242" s="113">
        <f t="shared" si="91"/>
        <v>45</v>
      </c>
      <c r="P242" s="113">
        <f t="shared" si="91"/>
        <v>45</v>
      </c>
      <c r="Q242" s="113">
        <f t="shared" si="91"/>
        <v>45</v>
      </c>
      <c r="R242" s="113">
        <f t="shared" si="91"/>
        <v>45</v>
      </c>
      <c r="S242" s="113">
        <f t="shared" si="91"/>
        <v>45</v>
      </c>
      <c r="T242" s="113">
        <f t="shared" si="91"/>
        <v>45</v>
      </c>
      <c r="U242" s="113">
        <v>47</v>
      </c>
      <c r="V242" s="113">
        <f t="shared" si="91"/>
        <v>47</v>
      </c>
      <c r="W242" s="113">
        <f t="shared" si="91"/>
        <v>47</v>
      </c>
      <c r="X242" s="113">
        <f t="shared" si="91"/>
        <v>47</v>
      </c>
      <c r="Y242" s="113">
        <f t="shared" si="91"/>
        <v>47</v>
      </c>
      <c r="Z242" s="113">
        <f t="shared" si="91"/>
        <v>47</v>
      </c>
      <c r="AA242" s="113">
        <f t="shared" si="91"/>
        <v>47</v>
      </c>
      <c r="AB242" s="113">
        <f t="shared" si="91"/>
        <v>47</v>
      </c>
      <c r="AC242" s="113">
        <f t="shared" ref="AC242:AR249" si="92">AB242</f>
        <v>47</v>
      </c>
      <c r="AD242" s="113">
        <f t="shared" si="92"/>
        <v>47</v>
      </c>
      <c r="AE242" s="113">
        <f t="shared" si="92"/>
        <v>47</v>
      </c>
      <c r="AF242" s="113">
        <f t="shared" si="92"/>
        <v>47</v>
      </c>
      <c r="AG242" s="113">
        <v>49</v>
      </c>
      <c r="AH242" s="113">
        <f t="shared" si="92"/>
        <v>49</v>
      </c>
      <c r="AI242" s="113">
        <f t="shared" si="92"/>
        <v>49</v>
      </c>
      <c r="AJ242" s="113">
        <f t="shared" si="92"/>
        <v>49</v>
      </c>
      <c r="AK242" s="113">
        <f t="shared" si="92"/>
        <v>49</v>
      </c>
      <c r="AL242" s="113">
        <f t="shared" si="92"/>
        <v>49</v>
      </c>
      <c r="AM242" s="113">
        <f t="shared" si="92"/>
        <v>49</v>
      </c>
      <c r="AN242" s="113">
        <f t="shared" si="92"/>
        <v>49</v>
      </c>
      <c r="AO242" s="113">
        <f t="shared" si="92"/>
        <v>49</v>
      </c>
      <c r="AP242" s="113">
        <f t="shared" si="92"/>
        <v>49</v>
      </c>
      <c r="AQ242" s="113">
        <f t="shared" si="92"/>
        <v>49</v>
      </c>
      <c r="AR242" s="113">
        <f t="shared" si="92"/>
        <v>49</v>
      </c>
      <c r="AS242" s="113">
        <v>51</v>
      </c>
      <c r="AT242" s="113">
        <f t="shared" ref="AT242:BI248" si="93">AS242</f>
        <v>51</v>
      </c>
      <c r="AU242" s="113">
        <f t="shared" si="93"/>
        <v>51</v>
      </c>
      <c r="AV242" s="113">
        <f t="shared" si="93"/>
        <v>51</v>
      </c>
      <c r="AW242" s="113">
        <f t="shared" si="93"/>
        <v>51</v>
      </c>
      <c r="AX242" s="113">
        <f t="shared" si="93"/>
        <v>51</v>
      </c>
      <c r="AY242" s="113">
        <f t="shared" si="93"/>
        <v>51</v>
      </c>
      <c r="AZ242" s="113">
        <f t="shared" si="93"/>
        <v>51</v>
      </c>
      <c r="BA242" s="113">
        <f t="shared" si="93"/>
        <v>51</v>
      </c>
      <c r="BB242" s="113">
        <f t="shared" si="93"/>
        <v>51</v>
      </c>
      <c r="BC242" s="113">
        <f t="shared" si="93"/>
        <v>51</v>
      </c>
      <c r="BD242" s="113">
        <f t="shared" si="93"/>
        <v>51</v>
      </c>
      <c r="BE242" s="113">
        <v>53</v>
      </c>
      <c r="BF242" s="113">
        <f t="shared" si="93"/>
        <v>53</v>
      </c>
      <c r="BG242" s="113">
        <f t="shared" si="93"/>
        <v>53</v>
      </c>
      <c r="BH242" s="113">
        <f t="shared" si="93"/>
        <v>53</v>
      </c>
      <c r="BI242" s="113">
        <f t="shared" si="93"/>
        <v>53</v>
      </c>
      <c r="BJ242" s="113">
        <f t="shared" ref="BJ242:BM248" si="94">BI242</f>
        <v>53</v>
      </c>
      <c r="BK242" s="113">
        <f t="shared" si="94"/>
        <v>53</v>
      </c>
      <c r="BL242" s="113">
        <f t="shared" si="94"/>
        <v>53</v>
      </c>
      <c r="BM242" s="113">
        <f t="shared" si="94"/>
        <v>53</v>
      </c>
    </row>
    <row r="243" spans="1:65" outlineLevel="1">
      <c r="A243" s="51"/>
      <c r="B243" s="51" t="s">
        <v>290</v>
      </c>
      <c r="C243" s="51"/>
      <c r="D243" s="51"/>
      <c r="E243" s="54"/>
      <c r="F243" s="114"/>
      <c r="G243" s="115"/>
      <c r="H243" s="115"/>
      <c r="I243" s="115"/>
      <c r="J243" s="115"/>
      <c r="K243" s="115"/>
      <c r="L243" s="115">
        <v>1</v>
      </c>
      <c r="M243" s="115">
        <f t="shared" si="91"/>
        <v>1</v>
      </c>
      <c r="N243" s="115">
        <f t="shared" si="91"/>
        <v>1</v>
      </c>
      <c r="O243" s="115">
        <v>1</v>
      </c>
      <c r="P243" s="115">
        <v>2</v>
      </c>
      <c r="Q243" s="115">
        <f t="shared" si="91"/>
        <v>2</v>
      </c>
      <c r="R243" s="115">
        <f t="shared" si="91"/>
        <v>2</v>
      </c>
      <c r="S243" s="115">
        <f t="shared" si="91"/>
        <v>2</v>
      </c>
      <c r="T243" s="115">
        <f t="shared" si="91"/>
        <v>2</v>
      </c>
      <c r="U243" s="115">
        <f t="shared" si="91"/>
        <v>2</v>
      </c>
      <c r="V243" s="115">
        <v>4</v>
      </c>
      <c r="W243" s="115">
        <f t="shared" si="91"/>
        <v>4</v>
      </c>
      <c r="X243" s="115">
        <f t="shared" si="91"/>
        <v>4</v>
      </c>
      <c r="Y243" s="115">
        <f t="shared" si="91"/>
        <v>4</v>
      </c>
      <c r="Z243" s="115">
        <f t="shared" si="91"/>
        <v>4</v>
      </c>
      <c r="AA243" s="115">
        <f t="shared" si="91"/>
        <v>4</v>
      </c>
      <c r="AB243" s="115">
        <f t="shared" si="91"/>
        <v>4</v>
      </c>
      <c r="AC243" s="115">
        <f t="shared" si="92"/>
        <v>4</v>
      </c>
      <c r="AD243" s="115">
        <f t="shared" si="92"/>
        <v>4</v>
      </c>
      <c r="AE243" s="115">
        <f t="shared" si="92"/>
        <v>4</v>
      </c>
      <c r="AF243" s="115">
        <f t="shared" si="92"/>
        <v>4</v>
      </c>
      <c r="AG243" s="115">
        <f t="shared" si="92"/>
        <v>4</v>
      </c>
      <c r="AH243" s="115">
        <f t="shared" si="92"/>
        <v>4</v>
      </c>
      <c r="AI243" s="115">
        <f t="shared" si="92"/>
        <v>4</v>
      </c>
      <c r="AJ243" s="115">
        <f t="shared" si="92"/>
        <v>4</v>
      </c>
      <c r="AK243" s="115">
        <f t="shared" si="92"/>
        <v>4</v>
      </c>
      <c r="AL243" s="115">
        <f t="shared" si="92"/>
        <v>4</v>
      </c>
      <c r="AM243" s="115">
        <f t="shared" si="92"/>
        <v>4</v>
      </c>
      <c r="AN243" s="115">
        <f t="shared" si="92"/>
        <v>4</v>
      </c>
      <c r="AO243" s="115">
        <f t="shared" si="92"/>
        <v>4</v>
      </c>
      <c r="AP243" s="115">
        <f t="shared" si="92"/>
        <v>4</v>
      </c>
      <c r="AQ243" s="115">
        <f t="shared" si="92"/>
        <v>4</v>
      </c>
      <c r="AR243" s="115">
        <f t="shared" si="92"/>
        <v>4</v>
      </c>
      <c r="AS243" s="115">
        <f t="shared" ref="AS243:BH244" si="95">AR243</f>
        <v>4</v>
      </c>
      <c r="AT243" s="115">
        <f t="shared" si="95"/>
        <v>4</v>
      </c>
      <c r="AU243" s="115">
        <f t="shared" si="95"/>
        <v>4</v>
      </c>
      <c r="AV243" s="115">
        <f t="shared" si="95"/>
        <v>4</v>
      </c>
      <c r="AW243" s="115">
        <f t="shared" si="95"/>
        <v>4</v>
      </c>
      <c r="AX243" s="115">
        <f t="shared" si="95"/>
        <v>4</v>
      </c>
      <c r="AY243" s="115">
        <f t="shared" si="95"/>
        <v>4</v>
      </c>
      <c r="AZ243" s="115">
        <f t="shared" si="95"/>
        <v>4</v>
      </c>
      <c r="BA243" s="115">
        <f t="shared" si="95"/>
        <v>4</v>
      </c>
      <c r="BB243" s="115">
        <f t="shared" si="95"/>
        <v>4</v>
      </c>
      <c r="BC243" s="115">
        <f t="shared" si="95"/>
        <v>4</v>
      </c>
      <c r="BD243" s="115">
        <f t="shared" si="95"/>
        <v>4</v>
      </c>
      <c r="BE243" s="115">
        <f t="shared" si="95"/>
        <v>4</v>
      </c>
      <c r="BF243" s="115">
        <f t="shared" si="95"/>
        <v>4</v>
      </c>
      <c r="BG243" s="115">
        <f t="shared" si="95"/>
        <v>4</v>
      </c>
      <c r="BH243" s="115">
        <f t="shared" si="95"/>
        <v>4</v>
      </c>
      <c r="BI243" s="115">
        <f t="shared" si="93"/>
        <v>4</v>
      </c>
      <c r="BJ243" s="115">
        <f t="shared" si="94"/>
        <v>4</v>
      </c>
      <c r="BK243" s="115">
        <f t="shared" si="94"/>
        <v>4</v>
      </c>
      <c r="BL243" s="115">
        <f t="shared" si="94"/>
        <v>4</v>
      </c>
      <c r="BM243" s="115">
        <f t="shared" si="94"/>
        <v>4</v>
      </c>
    </row>
    <row r="244" spans="1:65" outlineLevel="1">
      <c r="A244" s="51"/>
      <c r="B244" s="51" t="s">
        <v>291</v>
      </c>
      <c r="C244" s="51"/>
      <c r="D244" s="51"/>
      <c r="E244" s="54"/>
      <c r="F244" s="112"/>
      <c r="G244" s="113"/>
      <c r="H244" s="113"/>
      <c r="I244" s="113"/>
      <c r="J244" s="113"/>
      <c r="K244" s="113"/>
      <c r="L244" s="113">
        <v>35</v>
      </c>
      <c r="M244" s="113">
        <f t="shared" si="91"/>
        <v>35</v>
      </c>
      <c r="N244" s="113">
        <f t="shared" si="91"/>
        <v>35</v>
      </c>
      <c r="O244" s="113">
        <f t="shared" si="91"/>
        <v>35</v>
      </c>
      <c r="P244" s="113">
        <f t="shared" si="91"/>
        <v>35</v>
      </c>
      <c r="Q244" s="113">
        <f t="shared" si="91"/>
        <v>35</v>
      </c>
      <c r="R244" s="113">
        <f t="shared" si="91"/>
        <v>35</v>
      </c>
      <c r="S244" s="113">
        <f t="shared" si="91"/>
        <v>35</v>
      </c>
      <c r="T244" s="113">
        <f t="shared" si="91"/>
        <v>35</v>
      </c>
      <c r="U244" s="113">
        <v>36.5</v>
      </c>
      <c r="V244" s="113">
        <f t="shared" si="91"/>
        <v>36.5</v>
      </c>
      <c r="W244" s="113">
        <f t="shared" si="91"/>
        <v>36.5</v>
      </c>
      <c r="X244" s="113">
        <f t="shared" si="91"/>
        <v>36.5</v>
      </c>
      <c r="Y244" s="113">
        <f t="shared" si="91"/>
        <v>36.5</v>
      </c>
      <c r="Z244" s="113">
        <f t="shared" si="91"/>
        <v>36.5</v>
      </c>
      <c r="AA244" s="113">
        <f t="shared" si="91"/>
        <v>36.5</v>
      </c>
      <c r="AB244" s="113">
        <f t="shared" si="91"/>
        <v>36.5</v>
      </c>
      <c r="AC244" s="113">
        <f t="shared" si="92"/>
        <v>36.5</v>
      </c>
      <c r="AD244" s="113">
        <f t="shared" si="92"/>
        <v>36.5</v>
      </c>
      <c r="AE244" s="113">
        <f t="shared" si="92"/>
        <v>36.5</v>
      </c>
      <c r="AF244" s="113">
        <f t="shared" si="92"/>
        <v>36.5</v>
      </c>
      <c r="AG244" s="113">
        <v>38</v>
      </c>
      <c r="AH244" s="113">
        <f t="shared" si="92"/>
        <v>38</v>
      </c>
      <c r="AI244" s="113">
        <f t="shared" si="92"/>
        <v>38</v>
      </c>
      <c r="AJ244" s="113">
        <f t="shared" si="92"/>
        <v>38</v>
      </c>
      <c r="AK244" s="113">
        <f t="shared" si="92"/>
        <v>38</v>
      </c>
      <c r="AL244" s="113">
        <f t="shared" si="92"/>
        <v>38</v>
      </c>
      <c r="AM244" s="113">
        <f t="shared" si="92"/>
        <v>38</v>
      </c>
      <c r="AN244" s="113">
        <f t="shared" si="92"/>
        <v>38</v>
      </c>
      <c r="AO244" s="113">
        <f t="shared" si="92"/>
        <v>38</v>
      </c>
      <c r="AP244" s="113">
        <f t="shared" si="92"/>
        <v>38</v>
      </c>
      <c r="AQ244" s="113">
        <f t="shared" si="92"/>
        <v>38</v>
      </c>
      <c r="AR244" s="113">
        <f t="shared" si="92"/>
        <v>38</v>
      </c>
      <c r="AS244" s="113">
        <v>39.5</v>
      </c>
      <c r="AT244" s="113">
        <f t="shared" si="95"/>
        <v>39.5</v>
      </c>
      <c r="AU244" s="113">
        <f t="shared" si="95"/>
        <v>39.5</v>
      </c>
      <c r="AV244" s="113">
        <f t="shared" si="95"/>
        <v>39.5</v>
      </c>
      <c r="AW244" s="113">
        <f t="shared" si="95"/>
        <v>39.5</v>
      </c>
      <c r="AX244" s="113">
        <f t="shared" si="95"/>
        <v>39.5</v>
      </c>
      <c r="AY244" s="113">
        <f t="shared" si="95"/>
        <v>39.5</v>
      </c>
      <c r="AZ244" s="113">
        <f t="shared" si="95"/>
        <v>39.5</v>
      </c>
      <c r="BA244" s="113">
        <f t="shared" si="95"/>
        <v>39.5</v>
      </c>
      <c r="BB244" s="113">
        <f t="shared" si="95"/>
        <v>39.5</v>
      </c>
      <c r="BC244" s="113">
        <f t="shared" si="95"/>
        <v>39.5</v>
      </c>
      <c r="BD244" s="113">
        <f t="shared" si="95"/>
        <v>39.5</v>
      </c>
      <c r="BE244" s="113">
        <v>41.1</v>
      </c>
      <c r="BF244" s="113">
        <f t="shared" si="95"/>
        <v>41.1</v>
      </c>
      <c r="BG244" s="113">
        <f t="shared" si="95"/>
        <v>41.1</v>
      </c>
      <c r="BH244" s="113">
        <f t="shared" si="95"/>
        <v>41.1</v>
      </c>
      <c r="BI244" s="113">
        <f t="shared" si="93"/>
        <v>41.1</v>
      </c>
      <c r="BJ244" s="113">
        <f t="shared" si="94"/>
        <v>41.1</v>
      </c>
      <c r="BK244" s="113">
        <f t="shared" si="94"/>
        <v>41.1</v>
      </c>
      <c r="BL244" s="113">
        <f t="shared" si="94"/>
        <v>41.1</v>
      </c>
      <c r="BM244" s="113">
        <f t="shared" si="94"/>
        <v>41.1</v>
      </c>
    </row>
    <row r="245" spans="1:65" outlineLevel="1">
      <c r="A245" s="51"/>
      <c r="B245" s="51" t="s">
        <v>290</v>
      </c>
      <c r="C245" s="51"/>
      <c r="D245" s="51"/>
      <c r="E245" s="54"/>
      <c r="F245" s="116"/>
      <c r="G245" s="115"/>
      <c r="H245" s="115"/>
      <c r="I245" s="115"/>
      <c r="J245" s="115"/>
      <c r="K245" s="115"/>
      <c r="L245" s="115">
        <v>1</v>
      </c>
      <c r="M245" s="115">
        <f t="shared" si="91"/>
        <v>1</v>
      </c>
      <c r="N245" s="115">
        <f t="shared" si="91"/>
        <v>1</v>
      </c>
      <c r="O245" s="115">
        <v>2</v>
      </c>
      <c r="P245" s="115">
        <v>4</v>
      </c>
      <c r="Q245" s="115">
        <f t="shared" si="91"/>
        <v>4</v>
      </c>
      <c r="R245" s="115">
        <v>8</v>
      </c>
      <c r="S245" s="115">
        <f t="shared" si="91"/>
        <v>8</v>
      </c>
      <c r="T245" s="115">
        <v>8</v>
      </c>
      <c r="U245" s="115">
        <f t="shared" si="91"/>
        <v>8</v>
      </c>
      <c r="V245" s="115">
        <v>10</v>
      </c>
      <c r="W245" s="115">
        <f t="shared" si="91"/>
        <v>10</v>
      </c>
      <c r="X245" s="115">
        <v>12</v>
      </c>
      <c r="Y245" s="115">
        <f t="shared" si="91"/>
        <v>12</v>
      </c>
      <c r="Z245" s="115">
        <f t="shared" si="91"/>
        <v>12</v>
      </c>
      <c r="AA245" s="115">
        <v>14</v>
      </c>
      <c r="AB245" s="115">
        <f t="shared" si="91"/>
        <v>14</v>
      </c>
      <c r="AC245" s="115">
        <f t="shared" si="92"/>
        <v>14</v>
      </c>
      <c r="AD245" s="115">
        <f t="shared" si="92"/>
        <v>14</v>
      </c>
      <c r="AE245" s="115">
        <f t="shared" si="92"/>
        <v>14</v>
      </c>
      <c r="AF245" s="115">
        <f t="shared" si="92"/>
        <v>14</v>
      </c>
      <c r="AG245" s="115">
        <f t="shared" si="92"/>
        <v>14</v>
      </c>
      <c r="AH245" s="115">
        <f t="shared" si="92"/>
        <v>14</v>
      </c>
      <c r="AI245" s="115">
        <f t="shared" si="92"/>
        <v>14</v>
      </c>
      <c r="AJ245" s="114">
        <v>14</v>
      </c>
      <c r="AK245" s="115">
        <f t="shared" si="92"/>
        <v>14</v>
      </c>
      <c r="AL245" s="115">
        <f t="shared" si="92"/>
        <v>14</v>
      </c>
      <c r="AM245" s="115">
        <v>14</v>
      </c>
      <c r="AN245" s="115">
        <f t="shared" si="92"/>
        <v>14</v>
      </c>
      <c r="AO245" s="115">
        <f t="shared" si="92"/>
        <v>14</v>
      </c>
      <c r="AP245" s="115">
        <f t="shared" si="92"/>
        <v>14</v>
      </c>
      <c r="AQ245" s="115">
        <f t="shared" si="92"/>
        <v>14</v>
      </c>
      <c r="AR245" s="115">
        <f t="shared" si="92"/>
        <v>14</v>
      </c>
      <c r="AS245" s="115">
        <f t="shared" ref="AS245:BH246" si="96">AR245</f>
        <v>14</v>
      </c>
      <c r="AT245" s="115">
        <f t="shared" si="96"/>
        <v>14</v>
      </c>
      <c r="AU245" s="115">
        <f t="shared" si="96"/>
        <v>14</v>
      </c>
      <c r="AV245" s="115">
        <f t="shared" si="96"/>
        <v>14</v>
      </c>
      <c r="AW245" s="115">
        <f t="shared" si="96"/>
        <v>14</v>
      </c>
      <c r="AX245" s="115">
        <f t="shared" si="96"/>
        <v>14</v>
      </c>
      <c r="AY245" s="115">
        <f t="shared" si="96"/>
        <v>14</v>
      </c>
      <c r="AZ245" s="115">
        <f t="shared" si="96"/>
        <v>14</v>
      </c>
      <c r="BA245" s="115">
        <f t="shared" si="96"/>
        <v>14</v>
      </c>
      <c r="BB245" s="115">
        <f t="shared" si="96"/>
        <v>14</v>
      </c>
      <c r="BC245" s="115">
        <f t="shared" si="96"/>
        <v>14</v>
      </c>
      <c r="BD245" s="115">
        <f t="shared" si="96"/>
        <v>14</v>
      </c>
      <c r="BE245" s="115">
        <f t="shared" si="96"/>
        <v>14</v>
      </c>
      <c r="BF245" s="115">
        <f t="shared" si="96"/>
        <v>14</v>
      </c>
      <c r="BG245" s="115">
        <f t="shared" si="96"/>
        <v>14</v>
      </c>
      <c r="BH245" s="115">
        <f t="shared" si="96"/>
        <v>14</v>
      </c>
      <c r="BI245" s="115">
        <f t="shared" si="93"/>
        <v>14</v>
      </c>
      <c r="BJ245" s="115">
        <f t="shared" si="94"/>
        <v>14</v>
      </c>
      <c r="BK245" s="115">
        <f t="shared" si="94"/>
        <v>14</v>
      </c>
      <c r="BL245" s="115">
        <f t="shared" si="94"/>
        <v>14</v>
      </c>
      <c r="BM245" s="115">
        <f t="shared" si="94"/>
        <v>14</v>
      </c>
    </row>
    <row r="246" spans="1:65" outlineLevel="1">
      <c r="A246" s="51"/>
      <c r="B246" s="51" t="s">
        <v>292</v>
      </c>
      <c r="C246" s="51"/>
      <c r="D246" s="51"/>
      <c r="E246" s="54"/>
      <c r="F246" s="112"/>
      <c r="G246" s="113"/>
      <c r="H246" s="113"/>
      <c r="I246" s="113"/>
      <c r="J246" s="113"/>
      <c r="K246" s="113"/>
      <c r="L246" s="113">
        <v>28</v>
      </c>
      <c r="M246" s="113">
        <f t="shared" si="91"/>
        <v>28</v>
      </c>
      <c r="N246" s="113">
        <f t="shared" si="91"/>
        <v>28</v>
      </c>
      <c r="O246" s="113">
        <f t="shared" si="91"/>
        <v>28</v>
      </c>
      <c r="P246" s="113">
        <f t="shared" si="91"/>
        <v>28</v>
      </c>
      <c r="Q246" s="113">
        <f t="shared" si="91"/>
        <v>28</v>
      </c>
      <c r="R246" s="113">
        <f t="shared" si="91"/>
        <v>28</v>
      </c>
      <c r="S246" s="113">
        <f t="shared" si="91"/>
        <v>28</v>
      </c>
      <c r="T246" s="113">
        <f t="shared" si="91"/>
        <v>28</v>
      </c>
      <c r="U246" s="113">
        <v>29.12</v>
      </c>
      <c r="V246" s="113">
        <f t="shared" si="91"/>
        <v>29.12</v>
      </c>
      <c r="W246" s="113">
        <f t="shared" si="91"/>
        <v>29.12</v>
      </c>
      <c r="X246" s="113">
        <f t="shared" si="91"/>
        <v>29.12</v>
      </c>
      <c r="Y246" s="113">
        <f t="shared" si="91"/>
        <v>29.12</v>
      </c>
      <c r="Z246" s="113">
        <f t="shared" si="91"/>
        <v>29.12</v>
      </c>
      <c r="AA246" s="113">
        <f t="shared" si="91"/>
        <v>29.12</v>
      </c>
      <c r="AB246" s="113">
        <f t="shared" si="91"/>
        <v>29.12</v>
      </c>
      <c r="AC246" s="113">
        <f t="shared" si="92"/>
        <v>29.12</v>
      </c>
      <c r="AD246" s="113">
        <f t="shared" si="92"/>
        <v>29.12</v>
      </c>
      <c r="AE246" s="113">
        <f t="shared" si="92"/>
        <v>29.12</v>
      </c>
      <c r="AF246" s="113">
        <f t="shared" si="92"/>
        <v>29.12</v>
      </c>
      <c r="AG246" s="113">
        <v>30.28</v>
      </c>
      <c r="AH246" s="113">
        <f t="shared" si="92"/>
        <v>30.28</v>
      </c>
      <c r="AI246" s="113">
        <f t="shared" si="92"/>
        <v>30.28</v>
      </c>
      <c r="AJ246" s="113">
        <f t="shared" si="92"/>
        <v>30.28</v>
      </c>
      <c r="AK246" s="113">
        <f t="shared" si="92"/>
        <v>30.28</v>
      </c>
      <c r="AL246" s="113">
        <f t="shared" si="92"/>
        <v>30.28</v>
      </c>
      <c r="AM246" s="113">
        <f t="shared" si="92"/>
        <v>30.28</v>
      </c>
      <c r="AN246" s="113">
        <f t="shared" si="92"/>
        <v>30.28</v>
      </c>
      <c r="AO246" s="113">
        <f t="shared" si="92"/>
        <v>30.28</v>
      </c>
      <c r="AP246" s="113">
        <f t="shared" si="92"/>
        <v>30.28</v>
      </c>
      <c r="AQ246" s="113">
        <f t="shared" si="92"/>
        <v>30.28</v>
      </c>
      <c r="AR246" s="113">
        <f t="shared" si="92"/>
        <v>30.28</v>
      </c>
      <c r="AS246" s="113">
        <v>31.5</v>
      </c>
      <c r="AT246" s="113">
        <f t="shared" si="96"/>
        <v>31.5</v>
      </c>
      <c r="AU246" s="113">
        <f t="shared" si="96"/>
        <v>31.5</v>
      </c>
      <c r="AV246" s="113">
        <f t="shared" si="96"/>
        <v>31.5</v>
      </c>
      <c r="AW246" s="113">
        <f t="shared" si="96"/>
        <v>31.5</v>
      </c>
      <c r="AX246" s="113">
        <f t="shared" si="96"/>
        <v>31.5</v>
      </c>
      <c r="AY246" s="113">
        <f t="shared" si="96"/>
        <v>31.5</v>
      </c>
      <c r="AZ246" s="113">
        <f t="shared" si="96"/>
        <v>31.5</v>
      </c>
      <c r="BA246" s="113">
        <f t="shared" si="96"/>
        <v>31.5</v>
      </c>
      <c r="BB246" s="113">
        <f t="shared" si="96"/>
        <v>31.5</v>
      </c>
      <c r="BC246" s="113">
        <f t="shared" si="96"/>
        <v>31.5</v>
      </c>
      <c r="BD246" s="113">
        <f t="shared" si="96"/>
        <v>31.5</v>
      </c>
      <c r="BE246" s="113">
        <v>32.75</v>
      </c>
      <c r="BF246" s="113">
        <f t="shared" si="96"/>
        <v>32.75</v>
      </c>
      <c r="BG246" s="113">
        <f t="shared" si="96"/>
        <v>32.75</v>
      </c>
      <c r="BH246" s="113">
        <f t="shared" si="96"/>
        <v>32.75</v>
      </c>
      <c r="BI246" s="113">
        <f t="shared" si="93"/>
        <v>32.75</v>
      </c>
      <c r="BJ246" s="113">
        <f t="shared" si="94"/>
        <v>32.75</v>
      </c>
      <c r="BK246" s="113">
        <f t="shared" si="94"/>
        <v>32.75</v>
      </c>
      <c r="BL246" s="113">
        <f t="shared" si="94"/>
        <v>32.75</v>
      </c>
      <c r="BM246" s="113">
        <f t="shared" si="94"/>
        <v>32.75</v>
      </c>
    </row>
    <row r="247" spans="1:65" outlineLevel="1">
      <c r="A247" s="51"/>
      <c r="B247" s="51" t="s">
        <v>290</v>
      </c>
      <c r="C247" s="51"/>
      <c r="D247" s="51"/>
      <c r="E247" s="54"/>
      <c r="F247" s="114"/>
      <c r="G247" s="115"/>
      <c r="H247" s="115"/>
      <c r="I247" s="115"/>
      <c r="J247" s="115"/>
      <c r="K247" s="115"/>
      <c r="L247" s="115">
        <v>1</v>
      </c>
      <c r="M247" s="115">
        <f t="shared" si="91"/>
        <v>1</v>
      </c>
      <c r="N247" s="115">
        <f t="shared" si="91"/>
        <v>1</v>
      </c>
      <c r="O247" s="115">
        <v>2</v>
      </c>
      <c r="P247" s="115">
        <v>4</v>
      </c>
      <c r="Q247" s="115">
        <f t="shared" si="91"/>
        <v>4</v>
      </c>
      <c r="R247" s="115">
        <v>8</v>
      </c>
      <c r="S247" s="115">
        <f t="shared" si="91"/>
        <v>8</v>
      </c>
      <c r="T247" s="115">
        <v>8</v>
      </c>
      <c r="U247" s="115">
        <v>10</v>
      </c>
      <c r="V247" s="115">
        <v>10</v>
      </c>
      <c r="W247" s="115">
        <v>12</v>
      </c>
      <c r="X247" s="115">
        <v>12</v>
      </c>
      <c r="Y247" s="115">
        <v>16</v>
      </c>
      <c r="Z247" s="115">
        <v>16</v>
      </c>
      <c r="AA247" s="115">
        <v>16</v>
      </c>
      <c r="AB247" s="115">
        <v>16</v>
      </c>
      <c r="AC247" s="115">
        <f t="shared" si="92"/>
        <v>16</v>
      </c>
      <c r="AD247" s="115">
        <v>18</v>
      </c>
      <c r="AE247" s="115">
        <f t="shared" si="92"/>
        <v>18</v>
      </c>
      <c r="AF247" s="115">
        <f t="shared" si="92"/>
        <v>18</v>
      </c>
      <c r="AG247" s="115">
        <f t="shared" si="92"/>
        <v>18</v>
      </c>
      <c r="AH247" s="115">
        <f t="shared" si="92"/>
        <v>18</v>
      </c>
      <c r="AI247" s="115">
        <f t="shared" si="92"/>
        <v>18</v>
      </c>
      <c r="AJ247" s="115">
        <v>14</v>
      </c>
      <c r="AK247" s="115">
        <f t="shared" si="92"/>
        <v>14</v>
      </c>
      <c r="AL247" s="115">
        <f t="shared" si="92"/>
        <v>14</v>
      </c>
      <c r="AM247" s="115">
        <v>14</v>
      </c>
      <c r="AN247" s="115">
        <f t="shared" si="92"/>
        <v>14</v>
      </c>
      <c r="AO247" s="115">
        <f t="shared" si="92"/>
        <v>14</v>
      </c>
      <c r="AP247" s="115">
        <f t="shared" si="92"/>
        <v>14</v>
      </c>
      <c r="AQ247" s="115">
        <f t="shared" si="92"/>
        <v>14</v>
      </c>
      <c r="AR247" s="115">
        <f t="shared" si="92"/>
        <v>14</v>
      </c>
      <c r="AS247" s="115">
        <f t="shared" ref="AS247:BH248" si="97">AR247</f>
        <v>14</v>
      </c>
      <c r="AT247" s="115">
        <f t="shared" si="97"/>
        <v>14</v>
      </c>
      <c r="AU247" s="115">
        <f t="shared" si="97"/>
        <v>14</v>
      </c>
      <c r="AV247" s="115">
        <f t="shared" si="97"/>
        <v>14</v>
      </c>
      <c r="AW247" s="115">
        <f t="shared" si="97"/>
        <v>14</v>
      </c>
      <c r="AX247" s="115">
        <f t="shared" si="97"/>
        <v>14</v>
      </c>
      <c r="AY247" s="115">
        <f t="shared" si="97"/>
        <v>14</v>
      </c>
      <c r="AZ247" s="115">
        <f t="shared" si="97"/>
        <v>14</v>
      </c>
      <c r="BA247" s="115">
        <f t="shared" si="97"/>
        <v>14</v>
      </c>
      <c r="BB247" s="115">
        <f t="shared" si="97"/>
        <v>14</v>
      </c>
      <c r="BC247" s="115">
        <f t="shared" si="97"/>
        <v>14</v>
      </c>
      <c r="BD247" s="115">
        <f t="shared" si="97"/>
        <v>14</v>
      </c>
      <c r="BE247" s="115">
        <f t="shared" si="97"/>
        <v>14</v>
      </c>
      <c r="BF247" s="115">
        <v>18</v>
      </c>
      <c r="BG247" s="115">
        <f t="shared" si="97"/>
        <v>18</v>
      </c>
      <c r="BH247" s="115">
        <f t="shared" si="97"/>
        <v>18</v>
      </c>
      <c r="BI247" s="115">
        <f t="shared" si="93"/>
        <v>18</v>
      </c>
      <c r="BJ247" s="115">
        <f t="shared" si="94"/>
        <v>18</v>
      </c>
      <c r="BK247" s="115">
        <f t="shared" si="94"/>
        <v>18</v>
      </c>
      <c r="BL247" s="115">
        <f t="shared" si="94"/>
        <v>18</v>
      </c>
      <c r="BM247" s="115">
        <f t="shared" si="94"/>
        <v>18</v>
      </c>
    </row>
    <row r="248" spans="1:65" outlineLevel="1">
      <c r="A248" s="51"/>
      <c r="B248" s="51" t="s">
        <v>293</v>
      </c>
      <c r="C248" s="51"/>
      <c r="D248" s="51"/>
      <c r="E248" s="54"/>
      <c r="F248" s="112"/>
      <c r="G248" s="113"/>
      <c r="H248" s="113"/>
      <c r="I248" s="113"/>
      <c r="J248" s="113"/>
      <c r="K248" s="113"/>
      <c r="L248" s="113">
        <v>25</v>
      </c>
      <c r="M248" s="113">
        <f t="shared" si="91"/>
        <v>25</v>
      </c>
      <c r="N248" s="113">
        <f t="shared" si="91"/>
        <v>25</v>
      </c>
      <c r="O248" s="113">
        <f t="shared" si="91"/>
        <v>25</v>
      </c>
      <c r="P248" s="113">
        <f t="shared" si="91"/>
        <v>25</v>
      </c>
      <c r="Q248" s="113">
        <f t="shared" si="91"/>
        <v>25</v>
      </c>
      <c r="R248" s="113">
        <f t="shared" si="91"/>
        <v>25</v>
      </c>
      <c r="S248" s="113">
        <f t="shared" si="91"/>
        <v>25</v>
      </c>
      <c r="T248" s="113">
        <f t="shared" si="91"/>
        <v>25</v>
      </c>
      <c r="U248" s="113">
        <v>26</v>
      </c>
      <c r="V248" s="113">
        <f t="shared" si="91"/>
        <v>26</v>
      </c>
      <c r="W248" s="113">
        <f t="shared" si="91"/>
        <v>26</v>
      </c>
      <c r="X248" s="113">
        <f t="shared" si="91"/>
        <v>26</v>
      </c>
      <c r="Y248" s="113">
        <f t="shared" si="91"/>
        <v>26</v>
      </c>
      <c r="Z248" s="113">
        <f t="shared" si="91"/>
        <v>26</v>
      </c>
      <c r="AA248" s="113">
        <f t="shared" si="91"/>
        <v>26</v>
      </c>
      <c r="AB248" s="113">
        <f t="shared" si="91"/>
        <v>26</v>
      </c>
      <c r="AC248" s="113">
        <f t="shared" si="92"/>
        <v>26</v>
      </c>
      <c r="AD248" s="113">
        <f t="shared" si="92"/>
        <v>26</v>
      </c>
      <c r="AE248" s="113">
        <f t="shared" si="92"/>
        <v>26</v>
      </c>
      <c r="AF248" s="113">
        <f t="shared" si="92"/>
        <v>26</v>
      </c>
      <c r="AG248" s="113">
        <v>27.04</v>
      </c>
      <c r="AH248" s="113">
        <f t="shared" si="92"/>
        <v>27.04</v>
      </c>
      <c r="AI248" s="113">
        <f t="shared" si="92"/>
        <v>27.04</v>
      </c>
      <c r="AJ248" s="113">
        <f t="shared" si="92"/>
        <v>27.04</v>
      </c>
      <c r="AK248" s="113">
        <f t="shared" si="92"/>
        <v>27.04</v>
      </c>
      <c r="AL248" s="113">
        <f t="shared" si="92"/>
        <v>27.04</v>
      </c>
      <c r="AM248" s="113">
        <f t="shared" si="92"/>
        <v>27.04</v>
      </c>
      <c r="AN248" s="113">
        <f t="shared" si="92"/>
        <v>27.04</v>
      </c>
      <c r="AO248" s="113">
        <f t="shared" si="92"/>
        <v>27.04</v>
      </c>
      <c r="AP248" s="113">
        <f t="shared" si="92"/>
        <v>27.04</v>
      </c>
      <c r="AQ248" s="113">
        <f t="shared" si="92"/>
        <v>27.04</v>
      </c>
      <c r="AR248" s="113">
        <f t="shared" si="92"/>
        <v>27.04</v>
      </c>
      <c r="AS248" s="113">
        <v>28.12</v>
      </c>
      <c r="AT248" s="113">
        <f t="shared" si="97"/>
        <v>28.12</v>
      </c>
      <c r="AU248" s="113">
        <f t="shared" si="97"/>
        <v>28.12</v>
      </c>
      <c r="AV248" s="113">
        <f t="shared" si="97"/>
        <v>28.12</v>
      </c>
      <c r="AW248" s="113">
        <f t="shared" si="97"/>
        <v>28.12</v>
      </c>
      <c r="AX248" s="113">
        <f t="shared" si="97"/>
        <v>28.12</v>
      </c>
      <c r="AY248" s="113">
        <f t="shared" si="97"/>
        <v>28.12</v>
      </c>
      <c r="AZ248" s="113">
        <f t="shared" si="97"/>
        <v>28.12</v>
      </c>
      <c r="BA248" s="113">
        <f t="shared" si="97"/>
        <v>28.12</v>
      </c>
      <c r="BB248" s="113">
        <f t="shared" si="97"/>
        <v>28.12</v>
      </c>
      <c r="BC248" s="113">
        <f t="shared" si="97"/>
        <v>28.12</v>
      </c>
      <c r="BD248" s="113">
        <f t="shared" si="97"/>
        <v>28.12</v>
      </c>
      <c r="BE248" s="113">
        <v>29.25</v>
      </c>
      <c r="BF248" s="113">
        <f t="shared" si="97"/>
        <v>29.25</v>
      </c>
      <c r="BG248" s="113">
        <f t="shared" si="97"/>
        <v>29.25</v>
      </c>
      <c r="BH248" s="113">
        <f t="shared" si="97"/>
        <v>29.25</v>
      </c>
      <c r="BI248" s="113">
        <f t="shared" si="93"/>
        <v>29.25</v>
      </c>
      <c r="BJ248" s="113">
        <f t="shared" si="94"/>
        <v>29.25</v>
      </c>
      <c r="BK248" s="113">
        <f t="shared" si="94"/>
        <v>29.25</v>
      </c>
      <c r="BL248" s="113">
        <f t="shared" si="94"/>
        <v>29.25</v>
      </c>
      <c r="BM248" s="113">
        <f t="shared" si="94"/>
        <v>29.25</v>
      </c>
    </row>
    <row r="249" spans="1:65" outlineLevel="1">
      <c r="A249" s="51"/>
      <c r="B249" s="51" t="s">
        <v>290</v>
      </c>
      <c r="C249" s="51"/>
      <c r="D249" s="51"/>
      <c r="E249" s="54"/>
      <c r="F249" s="117"/>
      <c r="G249" s="115"/>
      <c r="H249" s="115"/>
      <c r="I249" s="115"/>
      <c r="J249" s="115"/>
      <c r="K249" s="115"/>
      <c r="L249" s="115">
        <v>1</v>
      </c>
      <c r="M249" s="115">
        <f t="shared" si="91"/>
        <v>1</v>
      </c>
      <c r="N249" s="115">
        <f t="shared" si="91"/>
        <v>1</v>
      </c>
      <c r="O249" s="115">
        <v>2</v>
      </c>
      <c r="P249" s="115">
        <v>4</v>
      </c>
      <c r="Q249" s="115">
        <f t="shared" si="91"/>
        <v>4</v>
      </c>
      <c r="R249" s="115">
        <v>12</v>
      </c>
      <c r="S249" s="115">
        <f t="shared" si="91"/>
        <v>12</v>
      </c>
      <c r="T249" s="115">
        <v>12</v>
      </c>
      <c r="U249" s="115">
        <f t="shared" si="91"/>
        <v>12</v>
      </c>
      <c r="V249" s="115">
        <v>14</v>
      </c>
      <c r="W249" s="115">
        <f t="shared" si="91"/>
        <v>14</v>
      </c>
      <c r="X249" s="115">
        <v>16</v>
      </c>
      <c r="Y249" s="115">
        <f t="shared" si="91"/>
        <v>16</v>
      </c>
      <c r="Z249" s="115">
        <f t="shared" si="91"/>
        <v>16</v>
      </c>
      <c r="AA249" s="115">
        <v>20</v>
      </c>
      <c r="AB249" s="115">
        <f t="shared" si="91"/>
        <v>20</v>
      </c>
      <c r="AC249" s="115">
        <f t="shared" si="92"/>
        <v>20</v>
      </c>
      <c r="AD249" s="115">
        <f t="shared" si="92"/>
        <v>20</v>
      </c>
      <c r="AE249" s="115">
        <f t="shared" si="92"/>
        <v>20</v>
      </c>
      <c r="AF249" s="115">
        <f t="shared" si="92"/>
        <v>20</v>
      </c>
      <c r="AG249" s="115">
        <f t="shared" si="92"/>
        <v>20</v>
      </c>
      <c r="AH249" s="115">
        <f t="shared" si="92"/>
        <v>20</v>
      </c>
      <c r="AI249" s="115">
        <f t="shared" si="92"/>
        <v>20</v>
      </c>
      <c r="AJ249" s="115">
        <v>20</v>
      </c>
      <c r="AK249" s="115">
        <v>20</v>
      </c>
      <c r="AL249" s="115">
        <f t="shared" si="92"/>
        <v>20</v>
      </c>
      <c r="AM249" s="115">
        <v>20</v>
      </c>
      <c r="AN249" s="115">
        <f t="shared" si="92"/>
        <v>20</v>
      </c>
      <c r="AO249" s="115">
        <f t="shared" si="92"/>
        <v>20</v>
      </c>
      <c r="AP249" s="115">
        <f t="shared" si="92"/>
        <v>20</v>
      </c>
      <c r="AQ249" s="115">
        <f t="shared" si="92"/>
        <v>20</v>
      </c>
      <c r="AR249" s="115">
        <f t="shared" si="92"/>
        <v>20</v>
      </c>
      <c r="AS249" s="115">
        <f t="shared" ref="AS249:BM249" si="98">AR249</f>
        <v>20</v>
      </c>
      <c r="AT249" s="115">
        <f t="shared" si="98"/>
        <v>20</v>
      </c>
      <c r="AU249" s="115">
        <f t="shared" si="98"/>
        <v>20</v>
      </c>
      <c r="AV249" s="115">
        <f t="shared" si="98"/>
        <v>20</v>
      </c>
      <c r="AW249" s="115">
        <f t="shared" si="98"/>
        <v>20</v>
      </c>
      <c r="AX249" s="115">
        <f t="shared" si="98"/>
        <v>20</v>
      </c>
      <c r="AY249" s="115">
        <f t="shared" si="98"/>
        <v>20</v>
      </c>
      <c r="AZ249" s="115">
        <f t="shared" si="98"/>
        <v>20</v>
      </c>
      <c r="BA249" s="115">
        <f t="shared" si="98"/>
        <v>20</v>
      </c>
      <c r="BB249" s="115">
        <f t="shared" si="98"/>
        <v>20</v>
      </c>
      <c r="BC249" s="115">
        <f t="shared" si="98"/>
        <v>20</v>
      </c>
      <c r="BD249" s="115">
        <f t="shared" si="98"/>
        <v>20</v>
      </c>
      <c r="BE249" s="115">
        <f t="shared" si="98"/>
        <v>20</v>
      </c>
      <c r="BF249" s="115">
        <f t="shared" si="98"/>
        <v>20</v>
      </c>
      <c r="BG249" s="115">
        <f t="shared" si="98"/>
        <v>20</v>
      </c>
      <c r="BH249" s="115">
        <f t="shared" si="98"/>
        <v>20</v>
      </c>
      <c r="BI249" s="115">
        <f t="shared" si="98"/>
        <v>20</v>
      </c>
      <c r="BJ249" s="115">
        <f t="shared" si="98"/>
        <v>20</v>
      </c>
      <c r="BK249" s="115">
        <f t="shared" si="98"/>
        <v>20</v>
      </c>
      <c r="BL249" s="115">
        <f t="shared" si="98"/>
        <v>20</v>
      </c>
      <c r="BM249" s="115">
        <f t="shared" si="98"/>
        <v>20</v>
      </c>
    </row>
    <row r="250" spans="1:65" outlineLevel="1">
      <c r="A250" s="51"/>
      <c r="B250" s="51"/>
      <c r="C250" s="51"/>
      <c r="D250" s="51"/>
      <c r="E250" s="54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  <c r="AH250" s="118"/>
      <c r="AI250" s="118"/>
      <c r="AJ250" s="118"/>
      <c r="AK250" s="118"/>
      <c r="AL250" s="118"/>
      <c r="AM250" s="118"/>
      <c r="AN250" s="118"/>
      <c r="AO250" s="118"/>
      <c r="AP250" s="118"/>
      <c r="AQ250" s="118"/>
      <c r="AR250" s="118"/>
      <c r="AS250" s="118"/>
      <c r="AT250" s="118"/>
      <c r="AU250" s="118"/>
      <c r="AV250" s="118"/>
      <c r="AW250" s="118"/>
      <c r="AX250" s="118"/>
      <c r="AY250" s="118"/>
      <c r="AZ250" s="118"/>
      <c r="BA250" s="118"/>
      <c r="BB250" s="118"/>
      <c r="BC250" s="118"/>
      <c r="BD250" s="118"/>
      <c r="BE250" s="118"/>
      <c r="BF250" s="118"/>
      <c r="BG250" s="118"/>
      <c r="BH250" s="118"/>
      <c r="BI250" s="118"/>
      <c r="BJ250" s="118"/>
      <c r="BK250" s="118"/>
      <c r="BL250" s="118"/>
      <c r="BM250" s="118"/>
    </row>
    <row r="251" spans="1:65" outlineLevel="1">
      <c r="A251" s="51"/>
      <c r="B251" s="51" t="s">
        <v>295</v>
      </c>
      <c r="C251" s="51"/>
      <c r="D251" s="51"/>
      <c r="E251" s="54"/>
      <c r="F251" s="119">
        <f>(F233*F234+F235*F236+F237*F238+F239*F240)*F230+(F242*F243+F244*F245+F246*F247+F248*F249)*F231</f>
        <v>0</v>
      </c>
      <c r="G251" s="119">
        <f t="shared" ref="G251:BM251" si="99">(G233*G234+G235*G236+G237*G238+G239*G240)*G230+(G242*G243+G244*G245+G246*G247+G248*G249)*G231</f>
        <v>0</v>
      </c>
      <c r="H251" s="119">
        <f t="shared" si="99"/>
        <v>0</v>
      </c>
      <c r="I251" s="119">
        <f t="shared" si="99"/>
        <v>0</v>
      </c>
      <c r="J251" s="119">
        <f t="shared" si="99"/>
        <v>0</v>
      </c>
      <c r="K251" s="119">
        <f t="shared" si="99"/>
        <v>0</v>
      </c>
      <c r="L251" s="119">
        <f t="shared" si="99"/>
        <v>3192</v>
      </c>
      <c r="M251" s="119">
        <f t="shared" si="99"/>
        <v>3192</v>
      </c>
      <c r="N251" s="119">
        <f t="shared" si="99"/>
        <v>3192</v>
      </c>
      <c r="O251" s="119">
        <f t="shared" si="99"/>
        <v>5304</v>
      </c>
      <c r="P251" s="119">
        <f t="shared" si="99"/>
        <v>10608</v>
      </c>
      <c r="Q251" s="119">
        <f t="shared" si="99"/>
        <v>10608</v>
      </c>
      <c r="R251" s="119">
        <f t="shared" si="99"/>
        <v>21456</v>
      </c>
      <c r="S251" s="119">
        <f t="shared" si="99"/>
        <v>21456</v>
      </c>
      <c r="T251" s="119">
        <f t="shared" si="99"/>
        <v>21456</v>
      </c>
      <c r="U251" s="119">
        <f t="shared" si="99"/>
        <v>23740.800000000003</v>
      </c>
      <c r="V251" s="119">
        <f t="shared" si="99"/>
        <v>28996.800000000003</v>
      </c>
      <c r="W251" s="119">
        <f t="shared" si="99"/>
        <v>30394.560000000001</v>
      </c>
      <c r="X251" s="119">
        <f t="shared" si="99"/>
        <v>33394.559999999998</v>
      </c>
      <c r="Y251" s="119">
        <f t="shared" si="99"/>
        <v>35491.199999999997</v>
      </c>
      <c r="Z251" s="119">
        <f t="shared" si="99"/>
        <v>36190.080000000002</v>
      </c>
      <c r="AA251" s="119">
        <f t="shared" si="99"/>
        <v>40438.080000000002</v>
      </c>
      <c r="AB251" s="119">
        <f t="shared" si="99"/>
        <v>40438.080000000002</v>
      </c>
      <c r="AC251" s="119">
        <f t="shared" si="99"/>
        <v>40438.080000000002</v>
      </c>
      <c r="AD251" s="119">
        <f t="shared" si="99"/>
        <v>41835.839999999997</v>
      </c>
      <c r="AE251" s="119">
        <f t="shared" si="99"/>
        <v>41835.839999999997</v>
      </c>
      <c r="AF251" s="119">
        <f t="shared" si="99"/>
        <v>41835.839999999997</v>
      </c>
      <c r="AG251" s="119">
        <f t="shared" si="99"/>
        <v>43532.159999999996</v>
      </c>
      <c r="AH251" s="119">
        <f t="shared" si="99"/>
        <v>43532.159999999996</v>
      </c>
      <c r="AI251" s="119">
        <f t="shared" si="99"/>
        <v>43532.159999999996</v>
      </c>
      <c r="AJ251" s="119">
        <f t="shared" si="99"/>
        <v>40625.279999999999</v>
      </c>
      <c r="AK251" s="119">
        <f t="shared" si="99"/>
        <v>40625.279999999999</v>
      </c>
      <c r="AL251" s="119">
        <f t="shared" si="99"/>
        <v>40625.279999999999</v>
      </c>
      <c r="AM251" s="119">
        <f t="shared" si="99"/>
        <v>40625.279999999999</v>
      </c>
      <c r="AN251" s="119">
        <f t="shared" si="99"/>
        <v>40625.279999999999</v>
      </c>
      <c r="AO251" s="119">
        <f t="shared" si="99"/>
        <v>40625.279999999999</v>
      </c>
      <c r="AP251" s="119">
        <f t="shared" si="99"/>
        <v>40625.279999999999</v>
      </c>
      <c r="AQ251" s="119">
        <f t="shared" si="99"/>
        <v>40625.279999999999</v>
      </c>
      <c r="AR251" s="119">
        <f t="shared" si="99"/>
        <v>40625.279999999999</v>
      </c>
      <c r="AS251" s="119">
        <f t="shared" si="99"/>
        <v>42249.600000000006</v>
      </c>
      <c r="AT251" s="119">
        <f t="shared" si="99"/>
        <v>42249.600000000006</v>
      </c>
      <c r="AU251" s="119">
        <f t="shared" si="99"/>
        <v>42249.600000000006</v>
      </c>
      <c r="AV251" s="119">
        <f t="shared" si="99"/>
        <v>42249.600000000006</v>
      </c>
      <c r="AW251" s="119">
        <f t="shared" si="99"/>
        <v>42249.600000000006</v>
      </c>
      <c r="AX251" s="119">
        <f t="shared" si="99"/>
        <v>42249.600000000006</v>
      </c>
      <c r="AY251" s="119">
        <f t="shared" si="99"/>
        <v>42249.600000000006</v>
      </c>
      <c r="AZ251" s="119">
        <f t="shared" si="99"/>
        <v>42249.600000000006</v>
      </c>
      <c r="BA251" s="119">
        <f t="shared" si="99"/>
        <v>42249.600000000006</v>
      </c>
      <c r="BB251" s="119">
        <f t="shared" si="99"/>
        <v>42249.600000000006</v>
      </c>
      <c r="BC251" s="119">
        <f t="shared" si="99"/>
        <v>42249.600000000006</v>
      </c>
      <c r="BD251" s="119">
        <f t="shared" si="99"/>
        <v>42249.600000000006</v>
      </c>
      <c r="BE251" s="119">
        <f t="shared" si="99"/>
        <v>43941.600000000006</v>
      </c>
      <c r="BF251" s="119">
        <f t="shared" si="99"/>
        <v>47085.600000000006</v>
      </c>
      <c r="BG251" s="119">
        <f t="shared" si="99"/>
        <v>47085.600000000006</v>
      </c>
      <c r="BH251" s="119">
        <f t="shared" si="99"/>
        <v>47085.600000000006</v>
      </c>
      <c r="BI251" s="119">
        <f t="shared" si="99"/>
        <v>47085.600000000006</v>
      </c>
      <c r="BJ251" s="119">
        <f t="shared" si="99"/>
        <v>47085.600000000006</v>
      </c>
      <c r="BK251" s="119">
        <f t="shared" si="99"/>
        <v>47085.600000000006</v>
      </c>
      <c r="BL251" s="119">
        <f t="shared" si="99"/>
        <v>47085.600000000006</v>
      </c>
      <c r="BM251" s="119">
        <f t="shared" si="99"/>
        <v>47085.600000000006</v>
      </c>
    </row>
    <row r="252" spans="1:65" outlineLevel="1">
      <c r="A252" s="51"/>
      <c r="B252" s="51" t="s">
        <v>296</v>
      </c>
      <c r="C252" s="51"/>
      <c r="D252" s="120">
        <v>0.3</v>
      </c>
      <c r="E252" s="54"/>
      <c r="F252" s="121">
        <f>F251*$D252</f>
        <v>0</v>
      </c>
      <c r="G252" s="121">
        <f t="shared" ref="G252:BM252" si="100">G251*$D252</f>
        <v>0</v>
      </c>
      <c r="H252" s="121">
        <f t="shared" si="100"/>
        <v>0</v>
      </c>
      <c r="I252" s="121">
        <f t="shared" si="100"/>
        <v>0</v>
      </c>
      <c r="J252" s="121">
        <f t="shared" si="100"/>
        <v>0</v>
      </c>
      <c r="K252" s="121">
        <f t="shared" si="100"/>
        <v>0</v>
      </c>
      <c r="L252" s="121">
        <f t="shared" si="100"/>
        <v>957.59999999999991</v>
      </c>
      <c r="M252" s="121">
        <f t="shared" si="100"/>
        <v>957.59999999999991</v>
      </c>
      <c r="N252" s="121">
        <f t="shared" si="100"/>
        <v>957.59999999999991</v>
      </c>
      <c r="O252" s="121">
        <f t="shared" si="100"/>
        <v>1591.2</v>
      </c>
      <c r="P252" s="121">
        <f t="shared" si="100"/>
        <v>3182.4</v>
      </c>
      <c r="Q252" s="121">
        <f t="shared" si="100"/>
        <v>3182.4</v>
      </c>
      <c r="R252" s="121">
        <f t="shared" si="100"/>
        <v>6436.8</v>
      </c>
      <c r="S252" s="121">
        <f t="shared" si="100"/>
        <v>6436.8</v>
      </c>
      <c r="T252" s="121">
        <f t="shared" si="100"/>
        <v>6436.8</v>
      </c>
      <c r="U252" s="121">
        <f t="shared" si="100"/>
        <v>7122.2400000000007</v>
      </c>
      <c r="V252" s="121">
        <f t="shared" si="100"/>
        <v>8699.0400000000009</v>
      </c>
      <c r="W252" s="121">
        <f t="shared" si="100"/>
        <v>9118.3680000000004</v>
      </c>
      <c r="X252" s="121">
        <f t="shared" si="100"/>
        <v>10018.367999999999</v>
      </c>
      <c r="Y252" s="121">
        <f t="shared" si="100"/>
        <v>10647.359999999999</v>
      </c>
      <c r="Z252" s="121">
        <f t="shared" si="100"/>
        <v>10857.023999999999</v>
      </c>
      <c r="AA252" s="121">
        <f t="shared" si="100"/>
        <v>12131.424000000001</v>
      </c>
      <c r="AB252" s="121">
        <f t="shared" si="100"/>
        <v>12131.424000000001</v>
      </c>
      <c r="AC252" s="121">
        <f t="shared" si="100"/>
        <v>12131.424000000001</v>
      </c>
      <c r="AD252" s="121">
        <f t="shared" si="100"/>
        <v>12550.751999999999</v>
      </c>
      <c r="AE252" s="121">
        <f t="shared" si="100"/>
        <v>12550.751999999999</v>
      </c>
      <c r="AF252" s="121">
        <f t="shared" si="100"/>
        <v>12550.751999999999</v>
      </c>
      <c r="AG252" s="121">
        <f t="shared" si="100"/>
        <v>13059.647999999999</v>
      </c>
      <c r="AH252" s="121">
        <f t="shared" si="100"/>
        <v>13059.647999999999</v>
      </c>
      <c r="AI252" s="121">
        <f t="shared" si="100"/>
        <v>13059.647999999999</v>
      </c>
      <c r="AJ252" s="121">
        <f t="shared" si="100"/>
        <v>12187.583999999999</v>
      </c>
      <c r="AK252" s="121">
        <f t="shared" si="100"/>
        <v>12187.583999999999</v>
      </c>
      <c r="AL252" s="121">
        <f t="shared" si="100"/>
        <v>12187.583999999999</v>
      </c>
      <c r="AM252" s="121">
        <f t="shared" si="100"/>
        <v>12187.583999999999</v>
      </c>
      <c r="AN252" s="121">
        <f t="shared" si="100"/>
        <v>12187.583999999999</v>
      </c>
      <c r="AO252" s="121">
        <f t="shared" si="100"/>
        <v>12187.583999999999</v>
      </c>
      <c r="AP252" s="121">
        <f t="shared" si="100"/>
        <v>12187.583999999999</v>
      </c>
      <c r="AQ252" s="121">
        <f t="shared" si="100"/>
        <v>12187.583999999999</v>
      </c>
      <c r="AR252" s="121">
        <f t="shared" si="100"/>
        <v>12187.583999999999</v>
      </c>
      <c r="AS252" s="121">
        <f t="shared" si="100"/>
        <v>12674.880000000001</v>
      </c>
      <c r="AT252" s="121">
        <f t="shared" si="100"/>
        <v>12674.880000000001</v>
      </c>
      <c r="AU252" s="121">
        <f t="shared" si="100"/>
        <v>12674.880000000001</v>
      </c>
      <c r="AV252" s="121">
        <f t="shared" si="100"/>
        <v>12674.880000000001</v>
      </c>
      <c r="AW252" s="121">
        <f t="shared" si="100"/>
        <v>12674.880000000001</v>
      </c>
      <c r="AX252" s="121">
        <f t="shared" si="100"/>
        <v>12674.880000000001</v>
      </c>
      <c r="AY252" s="121">
        <f t="shared" si="100"/>
        <v>12674.880000000001</v>
      </c>
      <c r="AZ252" s="121">
        <f t="shared" si="100"/>
        <v>12674.880000000001</v>
      </c>
      <c r="BA252" s="121">
        <f t="shared" si="100"/>
        <v>12674.880000000001</v>
      </c>
      <c r="BB252" s="121">
        <f t="shared" si="100"/>
        <v>12674.880000000001</v>
      </c>
      <c r="BC252" s="121">
        <f t="shared" si="100"/>
        <v>12674.880000000001</v>
      </c>
      <c r="BD252" s="121">
        <f t="shared" si="100"/>
        <v>12674.880000000001</v>
      </c>
      <c r="BE252" s="121">
        <f t="shared" si="100"/>
        <v>13182.480000000001</v>
      </c>
      <c r="BF252" s="121">
        <f t="shared" si="100"/>
        <v>14125.680000000002</v>
      </c>
      <c r="BG252" s="121">
        <f t="shared" si="100"/>
        <v>14125.680000000002</v>
      </c>
      <c r="BH252" s="121">
        <f t="shared" si="100"/>
        <v>14125.680000000002</v>
      </c>
      <c r="BI252" s="121">
        <f t="shared" si="100"/>
        <v>14125.680000000002</v>
      </c>
      <c r="BJ252" s="121">
        <f t="shared" si="100"/>
        <v>14125.680000000002</v>
      </c>
      <c r="BK252" s="121">
        <f t="shared" si="100"/>
        <v>14125.680000000002</v>
      </c>
      <c r="BL252" s="121">
        <f t="shared" si="100"/>
        <v>14125.680000000002</v>
      </c>
      <c r="BM252" s="121">
        <f t="shared" si="100"/>
        <v>14125.680000000002</v>
      </c>
    </row>
    <row r="253" spans="1:65" outlineLevel="1">
      <c r="A253" s="51"/>
      <c r="B253" s="51" t="s">
        <v>297</v>
      </c>
      <c r="C253" s="51"/>
      <c r="D253" s="51"/>
      <c r="E253" s="54"/>
      <c r="F253" s="122">
        <f>F251+F252</f>
        <v>0</v>
      </c>
      <c r="G253" s="122">
        <f t="shared" ref="G253:BM253" si="101">G251+G252</f>
        <v>0</v>
      </c>
      <c r="H253" s="122">
        <f t="shared" si="101"/>
        <v>0</v>
      </c>
      <c r="I253" s="122">
        <f t="shared" si="101"/>
        <v>0</v>
      </c>
      <c r="J253" s="122">
        <f t="shared" si="101"/>
        <v>0</v>
      </c>
      <c r="K253" s="122">
        <f t="shared" si="101"/>
        <v>0</v>
      </c>
      <c r="L253" s="122">
        <f t="shared" si="101"/>
        <v>4149.6000000000004</v>
      </c>
      <c r="M253" s="122">
        <f t="shared" si="101"/>
        <v>4149.6000000000004</v>
      </c>
      <c r="N253" s="122">
        <f t="shared" si="101"/>
        <v>4149.6000000000004</v>
      </c>
      <c r="O253" s="122">
        <f t="shared" si="101"/>
        <v>6895.2</v>
      </c>
      <c r="P253" s="122">
        <f t="shared" si="101"/>
        <v>13790.4</v>
      </c>
      <c r="Q253" s="122">
        <f t="shared" si="101"/>
        <v>13790.4</v>
      </c>
      <c r="R253" s="122">
        <f t="shared" si="101"/>
        <v>27892.799999999999</v>
      </c>
      <c r="S253" s="122">
        <f t="shared" si="101"/>
        <v>27892.799999999999</v>
      </c>
      <c r="T253" s="122">
        <f t="shared" si="101"/>
        <v>27892.799999999999</v>
      </c>
      <c r="U253" s="122">
        <f t="shared" si="101"/>
        <v>30863.040000000005</v>
      </c>
      <c r="V253" s="122">
        <f t="shared" si="101"/>
        <v>37695.840000000004</v>
      </c>
      <c r="W253" s="122">
        <f t="shared" si="101"/>
        <v>39512.928</v>
      </c>
      <c r="X253" s="122">
        <f t="shared" si="101"/>
        <v>43412.928</v>
      </c>
      <c r="Y253" s="122">
        <f t="shared" si="101"/>
        <v>46138.559999999998</v>
      </c>
      <c r="Z253" s="122">
        <f t="shared" si="101"/>
        <v>47047.103999999999</v>
      </c>
      <c r="AA253" s="122">
        <f t="shared" si="101"/>
        <v>52569.504000000001</v>
      </c>
      <c r="AB253" s="122">
        <f t="shared" si="101"/>
        <v>52569.504000000001</v>
      </c>
      <c r="AC253" s="122">
        <f t="shared" si="101"/>
        <v>52569.504000000001</v>
      </c>
      <c r="AD253" s="122">
        <f t="shared" si="101"/>
        <v>54386.591999999997</v>
      </c>
      <c r="AE253" s="122">
        <f t="shared" si="101"/>
        <v>54386.591999999997</v>
      </c>
      <c r="AF253" s="122">
        <f t="shared" si="101"/>
        <v>54386.591999999997</v>
      </c>
      <c r="AG253" s="122">
        <f t="shared" si="101"/>
        <v>56591.807999999997</v>
      </c>
      <c r="AH253" s="122">
        <f t="shared" si="101"/>
        <v>56591.807999999997</v>
      </c>
      <c r="AI253" s="122">
        <f t="shared" si="101"/>
        <v>56591.807999999997</v>
      </c>
      <c r="AJ253" s="122">
        <f t="shared" si="101"/>
        <v>52812.864000000001</v>
      </c>
      <c r="AK253" s="122">
        <f t="shared" si="101"/>
        <v>52812.864000000001</v>
      </c>
      <c r="AL253" s="122">
        <f t="shared" si="101"/>
        <v>52812.864000000001</v>
      </c>
      <c r="AM253" s="122">
        <f t="shared" si="101"/>
        <v>52812.864000000001</v>
      </c>
      <c r="AN253" s="122">
        <f t="shared" si="101"/>
        <v>52812.864000000001</v>
      </c>
      <c r="AO253" s="122">
        <f t="shared" si="101"/>
        <v>52812.864000000001</v>
      </c>
      <c r="AP253" s="122">
        <f t="shared" si="101"/>
        <v>52812.864000000001</v>
      </c>
      <c r="AQ253" s="122">
        <f t="shared" si="101"/>
        <v>52812.864000000001</v>
      </c>
      <c r="AR253" s="122">
        <f t="shared" si="101"/>
        <v>52812.864000000001</v>
      </c>
      <c r="AS253" s="122">
        <f t="shared" si="101"/>
        <v>54924.48000000001</v>
      </c>
      <c r="AT253" s="122">
        <f t="shared" si="101"/>
        <v>54924.48000000001</v>
      </c>
      <c r="AU253" s="122">
        <f t="shared" si="101"/>
        <v>54924.48000000001</v>
      </c>
      <c r="AV253" s="122">
        <f t="shared" si="101"/>
        <v>54924.48000000001</v>
      </c>
      <c r="AW253" s="122">
        <f t="shared" si="101"/>
        <v>54924.48000000001</v>
      </c>
      <c r="AX253" s="122">
        <f t="shared" si="101"/>
        <v>54924.48000000001</v>
      </c>
      <c r="AY253" s="122">
        <f t="shared" si="101"/>
        <v>54924.48000000001</v>
      </c>
      <c r="AZ253" s="122">
        <f t="shared" si="101"/>
        <v>54924.48000000001</v>
      </c>
      <c r="BA253" s="122">
        <f t="shared" si="101"/>
        <v>54924.48000000001</v>
      </c>
      <c r="BB253" s="122">
        <f t="shared" si="101"/>
        <v>54924.48000000001</v>
      </c>
      <c r="BC253" s="122">
        <f t="shared" si="101"/>
        <v>54924.48000000001</v>
      </c>
      <c r="BD253" s="122">
        <f t="shared" si="101"/>
        <v>54924.48000000001</v>
      </c>
      <c r="BE253" s="122">
        <f t="shared" si="101"/>
        <v>57124.080000000009</v>
      </c>
      <c r="BF253" s="122">
        <f t="shared" si="101"/>
        <v>61211.280000000006</v>
      </c>
      <c r="BG253" s="122">
        <f t="shared" si="101"/>
        <v>61211.280000000006</v>
      </c>
      <c r="BH253" s="122">
        <f t="shared" si="101"/>
        <v>61211.280000000006</v>
      </c>
      <c r="BI253" s="122">
        <f t="shared" si="101"/>
        <v>61211.280000000006</v>
      </c>
      <c r="BJ253" s="122">
        <f t="shared" si="101"/>
        <v>61211.280000000006</v>
      </c>
      <c r="BK253" s="122">
        <f t="shared" si="101"/>
        <v>61211.280000000006</v>
      </c>
      <c r="BL253" s="122">
        <f t="shared" si="101"/>
        <v>61211.280000000006</v>
      </c>
      <c r="BM253" s="122">
        <f t="shared" si="101"/>
        <v>61211.280000000006</v>
      </c>
    </row>
    <row r="254" spans="1:65" outlineLevel="1">
      <c r="A254" s="51"/>
      <c r="B254" s="51"/>
      <c r="C254" s="51"/>
      <c r="D254" s="51"/>
      <c r="E254" s="54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  <c r="AA254" s="123"/>
      <c r="AB254" s="123"/>
      <c r="AC254" s="123"/>
      <c r="AD254" s="123"/>
      <c r="AE254" s="123"/>
      <c r="AF254" s="123"/>
      <c r="AG254" s="123"/>
      <c r="AH254" s="123"/>
      <c r="AI254" s="123"/>
      <c r="AJ254" s="123"/>
      <c r="AK254" s="123"/>
      <c r="AL254" s="123"/>
      <c r="AM254" s="123"/>
      <c r="AN254" s="123"/>
      <c r="AO254" s="123"/>
      <c r="AP254" s="123"/>
      <c r="AQ254" s="123"/>
      <c r="AR254" s="123"/>
      <c r="AS254" s="123"/>
      <c r="AT254" s="123"/>
      <c r="AU254" s="123"/>
      <c r="AV254" s="123"/>
      <c r="AW254" s="123"/>
      <c r="AX254" s="123"/>
      <c r="AY254" s="123"/>
      <c r="AZ254" s="123"/>
      <c r="BA254" s="123"/>
      <c r="BB254" s="123"/>
      <c r="BC254" s="123"/>
      <c r="BD254" s="123"/>
      <c r="BE254" s="123"/>
      <c r="BF254" s="123"/>
      <c r="BG254" s="123"/>
      <c r="BH254" s="123"/>
      <c r="BI254" s="123"/>
      <c r="BJ254" s="123"/>
      <c r="BK254" s="123"/>
      <c r="BL254" s="123"/>
      <c r="BM254" s="123"/>
    </row>
    <row r="255" spans="1:65" outlineLevel="1">
      <c r="A255" s="51"/>
      <c r="B255" s="51" t="s">
        <v>298</v>
      </c>
      <c r="C255" s="51"/>
      <c r="D255" s="51"/>
      <c r="E255" s="54">
        <f>SUM(F255:BM255)</f>
        <v>1826</v>
      </c>
      <c r="F255" s="69">
        <f t="shared" ref="F255:BM255" si="102">F9</f>
        <v>31</v>
      </c>
      <c r="G255" s="69">
        <f t="shared" si="102"/>
        <v>30</v>
      </c>
      <c r="H255" s="69">
        <f t="shared" si="102"/>
        <v>31</v>
      </c>
      <c r="I255" s="69">
        <f t="shared" si="102"/>
        <v>31</v>
      </c>
      <c r="J255" s="69">
        <f t="shared" si="102"/>
        <v>29</v>
      </c>
      <c r="K255" s="69">
        <f t="shared" si="102"/>
        <v>31</v>
      </c>
      <c r="L255" s="69">
        <f t="shared" si="102"/>
        <v>30</v>
      </c>
      <c r="M255" s="69">
        <f t="shared" si="102"/>
        <v>31</v>
      </c>
      <c r="N255" s="69">
        <f t="shared" si="102"/>
        <v>30</v>
      </c>
      <c r="O255" s="69">
        <f t="shared" si="102"/>
        <v>31</v>
      </c>
      <c r="P255" s="69">
        <f t="shared" si="102"/>
        <v>31</v>
      </c>
      <c r="Q255" s="69">
        <f t="shared" si="102"/>
        <v>30</v>
      </c>
      <c r="R255" s="69">
        <f t="shared" si="102"/>
        <v>31</v>
      </c>
      <c r="S255" s="69">
        <f t="shared" si="102"/>
        <v>30</v>
      </c>
      <c r="T255" s="69">
        <f t="shared" si="102"/>
        <v>31</v>
      </c>
      <c r="U255" s="69">
        <f t="shared" si="102"/>
        <v>31</v>
      </c>
      <c r="V255" s="69">
        <f t="shared" si="102"/>
        <v>28</v>
      </c>
      <c r="W255" s="69">
        <f t="shared" si="102"/>
        <v>31</v>
      </c>
      <c r="X255" s="69">
        <f t="shared" si="102"/>
        <v>30</v>
      </c>
      <c r="Y255" s="69">
        <f t="shared" si="102"/>
        <v>31</v>
      </c>
      <c r="Z255" s="69">
        <f t="shared" si="102"/>
        <v>30</v>
      </c>
      <c r="AA255" s="69">
        <f t="shared" si="102"/>
        <v>31</v>
      </c>
      <c r="AB255" s="69">
        <f t="shared" si="102"/>
        <v>31</v>
      </c>
      <c r="AC255" s="69">
        <f t="shared" si="102"/>
        <v>30</v>
      </c>
      <c r="AD255" s="69">
        <f t="shared" si="102"/>
        <v>31</v>
      </c>
      <c r="AE255" s="69">
        <f t="shared" si="102"/>
        <v>30</v>
      </c>
      <c r="AF255" s="69">
        <f t="shared" si="102"/>
        <v>31</v>
      </c>
      <c r="AG255" s="69">
        <f t="shared" si="102"/>
        <v>31</v>
      </c>
      <c r="AH255" s="69">
        <f t="shared" si="102"/>
        <v>28</v>
      </c>
      <c r="AI255" s="69">
        <f t="shared" si="102"/>
        <v>31</v>
      </c>
      <c r="AJ255" s="69">
        <f t="shared" si="102"/>
        <v>30</v>
      </c>
      <c r="AK255" s="69">
        <f t="shared" si="102"/>
        <v>31</v>
      </c>
      <c r="AL255" s="69">
        <f t="shared" si="102"/>
        <v>30</v>
      </c>
      <c r="AM255" s="69">
        <f t="shared" si="102"/>
        <v>31</v>
      </c>
      <c r="AN255" s="69">
        <f t="shared" si="102"/>
        <v>31</v>
      </c>
      <c r="AO255" s="69">
        <f t="shared" si="102"/>
        <v>30</v>
      </c>
      <c r="AP255" s="69">
        <f t="shared" si="102"/>
        <v>31</v>
      </c>
      <c r="AQ255" s="69">
        <f t="shared" si="102"/>
        <v>30</v>
      </c>
      <c r="AR255" s="69">
        <f t="shared" si="102"/>
        <v>31</v>
      </c>
      <c r="AS255" s="69">
        <f t="shared" si="102"/>
        <v>31</v>
      </c>
      <c r="AT255" s="69">
        <f t="shared" si="102"/>
        <v>28</v>
      </c>
      <c r="AU255" s="69">
        <f t="shared" si="102"/>
        <v>31</v>
      </c>
      <c r="AV255" s="69">
        <f t="shared" si="102"/>
        <v>30</v>
      </c>
      <c r="AW255" s="69">
        <f t="shared" si="102"/>
        <v>31</v>
      </c>
      <c r="AX255" s="69">
        <f t="shared" si="102"/>
        <v>30</v>
      </c>
      <c r="AY255" s="69">
        <f t="shared" si="102"/>
        <v>31</v>
      </c>
      <c r="AZ255" s="69">
        <f t="shared" si="102"/>
        <v>31</v>
      </c>
      <c r="BA255" s="69">
        <f t="shared" si="102"/>
        <v>30</v>
      </c>
      <c r="BB255" s="69">
        <f t="shared" si="102"/>
        <v>31</v>
      </c>
      <c r="BC255" s="69">
        <f t="shared" si="102"/>
        <v>30</v>
      </c>
      <c r="BD255" s="69">
        <f t="shared" si="102"/>
        <v>31</v>
      </c>
      <c r="BE255" s="69">
        <f t="shared" si="102"/>
        <v>31</v>
      </c>
      <c r="BF255" s="69">
        <f t="shared" si="102"/>
        <v>28</v>
      </c>
      <c r="BG255" s="69">
        <f t="shared" si="102"/>
        <v>31</v>
      </c>
      <c r="BH255" s="69">
        <f t="shared" si="102"/>
        <v>30</v>
      </c>
      <c r="BI255" s="69">
        <f t="shared" si="102"/>
        <v>31</v>
      </c>
      <c r="BJ255" s="69">
        <f t="shared" si="102"/>
        <v>30</v>
      </c>
      <c r="BK255" s="69">
        <f t="shared" si="102"/>
        <v>31</v>
      </c>
      <c r="BL255" s="69">
        <f t="shared" si="102"/>
        <v>31</v>
      </c>
      <c r="BM255" s="69">
        <f t="shared" si="102"/>
        <v>30</v>
      </c>
    </row>
    <row r="256" spans="1:65">
      <c r="A256" s="51"/>
      <c r="B256" s="51" t="s">
        <v>299</v>
      </c>
      <c r="C256" s="51" t="s">
        <v>132</v>
      </c>
      <c r="D256" s="51"/>
      <c r="E256" s="54">
        <f>SUM(F256:BM256)</f>
        <v>76609913.577600062</v>
      </c>
      <c r="F256" s="100">
        <f>F255*F253</f>
        <v>0</v>
      </c>
      <c r="G256" s="100">
        <f t="shared" ref="G256:K256" si="103">G255*G253</f>
        <v>0</v>
      </c>
      <c r="H256" s="100">
        <f t="shared" si="103"/>
        <v>0</v>
      </c>
      <c r="I256" s="100">
        <f t="shared" si="103"/>
        <v>0</v>
      </c>
      <c r="J256" s="100">
        <f t="shared" si="103"/>
        <v>0</v>
      </c>
      <c r="K256" s="100">
        <f t="shared" si="103"/>
        <v>0</v>
      </c>
      <c r="L256" s="51"/>
      <c r="M256" s="51"/>
      <c r="N256" s="51"/>
      <c r="O256" s="100">
        <f t="shared" ref="O256:BM256" si="104">O255*O253</f>
        <v>213751.19999999998</v>
      </c>
      <c r="P256" s="100">
        <f t="shared" si="104"/>
        <v>427502.39999999997</v>
      </c>
      <c r="Q256" s="100">
        <f t="shared" si="104"/>
        <v>413712</v>
      </c>
      <c r="R256" s="100">
        <f t="shared" si="104"/>
        <v>864676.79999999993</v>
      </c>
      <c r="S256" s="100">
        <f t="shared" si="104"/>
        <v>836784</v>
      </c>
      <c r="T256" s="100">
        <f t="shared" si="104"/>
        <v>864676.79999999993</v>
      </c>
      <c r="U256" s="100">
        <f t="shared" si="104"/>
        <v>956754.24000000011</v>
      </c>
      <c r="V256" s="100">
        <f t="shared" si="104"/>
        <v>1055483.52</v>
      </c>
      <c r="W256" s="100">
        <f t="shared" si="104"/>
        <v>1224900.7679999999</v>
      </c>
      <c r="X256" s="100">
        <f t="shared" si="104"/>
        <v>1302387.8400000001</v>
      </c>
      <c r="Y256" s="100">
        <f t="shared" si="104"/>
        <v>1430295.3599999999</v>
      </c>
      <c r="Z256" s="100">
        <f t="shared" si="104"/>
        <v>1411413.1199999999</v>
      </c>
      <c r="AA256" s="100">
        <f t="shared" si="104"/>
        <v>1629654.6240000001</v>
      </c>
      <c r="AB256" s="100">
        <f t="shared" si="104"/>
        <v>1629654.6240000001</v>
      </c>
      <c r="AC256" s="100">
        <f t="shared" si="104"/>
        <v>1577085.12</v>
      </c>
      <c r="AD256" s="100">
        <f t="shared" si="104"/>
        <v>1685984.352</v>
      </c>
      <c r="AE256" s="100">
        <f t="shared" si="104"/>
        <v>1631597.76</v>
      </c>
      <c r="AF256" s="100">
        <f t="shared" si="104"/>
        <v>1685984.352</v>
      </c>
      <c r="AG256" s="100">
        <f t="shared" si="104"/>
        <v>1754346.048</v>
      </c>
      <c r="AH256" s="100">
        <f t="shared" si="104"/>
        <v>1584570.6239999998</v>
      </c>
      <c r="AI256" s="100">
        <f t="shared" si="104"/>
        <v>1754346.048</v>
      </c>
      <c r="AJ256" s="100">
        <f>AJ255*AJ253*AJ$309</f>
        <v>1425947.328</v>
      </c>
      <c r="AK256" s="100">
        <f t="shared" ref="AK256:AL256" si="105">AK255*AK253*AK309</f>
        <v>1473478.9055999999</v>
      </c>
      <c r="AL256" s="100">
        <f t="shared" si="105"/>
        <v>1425947.328</v>
      </c>
      <c r="AM256" s="100">
        <f t="shared" si="104"/>
        <v>1637198.784</v>
      </c>
      <c r="AN256" s="100">
        <f t="shared" si="104"/>
        <v>1637198.784</v>
      </c>
      <c r="AO256" s="100">
        <f t="shared" si="104"/>
        <v>1584385.92</v>
      </c>
      <c r="AP256" s="100">
        <f t="shared" si="104"/>
        <v>1637198.784</v>
      </c>
      <c r="AQ256" s="100">
        <f t="shared" si="104"/>
        <v>1584385.92</v>
      </c>
      <c r="AR256" s="100">
        <f t="shared" si="104"/>
        <v>1637198.784</v>
      </c>
      <c r="AS256" s="100">
        <f t="shared" si="104"/>
        <v>1702658.8800000004</v>
      </c>
      <c r="AT256" s="100">
        <f t="shared" si="104"/>
        <v>1537885.4400000004</v>
      </c>
      <c r="AU256" s="100">
        <f t="shared" si="104"/>
        <v>1702658.8800000004</v>
      </c>
      <c r="AV256" s="100">
        <f t="shared" si="104"/>
        <v>1647734.4000000004</v>
      </c>
      <c r="AW256" s="100">
        <f t="shared" si="104"/>
        <v>1702658.8800000004</v>
      </c>
      <c r="AX256" s="100">
        <f t="shared" si="104"/>
        <v>1647734.4000000004</v>
      </c>
      <c r="AY256" s="100">
        <f t="shared" si="104"/>
        <v>1702658.8800000004</v>
      </c>
      <c r="AZ256" s="100">
        <f t="shared" si="104"/>
        <v>1702658.8800000004</v>
      </c>
      <c r="BA256" s="100">
        <f t="shared" si="104"/>
        <v>1647734.4000000004</v>
      </c>
      <c r="BB256" s="100">
        <f t="shared" si="104"/>
        <v>1702658.8800000004</v>
      </c>
      <c r="BC256" s="100">
        <f t="shared" si="104"/>
        <v>1647734.4000000004</v>
      </c>
      <c r="BD256" s="100">
        <f t="shared" si="104"/>
        <v>1702658.8800000004</v>
      </c>
      <c r="BE256" s="100">
        <f t="shared" si="104"/>
        <v>1770846.4800000002</v>
      </c>
      <c r="BF256" s="100">
        <f t="shared" si="104"/>
        <v>1713915.84</v>
      </c>
      <c r="BG256" s="100">
        <f t="shared" si="104"/>
        <v>1897549.6800000002</v>
      </c>
      <c r="BH256" s="100">
        <f t="shared" si="104"/>
        <v>1836338.4000000001</v>
      </c>
      <c r="BI256" s="100">
        <f t="shared" si="104"/>
        <v>1897549.6800000002</v>
      </c>
      <c r="BJ256" s="100">
        <f t="shared" si="104"/>
        <v>1836338.4000000001</v>
      </c>
      <c r="BK256" s="100">
        <f t="shared" si="104"/>
        <v>1897549.6800000002</v>
      </c>
      <c r="BL256" s="100">
        <f t="shared" si="104"/>
        <v>1897549.6800000002</v>
      </c>
      <c r="BM256" s="100">
        <f t="shared" si="104"/>
        <v>1836338.4000000001</v>
      </c>
    </row>
    <row r="257" spans="1:65">
      <c r="A257" s="51"/>
      <c r="B257" s="51" t="s">
        <v>300</v>
      </c>
      <c r="C257" s="51"/>
      <c r="D257" s="51"/>
      <c r="E257" s="54">
        <f>SUM(F257:BM257)</f>
        <v>858210.66239999991</v>
      </c>
      <c r="F257" s="100"/>
      <c r="G257" s="100"/>
      <c r="H257" s="100"/>
      <c r="I257" s="100"/>
      <c r="J257" s="100"/>
      <c r="K257" s="100"/>
      <c r="L257" s="100">
        <f>L255*L253</f>
        <v>124488.00000000001</v>
      </c>
      <c r="M257" s="100">
        <f>M255*M253</f>
        <v>128637.6</v>
      </c>
      <c r="N257" s="100">
        <f>N255*N253</f>
        <v>124488.00000000001</v>
      </c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>
        <f>AJ253*AJ255*(1-AJ$309)</f>
        <v>158438.59199999995</v>
      </c>
      <c r="AK257" s="100">
        <f t="shared" ref="AK257:AL257" si="106">AK253*AK255*(1-AK309)</f>
        <v>163719.87839999996</v>
      </c>
      <c r="AL257" s="100">
        <f t="shared" si="106"/>
        <v>158438.59199999995</v>
      </c>
      <c r="AM257" s="100"/>
      <c r="AN257" s="100"/>
      <c r="AO257" s="100"/>
      <c r="AP257" s="100"/>
      <c r="AQ257" s="100"/>
      <c r="AR257" s="100"/>
      <c r="AS257" s="100"/>
      <c r="AT257" s="100"/>
      <c r="AU257" s="100"/>
      <c r="AV257" s="100"/>
      <c r="AW257" s="100"/>
      <c r="AX257" s="100"/>
      <c r="AY257" s="100"/>
      <c r="AZ257" s="100"/>
      <c r="BA257" s="100"/>
      <c r="BB257" s="100"/>
      <c r="BC257" s="100"/>
      <c r="BD257" s="100"/>
      <c r="BE257" s="100"/>
      <c r="BF257" s="100"/>
      <c r="BG257" s="100"/>
      <c r="BH257" s="100"/>
      <c r="BI257" s="100"/>
      <c r="BJ257" s="100"/>
      <c r="BK257" s="100"/>
      <c r="BL257" s="100"/>
      <c r="BM257" s="100"/>
    </row>
    <row r="258" spans="1:65">
      <c r="A258" s="51"/>
      <c r="B258" s="51" t="s">
        <v>284</v>
      </c>
      <c r="C258" s="51"/>
      <c r="D258" s="51"/>
      <c r="E258" s="111">
        <f>SUM(E256:E257)/SUM(E336:E339)</f>
        <v>0.12163546906965481</v>
      </c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  <c r="AM258" s="100"/>
      <c r="AN258" s="100"/>
      <c r="AO258" s="100"/>
      <c r="AP258" s="100"/>
      <c r="AQ258" s="100"/>
      <c r="AR258" s="100"/>
      <c r="AS258" s="100"/>
      <c r="AT258" s="100"/>
      <c r="AU258" s="100"/>
      <c r="AV258" s="100"/>
      <c r="AW258" s="100"/>
      <c r="AX258" s="100"/>
      <c r="AY258" s="100"/>
      <c r="AZ258" s="100"/>
      <c r="BA258" s="100"/>
      <c r="BB258" s="100"/>
      <c r="BC258" s="100"/>
      <c r="BD258" s="100"/>
      <c r="BE258" s="100"/>
      <c r="BF258" s="100"/>
      <c r="BG258" s="100"/>
      <c r="BH258" s="100"/>
      <c r="BI258" s="100"/>
      <c r="BJ258" s="100"/>
      <c r="BK258" s="100"/>
      <c r="BL258" s="100"/>
      <c r="BM258" s="100"/>
    </row>
    <row r="259" spans="1:65">
      <c r="A259" s="51"/>
      <c r="B259" s="51"/>
      <c r="C259" s="51"/>
      <c r="D259" s="51"/>
      <c r="E259" s="54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  <c r="AL259" s="100"/>
      <c r="AM259" s="100"/>
      <c r="AN259" s="100"/>
      <c r="AO259" s="100"/>
      <c r="AP259" s="100"/>
      <c r="AQ259" s="100"/>
      <c r="AR259" s="100"/>
      <c r="AS259" s="100"/>
      <c r="AT259" s="100"/>
      <c r="AU259" s="100"/>
      <c r="AV259" s="100"/>
      <c r="AW259" s="100"/>
      <c r="AX259" s="100"/>
      <c r="AY259" s="100"/>
      <c r="AZ259" s="100"/>
      <c r="BA259" s="100"/>
      <c r="BB259" s="100"/>
      <c r="BC259" s="100"/>
      <c r="BD259" s="100"/>
      <c r="BE259" s="100"/>
      <c r="BF259" s="100"/>
      <c r="BG259" s="100"/>
      <c r="BH259" s="100"/>
      <c r="BI259" s="100"/>
      <c r="BJ259" s="100"/>
      <c r="BK259" s="100"/>
      <c r="BL259" s="100"/>
      <c r="BM259" s="100"/>
    </row>
    <row r="260" spans="1:65">
      <c r="A260" s="51"/>
      <c r="B260" s="51"/>
      <c r="C260" s="51"/>
      <c r="D260" s="51"/>
      <c r="E260" s="54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  <c r="AM260" s="100"/>
      <c r="AN260" s="100"/>
      <c r="AO260" s="100"/>
      <c r="AP260" s="100"/>
      <c r="AQ260" s="100"/>
      <c r="AR260" s="100"/>
      <c r="AS260" s="100"/>
      <c r="AT260" s="100"/>
      <c r="AU260" s="100"/>
      <c r="AV260" s="100"/>
      <c r="AW260" s="100"/>
      <c r="AX260" s="100"/>
      <c r="AY260" s="100"/>
      <c r="AZ260" s="100"/>
      <c r="BA260" s="100"/>
      <c r="BB260" s="100"/>
      <c r="BC260" s="100"/>
      <c r="BD260" s="100"/>
      <c r="BE260" s="100"/>
      <c r="BF260" s="100"/>
      <c r="BG260" s="100"/>
      <c r="BH260" s="100"/>
      <c r="BI260" s="100"/>
      <c r="BJ260" s="100"/>
      <c r="BK260" s="100"/>
      <c r="BL260" s="100"/>
      <c r="BM260" s="100"/>
    </row>
    <row r="261" spans="1:65">
      <c r="A261" s="51"/>
      <c r="B261" s="51"/>
      <c r="C261" s="51"/>
      <c r="D261" s="51"/>
      <c r="E261" s="54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  <c r="AM261" s="100"/>
      <c r="AN261" s="100"/>
      <c r="AO261" s="100"/>
      <c r="AP261" s="100"/>
      <c r="AQ261" s="100"/>
      <c r="AR261" s="100"/>
      <c r="AS261" s="100"/>
      <c r="AT261" s="100"/>
      <c r="AU261" s="100"/>
      <c r="AV261" s="100"/>
      <c r="AW261" s="100"/>
      <c r="AX261" s="100"/>
      <c r="AY261" s="100"/>
      <c r="AZ261" s="100"/>
      <c r="BA261" s="100"/>
      <c r="BB261" s="100"/>
      <c r="BC261" s="100"/>
      <c r="BD261" s="100"/>
      <c r="BE261" s="100"/>
      <c r="BF261" s="100"/>
      <c r="BG261" s="100"/>
      <c r="BH261" s="100"/>
      <c r="BI261" s="100"/>
      <c r="BJ261" s="100"/>
      <c r="BK261" s="100"/>
      <c r="BL261" s="100"/>
      <c r="BM261" s="100"/>
    </row>
    <row r="262" spans="1:65">
      <c r="A262" s="3" t="s">
        <v>301</v>
      </c>
      <c r="B262" s="51"/>
      <c r="C262" s="51"/>
      <c r="D262" s="51"/>
      <c r="E262" s="54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  <c r="AM262" s="100"/>
      <c r="AN262" s="100"/>
      <c r="AO262" s="100"/>
      <c r="AP262" s="100"/>
      <c r="AQ262" s="100"/>
      <c r="AR262" s="100"/>
      <c r="AS262" s="100"/>
      <c r="AT262" s="100"/>
      <c r="AU262" s="100"/>
      <c r="AV262" s="100"/>
      <c r="AW262" s="100"/>
      <c r="AX262" s="100"/>
      <c r="AY262" s="100"/>
      <c r="AZ262" s="100"/>
      <c r="BA262" s="100"/>
      <c r="BB262" s="100"/>
      <c r="BC262" s="100"/>
      <c r="BD262" s="100"/>
      <c r="BE262" s="100"/>
      <c r="BF262" s="100"/>
      <c r="BG262" s="100"/>
      <c r="BH262" s="100"/>
      <c r="BI262" s="100"/>
      <c r="BJ262" s="100"/>
      <c r="BK262" s="100"/>
      <c r="BL262" s="100"/>
      <c r="BM262" s="100"/>
    </row>
    <row r="263" spans="1:65">
      <c r="A263" s="3" t="s">
        <v>302</v>
      </c>
      <c r="B263" s="51"/>
      <c r="C263" s="51"/>
      <c r="D263" s="51"/>
      <c r="E263" s="54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  <c r="AM263" s="100"/>
      <c r="AN263" s="100"/>
      <c r="AO263" s="100"/>
      <c r="AP263" s="100"/>
      <c r="AQ263" s="100"/>
      <c r="AR263" s="100"/>
      <c r="AS263" s="100"/>
      <c r="AT263" s="100"/>
      <c r="AU263" s="100"/>
      <c r="AV263" s="100"/>
      <c r="AW263" s="100"/>
      <c r="AX263" s="100"/>
      <c r="AY263" s="100"/>
      <c r="AZ263" s="100"/>
      <c r="BA263" s="100"/>
      <c r="BB263" s="100"/>
      <c r="BC263" s="100"/>
      <c r="BD263" s="100"/>
      <c r="BE263" s="100"/>
      <c r="BF263" s="100"/>
      <c r="BG263" s="100"/>
      <c r="BH263" s="100"/>
      <c r="BI263" s="100"/>
      <c r="BJ263" s="100"/>
      <c r="BK263" s="100"/>
      <c r="BL263" s="100"/>
      <c r="BM263" s="100"/>
    </row>
    <row r="264" spans="1:65" outlineLevel="1">
      <c r="A264" s="3"/>
      <c r="B264" s="51" t="s">
        <v>303</v>
      </c>
      <c r="C264" s="51"/>
      <c r="D264" s="51"/>
      <c r="E264" s="54">
        <f t="shared" ref="E264:E275" si="107">SUM(F264:BM264)</f>
        <v>1189702.5</v>
      </c>
      <c r="F264" s="100">
        <f>[1]OpCost!$E12*F$310</f>
        <v>0</v>
      </c>
      <c r="G264" s="100">
        <f>[1]OpCost!$E12*G$310</f>
        <v>0</v>
      </c>
      <c r="H264" s="100">
        <f>[1]OpCost!$E12*H$310</f>
        <v>0</v>
      </c>
      <c r="I264" s="100">
        <f>[1]OpCost!$E12*I$310</f>
        <v>0</v>
      </c>
      <c r="J264" s="100">
        <f>[1]OpCost!$E12*J$310</f>
        <v>0</v>
      </c>
      <c r="K264" s="100">
        <f>[1]OpCost!$E12*K$310</f>
        <v>0</v>
      </c>
      <c r="L264" s="100">
        <f>[1]OpCost!$E12*L$310</f>
        <v>350</v>
      </c>
      <c r="M264" s="100">
        <f>[1]OpCost!$E12*M$310</f>
        <v>542.49999999999989</v>
      </c>
      <c r="N264" s="100">
        <f>[1]OpCost!$E12*N$310</f>
        <v>2800</v>
      </c>
      <c r="O264" s="100">
        <f>[1]OpCost!$E12*O$310</f>
        <v>4339.9999999999991</v>
      </c>
      <c r="P264" s="100">
        <f>[1]OpCost!$E12*P$310</f>
        <v>9764.9999999999982</v>
      </c>
      <c r="Q264" s="100">
        <f>[1]OpCost!$E12*Q$310</f>
        <v>9450</v>
      </c>
      <c r="R264" s="100">
        <f>[1]OpCost!$E12*R$310</f>
        <v>13020</v>
      </c>
      <c r="S264" s="100">
        <f>[1]OpCost!$E12*S$310</f>
        <v>12599.999999999998</v>
      </c>
      <c r="T264" s="100">
        <f>[1]OpCost!$E12*T$310</f>
        <v>16274.999999999998</v>
      </c>
      <c r="U264" s="100">
        <f>[1]OpCost!$E12*U$310</f>
        <v>16274.999999999998</v>
      </c>
      <c r="V264" s="100">
        <f>[1]OpCost!$E12*V$310</f>
        <v>17640</v>
      </c>
      <c r="W264" s="100">
        <f>[1]OpCost!$E12*W$310</f>
        <v>19529.999999999996</v>
      </c>
      <c r="X264" s="100">
        <f>[1]OpCost!$E12*X$310</f>
        <v>22050</v>
      </c>
      <c r="Y264" s="100">
        <f>[1]OpCost!$E12*Y$310</f>
        <v>22784.999999999996</v>
      </c>
      <c r="Z264" s="100">
        <f>[1]OpCost!$E12*Z$310</f>
        <v>25199.999999999996</v>
      </c>
      <c r="AA264" s="100">
        <f>[1]OpCost!$E12*AA$310</f>
        <v>26040</v>
      </c>
      <c r="AB264" s="100">
        <f>[1]OpCost!$E12*AB$310</f>
        <v>26040</v>
      </c>
      <c r="AC264" s="100">
        <f>[1]OpCost!$E12*AC$310</f>
        <v>25199.999999999996</v>
      </c>
      <c r="AD264" s="100">
        <f>[1]OpCost!$E12*AD$310</f>
        <v>26040</v>
      </c>
      <c r="AE264" s="100">
        <f>[1]OpCost!$E12*AE$310</f>
        <v>25199.999999999996</v>
      </c>
      <c r="AF264" s="100">
        <f>[1]OpCost!$E12*AF$310</f>
        <v>26040</v>
      </c>
      <c r="AG264" s="100">
        <f>[1]OpCost!$E12*AG$310</f>
        <v>26040</v>
      </c>
      <c r="AH264" s="100">
        <f>[1]OpCost!$E12*AH$310</f>
        <v>23520</v>
      </c>
      <c r="AI264" s="100">
        <f>[1]OpCost!$E12*AI$310</f>
        <v>26040</v>
      </c>
      <c r="AJ264" s="100">
        <f>[1]OpCost!$E12*AJ$310</f>
        <v>25199.999999999996</v>
      </c>
      <c r="AK264" s="100">
        <f>[1]OpCost!$E12*AK$310</f>
        <v>26040</v>
      </c>
      <c r="AL264" s="100">
        <f>[1]OpCost!$E12*AL$310</f>
        <v>25199.999999999996</v>
      </c>
      <c r="AM264" s="100">
        <f>[1]OpCost!$E12*AM$310</f>
        <v>26040</v>
      </c>
      <c r="AN264" s="100">
        <f>[1]OpCost!$E12*AN$310</f>
        <v>26040</v>
      </c>
      <c r="AO264" s="100">
        <f>[1]OpCost!$E12*AO$310</f>
        <v>25199.999999999996</v>
      </c>
      <c r="AP264" s="100">
        <f>[1]OpCost!$E12*AP$310</f>
        <v>26040</v>
      </c>
      <c r="AQ264" s="100">
        <f>[1]OpCost!$E12*AQ$310</f>
        <v>25199.999999999996</v>
      </c>
      <c r="AR264" s="100">
        <f>[1]OpCost!$E12*AR$310</f>
        <v>26040</v>
      </c>
      <c r="AS264" s="100">
        <f>[1]OpCost!$E12*AS$310</f>
        <v>26040</v>
      </c>
      <c r="AT264" s="100">
        <f>[1]OpCost!$E12*AT$310</f>
        <v>23520</v>
      </c>
      <c r="AU264" s="100">
        <f>[1]OpCost!$E12*AU$310</f>
        <v>26040</v>
      </c>
      <c r="AV264" s="100">
        <f>[1]OpCost!$E12*AV$310</f>
        <v>25199.999999999996</v>
      </c>
      <c r="AW264" s="100">
        <f>[1]OpCost!$E12*AW$310</f>
        <v>26040</v>
      </c>
      <c r="AX264" s="100">
        <f>[1]OpCost!$E12*AX$310</f>
        <v>25199.999999999996</v>
      </c>
      <c r="AY264" s="100">
        <f>[1]OpCost!$E12*AY$310</f>
        <v>26040</v>
      </c>
      <c r="AZ264" s="100">
        <f>[1]OpCost!$E12*AZ$310</f>
        <v>26040</v>
      </c>
      <c r="BA264" s="100">
        <f>[1]OpCost!$E12*BA$310</f>
        <v>25199.999999999996</v>
      </c>
      <c r="BB264" s="100">
        <f>[1]OpCost!$E12*BB$310</f>
        <v>26040</v>
      </c>
      <c r="BC264" s="100">
        <f>[1]OpCost!$E12*BC$310</f>
        <v>25199.999999999996</v>
      </c>
      <c r="BD264" s="100">
        <f>[1]OpCost!$E12*BD$310</f>
        <v>26040</v>
      </c>
      <c r="BE264" s="100">
        <f>[1]OpCost!$E12*BE$310</f>
        <v>26040</v>
      </c>
      <c r="BF264" s="100">
        <f>[1]OpCost!$E12*BF$310</f>
        <v>23520</v>
      </c>
      <c r="BG264" s="100">
        <f>[1]OpCost!$E12*BG$310</f>
        <v>26040</v>
      </c>
      <c r="BH264" s="100">
        <f>[1]OpCost!$E12*BH$310</f>
        <v>25199.999999999996</v>
      </c>
      <c r="BI264" s="100">
        <f>[1]OpCost!$E12*BI$310</f>
        <v>26040</v>
      </c>
      <c r="BJ264" s="100">
        <f>[1]OpCost!$E12*BJ$310</f>
        <v>25199.999999999996</v>
      </c>
      <c r="BK264" s="100">
        <f>[1]OpCost!$E12*BK$310</f>
        <v>26040</v>
      </c>
      <c r="BL264" s="100">
        <f>[1]OpCost!$E12*BL$310</f>
        <v>26040</v>
      </c>
      <c r="BM264" s="100">
        <f>[1]OpCost!$E12*BM$310</f>
        <v>25199.999999999996</v>
      </c>
    </row>
    <row r="265" spans="1:65" outlineLevel="1">
      <c r="A265" s="3"/>
      <c r="B265" s="51" t="s">
        <v>304</v>
      </c>
      <c r="C265" s="51"/>
      <c r="D265" s="51"/>
      <c r="E265" s="54">
        <f t="shared" si="107"/>
        <v>2719320</v>
      </c>
      <c r="F265" s="100">
        <f>[1]OpCost!$E13*F$310</f>
        <v>0</v>
      </c>
      <c r="G265" s="100">
        <f>[1]OpCost!$E13*G$310</f>
        <v>0</v>
      </c>
      <c r="H265" s="100">
        <f>[1]OpCost!$E13*H$310</f>
        <v>0</v>
      </c>
      <c r="I265" s="100">
        <f>[1]OpCost!$E13*I$310</f>
        <v>0</v>
      </c>
      <c r="J265" s="100">
        <f>[1]OpCost!$E13*J$310</f>
        <v>0</v>
      </c>
      <c r="K265" s="100">
        <f>[1]OpCost!$E13*K$310</f>
        <v>0</v>
      </c>
      <c r="L265" s="100">
        <f>[1]OpCost!$E13*L$310</f>
        <v>800</v>
      </c>
      <c r="M265" s="100">
        <f>[1]OpCost!$E13*M$310</f>
        <v>1240</v>
      </c>
      <c r="N265" s="100">
        <f>[1]OpCost!$E13*N$310</f>
        <v>6400</v>
      </c>
      <c r="O265" s="100">
        <f>[1]OpCost!$E13*O$310</f>
        <v>9920</v>
      </c>
      <c r="P265" s="100">
        <f>[1]OpCost!$E13*P$310</f>
        <v>22320</v>
      </c>
      <c r="Q265" s="100">
        <f>[1]OpCost!$E13*Q$310</f>
        <v>21600</v>
      </c>
      <c r="R265" s="100">
        <f>[1]OpCost!$E13*R$310</f>
        <v>29760</v>
      </c>
      <c r="S265" s="100">
        <f>[1]OpCost!$E13*S$310</f>
        <v>28800</v>
      </c>
      <c r="T265" s="100">
        <f>[1]OpCost!$E13*T$310</f>
        <v>37200</v>
      </c>
      <c r="U265" s="100">
        <f>[1]OpCost!$E13*U$310</f>
        <v>37200</v>
      </c>
      <c r="V265" s="100">
        <f>[1]OpCost!$E13*V$310</f>
        <v>40320</v>
      </c>
      <c r="W265" s="100">
        <f>[1]OpCost!$E13*W$310</f>
        <v>44640</v>
      </c>
      <c r="X265" s="100">
        <f>[1]OpCost!$E13*X$310</f>
        <v>50400</v>
      </c>
      <c r="Y265" s="100">
        <f>[1]OpCost!$E13*Y$310</f>
        <v>52079.999999999993</v>
      </c>
      <c r="Z265" s="100">
        <f>[1]OpCost!$E13*Z$310</f>
        <v>57600</v>
      </c>
      <c r="AA265" s="100">
        <f>[1]OpCost!$E13*AA$310</f>
        <v>59520</v>
      </c>
      <c r="AB265" s="100">
        <f>[1]OpCost!$E13*AB$310</f>
        <v>59520</v>
      </c>
      <c r="AC265" s="100">
        <f>[1]OpCost!$E13*AC$310</f>
        <v>57600</v>
      </c>
      <c r="AD265" s="100">
        <f>[1]OpCost!$E13*AD$310</f>
        <v>59520</v>
      </c>
      <c r="AE265" s="100">
        <f>[1]OpCost!$E13*AE$310</f>
        <v>57600</v>
      </c>
      <c r="AF265" s="100">
        <f>[1]OpCost!$E13*AF$310</f>
        <v>59520</v>
      </c>
      <c r="AG265" s="100">
        <f>[1]OpCost!$E13*AG$310</f>
        <v>59520</v>
      </c>
      <c r="AH265" s="100">
        <f>[1]OpCost!$E13*AH$310</f>
        <v>53760.000000000007</v>
      </c>
      <c r="AI265" s="100">
        <f>[1]OpCost!$E13*AI$310</f>
        <v>59520</v>
      </c>
      <c r="AJ265" s="100">
        <f>[1]OpCost!$E13*AJ$310</f>
        <v>57600</v>
      </c>
      <c r="AK265" s="100">
        <f>[1]OpCost!$E13*AK$310</f>
        <v>59520</v>
      </c>
      <c r="AL265" s="100">
        <f>[1]OpCost!$E13*AL$310</f>
        <v>57600</v>
      </c>
      <c r="AM265" s="100">
        <f>[1]OpCost!$E13*AM$310</f>
        <v>59520</v>
      </c>
      <c r="AN265" s="100">
        <f>[1]OpCost!$E13*AN$310</f>
        <v>59520</v>
      </c>
      <c r="AO265" s="100">
        <f>[1]OpCost!$E13*AO$310</f>
        <v>57600</v>
      </c>
      <c r="AP265" s="100">
        <f>[1]OpCost!$E13*AP$310</f>
        <v>59520</v>
      </c>
      <c r="AQ265" s="100">
        <f>[1]OpCost!$E13*AQ$310</f>
        <v>57600</v>
      </c>
      <c r="AR265" s="100">
        <f>[1]OpCost!$E13*AR$310</f>
        <v>59520</v>
      </c>
      <c r="AS265" s="100">
        <f>[1]OpCost!$E13*AS$310</f>
        <v>59520</v>
      </c>
      <c r="AT265" s="100">
        <f>[1]OpCost!$E13*AT$310</f>
        <v>53760.000000000007</v>
      </c>
      <c r="AU265" s="100">
        <f>[1]OpCost!$E13*AU$310</f>
        <v>59520</v>
      </c>
      <c r="AV265" s="100">
        <f>[1]OpCost!$E13*AV$310</f>
        <v>57600</v>
      </c>
      <c r="AW265" s="100">
        <f>[1]OpCost!$E13*AW$310</f>
        <v>59520</v>
      </c>
      <c r="AX265" s="100">
        <f>[1]OpCost!$E13*AX$310</f>
        <v>57600</v>
      </c>
      <c r="AY265" s="100">
        <f>[1]OpCost!$E13*AY$310</f>
        <v>59520</v>
      </c>
      <c r="AZ265" s="100">
        <f>[1]OpCost!$E13*AZ$310</f>
        <v>59520</v>
      </c>
      <c r="BA265" s="100">
        <f>[1]OpCost!$E13*BA$310</f>
        <v>57600</v>
      </c>
      <c r="BB265" s="100">
        <f>[1]OpCost!$E13*BB$310</f>
        <v>59520</v>
      </c>
      <c r="BC265" s="100">
        <f>[1]OpCost!$E13*BC$310</f>
        <v>57600</v>
      </c>
      <c r="BD265" s="100">
        <f>[1]OpCost!$E13*BD$310</f>
        <v>59520</v>
      </c>
      <c r="BE265" s="100">
        <f>[1]OpCost!$E13*BE$310</f>
        <v>59520</v>
      </c>
      <c r="BF265" s="100">
        <f>[1]OpCost!$E13*BF$310</f>
        <v>53760.000000000007</v>
      </c>
      <c r="BG265" s="100">
        <f>[1]OpCost!$E13*BG$310</f>
        <v>59520</v>
      </c>
      <c r="BH265" s="100">
        <f>[1]OpCost!$E13*BH$310</f>
        <v>57600</v>
      </c>
      <c r="BI265" s="100">
        <f>[1]OpCost!$E13*BI$310</f>
        <v>59520</v>
      </c>
      <c r="BJ265" s="100">
        <f>[1]OpCost!$E13*BJ$310</f>
        <v>57600</v>
      </c>
      <c r="BK265" s="100">
        <f>[1]OpCost!$E13*BK$310</f>
        <v>59520</v>
      </c>
      <c r="BL265" s="100">
        <f>[1]OpCost!$E13*BL$310</f>
        <v>59520</v>
      </c>
      <c r="BM265" s="100">
        <f>[1]OpCost!$E13*BM$310</f>
        <v>57600</v>
      </c>
    </row>
    <row r="266" spans="1:65" outlineLevel="1">
      <c r="A266" s="3"/>
      <c r="B266" t="s">
        <v>305</v>
      </c>
      <c r="C266" s="51"/>
      <c r="D266" s="51"/>
      <c r="E266" s="54">
        <f t="shared" si="107"/>
        <v>0</v>
      </c>
      <c r="F266" s="100">
        <f>[1]OpCost!$E14*F$310</f>
        <v>0</v>
      </c>
      <c r="G266" s="100">
        <f>[1]OpCost!$E14*G$310</f>
        <v>0</v>
      </c>
      <c r="H266" s="100">
        <f>[1]OpCost!$E14*H$310</f>
        <v>0</v>
      </c>
      <c r="I266" s="100">
        <f>[1]OpCost!$E14*I$310</f>
        <v>0</v>
      </c>
      <c r="J266" s="100">
        <f>[1]OpCost!$E14*J$310</f>
        <v>0</v>
      </c>
      <c r="K266" s="100">
        <f>[1]OpCost!$E14*K$310</f>
        <v>0</v>
      </c>
      <c r="L266" s="100">
        <f>[1]OpCost!$E14*L$310</f>
        <v>0</v>
      </c>
      <c r="M266" s="100">
        <f>[1]OpCost!$E14*M$310</f>
        <v>0</v>
      </c>
      <c r="N266" s="100">
        <f>[1]OpCost!$E14*N$310</f>
        <v>0</v>
      </c>
      <c r="O266" s="100">
        <f>[1]OpCost!$E14*O$310</f>
        <v>0</v>
      </c>
      <c r="P266" s="100">
        <f>[1]OpCost!$E14*P$310</f>
        <v>0</v>
      </c>
      <c r="Q266" s="100">
        <f>[1]OpCost!$E14*Q$310</f>
        <v>0</v>
      </c>
      <c r="R266" s="100">
        <f>[1]OpCost!$E14*R$310</f>
        <v>0</v>
      </c>
      <c r="S266" s="100">
        <f>[1]OpCost!$E14*S$310</f>
        <v>0</v>
      </c>
      <c r="T266" s="100">
        <f>[1]OpCost!$E14*T$310</f>
        <v>0</v>
      </c>
      <c r="U266" s="100">
        <f>[1]OpCost!$E14*U$310</f>
        <v>0</v>
      </c>
      <c r="V266" s="100">
        <f>[1]OpCost!$E14*V$310</f>
        <v>0</v>
      </c>
      <c r="W266" s="100">
        <f>[1]OpCost!$E14*W$310</f>
        <v>0</v>
      </c>
      <c r="X266" s="100">
        <f>[1]OpCost!$E14*X$310</f>
        <v>0</v>
      </c>
      <c r="Y266" s="100">
        <f>[1]OpCost!$E14*Y$310</f>
        <v>0</v>
      </c>
      <c r="Z266" s="100">
        <f>[1]OpCost!$E14*Z$310</f>
        <v>0</v>
      </c>
      <c r="AA266" s="100">
        <f>[1]OpCost!$E14*AA$310</f>
        <v>0</v>
      </c>
      <c r="AB266" s="100">
        <f>[1]OpCost!$E14*AB$310</f>
        <v>0</v>
      </c>
      <c r="AC266" s="100">
        <f>[1]OpCost!$E14*AC$310</f>
        <v>0</v>
      </c>
      <c r="AD266" s="100">
        <f>[1]OpCost!$E14*AD$310</f>
        <v>0</v>
      </c>
      <c r="AE266" s="100">
        <f>[1]OpCost!$E14*AE$310</f>
        <v>0</v>
      </c>
      <c r="AF266" s="100">
        <f>[1]OpCost!$E14*AF$310</f>
        <v>0</v>
      </c>
      <c r="AG266" s="100">
        <f>[1]OpCost!$E14*AG$310</f>
        <v>0</v>
      </c>
      <c r="AH266" s="100">
        <f>[1]OpCost!$E14*AH$310</f>
        <v>0</v>
      </c>
      <c r="AI266" s="100">
        <f>[1]OpCost!$E14*AI$310</f>
        <v>0</v>
      </c>
      <c r="AJ266" s="100">
        <f>[1]OpCost!$E14*AJ$310</f>
        <v>0</v>
      </c>
      <c r="AK266" s="100">
        <f>[1]OpCost!$E14*AK$310</f>
        <v>0</v>
      </c>
      <c r="AL266" s="100">
        <f>[1]OpCost!$E14*AL$310</f>
        <v>0</v>
      </c>
      <c r="AM266" s="100">
        <f>[1]OpCost!$E14*AM$310</f>
        <v>0</v>
      </c>
      <c r="AN266" s="100">
        <f>[1]OpCost!$E14*AN$310</f>
        <v>0</v>
      </c>
      <c r="AO266" s="100">
        <f>[1]OpCost!$E14*AO$310</f>
        <v>0</v>
      </c>
      <c r="AP266" s="100">
        <f>[1]OpCost!$E14*AP$310</f>
        <v>0</v>
      </c>
      <c r="AQ266" s="100">
        <f>[1]OpCost!$E14*AQ$310</f>
        <v>0</v>
      </c>
      <c r="AR266" s="100">
        <f>[1]OpCost!$E14*AR$310</f>
        <v>0</v>
      </c>
      <c r="AS266" s="100">
        <f>[1]OpCost!$E14*AS$310</f>
        <v>0</v>
      </c>
      <c r="AT266" s="100">
        <f>[1]OpCost!$E14*AT$310</f>
        <v>0</v>
      </c>
      <c r="AU266" s="100">
        <f>[1]OpCost!$E14*AU$310</f>
        <v>0</v>
      </c>
      <c r="AV266" s="100">
        <f>[1]OpCost!$E14*AV$310</f>
        <v>0</v>
      </c>
      <c r="AW266" s="100">
        <f>[1]OpCost!$E14*AW$310</f>
        <v>0</v>
      </c>
      <c r="AX266" s="100">
        <f>[1]OpCost!$E14*AX$310</f>
        <v>0</v>
      </c>
      <c r="AY266" s="100">
        <f>[1]OpCost!$E14*AY$310</f>
        <v>0</v>
      </c>
      <c r="AZ266" s="100">
        <f>[1]OpCost!$E14*AZ$310</f>
        <v>0</v>
      </c>
      <c r="BA266" s="100">
        <f>[1]OpCost!$E14*BA$310</f>
        <v>0</v>
      </c>
      <c r="BB266" s="100">
        <f>[1]OpCost!$E14*BB$310</f>
        <v>0</v>
      </c>
      <c r="BC266" s="100">
        <f>[1]OpCost!$E14*BC$310</f>
        <v>0</v>
      </c>
      <c r="BD266" s="100">
        <f>[1]OpCost!$E14*BD$310</f>
        <v>0</v>
      </c>
      <c r="BE266" s="100">
        <f>[1]OpCost!$E14*BE$310</f>
        <v>0</v>
      </c>
      <c r="BF266" s="100">
        <f>[1]OpCost!$E14*BF$310</f>
        <v>0</v>
      </c>
      <c r="BG266" s="100">
        <f>[1]OpCost!$E14*BG$310</f>
        <v>0</v>
      </c>
      <c r="BH266" s="100">
        <f>[1]OpCost!$E14*BH$310</f>
        <v>0</v>
      </c>
      <c r="BI266" s="100">
        <f>[1]OpCost!$E14*BI$310</f>
        <v>0</v>
      </c>
      <c r="BJ266" s="100">
        <f>[1]OpCost!$E14*BJ$310</f>
        <v>0</v>
      </c>
      <c r="BK266" s="100">
        <f>[1]OpCost!$E14*BK$310</f>
        <v>0</v>
      </c>
      <c r="BL266" s="100">
        <f>[1]OpCost!$E14*BL$310</f>
        <v>0</v>
      </c>
      <c r="BM266" s="100">
        <f>[1]OpCost!$E14*BM$310</f>
        <v>0</v>
      </c>
    </row>
    <row r="267" spans="1:65" outlineLevel="1">
      <c r="A267" s="3"/>
      <c r="B267" s="51" t="s">
        <v>306</v>
      </c>
      <c r="C267" s="51"/>
      <c r="D267" s="51"/>
      <c r="E267" s="54">
        <f t="shared" si="107"/>
        <v>67983</v>
      </c>
      <c r="F267" s="100">
        <f>[1]OpCost!$E15*F$310</f>
        <v>0</v>
      </c>
      <c r="G267" s="100">
        <f>[1]OpCost!$E15*G$310</f>
        <v>0</v>
      </c>
      <c r="H267" s="100">
        <f>[1]OpCost!$E15*H$310</f>
        <v>0</v>
      </c>
      <c r="I267" s="100">
        <f>[1]OpCost!$E15*I$310</f>
        <v>0</v>
      </c>
      <c r="J267" s="100">
        <f>[1]OpCost!$E15*J$310</f>
        <v>0</v>
      </c>
      <c r="K267" s="100">
        <f>[1]OpCost!$E15*K$310</f>
        <v>0</v>
      </c>
      <c r="L267" s="100">
        <f>[1]OpCost!$E15*L$310</f>
        <v>20</v>
      </c>
      <c r="M267" s="100">
        <f>[1]OpCost!$E15*M$310</f>
        <v>31</v>
      </c>
      <c r="N267" s="100">
        <f>[1]OpCost!$E15*N$310</f>
        <v>160</v>
      </c>
      <c r="O267" s="100">
        <f>[1]OpCost!$E15*O$310</f>
        <v>248</v>
      </c>
      <c r="P267" s="100">
        <f>[1]OpCost!$E15*P$310</f>
        <v>558</v>
      </c>
      <c r="Q267" s="100">
        <f>[1]OpCost!$E15*Q$310</f>
        <v>540</v>
      </c>
      <c r="R267" s="100">
        <f>[1]OpCost!$E15*R$310</f>
        <v>744.00000000000011</v>
      </c>
      <c r="S267" s="100">
        <f>[1]OpCost!$E15*S$310</f>
        <v>720</v>
      </c>
      <c r="T267" s="100">
        <f>[1]OpCost!$E15*T$310</f>
        <v>930</v>
      </c>
      <c r="U267" s="100">
        <f>[1]OpCost!$E15*U$310</f>
        <v>930</v>
      </c>
      <c r="V267" s="100">
        <f>[1]OpCost!$E15*V$310</f>
        <v>1008.0000000000001</v>
      </c>
      <c r="W267" s="100">
        <f>[1]OpCost!$E15*W$310</f>
        <v>1116</v>
      </c>
      <c r="X267" s="100">
        <f>[1]OpCost!$E15*X$310</f>
        <v>1260</v>
      </c>
      <c r="Y267" s="100">
        <f>[1]OpCost!$E15*Y$310</f>
        <v>1302</v>
      </c>
      <c r="Z267" s="100">
        <f>[1]OpCost!$E15*Z$310</f>
        <v>1440</v>
      </c>
      <c r="AA267" s="100">
        <f>[1]OpCost!$E15*AA$310</f>
        <v>1488.0000000000002</v>
      </c>
      <c r="AB267" s="100">
        <f>[1]OpCost!$E15*AB$310</f>
        <v>1488.0000000000002</v>
      </c>
      <c r="AC267" s="100">
        <f>[1]OpCost!$E15*AC$310</f>
        <v>1440</v>
      </c>
      <c r="AD267" s="100">
        <f>[1]OpCost!$E15*AD$310</f>
        <v>1488.0000000000002</v>
      </c>
      <c r="AE267" s="100">
        <f>[1]OpCost!$E15*AE$310</f>
        <v>1440</v>
      </c>
      <c r="AF267" s="100">
        <f>[1]OpCost!$E15*AF$310</f>
        <v>1488.0000000000002</v>
      </c>
      <c r="AG267" s="100">
        <f>[1]OpCost!$E15*AG$310</f>
        <v>1488.0000000000002</v>
      </c>
      <c r="AH267" s="100">
        <f>[1]OpCost!$E15*AH$310</f>
        <v>1344.0000000000002</v>
      </c>
      <c r="AI267" s="100">
        <f>[1]OpCost!$E15*AI$310</f>
        <v>1488.0000000000002</v>
      </c>
      <c r="AJ267" s="100">
        <f>[1]OpCost!$E15*AJ$310</f>
        <v>1440</v>
      </c>
      <c r="AK267" s="100">
        <f>[1]OpCost!$E15*AK$310</f>
        <v>1488.0000000000002</v>
      </c>
      <c r="AL267" s="100">
        <f>[1]OpCost!$E15*AL$310</f>
        <v>1440</v>
      </c>
      <c r="AM267" s="100">
        <f>[1]OpCost!$E15*AM$310</f>
        <v>1488.0000000000002</v>
      </c>
      <c r="AN267" s="100">
        <f>[1]OpCost!$E15*AN$310</f>
        <v>1488.0000000000002</v>
      </c>
      <c r="AO267" s="100">
        <f>[1]OpCost!$E15*AO$310</f>
        <v>1440</v>
      </c>
      <c r="AP267" s="100">
        <f>[1]OpCost!$E15*AP$310</f>
        <v>1488.0000000000002</v>
      </c>
      <c r="AQ267" s="100">
        <f>[1]OpCost!$E15*AQ$310</f>
        <v>1440</v>
      </c>
      <c r="AR267" s="100">
        <f>[1]OpCost!$E15*AR$310</f>
        <v>1488.0000000000002</v>
      </c>
      <c r="AS267" s="100">
        <f>[1]OpCost!$E15*AS$310</f>
        <v>1488.0000000000002</v>
      </c>
      <c r="AT267" s="100">
        <f>[1]OpCost!$E15*AT$310</f>
        <v>1344.0000000000002</v>
      </c>
      <c r="AU267" s="100">
        <f>[1]OpCost!$E15*AU$310</f>
        <v>1488.0000000000002</v>
      </c>
      <c r="AV267" s="100">
        <f>[1]OpCost!$E15*AV$310</f>
        <v>1440</v>
      </c>
      <c r="AW267" s="100">
        <f>[1]OpCost!$E15*AW$310</f>
        <v>1488.0000000000002</v>
      </c>
      <c r="AX267" s="100">
        <f>[1]OpCost!$E15*AX$310</f>
        <v>1440</v>
      </c>
      <c r="AY267" s="100">
        <f>[1]OpCost!$E15*AY$310</f>
        <v>1488.0000000000002</v>
      </c>
      <c r="AZ267" s="100">
        <f>[1]OpCost!$E15*AZ$310</f>
        <v>1488.0000000000002</v>
      </c>
      <c r="BA267" s="100">
        <f>[1]OpCost!$E15*BA$310</f>
        <v>1440</v>
      </c>
      <c r="BB267" s="100">
        <f>[1]OpCost!$E15*BB$310</f>
        <v>1488.0000000000002</v>
      </c>
      <c r="BC267" s="100">
        <f>[1]OpCost!$E15*BC$310</f>
        <v>1440</v>
      </c>
      <c r="BD267" s="100">
        <f>[1]OpCost!$E15*BD$310</f>
        <v>1488.0000000000002</v>
      </c>
      <c r="BE267" s="100">
        <f>[1]OpCost!$E15*BE$310</f>
        <v>1488.0000000000002</v>
      </c>
      <c r="BF267" s="100">
        <f>[1]OpCost!$E15*BF$310</f>
        <v>1344.0000000000002</v>
      </c>
      <c r="BG267" s="100">
        <f>[1]OpCost!$E15*BG$310</f>
        <v>1488.0000000000002</v>
      </c>
      <c r="BH267" s="100">
        <f>[1]OpCost!$E15*BH$310</f>
        <v>1440</v>
      </c>
      <c r="BI267" s="100">
        <f>[1]OpCost!$E15*BI$310</f>
        <v>1488.0000000000002</v>
      </c>
      <c r="BJ267" s="100">
        <f>[1]OpCost!$E15*BJ$310</f>
        <v>1440</v>
      </c>
      <c r="BK267" s="100">
        <f>[1]OpCost!$E15*BK$310</f>
        <v>1488.0000000000002</v>
      </c>
      <c r="BL267" s="100">
        <f>[1]OpCost!$E15*BL$310</f>
        <v>1488.0000000000002</v>
      </c>
      <c r="BM267" s="100">
        <f>[1]OpCost!$E15*BM$310</f>
        <v>1440</v>
      </c>
    </row>
    <row r="268" spans="1:65" outlineLevel="1">
      <c r="A268" s="3"/>
      <c r="B268" s="51" t="s">
        <v>307</v>
      </c>
      <c r="C268" s="51"/>
      <c r="D268" s="51"/>
      <c r="E268" s="54">
        <f t="shared" si="107"/>
        <v>135966</v>
      </c>
      <c r="F268" s="100">
        <f>[1]OpCost!$E16*F$310</f>
        <v>0</v>
      </c>
      <c r="G268" s="100">
        <f>[1]OpCost!$E16*G$310</f>
        <v>0</v>
      </c>
      <c r="H268" s="100">
        <f>[1]OpCost!$E16*H$310</f>
        <v>0</v>
      </c>
      <c r="I268" s="100">
        <f>[1]OpCost!$E16*I$310</f>
        <v>0</v>
      </c>
      <c r="J268" s="100">
        <f>[1]OpCost!$E16*J$310</f>
        <v>0</v>
      </c>
      <c r="K268" s="100">
        <f>[1]OpCost!$E16*K$310</f>
        <v>0</v>
      </c>
      <c r="L268" s="100">
        <f>[1]OpCost!$E16*L$310</f>
        <v>40</v>
      </c>
      <c r="M268" s="100">
        <f>[1]OpCost!$E16*M$310</f>
        <v>62</v>
      </c>
      <c r="N268" s="100">
        <f>[1]OpCost!$E16*N$310</f>
        <v>320</v>
      </c>
      <c r="O268" s="100">
        <f>[1]OpCost!$E16*O$310</f>
        <v>496</v>
      </c>
      <c r="P268" s="100">
        <f>[1]OpCost!$E16*P$310</f>
        <v>1116</v>
      </c>
      <c r="Q268" s="100">
        <f>[1]OpCost!$E16*Q$310</f>
        <v>1080</v>
      </c>
      <c r="R268" s="100">
        <f>[1]OpCost!$E16*R$310</f>
        <v>1488.0000000000002</v>
      </c>
      <c r="S268" s="100">
        <f>[1]OpCost!$E16*S$310</f>
        <v>1440</v>
      </c>
      <c r="T268" s="100">
        <f>[1]OpCost!$E16*T$310</f>
        <v>1860</v>
      </c>
      <c r="U268" s="100">
        <f>[1]OpCost!$E16*U$310</f>
        <v>1860</v>
      </c>
      <c r="V268" s="100">
        <f>[1]OpCost!$E16*V$310</f>
        <v>2016.0000000000002</v>
      </c>
      <c r="W268" s="100">
        <f>[1]OpCost!$E16*W$310</f>
        <v>2232</v>
      </c>
      <c r="X268" s="100">
        <f>[1]OpCost!$E16*X$310</f>
        <v>2520</v>
      </c>
      <c r="Y268" s="100">
        <f>[1]OpCost!$E16*Y$310</f>
        <v>2604</v>
      </c>
      <c r="Z268" s="100">
        <f>[1]OpCost!$E16*Z$310</f>
        <v>2880</v>
      </c>
      <c r="AA268" s="100">
        <f>[1]OpCost!$E16*AA$310</f>
        <v>2976.0000000000005</v>
      </c>
      <c r="AB268" s="100">
        <f>[1]OpCost!$E16*AB$310</f>
        <v>2976.0000000000005</v>
      </c>
      <c r="AC268" s="100">
        <f>[1]OpCost!$E16*AC$310</f>
        <v>2880</v>
      </c>
      <c r="AD268" s="100">
        <f>[1]OpCost!$E16*AD$310</f>
        <v>2976.0000000000005</v>
      </c>
      <c r="AE268" s="100">
        <f>[1]OpCost!$E16*AE$310</f>
        <v>2880</v>
      </c>
      <c r="AF268" s="100">
        <f>[1]OpCost!$E16*AF$310</f>
        <v>2976.0000000000005</v>
      </c>
      <c r="AG268" s="100">
        <f>[1]OpCost!$E16*AG$310</f>
        <v>2976.0000000000005</v>
      </c>
      <c r="AH268" s="100">
        <f>[1]OpCost!$E16*AH$310</f>
        <v>2688.0000000000005</v>
      </c>
      <c r="AI268" s="100">
        <f>[1]OpCost!$E16*AI$310</f>
        <v>2976.0000000000005</v>
      </c>
      <c r="AJ268" s="100">
        <f>[1]OpCost!$E16*AJ$310</f>
        <v>2880</v>
      </c>
      <c r="AK268" s="100">
        <f>[1]OpCost!$E16*AK$310</f>
        <v>2976.0000000000005</v>
      </c>
      <c r="AL268" s="100">
        <f>[1]OpCost!$E16*AL$310</f>
        <v>2880</v>
      </c>
      <c r="AM268" s="100">
        <f>[1]OpCost!$E16*AM$310</f>
        <v>2976.0000000000005</v>
      </c>
      <c r="AN268" s="100">
        <f>[1]OpCost!$E16*AN$310</f>
        <v>2976.0000000000005</v>
      </c>
      <c r="AO268" s="100">
        <f>[1]OpCost!$E16*AO$310</f>
        <v>2880</v>
      </c>
      <c r="AP268" s="100">
        <f>[1]OpCost!$E16*AP$310</f>
        <v>2976.0000000000005</v>
      </c>
      <c r="AQ268" s="100">
        <f>[1]OpCost!$E16*AQ$310</f>
        <v>2880</v>
      </c>
      <c r="AR268" s="100">
        <f>[1]OpCost!$E16*AR$310</f>
        <v>2976.0000000000005</v>
      </c>
      <c r="AS268" s="100">
        <f>[1]OpCost!$E16*AS$310</f>
        <v>2976.0000000000005</v>
      </c>
      <c r="AT268" s="100">
        <f>[1]OpCost!$E16*AT$310</f>
        <v>2688.0000000000005</v>
      </c>
      <c r="AU268" s="100">
        <f>[1]OpCost!$E16*AU$310</f>
        <v>2976.0000000000005</v>
      </c>
      <c r="AV268" s="100">
        <f>[1]OpCost!$E16*AV$310</f>
        <v>2880</v>
      </c>
      <c r="AW268" s="100">
        <f>[1]OpCost!$E16*AW$310</f>
        <v>2976.0000000000005</v>
      </c>
      <c r="AX268" s="100">
        <f>[1]OpCost!$E16*AX$310</f>
        <v>2880</v>
      </c>
      <c r="AY268" s="100">
        <f>[1]OpCost!$E16*AY$310</f>
        <v>2976.0000000000005</v>
      </c>
      <c r="AZ268" s="100">
        <f>[1]OpCost!$E16*AZ$310</f>
        <v>2976.0000000000005</v>
      </c>
      <c r="BA268" s="100">
        <f>[1]OpCost!$E16*BA$310</f>
        <v>2880</v>
      </c>
      <c r="BB268" s="100">
        <f>[1]OpCost!$E16*BB$310</f>
        <v>2976.0000000000005</v>
      </c>
      <c r="BC268" s="100">
        <f>[1]OpCost!$E16*BC$310</f>
        <v>2880</v>
      </c>
      <c r="BD268" s="100">
        <f>[1]OpCost!$E16*BD$310</f>
        <v>2976.0000000000005</v>
      </c>
      <c r="BE268" s="100">
        <f>[1]OpCost!$E16*BE$310</f>
        <v>2976.0000000000005</v>
      </c>
      <c r="BF268" s="100">
        <f>[1]OpCost!$E16*BF$310</f>
        <v>2688.0000000000005</v>
      </c>
      <c r="BG268" s="100">
        <f>[1]OpCost!$E16*BG$310</f>
        <v>2976.0000000000005</v>
      </c>
      <c r="BH268" s="100">
        <f>[1]OpCost!$E16*BH$310</f>
        <v>2880</v>
      </c>
      <c r="BI268" s="100">
        <f>[1]OpCost!$E16*BI$310</f>
        <v>2976.0000000000005</v>
      </c>
      <c r="BJ268" s="100">
        <f>[1]OpCost!$E16*BJ$310</f>
        <v>2880</v>
      </c>
      <c r="BK268" s="100">
        <f>[1]OpCost!$E16*BK$310</f>
        <v>2976.0000000000005</v>
      </c>
      <c r="BL268" s="100">
        <f>[1]OpCost!$E16*BL$310</f>
        <v>2976.0000000000005</v>
      </c>
      <c r="BM268" s="100">
        <f>[1]OpCost!$E16*BM$310</f>
        <v>2880</v>
      </c>
    </row>
    <row r="269" spans="1:65" outlineLevel="1">
      <c r="A269" s="3"/>
      <c r="B269" s="51" t="s">
        <v>308</v>
      </c>
      <c r="C269" s="51"/>
      <c r="D269" s="51"/>
      <c r="E269" s="54">
        <f t="shared" si="107"/>
        <v>3568719.9968999978</v>
      </c>
      <c r="F269" s="100">
        <f>[1]OpCost!$E20*F$310</f>
        <v>0</v>
      </c>
      <c r="G269" s="100">
        <f>[1]OpCost!$E20*G$310</f>
        <v>0</v>
      </c>
      <c r="H269" s="100">
        <f>[1]OpCost!$E20*H$310</f>
        <v>0</v>
      </c>
      <c r="I269" s="100">
        <f>[1]OpCost!$E20*I$310</f>
        <v>0</v>
      </c>
      <c r="J269" s="100">
        <f>[1]OpCost!$E20*J$310</f>
        <v>0</v>
      </c>
      <c r="K269" s="100">
        <f>[1]OpCost!$E20*K$310</f>
        <v>0</v>
      </c>
      <c r="L269" s="100">
        <f>[1]OpCost!$E20*L$310</f>
        <v>1049.8860000000002</v>
      </c>
      <c r="M269" s="100">
        <f>[1]OpCost!$E20*M$310</f>
        <v>1627.3233</v>
      </c>
      <c r="N269" s="100">
        <f>[1]OpCost!$E20*N$310</f>
        <v>8399.0880000000016</v>
      </c>
      <c r="O269" s="100">
        <f>[1]OpCost!$E20*O$310</f>
        <v>13018.5864</v>
      </c>
      <c r="P269" s="100">
        <f>[1]OpCost!$E20*P$310</f>
        <v>29291.8194</v>
      </c>
      <c r="Q269" s="100">
        <f>[1]OpCost!$E20*Q$310</f>
        <v>28346.922000000002</v>
      </c>
      <c r="R269" s="100">
        <f>[1]OpCost!$E20*R$310</f>
        <v>39055.759200000008</v>
      </c>
      <c r="S269" s="100">
        <f>[1]OpCost!$E20*S$310</f>
        <v>37795.896000000001</v>
      </c>
      <c r="T269" s="100">
        <f>[1]OpCost!$E20*T$310</f>
        <v>48819.699000000008</v>
      </c>
      <c r="U269" s="100">
        <f>[1]OpCost!$E20*U$310</f>
        <v>48819.699000000008</v>
      </c>
      <c r="V269" s="100">
        <f>[1]OpCost!$E20*V$310</f>
        <v>52914.254400000005</v>
      </c>
      <c r="W269" s="100">
        <f>[1]OpCost!$E20*W$310</f>
        <v>58583.638800000001</v>
      </c>
      <c r="X269" s="100">
        <f>[1]OpCost!$E20*X$310</f>
        <v>66142.817999999999</v>
      </c>
      <c r="Y269" s="100">
        <f>[1]OpCost!$E20*Y$310</f>
        <v>68347.578600000008</v>
      </c>
      <c r="Z269" s="100">
        <f>[1]OpCost!$E20*Z$310</f>
        <v>75591.792000000001</v>
      </c>
      <c r="AA269" s="100">
        <f>[1]OpCost!$E20*AA$310</f>
        <v>78111.518400000015</v>
      </c>
      <c r="AB269" s="100">
        <f>[1]OpCost!$E20*AB$310</f>
        <v>78111.518400000015</v>
      </c>
      <c r="AC269" s="100">
        <f>[1]OpCost!$E20*AC$310</f>
        <v>75591.792000000001</v>
      </c>
      <c r="AD269" s="100">
        <f>[1]OpCost!$E20*AD$310</f>
        <v>78111.518400000015</v>
      </c>
      <c r="AE269" s="100">
        <f>[1]OpCost!$E20*AE$310</f>
        <v>75591.792000000001</v>
      </c>
      <c r="AF269" s="100">
        <f>[1]OpCost!$E20*AF$310</f>
        <v>78111.518400000015</v>
      </c>
      <c r="AG269" s="100">
        <f>[1]OpCost!$E20*AG$310</f>
        <v>78111.518400000015</v>
      </c>
      <c r="AH269" s="100">
        <f>[1]OpCost!$E20*AH$310</f>
        <v>70552.339200000017</v>
      </c>
      <c r="AI269" s="100">
        <f>[1]OpCost!$E20*AI$310</f>
        <v>78111.518400000015</v>
      </c>
      <c r="AJ269" s="100">
        <f>[1]OpCost!$E20*AJ$310</f>
        <v>75591.792000000001</v>
      </c>
      <c r="AK269" s="100">
        <f>[1]OpCost!$E20*AK$310</f>
        <v>78111.518400000015</v>
      </c>
      <c r="AL269" s="100">
        <f>[1]OpCost!$E20*AL$310</f>
        <v>75591.792000000001</v>
      </c>
      <c r="AM269" s="100">
        <f>[1]OpCost!$E20*AM$310</f>
        <v>78111.518400000015</v>
      </c>
      <c r="AN269" s="100">
        <f>[1]OpCost!$E20*AN$310</f>
        <v>78111.518400000015</v>
      </c>
      <c r="AO269" s="100">
        <f>[1]OpCost!$E20*AO$310</f>
        <v>75591.792000000001</v>
      </c>
      <c r="AP269" s="100">
        <f>[1]OpCost!$E20*AP$310</f>
        <v>78111.518400000015</v>
      </c>
      <c r="AQ269" s="100">
        <f>[1]OpCost!$E20*AQ$310</f>
        <v>75591.792000000001</v>
      </c>
      <c r="AR269" s="100">
        <f>[1]OpCost!$E20*AR$310</f>
        <v>78111.518400000015</v>
      </c>
      <c r="AS269" s="100">
        <f>[1]OpCost!$E20*AS$310</f>
        <v>78111.518400000015</v>
      </c>
      <c r="AT269" s="100">
        <f>[1]OpCost!$E20*AT$310</f>
        <v>70552.339200000017</v>
      </c>
      <c r="AU269" s="100">
        <f>[1]OpCost!$E20*AU$310</f>
        <v>78111.518400000015</v>
      </c>
      <c r="AV269" s="100">
        <f>[1]OpCost!$E20*AV$310</f>
        <v>75591.792000000001</v>
      </c>
      <c r="AW269" s="100">
        <f>[1]OpCost!$E20*AW$310</f>
        <v>78111.518400000015</v>
      </c>
      <c r="AX269" s="100">
        <f>[1]OpCost!$E20*AX$310</f>
        <v>75591.792000000001</v>
      </c>
      <c r="AY269" s="100">
        <f>[1]OpCost!$E20*AY$310</f>
        <v>78111.518400000015</v>
      </c>
      <c r="AZ269" s="100">
        <f>[1]OpCost!$E20*AZ$310</f>
        <v>78111.518400000015</v>
      </c>
      <c r="BA269" s="100">
        <f>[1]OpCost!$E20*BA$310</f>
        <v>75591.792000000001</v>
      </c>
      <c r="BB269" s="100">
        <f>[1]OpCost!$E20*BB$310</f>
        <v>78111.518400000015</v>
      </c>
      <c r="BC269" s="100">
        <f>[1]OpCost!$E20*BC$310</f>
        <v>75591.792000000001</v>
      </c>
      <c r="BD269" s="100">
        <f>[1]OpCost!$E20*BD$310</f>
        <v>78111.518400000015</v>
      </c>
      <c r="BE269" s="100">
        <f>[1]OpCost!$E20*BE$310</f>
        <v>78111.518400000015</v>
      </c>
      <c r="BF269" s="100">
        <f>[1]OpCost!$E20*BF$310</f>
        <v>70552.339200000017</v>
      </c>
      <c r="BG269" s="100">
        <f>[1]OpCost!$E20*BG$310</f>
        <v>78111.518400000015</v>
      </c>
      <c r="BH269" s="100">
        <f>[1]OpCost!$E20*BH$310</f>
        <v>75591.792000000001</v>
      </c>
      <c r="BI269" s="100">
        <f>[1]OpCost!$E20*BI$310</f>
        <v>78111.518400000015</v>
      </c>
      <c r="BJ269" s="100">
        <f>[1]OpCost!$E20*BJ$310</f>
        <v>75591.792000000001</v>
      </c>
      <c r="BK269" s="100">
        <f>[1]OpCost!$E20*BK$310</f>
        <v>78111.518400000015</v>
      </c>
      <c r="BL269" s="100">
        <f>[1]OpCost!$E20*BL$310</f>
        <v>78111.518400000015</v>
      </c>
      <c r="BM269" s="100">
        <f>[1]OpCost!$E20*BM$310</f>
        <v>75591.792000000001</v>
      </c>
    </row>
    <row r="270" spans="1:65" outlineLevel="1">
      <c r="A270" s="3"/>
      <c r="B270" s="51" t="s">
        <v>309</v>
      </c>
      <c r="C270" s="51"/>
      <c r="D270" s="51"/>
      <c r="E270" s="54">
        <f t="shared" si="107"/>
        <v>1189702.5</v>
      </c>
      <c r="F270" s="100">
        <f>[1]OpCost!$E21*F$310</f>
        <v>0</v>
      </c>
      <c r="G270" s="100">
        <f>[1]OpCost!$E21*G$310</f>
        <v>0</v>
      </c>
      <c r="H270" s="100">
        <f>[1]OpCost!$E21*H$310</f>
        <v>0</v>
      </c>
      <c r="I270" s="100">
        <f>[1]OpCost!$E21*I$310</f>
        <v>0</v>
      </c>
      <c r="J270" s="100">
        <f>[1]OpCost!$E21*J$310</f>
        <v>0</v>
      </c>
      <c r="K270" s="100">
        <f>[1]OpCost!$E21*K$310</f>
        <v>0</v>
      </c>
      <c r="L270" s="100">
        <f>[1]OpCost!$E21*L$310</f>
        <v>350</v>
      </c>
      <c r="M270" s="100">
        <f>[1]OpCost!$E21*M$310</f>
        <v>542.49999999999989</v>
      </c>
      <c r="N270" s="100">
        <f>[1]OpCost!$E21*N$310</f>
        <v>2800</v>
      </c>
      <c r="O270" s="100">
        <f>[1]OpCost!$E21*O$310</f>
        <v>4339.9999999999991</v>
      </c>
      <c r="P270" s="100">
        <f>[1]OpCost!$E21*P$310</f>
        <v>9764.9999999999982</v>
      </c>
      <c r="Q270" s="100">
        <f>[1]OpCost!$E21*Q$310</f>
        <v>9450</v>
      </c>
      <c r="R270" s="100">
        <f>[1]OpCost!$E21*R$310</f>
        <v>13020</v>
      </c>
      <c r="S270" s="100">
        <f>[1]OpCost!$E21*S$310</f>
        <v>12599.999999999998</v>
      </c>
      <c r="T270" s="100">
        <f>[1]OpCost!$E21*T$310</f>
        <v>16274.999999999998</v>
      </c>
      <c r="U270" s="100">
        <f>[1]OpCost!$E21*U$310</f>
        <v>16274.999999999998</v>
      </c>
      <c r="V270" s="100">
        <f>[1]OpCost!$E21*V$310</f>
        <v>17640</v>
      </c>
      <c r="W270" s="100">
        <f>[1]OpCost!$E21*W$310</f>
        <v>19529.999999999996</v>
      </c>
      <c r="X270" s="100">
        <f>[1]OpCost!$E21*X$310</f>
        <v>22050</v>
      </c>
      <c r="Y270" s="100">
        <f>[1]OpCost!$E21*Y$310</f>
        <v>22784.999999999996</v>
      </c>
      <c r="Z270" s="100">
        <f>[1]OpCost!$E21*Z$310</f>
        <v>25199.999999999996</v>
      </c>
      <c r="AA270" s="100">
        <f>[1]OpCost!$E21*AA$310</f>
        <v>26040</v>
      </c>
      <c r="AB270" s="100">
        <f>[1]OpCost!$E21*AB$310</f>
        <v>26040</v>
      </c>
      <c r="AC270" s="100">
        <f>[1]OpCost!$E21*AC$310</f>
        <v>25199.999999999996</v>
      </c>
      <c r="AD270" s="100">
        <f>[1]OpCost!$E21*AD$310</f>
        <v>26040</v>
      </c>
      <c r="AE270" s="100">
        <f>[1]OpCost!$E21*AE$310</f>
        <v>25199.999999999996</v>
      </c>
      <c r="AF270" s="100">
        <f>[1]OpCost!$E21*AF$310</f>
        <v>26040</v>
      </c>
      <c r="AG270" s="100">
        <f>[1]OpCost!$E21*AG$310</f>
        <v>26040</v>
      </c>
      <c r="AH270" s="100">
        <f>[1]OpCost!$E21*AH$310</f>
        <v>23520</v>
      </c>
      <c r="AI270" s="100">
        <f>[1]OpCost!$E21*AI$310</f>
        <v>26040</v>
      </c>
      <c r="AJ270" s="100">
        <f>[1]OpCost!$E21*AJ$310</f>
        <v>25199.999999999996</v>
      </c>
      <c r="AK270" s="100">
        <f>[1]OpCost!$E21*AK$310</f>
        <v>26040</v>
      </c>
      <c r="AL270" s="100">
        <f>[1]OpCost!$E21*AL$310</f>
        <v>25199.999999999996</v>
      </c>
      <c r="AM270" s="100">
        <f>[1]OpCost!$E21*AM$310</f>
        <v>26040</v>
      </c>
      <c r="AN270" s="100">
        <f>[1]OpCost!$E21*AN$310</f>
        <v>26040</v>
      </c>
      <c r="AO270" s="100">
        <f>[1]OpCost!$E21*AO$310</f>
        <v>25199.999999999996</v>
      </c>
      <c r="AP270" s="100">
        <f>[1]OpCost!$E21*AP$310</f>
        <v>26040</v>
      </c>
      <c r="AQ270" s="100">
        <f>[1]OpCost!$E21*AQ$310</f>
        <v>25199.999999999996</v>
      </c>
      <c r="AR270" s="100">
        <f>[1]OpCost!$E21*AR$310</f>
        <v>26040</v>
      </c>
      <c r="AS270" s="100">
        <f>[1]OpCost!$E21*AS$310</f>
        <v>26040</v>
      </c>
      <c r="AT270" s="100">
        <f>[1]OpCost!$E21*AT$310</f>
        <v>23520</v>
      </c>
      <c r="AU270" s="100">
        <f>[1]OpCost!$E21*AU$310</f>
        <v>26040</v>
      </c>
      <c r="AV270" s="100">
        <f>[1]OpCost!$E21*AV$310</f>
        <v>25199.999999999996</v>
      </c>
      <c r="AW270" s="100">
        <f>[1]OpCost!$E21*AW$310</f>
        <v>26040</v>
      </c>
      <c r="AX270" s="100">
        <f>[1]OpCost!$E21*AX$310</f>
        <v>25199.999999999996</v>
      </c>
      <c r="AY270" s="100">
        <f>[1]OpCost!$E21*AY$310</f>
        <v>26040</v>
      </c>
      <c r="AZ270" s="100">
        <f>[1]OpCost!$E21*AZ$310</f>
        <v>26040</v>
      </c>
      <c r="BA270" s="100">
        <f>[1]OpCost!$E21*BA$310</f>
        <v>25199.999999999996</v>
      </c>
      <c r="BB270" s="100">
        <f>[1]OpCost!$E21*BB$310</f>
        <v>26040</v>
      </c>
      <c r="BC270" s="100">
        <f>[1]OpCost!$E21*BC$310</f>
        <v>25199.999999999996</v>
      </c>
      <c r="BD270" s="100">
        <f>[1]OpCost!$E21*BD$310</f>
        <v>26040</v>
      </c>
      <c r="BE270" s="100">
        <f>[1]OpCost!$E21*BE$310</f>
        <v>26040</v>
      </c>
      <c r="BF270" s="100">
        <f>[1]OpCost!$E21*BF$310</f>
        <v>23520</v>
      </c>
      <c r="BG270" s="100">
        <f>[1]OpCost!$E21*BG$310</f>
        <v>26040</v>
      </c>
      <c r="BH270" s="100">
        <f>[1]OpCost!$E21*BH$310</f>
        <v>25199.999999999996</v>
      </c>
      <c r="BI270" s="100">
        <f>[1]OpCost!$E21*BI$310</f>
        <v>26040</v>
      </c>
      <c r="BJ270" s="100">
        <f>[1]OpCost!$E21*BJ$310</f>
        <v>25199.999999999996</v>
      </c>
      <c r="BK270" s="100">
        <f>[1]OpCost!$E21*BK$310</f>
        <v>26040</v>
      </c>
      <c r="BL270" s="100">
        <f>[1]OpCost!$E21*BL$310</f>
        <v>26040</v>
      </c>
      <c r="BM270" s="100">
        <f>[1]OpCost!$E21*BM$310</f>
        <v>25199.999999999996</v>
      </c>
    </row>
    <row r="271" spans="1:65" outlineLevel="1">
      <c r="A271" s="3"/>
      <c r="B271" s="51" t="s">
        <v>310</v>
      </c>
      <c r="C271" s="51"/>
      <c r="D271" s="51"/>
      <c r="E271" s="54">
        <f t="shared" si="107"/>
        <v>152961.75</v>
      </c>
      <c r="F271" s="100">
        <f>[1]OpCost!$E23*F$310</f>
        <v>0</v>
      </c>
      <c r="G271" s="100">
        <f>[1]OpCost!$E23*G$310</f>
        <v>0</v>
      </c>
      <c r="H271" s="100">
        <f>[1]OpCost!$E23*H$310</f>
        <v>0</v>
      </c>
      <c r="I271" s="100">
        <f>[1]OpCost!$E23*I$310</f>
        <v>0</v>
      </c>
      <c r="J271" s="100">
        <f>[1]OpCost!$E23*J$310</f>
        <v>0</v>
      </c>
      <c r="K271" s="100">
        <f>[1]OpCost!$E23*K$310</f>
        <v>0</v>
      </c>
      <c r="L271" s="100">
        <f>[1]OpCost!$E23*L$310</f>
        <v>45</v>
      </c>
      <c r="M271" s="100">
        <f>[1]OpCost!$E23*M$310</f>
        <v>69.75</v>
      </c>
      <c r="N271" s="100">
        <f>[1]OpCost!$E23*N$310</f>
        <v>360</v>
      </c>
      <c r="O271" s="100">
        <f>[1]OpCost!$E23*O$310</f>
        <v>558</v>
      </c>
      <c r="P271" s="100">
        <f>[1]OpCost!$E23*P$310</f>
        <v>1255.5</v>
      </c>
      <c r="Q271" s="100">
        <f>[1]OpCost!$E23*Q$310</f>
        <v>1215</v>
      </c>
      <c r="R271" s="100">
        <f>[1]OpCost!$E23*R$310</f>
        <v>1674</v>
      </c>
      <c r="S271" s="100">
        <f>[1]OpCost!$E23*S$310</f>
        <v>1620</v>
      </c>
      <c r="T271" s="100">
        <f>[1]OpCost!$E23*T$310</f>
        <v>2092.5</v>
      </c>
      <c r="U271" s="100">
        <f>[1]OpCost!$E23*U$310</f>
        <v>2092.5</v>
      </c>
      <c r="V271" s="100">
        <f>[1]OpCost!$E23*V$310</f>
        <v>2268</v>
      </c>
      <c r="W271" s="100">
        <f>[1]OpCost!$E23*W$310</f>
        <v>2511</v>
      </c>
      <c r="X271" s="100">
        <f>[1]OpCost!$E23*X$310</f>
        <v>2835</v>
      </c>
      <c r="Y271" s="100">
        <f>[1]OpCost!$E23*Y$310</f>
        <v>2929.5</v>
      </c>
      <c r="Z271" s="100">
        <f>[1]OpCost!$E23*Z$310</f>
        <v>3240</v>
      </c>
      <c r="AA271" s="100">
        <f>[1]OpCost!$E23*AA$310</f>
        <v>3348</v>
      </c>
      <c r="AB271" s="100">
        <f>[1]OpCost!$E23*AB$310</f>
        <v>3348</v>
      </c>
      <c r="AC271" s="100">
        <f>[1]OpCost!$E23*AC$310</f>
        <v>3240</v>
      </c>
      <c r="AD271" s="100">
        <f>[1]OpCost!$E23*AD$310</f>
        <v>3348</v>
      </c>
      <c r="AE271" s="100">
        <f>[1]OpCost!$E23*AE$310</f>
        <v>3240</v>
      </c>
      <c r="AF271" s="100">
        <f>[1]OpCost!$E23*AF$310</f>
        <v>3348</v>
      </c>
      <c r="AG271" s="100">
        <f>[1]OpCost!$E23*AG$310</f>
        <v>3348</v>
      </c>
      <c r="AH271" s="100">
        <f>[1]OpCost!$E23*AH$310</f>
        <v>3024.0000000000005</v>
      </c>
      <c r="AI271" s="100">
        <f>[1]OpCost!$E23*AI$310</f>
        <v>3348</v>
      </c>
      <c r="AJ271" s="100">
        <f>[1]OpCost!$E23*AJ$310</f>
        <v>3240</v>
      </c>
      <c r="AK271" s="100">
        <f>[1]OpCost!$E23*AK$310</f>
        <v>3348</v>
      </c>
      <c r="AL271" s="100">
        <f>[1]OpCost!$E23*AL$310</f>
        <v>3240</v>
      </c>
      <c r="AM271" s="100">
        <f>[1]OpCost!$E23*AM$310</f>
        <v>3348</v>
      </c>
      <c r="AN271" s="100">
        <f>[1]OpCost!$E23*AN$310</f>
        <v>3348</v>
      </c>
      <c r="AO271" s="100">
        <f>[1]OpCost!$E23*AO$310</f>
        <v>3240</v>
      </c>
      <c r="AP271" s="100">
        <f>[1]OpCost!$E23*AP$310</f>
        <v>3348</v>
      </c>
      <c r="AQ271" s="100">
        <f>[1]OpCost!$E23*AQ$310</f>
        <v>3240</v>
      </c>
      <c r="AR271" s="100">
        <f>[1]OpCost!$E23*AR$310</f>
        <v>3348</v>
      </c>
      <c r="AS271" s="100">
        <f>[1]OpCost!$E23*AS$310</f>
        <v>3348</v>
      </c>
      <c r="AT271" s="100">
        <f>[1]OpCost!$E23*AT$310</f>
        <v>3024.0000000000005</v>
      </c>
      <c r="AU271" s="100">
        <f>[1]OpCost!$E23*AU$310</f>
        <v>3348</v>
      </c>
      <c r="AV271" s="100">
        <f>[1]OpCost!$E23*AV$310</f>
        <v>3240</v>
      </c>
      <c r="AW271" s="100">
        <f>[1]OpCost!$E23*AW$310</f>
        <v>3348</v>
      </c>
      <c r="AX271" s="100">
        <f>[1]OpCost!$E23*AX$310</f>
        <v>3240</v>
      </c>
      <c r="AY271" s="100">
        <f>[1]OpCost!$E23*AY$310</f>
        <v>3348</v>
      </c>
      <c r="AZ271" s="100">
        <f>[1]OpCost!$E23*AZ$310</f>
        <v>3348</v>
      </c>
      <c r="BA271" s="100">
        <f>[1]OpCost!$E23*BA$310</f>
        <v>3240</v>
      </c>
      <c r="BB271" s="100">
        <f>[1]OpCost!$E23*BB$310</f>
        <v>3348</v>
      </c>
      <c r="BC271" s="100">
        <f>[1]OpCost!$E23*BC$310</f>
        <v>3240</v>
      </c>
      <c r="BD271" s="100">
        <f>[1]OpCost!$E23*BD$310</f>
        <v>3348</v>
      </c>
      <c r="BE271" s="100">
        <f>[1]OpCost!$E23*BE$310</f>
        <v>3348</v>
      </c>
      <c r="BF271" s="100">
        <f>[1]OpCost!$E23*BF$310</f>
        <v>3024.0000000000005</v>
      </c>
      <c r="BG271" s="100">
        <f>[1]OpCost!$E23*BG$310</f>
        <v>3348</v>
      </c>
      <c r="BH271" s="100">
        <f>[1]OpCost!$E23*BH$310</f>
        <v>3240</v>
      </c>
      <c r="BI271" s="100">
        <f>[1]OpCost!$E23*BI$310</f>
        <v>3348</v>
      </c>
      <c r="BJ271" s="100">
        <f>[1]OpCost!$E23*BJ$310</f>
        <v>3240</v>
      </c>
      <c r="BK271" s="100">
        <f>[1]OpCost!$E23*BK$310</f>
        <v>3348</v>
      </c>
      <c r="BL271" s="100">
        <f>[1]OpCost!$E23*BL$310</f>
        <v>3348</v>
      </c>
      <c r="BM271" s="100">
        <f>[1]OpCost!$E23*BM$310</f>
        <v>3240</v>
      </c>
    </row>
    <row r="272" spans="1:65" outlineLevel="1">
      <c r="A272" s="3"/>
      <c r="B272" s="51" t="s">
        <v>311</v>
      </c>
      <c r="C272" s="51"/>
      <c r="D272" s="51"/>
      <c r="E272" s="54">
        <f t="shared" si="107"/>
        <v>1657085.625</v>
      </c>
      <c r="F272" s="100">
        <f>[1]OpCost!$E25*F$310</f>
        <v>0</v>
      </c>
      <c r="G272" s="100">
        <f>[1]OpCost!$E25*G$310</f>
        <v>0</v>
      </c>
      <c r="H272" s="100">
        <f>[1]OpCost!$E25*H$310</f>
        <v>0</v>
      </c>
      <c r="I272" s="100">
        <f>[1]OpCost!$E25*I$310</f>
        <v>0</v>
      </c>
      <c r="J272" s="100">
        <f>[1]OpCost!$E25*J$310</f>
        <v>0</v>
      </c>
      <c r="K272" s="100">
        <f>[1]OpCost!$E25*K$310</f>
        <v>0</v>
      </c>
      <c r="L272" s="100">
        <f>[1]OpCost!$E25*L$310</f>
        <v>487.5</v>
      </c>
      <c r="M272" s="100">
        <f>[1]OpCost!$E25*M$310</f>
        <v>755.62499999999989</v>
      </c>
      <c r="N272" s="100">
        <f>[1]OpCost!$E25*N$310</f>
        <v>3900</v>
      </c>
      <c r="O272" s="100">
        <f>[1]OpCost!$E25*O$310</f>
        <v>6044.9999999999991</v>
      </c>
      <c r="P272" s="100">
        <f>[1]OpCost!$E25*P$310</f>
        <v>13601.25</v>
      </c>
      <c r="Q272" s="100">
        <f>[1]OpCost!$E25*Q$310</f>
        <v>13162.5</v>
      </c>
      <c r="R272" s="100">
        <f>[1]OpCost!$E25*R$310</f>
        <v>18135</v>
      </c>
      <c r="S272" s="100">
        <f>[1]OpCost!$E25*S$310</f>
        <v>17550</v>
      </c>
      <c r="T272" s="100">
        <f>[1]OpCost!$E25*T$310</f>
        <v>22668.75</v>
      </c>
      <c r="U272" s="100">
        <f>[1]OpCost!$E25*U$310</f>
        <v>22668.75</v>
      </c>
      <c r="V272" s="100">
        <f>[1]OpCost!$E25*V$310</f>
        <v>24570</v>
      </c>
      <c r="W272" s="100">
        <f>[1]OpCost!$E25*W$310</f>
        <v>27202.5</v>
      </c>
      <c r="X272" s="100">
        <f>[1]OpCost!$E25*X$310</f>
        <v>30712.5</v>
      </c>
      <c r="Y272" s="100">
        <f>[1]OpCost!$E25*Y$310</f>
        <v>31736.249999999996</v>
      </c>
      <c r="Z272" s="100">
        <f>[1]OpCost!$E25*Z$310</f>
        <v>35100</v>
      </c>
      <c r="AA272" s="100">
        <f>[1]OpCost!$E25*AA$310</f>
        <v>36270</v>
      </c>
      <c r="AB272" s="100">
        <f>[1]OpCost!$E25*AB$310</f>
        <v>36270</v>
      </c>
      <c r="AC272" s="100">
        <f>[1]OpCost!$E25*AC$310</f>
        <v>35100</v>
      </c>
      <c r="AD272" s="100">
        <f>[1]OpCost!$E25*AD$310</f>
        <v>36270</v>
      </c>
      <c r="AE272" s="100">
        <f>[1]OpCost!$E25*AE$310</f>
        <v>35100</v>
      </c>
      <c r="AF272" s="100">
        <f>[1]OpCost!$E25*AF$310</f>
        <v>36270</v>
      </c>
      <c r="AG272" s="100">
        <f>[1]OpCost!$E25*AG$310</f>
        <v>36270</v>
      </c>
      <c r="AH272" s="100">
        <f>[1]OpCost!$E25*AH$310</f>
        <v>32760.000000000004</v>
      </c>
      <c r="AI272" s="100">
        <f>[1]OpCost!$E25*AI$310</f>
        <v>36270</v>
      </c>
      <c r="AJ272" s="100">
        <f>[1]OpCost!$E25*AJ$310</f>
        <v>35100</v>
      </c>
      <c r="AK272" s="100">
        <f>[1]OpCost!$E25*AK$310</f>
        <v>36270</v>
      </c>
      <c r="AL272" s="100">
        <f>[1]OpCost!$E25*AL$310</f>
        <v>35100</v>
      </c>
      <c r="AM272" s="100">
        <f>[1]OpCost!$E25*AM$310</f>
        <v>36270</v>
      </c>
      <c r="AN272" s="100">
        <f>[1]OpCost!$E25*AN$310</f>
        <v>36270</v>
      </c>
      <c r="AO272" s="100">
        <f>[1]OpCost!$E25*AO$310</f>
        <v>35100</v>
      </c>
      <c r="AP272" s="100">
        <f>[1]OpCost!$E25*AP$310</f>
        <v>36270</v>
      </c>
      <c r="AQ272" s="100">
        <f>[1]OpCost!$E25*AQ$310</f>
        <v>35100</v>
      </c>
      <c r="AR272" s="100">
        <f>[1]OpCost!$E25*AR$310</f>
        <v>36270</v>
      </c>
      <c r="AS272" s="100">
        <f>[1]OpCost!$E25*AS$310</f>
        <v>36270</v>
      </c>
      <c r="AT272" s="100">
        <f>[1]OpCost!$E25*AT$310</f>
        <v>32760.000000000004</v>
      </c>
      <c r="AU272" s="100">
        <f>[1]OpCost!$E25*AU$310</f>
        <v>36270</v>
      </c>
      <c r="AV272" s="100">
        <f>[1]OpCost!$E25*AV$310</f>
        <v>35100</v>
      </c>
      <c r="AW272" s="100">
        <f>[1]OpCost!$E25*AW$310</f>
        <v>36270</v>
      </c>
      <c r="AX272" s="100">
        <f>[1]OpCost!$E25*AX$310</f>
        <v>35100</v>
      </c>
      <c r="AY272" s="100">
        <f>[1]OpCost!$E25*AY$310</f>
        <v>36270</v>
      </c>
      <c r="AZ272" s="100">
        <f>[1]OpCost!$E25*AZ$310</f>
        <v>36270</v>
      </c>
      <c r="BA272" s="100">
        <f>[1]OpCost!$E25*BA$310</f>
        <v>35100</v>
      </c>
      <c r="BB272" s="100">
        <f>[1]OpCost!$E25*BB$310</f>
        <v>36270</v>
      </c>
      <c r="BC272" s="100">
        <f>[1]OpCost!$E25*BC$310</f>
        <v>35100</v>
      </c>
      <c r="BD272" s="100">
        <f>[1]OpCost!$E25*BD$310</f>
        <v>36270</v>
      </c>
      <c r="BE272" s="100">
        <f>[1]OpCost!$E25*BE$310</f>
        <v>36270</v>
      </c>
      <c r="BF272" s="100">
        <f>[1]OpCost!$E25*BF$310</f>
        <v>32760.000000000004</v>
      </c>
      <c r="BG272" s="100">
        <f>[1]OpCost!$E25*BG$310</f>
        <v>36270</v>
      </c>
      <c r="BH272" s="100">
        <f>[1]OpCost!$E25*BH$310</f>
        <v>35100</v>
      </c>
      <c r="BI272" s="100">
        <f>[1]OpCost!$E25*BI$310</f>
        <v>36270</v>
      </c>
      <c r="BJ272" s="100">
        <f>[1]OpCost!$E25*BJ$310</f>
        <v>35100</v>
      </c>
      <c r="BK272" s="100">
        <f>[1]OpCost!$E25*BK$310</f>
        <v>36270</v>
      </c>
      <c r="BL272" s="100">
        <f>[1]OpCost!$E25*BL$310</f>
        <v>36270</v>
      </c>
      <c r="BM272" s="100">
        <f>[1]OpCost!$E25*BM$310</f>
        <v>35100</v>
      </c>
    </row>
    <row r="273" spans="1:65" outlineLevel="1">
      <c r="A273" s="3"/>
      <c r="B273" s="51" t="s">
        <v>312</v>
      </c>
      <c r="C273" s="51"/>
      <c r="D273" s="51"/>
      <c r="E273" s="54">
        <f t="shared" si="107"/>
        <v>237940.5</v>
      </c>
      <c r="F273" s="100">
        <f>[1]OpCost!$E41*F$310</f>
        <v>0</v>
      </c>
      <c r="G273" s="100">
        <f>[1]OpCost!$E41*G$310</f>
        <v>0</v>
      </c>
      <c r="H273" s="100">
        <f>[1]OpCost!$E41*H$310</f>
        <v>0</v>
      </c>
      <c r="I273" s="100">
        <f>[1]OpCost!$E41*I$310</f>
        <v>0</v>
      </c>
      <c r="J273" s="100">
        <f>[1]OpCost!$E41*J$310</f>
        <v>0</v>
      </c>
      <c r="K273" s="100">
        <f>[1]OpCost!$E41*K$310</f>
        <v>0</v>
      </c>
      <c r="L273" s="100">
        <f>[1]OpCost!$E41*L$310</f>
        <v>70</v>
      </c>
      <c r="M273" s="100">
        <f>[1]OpCost!$E41*M$310</f>
        <v>108.5</v>
      </c>
      <c r="N273" s="100">
        <f>[1]OpCost!$E41*N$310</f>
        <v>560</v>
      </c>
      <c r="O273" s="100">
        <f>[1]OpCost!$E41*O$310</f>
        <v>868</v>
      </c>
      <c r="P273" s="100">
        <f>[1]OpCost!$E41*P$310</f>
        <v>1953</v>
      </c>
      <c r="Q273" s="100">
        <f>[1]OpCost!$E41*Q$310</f>
        <v>1890</v>
      </c>
      <c r="R273" s="100">
        <f>[1]OpCost!$E41*R$310</f>
        <v>2604</v>
      </c>
      <c r="S273" s="100">
        <f>[1]OpCost!$E41*S$310</f>
        <v>2520</v>
      </c>
      <c r="T273" s="100">
        <f>[1]OpCost!$E41*T$310</f>
        <v>3255</v>
      </c>
      <c r="U273" s="100">
        <f>[1]OpCost!$E41*U$310</f>
        <v>3255</v>
      </c>
      <c r="V273" s="100">
        <f>[1]OpCost!$E41*V$310</f>
        <v>3528</v>
      </c>
      <c r="W273" s="100">
        <f>[1]OpCost!$E41*W$310</f>
        <v>3906</v>
      </c>
      <c r="X273" s="100">
        <f>[1]OpCost!$E41*X$310</f>
        <v>4410</v>
      </c>
      <c r="Y273" s="100">
        <f>[1]OpCost!$E41*Y$310</f>
        <v>4557</v>
      </c>
      <c r="Z273" s="100">
        <f>[1]OpCost!$E41*Z$310</f>
        <v>5040</v>
      </c>
      <c r="AA273" s="100">
        <f>[1]OpCost!$E41*AA$310</f>
        <v>5208</v>
      </c>
      <c r="AB273" s="100">
        <f>[1]OpCost!$E41*AB$310</f>
        <v>5208</v>
      </c>
      <c r="AC273" s="100">
        <f>[1]OpCost!$E41*AC$310</f>
        <v>5040</v>
      </c>
      <c r="AD273" s="100">
        <f>[1]OpCost!$E41*AD$310</f>
        <v>5208</v>
      </c>
      <c r="AE273" s="100">
        <f>[1]OpCost!$E41*AE$310</f>
        <v>5040</v>
      </c>
      <c r="AF273" s="100">
        <f>[1]OpCost!$E41*AF$310</f>
        <v>5208</v>
      </c>
      <c r="AG273" s="100">
        <f>[1]OpCost!$E41*AG$310</f>
        <v>5208</v>
      </c>
      <c r="AH273" s="100">
        <f>[1]OpCost!$E41*AH$310</f>
        <v>4704.0000000000009</v>
      </c>
      <c r="AI273" s="100">
        <f>[1]OpCost!$E41*AI$310</f>
        <v>5208</v>
      </c>
      <c r="AJ273" s="100">
        <f>[1]OpCost!$E41*AJ$310</f>
        <v>5040</v>
      </c>
      <c r="AK273" s="100">
        <f>[1]OpCost!$E41*AK$310</f>
        <v>5208</v>
      </c>
      <c r="AL273" s="100">
        <f>[1]OpCost!$E41*AL$310</f>
        <v>5040</v>
      </c>
      <c r="AM273" s="100">
        <f>[1]OpCost!$E41*AM$310</f>
        <v>5208</v>
      </c>
      <c r="AN273" s="100">
        <f>[1]OpCost!$E41*AN$310</f>
        <v>5208</v>
      </c>
      <c r="AO273" s="100">
        <f>[1]OpCost!$E41*AO$310</f>
        <v>5040</v>
      </c>
      <c r="AP273" s="100">
        <f>[1]OpCost!$E41*AP$310</f>
        <v>5208</v>
      </c>
      <c r="AQ273" s="100">
        <f>[1]OpCost!$E41*AQ$310</f>
        <v>5040</v>
      </c>
      <c r="AR273" s="100">
        <f>[1]OpCost!$E41*AR$310</f>
        <v>5208</v>
      </c>
      <c r="AS273" s="100">
        <f>[1]OpCost!$E41*AS$310</f>
        <v>5208</v>
      </c>
      <c r="AT273" s="100">
        <f>[1]OpCost!$E41*AT$310</f>
        <v>4704.0000000000009</v>
      </c>
      <c r="AU273" s="100">
        <f>[1]OpCost!$E41*AU$310</f>
        <v>5208</v>
      </c>
      <c r="AV273" s="100">
        <f>[1]OpCost!$E41*AV$310</f>
        <v>5040</v>
      </c>
      <c r="AW273" s="100">
        <f>[1]OpCost!$E41*AW$310</f>
        <v>5208</v>
      </c>
      <c r="AX273" s="100">
        <f>[1]OpCost!$E41*AX$310</f>
        <v>5040</v>
      </c>
      <c r="AY273" s="100">
        <f>[1]OpCost!$E41*AY$310</f>
        <v>5208</v>
      </c>
      <c r="AZ273" s="100">
        <f>[1]OpCost!$E41*AZ$310</f>
        <v>5208</v>
      </c>
      <c r="BA273" s="100">
        <f>[1]OpCost!$E41*BA$310</f>
        <v>5040</v>
      </c>
      <c r="BB273" s="100">
        <f>[1]OpCost!$E41*BB$310</f>
        <v>5208</v>
      </c>
      <c r="BC273" s="100">
        <f>[1]OpCost!$E41*BC$310</f>
        <v>5040</v>
      </c>
      <c r="BD273" s="100">
        <f>[1]OpCost!$E41*BD$310</f>
        <v>5208</v>
      </c>
      <c r="BE273" s="100">
        <f>[1]OpCost!$E41*BE$310</f>
        <v>5208</v>
      </c>
      <c r="BF273" s="100">
        <f>[1]OpCost!$E41*BF$310</f>
        <v>4704.0000000000009</v>
      </c>
      <c r="BG273" s="100">
        <f>[1]OpCost!$E41*BG$310</f>
        <v>5208</v>
      </c>
      <c r="BH273" s="100">
        <f>[1]OpCost!$E41*BH$310</f>
        <v>5040</v>
      </c>
      <c r="BI273" s="100">
        <f>[1]OpCost!$E41*BI$310</f>
        <v>5208</v>
      </c>
      <c r="BJ273" s="100">
        <f>[1]OpCost!$E41*BJ$310</f>
        <v>5040</v>
      </c>
      <c r="BK273" s="100">
        <f>[1]OpCost!$E41*BK$310</f>
        <v>5208</v>
      </c>
      <c r="BL273" s="100">
        <f>[1]OpCost!$E41*BL$310</f>
        <v>5208</v>
      </c>
      <c r="BM273" s="100">
        <f>[1]OpCost!$E41*BM$310</f>
        <v>5040</v>
      </c>
    </row>
    <row r="274" spans="1:65" outlineLevel="1">
      <c r="A274" s="3"/>
      <c r="B274" s="51" t="s">
        <v>313</v>
      </c>
      <c r="C274" s="51"/>
      <c r="D274" s="51"/>
      <c r="E274" s="54">
        <f t="shared" si="107"/>
        <v>475881</v>
      </c>
      <c r="F274" s="100">
        <f>[1]OpCost!$E42*F$310</f>
        <v>0</v>
      </c>
      <c r="G274" s="100">
        <f>[1]OpCost!$E42*G$310</f>
        <v>0</v>
      </c>
      <c r="H274" s="100">
        <f>[1]OpCost!$E42*H$310</f>
        <v>0</v>
      </c>
      <c r="I274" s="100">
        <f>[1]OpCost!$E42*I$310</f>
        <v>0</v>
      </c>
      <c r="J274" s="100">
        <f>[1]OpCost!$E42*J$310</f>
        <v>0</v>
      </c>
      <c r="K274" s="100">
        <f>[1]OpCost!$E42*K$310</f>
        <v>0</v>
      </c>
      <c r="L274" s="100">
        <f>[1]OpCost!$E42*L$310</f>
        <v>140</v>
      </c>
      <c r="M274" s="100">
        <f>[1]OpCost!$E42*M$310</f>
        <v>217</v>
      </c>
      <c r="N274" s="100">
        <f>[1]OpCost!$E42*N$310</f>
        <v>1120</v>
      </c>
      <c r="O274" s="100">
        <f>[1]OpCost!$E42*O$310</f>
        <v>1736</v>
      </c>
      <c r="P274" s="100">
        <f>[1]OpCost!$E42*P$310</f>
        <v>3906</v>
      </c>
      <c r="Q274" s="100">
        <f>[1]OpCost!$E42*Q$310</f>
        <v>3780</v>
      </c>
      <c r="R274" s="100">
        <f>[1]OpCost!$E42*R$310</f>
        <v>5208</v>
      </c>
      <c r="S274" s="100">
        <f>[1]OpCost!$E42*S$310</f>
        <v>5040</v>
      </c>
      <c r="T274" s="100">
        <f>[1]OpCost!$E42*T$310</f>
        <v>6510</v>
      </c>
      <c r="U274" s="100">
        <f>[1]OpCost!$E42*U$310</f>
        <v>6510</v>
      </c>
      <c r="V274" s="100">
        <f>[1]OpCost!$E42*V$310</f>
        <v>7056</v>
      </c>
      <c r="W274" s="100">
        <f>[1]OpCost!$E42*W$310</f>
        <v>7812</v>
      </c>
      <c r="X274" s="100">
        <f>[1]OpCost!$E42*X$310</f>
        <v>8820</v>
      </c>
      <c r="Y274" s="100">
        <f>[1]OpCost!$E42*Y$310</f>
        <v>9114</v>
      </c>
      <c r="Z274" s="100">
        <f>[1]OpCost!$E42*Z$310</f>
        <v>10080</v>
      </c>
      <c r="AA274" s="100">
        <f>[1]OpCost!$E42*AA$310</f>
        <v>10416</v>
      </c>
      <c r="AB274" s="100">
        <f>[1]OpCost!$E42*AB$310</f>
        <v>10416</v>
      </c>
      <c r="AC274" s="100">
        <f>[1]OpCost!$E42*AC$310</f>
        <v>10080</v>
      </c>
      <c r="AD274" s="100">
        <f>[1]OpCost!$E42*AD$310</f>
        <v>10416</v>
      </c>
      <c r="AE274" s="100">
        <f>[1]OpCost!$E42*AE$310</f>
        <v>10080</v>
      </c>
      <c r="AF274" s="100">
        <f>[1]OpCost!$E42*AF$310</f>
        <v>10416</v>
      </c>
      <c r="AG274" s="100">
        <f>[1]OpCost!$E42*AG$310</f>
        <v>10416</v>
      </c>
      <c r="AH274" s="100">
        <f>[1]OpCost!$E42*AH$310</f>
        <v>9408.0000000000018</v>
      </c>
      <c r="AI274" s="100">
        <f>[1]OpCost!$E42*AI$310</f>
        <v>10416</v>
      </c>
      <c r="AJ274" s="100">
        <f>[1]OpCost!$E42*AJ$310</f>
        <v>10080</v>
      </c>
      <c r="AK274" s="100">
        <f>[1]OpCost!$E42*AK$310</f>
        <v>10416</v>
      </c>
      <c r="AL274" s="100">
        <f>[1]OpCost!$E42*AL$310</f>
        <v>10080</v>
      </c>
      <c r="AM274" s="100">
        <f>[1]OpCost!$E42*AM$310</f>
        <v>10416</v>
      </c>
      <c r="AN274" s="100">
        <f>[1]OpCost!$E42*AN$310</f>
        <v>10416</v>
      </c>
      <c r="AO274" s="100">
        <f>[1]OpCost!$E42*AO$310</f>
        <v>10080</v>
      </c>
      <c r="AP274" s="100">
        <f>[1]OpCost!$E42*AP$310</f>
        <v>10416</v>
      </c>
      <c r="AQ274" s="100">
        <f>[1]OpCost!$E42*AQ$310</f>
        <v>10080</v>
      </c>
      <c r="AR274" s="100">
        <f>[1]OpCost!$E42*AR$310</f>
        <v>10416</v>
      </c>
      <c r="AS274" s="100">
        <f>[1]OpCost!$E42*AS$310</f>
        <v>10416</v>
      </c>
      <c r="AT274" s="100">
        <f>[1]OpCost!$E42*AT$310</f>
        <v>9408.0000000000018</v>
      </c>
      <c r="AU274" s="100">
        <f>[1]OpCost!$E42*AU$310</f>
        <v>10416</v>
      </c>
      <c r="AV274" s="100">
        <f>[1]OpCost!$E42*AV$310</f>
        <v>10080</v>
      </c>
      <c r="AW274" s="100">
        <f>[1]OpCost!$E42*AW$310</f>
        <v>10416</v>
      </c>
      <c r="AX274" s="100">
        <f>[1]OpCost!$E42*AX$310</f>
        <v>10080</v>
      </c>
      <c r="AY274" s="100">
        <f>[1]OpCost!$E42*AY$310</f>
        <v>10416</v>
      </c>
      <c r="AZ274" s="100">
        <f>[1]OpCost!$E42*AZ$310</f>
        <v>10416</v>
      </c>
      <c r="BA274" s="100">
        <f>[1]OpCost!$E42*BA$310</f>
        <v>10080</v>
      </c>
      <c r="BB274" s="100">
        <f>[1]OpCost!$E42*BB$310</f>
        <v>10416</v>
      </c>
      <c r="BC274" s="100">
        <f>[1]OpCost!$E42*BC$310</f>
        <v>10080</v>
      </c>
      <c r="BD274" s="100">
        <f>[1]OpCost!$E42*BD$310</f>
        <v>10416</v>
      </c>
      <c r="BE274" s="100">
        <f>[1]OpCost!$E42*BE$310</f>
        <v>10416</v>
      </c>
      <c r="BF274" s="100">
        <f>[1]OpCost!$E42*BF$310</f>
        <v>9408.0000000000018</v>
      </c>
      <c r="BG274" s="100">
        <f>[1]OpCost!$E42*BG$310</f>
        <v>10416</v>
      </c>
      <c r="BH274" s="100">
        <f>[1]OpCost!$E42*BH$310</f>
        <v>10080</v>
      </c>
      <c r="BI274" s="100">
        <f>[1]OpCost!$E42*BI$310</f>
        <v>10416</v>
      </c>
      <c r="BJ274" s="100">
        <f>[1]OpCost!$E42*BJ$310</f>
        <v>10080</v>
      </c>
      <c r="BK274" s="100">
        <f>[1]OpCost!$E42*BK$310</f>
        <v>10416</v>
      </c>
      <c r="BL274" s="100">
        <f>[1]OpCost!$E42*BL$310</f>
        <v>10416</v>
      </c>
      <c r="BM274" s="100">
        <f>[1]OpCost!$E42*BM$310</f>
        <v>10080</v>
      </c>
    </row>
    <row r="275" spans="1:65" outlineLevel="1">
      <c r="A275" s="3"/>
      <c r="B275" s="51" t="s">
        <v>314</v>
      </c>
      <c r="C275" s="51"/>
      <c r="D275" s="51"/>
      <c r="E275" s="54">
        <f t="shared" si="107"/>
        <v>203949</v>
      </c>
      <c r="F275" s="100">
        <f>[1]OpCost!$E43*F$310</f>
        <v>0</v>
      </c>
      <c r="G275" s="100">
        <f>[1]OpCost!$E43*G$310</f>
        <v>0</v>
      </c>
      <c r="H275" s="100">
        <f>[1]OpCost!$E43*H$310</f>
        <v>0</v>
      </c>
      <c r="I275" s="100">
        <f>[1]OpCost!$E43*I$310</f>
        <v>0</v>
      </c>
      <c r="J275" s="100">
        <f>[1]OpCost!$E43*J$310</f>
        <v>0</v>
      </c>
      <c r="K275" s="100">
        <f>[1]OpCost!$E43*K$310</f>
        <v>0</v>
      </c>
      <c r="L275" s="100">
        <f>[1]OpCost!$E43*L$310</f>
        <v>60</v>
      </c>
      <c r="M275" s="100">
        <f>[1]OpCost!$E43*M$310</f>
        <v>93</v>
      </c>
      <c r="N275" s="100">
        <f>[1]OpCost!$E43*N$310</f>
        <v>480</v>
      </c>
      <c r="O275" s="100">
        <f>[1]OpCost!$E43*O$310</f>
        <v>744</v>
      </c>
      <c r="P275" s="100">
        <f>[1]OpCost!$E43*P$310</f>
        <v>1674</v>
      </c>
      <c r="Q275" s="100">
        <f>[1]OpCost!$E43*Q$310</f>
        <v>1620</v>
      </c>
      <c r="R275" s="100">
        <f>[1]OpCost!$E43*R$310</f>
        <v>2232</v>
      </c>
      <c r="S275" s="100">
        <f>[1]OpCost!$E43*S$310</f>
        <v>2160</v>
      </c>
      <c r="T275" s="100">
        <f>[1]OpCost!$E43*T$310</f>
        <v>2790</v>
      </c>
      <c r="U275" s="100">
        <f>[1]OpCost!$E43*U$310</f>
        <v>2790</v>
      </c>
      <c r="V275" s="100">
        <f>[1]OpCost!$E43*V$310</f>
        <v>3024.0000000000005</v>
      </c>
      <c r="W275" s="100">
        <f>[1]OpCost!$E43*W$310</f>
        <v>3348</v>
      </c>
      <c r="X275" s="100">
        <f>[1]OpCost!$E43*X$310</f>
        <v>3780</v>
      </c>
      <c r="Y275" s="100">
        <f>[1]OpCost!$E43*Y$310</f>
        <v>3906</v>
      </c>
      <c r="Z275" s="100">
        <f>[1]OpCost!$E43*Z$310</f>
        <v>4320</v>
      </c>
      <c r="AA275" s="100">
        <f>[1]OpCost!$E43*AA$310</f>
        <v>4464</v>
      </c>
      <c r="AB275" s="100">
        <f>[1]OpCost!$E43*AB$310</f>
        <v>4464</v>
      </c>
      <c r="AC275" s="100">
        <f>[1]OpCost!$E43*AC$310</f>
        <v>4320</v>
      </c>
      <c r="AD275" s="100">
        <f>[1]OpCost!$E43*AD$310</f>
        <v>4464</v>
      </c>
      <c r="AE275" s="100">
        <f>[1]OpCost!$E43*AE$310</f>
        <v>4320</v>
      </c>
      <c r="AF275" s="100">
        <f>[1]OpCost!$E43*AF$310</f>
        <v>4464</v>
      </c>
      <c r="AG275" s="100">
        <f>[1]OpCost!$E43*AG$310</f>
        <v>4464</v>
      </c>
      <c r="AH275" s="100">
        <f>[1]OpCost!$E43*AH$310</f>
        <v>4032.0000000000005</v>
      </c>
      <c r="AI275" s="100">
        <f>[1]OpCost!$E43*AI$310</f>
        <v>4464</v>
      </c>
      <c r="AJ275" s="100">
        <f>[1]OpCost!$E43*AJ$310</f>
        <v>4320</v>
      </c>
      <c r="AK275" s="100">
        <f>[1]OpCost!$E43*AK$310</f>
        <v>4464</v>
      </c>
      <c r="AL275" s="100">
        <f>[1]OpCost!$E43*AL$310</f>
        <v>4320</v>
      </c>
      <c r="AM275" s="100">
        <f>[1]OpCost!$E43*AM$310</f>
        <v>4464</v>
      </c>
      <c r="AN275" s="100">
        <f>[1]OpCost!$E43*AN$310</f>
        <v>4464</v>
      </c>
      <c r="AO275" s="100">
        <f>[1]OpCost!$E43*AO$310</f>
        <v>4320</v>
      </c>
      <c r="AP275" s="100">
        <f>[1]OpCost!$E43*AP$310</f>
        <v>4464</v>
      </c>
      <c r="AQ275" s="100">
        <f>[1]OpCost!$E43*AQ$310</f>
        <v>4320</v>
      </c>
      <c r="AR275" s="100">
        <f>[1]OpCost!$E43*AR$310</f>
        <v>4464</v>
      </c>
      <c r="AS275" s="100">
        <f>[1]OpCost!$E43*AS$310</f>
        <v>4464</v>
      </c>
      <c r="AT275" s="100">
        <f>[1]OpCost!$E43*AT$310</f>
        <v>4032.0000000000005</v>
      </c>
      <c r="AU275" s="100">
        <f>[1]OpCost!$E43*AU$310</f>
        <v>4464</v>
      </c>
      <c r="AV275" s="100">
        <f>[1]OpCost!$E43*AV$310</f>
        <v>4320</v>
      </c>
      <c r="AW275" s="100">
        <f>[1]OpCost!$E43*AW$310</f>
        <v>4464</v>
      </c>
      <c r="AX275" s="100">
        <f>[1]OpCost!$E43*AX$310</f>
        <v>4320</v>
      </c>
      <c r="AY275" s="100">
        <f>[1]OpCost!$E43*AY$310</f>
        <v>4464</v>
      </c>
      <c r="AZ275" s="100">
        <f>[1]OpCost!$E43*AZ$310</f>
        <v>4464</v>
      </c>
      <c r="BA275" s="100">
        <f>[1]OpCost!$E43*BA$310</f>
        <v>4320</v>
      </c>
      <c r="BB275" s="100">
        <f>[1]OpCost!$E43*BB$310</f>
        <v>4464</v>
      </c>
      <c r="BC275" s="100">
        <f>[1]OpCost!$E43*BC$310</f>
        <v>4320</v>
      </c>
      <c r="BD275" s="100">
        <f>[1]OpCost!$E43*BD$310</f>
        <v>4464</v>
      </c>
      <c r="BE275" s="100">
        <f>[1]OpCost!$E43*BE$310</f>
        <v>4464</v>
      </c>
      <c r="BF275" s="100">
        <f>[1]OpCost!$E43*BF$310</f>
        <v>4032.0000000000005</v>
      </c>
      <c r="BG275" s="100">
        <f>[1]OpCost!$E43*BG$310</f>
        <v>4464</v>
      </c>
      <c r="BH275" s="100">
        <f>[1]OpCost!$E43*BH$310</f>
        <v>4320</v>
      </c>
      <c r="BI275" s="100">
        <f>[1]OpCost!$E43*BI$310</f>
        <v>4464</v>
      </c>
      <c r="BJ275" s="100">
        <f>[1]OpCost!$E43*BJ$310</f>
        <v>4320</v>
      </c>
      <c r="BK275" s="100">
        <f>[1]OpCost!$E43*BK$310</f>
        <v>4464</v>
      </c>
      <c r="BL275" s="100">
        <f>[1]OpCost!$E43*BL$310</f>
        <v>4464</v>
      </c>
      <c r="BM275" s="100">
        <f>[1]OpCost!$E43*BM$310</f>
        <v>4320</v>
      </c>
    </row>
    <row r="276" spans="1:65" outlineLevel="1">
      <c r="A276" s="51"/>
      <c r="B276" s="51" t="s">
        <v>315</v>
      </c>
      <c r="C276" s="51"/>
      <c r="D276" s="51"/>
      <c r="E276" s="54">
        <f>SUM(F276:BM276)</f>
        <v>140400</v>
      </c>
      <c r="F276" s="100"/>
      <c r="G276" s="100"/>
      <c r="H276" s="100"/>
      <c r="I276" s="100"/>
      <c r="J276" s="100"/>
      <c r="K276" s="100"/>
      <c r="L276" s="124">
        <f>1*1200</f>
        <v>1200</v>
      </c>
      <c r="M276" s="100">
        <f t="shared" ref="M276:W276" si="108">L276</f>
        <v>1200</v>
      </c>
      <c r="N276" s="100">
        <f t="shared" si="108"/>
        <v>1200</v>
      </c>
      <c r="O276" s="100">
        <f t="shared" si="108"/>
        <v>1200</v>
      </c>
      <c r="P276" s="100">
        <f t="shared" si="108"/>
        <v>1200</v>
      </c>
      <c r="Q276" s="100">
        <f t="shared" si="108"/>
        <v>1200</v>
      </c>
      <c r="R276" s="100">
        <f t="shared" si="108"/>
        <v>1200</v>
      </c>
      <c r="S276" s="100">
        <f t="shared" si="108"/>
        <v>1200</v>
      </c>
      <c r="T276" s="100">
        <f t="shared" si="108"/>
        <v>1200</v>
      </c>
      <c r="U276" s="100">
        <f t="shared" si="108"/>
        <v>1200</v>
      </c>
      <c r="V276" s="100">
        <f t="shared" si="108"/>
        <v>1200</v>
      </c>
      <c r="W276" s="100">
        <f t="shared" si="108"/>
        <v>1200</v>
      </c>
      <c r="X276" s="100">
        <f>W276*2.5</f>
        <v>3000</v>
      </c>
      <c r="Y276" s="100">
        <f t="shared" ref="Y276:AN277" si="109">X276</f>
        <v>3000</v>
      </c>
      <c r="Z276" s="100">
        <f t="shared" si="109"/>
        <v>3000</v>
      </c>
      <c r="AA276" s="100">
        <f t="shared" si="109"/>
        <v>3000</v>
      </c>
      <c r="AB276" s="100">
        <f t="shared" si="109"/>
        <v>3000</v>
      </c>
      <c r="AC276" s="100">
        <f t="shared" si="109"/>
        <v>3000</v>
      </c>
      <c r="AD276" s="100">
        <f t="shared" si="109"/>
        <v>3000</v>
      </c>
      <c r="AE276" s="100">
        <f t="shared" si="109"/>
        <v>3000</v>
      </c>
      <c r="AF276" s="100">
        <f t="shared" si="109"/>
        <v>3000</v>
      </c>
      <c r="AG276" s="100">
        <f t="shared" si="109"/>
        <v>3000</v>
      </c>
      <c r="AH276" s="100">
        <f t="shared" si="109"/>
        <v>3000</v>
      </c>
      <c r="AI276" s="100">
        <f t="shared" si="109"/>
        <v>3000</v>
      </c>
      <c r="AJ276" s="100">
        <f t="shared" si="109"/>
        <v>3000</v>
      </c>
      <c r="AK276" s="100">
        <f t="shared" si="109"/>
        <v>3000</v>
      </c>
      <c r="AL276" s="100">
        <f t="shared" si="109"/>
        <v>3000</v>
      </c>
      <c r="AM276" s="100">
        <f t="shared" si="109"/>
        <v>3000</v>
      </c>
      <c r="AN276" s="100">
        <f t="shared" si="109"/>
        <v>3000</v>
      </c>
      <c r="AO276" s="100">
        <f t="shared" ref="AO276:BD276" si="110">AN276</f>
        <v>3000</v>
      </c>
      <c r="AP276" s="100">
        <f t="shared" si="110"/>
        <v>3000</v>
      </c>
      <c r="AQ276" s="100">
        <f t="shared" si="110"/>
        <v>3000</v>
      </c>
      <c r="AR276" s="100">
        <f t="shared" si="110"/>
        <v>3000</v>
      </c>
      <c r="AS276" s="100">
        <f t="shared" si="110"/>
        <v>3000</v>
      </c>
      <c r="AT276" s="100">
        <f t="shared" si="110"/>
        <v>3000</v>
      </c>
      <c r="AU276" s="100">
        <f t="shared" si="110"/>
        <v>3000</v>
      </c>
      <c r="AV276" s="100">
        <f t="shared" si="110"/>
        <v>3000</v>
      </c>
      <c r="AW276" s="100">
        <f t="shared" si="110"/>
        <v>3000</v>
      </c>
      <c r="AX276" s="100">
        <f t="shared" si="110"/>
        <v>3000</v>
      </c>
      <c r="AY276" s="100">
        <f t="shared" si="110"/>
        <v>3000</v>
      </c>
      <c r="AZ276" s="100">
        <f t="shared" si="110"/>
        <v>3000</v>
      </c>
      <c r="BA276" s="100">
        <f t="shared" si="110"/>
        <v>3000</v>
      </c>
      <c r="BB276" s="100">
        <f t="shared" si="110"/>
        <v>3000</v>
      </c>
      <c r="BC276" s="100">
        <f t="shared" si="110"/>
        <v>3000</v>
      </c>
      <c r="BD276" s="100">
        <f t="shared" si="110"/>
        <v>3000</v>
      </c>
      <c r="BE276" s="100">
        <f t="shared" ref="BE276:BM276" si="111">BD276</f>
        <v>3000</v>
      </c>
      <c r="BF276" s="100">
        <f t="shared" si="111"/>
        <v>3000</v>
      </c>
      <c r="BG276" s="100">
        <f t="shared" si="111"/>
        <v>3000</v>
      </c>
      <c r="BH276" s="100">
        <f t="shared" si="111"/>
        <v>3000</v>
      </c>
      <c r="BI276" s="100">
        <f t="shared" si="111"/>
        <v>3000</v>
      </c>
      <c r="BJ276" s="100">
        <f t="shared" si="111"/>
        <v>3000</v>
      </c>
      <c r="BK276" s="100">
        <f t="shared" si="111"/>
        <v>3000</v>
      </c>
      <c r="BL276" s="100">
        <f t="shared" si="111"/>
        <v>3000</v>
      </c>
      <c r="BM276" s="100">
        <f t="shared" si="111"/>
        <v>3000</v>
      </c>
    </row>
    <row r="277" spans="1:65">
      <c r="A277" s="51"/>
      <c r="B277" s="51" t="s">
        <v>316</v>
      </c>
      <c r="C277" s="51" t="s">
        <v>132</v>
      </c>
      <c r="D277" s="51"/>
      <c r="E277" s="76">
        <f>SUM(F277:BM277)</f>
        <v>11716390.652400004</v>
      </c>
      <c r="F277" s="125">
        <f>SUM(F264:F276)</f>
        <v>0</v>
      </c>
      <c r="G277" s="125">
        <f t="shared" ref="G277:BM277" si="112">SUM(G264:G276)</f>
        <v>0</v>
      </c>
      <c r="H277" s="125">
        <f t="shared" si="112"/>
        <v>0</v>
      </c>
      <c r="I277" s="125">
        <f t="shared" si="112"/>
        <v>0</v>
      </c>
      <c r="J277" s="125">
        <f t="shared" si="112"/>
        <v>0</v>
      </c>
      <c r="K277" s="125">
        <f t="shared" si="112"/>
        <v>0</v>
      </c>
      <c r="L277" s="56"/>
      <c r="M277" s="56"/>
      <c r="N277" s="56"/>
      <c r="O277" s="125">
        <f t="shared" si="112"/>
        <v>43513.5864</v>
      </c>
      <c r="P277" s="125">
        <f t="shared" si="112"/>
        <v>96405.569399999993</v>
      </c>
      <c r="Q277" s="125">
        <f t="shared" si="112"/>
        <v>93334.422000000006</v>
      </c>
      <c r="R277" s="125">
        <f t="shared" si="112"/>
        <v>128140.7592</v>
      </c>
      <c r="S277" s="125">
        <f t="shared" si="112"/>
        <v>124045.89600000001</v>
      </c>
      <c r="T277" s="125">
        <f t="shared" si="112"/>
        <v>159875.94900000002</v>
      </c>
      <c r="U277" s="125">
        <f t="shared" si="112"/>
        <v>159875.94900000002</v>
      </c>
      <c r="V277" s="125">
        <f t="shared" si="112"/>
        <v>173184.25440000001</v>
      </c>
      <c r="W277" s="125">
        <f t="shared" si="112"/>
        <v>191611.13879999999</v>
      </c>
      <c r="X277" s="125">
        <f t="shared" si="112"/>
        <v>217980.318</v>
      </c>
      <c r="Y277" s="125">
        <f t="shared" si="112"/>
        <v>225146.32860000001</v>
      </c>
      <c r="Z277" s="125">
        <f t="shared" si="112"/>
        <v>248691.79200000002</v>
      </c>
      <c r="AA277" s="125">
        <f t="shared" si="112"/>
        <v>256881.5184</v>
      </c>
      <c r="AB277" s="125">
        <f t="shared" si="112"/>
        <v>256881.5184</v>
      </c>
      <c r="AC277" s="125">
        <f t="shared" si="112"/>
        <v>248691.79200000002</v>
      </c>
      <c r="AD277" s="125">
        <f t="shared" si="112"/>
        <v>256881.5184</v>
      </c>
      <c r="AE277" s="125">
        <f t="shared" si="112"/>
        <v>248691.79200000002</v>
      </c>
      <c r="AF277" s="125">
        <f t="shared" si="112"/>
        <v>256881.5184</v>
      </c>
      <c r="AG277" s="125">
        <f t="shared" si="112"/>
        <v>256881.5184</v>
      </c>
      <c r="AH277" s="125">
        <f t="shared" si="112"/>
        <v>232312.33920000002</v>
      </c>
      <c r="AI277" s="125">
        <f t="shared" si="112"/>
        <v>256881.5184</v>
      </c>
      <c r="AJ277" s="125">
        <f>AI277</f>
        <v>256881.5184</v>
      </c>
      <c r="AK277" s="125">
        <f t="shared" si="109"/>
        <v>256881.5184</v>
      </c>
      <c r="AL277" s="125">
        <f t="shared" si="109"/>
        <v>256881.5184</v>
      </c>
      <c r="AM277" s="125">
        <f t="shared" si="112"/>
        <v>256881.5184</v>
      </c>
      <c r="AN277" s="125">
        <f t="shared" si="112"/>
        <v>256881.5184</v>
      </c>
      <c r="AO277" s="125">
        <f t="shared" si="112"/>
        <v>248691.79200000002</v>
      </c>
      <c r="AP277" s="125">
        <f t="shared" si="112"/>
        <v>256881.5184</v>
      </c>
      <c r="AQ277" s="125">
        <f t="shared" si="112"/>
        <v>248691.79200000002</v>
      </c>
      <c r="AR277" s="125">
        <f t="shared" si="112"/>
        <v>256881.5184</v>
      </c>
      <c r="AS277" s="125">
        <f t="shared" si="112"/>
        <v>256881.5184</v>
      </c>
      <c r="AT277" s="125">
        <f t="shared" si="112"/>
        <v>232312.33920000002</v>
      </c>
      <c r="AU277" s="125">
        <f t="shared" si="112"/>
        <v>256881.5184</v>
      </c>
      <c r="AV277" s="125">
        <f t="shared" si="112"/>
        <v>248691.79200000002</v>
      </c>
      <c r="AW277" s="125">
        <f t="shared" si="112"/>
        <v>256881.5184</v>
      </c>
      <c r="AX277" s="125">
        <f t="shared" si="112"/>
        <v>248691.79200000002</v>
      </c>
      <c r="AY277" s="125">
        <f t="shared" si="112"/>
        <v>256881.5184</v>
      </c>
      <c r="AZ277" s="125">
        <f t="shared" si="112"/>
        <v>256881.5184</v>
      </c>
      <c r="BA277" s="125">
        <f t="shared" si="112"/>
        <v>248691.79200000002</v>
      </c>
      <c r="BB277" s="125">
        <f t="shared" si="112"/>
        <v>256881.5184</v>
      </c>
      <c r="BC277" s="125">
        <f t="shared" si="112"/>
        <v>248691.79200000002</v>
      </c>
      <c r="BD277" s="125">
        <f t="shared" si="112"/>
        <v>256881.5184</v>
      </c>
      <c r="BE277" s="125">
        <f t="shared" si="112"/>
        <v>256881.5184</v>
      </c>
      <c r="BF277" s="125">
        <f t="shared" si="112"/>
        <v>232312.33920000002</v>
      </c>
      <c r="BG277" s="125">
        <f t="shared" si="112"/>
        <v>256881.5184</v>
      </c>
      <c r="BH277" s="125">
        <f t="shared" si="112"/>
        <v>248691.79200000002</v>
      </c>
      <c r="BI277" s="125">
        <f t="shared" si="112"/>
        <v>256881.5184</v>
      </c>
      <c r="BJ277" s="125">
        <f t="shared" si="112"/>
        <v>248691.79200000002</v>
      </c>
      <c r="BK277" s="125">
        <f t="shared" si="112"/>
        <v>256881.5184</v>
      </c>
      <c r="BL277" s="125">
        <f t="shared" si="112"/>
        <v>256881.5184</v>
      </c>
      <c r="BM277" s="125">
        <f t="shared" si="112"/>
        <v>248691.79200000002</v>
      </c>
    </row>
    <row r="278" spans="1:65">
      <c r="A278" s="51"/>
      <c r="B278" s="51" t="s">
        <v>283</v>
      </c>
      <c r="C278" s="51"/>
      <c r="D278" s="51"/>
      <c r="E278" s="54">
        <f t="shared" ref="E278" si="113">SUM(F278:BM278)</f>
        <v>23221.219500000036</v>
      </c>
      <c r="F278" s="100"/>
      <c r="G278" s="100"/>
      <c r="H278" s="100"/>
      <c r="I278" s="100"/>
      <c r="J278" s="100"/>
      <c r="K278" s="100"/>
      <c r="L278" s="100">
        <f>SUM(L264:L276)</f>
        <v>4612.3860000000004</v>
      </c>
      <c r="M278" s="100">
        <f>SUM(M264:M276)</f>
        <v>6489.1983</v>
      </c>
      <c r="N278" s="100">
        <f>SUM(N264:N276)</f>
        <v>28499.088000000003</v>
      </c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>
        <f>SUM(AJ264:AJ276)-AJ277</f>
        <v>-8189.726399999985</v>
      </c>
      <c r="AK278" s="100">
        <f t="shared" ref="AK278:AL278" si="114">SUM(AK264:AK276)-AK277</f>
        <v>0</v>
      </c>
      <c r="AL278" s="100">
        <f t="shared" si="114"/>
        <v>-8189.726399999985</v>
      </c>
      <c r="AM278" s="100"/>
      <c r="AN278" s="100"/>
      <c r="AO278" s="100"/>
      <c r="AP278" s="100"/>
      <c r="AQ278" s="100"/>
      <c r="AR278" s="100"/>
      <c r="AS278" s="100"/>
      <c r="AT278" s="100"/>
      <c r="AU278" s="100"/>
      <c r="AV278" s="100"/>
      <c r="AW278" s="100"/>
      <c r="AX278" s="100"/>
      <c r="AY278" s="100"/>
      <c r="AZ278" s="100"/>
      <c r="BA278" s="100"/>
      <c r="BB278" s="100"/>
      <c r="BC278" s="100"/>
      <c r="BD278" s="100"/>
      <c r="BE278" s="100"/>
      <c r="BF278" s="100"/>
      <c r="BG278" s="100"/>
      <c r="BH278" s="100"/>
      <c r="BI278" s="100"/>
      <c r="BJ278" s="100"/>
      <c r="BK278" s="100"/>
      <c r="BL278" s="100"/>
      <c r="BM278" s="100"/>
    </row>
    <row r="279" spans="1:65">
      <c r="A279" s="51"/>
      <c r="B279" s="51" t="s">
        <v>284</v>
      </c>
      <c r="C279" s="51"/>
      <c r="D279" s="51"/>
      <c r="E279" s="111">
        <f>SUM(E277:E278)/SUM(E336:E339)</f>
        <v>1.8432783944921344E-2</v>
      </c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  <c r="AL279" s="100"/>
      <c r="AM279" s="100"/>
      <c r="AN279" s="100"/>
      <c r="AO279" s="100"/>
      <c r="AP279" s="100"/>
      <c r="AQ279" s="100"/>
      <c r="AR279" s="100"/>
      <c r="AS279" s="100"/>
      <c r="AT279" s="100"/>
      <c r="AU279" s="100"/>
      <c r="AV279" s="100"/>
      <c r="AW279" s="100"/>
      <c r="AX279" s="100"/>
      <c r="AY279" s="100"/>
      <c r="AZ279" s="100"/>
      <c r="BA279" s="100"/>
      <c r="BB279" s="100"/>
      <c r="BC279" s="100"/>
      <c r="BD279" s="100"/>
      <c r="BE279" s="100"/>
      <c r="BF279" s="100"/>
      <c r="BG279" s="100"/>
      <c r="BH279" s="100"/>
      <c r="BI279" s="100"/>
      <c r="BJ279" s="100"/>
      <c r="BK279" s="100"/>
      <c r="BL279" s="100"/>
      <c r="BM279" s="100"/>
    </row>
    <row r="280" spans="1:65">
      <c r="A280" s="3"/>
      <c r="B280" s="51"/>
      <c r="C280" s="51"/>
      <c r="D280" s="51"/>
      <c r="E280" s="54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  <c r="AL280" s="100"/>
      <c r="AM280" s="100"/>
      <c r="AN280" s="100"/>
      <c r="AO280" s="100"/>
      <c r="AP280" s="100"/>
      <c r="AQ280" s="100"/>
      <c r="AR280" s="100"/>
      <c r="AS280" s="100"/>
      <c r="AT280" s="100"/>
      <c r="AU280" s="100"/>
      <c r="AV280" s="100"/>
      <c r="AW280" s="100"/>
      <c r="AX280" s="100"/>
      <c r="AY280" s="100"/>
      <c r="AZ280" s="100"/>
      <c r="BA280" s="100"/>
      <c r="BB280" s="100"/>
      <c r="BC280" s="100"/>
      <c r="BD280" s="100"/>
      <c r="BE280" s="100"/>
      <c r="BF280" s="100"/>
      <c r="BG280" s="100"/>
      <c r="BH280" s="100"/>
      <c r="BI280" s="100"/>
      <c r="BJ280" s="100"/>
      <c r="BK280" s="100"/>
      <c r="BL280" s="100"/>
      <c r="BM280" s="100"/>
    </row>
    <row r="281" spans="1:65">
      <c r="A281" s="3" t="s">
        <v>317</v>
      </c>
      <c r="B281" s="51"/>
      <c r="C281" s="51"/>
      <c r="D281" s="51"/>
      <c r="E281" s="54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100"/>
      <c r="AM281" s="100"/>
      <c r="AN281" s="100"/>
      <c r="AO281" s="100"/>
      <c r="AP281" s="100"/>
      <c r="AQ281" s="100"/>
      <c r="AR281" s="100"/>
      <c r="AS281" s="100"/>
      <c r="AT281" s="100"/>
      <c r="AU281" s="100"/>
      <c r="AV281" s="100"/>
      <c r="AW281" s="100"/>
      <c r="AX281" s="100"/>
      <c r="AY281" s="100"/>
      <c r="AZ281" s="100"/>
      <c r="BA281" s="100"/>
      <c r="BB281" s="100"/>
      <c r="BC281" s="100"/>
      <c r="BD281" s="100"/>
      <c r="BE281" s="100"/>
      <c r="BF281" s="100"/>
      <c r="BG281" s="100"/>
      <c r="BH281" s="100"/>
      <c r="BI281" s="100"/>
      <c r="BJ281" s="100"/>
      <c r="BK281" s="100"/>
      <c r="BL281" s="100"/>
      <c r="BM281" s="100"/>
    </row>
    <row r="282" spans="1:65" outlineLevel="1">
      <c r="A282" s="3"/>
      <c r="B282" s="51" t="s">
        <v>318</v>
      </c>
      <c r="C282" s="51"/>
      <c r="D282" s="51"/>
      <c r="E282" s="54">
        <f>SUM(F282:BM282)</f>
        <v>305923.5</v>
      </c>
      <c r="F282" s="100">
        <f>[1]OpCost!$E22*F$310</f>
        <v>0</v>
      </c>
      <c r="G282" s="100">
        <f>[1]OpCost!$E22*G$310</f>
        <v>0</v>
      </c>
      <c r="H282" s="100">
        <f>[1]OpCost!$E22*H$310</f>
        <v>0</v>
      </c>
      <c r="I282" s="100">
        <f>[1]OpCost!$E22*I$310</f>
        <v>0</v>
      </c>
      <c r="J282" s="100">
        <f>[1]OpCost!$E22*J$310</f>
        <v>0</v>
      </c>
      <c r="K282" s="100">
        <f>[1]OpCost!$E22*K$310</f>
        <v>0</v>
      </c>
      <c r="L282" s="100">
        <f>[1]OpCost!$E22*L$310</f>
        <v>90</v>
      </c>
      <c r="M282" s="100">
        <f>[1]OpCost!$E22*M$310</f>
        <v>139.5</v>
      </c>
      <c r="N282" s="100">
        <f>[1]OpCost!$E22*N$310</f>
        <v>720</v>
      </c>
      <c r="O282" s="100">
        <f>[1]OpCost!$E22*O$310</f>
        <v>1116</v>
      </c>
      <c r="P282" s="100">
        <f>[1]OpCost!$E22*P$310</f>
        <v>2511</v>
      </c>
      <c r="Q282" s="100">
        <f>[1]OpCost!$E22*Q$310</f>
        <v>2430</v>
      </c>
      <c r="R282" s="100">
        <f>[1]OpCost!$E22*R$310</f>
        <v>3348</v>
      </c>
      <c r="S282" s="100">
        <f>[1]OpCost!$E22*S$310</f>
        <v>3240</v>
      </c>
      <c r="T282" s="100">
        <f>[1]OpCost!$E22*T$310</f>
        <v>4185</v>
      </c>
      <c r="U282" s="100">
        <f>[1]OpCost!$E22*U$310</f>
        <v>4185</v>
      </c>
      <c r="V282" s="100">
        <f>[1]OpCost!$E22*V$310</f>
        <v>4536</v>
      </c>
      <c r="W282" s="100">
        <f>[1]OpCost!$E22*W$310</f>
        <v>5022</v>
      </c>
      <c r="X282" s="100">
        <f>[1]OpCost!$E22*X$310</f>
        <v>5670</v>
      </c>
      <c r="Y282" s="100">
        <f>[1]OpCost!$E22*Y$310</f>
        <v>5859</v>
      </c>
      <c r="Z282" s="100">
        <f>[1]OpCost!$E22*Z$310</f>
        <v>6480</v>
      </c>
      <c r="AA282" s="100">
        <f>[1]OpCost!$E22*AA$310</f>
        <v>6696</v>
      </c>
      <c r="AB282" s="100">
        <f>[1]OpCost!$E22*AB$310</f>
        <v>6696</v>
      </c>
      <c r="AC282" s="100">
        <f>[1]OpCost!$E22*AC$310</f>
        <v>6480</v>
      </c>
      <c r="AD282" s="100">
        <f>[1]OpCost!$E22*AD$310</f>
        <v>6696</v>
      </c>
      <c r="AE282" s="100">
        <f>[1]OpCost!$E22*AE$310</f>
        <v>6480</v>
      </c>
      <c r="AF282" s="100">
        <f>[1]OpCost!$E22*AF$310</f>
        <v>6696</v>
      </c>
      <c r="AG282" s="100">
        <f>[1]OpCost!$E22*AG$310</f>
        <v>6696</v>
      </c>
      <c r="AH282" s="100">
        <f>[1]OpCost!$E22*AH$310</f>
        <v>6048.0000000000009</v>
      </c>
      <c r="AI282" s="100">
        <f>[1]OpCost!$E22*AI$310</f>
        <v>6696</v>
      </c>
      <c r="AJ282" s="100">
        <f>[1]OpCost!$E22*AJ$310</f>
        <v>6480</v>
      </c>
      <c r="AK282" s="100">
        <f>[1]OpCost!$E22*AK$310</f>
        <v>6696</v>
      </c>
      <c r="AL282" s="100">
        <f>[1]OpCost!$E22*AL$310</f>
        <v>6480</v>
      </c>
      <c r="AM282" s="100">
        <f>[1]OpCost!$E22*AM$310</f>
        <v>6696</v>
      </c>
      <c r="AN282" s="100">
        <f>[1]OpCost!$E22*AN$310</f>
        <v>6696</v>
      </c>
      <c r="AO282" s="100">
        <f>[1]OpCost!$E22*AO$310</f>
        <v>6480</v>
      </c>
      <c r="AP282" s="100">
        <f>[1]OpCost!$E22*AP$310</f>
        <v>6696</v>
      </c>
      <c r="AQ282" s="100">
        <f>[1]OpCost!$E22*AQ$310</f>
        <v>6480</v>
      </c>
      <c r="AR282" s="100">
        <f>[1]OpCost!$E22*AR$310</f>
        <v>6696</v>
      </c>
      <c r="AS282" s="100">
        <f>[1]OpCost!$E22*AS$310</f>
        <v>6696</v>
      </c>
      <c r="AT282" s="100">
        <f>[1]OpCost!$E22*AT$310</f>
        <v>6048.0000000000009</v>
      </c>
      <c r="AU282" s="100">
        <f>[1]OpCost!$E22*AU$310</f>
        <v>6696</v>
      </c>
      <c r="AV282" s="100">
        <f>[1]OpCost!$E22*AV$310</f>
        <v>6480</v>
      </c>
      <c r="AW282" s="100">
        <f>[1]OpCost!$E22*AW$310</f>
        <v>6696</v>
      </c>
      <c r="AX282" s="100">
        <f>[1]OpCost!$E22*AX$310</f>
        <v>6480</v>
      </c>
      <c r="AY282" s="100">
        <f>[1]OpCost!$E22*AY$310</f>
        <v>6696</v>
      </c>
      <c r="AZ282" s="100">
        <f>[1]OpCost!$E22*AZ$310</f>
        <v>6696</v>
      </c>
      <c r="BA282" s="100">
        <f>[1]OpCost!$E22*BA$310</f>
        <v>6480</v>
      </c>
      <c r="BB282" s="100">
        <f>[1]OpCost!$E22*BB$310</f>
        <v>6696</v>
      </c>
      <c r="BC282" s="100">
        <f>[1]OpCost!$E22*BC$310</f>
        <v>6480</v>
      </c>
      <c r="BD282" s="100">
        <f>[1]OpCost!$E22*BD$310</f>
        <v>6696</v>
      </c>
      <c r="BE282" s="100">
        <f>[1]OpCost!$E22*BE$310</f>
        <v>6696</v>
      </c>
      <c r="BF282" s="100">
        <f>[1]OpCost!$E22*BF$310</f>
        <v>6048.0000000000009</v>
      </c>
      <c r="BG282" s="100">
        <f>[1]OpCost!$E22*BG$310</f>
        <v>6696</v>
      </c>
      <c r="BH282" s="100">
        <f>[1]OpCost!$E22*BH$310</f>
        <v>6480</v>
      </c>
      <c r="BI282" s="100">
        <f>[1]OpCost!$E22*BI$310</f>
        <v>6696</v>
      </c>
      <c r="BJ282" s="100">
        <f>[1]OpCost!$E22*BJ$310</f>
        <v>6480</v>
      </c>
      <c r="BK282" s="100">
        <f>[1]OpCost!$E22*BK$310</f>
        <v>6696</v>
      </c>
      <c r="BL282" s="100">
        <f>[1]OpCost!$E22*BL$310</f>
        <v>6696</v>
      </c>
      <c r="BM282" s="100">
        <f>[1]OpCost!$E22*BM$310</f>
        <v>6480</v>
      </c>
    </row>
    <row r="283" spans="1:65" outlineLevel="1">
      <c r="A283" s="3"/>
      <c r="B283" s="51" t="s">
        <v>319</v>
      </c>
      <c r="C283" s="51"/>
      <c r="D283" s="51"/>
      <c r="E283" s="54">
        <f>SUM(F283:BM283)</f>
        <v>1019745</v>
      </c>
      <c r="F283" s="100">
        <f>[1]OpCost!$E24*F$310</f>
        <v>0</v>
      </c>
      <c r="G283" s="100">
        <f>[1]OpCost!$E24*G$310</f>
        <v>0</v>
      </c>
      <c r="H283" s="100">
        <f>[1]OpCost!$E24*H$310</f>
        <v>0</v>
      </c>
      <c r="I283" s="100">
        <f>[1]OpCost!$E24*I$310</f>
        <v>0</v>
      </c>
      <c r="J283" s="100">
        <f>[1]OpCost!$E24*J$310</f>
        <v>0</v>
      </c>
      <c r="K283" s="100">
        <f>[1]OpCost!$E24*K$310</f>
        <v>0</v>
      </c>
      <c r="L283" s="100">
        <f>[1]OpCost!$E24*L$310</f>
        <v>300</v>
      </c>
      <c r="M283" s="100">
        <f>[1]OpCost!$E24*M$310</f>
        <v>465</v>
      </c>
      <c r="N283" s="100">
        <f>[1]OpCost!$E24*N$310</f>
        <v>2400</v>
      </c>
      <c r="O283" s="100">
        <f>[1]OpCost!$E24*O$310</f>
        <v>3720</v>
      </c>
      <c r="P283" s="100">
        <f>[1]OpCost!$E24*P$310</f>
        <v>8370</v>
      </c>
      <c r="Q283" s="100">
        <f>[1]OpCost!$E24*Q$310</f>
        <v>8100.0000000000009</v>
      </c>
      <c r="R283" s="100">
        <f>[1]OpCost!$E24*R$310</f>
        <v>11160.000000000002</v>
      </c>
      <c r="S283" s="100">
        <f>[1]OpCost!$E24*S$310</f>
        <v>10800</v>
      </c>
      <c r="T283" s="100">
        <f>[1]OpCost!$E24*T$310</f>
        <v>13950.000000000002</v>
      </c>
      <c r="U283" s="100">
        <f>[1]OpCost!$E24*U$310</f>
        <v>13950.000000000002</v>
      </c>
      <c r="V283" s="100">
        <f>[1]OpCost!$E24*V$310</f>
        <v>15120.000000000002</v>
      </c>
      <c r="W283" s="100">
        <f>[1]OpCost!$E24*W$310</f>
        <v>16740</v>
      </c>
      <c r="X283" s="100">
        <f>[1]OpCost!$E24*X$310</f>
        <v>18900</v>
      </c>
      <c r="Y283" s="100">
        <f>[1]OpCost!$E24*Y$310</f>
        <v>19530</v>
      </c>
      <c r="Z283" s="100">
        <f>[1]OpCost!$E24*Z$310</f>
        <v>21600</v>
      </c>
      <c r="AA283" s="100">
        <f>[1]OpCost!$E24*AA$310</f>
        <v>22320.000000000004</v>
      </c>
      <c r="AB283" s="100">
        <f>[1]OpCost!$E24*AB$310</f>
        <v>22320.000000000004</v>
      </c>
      <c r="AC283" s="100">
        <f>[1]OpCost!$E24*AC$310</f>
        <v>21600</v>
      </c>
      <c r="AD283" s="100">
        <f>[1]OpCost!$E24*AD$310</f>
        <v>22320.000000000004</v>
      </c>
      <c r="AE283" s="100">
        <f>[1]OpCost!$E24*AE$310</f>
        <v>21600</v>
      </c>
      <c r="AF283" s="100">
        <f>[1]OpCost!$E24*AF$310</f>
        <v>22320.000000000004</v>
      </c>
      <c r="AG283" s="100">
        <f>[1]OpCost!$E24*AG$310</f>
        <v>22320.000000000004</v>
      </c>
      <c r="AH283" s="100">
        <f>[1]OpCost!$E24*AH$310</f>
        <v>20160.000000000004</v>
      </c>
      <c r="AI283" s="100">
        <f>[1]OpCost!$E24*AI$310</f>
        <v>22320.000000000004</v>
      </c>
      <c r="AJ283" s="100">
        <f>[1]OpCost!$E24*AJ$310</f>
        <v>21600</v>
      </c>
      <c r="AK283" s="100">
        <f>[1]OpCost!$E24*AK$310</f>
        <v>22320.000000000004</v>
      </c>
      <c r="AL283" s="100">
        <f>[1]OpCost!$E24*AL$310</f>
        <v>21600</v>
      </c>
      <c r="AM283" s="100">
        <f>[1]OpCost!$E24*AM$310</f>
        <v>22320.000000000004</v>
      </c>
      <c r="AN283" s="100">
        <f>[1]OpCost!$E24*AN$310</f>
        <v>22320.000000000004</v>
      </c>
      <c r="AO283" s="100">
        <f>[1]OpCost!$E24*AO$310</f>
        <v>21600</v>
      </c>
      <c r="AP283" s="100">
        <f>[1]OpCost!$E24*AP$310</f>
        <v>22320.000000000004</v>
      </c>
      <c r="AQ283" s="100">
        <f>[1]OpCost!$E24*AQ$310</f>
        <v>21600</v>
      </c>
      <c r="AR283" s="100">
        <f>[1]OpCost!$E24*AR$310</f>
        <v>22320.000000000004</v>
      </c>
      <c r="AS283" s="100">
        <f>[1]OpCost!$E24*AS$310</f>
        <v>22320.000000000004</v>
      </c>
      <c r="AT283" s="100">
        <f>[1]OpCost!$E24*AT$310</f>
        <v>20160.000000000004</v>
      </c>
      <c r="AU283" s="100">
        <f>[1]OpCost!$E24*AU$310</f>
        <v>22320.000000000004</v>
      </c>
      <c r="AV283" s="100">
        <f>[1]OpCost!$E24*AV$310</f>
        <v>21600</v>
      </c>
      <c r="AW283" s="100">
        <f>[1]OpCost!$E24*AW$310</f>
        <v>22320.000000000004</v>
      </c>
      <c r="AX283" s="100">
        <f>[1]OpCost!$E24*AX$310</f>
        <v>21600</v>
      </c>
      <c r="AY283" s="100">
        <f>[1]OpCost!$E24*AY$310</f>
        <v>22320.000000000004</v>
      </c>
      <c r="AZ283" s="100">
        <f>[1]OpCost!$E24*AZ$310</f>
        <v>22320.000000000004</v>
      </c>
      <c r="BA283" s="100">
        <f>[1]OpCost!$E24*BA$310</f>
        <v>21600</v>
      </c>
      <c r="BB283" s="100">
        <f>[1]OpCost!$E24*BB$310</f>
        <v>22320.000000000004</v>
      </c>
      <c r="BC283" s="100">
        <f>[1]OpCost!$E24*BC$310</f>
        <v>21600</v>
      </c>
      <c r="BD283" s="100">
        <f>[1]OpCost!$E24*BD$310</f>
        <v>22320.000000000004</v>
      </c>
      <c r="BE283" s="100">
        <f>[1]OpCost!$E24*BE$310</f>
        <v>22320.000000000004</v>
      </c>
      <c r="BF283" s="100">
        <f>[1]OpCost!$E24*BF$310</f>
        <v>20160.000000000004</v>
      </c>
      <c r="BG283" s="100">
        <f>[1]OpCost!$E24*BG$310</f>
        <v>22320.000000000004</v>
      </c>
      <c r="BH283" s="100">
        <f>[1]OpCost!$E24*BH$310</f>
        <v>21600</v>
      </c>
      <c r="BI283" s="100">
        <f>[1]OpCost!$E24*BI$310</f>
        <v>22320.000000000004</v>
      </c>
      <c r="BJ283" s="100">
        <f>[1]OpCost!$E24*BJ$310</f>
        <v>21600</v>
      </c>
      <c r="BK283" s="100">
        <f>[1]OpCost!$E24*BK$310</f>
        <v>22320.000000000004</v>
      </c>
      <c r="BL283" s="100">
        <f>[1]OpCost!$E24*BL$310</f>
        <v>22320.000000000004</v>
      </c>
      <c r="BM283" s="100">
        <f>[1]OpCost!$E24*BM$310</f>
        <v>21600</v>
      </c>
    </row>
    <row r="284" spans="1:65" outlineLevel="1">
      <c r="A284" s="3"/>
      <c r="B284" s="51" t="s">
        <v>320</v>
      </c>
      <c r="C284" s="51"/>
      <c r="D284" s="51"/>
      <c r="E284" s="54">
        <f t="shared" ref="E284:E303" si="115">SUM(F284:BM284)</f>
        <v>1699575</v>
      </c>
      <c r="F284" s="100">
        <f>[1]OpCost!$E26*F$310</f>
        <v>0</v>
      </c>
      <c r="G284" s="100">
        <f>[1]OpCost!$E26*G$310</f>
        <v>0</v>
      </c>
      <c r="H284" s="100">
        <f>[1]OpCost!$E26*H$310</f>
        <v>0</v>
      </c>
      <c r="I284" s="100">
        <f>[1]OpCost!$E26*I$310</f>
        <v>0</v>
      </c>
      <c r="J284" s="100">
        <f>[1]OpCost!$E26*J$310</f>
        <v>0</v>
      </c>
      <c r="K284" s="100">
        <f>[1]OpCost!$E26*K$310</f>
        <v>0</v>
      </c>
      <c r="L284" s="100">
        <f>[1]OpCost!$E26*L$310</f>
        <v>500</v>
      </c>
      <c r="M284" s="100">
        <f>[1]OpCost!$E26*M$310</f>
        <v>775</v>
      </c>
      <c r="N284" s="100">
        <f>[1]OpCost!$E26*N$310</f>
        <v>4000</v>
      </c>
      <c r="O284" s="100">
        <f>[1]OpCost!$E26*O$310</f>
        <v>6200</v>
      </c>
      <c r="P284" s="100">
        <f>[1]OpCost!$E26*P$310</f>
        <v>13950</v>
      </c>
      <c r="Q284" s="100">
        <f>[1]OpCost!$E26*Q$310</f>
        <v>13500</v>
      </c>
      <c r="R284" s="100">
        <f>[1]OpCost!$E26*R$310</f>
        <v>18600</v>
      </c>
      <c r="S284" s="100">
        <f>[1]OpCost!$E26*S$310</f>
        <v>18000</v>
      </c>
      <c r="T284" s="100">
        <f>[1]OpCost!$E26*T$310</f>
        <v>23250</v>
      </c>
      <c r="U284" s="100">
        <f>[1]OpCost!$E26*U$310</f>
        <v>23250</v>
      </c>
      <c r="V284" s="100">
        <f>[1]OpCost!$E26*V$310</f>
        <v>25200.000000000004</v>
      </c>
      <c r="W284" s="100">
        <f>[1]OpCost!$E26*W$310</f>
        <v>27900</v>
      </c>
      <c r="X284" s="100">
        <f>[1]OpCost!$E26*X$310</f>
        <v>31500</v>
      </c>
      <c r="Y284" s="100">
        <f>[1]OpCost!$E26*Y$310</f>
        <v>32550</v>
      </c>
      <c r="Z284" s="100">
        <f>[1]OpCost!$E26*Z$310</f>
        <v>36000</v>
      </c>
      <c r="AA284" s="100">
        <f>[1]OpCost!$E26*AA$310</f>
        <v>37200</v>
      </c>
      <c r="AB284" s="100">
        <f>[1]OpCost!$E26*AB$310</f>
        <v>37200</v>
      </c>
      <c r="AC284" s="100">
        <f>[1]OpCost!$E26*AC$310</f>
        <v>36000</v>
      </c>
      <c r="AD284" s="100">
        <f>[1]OpCost!$E26*AD$310</f>
        <v>37200</v>
      </c>
      <c r="AE284" s="100">
        <f>[1]OpCost!$E26*AE$310</f>
        <v>36000</v>
      </c>
      <c r="AF284" s="100">
        <f>[1]OpCost!$E26*AF$310</f>
        <v>37200</v>
      </c>
      <c r="AG284" s="100">
        <f>[1]OpCost!$E26*AG$310</f>
        <v>37200</v>
      </c>
      <c r="AH284" s="100">
        <f>[1]OpCost!$E26*AH$310</f>
        <v>33600.000000000007</v>
      </c>
      <c r="AI284" s="100">
        <f>[1]OpCost!$E26*AI$310</f>
        <v>37200</v>
      </c>
      <c r="AJ284" s="100">
        <f>[1]OpCost!$E26*AJ$310</f>
        <v>36000</v>
      </c>
      <c r="AK284" s="100">
        <f>[1]OpCost!$E26*AK$310</f>
        <v>37200</v>
      </c>
      <c r="AL284" s="100">
        <f>[1]OpCost!$E26*AL$310</f>
        <v>36000</v>
      </c>
      <c r="AM284" s="100">
        <f>[1]OpCost!$E26*AM$310</f>
        <v>37200</v>
      </c>
      <c r="AN284" s="100">
        <f>[1]OpCost!$E26*AN$310</f>
        <v>37200</v>
      </c>
      <c r="AO284" s="100">
        <f>[1]OpCost!$E26*AO$310</f>
        <v>36000</v>
      </c>
      <c r="AP284" s="100">
        <f>[1]OpCost!$E26*AP$310</f>
        <v>37200</v>
      </c>
      <c r="AQ284" s="100">
        <f>[1]OpCost!$E26*AQ$310</f>
        <v>36000</v>
      </c>
      <c r="AR284" s="100">
        <f>[1]OpCost!$E26*AR$310</f>
        <v>37200</v>
      </c>
      <c r="AS284" s="100">
        <f>[1]OpCost!$E26*AS$310</f>
        <v>37200</v>
      </c>
      <c r="AT284" s="100">
        <f>[1]OpCost!$E26*AT$310</f>
        <v>33600.000000000007</v>
      </c>
      <c r="AU284" s="100">
        <f>[1]OpCost!$E26*AU$310</f>
        <v>37200</v>
      </c>
      <c r="AV284" s="100">
        <f>[1]OpCost!$E26*AV$310</f>
        <v>36000</v>
      </c>
      <c r="AW284" s="100">
        <f>[1]OpCost!$E26*AW$310</f>
        <v>37200</v>
      </c>
      <c r="AX284" s="100">
        <f>[1]OpCost!$E26*AX$310</f>
        <v>36000</v>
      </c>
      <c r="AY284" s="100">
        <f>[1]OpCost!$E26*AY$310</f>
        <v>37200</v>
      </c>
      <c r="AZ284" s="100">
        <f>[1]OpCost!$E26*AZ$310</f>
        <v>37200</v>
      </c>
      <c r="BA284" s="100">
        <f>[1]OpCost!$E26*BA$310</f>
        <v>36000</v>
      </c>
      <c r="BB284" s="100">
        <f>[1]OpCost!$E26*BB$310</f>
        <v>37200</v>
      </c>
      <c r="BC284" s="100">
        <f>[1]OpCost!$E26*BC$310</f>
        <v>36000</v>
      </c>
      <c r="BD284" s="100">
        <f>[1]OpCost!$E26*BD$310</f>
        <v>37200</v>
      </c>
      <c r="BE284" s="100">
        <f>[1]OpCost!$E26*BE$310</f>
        <v>37200</v>
      </c>
      <c r="BF284" s="100">
        <f>[1]OpCost!$E26*BF$310</f>
        <v>33600.000000000007</v>
      </c>
      <c r="BG284" s="100">
        <f>[1]OpCost!$E26*BG$310</f>
        <v>37200</v>
      </c>
      <c r="BH284" s="100">
        <f>[1]OpCost!$E26*BH$310</f>
        <v>36000</v>
      </c>
      <c r="BI284" s="100">
        <f>[1]OpCost!$E26*BI$310</f>
        <v>37200</v>
      </c>
      <c r="BJ284" s="100">
        <f>[1]OpCost!$E26*BJ$310</f>
        <v>36000</v>
      </c>
      <c r="BK284" s="100">
        <f>[1]OpCost!$E26*BK$310</f>
        <v>37200</v>
      </c>
      <c r="BL284" s="100">
        <f>[1]OpCost!$E26*BL$310</f>
        <v>37200</v>
      </c>
      <c r="BM284" s="100">
        <f>[1]OpCost!$E26*BM$310</f>
        <v>36000</v>
      </c>
    </row>
    <row r="285" spans="1:65" outlineLevel="1">
      <c r="A285" s="3"/>
      <c r="B285" s="51" t="s">
        <v>321</v>
      </c>
      <c r="C285" s="51"/>
      <c r="D285" s="51"/>
      <c r="E285" s="54">
        <f t="shared" si="115"/>
        <v>1019745</v>
      </c>
      <c r="F285" s="100">
        <f>[1]OpCost!$E27*F$310</f>
        <v>0</v>
      </c>
      <c r="G285" s="100">
        <f>[1]OpCost!$E27*G$310</f>
        <v>0</v>
      </c>
      <c r="H285" s="100">
        <f>[1]OpCost!$E27*H$310</f>
        <v>0</v>
      </c>
      <c r="I285" s="100">
        <f>[1]OpCost!$E27*I$310</f>
        <v>0</v>
      </c>
      <c r="J285" s="100">
        <f>[1]OpCost!$E27*J$310</f>
        <v>0</v>
      </c>
      <c r="K285" s="100">
        <f>[1]OpCost!$E27*K$310</f>
        <v>0</v>
      </c>
      <c r="L285" s="100">
        <f>[1]OpCost!$E27*L$310</f>
        <v>300</v>
      </c>
      <c r="M285" s="100">
        <f>[1]OpCost!$E27*M$310</f>
        <v>465</v>
      </c>
      <c r="N285" s="100">
        <f>[1]OpCost!$E27*N$310</f>
        <v>2400</v>
      </c>
      <c r="O285" s="100">
        <f>[1]OpCost!$E27*O$310</f>
        <v>3720</v>
      </c>
      <c r="P285" s="100">
        <f>[1]OpCost!$E27*P$310</f>
        <v>8370</v>
      </c>
      <c r="Q285" s="100">
        <f>[1]OpCost!$E27*Q$310</f>
        <v>8100.0000000000009</v>
      </c>
      <c r="R285" s="100">
        <f>[1]OpCost!$E27*R$310</f>
        <v>11160.000000000002</v>
      </c>
      <c r="S285" s="100">
        <f>[1]OpCost!$E27*S$310</f>
        <v>10800</v>
      </c>
      <c r="T285" s="100">
        <f>[1]OpCost!$E27*T$310</f>
        <v>13950.000000000002</v>
      </c>
      <c r="U285" s="100">
        <f>[1]OpCost!$E27*U$310</f>
        <v>13950.000000000002</v>
      </c>
      <c r="V285" s="100">
        <f>[1]OpCost!$E27*V$310</f>
        <v>15120.000000000002</v>
      </c>
      <c r="W285" s="100">
        <f>[1]OpCost!$E27*W$310</f>
        <v>16740</v>
      </c>
      <c r="X285" s="100">
        <f>[1]OpCost!$E27*X$310</f>
        <v>18900</v>
      </c>
      <c r="Y285" s="100">
        <f>[1]OpCost!$E27*Y$310</f>
        <v>19530</v>
      </c>
      <c r="Z285" s="100">
        <f>[1]OpCost!$E27*Z$310</f>
        <v>21600</v>
      </c>
      <c r="AA285" s="100">
        <f>[1]OpCost!$E27*AA$310</f>
        <v>22320.000000000004</v>
      </c>
      <c r="AB285" s="100">
        <f>[1]OpCost!$E27*AB$310</f>
        <v>22320.000000000004</v>
      </c>
      <c r="AC285" s="100">
        <f>[1]OpCost!$E27*AC$310</f>
        <v>21600</v>
      </c>
      <c r="AD285" s="100">
        <f>[1]OpCost!$E27*AD$310</f>
        <v>22320.000000000004</v>
      </c>
      <c r="AE285" s="100">
        <f>[1]OpCost!$E27*AE$310</f>
        <v>21600</v>
      </c>
      <c r="AF285" s="100">
        <f>[1]OpCost!$E27*AF$310</f>
        <v>22320.000000000004</v>
      </c>
      <c r="AG285" s="100">
        <f>[1]OpCost!$E27*AG$310</f>
        <v>22320.000000000004</v>
      </c>
      <c r="AH285" s="100">
        <f>[1]OpCost!$E27*AH$310</f>
        <v>20160.000000000004</v>
      </c>
      <c r="AI285" s="100">
        <f>[1]OpCost!$E27*AI$310</f>
        <v>22320.000000000004</v>
      </c>
      <c r="AJ285" s="100">
        <f>[1]OpCost!$E27*AJ$310</f>
        <v>21600</v>
      </c>
      <c r="AK285" s="100">
        <f>[1]OpCost!$E27*AK$310</f>
        <v>22320.000000000004</v>
      </c>
      <c r="AL285" s="100">
        <f>[1]OpCost!$E27*AL$310</f>
        <v>21600</v>
      </c>
      <c r="AM285" s="100">
        <f>[1]OpCost!$E27*AM$310</f>
        <v>22320.000000000004</v>
      </c>
      <c r="AN285" s="100">
        <f>[1]OpCost!$E27*AN$310</f>
        <v>22320.000000000004</v>
      </c>
      <c r="AO285" s="100">
        <f>[1]OpCost!$E27*AO$310</f>
        <v>21600</v>
      </c>
      <c r="AP285" s="100">
        <f>[1]OpCost!$E27*AP$310</f>
        <v>22320.000000000004</v>
      </c>
      <c r="AQ285" s="100">
        <f>[1]OpCost!$E27*AQ$310</f>
        <v>21600</v>
      </c>
      <c r="AR285" s="100">
        <f>[1]OpCost!$E27*AR$310</f>
        <v>22320.000000000004</v>
      </c>
      <c r="AS285" s="100">
        <f>[1]OpCost!$E27*AS$310</f>
        <v>22320.000000000004</v>
      </c>
      <c r="AT285" s="100">
        <f>[1]OpCost!$E27*AT$310</f>
        <v>20160.000000000004</v>
      </c>
      <c r="AU285" s="100">
        <f>[1]OpCost!$E27*AU$310</f>
        <v>22320.000000000004</v>
      </c>
      <c r="AV285" s="100">
        <f>[1]OpCost!$E27*AV$310</f>
        <v>21600</v>
      </c>
      <c r="AW285" s="100">
        <f>[1]OpCost!$E27*AW$310</f>
        <v>22320.000000000004</v>
      </c>
      <c r="AX285" s="100">
        <f>[1]OpCost!$E27*AX$310</f>
        <v>21600</v>
      </c>
      <c r="AY285" s="100">
        <f>[1]OpCost!$E27*AY$310</f>
        <v>22320.000000000004</v>
      </c>
      <c r="AZ285" s="100">
        <f>[1]OpCost!$E27*AZ$310</f>
        <v>22320.000000000004</v>
      </c>
      <c r="BA285" s="100">
        <f>[1]OpCost!$E27*BA$310</f>
        <v>21600</v>
      </c>
      <c r="BB285" s="100">
        <f>[1]OpCost!$E27*BB$310</f>
        <v>22320.000000000004</v>
      </c>
      <c r="BC285" s="100">
        <f>[1]OpCost!$E27*BC$310</f>
        <v>21600</v>
      </c>
      <c r="BD285" s="100">
        <f>[1]OpCost!$E27*BD$310</f>
        <v>22320.000000000004</v>
      </c>
      <c r="BE285" s="100">
        <f>[1]OpCost!$E27*BE$310</f>
        <v>22320.000000000004</v>
      </c>
      <c r="BF285" s="100">
        <f>[1]OpCost!$E27*BF$310</f>
        <v>20160.000000000004</v>
      </c>
      <c r="BG285" s="100">
        <f>[1]OpCost!$E27*BG$310</f>
        <v>22320.000000000004</v>
      </c>
      <c r="BH285" s="100">
        <f>[1]OpCost!$E27*BH$310</f>
        <v>21600</v>
      </c>
      <c r="BI285" s="100">
        <f>[1]OpCost!$E27*BI$310</f>
        <v>22320.000000000004</v>
      </c>
      <c r="BJ285" s="100">
        <f>[1]OpCost!$E27*BJ$310</f>
        <v>21600</v>
      </c>
      <c r="BK285" s="100">
        <f>[1]OpCost!$E27*BK$310</f>
        <v>22320.000000000004</v>
      </c>
      <c r="BL285" s="100">
        <f>[1]OpCost!$E27*BL$310</f>
        <v>22320.000000000004</v>
      </c>
      <c r="BM285" s="100">
        <f>[1]OpCost!$E27*BM$310</f>
        <v>21600</v>
      </c>
    </row>
    <row r="286" spans="1:65" outlineLevel="1">
      <c r="A286" s="3"/>
      <c r="B286" s="51" t="s">
        <v>322</v>
      </c>
      <c r="C286" s="51"/>
      <c r="D286" s="51"/>
      <c r="E286" s="54">
        <f t="shared" si="115"/>
        <v>5648027.6400000034</v>
      </c>
      <c r="F286" s="100">
        <f>[1]OpCost!$E28*F$310</f>
        <v>0</v>
      </c>
      <c r="G286" s="100">
        <f>[1]OpCost!$E28*G$310</f>
        <v>0</v>
      </c>
      <c r="H286" s="100">
        <f>[1]OpCost!$E28*H$310</f>
        <v>0</v>
      </c>
      <c r="I286" s="100">
        <f>[1]OpCost!$E28*I$310</f>
        <v>0</v>
      </c>
      <c r="J286" s="100">
        <f>[1]OpCost!$E28*J$310</f>
        <v>0</v>
      </c>
      <c r="K286" s="100">
        <f>[1]OpCost!$E28*K$310</f>
        <v>0</v>
      </c>
      <c r="L286" s="100">
        <f>[1]OpCost!$E28*L$310</f>
        <v>1661.6000000000001</v>
      </c>
      <c r="M286" s="100">
        <f>[1]OpCost!$E28*M$310</f>
        <v>2575.48</v>
      </c>
      <c r="N286" s="100">
        <f>[1]OpCost!$E28*N$310</f>
        <v>13292.800000000001</v>
      </c>
      <c r="O286" s="100">
        <f>[1]OpCost!$E28*O$310</f>
        <v>20603.84</v>
      </c>
      <c r="P286" s="100">
        <f>[1]OpCost!$E28*P$310</f>
        <v>46358.64</v>
      </c>
      <c r="Q286" s="100">
        <f>[1]OpCost!$E28*Q$310</f>
        <v>44863.200000000004</v>
      </c>
      <c r="R286" s="100">
        <f>[1]OpCost!$E28*R$310</f>
        <v>61811.520000000004</v>
      </c>
      <c r="S286" s="100">
        <f>[1]OpCost!$E28*S$310</f>
        <v>59817.600000000006</v>
      </c>
      <c r="T286" s="100">
        <f>[1]OpCost!$E28*T$310</f>
        <v>77264.400000000009</v>
      </c>
      <c r="U286" s="100">
        <f>[1]OpCost!$E28*U$310</f>
        <v>77264.400000000009</v>
      </c>
      <c r="V286" s="100">
        <f>[1]OpCost!$E28*V$310</f>
        <v>83744.640000000014</v>
      </c>
      <c r="W286" s="100">
        <f>[1]OpCost!$E28*W$310</f>
        <v>92717.28</v>
      </c>
      <c r="X286" s="100">
        <f>[1]OpCost!$E28*X$310</f>
        <v>104680.8</v>
      </c>
      <c r="Y286" s="100">
        <f>[1]OpCost!$E28*Y$310</f>
        <v>108170.16</v>
      </c>
      <c r="Z286" s="100">
        <f>[1]OpCost!$E28*Z$310</f>
        <v>119635.20000000001</v>
      </c>
      <c r="AA286" s="100">
        <f>[1]OpCost!$E28*AA$310</f>
        <v>123623.04000000001</v>
      </c>
      <c r="AB286" s="100">
        <f>[1]OpCost!$E28*AB$310</f>
        <v>123623.04000000001</v>
      </c>
      <c r="AC286" s="100">
        <f>[1]OpCost!$E28*AC$310</f>
        <v>119635.20000000001</v>
      </c>
      <c r="AD286" s="100">
        <f>[1]OpCost!$E28*AD$310</f>
        <v>123623.04000000001</v>
      </c>
      <c r="AE286" s="100">
        <f>[1]OpCost!$E28*AE$310</f>
        <v>119635.20000000001</v>
      </c>
      <c r="AF286" s="100">
        <f>[1]OpCost!$E28*AF$310</f>
        <v>123623.04000000001</v>
      </c>
      <c r="AG286" s="100">
        <f>[1]OpCost!$E28*AG$310</f>
        <v>123623.04000000001</v>
      </c>
      <c r="AH286" s="100">
        <f>[1]OpCost!$E28*AH$310</f>
        <v>111659.52000000002</v>
      </c>
      <c r="AI286" s="100">
        <f>[1]OpCost!$E28*AI$310</f>
        <v>123623.04000000001</v>
      </c>
      <c r="AJ286" s="100">
        <f>[1]OpCost!$E28*AJ$310</f>
        <v>119635.20000000001</v>
      </c>
      <c r="AK286" s="100">
        <f>[1]OpCost!$E28*AK$310</f>
        <v>123623.04000000001</v>
      </c>
      <c r="AL286" s="100">
        <f>[1]OpCost!$E28*AL$310</f>
        <v>119635.20000000001</v>
      </c>
      <c r="AM286" s="100">
        <f>[1]OpCost!$E28*AM$310</f>
        <v>123623.04000000001</v>
      </c>
      <c r="AN286" s="100">
        <f>[1]OpCost!$E28*AN$310</f>
        <v>123623.04000000001</v>
      </c>
      <c r="AO286" s="100">
        <f>[1]OpCost!$E28*AO$310</f>
        <v>119635.20000000001</v>
      </c>
      <c r="AP286" s="100">
        <f>[1]OpCost!$E28*AP$310</f>
        <v>123623.04000000001</v>
      </c>
      <c r="AQ286" s="100">
        <f>[1]OpCost!$E28*AQ$310</f>
        <v>119635.20000000001</v>
      </c>
      <c r="AR286" s="100">
        <f>[1]OpCost!$E28*AR$310</f>
        <v>123623.04000000001</v>
      </c>
      <c r="AS286" s="100">
        <f>[1]OpCost!$E28*AS$310</f>
        <v>123623.04000000001</v>
      </c>
      <c r="AT286" s="100">
        <f>[1]OpCost!$E28*AT$310</f>
        <v>111659.52000000002</v>
      </c>
      <c r="AU286" s="100">
        <f>[1]OpCost!$E28*AU$310</f>
        <v>123623.04000000001</v>
      </c>
      <c r="AV286" s="100">
        <f>[1]OpCost!$E28*AV$310</f>
        <v>119635.20000000001</v>
      </c>
      <c r="AW286" s="100">
        <f>[1]OpCost!$E28*AW$310</f>
        <v>123623.04000000001</v>
      </c>
      <c r="AX286" s="100">
        <f>[1]OpCost!$E28*AX$310</f>
        <v>119635.20000000001</v>
      </c>
      <c r="AY286" s="100">
        <f>[1]OpCost!$E28*AY$310</f>
        <v>123623.04000000001</v>
      </c>
      <c r="AZ286" s="100">
        <f>[1]OpCost!$E28*AZ$310</f>
        <v>123623.04000000001</v>
      </c>
      <c r="BA286" s="100">
        <f>[1]OpCost!$E28*BA$310</f>
        <v>119635.20000000001</v>
      </c>
      <c r="BB286" s="100">
        <f>[1]OpCost!$E28*BB$310</f>
        <v>123623.04000000001</v>
      </c>
      <c r="BC286" s="100">
        <f>[1]OpCost!$E28*BC$310</f>
        <v>119635.20000000001</v>
      </c>
      <c r="BD286" s="100">
        <f>[1]OpCost!$E28*BD$310</f>
        <v>123623.04000000001</v>
      </c>
      <c r="BE286" s="100">
        <f>[1]OpCost!$E28*BE$310</f>
        <v>123623.04000000001</v>
      </c>
      <c r="BF286" s="100">
        <f>[1]OpCost!$E28*BF$310</f>
        <v>111659.52000000002</v>
      </c>
      <c r="BG286" s="100">
        <f>[1]OpCost!$E28*BG$310</f>
        <v>123623.04000000001</v>
      </c>
      <c r="BH286" s="100">
        <f>[1]OpCost!$E28*BH$310</f>
        <v>119635.20000000001</v>
      </c>
      <c r="BI286" s="100">
        <f>[1]OpCost!$E28*BI$310</f>
        <v>123623.04000000001</v>
      </c>
      <c r="BJ286" s="100">
        <f>[1]OpCost!$E28*BJ$310</f>
        <v>119635.20000000001</v>
      </c>
      <c r="BK286" s="100">
        <f>[1]OpCost!$E28*BK$310</f>
        <v>123623.04000000001</v>
      </c>
      <c r="BL286" s="100">
        <f>[1]OpCost!$E28*BL$310</f>
        <v>123623.04000000001</v>
      </c>
      <c r="BM286" s="100">
        <f>[1]OpCost!$E28*BM$310</f>
        <v>119635.20000000001</v>
      </c>
    </row>
    <row r="287" spans="1:65" outlineLevel="1">
      <c r="A287" s="3"/>
      <c r="B287" s="51" t="s">
        <v>323</v>
      </c>
      <c r="C287" s="51"/>
      <c r="D287" s="51"/>
      <c r="E287" s="54">
        <f t="shared" si="115"/>
        <v>679830</v>
      </c>
      <c r="F287" s="100">
        <f>[1]OpCost!$E29*F$310</f>
        <v>0</v>
      </c>
      <c r="G287" s="100">
        <f>[1]OpCost!$E29*G$310</f>
        <v>0</v>
      </c>
      <c r="H287" s="100">
        <f>[1]OpCost!$E29*H$310</f>
        <v>0</v>
      </c>
      <c r="I287" s="100">
        <f>[1]OpCost!$E29*I$310</f>
        <v>0</v>
      </c>
      <c r="J287" s="100">
        <f>[1]OpCost!$E29*J$310</f>
        <v>0</v>
      </c>
      <c r="K287" s="100">
        <f>[1]OpCost!$E29*K$310</f>
        <v>0</v>
      </c>
      <c r="L287" s="100">
        <f>[1]OpCost!$E29*L$310</f>
        <v>200</v>
      </c>
      <c r="M287" s="100">
        <f>[1]OpCost!$E29*M$310</f>
        <v>310</v>
      </c>
      <c r="N287" s="100">
        <f>[1]OpCost!$E29*N$310</f>
        <v>1600</v>
      </c>
      <c r="O287" s="100">
        <f>[1]OpCost!$E29*O$310</f>
        <v>2480</v>
      </c>
      <c r="P287" s="100">
        <f>[1]OpCost!$E29*P$310</f>
        <v>5580</v>
      </c>
      <c r="Q287" s="100">
        <f>[1]OpCost!$E29*Q$310</f>
        <v>5400</v>
      </c>
      <c r="R287" s="100">
        <f>[1]OpCost!$E29*R$310</f>
        <v>7440</v>
      </c>
      <c r="S287" s="100">
        <f>[1]OpCost!$E29*S$310</f>
        <v>7200</v>
      </c>
      <c r="T287" s="100">
        <f>[1]OpCost!$E29*T$310</f>
        <v>9300</v>
      </c>
      <c r="U287" s="100">
        <f>[1]OpCost!$E29*U$310</f>
        <v>9300</v>
      </c>
      <c r="V287" s="100">
        <f>[1]OpCost!$E29*V$310</f>
        <v>10080</v>
      </c>
      <c r="W287" s="100">
        <f>[1]OpCost!$E29*W$310</f>
        <v>11160</v>
      </c>
      <c r="X287" s="100">
        <f>[1]OpCost!$E29*X$310</f>
        <v>12600</v>
      </c>
      <c r="Y287" s="100">
        <f>[1]OpCost!$E29*Y$310</f>
        <v>13019.999999999998</v>
      </c>
      <c r="Z287" s="100">
        <f>[1]OpCost!$E29*Z$310</f>
        <v>14400</v>
      </c>
      <c r="AA287" s="100">
        <f>[1]OpCost!$E29*AA$310</f>
        <v>14880</v>
      </c>
      <c r="AB287" s="100">
        <f>[1]OpCost!$E29*AB$310</f>
        <v>14880</v>
      </c>
      <c r="AC287" s="100">
        <f>[1]OpCost!$E29*AC$310</f>
        <v>14400</v>
      </c>
      <c r="AD287" s="100">
        <f>[1]OpCost!$E29*AD$310</f>
        <v>14880</v>
      </c>
      <c r="AE287" s="100">
        <f>[1]OpCost!$E29*AE$310</f>
        <v>14400</v>
      </c>
      <c r="AF287" s="100">
        <f>[1]OpCost!$E29*AF$310</f>
        <v>14880</v>
      </c>
      <c r="AG287" s="100">
        <f>[1]OpCost!$E29*AG$310</f>
        <v>14880</v>
      </c>
      <c r="AH287" s="100">
        <f>[1]OpCost!$E29*AH$310</f>
        <v>13440.000000000002</v>
      </c>
      <c r="AI287" s="100">
        <f>[1]OpCost!$E29*AI$310</f>
        <v>14880</v>
      </c>
      <c r="AJ287" s="100">
        <f>[1]OpCost!$E29*AJ$310</f>
        <v>14400</v>
      </c>
      <c r="AK287" s="100">
        <f>[1]OpCost!$E29*AK$310</f>
        <v>14880</v>
      </c>
      <c r="AL287" s="100">
        <f>[1]OpCost!$E29*AL$310</f>
        <v>14400</v>
      </c>
      <c r="AM287" s="100">
        <f>[1]OpCost!$E29*AM$310</f>
        <v>14880</v>
      </c>
      <c r="AN287" s="100">
        <f>[1]OpCost!$E29*AN$310</f>
        <v>14880</v>
      </c>
      <c r="AO287" s="100">
        <f>[1]OpCost!$E29*AO$310</f>
        <v>14400</v>
      </c>
      <c r="AP287" s="100">
        <f>[1]OpCost!$E29*AP$310</f>
        <v>14880</v>
      </c>
      <c r="AQ287" s="100">
        <f>[1]OpCost!$E29*AQ$310</f>
        <v>14400</v>
      </c>
      <c r="AR287" s="100">
        <f>[1]OpCost!$E29*AR$310</f>
        <v>14880</v>
      </c>
      <c r="AS287" s="100">
        <f>[1]OpCost!$E29*AS$310</f>
        <v>14880</v>
      </c>
      <c r="AT287" s="100">
        <f>[1]OpCost!$E29*AT$310</f>
        <v>13440.000000000002</v>
      </c>
      <c r="AU287" s="100">
        <f>[1]OpCost!$E29*AU$310</f>
        <v>14880</v>
      </c>
      <c r="AV287" s="100">
        <f>[1]OpCost!$E29*AV$310</f>
        <v>14400</v>
      </c>
      <c r="AW287" s="100">
        <f>[1]OpCost!$E29*AW$310</f>
        <v>14880</v>
      </c>
      <c r="AX287" s="100">
        <f>[1]OpCost!$E29*AX$310</f>
        <v>14400</v>
      </c>
      <c r="AY287" s="100">
        <f>[1]OpCost!$E29*AY$310</f>
        <v>14880</v>
      </c>
      <c r="AZ287" s="100">
        <f>[1]OpCost!$E29*AZ$310</f>
        <v>14880</v>
      </c>
      <c r="BA287" s="100">
        <f>[1]OpCost!$E29*BA$310</f>
        <v>14400</v>
      </c>
      <c r="BB287" s="100">
        <f>[1]OpCost!$E29*BB$310</f>
        <v>14880</v>
      </c>
      <c r="BC287" s="100">
        <f>[1]OpCost!$E29*BC$310</f>
        <v>14400</v>
      </c>
      <c r="BD287" s="100">
        <f>[1]OpCost!$E29*BD$310</f>
        <v>14880</v>
      </c>
      <c r="BE287" s="100">
        <f>[1]OpCost!$E29*BE$310</f>
        <v>14880</v>
      </c>
      <c r="BF287" s="100">
        <f>[1]OpCost!$E29*BF$310</f>
        <v>13440.000000000002</v>
      </c>
      <c r="BG287" s="100">
        <f>[1]OpCost!$E29*BG$310</f>
        <v>14880</v>
      </c>
      <c r="BH287" s="100">
        <f>[1]OpCost!$E29*BH$310</f>
        <v>14400</v>
      </c>
      <c r="BI287" s="100">
        <f>[1]OpCost!$E29*BI$310</f>
        <v>14880</v>
      </c>
      <c r="BJ287" s="100">
        <f>[1]OpCost!$E29*BJ$310</f>
        <v>14400</v>
      </c>
      <c r="BK287" s="100">
        <f>[1]OpCost!$E29*BK$310</f>
        <v>14880</v>
      </c>
      <c r="BL287" s="100">
        <f>[1]OpCost!$E29*BL$310</f>
        <v>14880</v>
      </c>
      <c r="BM287" s="100">
        <f>[1]OpCost!$E29*BM$310</f>
        <v>14400</v>
      </c>
    </row>
    <row r="288" spans="1:65" outlineLevel="1">
      <c r="A288" s="3"/>
      <c r="B288" s="51" t="s">
        <v>324</v>
      </c>
      <c r="C288" s="51"/>
      <c r="D288" s="51"/>
      <c r="E288" s="54">
        <f t="shared" si="115"/>
        <v>254936.25</v>
      </c>
      <c r="F288" s="100">
        <f>[1]OpCost!$E30*F$310</f>
        <v>0</v>
      </c>
      <c r="G288" s="100">
        <f>[1]OpCost!$E30*G$310</f>
        <v>0</v>
      </c>
      <c r="H288" s="100">
        <f>[1]OpCost!$E30*H$310</f>
        <v>0</v>
      </c>
      <c r="I288" s="100">
        <f>[1]OpCost!$E30*I$310</f>
        <v>0</v>
      </c>
      <c r="J288" s="100">
        <f>[1]OpCost!$E30*J$310</f>
        <v>0</v>
      </c>
      <c r="K288" s="100">
        <f>[1]OpCost!$E30*K$310</f>
        <v>0</v>
      </c>
      <c r="L288" s="100">
        <f>[1]OpCost!$E30*L$310</f>
        <v>75</v>
      </c>
      <c r="M288" s="100">
        <f>[1]OpCost!$E30*M$310</f>
        <v>116.25</v>
      </c>
      <c r="N288" s="100">
        <f>[1]OpCost!$E30*N$310</f>
        <v>600</v>
      </c>
      <c r="O288" s="100">
        <f>[1]OpCost!$E30*O$310</f>
        <v>930</v>
      </c>
      <c r="P288" s="100">
        <f>[1]OpCost!$E30*P$310</f>
        <v>2092.5</v>
      </c>
      <c r="Q288" s="100">
        <f>[1]OpCost!$E30*Q$310</f>
        <v>2025.0000000000002</v>
      </c>
      <c r="R288" s="100">
        <f>[1]OpCost!$E30*R$310</f>
        <v>2790.0000000000005</v>
      </c>
      <c r="S288" s="100">
        <f>[1]OpCost!$E30*S$310</f>
        <v>2700</v>
      </c>
      <c r="T288" s="100">
        <f>[1]OpCost!$E30*T$310</f>
        <v>3487.5000000000005</v>
      </c>
      <c r="U288" s="100">
        <f>[1]OpCost!$E30*U$310</f>
        <v>3487.5000000000005</v>
      </c>
      <c r="V288" s="100">
        <f>[1]OpCost!$E30*V$310</f>
        <v>3780.0000000000005</v>
      </c>
      <c r="W288" s="100">
        <f>[1]OpCost!$E30*W$310</f>
        <v>4185</v>
      </c>
      <c r="X288" s="100">
        <f>[1]OpCost!$E30*X$310</f>
        <v>4725</v>
      </c>
      <c r="Y288" s="100">
        <f>[1]OpCost!$E30*Y$310</f>
        <v>4882.5</v>
      </c>
      <c r="Z288" s="100">
        <f>[1]OpCost!$E30*Z$310</f>
        <v>5400</v>
      </c>
      <c r="AA288" s="100">
        <f>[1]OpCost!$E30*AA$310</f>
        <v>5580.0000000000009</v>
      </c>
      <c r="AB288" s="100">
        <f>[1]OpCost!$E30*AB$310</f>
        <v>5580.0000000000009</v>
      </c>
      <c r="AC288" s="100">
        <f>[1]OpCost!$E30*AC$310</f>
        <v>5400</v>
      </c>
      <c r="AD288" s="100">
        <f>[1]OpCost!$E30*AD$310</f>
        <v>5580.0000000000009</v>
      </c>
      <c r="AE288" s="100">
        <f>[1]OpCost!$E30*AE$310</f>
        <v>5400</v>
      </c>
      <c r="AF288" s="100">
        <f>[1]OpCost!$E30*AF$310</f>
        <v>5580.0000000000009</v>
      </c>
      <c r="AG288" s="100">
        <f>[1]OpCost!$E30*AG$310</f>
        <v>5580.0000000000009</v>
      </c>
      <c r="AH288" s="100">
        <f>[1]OpCost!$E30*AH$310</f>
        <v>5040.0000000000009</v>
      </c>
      <c r="AI288" s="100">
        <f>[1]OpCost!$E30*AI$310</f>
        <v>5580.0000000000009</v>
      </c>
      <c r="AJ288" s="100">
        <f>[1]OpCost!$E30*AJ$310</f>
        <v>5400</v>
      </c>
      <c r="AK288" s="100">
        <f>[1]OpCost!$E30*AK$310</f>
        <v>5580.0000000000009</v>
      </c>
      <c r="AL288" s="100">
        <f>[1]OpCost!$E30*AL$310</f>
        <v>5400</v>
      </c>
      <c r="AM288" s="100">
        <f>[1]OpCost!$E30*AM$310</f>
        <v>5580.0000000000009</v>
      </c>
      <c r="AN288" s="100">
        <f>[1]OpCost!$E30*AN$310</f>
        <v>5580.0000000000009</v>
      </c>
      <c r="AO288" s="100">
        <f>[1]OpCost!$E30*AO$310</f>
        <v>5400</v>
      </c>
      <c r="AP288" s="100">
        <f>[1]OpCost!$E30*AP$310</f>
        <v>5580.0000000000009</v>
      </c>
      <c r="AQ288" s="100">
        <f>[1]OpCost!$E30*AQ$310</f>
        <v>5400</v>
      </c>
      <c r="AR288" s="100">
        <f>[1]OpCost!$E30*AR$310</f>
        <v>5580.0000000000009</v>
      </c>
      <c r="AS288" s="100">
        <f>[1]OpCost!$E30*AS$310</f>
        <v>5580.0000000000009</v>
      </c>
      <c r="AT288" s="100">
        <f>[1]OpCost!$E30*AT$310</f>
        <v>5040.0000000000009</v>
      </c>
      <c r="AU288" s="100">
        <f>[1]OpCost!$E30*AU$310</f>
        <v>5580.0000000000009</v>
      </c>
      <c r="AV288" s="100">
        <f>[1]OpCost!$E30*AV$310</f>
        <v>5400</v>
      </c>
      <c r="AW288" s="100">
        <f>[1]OpCost!$E30*AW$310</f>
        <v>5580.0000000000009</v>
      </c>
      <c r="AX288" s="100">
        <f>[1]OpCost!$E30*AX$310</f>
        <v>5400</v>
      </c>
      <c r="AY288" s="100">
        <f>[1]OpCost!$E30*AY$310</f>
        <v>5580.0000000000009</v>
      </c>
      <c r="AZ288" s="100">
        <f>[1]OpCost!$E30*AZ$310</f>
        <v>5580.0000000000009</v>
      </c>
      <c r="BA288" s="100">
        <f>[1]OpCost!$E30*BA$310</f>
        <v>5400</v>
      </c>
      <c r="BB288" s="100">
        <f>[1]OpCost!$E30*BB$310</f>
        <v>5580.0000000000009</v>
      </c>
      <c r="BC288" s="100">
        <f>[1]OpCost!$E30*BC$310</f>
        <v>5400</v>
      </c>
      <c r="BD288" s="100">
        <f>[1]OpCost!$E30*BD$310</f>
        <v>5580.0000000000009</v>
      </c>
      <c r="BE288" s="100">
        <f>[1]OpCost!$E30*BE$310</f>
        <v>5580.0000000000009</v>
      </c>
      <c r="BF288" s="100">
        <f>[1]OpCost!$E30*BF$310</f>
        <v>5040.0000000000009</v>
      </c>
      <c r="BG288" s="100">
        <f>[1]OpCost!$E30*BG$310</f>
        <v>5580.0000000000009</v>
      </c>
      <c r="BH288" s="100">
        <f>[1]OpCost!$E30*BH$310</f>
        <v>5400</v>
      </c>
      <c r="BI288" s="100">
        <f>[1]OpCost!$E30*BI$310</f>
        <v>5580.0000000000009</v>
      </c>
      <c r="BJ288" s="100">
        <f>[1]OpCost!$E30*BJ$310</f>
        <v>5400</v>
      </c>
      <c r="BK288" s="100">
        <f>[1]OpCost!$E30*BK$310</f>
        <v>5580.0000000000009</v>
      </c>
      <c r="BL288" s="100">
        <f>[1]OpCost!$E30*BL$310</f>
        <v>5580.0000000000009</v>
      </c>
      <c r="BM288" s="100">
        <f>[1]OpCost!$E30*BM$310</f>
        <v>5400</v>
      </c>
    </row>
    <row r="289" spans="1:65" outlineLevel="1">
      <c r="A289" s="3"/>
      <c r="B289" s="51" t="s">
        <v>325</v>
      </c>
      <c r="C289" s="51"/>
      <c r="D289" s="51"/>
      <c r="E289" s="54">
        <f t="shared" si="115"/>
        <v>1019745</v>
      </c>
      <c r="F289" s="100">
        <f>[1]OpCost!$E31*F$310</f>
        <v>0</v>
      </c>
      <c r="G289" s="100">
        <f>[1]OpCost!$E31*G$310</f>
        <v>0</v>
      </c>
      <c r="H289" s="100">
        <f>[1]OpCost!$E31*H$310</f>
        <v>0</v>
      </c>
      <c r="I289" s="100">
        <f>[1]OpCost!$E31*I$310</f>
        <v>0</v>
      </c>
      <c r="J289" s="100">
        <f>[1]OpCost!$E31*J$310</f>
        <v>0</v>
      </c>
      <c r="K289" s="100">
        <f>[1]OpCost!$E31*K$310</f>
        <v>0</v>
      </c>
      <c r="L289" s="100">
        <f>[1]OpCost!$E31*L$310</f>
        <v>300</v>
      </c>
      <c r="M289" s="100">
        <f>[1]OpCost!$E31*M$310</f>
        <v>465</v>
      </c>
      <c r="N289" s="100">
        <f>[1]OpCost!$E31*N$310</f>
        <v>2400</v>
      </c>
      <c r="O289" s="100">
        <f>[1]OpCost!$E31*O$310</f>
        <v>3720</v>
      </c>
      <c r="P289" s="100">
        <f>[1]OpCost!$E31*P$310</f>
        <v>8370</v>
      </c>
      <c r="Q289" s="100">
        <f>[1]OpCost!$E31*Q$310</f>
        <v>8100.0000000000009</v>
      </c>
      <c r="R289" s="100">
        <f>[1]OpCost!$E31*R$310</f>
        <v>11160.000000000002</v>
      </c>
      <c r="S289" s="100">
        <f>[1]OpCost!$E31*S$310</f>
        <v>10800</v>
      </c>
      <c r="T289" s="100">
        <f>[1]OpCost!$E31*T$310</f>
        <v>13950.000000000002</v>
      </c>
      <c r="U289" s="100">
        <f>[1]OpCost!$E31*U$310</f>
        <v>13950.000000000002</v>
      </c>
      <c r="V289" s="100">
        <f>[1]OpCost!$E31*V$310</f>
        <v>15120.000000000002</v>
      </c>
      <c r="W289" s="100">
        <f>[1]OpCost!$E31*W$310</f>
        <v>16740</v>
      </c>
      <c r="X289" s="100">
        <f>[1]OpCost!$E31*X$310</f>
        <v>18900</v>
      </c>
      <c r="Y289" s="100">
        <f>[1]OpCost!$E31*Y$310</f>
        <v>19530</v>
      </c>
      <c r="Z289" s="100">
        <f>[1]OpCost!$E31*Z$310</f>
        <v>21600</v>
      </c>
      <c r="AA289" s="100">
        <f>[1]OpCost!$E31*AA$310</f>
        <v>22320.000000000004</v>
      </c>
      <c r="AB289" s="100">
        <f>[1]OpCost!$E31*AB$310</f>
        <v>22320.000000000004</v>
      </c>
      <c r="AC289" s="100">
        <f>[1]OpCost!$E31*AC$310</f>
        <v>21600</v>
      </c>
      <c r="AD289" s="100">
        <f>[1]OpCost!$E31*AD$310</f>
        <v>22320.000000000004</v>
      </c>
      <c r="AE289" s="100">
        <f>[1]OpCost!$E31*AE$310</f>
        <v>21600</v>
      </c>
      <c r="AF289" s="100">
        <f>[1]OpCost!$E31*AF$310</f>
        <v>22320.000000000004</v>
      </c>
      <c r="AG289" s="100">
        <f>[1]OpCost!$E31*AG$310</f>
        <v>22320.000000000004</v>
      </c>
      <c r="AH289" s="100">
        <f>[1]OpCost!$E31*AH$310</f>
        <v>20160.000000000004</v>
      </c>
      <c r="AI289" s="100">
        <f>[1]OpCost!$E31*AI$310</f>
        <v>22320.000000000004</v>
      </c>
      <c r="AJ289" s="100">
        <f>[1]OpCost!$E31*AJ$310</f>
        <v>21600</v>
      </c>
      <c r="AK289" s="100">
        <f>[1]OpCost!$E31*AK$310</f>
        <v>22320.000000000004</v>
      </c>
      <c r="AL289" s="100">
        <f>[1]OpCost!$E31*AL$310</f>
        <v>21600</v>
      </c>
      <c r="AM289" s="100">
        <f>[1]OpCost!$E31*AM$310</f>
        <v>22320.000000000004</v>
      </c>
      <c r="AN289" s="100">
        <f>[1]OpCost!$E31*AN$310</f>
        <v>22320.000000000004</v>
      </c>
      <c r="AO289" s="100">
        <f>[1]OpCost!$E31*AO$310</f>
        <v>21600</v>
      </c>
      <c r="AP289" s="100">
        <f>[1]OpCost!$E31*AP$310</f>
        <v>22320.000000000004</v>
      </c>
      <c r="AQ289" s="100">
        <f>[1]OpCost!$E31*AQ$310</f>
        <v>21600</v>
      </c>
      <c r="AR289" s="100">
        <f>[1]OpCost!$E31*AR$310</f>
        <v>22320.000000000004</v>
      </c>
      <c r="AS289" s="100">
        <f>[1]OpCost!$E31*AS$310</f>
        <v>22320.000000000004</v>
      </c>
      <c r="AT289" s="100">
        <f>[1]OpCost!$E31*AT$310</f>
        <v>20160.000000000004</v>
      </c>
      <c r="AU289" s="100">
        <f>[1]OpCost!$E31*AU$310</f>
        <v>22320.000000000004</v>
      </c>
      <c r="AV289" s="100">
        <f>[1]OpCost!$E31*AV$310</f>
        <v>21600</v>
      </c>
      <c r="AW289" s="100">
        <f>[1]OpCost!$E31*AW$310</f>
        <v>22320.000000000004</v>
      </c>
      <c r="AX289" s="100">
        <f>[1]OpCost!$E31*AX$310</f>
        <v>21600</v>
      </c>
      <c r="AY289" s="100">
        <f>[1]OpCost!$E31*AY$310</f>
        <v>22320.000000000004</v>
      </c>
      <c r="AZ289" s="100">
        <f>[1]OpCost!$E31*AZ$310</f>
        <v>22320.000000000004</v>
      </c>
      <c r="BA289" s="100">
        <f>[1]OpCost!$E31*BA$310</f>
        <v>21600</v>
      </c>
      <c r="BB289" s="100">
        <f>[1]OpCost!$E31*BB$310</f>
        <v>22320.000000000004</v>
      </c>
      <c r="BC289" s="100">
        <f>[1]OpCost!$E31*BC$310</f>
        <v>21600</v>
      </c>
      <c r="BD289" s="100">
        <f>[1]OpCost!$E31*BD$310</f>
        <v>22320.000000000004</v>
      </c>
      <c r="BE289" s="100">
        <f>[1]OpCost!$E31*BE$310</f>
        <v>22320.000000000004</v>
      </c>
      <c r="BF289" s="100">
        <f>[1]OpCost!$E31*BF$310</f>
        <v>20160.000000000004</v>
      </c>
      <c r="BG289" s="100">
        <f>[1]OpCost!$E31*BG$310</f>
        <v>22320.000000000004</v>
      </c>
      <c r="BH289" s="100">
        <f>[1]OpCost!$E31*BH$310</f>
        <v>21600</v>
      </c>
      <c r="BI289" s="100">
        <f>[1]OpCost!$E31*BI$310</f>
        <v>22320.000000000004</v>
      </c>
      <c r="BJ289" s="100">
        <f>[1]OpCost!$E31*BJ$310</f>
        <v>21600</v>
      </c>
      <c r="BK289" s="100">
        <f>[1]OpCost!$E31*BK$310</f>
        <v>22320.000000000004</v>
      </c>
      <c r="BL289" s="100">
        <f>[1]OpCost!$E31*BL$310</f>
        <v>22320.000000000004</v>
      </c>
      <c r="BM289" s="100">
        <f>[1]OpCost!$E31*BM$310</f>
        <v>21600</v>
      </c>
    </row>
    <row r="290" spans="1:65" outlineLevel="1">
      <c r="A290" s="3"/>
      <c r="B290" s="51" t="s">
        <v>326</v>
      </c>
      <c r="C290" s="51"/>
      <c r="D290" s="51"/>
      <c r="E290" s="54">
        <f t="shared" si="115"/>
        <v>1359660</v>
      </c>
      <c r="F290" s="100">
        <f>[1]OpCost!$E32*F$310</f>
        <v>0</v>
      </c>
      <c r="G290" s="100">
        <f>[1]OpCost!$E32*G$310</f>
        <v>0</v>
      </c>
      <c r="H290" s="100">
        <f>[1]OpCost!$E32*H$310</f>
        <v>0</v>
      </c>
      <c r="I290" s="100">
        <f>[1]OpCost!$E32*I$310</f>
        <v>0</v>
      </c>
      <c r="J290" s="100">
        <f>[1]OpCost!$E32*J$310</f>
        <v>0</v>
      </c>
      <c r="K290" s="100">
        <f>[1]OpCost!$E32*K$310</f>
        <v>0</v>
      </c>
      <c r="L290" s="100">
        <f>[1]OpCost!$E32*L$310</f>
        <v>400</v>
      </c>
      <c r="M290" s="100">
        <f>[1]OpCost!$E32*M$310</f>
        <v>620</v>
      </c>
      <c r="N290" s="100">
        <f>[1]OpCost!$E32*N$310</f>
        <v>3200</v>
      </c>
      <c r="O290" s="100">
        <f>[1]OpCost!$E32*O$310</f>
        <v>4960</v>
      </c>
      <c r="P290" s="100">
        <f>[1]OpCost!$E32*P$310</f>
        <v>11160</v>
      </c>
      <c r="Q290" s="100">
        <f>[1]OpCost!$E32*Q$310</f>
        <v>10800</v>
      </c>
      <c r="R290" s="100">
        <f>[1]OpCost!$E32*R$310</f>
        <v>14880</v>
      </c>
      <c r="S290" s="100">
        <f>[1]OpCost!$E32*S$310</f>
        <v>14400</v>
      </c>
      <c r="T290" s="100">
        <f>[1]OpCost!$E32*T$310</f>
        <v>18600</v>
      </c>
      <c r="U290" s="100">
        <f>[1]OpCost!$E32*U$310</f>
        <v>18600</v>
      </c>
      <c r="V290" s="100">
        <f>[1]OpCost!$E32*V$310</f>
        <v>20160</v>
      </c>
      <c r="W290" s="100">
        <f>[1]OpCost!$E32*W$310</f>
        <v>22320</v>
      </c>
      <c r="X290" s="100">
        <f>[1]OpCost!$E32*X$310</f>
        <v>25200</v>
      </c>
      <c r="Y290" s="100">
        <f>[1]OpCost!$E32*Y$310</f>
        <v>26039.999999999996</v>
      </c>
      <c r="Z290" s="100">
        <f>[1]OpCost!$E32*Z$310</f>
        <v>28800</v>
      </c>
      <c r="AA290" s="100">
        <f>[1]OpCost!$E32*AA$310</f>
        <v>29760</v>
      </c>
      <c r="AB290" s="100">
        <f>[1]OpCost!$E32*AB$310</f>
        <v>29760</v>
      </c>
      <c r="AC290" s="100">
        <f>[1]OpCost!$E32*AC$310</f>
        <v>28800</v>
      </c>
      <c r="AD290" s="100">
        <f>[1]OpCost!$E32*AD$310</f>
        <v>29760</v>
      </c>
      <c r="AE290" s="100">
        <f>[1]OpCost!$E32*AE$310</f>
        <v>28800</v>
      </c>
      <c r="AF290" s="100">
        <f>[1]OpCost!$E32*AF$310</f>
        <v>29760</v>
      </c>
      <c r="AG290" s="100">
        <f>[1]OpCost!$E32*AG$310</f>
        <v>29760</v>
      </c>
      <c r="AH290" s="100">
        <f>[1]OpCost!$E32*AH$310</f>
        <v>26880.000000000004</v>
      </c>
      <c r="AI290" s="100">
        <f>[1]OpCost!$E32*AI$310</f>
        <v>29760</v>
      </c>
      <c r="AJ290" s="100">
        <f>[1]OpCost!$E32*AJ$310</f>
        <v>28800</v>
      </c>
      <c r="AK290" s="100">
        <f>[1]OpCost!$E32*AK$310</f>
        <v>29760</v>
      </c>
      <c r="AL290" s="100">
        <f>[1]OpCost!$E32*AL$310</f>
        <v>28800</v>
      </c>
      <c r="AM290" s="100">
        <f>[1]OpCost!$E32*AM$310</f>
        <v>29760</v>
      </c>
      <c r="AN290" s="100">
        <f>[1]OpCost!$E32*AN$310</f>
        <v>29760</v>
      </c>
      <c r="AO290" s="100">
        <f>[1]OpCost!$E32*AO$310</f>
        <v>28800</v>
      </c>
      <c r="AP290" s="100">
        <f>[1]OpCost!$E32*AP$310</f>
        <v>29760</v>
      </c>
      <c r="AQ290" s="100">
        <f>[1]OpCost!$E32*AQ$310</f>
        <v>28800</v>
      </c>
      <c r="AR290" s="100">
        <f>[1]OpCost!$E32*AR$310</f>
        <v>29760</v>
      </c>
      <c r="AS290" s="100">
        <f>[1]OpCost!$E32*AS$310</f>
        <v>29760</v>
      </c>
      <c r="AT290" s="100">
        <f>[1]OpCost!$E32*AT$310</f>
        <v>26880.000000000004</v>
      </c>
      <c r="AU290" s="100">
        <f>[1]OpCost!$E32*AU$310</f>
        <v>29760</v>
      </c>
      <c r="AV290" s="100">
        <f>[1]OpCost!$E32*AV$310</f>
        <v>28800</v>
      </c>
      <c r="AW290" s="100">
        <f>[1]OpCost!$E32*AW$310</f>
        <v>29760</v>
      </c>
      <c r="AX290" s="100">
        <f>[1]OpCost!$E32*AX$310</f>
        <v>28800</v>
      </c>
      <c r="AY290" s="100">
        <f>[1]OpCost!$E32*AY$310</f>
        <v>29760</v>
      </c>
      <c r="AZ290" s="100">
        <f>[1]OpCost!$E32*AZ$310</f>
        <v>29760</v>
      </c>
      <c r="BA290" s="100">
        <f>[1]OpCost!$E32*BA$310</f>
        <v>28800</v>
      </c>
      <c r="BB290" s="100">
        <f>[1]OpCost!$E32*BB$310</f>
        <v>29760</v>
      </c>
      <c r="BC290" s="100">
        <f>[1]OpCost!$E32*BC$310</f>
        <v>28800</v>
      </c>
      <c r="BD290" s="100">
        <f>[1]OpCost!$E32*BD$310</f>
        <v>29760</v>
      </c>
      <c r="BE290" s="100">
        <f>[1]OpCost!$E32*BE$310</f>
        <v>29760</v>
      </c>
      <c r="BF290" s="100">
        <f>[1]OpCost!$E32*BF$310</f>
        <v>26880.000000000004</v>
      </c>
      <c r="BG290" s="100">
        <f>[1]OpCost!$E32*BG$310</f>
        <v>29760</v>
      </c>
      <c r="BH290" s="100">
        <f>[1]OpCost!$E32*BH$310</f>
        <v>28800</v>
      </c>
      <c r="BI290" s="100">
        <f>[1]OpCost!$E32*BI$310</f>
        <v>29760</v>
      </c>
      <c r="BJ290" s="100">
        <f>[1]OpCost!$E32*BJ$310</f>
        <v>28800</v>
      </c>
      <c r="BK290" s="100">
        <f>[1]OpCost!$E32*BK$310</f>
        <v>29760</v>
      </c>
      <c r="BL290" s="100">
        <f>[1]OpCost!$E32*BL$310</f>
        <v>29760</v>
      </c>
      <c r="BM290" s="100">
        <f>[1]OpCost!$E32*BM$310</f>
        <v>28800</v>
      </c>
    </row>
    <row r="291" spans="1:65" outlineLevel="1">
      <c r="A291" s="3"/>
      <c r="B291" s="51" t="s">
        <v>327</v>
      </c>
      <c r="C291" s="51"/>
      <c r="D291" s="51"/>
      <c r="E291" s="54">
        <f t="shared" si="115"/>
        <v>84978.75</v>
      </c>
      <c r="F291" s="100">
        <f>[1]OpCost!$E33*F$310</f>
        <v>0</v>
      </c>
      <c r="G291" s="100">
        <f>[1]OpCost!$E33*G$310</f>
        <v>0</v>
      </c>
      <c r="H291" s="100">
        <f>[1]OpCost!$E33*H$310</f>
        <v>0</v>
      </c>
      <c r="I291" s="100">
        <f>[1]OpCost!$E33*I$310</f>
        <v>0</v>
      </c>
      <c r="J291" s="100">
        <f>[1]OpCost!$E33*J$310</f>
        <v>0</v>
      </c>
      <c r="K291" s="100">
        <f>[1]OpCost!$E33*K$310</f>
        <v>0</v>
      </c>
      <c r="L291" s="100">
        <f>[1]OpCost!$E33*L$310</f>
        <v>25</v>
      </c>
      <c r="M291" s="100">
        <f>[1]OpCost!$E33*M$310</f>
        <v>38.75</v>
      </c>
      <c r="N291" s="100">
        <f>[1]OpCost!$E33*N$310</f>
        <v>200</v>
      </c>
      <c r="O291" s="100">
        <f>[1]OpCost!$E33*O$310</f>
        <v>310</v>
      </c>
      <c r="P291" s="100">
        <f>[1]OpCost!$E33*P$310</f>
        <v>697.5</v>
      </c>
      <c r="Q291" s="100">
        <f>[1]OpCost!$E33*Q$310</f>
        <v>675</v>
      </c>
      <c r="R291" s="100">
        <f>[1]OpCost!$E33*R$310</f>
        <v>930</v>
      </c>
      <c r="S291" s="100">
        <f>[1]OpCost!$E33*S$310</f>
        <v>900</v>
      </c>
      <c r="T291" s="100">
        <f>[1]OpCost!$E33*T$310</f>
        <v>1162.5</v>
      </c>
      <c r="U291" s="100">
        <f>[1]OpCost!$E33*U$310</f>
        <v>1162.5</v>
      </c>
      <c r="V291" s="100">
        <f>[1]OpCost!$E33*V$310</f>
        <v>1260</v>
      </c>
      <c r="W291" s="100">
        <f>[1]OpCost!$E33*W$310</f>
        <v>1395</v>
      </c>
      <c r="X291" s="100">
        <f>[1]OpCost!$E33*X$310</f>
        <v>1575</v>
      </c>
      <c r="Y291" s="100">
        <f>[1]OpCost!$E33*Y$310</f>
        <v>1627.4999999999998</v>
      </c>
      <c r="Z291" s="100">
        <f>[1]OpCost!$E33*Z$310</f>
        <v>1800</v>
      </c>
      <c r="AA291" s="100">
        <f>[1]OpCost!$E33*AA$310</f>
        <v>1860</v>
      </c>
      <c r="AB291" s="100">
        <f>[1]OpCost!$E33*AB$310</f>
        <v>1860</v>
      </c>
      <c r="AC291" s="100">
        <f>[1]OpCost!$E33*AC$310</f>
        <v>1800</v>
      </c>
      <c r="AD291" s="100">
        <f>[1]OpCost!$E33*AD$310</f>
        <v>1860</v>
      </c>
      <c r="AE291" s="100">
        <f>[1]OpCost!$E33*AE$310</f>
        <v>1800</v>
      </c>
      <c r="AF291" s="100">
        <f>[1]OpCost!$E33*AF$310</f>
        <v>1860</v>
      </c>
      <c r="AG291" s="100">
        <f>[1]OpCost!$E33*AG$310</f>
        <v>1860</v>
      </c>
      <c r="AH291" s="100">
        <f>[1]OpCost!$E33*AH$310</f>
        <v>1680.0000000000002</v>
      </c>
      <c r="AI291" s="100">
        <f>[1]OpCost!$E33*AI$310</f>
        <v>1860</v>
      </c>
      <c r="AJ291" s="100">
        <f>[1]OpCost!$E33*AJ$310</f>
        <v>1800</v>
      </c>
      <c r="AK291" s="100">
        <f>[1]OpCost!$E33*AK$310</f>
        <v>1860</v>
      </c>
      <c r="AL291" s="100">
        <f>[1]OpCost!$E33*AL$310</f>
        <v>1800</v>
      </c>
      <c r="AM291" s="100">
        <f>[1]OpCost!$E33*AM$310</f>
        <v>1860</v>
      </c>
      <c r="AN291" s="100">
        <f>[1]OpCost!$E33*AN$310</f>
        <v>1860</v>
      </c>
      <c r="AO291" s="100">
        <f>[1]OpCost!$E33*AO$310</f>
        <v>1800</v>
      </c>
      <c r="AP291" s="100">
        <f>[1]OpCost!$E33*AP$310</f>
        <v>1860</v>
      </c>
      <c r="AQ291" s="100">
        <f>[1]OpCost!$E33*AQ$310</f>
        <v>1800</v>
      </c>
      <c r="AR291" s="100">
        <f>[1]OpCost!$E33*AR$310</f>
        <v>1860</v>
      </c>
      <c r="AS291" s="100">
        <f>[1]OpCost!$E33*AS$310</f>
        <v>1860</v>
      </c>
      <c r="AT291" s="100">
        <f>[1]OpCost!$E33*AT$310</f>
        <v>1680.0000000000002</v>
      </c>
      <c r="AU291" s="100">
        <f>[1]OpCost!$E33*AU$310</f>
        <v>1860</v>
      </c>
      <c r="AV291" s="100">
        <f>[1]OpCost!$E33*AV$310</f>
        <v>1800</v>
      </c>
      <c r="AW291" s="100">
        <f>[1]OpCost!$E33*AW$310</f>
        <v>1860</v>
      </c>
      <c r="AX291" s="100">
        <f>[1]OpCost!$E33*AX$310</f>
        <v>1800</v>
      </c>
      <c r="AY291" s="100">
        <f>[1]OpCost!$E33*AY$310</f>
        <v>1860</v>
      </c>
      <c r="AZ291" s="100">
        <f>[1]OpCost!$E33*AZ$310</f>
        <v>1860</v>
      </c>
      <c r="BA291" s="100">
        <f>[1]OpCost!$E33*BA$310</f>
        <v>1800</v>
      </c>
      <c r="BB291" s="100">
        <f>[1]OpCost!$E33*BB$310</f>
        <v>1860</v>
      </c>
      <c r="BC291" s="100">
        <f>[1]OpCost!$E33*BC$310</f>
        <v>1800</v>
      </c>
      <c r="BD291" s="100">
        <f>[1]OpCost!$E33*BD$310</f>
        <v>1860</v>
      </c>
      <c r="BE291" s="100">
        <f>[1]OpCost!$E33*BE$310</f>
        <v>1860</v>
      </c>
      <c r="BF291" s="100">
        <f>[1]OpCost!$E33*BF$310</f>
        <v>1680.0000000000002</v>
      </c>
      <c r="BG291" s="100">
        <f>[1]OpCost!$E33*BG$310</f>
        <v>1860</v>
      </c>
      <c r="BH291" s="100">
        <f>[1]OpCost!$E33*BH$310</f>
        <v>1800</v>
      </c>
      <c r="BI291" s="100">
        <f>[1]OpCost!$E33*BI$310</f>
        <v>1860</v>
      </c>
      <c r="BJ291" s="100">
        <f>[1]OpCost!$E33*BJ$310</f>
        <v>1800</v>
      </c>
      <c r="BK291" s="100">
        <f>[1]OpCost!$E33*BK$310</f>
        <v>1860</v>
      </c>
      <c r="BL291" s="100">
        <f>[1]OpCost!$E33*BL$310</f>
        <v>1860</v>
      </c>
      <c r="BM291" s="100">
        <f>[1]OpCost!$E33*BM$310</f>
        <v>1800</v>
      </c>
    </row>
    <row r="292" spans="1:65" outlineLevel="1">
      <c r="A292" s="3"/>
      <c r="B292" s="51" t="s">
        <v>328</v>
      </c>
      <c r="C292" s="51"/>
      <c r="D292" s="51"/>
      <c r="E292" s="54">
        <f t="shared" si="115"/>
        <v>509872.5</v>
      </c>
      <c r="F292" s="100">
        <f>[1]OpCost!$E34*F$310</f>
        <v>0</v>
      </c>
      <c r="G292" s="100">
        <f>[1]OpCost!$E34*G$310</f>
        <v>0</v>
      </c>
      <c r="H292" s="100">
        <f>[1]OpCost!$E34*H$310</f>
        <v>0</v>
      </c>
      <c r="I292" s="100">
        <f>[1]OpCost!$E34*I$310</f>
        <v>0</v>
      </c>
      <c r="J292" s="100">
        <f>[1]OpCost!$E34*J$310</f>
        <v>0</v>
      </c>
      <c r="K292" s="100">
        <f>[1]OpCost!$E34*K$310</f>
        <v>0</v>
      </c>
      <c r="L292" s="100">
        <f>[1]OpCost!$E34*L$310</f>
        <v>150</v>
      </c>
      <c r="M292" s="100">
        <f>[1]OpCost!$E34*M$310</f>
        <v>232.5</v>
      </c>
      <c r="N292" s="100">
        <f>[1]OpCost!$E34*N$310</f>
        <v>1200</v>
      </c>
      <c r="O292" s="100">
        <f>[1]OpCost!$E34*O$310</f>
        <v>1860</v>
      </c>
      <c r="P292" s="100">
        <f>[1]OpCost!$E34*P$310</f>
        <v>4185</v>
      </c>
      <c r="Q292" s="100">
        <f>[1]OpCost!$E34*Q$310</f>
        <v>4050.0000000000005</v>
      </c>
      <c r="R292" s="100">
        <f>[1]OpCost!$E34*R$310</f>
        <v>5580.0000000000009</v>
      </c>
      <c r="S292" s="100">
        <f>[1]OpCost!$E34*S$310</f>
        <v>5400</v>
      </c>
      <c r="T292" s="100">
        <f>[1]OpCost!$E34*T$310</f>
        <v>6975.0000000000009</v>
      </c>
      <c r="U292" s="100">
        <f>[1]OpCost!$E34*U$310</f>
        <v>6975.0000000000009</v>
      </c>
      <c r="V292" s="100">
        <f>[1]OpCost!$E34*V$310</f>
        <v>7560.0000000000009</v>
      </c>
      <c r="W292" s="100">
        <f>[1]OpCost!$E34*W$310</f>
        <v>8370</v>
      </c>
      <c r="X292" s="100">
        <f>[1]OpCost!$E34*X$310</f>
        <v>9450</v>
      </c>
      <c r="Y292" s="100">
        <f>[1]OpCost!$E34*Y$310</f>
        <v>9765</v>
      </c>
      <c r="Z292" s="100">
        <f>[1]OpCost!$E34*Z$310</f>
        <v>10800</v>
      </c>
      <c r="AA292" s="100">
        <f>[1]OpCost!$E34*AA$310</f>
        <v>11160.000000000002</v>
      </c>
      <c r="AB292" s="100">
        <f>[1]OpCost!$E34*AB$310</f>
        <v>11160.000000000002</v>
      </c>
      <c r="AC292" s="100">
        <f>[1]OpCost!$E34*AC$310</f>
        <v>10800</v>
      </c>
      <c r="AD292" s="100">
        <f>[1]OpCost!$E34*AD$310</f>
        <v>11160.000000000002</v>
      </c>
      <c r="AE292" s="100">
        <f>[1]OpCost!$E34*AE$310</f>
        <v>10800</v>
      </c>
      <c r="AF292" s="100">
        <f>[1]OpCost!$E34*AF$310</f>
        <v>11160.000000000002</v>
      </c>
      <c r="AG292" s="100">
        <f>[1]OpCost!$E34*AG$310</f>
        <v>11160.000000000002</v>
      </c>
      <c r="AH292" s="100">
        <f>[1]OpCost!$E34*AH$310</f>
        <v>10080.000000000002</v>
      </c>
      <c r="AI292" s="100">
        <f>[1]OpCost!$E34*AI$310</f>
        <v>11160.000000000002</v>
      </c>
      <c r="AJ292" s="100">
        <f>[1]OpCost!$E34*AJ$310</f>
        <v>10800</v>
      </c>
      <c r="AK292" s="100">
        <f>[1]OpCost!$E34*AK$310</f>
        <v>11160.000000000002</v>
      </c>
      <c r="AL292" s="100">
        <f>[1]OpCost!$E34*AL$310</f>
        <v>10800</v>
      </c>
      <c r="AM292" s="100">
        <f>[1]OpCost!$E34*AM$310</f>
        <v>11160.000000000002</v>
      </c>
      <c r="AN292" s="100">
        <f>[1]OpCost!$E34*AN$310</f>
        <v>11160.000000000002</v>
      </c>
      <c r="AO292" s="100">
        <f>[1]OpCost!$E34*AO$310</f>
        <v>10800</v>
      </c>
      <c r="AP292" s="100">
        <f>[1]OpCost!$E34*AP$310</f>
        <v>11160.000000000002</v>
      </c>
      <c r="AQ292" s="100">
        <f>[1]OpCost!$E34*AQ$310</f>
        <v>10800</v>
      </c>
      <c r="AR292" s="100">
        <f>[1]OpCost!$E34*AR$310</f>
        <v>11160.000000000002</v>
      </c>
      <c r="AS292" s="100">
        <f>[1]OpCost!$E34*AS$310</f>
        <v>11160.000000000002</v>
      </c>
      <c r="AT292" s="100">
        <f>[1]OpCost!$E34*AT$310</f>
        <v>10080.000000000002</v>
      </c>
      <c r="AU292" s="100">
        <f>[1]OpCost!$E34*AU$310</f>
        <v>11160.000000000002</v>
      </c>
      <c r="AV292" s="100">
        <f>[1]OpCost!$E34*AV$310</f>
        <v>10800</v>
      </c>
      <c r="AW292" s="100">
        <f>[1]OpCost!$E34*AW$310</f>
        <v>11160.000000000002</v>
      </c>
      <c r="AX292" s="100">
        <f>[1]OpCost!$E34*AX$310</f>
        <v>10800</v>
      </c>
      <c r="AY292" s="100">
        <f>[1]OpCost!$E34*AY$310</f>
        <v>11160.000000000002</v>
      </c>
      <c r="AZ292" s="100">
        <f>[1]OpCost!$E34*AZ$310</f>
        <v>11160.000000000002</v>
      </c>
      <c r="BA292" s="100">
        <f>[1]OpCost!$E34*BA$310</f>
        <v>10800</v>
      </c>
      <c r="BB292" s="100">
        <f>[1]OpCost!$E34*BB$310</f>
        <v>11160.000000000002</v>
      </c>
      <c r="BC292" s="100">
        <f>[1]OpCost!$E34*BC$310</f>
        <v>10800</v>
      </c>
      <c r="BD292" s="100">
        <f>[1]OpCost!$E34*BD$310</f>
        <v>11160.000000000002</v>
      </c>
      <c r="BE292" s="100">
        <f>[1]OpCost!$E34*BE$310</f>
        <v>11160.000000000002</v>
      </c>
      <c r="BF292" s="100">
        <f>[1]OpCost!$E34*BF$310</f>
        <v>10080.000000000002</v>
      </c>
      <c r="BG292" s="100">
        <f>[1]OpCost!$E34*BG$310</f>
        <v>11160.000000000002</v>
      </c>
      <c r="BH292" s="100">
        <f>[1]OpCost!$E34*BH$310</f>
        <v>10800</v>
      </c>
      <c r="BI292" s="100">
        <f>[1]OpCost!$E34*BI$310</f>
        <v>11160.000000000002</v>
      </c>
      <c r="BJ292" s="100">
        <f>[1]OpCost!$E34*BJ$310</f>
        <v>10800</v>
      </c>
      <c r="BK292" s="100">
        <f>[1]OpCost!$E34*BK$310</f>
        <v>11160.000000000002</v>
      </c>
      <c r="BL292" s="100">
        <f>[1]OpCost!$E34*BL$310</f>
        <v>11160.000000000002</v>
      </c>
      <c r="BM292" s="100">
        <f>[1]OpCost!$E34*BM$310</f>
        <v>10800</v>
      </c>
    </row>
    <row r="293" spans="1:65" outlineLevel="1">
      <c r="A293" s="3"/>
      <c r="B293" s="51" t="s">
        <v>329</v>
      </c>
      <c r="C293" s="51"/>
      <c r="D293" s="51"/>
      <c r="E293" s="54">
        <f t="shared" si="115"/>
        <v>1019745</v>
      </c>
      <c r="F293" s="100">
        <f>[1]OpCost!$E35*F$310</f>
        <v>0</v>
      </c>
      <c r="G293" s="100">
        <f>[1]OpCost!$E35*G$310</f>
        <v>0</v>
      </c>
      <c r="H293" s="100">
        <f>[1]OpCost!$E35*H$310</f>
        <v>0</v>
      </c>
      <c r="I293" s="100">
        <f>[1]OpCost!$E35*I$310</f>
        <v>0</v>
      </c>
      <c r="J293" s="100">
        <f>[1]OpCost!$E35*J$310</f>
        <v>0</v>
      </c>
      <c r="K293" s="100">
        <f>[1]OpCost!$E35*K$310</f>
        <v>0</v>
      </c>
      <c r="L293" s="100">
        <f>[1]OpCost!$E35*L$310</f>
        <v>300</v>
      </c>
      <c r="M293" s="100">
        <f>[1]OpCost!$E35*M$310</f>
        <v>465</v>
      </c>
      <c r="N293" s="100">
        <f>[1]OpCost!$E35*N$310</f>
        <v>2400</v>
      </c>
      <c r="O293" s="100">
        <f>[1]OpCost!$E35*O$310</f>
        <v>3720</v>
      </c>
      <c r="P293" s="100">
        <f>[1]OpCost!$E35*P$310</f>
        <v>8370</v>
      </c>
      <c r="Q293" s="100">
        <f>[1]OpCost!$E35*Q$310</f>
        <v>8100.0000000000009</v>
      </c>
      <c r="R293" s="100">
        <f>[1]OpCost!$E35*R$310</f>
        <v>11160.000000000002</v>
      </c>
      <c r="S293" s="100">
        <f>[1]OpCost!$E35*S$310</f>
        <v>10800</v>
      </c>
      <c r="T293" s="100">
        <f>[1]OpCost!$E35*T$310</f>
        <v>13950.000000000002</v>
      </c>
      <c r="U293" s="100">
        <f>[1]OpCost!$E35*U$310</f>
        <v>13950.000000000002</v>
      </c>
      <c r="V293" s="100">
        <f>[1]OpCost!$E35*V$310</f>
        <v>15120.000000000002</v>
      </c>
      <c r="W293" s="100">
        <f>[1]OpCost!$E35*W$310</f>
        <v>16740</v>
      </c>
      <c r="X293" s="100">
        <f>[1]OpCost!$E35*X$310</f>
        <v>18900</v>
      </c>
      <c r="Y293" s="100">
        <f>[1]OpCost!$E35*Y$310</f>
        <v>19530</v>
      </c>
      <c r="Z293" s="100">
        <f>[1]OpCost!$E35*Z$310</f>
        <v>21600</v>
      </c>
      <c r="AA293" s="100">
        <f>[1]OpCost!$E35*AA$310</f>
        <v>22320.000000000004</v>
      </c>
      <c r="AB293" s="100">
        <f>[1]OpCost!$E35*AB$310</f>
        <v>22320.000000000004</v>
      </c>
      <c r="AC293" s="100">
        <f>[1]OpCost!$E35*AC$310</f>
        <v>21600</v>
      </c>
      <c r="AD293" s="100">
        <f>[1]OpCost!$E35*AD$310</f>
        <v>22320.000000000004</v>
      </c>
      <c r="AE293" s="100">
        <f>[1]OpCost!$E35*AE$310</f>
        <v>21600</v>
      </c>
      <c r="AF293" s="100">
        <f>[1]OpCost!$E35*AF$310</f>
        <v>22320.000000000004</v>
      </c>
      <c r="AG293" s="100">
        <f>[1]OpCost!$E35*AG$310</f>
        <v>22320.000000000004</v>
      </c>
      <c r="AH293" s="100">
        <f>[1]OpCost!$E35*AH$310</f>
        <v>20160.000000000004</v>
      </c>
      <c r="AI293" s="100">
        <f>[1]OpCost!$E35*AI$310</f>
        <v>22320.000000000004</v>
      </c>
      <c r="AJ293" s="100">
        <f>[1]OpCost!$E35*AJ$310</f>
        <v>21600</v>
      </c>
      <c r="AK293" s="100">
        <f>[1]OpCost!$E35*AK$310</f>
        <v>22320.000000000004</v>
      </c>
      <c r="AL293" s="100">
        <f>[1]OpCost!$E35*AL$310</f>
        <v>21600</v>
      </c>
      <c r="AM293" s="100">
        <f>[1]OpCost!$E35*AM$310</f>
        <v>22320.000000000004</v>
      </c>
      <c r="AN293" s="100">
        <f>[1]OpCost!$E35*AN$310</f>
        <v>22320.000000000004</v>
      </c>
      <c r="AO293" s="100">
        <f>[1]OpCost!$E35*AO$310</f>
        <v>21600</v>
      </c>
      <c r="AP293" s="100">
        <f>[1]OpCost!$E35*AP$310</f>
        <v>22320.000000000004</v>
      </c>
      <c r="AQ293" s="100">
        <f>[1]OpCost!$E35*AQ$310</f>
        <v>21600</v>
      </c>
      <c r="AR293" s="100">
        <f>[1]OpCost!$E35*AR$310</f>
        <v>22320.000000000004</v>
      </c>
      <c r="AS293" s="100">
        <f>[1]OpCost!$E35*AS$310</f>
        <v>22320.000000000004</v>
      </c>
      <c r="AT293" s="100">
        <f>[1]OpCost!$E35*AT$310</f>
        <v>20160.000000000004</v>
      </c>
      <c r="AU293" s="100">
        <f>[1]OpCost!$E35*AU$310</f>
        <v>22320.000000000004</v>
      </c>
      <c r="AV293" s="100">
        <f>[1]OpCost!$E35*AV$310</f>
        <v>21600</v>
      </c>
      <c r="AW293" s="100">
        <f>[1]OpCost!$E35*AW$310</f>
        <v>22320.000000000004</v>
      </c>
      <c r="AX293" s="100">
        <f>[1]OpCost!$E35*AX$310</f>
        <v>21600</v>
      </c>
      <c r="AY293" s="100">
        <f>[1]OpCost!$E35*AY$310</f>
        <v>22320.000000000004</v>
      </c>
      <c r="AZ293" s="100">
        <f>[1]OpCost!$E35*AZ$310</f>
        <v>22320.000000000004</v>
      </c>
      <c r="BA293" s="100">
        <f>[1]OpCost!$E35*BA$310</f>
        <v>21600</v>
      </c>
      <c r="BB293" s="100">
        <f>[1]OpCost!$E35*BB$310</f>
        <v>22320.000000000004</v>
      </c>
      <c r="BC293" s="100">
        <f>[1]OpCost!$E35*BC$310</f>
        <v>21600</v>
      </c>
      <c r="BD293" s="100">
        <f>[1]OpCost!$E35*BD$310</f>
        <v>22320.000000000004</v>
      </c>
      <c r="BE293" s="100">
        <f>[1]OpCost!$E35*BE$310</f>
        <v>22320.000000000004</v>
      </c>
      <c r="BF293" s="100">
        <f>[1]OpCost!$E35*BF$310</f>
        <v>20160.000000000004</v>
      </c>
      <c r="BG293" s="100">
        <f>[1]OpCost!$E35*BG$310</f>
        <v>22320.000000000004</v>
      </c>
      <c r="BH293" s="100">
        <f>[1]OpCost!$E35*BH$310</f>
        <v>21600</v>
      </c>
      <c r="BI293" s="100">
        <f>[1]OpCost!$E35*BI$310</f>
        <v>22320.000000000004</v>
      </c>
      <c r="BJ293" s="100">
        <f>[1]OpCost!$E35*BJ$310</f>
        <v>21600</v>
      </c>
      <c r="BK293" s="100">
        <f>[1]OpCost!$E35*BK$310</f>
        <v>22320.000000000004</v>
      </c>
      <c r="BL293" s="100">
        <f>[1]OpCost!$E35*BL$310</f>
        <v>22320.000000000004</v>
      </c>
      <c r="BM293" s="100">
        <f>[1]OpCost!$E35*BM$310</f>
        <v>21600</v>
      </c>
    </row>
    <row r="294" spans="1:65" outlineLevel="1">
      <c r="A294" s="3"/>
      <c r="B294" s="51" t="s">
        <v>330</v>
      </c>
      <c r="C294" s="51"/>
      <c r="D294" s="51"/>
      <c r="E294" s="54">
        <f t="shared" si="115"/>
        <v>203949</v>
      </c>
      <c r="F294" s="100">
        <f>[1]OpCost!$E36*F$310</f>
        <v>0</v>
      </c>
      <c r="G294" s="100">
        <f>[1]OpCost!$E36*G$310</f>
        <v>0</v>
      </c>
      <c r="H294" s="100">
        <f>[1]OpCost!$E36*H$310</f>
        <v>0</v>
      </c>
      <c r="I294" s="100">
        <f>[1]OpCost!$E36*I$310</f>
        <v>0</v>
      </c>
      <c r="J294" s="100">
        <f>[1]OpCost!$E36*J$310</f>
        <v>0</v>
      </c>
      <c r="K294" s="100">
        <f>[1]OpCost!$E36*K$310</f>
        <v>0</v>
      </c>
      <c r="L294" s="100">
        <f>[1]OpCost!$E36*L$310</f>
        <v>60</v>
      </c>
      <c r="M294" s="100">
        <f>[1]OpCost!$E36*M$310</f>
        <v>93</v>
      </c>
      <c r="N294" s="100">
        <f>[1]OpCost!$E36*N$310</f>
        <v>480</v>
      </c>
      <c r="O294" s="100">
        <f>[1]OpCost!$E36*O$310</f>
        <v>744</v>
      </c>
      <c r="P294" s="100">
        <f>[1]OpCost!$E36*P$310</f>
        <v>1674</v>
      </c>
      <c r="Q294" s="100">
        <f>[1]OpCost!$E36*Q$310</f>
        <v>1620</v>
      </c>
      <c r="R294" s="100">
        <f>[1]OpCost!$E36*R$310</f>
        <v>2232</v>
      </c>
      <c r="S294" s="100">
        <f>[1]OpCost!$E36*S$310</f>
        <v>2160</v>
      </c>
      <c r="T294" s="100">
        <f>[1]OpCost!$E36*T$310</f>
        <v>2790</v>
      </c>
      <c r="U294" s="100">
        <f>[1]OpCost!$E36*U$310</f>
        <v>2790</v>
      </c>
      <c r="V294" s="100">
        <f>[1]OpCost!$E36*V$310</f>
        <v>3024.0000000000005</v>
      </c>
      <c r="W294" s="100">
        <f>[1]OpCost!$E36*W$310</f>
        <v>3348</v>
      </c>
      <c r="X294" s="100">
        <f>[1]OpCost!$E36*X$310</f>
        <v>3780</v>
      </c>
      <c r="Y294" s="100">
        <f>[1]OpCost!$E36*Y$310</f>
        <v>3906</v>
      </c>
      <c r="Z294" s="100">
        <f>[1]OpCost!$E36*Z$310</f>
        <v>4320</v>
      </c>
      <c r="AA294" s="100">
        <f>[1]OpCost!$E36*AA$310</f>
        <v>4464</v>
      </c>
      <c r="AB294" s="100">
        <f>[1]OpCost!$E36*AB$310</f>
        <v>4464</v>
      </c>
      <c r="AC294" s="100">
        <f>[1]OpCost!$E36*AC$310</f>
        <v>4320</v>
      </c>
      <c r="AD294" s="100">
        <f>[1]OpCost!$E36*AD$310</f>
        <v>4464</v>
      </c>
      <c r="AE294" s="100">
        <f>[1]OpCost!$E36*AE$310</f>
        <v>4320</v>
      </c>
      <c r="AF294" s="100">
        <f>[1]OpCost!$E36*AF$310</f>
        <v>4464</v>
      </c>
      <c r="AG294" s="100">
        <f>[1]OpCost!$E36*AG$310</f>
        <v>4464</v>
      </c>
      <c r="AH294" s="100">
        <f>[1]OpCost!$E36*AH$310</f>
        <v>4032.0000000000005</v>
      </c>
      <c r="AI294" s="100">
        <f>[1]OpCost!$E36*AI$310</f>
        <v>4464</v>
      </c>
      <c r="AJ294" s="100">
        <f>[1]OpCost!$E36*AJ$310</f>
        <v>4320</v>
      </c>
      <c r="AK294" s="100">
        <f>[1]OpCost!$E36*AK$310</f>
        <v>4464</v>
      </c>
      <c r="AL294" s="100">
        <f>[1]OpCost!$E36*AL$310</f>
        <v>4320</v>
      </c>
      <c r="AM294" s="100">
        <f>[1]OpCost!$E36*AM$310</f>
        <v>4464</v>
      </c>
      <c r="AN294" s="100">
        <f>[1]OpCost!$E36*AN$310</f>
        <v>4464</v>
      </c>
      <c r="AO294" s="100">
        <f>[1]OpCost!$E36*AO$310</f>
        <v>4320</v>
      </c>
      <c r="AP294" s="100">
        <f>[1]OpCost!$E36*AP$310</f>
        <v>4464</v>
      </c>
      <c r="AQ294" s="100">
        <f>[1]OpCost!$E36*AQ$310</f>
        <v>4320</v>
      </c>
      <c r="AR294" s="100">
        <f>[1]OpCost!$E36*AR$310</f>
        <v>4464</v>
      </c>
      <c r="AS294" s="100">
        <f>[1]OpCost!$E36*AS$310</f>
        <v>4464</v>
      </c>
      <c r="AT294" s="100">
        <f>[1]OpCost!$E36*AT$310</f>
        <v>4032.0000000000005</v>
      </c>
      <c r="AU294" s="100">
        <f>[1]OpCost!$E36*AU$310</f>
        <v>4464</v>
      </c>
      <c r="AV294" s="100">
        <f>[1]OpCost!$E36*AV$310</f>
        <v>4320</v>
      </c>
      <c r="AW294" s="100">
        <f>[1]OpCost!$E36*AW$310</f>
        <v>4464</v>
      </c>
      <c r="AX294" s="100">
        <f>[1]OpCost!$E36*AX$310</f>
        <v>4320</v>
      </c>
      <c r="AY294" s="100">
        <f>[1]OpCost!$E36*AY$310</f>
        <v>4464</v>
      </c>
      <c r="AZ294" s="100">
        <f>[1]OpCost!$E36*AZ$310</f>
        <v>4464</v>
      </c>
      <c r="BA294" s="100">
        <f>[1]OpCost!$E36*BA$310</f>
        <v>4320</v>
      </c>
      <c r="BB294" s="100">
        <f>[1]OpCost!$E36*BB$310</f>
        <v>4464</v>
      </c>
      <c r="BC294" s="100">
        <f>[1]OpCost!$E36*BC$310</f>
        <v>4320</v>
      </c>
      <c r="BD294" s="100">
        <f>[1]OpCost!$E36*BD$310</f>
        <v>4464</v>
      </c>
      <c r="BE294" s="100">
        <f>[1]OpCost!$E36*BE$310</f>
        <v>4464</v>
      </c>
      <c r="BF294" s="100">
        <f>[1]OpCost!$E36*BF$310</f>
        <v>4032.0000000000005</v>
      </c>
      <c r="BG294" s="100">
        <f>[1]OpCost!$E36*BG$310</f>
        <v>4464</v>
      </c>
      <c r="BH294" s="100">
        <f>[1]OpCost!$E36*BH$310</f>
        <v>4320</v>
      </c>
      <c r="BI294" s="100">
        <f>[1]OpCost!$E36*BI$310</f>
        <v>4464</v>
      </c>
      <c r="BJ294" s="100">
        <f>[1]OpCost!$E36*BJ$310</f>
        <v>4320</v>
      </c>
      <c r="BK294" s="100">
        <f>[1]OpCost!$E36*BK$310</f>
        <v>4464</v>
      </c>
      <c r="BL294" s="100">
        <f>[1]OpCost!$E36*BL$310</f>
        <v>4464</v>
      </c>
      <c r="BM294" s="100">
        <f>[1]OpCost!$E36*BM$310</f>
        <v>4320</v>
      </c>
    </row>
    <row r="295" spans="1:65" outlineLevel="1">
      <c r="A295" s="3"/>
      <c r="B295" s="51" t="s">
        <v>331</v>
      </c>
      <c r="C295" s="51"/>
      <c r="D295" s="51"/>
      <c r="E295" s="54">
        <f t="shared" si="115"/>
        <v>67983</v>
      </c>
      <c r="F295" s="100">
        <f>[1]OpCost!$E37*F$310</f>
        <v>0</v>
      </c>
      <c r="G295" s="100">
        <f>[1]OpCost!$E37*G$310</f>
        <v>0</v>
      </c>
      <c r="H295" s="100">
        <f>[1]OpCost!$E37*H$310</f>
        <v>0</v>
      </c>
      <c r="I295" s="100">
        <f>[1]OpCost!$E37*I$310</f>
        <v>0</v>
      </c>
      <c r="J295" s="100">
        <f>[1]OpCost!$E37*J$310</f>
        <v>0</v>
      </c>
      <c r="K295" s="100">
        <f>[1]OpCost!$E37*K$310</f>
        <v>0</v>
      </c>
      <c r="L295" s="100">
        <f>[1]OpCost!$E37*L$310</f>
        <v>20</v>
      </c>
      <c r="M295" s="100">
        <f>[1]OpCost!$E37*M$310</f>
        <v>31</v>
      </c>
      <c r="N295" s="100">
        <f>[1]OpCost!$E37*N$310</f>
        <v>160</v>
      </c>
      <c r="O295" s="100">
        <f>[1]OpCost!$E37*O$310</f>
        <v>248</v>
      </c>
      <c r="P295" s="100">
        <f>[1]OpCost!$E37*P$310</f>
        <v>558</v>
      </c>
      <c r="Q295" s="100">
        <f>[1]OpCost!$E37*Q$310</f>
        <v>540</v>
      </c>
      <c r="R295" s="100">
        <f>[1]OpCost!$E37*R$310</f>
        <v>744.00000000000011</v>
      </c>
      <c r="S295" s="100">
        <f>[1]OpCost!$E37*S$310</f>
        <v>720</v>
      </c>
      <c r="T295" s="100">
        <f>[1]OpCost!$E37*T$310</f>
        <v>930</v>
      </c>
      <c r="U295" s="100">
        <f>[1]OpCost!$E37*U$310</f>
        <v>930</v>
      </c>
      <c r="V295" s="100">
        <f>[1]OpCost!$E37*V$310</f>
        <v>1008.0000000000001</v>
      </c>
      <c r="W295" s="100">
        <f>[1]OpCost!$E37*W$310</f>
        <v>1116</v>
      </c>
      <c r="X295" s="100">
        <f>[1]OpCost!$E37*X$310</f>
        <v>1260</v>
      </c>
      <c r="Y295" s="100">
        <f>[1]OpCost!$E37*Y$310</f>
        <v>1302</v>
      </c>
      <c r="Z295" s="100">
        <f>[1]OpCost!$E37*Z$310</f>
        <v>1440</v>
      </c>
      <c r="AA295" s="100">
        <f>[1]OpCost!$E37*AA$310</f>
        <v>1488.0000000000002</v>
      </c>
      <c r="AB295" s="100">
        <f>[1]OpCost!$E37*AB$310</f>
        <v>1488.0000000000002</v>
      </c>
      <c r="AC295" s="100">
        <f>[1]OpCost!$E37*AC$310</f>
        <v>1440</v>
      </c>
      <c r="AD295" s="100">
        <f>[1]OpCost!$E37*AD$310</f>
        <v>1488.0000000000002</v>
      </c>
      <c r="AE295" s="100">
        <f>[1]OpCost!$E37*AE$310</f>
        <v>1440</v>
      </c>
      <c r="AF295" s="100">
        <f>[1]OpCost!$E37*AF$310</f>
        <v>1488.0000000000002</v>
      </c>
      <c r="AG295" s="100">
        <f>[1]OpCost!$E37*AG$310</f>
        <v>1488.0000000000002</v>
      </c>
      <c r="AH295" s="100">
        <f>[1]OpCost!$E37*AH$310</f>
        <v>1344.0000000000002</v>
      </c>
      <c r="AI295" s="100">
        <f>[1]OpCost!$E37*AI$310</f>
        <v>1488.0000000000002</v>
      </c>
      <c r="AJ295" s="100">
        <f>[1]OpCost!$E37*AJ$310</f>
        <v>1440</v>
      </c>
      <c r="AK295" s="100">
        <f>[1]OpCost!$E37*AK$310</f>
        <v>1488.0000000000002</v>
      </c>
      <c r="AL295" s="100">
        <f>[1]OpCost!$E37*AL$310</f>
        <v>1440</v>
      </c>
      <c r="AM295" s="100">
        <f>[1]OpCost!$E37*AM$310</f>
        <v>1488.0000000000002</v>
      </c>
      <c r="AN295" s="100">
        <f>[1]OpCost!$E37*AN$310</f>
        <v>1488.0000000000002</v>
      </c>
      <c r="AO295" s="100">
        <f>[1]OpCost!$E37*AO$310</f>
        <v>1440</v>
      </c>
      <c r="AP295" s="100">
        <f>[1]OpCost!$E37*AP$310</f>
        <v>1488.0000000000002</v>
      </c>
      <c r="AQ295" s="100">
        <f>[1]OpCost!$E37*AQ$310</f>
        <v>1440</v>
      </c>
      <c r="AR295" s="100">
        <f>[1]OpCost!$E37*AR$310</f>
        <v>1488.0000000000002</v>
      </c>
      <c r="AS295" s="100">
        <f>[1]OpCost!$E37*AS$310</f>
        <v>1488.0000000000002</v>
      </c>
      <c r="AT295" s="100">
        <f>[1]OpCost!$E37*AT$310</f>
        <v>1344.0000000000002</v>
      </c>
      <c r="AU295" s="100">
        <f>[1]OpCost!$E37*AU$310</f>
        <v>1488.0000000000002</v>
      </c>
      <c r="AV295" s="100">
        <f>[1]OpCost!$E37*AV$310</f>
        <v>1440</v>
      </c>
      <c r="AW295" s="100">
        <f>[1]OpCost!$E37*AW$310</f>
        <v>1488.0000000000002</v>
      </c>
      <c r="AX295" s="100">
        <f>[1]OpCost!$E37*AX$310</f>
        <v>1440</v>
      </c>
      <c r="AY295" s="100">
        <f>[1]OpCost!$E37*AY$310</f>
        <v>1488.0000000000002</v>
      </c>
      <c r="AZ295" s="100">
        <f>[1]OpCost!$E37*AZ$310</f>
        <v>1488.0000000000002</v>
      </c>
      <c r="BA295" s="100">
        <f>[1]OpCost!$E37*BA$310</f>
        <v>1440</v>
      </c>
      <c r="BB295" s="100">
        <f>[1]OpCost!$E37*BB$310</f>
        <v>1488.0000000000002</v>
      </c>
      <c r="BC295" s="100">
        <f>[1]OpCost!$E37*BC$310</f>
        <v>1440</v>
      </c>
      <c r="BD295" s="100">
        <f>[1]OpCost!$E37*BD$310</f>
        <v>1488.0000000000002</v>
      </c>
      <c r="BE295" s="100">
        <f>[1]OpCost!$E37*BE$310</f>
        <v>1488.0000000000002</v>
      </c>
      <c r="BF295" s="100">
        <f>[1]OpCost!$E37*BF$310</f>
        <v>1344.0000000000002</v>
      </c>
      <c r="BG295" s="100">
        <f>[1]OpCost!$E37*BG$310</f>
        <v>1488.0000000000002</v>
      </c>
      <c r="BH295" s="100">
        <f>[1]OpCost!$E37*BH$310</f>
        <v>1440</v>
      </c>
      <c r="BI295" s="100">
        <f>[1]OpCost!$E37*BI$310</f>
        <v>1488.0000000000002</v>
      </c>
      <c r="BJ295" s="100">
        <f>[1]OpCost!$E37*BJ$310</f>
        <v>1440</v>
      </c>
      <c r="BK295" s="100">
        <f>[1]OpCost!$E37*BK$310</f>
        <v>1488.0000000000002</v>
      </c>
      <c r="BL295" s="100">
        <f>[1]OpCost!$E37*BL$310</f>
        <v>1488.0000000000002</v>
      </c>
      <c r="BM295" s="100">
        <f>[1]OpCost!$E37*BM$310</f>
        <v>1440</v>
      </c>
    </row>
    <row r="296" spans="1:65" outlineLevel="1">
      <c r="A296" s="3"/>
      <c r="B296" s="51" t="s">
        <v>332</v>
      </c>
      <c r="C296" s="51"/>
      <c r="D296" s="51"/>
      <c r="E296" s="54">
        <f t="shared" si="115"/>
        <v>203949</v>
      </c>
      <c r="F296" s="100">
        <f>[1]OpCost!$E38*F$310</f>
        <v>0</v>
      </c>
      <c r="G296" s="100">
        <f>[1]OpCost!$E38*G$310</f>
        <v>0</v>
      </c>
      <c r="H296" s="100">
        <f>[1]OpCost!$E38*H$310</f>
        <v>0</v>
      </c>
      <c r="I296" s="100">
        <f>[1]OpCost!$E38*I$310</f>
        <v>0</v>
      </c>
      <c r="J296" s="100">
        <f>[1]OpCost!$E38*J$310</f>
        <v>0</v>
      </c>
      <c r="K296" s="100">
        <f>[1]OpCost!$E38*K$310</f>
        <v>0</v>
      </c>
      <c r="L296" s="100">
        <f>[1]OpCost!$E38*L$310</f>
        <v>60</v>
      </c>
      <c r="M296" s="100">
        <f>[1]OpCost!$E38*M$310</f>
        <v>93</v>
      </c>
      <c r="N296" s="100">
        <f>[1]OpCost!$E38*N$310</f>
        <v>480</v>
      </c>
      <c r="O296" s="100">
        <f>[1]OpCost!$E38*O$310</f>
        <v>744</v>
      </c>
      <c r="P296" s="100">
        <f>[1]OpCost!$E38*P$310</f>
        <v>1674</v>
      </c>
      <c r="Q296" s="100">
        <f>[1]OpCost!$E38*Q$310</f>
        <v>1620</v>
      </c>
      <c r="R296" s="100">
        <f>[1]OpCost!$E38*R$310</f>
        <v>2232</v>
      </c>
      <c r="S296" s="100">
        <f>[1]OpCost!$E38*S$310</f>
        <v>2160</v>
      </c>
      <c r="T296" s="100">
        <f>[1]OpCost!$E38*T$310</f>
        <v>2790</v>
      </c>
      <c r="U296" s="100">
        <f>[1]OpCost!$E38*U$310</f>
        <v>2790</v>
      </c>
      <c r="V296" s="100">
        <f>[1]OpCost!$E38*V$310</f>
        <v>3024.0000000000005</v>
      </c>
      <c r="W296" s="100">
        <f>[1]OpCost!$E38*W$310</f>
        <v>3348</v>
      </c>
      <c r="X296" s="100">
        <f>[1]OpCost!$E38*X$310</f>
        <v>3780</v>
      </c>
      <c r="Y296" s="100">
        <f>[1]OpCost!$E38*Y$310</f>
        <v>3906</v>
      </c>
      <c r="Z296" s="100">
        <f>[1]OpCost!$E38*Z$310</f>
        <v>4320</v>
      </c>
      <c r="AA296" s="100">
        <f>[1]OpCost!$E38*AA$310</f>
        <v>4464</v>
      </c>
      <c r="AB296" s="100">
        <f>[1]OpCost!$E38*AB$310</f>
        <v>4464</v>
      </c>
      <c r="AC296" s="100">
        <f>[1]OpCost!$E38*AC$310</f>
        <v>4320</v>
      </c>
      <c r="AD296" s="100">
        <f>[1]OpCost!$E38*AD$310</f>
        <v>4464</v>
      </c>
      <c r="AE296" s="100">
        <f>[1]OpCost!$E38*AE$310</f>
        <v>4320</v>
      </c>
      <c r="AF296" s="100">
        <f>[1]OpCost!$E38*AF$310</f>
        <v>4464</v>
      </c>
      <c r="AG296" s="100">
        <f>[1]OpCost!$E38*AG$310</f>
        <v>4464</v>
      </c>
      <c r="AH296" s="100">
        <f>[1]OpCost!$E38*AH$310</f>
        <v>4032.0000000000005</v>
      </c>
      <c r="AI296" s="100">
        <f>[1]OpCost!$E38*AI$310</f>
        <v>4464</v>
      </c>
      <c r="AJ296" s="100">
        <f>[1]OpCost!$E38*AJ$310</f>
        <v>4320</v>
      </c>
      <c r="AK296" s="100">
        <f>[1]OpCost!$E38*AK$310</f>
        <v>4464</v>
      </c>
      <c r="AL296" s="100">
        <f>[1]OpCost!$E38*AL$310</f>
        <v>4320</v>
      </c>
      <c r="AM296" s="100">
        <f>[1]OpCost!$E38*AM$310</f>
        <v>4464</v>
      </c>
      <c r="AN296" s="100">
        <f>[1]OpCost!$E38*AN$310</f>
        <v>4464</v>
      </c>
      <c r="AO296" s="100">
        <f>[1]OpCost!$E38*AO$310</f>
        <v>4320</v>
      </c>
      <c r="AP296" s="100">
        <f>[1]OpCost!$E38*AP$310</f>
        <v>4464</v>
      </c>
      <c r="AQ296" s="100">
        <f>[1]OpCost!$E38*AQ$310</f>
        <v>4320</v>
      </c>
      <c r="AR296" s="100">
        <f>[1]OpCost!$E38*AR$310</f>
        <v>4464</v>
      </c>
      <c r="AS296" s="100">
        <f>[1]OpCost!$E38*AS$310</f>
        <v>4464</v>
      </c>
      <c r="AT296" s="100">
        <f>[1]OpCost!$E38*AT$310</f>
        <v>4032.0000000000005</v>
      </c>
      <c r="AU296" s="100">
        <f>[1]OpCost!$E38*AU$310</f>
        <v>4464</v>
      </c>
      <c r="AV296" s="100">
        <f>[1]OpCost!$E38*AV$310</f>
        <v>4320</v>
      </c>
      <c r="AW296" s="100">
        <f>[1]OpCost!$E38*AW$310</f>
        <v>4464</v>
      </c>
      <c r="AX296" s="100">
        <f>[1]OpCost!$E38*AX$310</f>
        <v>4320</v>
      </c>
      <c r="AY296" s="100">
        <f>[1]OpCost!$E38*AY$310</f>
        <v>4464</v>
      </c>
      <c r="AZ296" s="100">
        <f>[1]OpCost!$E38*AZ$310</f>
        <v>4464</v>
      </c>
      <c r="BA296" s="100">
        <f>[1]OpCost!$E38*BA$310</f>
        <v>4320</v>
      </c>
      <c r="BB296" s="100">
        <f>[1]OpCost!$E38*BB$310</f>
        <v>4464</v>
      </c>
      <c r="BC296" s="100">
        <f>[1]OpCost!$E38*BC$310</f>
        <v>4320</v>
      </c>
      <c r="BD296" s="100">
        <f>[1]OpCost!$E38*BD$310</f>
        <v>4464</v>
      </c>
      <c r="BE296" s="100">
        <f>[1]OpCost!$E38*BE$310</f>
        <v>4464</v>
      </c>
      <c r="BF296" s="100">
        <f>[1]OpCost!$E38*BF$310</f>
        <v>4032.0000000000005</v>
      </c>
      <c r="BG296" s="100">
        <f>[1]OpCost!$E38*BG$310</f>
        <v>4464</v>
      </c>
      <c r="BH296" s="100">
        <f>[1]OpCost!$E38*BH$310</f>
        <v>4320</v>
      </c>
      <c r="BI296" s="100">
        <f>[1]OpCost!$E38*BI$310</f>
        <v>4464</v>
      </c>
      <c r="BJ296" s="100">
        <f>[1]OpCost!$E38*BJ$310</f>
        <v>4320</v>
      </c>
      <c r="BK296" s="100">
        <f>[1]OpCost!$E38*BK$310</f>
        <v>4464</v>
      </c>
      <c r="BL296" s="100">
        <f>[1]OpCost!$E38*BL$310</f>
        <v>4464</v>
      </c>
      <c r="BM296" s="100">
        <f>[1]OpCost!$E38*BM$310</f>
        <v>4320</v>
      </c>
    </row>
    <row r="297" spans="1:65" outlineLevel="1">
      <c r="A297" s="3"/>
      <c r="B297" s="51" t="s">
        <v>333</v>
      </c>
      <c r="C297" s="51"/>
      <c r="D297" s="51"/>
      <c r="E297" s="54">
        <f t="shared" si="115"/>
        <v>220944.75</v>
      </c>
      <c r="F297" s="100">
        <f>[1]OpCost!$E39*F$310</f>
        <v>0</v>
      </c>
      <c r="G297" s="100">
        <f>[1]OpCost!$E39*G$310</f>
        <v>0</v>
      </c>
      <c r="H297" s="100">
        <f>[1]OpCost!$E39*H$310</f>
        <v>0</v>
      </c>
      <c r="I297" s="100">
        <f>[1]OpCost!$E39*I$310</f>
        <v>0</v>
      </c>
      <c r="J297" s="100">
        <f>[1]OpCost!$E39*J$310</f>
        <v>0</v>
      </c>
      <c r="K297" s="100">
        <f>[1]OpCost!$E39*K$310</f>
        <v>0</v>
      </c>
      <c r="L297" s="100">
        <f>[1]OpCost!$E39*L$310</f>
        <v>65</v>
      </c>
      <c r="M297" s="100">
        <f>[1]OpCost!$E39*M$310</f>
        <v>100.75</v>
      </c>
      <c r="N297" s="100">
        <f>[1]OpCost!$E39*N$310</f>
        <v>520</v>
      </c>
      <c r="O297" s="100">
        <f>[1]OpCost!$E39*O$310</f>
        <v>806</v>
      </c>
      <c r="P297" s="100">
        <f>[1]OpCost!$E39*P$310</f>
        <v>1813.5</v>
      </c>
      <c r="Q297" s="100">
        <f>[1]OpCost!$E39*Q$310</f>
        <v>1755</v>
      </c>
      <c r="R297" s="100">
        <f>[1]OpCost!$E39*R$310</f>
        <v>2418</v>
      </c>
      <c r="S297" s="100">
        <f>[1]OpCost!$E39*S$310</f>
        <v>2340</v>
      </c>
      <c r="T297" s="100">
        <f>[1]OpCost!$E39*T$310</f>
        <v>3022.5</v>
      </c>
      <c r="U297" s="100">
        <f>[1]OpCost!$E39*U$310</f>
        <v>3022.5</v>
      </c>
      <c r="V297" s="100">
        <f>[1]OpCost!$E39*V$310</f>
        <v>3276</v>
      </c>
      <c r="W297" s="100">
        <f>[1]OpCost!$E39*W$310</f>
        <v>3627</v>
      </c>
      <c r="X297" s="100">
        <f>[1]OpCost!$E39*X$310</f>
        <v>4095</v>
      </c>
      <c r="Y297" s="100">
        <f>[1]OpCost!$E39*Y$310</f>
        <v>4231.5</v>
      </c>
      <c r="Z297" s="100">
        <f>[1]OpCost!$E39*Z$310</f>
        <v>4680</v>
      </c>
      <c r="AA297" s="100">
        <f>[1]OpCost!$E39*AA$310</f>
        <v>4836</v>
      </c>
      <c r="AB297" s="100">
        <f>[1]OpCost!$E39*AB$310</f>
        <v>4836</v>
      </c>
      <c r="AC297" s="100">
        <f>[1]OpCost!$E39*AC$310</f>
        <v>4680</v>
      </c>
      <c r="AD297" s="100">
        <f>[1]OpCost!$E39*AD$310</f>
        <v>4836</v>
      </c>
      <c r="AE297" s="100">
        <f>[1]OpCost!$E39*AE$310</f>
        <v>4680</v>
      </c>
      <c r="AF297" s="100">
        <f>[1]OpCost!$E39*AF$310</f>
        <v>4836</v>
      </c>
      <c r="AG297" s="100">
        <f>[1]OpCost!$E39*AG$310</f>
        <v>4836</v>
      </c>
      <c r="AH297" s="100">
        <f>[1]OpCost!$E39*AH$310</f>
        <v>4368.0000000000009</v>
      </c>
      <c r="AI297" s="100">
        <f>[1]OpCost!$E39*AI$310</f>
        <v>4836</v>
      </c>
      <c r="AJ297" s="100">
        <f>[1]OpCost!$E39*AJ$310</f>
        <v>4680</v>
      </c>
      <c r="AK297" s="100">
        <f>[1]OpCost!$E39*AK$310</f>
        <v>4836</v>
      </c>
      <c r="AL297" s="100">
        <f>[1]OpCost!$E39*AL$310</f>
        <v>4680</v>
      </c>
      <c r="AM297" s="100">
        <f>[1]OpCost!$E39*AM$310</f>
        <v>4836</v>
      </c>
      <c r="AN297" s="100">
        <f>[1]OpCost!$E39*AN$310</f>
        <v>4836</v>
      </c>
      <c r="AO297" s="100">
        <f>[1]OpCost!$E39*AO$310</f>
        <v>4680</v>
      </c>
      <c r="AP297" s="100">
        <f>[1]OpCost!$E39*AP$310</f>
        <v>4836</v>
      </c>
      <c r="AQ297" s="100">
        <f>[1]OpCost!$E39*AQ$310</f>
        <v>4680</v>
      </c>
      <c r="AR297" s="100">
        <f>[1]OpCost!$E39*AR$310</f>
        <v>4836</v>
      </c>
      <c r="AS297" s="100">
        <f>[1]OpCost!$E39*AS$310</f>
        <v>4836</v>
      </c>
      <c r="AT297" s="100">
        <f>[1]OpCost!$E39*AT$310</f>
        <v>4368.0000000000009</v>
      </c>
      <c r="AU297" s="100">
        <f>[1]OpCost!$E39*AU$310</f>
        <v>4836</v>
      </c>
      <c r="AV297" s="100">
        <f>[1]OpCost!$E39*AV$310</f>
        <v>4680</v>
      </c>
      <c r="AW297" s="100">
        <f>[1]OpCost!$E39*AW$310</f>
        <v>4836</v>
      </c>
      <c r="AX297" s="100">
        <f>[1]OpCost!$E39*AX$310</f>
        <v>4680</v>
      </c>
      <c r="AY297" s="100">
        <f>[1]OpCost!$E39*AY$310</f>
        <v>4836</v>
      </c>
      <c r="AZ297" s="100">
        <f>[1]OpCost!$E39*AZ$310</f>
        <v>4836</v>
      </c>
      <c r="BA297" s="100">
        <f>[1]OpCost!$E39*BA$310</f>
        <v>4680</v>
      </c>
      <c r="BB297" s="100">
        <f>[1]OpCost!$E39*BB$310</f>
        <v>4836</v>
      </c>
      <c r="BC297" s="100">
        <f>[1]OpCost!$E39*BC$310</f>
        <v>4680</v>
      </c>
      <c r="BD297" s="100">
        <f>[1]OpCost!$E39*BD$310</f>
        <v>4836</v>
      </c>
      <c r="BE297" s="100">
        <f>[1]OpCost!$E39*BE$310</f>
        <v>4836</v>
      </c>
      <c r="BF297" s="100">
        <f>[1]OpCost!$E39*BF$310</f>
        <v>4368.0000000000009</v>
      </c>
      <c r="BG297" s="100">
        <f>[1]OpCost!$E39*BG$310</f>
        <v>4836</v>
      </c>
      <c r="BH297" s="100">
        <f>[1]OpCost!$E39*BH$310</f>
        <v>4680</v>
      </c>
      <c r="BI297" s="100">
        <f>[1]OpCost!$E39*BI$310</f>
        <v>4836</v>
      </c>
      <c r="BJ297" s="100">
        <f>[1]OpCost!$E39*BJ$310</f>
        <v>4680</v>
      </c>
      <c r="BK297" s="100">
        <f>[1]OpCost!$E39*BK$310</f>
        <v>4836</v>
      </c>
      <c r="BL297" s="100">
        <f>[1]OpCost!$E39*BL$310</f>
        <v>4836</v>
      </c>
      <c r="BM297" s="100">
        <f>[1]OpCost!$E39*BM$310</f>
        <v>4680</v>
      </c>
    </row>
    <row r="298" spans="1:65" outlineLevel="1">
      <c r="A298" s="3"/>
      <c r="B298" s="51" t="s">
        <v>334</v>
      </c>
      <c r="C298" s="51"/>
      <c r="D298" s="51"/>
      <c r="E298" s="54">
        <f t="shared" si="115"/>
        <v>169957.5</v>
      </c>
      <c r="F298" s="100">
        <f>[1]OpCost!$E40*F$310</f>
        <v>0</v>
      </c>
      <c r="G298" s="100">
        <f>[1]OpCost!$E40*G$310</f>
        <v>0</v>
      </c>
      <c r="H298" s="100">
        <f>[1]OpCost!$E40*H$310</f>
        <v>0</v>
      </c>
      <c r="I298" s="100">
        <f>[1]OpCost!$E40*I$310</f>
        <v>0</v>
      </c>
      <c r="J298" s="100">
        <f>[1]OpCost!$E40*J$310</f>
        <v>0</v>
      </c>
      <c r="K298" s="100">
        <f>[1]OpCost!$E40*K$310</f>
        <v>0</v>
      </c>
      <c r="L298" s="100">
        <f>[1]OpCost!$E40*L$310</f>
        <v>50</v>
      </c>
      <c r="M298" s="100">
        <f>[1]OpCost!$E40*M$310</f>
        <v>77.5</v>
      </c>
      <c r="N298" s="100">
        <f>[1]OpCost!$E40*N$310</f>
        <v>400</v>
      </c>
      <c r="O298" s="100">
        <f>[1]OpCost!$E40*O$310</f>
        <v>620</v>
      </c>
      <c r="P298" s="100">
        <f>[1]OpCost!$E40*P$310</f>
        <v>1395</v>
      </c>
      <c r="Q298" s="100">
        <f>[1]OpCost!$E40*Q$310</f>
        <v>1350</v>
      </c>
      <c r="R298" s="100">
        <f>[1]OpCost!$E40*R$310</f>
        <v>1860</v>
      </c>
      <c r="S298" s="100">
        <f>[1]OpCost!$E40*S$310</f>
        <v>1800</v>
      </c>
      <c r="T298" s="100">
        <f>[1]OpCost!$E40*T$310</f>
        <v>2325</v>
      </c>
      <c r="U298" s="100">
        <f>[1]OpCost!$E40*U$310</f>
        <v>2325</v>
      </c>
      <c r="V298" s="100">
        <f>[1]OpCost!$E40*V$310</f>
        <v>2520</v>
      </c>
      <c r="W298" s="100">
        <f>[1]OpCost!$E40*W$310</f>
        <v>2790</v>
      </c>
      <c r="X298" s="100">
        <f>[1]OpCost!$E40*X$310</f>
        <v>3150</v>
      </c>
      <c r="Y298" s="100">
        <f>[1]OpCost!$E40*Y$310</f>
        <v>3254.9999999999995</v>
      </c>
      <c r="Z298" s="100">
        <f>[1]OpCost!$E40*Z$310</f>
        <v>3600</v>
      </c>
      <c r="AA298" s="100">
        <f>[1]OpCost!$E40*AA$310</f>
        <v>3720</v>
      </c>
      <c r="AB298" s="100">
        <f>[1]OpCost!$E40*AB$310</f>
        <v>3720</v>
      </c>
      <c r="AC298" s="100">
        <f>[1]OpCost!$E40*AC$310</f>
        <v>3600</v>
      </c>
      <c r="AD298" s="100">
        <f>[1]OpCost!$E40*AD$310</f>
        <v>3720</v>
      </c>
      <c r="AE298" s="100">
        <f>[1]OpCost!$E40*AE$310</f>
        <v>3600</v>
      </c>
      <c r="AF298" s="100">
        <f>[1]OpCost!$E40*AF$310</f>
        <v>3720</v>
      </c>
      <c r="AG298" s="100">
        <f>[1]OpCost!$E40*AG$310</f>
        <v>3720</v>
      </c>
      <c r="AH298" s="100">
        <f>[1]OpCost!$E40*AH$310</f>
        <v>3360.0000000000005</v>
      </c>
      <c r="AI298" s="100">
        <f>[1]OpCost!$E40*AI$310</f>
        <v>3720</v>
      </c>
      <c r="AJ298" s="100">
        <f>[1]OpCost!$E40*AJ$310</f>
        <v>3600</v>
      </c>
      <c r="AK298" s="100">
        <f>[1]OpCost!$E40*AK$310</f>
        <v>3720</v>
      </c>
      <c r="AL298" s="100">
        <f>[1]OpCost!$E40*AL$310</f>
        <v>3600</v>
      </c>
      <c r="AM298" s="100">
        <f>[1]OpCost!$E40*AM$310</f>
        <v>3720</v>
      </c>
      <c r="AN298" s="100">
        <f>[1]OpCost!$E40*AN$310</f>
        <v>3720</v>
      </c>
      <c r="AO298" s="100">
        <f>[1]OpCost!$E40*AO$310</f>
        <v>3600</v>
      </c>
      <c r="AP298" s="100">
        <f>[1]OpCost!$E40*AP$310</f>
        <v>3720</v>
      </c>
      <c r="AQ298" s="100">
        <f>[1]OpCost!$E40*AQ$310</f>
        <v>3600</v>
      </c>
      <c r="AR298" s="100">
        <f>[1]OpCost!$E40*AR$310</f>
        <v>3720</v>
      </c>
      <c r="AS298" s="100">
        <f>[1]OpCost!$E40*AS$310</f>
        <v>3720</v>
      </c>
      <c r="AT298" s="100">
        <f>[1]OpCost!$E40*AT$310</f>
        <v>3360.0000000000005</v>
      </c>
      <c r="AU298" s="100">
        <f>[1]OpCost!$E40*AU$310</f>
        <v>3720</v>
      </c>
      <c r="AV298" s="100">
        <f>[1]OpCost!$E40*AV$310</f>
        <v>3600</v>
      </c>
      <c r="AW298" s="100">
        <f>[1]OpCost!$E40*AW$310</f>
        <v>3720</v>
      </c>
      <c r="AX298" s="100">
        <f>[1]OpCost!$E40*AX$310</f>
        <v>3600</v>
      </c>
      <c r="AY298" s="100">
        <f>[1]OpCost!$E40*AY$310</f>
        <v>3720</v>
      </c>
      <c r="AZ298" s="100">
        <f>[1]OpCost!$E40*AZ$310</f>
        <v>3720</v>
      </c>
      <c r="BA298" s="100">
        <f>[1]OpCost!$E40*BA$310</f>
        <v>3600</v>
      </c>
      <c r="BB298" s="100">
        <f>[1]OpCost!$E40*BB$310</f>
        <v>3720</v>
      </c>
      <c r="BC298" s="100">
        <f>[1]OpCost!$E40*BC$310</f>
        <v>3600</v>
      </c>
      <c r="BD298" s="100">
        <f>[1]OpCost!$E40*BD$310</f>
        <v>3720</v>
      </c>
      <c r="BE298" s="100">
        <f>[1]OpCost!$E40*BE$310</f>
        <v>3720</v>
      </c>
      <c r="BF298" s="100">
        <f>[1]OpCost!$E40*BF$310</f>
        <v>3360.0000000000005</v>
      </c>
      <c r="BG298" s="100">
        <f>[1]OpCost!$E40*BG$310</f>
        <v>3720</v>
      </c>
      <c r="BH298" s="100">
        <f>[1]OpCost!$E40*BH$310</f>
        <v>3600</v>
      </c>
      <c r="BI298" s="100">
        <f>[1]OpCost!$E40*BI$310</f>
        <v>3720</v>
      </c>
      <c r="BJ298" s="100">
        <f>[1]OpCost!$E40*BJ$310</f>
        <v>3600</v>
      </c>
      <c r="BK298" s="100">
        <f>[1]OpCost!$E40*BK$310</f>
        <v>3720</v>
      </c>
      <c r="BL298" s="100">
        <f>[1]OpCost!$E40*BL$310</f>
        <v>3720</v>
      </c>
      <c r="BM298" s="100">
        <f>[1]OpCost!$E40*BM$310</f>
        <v>3600</v>
      </c>
    </row>
    <row r="299" spans="1:65" outlineLevel="1">
      <c r="A299" s="3"/>
      <c r="B299" s="51" t="s">
        <v>335</v>
      </c>
      <c r="C299" s="51"/>
      <c r="D299" s="51"/>
      <c r="E299" s="54">
        <f t="shared" si="115"/>
        <v>339915</v>
      </c>
      <c r="F299" s="100">
        <f>[1]OpCost!$E17*F$310</f>
        <v>0</v>
      </c>
      <c r="G299" s="100">
        <f>[1]OpCost!$E17*G$310</f>
        <v>0</v>
      </c>
      <c r="H299" s="100">
        <f>[1]OpCost!$E17*H$310</f>
        <v>0</v>
      </c>
      <c r="I299" s="100">
        <f>[1]OpCost!$E17*I$310</f>
        <v>0</v>
      </c>
      <c r="J299" s="100">
        <f>[1]OpCost!$E17*J$310</f>
        <v>0</v>
      </c>
      <c r="K299" s="100">
        <f>[1]OpCost!$E17*K$310</f>
        <v>0</v>
      </c>
      <c r="L299" s="100">
        <f>[1]OpCost!$E17*L$310</f>
        <v>100</v>
      </c>
      <c r="M299" s="100">
        <f>[1]OpCost!$E17*M$310</f>
        <v>155</v>
      </c>
      <c r="N299" s="100">
        <f>[1]OpCost!$E17*N$310</f>
        <v>800</v>
      </c>
      <c r="O299" s="100">
        <f>[1]OpCost!$E17*O$310</f>
        <v>1240</v>
      </c>
      <c r="P299" s="100">
        <f>[1]OpCost!$E17*P$310</f>
        <v>2790</v>
      </c>
      <c r="Q299" s="100">
        <f>[1]OpCost!$E17*Q$310</f>
        <v>2700</v>
      </c>
      <c r="R299" s="100">
        <f>[1]OpCost!$E17*R$310</f>
        <v>3720</v>
      </c>
      <c r="S299" s="100">
        <f>[1]OpCost!$E17*S$310</f>
        <v>3600</v>
      </c>
      <c r="T299" s="100">
        <f>[1]OpCost!$E17*T$310</f>
        <v>4650</v>
      </c>
      <c r="U299" s="100">
        <f>[1]OpCost!$E17*U$310</f>
        <v>4650</v>
      </c>
      <c r="V299" s="100">
        <f>[1]OpCost!$E17*V$310</f>
        <v>5040</v>
      </c>
      <c r="W299" s="100">
        <f>[1]OpCost!$E17*W$310</f>
        <v>5580</v>
      </c>
      <c r="X299" s="100">
        <f>[1]OpCost!$E17*X$310</f>
        <v>6300</v>
      </c>
      <c r="Y299" s="100">
        <f>[1]OpCost!$E17*Y$310</f>
        <v>6509.9999999999991</v>
      </c>
      <c r="Z299" s="100">
        <f>[1]OpCost!$E17*Z$310</f>
        <v>7200</v>
      </c>
      <c r="AA299" s="100">
        <f>[1]OpCost!$E17*AA$310</f>
        <v>7440</v>
      </c>
      <c r="AB299" s="100">
        <f>[1]OpCost!$E17*AB$310</f>
        <v>7440</v>
      </c>
      <c r="AC299" s="100">
        <f>[1]OpCost!$E17*AC$310</f>
        <v>7200</v>
      </c>
      <c r="AD299" s="100">
        <f>[1]OpCost!$E17*AD$310</f>
        <v>7440</v>
      </c>
      <c r="AE299" s="100">
        <f>[1]OpCost!$E17*AE$310</f>
        <v>7200</v>
      </c>
      <c r="AF299" s="100">
        <f>[1]OpCost!$E17*AF$310</f>
        <v>7440</v>
      </c>
      <c r="AG299" s="100">
        <f>[1]OpCost!$E17*AG$310</f>
        <v>7440</v>
      </c>
      <c r="AH299" s="100">
        <f>[1]OpCost!$E17*AH$310</f>
        <v>6720.0000000000009</v>
      </c>
      <c r="AI299" s="100">
        <f>[1]OpCost!$E17*AI$310</f>
        <v>7440</v>
      </c>
      <c r="AJ299" s="100">
        <f>[1]OpCost!$E17*AJ$310</f>
        <v>7200</v>
      </c>
      <c r="AK299" s="100">
        <f>[1]OpCost!$E17*AK$310</f>
        <v>7440</v>
      </c>
      <c r="AL299" s="100">
        <f>[1]OpCost!$E17*AL$310</f>
        <v>7200</v>
      </c>
      <c r="AM299" s="100">
        <f>[1]OpCost!$E17*AM$310</f>
        <v>7440</v>
      </c>
      <c r="AN299" s="100">
        <f>[1]OpCost!$E17*AN$310</f>
        <v>7440</v>
      </c>
      <c r="AO299" s="100">
        <f>[1]OpCost!$E17*AO$310</f>
        <v>7200</v>
      </c>
      <c r="AP299" s="100">
        <f>[1]OpCost!$E17*AP$310</f>
        <v>7440</v>
      </c>
      <c r="AQ299" s="100">
        <f>[1]OpCost!$E17*AQ$310</f>
        <v>7200</v>
      </c>
      <c r="AR299" s="100">
        <f>[1]OpCost!$E17*AR$310</f>
        <v>7440</v>
      </c>
      <c r="AS299" s="100">
        <f>[1]OpCost!$E17*AS$310</f>
        <v>7440</v>
      </c>
      <c r="AT299" s="100">
        <f>[1]OpCost!$E17*AT$310</f>
        <v>6720.0000000000009</v>
      </c>
      <c r="AU299" s="100">
        <f>[1]OpCost!$E17*AU$310</f>
        <v>7440</v>
      </c>
      <c r="AV299" s="100">
        <f>[1]OpCost!$E17*AV$310</f>
        <v>7200</v>
      </c>
      <c r="AW299" s="100">
        <f>[1]OpCost!$E17*AW$310</f>
        <v>7440</v>
      </c>
      <c r="AX299" s="100">
        <f>[1]OpCost!$E17*AX$310</f>
        <v>7200</v>
      </c>
      <c r="AY299" s="100">
        <f>[1]OpCost!$E17*AY$310</f>
        <v>7440</v>
      </c>
      <c r="AZ299" s="100">
        <f>[1]OpCost!$E17*AZ$310</f>
        <v>7440</v>
      </c>
      <c r="BA299" s="100">
        <f>[1]OpCost!$E17*BA$310</f>
        <v>7200</v>
      </c>
      <c r="BB299" s="100">
        <f>[1]OpCost!$E17*BB$310</f>
        <v>7440</v>
      </c>
      <c r="BC299" s="100">
        <f>[1]OpCost!$E17*BC$310</f>
        <v>7200</v>
      </c>
      <c r="BD299" s="100">
        <f>[1]OpCost!$E17*BD$310</f>
        <v>7440</v>
      </c>
      <c r="BE299" s="100">
        <f>[1]OpCost!$E17*BE$310</f>
        <v>7440</v>
      </c>
      <c r="BF299" s="100">
        <f>[1]OpCost!$E17*BF$310</f>
        <v>6720.0000000000009</v>
      </c>
      <c r="BG299" s="100">
        <f>[1]OpCost!$E17*BG$310</f>
        <v>7440</v>
      </c>
      <c r="BH299" s="100">
        <f>[1]OpCost!$E17*BH$310</f>
        <v>7200</v>
      </c>
      <c r="BI299" s="100">
        <f>[1]OpCost!$E17*BI$310</f>
        <v>7440</v>
      </c>
      <c r="BJ299" s="100">
        <f>[1]OpCost!$E17*BJ$310</f>
        <v>7200</v>
      </c>
      <c r="BK299" s="100">
        <f>[1]OpCost!$E17*BK$310</f>
        <v>7440</v>
      </c>
      <c r="BL299" s="100">
        <f>[1]OpCost!$E17*BL$310</f>
        <v>7440</v>
      </c>
      <c r="BM299" s="100">
        <f>[1]OpCost!$E17*BM$310</f>
        <v>7200</v>
      </c>
    </row>
    <row r="300" spans="1:65" outlineLevel="1">
      <c r="A300" s="3"/>
      <c r="B300" s="51" t="s">
        <v>336</v>
      </c>
      <c r="C300" s="51"/>
      <c r="D300" s="51"/>
      <c r="E300" s="54">
        <f t="shared" si="115"/>
        <v>543864</v>
      </c>
      <c r="F300" s="100">
        <f>[1]OpCost!$E18*F$310</f>
        <v>0</v>
      </c>
      <c r="G300" s="100">
        <f>[1]OpCost!$E18*G$310</f>
        <v>0</v>
      </c>
      <c r="H300" s="100">
        <f>[1]OpCost!$E18*H$310</f>
        <v>0</v>
      </c>
      <c r="I300" s="100">
        <f>[1]OpCost!$E18*I$310</f>
        <v>0</v>
      </c>
      <c r="J300" s="100">
        <f>[1]OpCost!$E18*J$310</f>
        <v>0</v>
      </c>
      <c r="K300" s="100">
        <f>[1]OpCost!$E18*K$310</f>
        <v>0</v>
      </c>
      <c r="L300" s="100">
        <f>[1]OpCost!$E18*L$310</f>
        <v>160</v>
      </c>
      <c r="M300" s="100">
        <f>[1]OpCost!$E18*M$310</f>
        <v>248</v>
      </c>
      <c r="N300" s="100">
        <f>[1]OpCost!$E18*N$310</f>
        <v>1280</v>
      </c>
      <c r="O300" s="100">
        <f>[1]OpCost!$E18*O$310</f>
        <v>1984</v>
      </c>
      <c r="P300" s="100">
        <f>[1]OpCost!$E18*P$310</f>
        <v>4464</v>
      </c>
      <c r="Q300" s="100">
        <f>[1]OpCost!$E18*Q$310</f>
        <v>4320</v>
      </c>
      <c r="R300" s="100">
        <f>[1]OpCost!$E18*R$310</f>
        <v>5952.0000000000009</v>
      </c>
      <c r="S300" s="100">
        <f>[1]OpCost!$E18*S$310</f>
        <v>5760</v>
      </c>
      <c r="T300" s="100">
        <f>[1]OpCost!$E18*T$310</f>
        <v>7440</v>
      </c>
      <c r="U300" s="100">
        <f>[1]OpCost!$E18*U$310</f>
        <v>7440</v>
      </c>
      <c r="V300" s="100">
        <f>[1]OpCost!$E18*V$310</f>
        <v>8064.0000000000009</v>
      </c>
      <c r="W300" s="100">
        <f>[1]OpCost!$E18*W$310</f>
        <v>8928</v>
      </c>
      <c r="X300" s="100">
        <f>[1]OpCost!$E18*X$310</f>
        <v>10080</v>
      </c>
      <c r="Y300" s="100">
        <f>[1]OpCost!$E18*Y$310</f>
        <v>10416</v>
      </c>
      <c r="Z300" s="100">
        <f>[1]OpCost!$E18*Z$310</f>
        <v>11520</v>
      </c>
      <c r="AA300" s="100">
        <f>[1]OpCost!$E18*AA$310</f>
        <v>11904.000000000002</v>
      </c>
      <c r="AB300" s="100">
        <f>[1]OpCost!$E18*AB$310</f>
        <v>11904.000000000002</v>
      </c>
      <c r="AC300" s="100">
        <f>[1]OpCost!$E18*AC$310</f>
        <v>11520</v>
      </c>
      <c r="AD300" s="100">
        <f>[1]OpCost!$E18*AD$310</f>
        <v>11904.000000000002</v>
      </c>
      <c r="AE300" s="100">
        <f>[1]OpCost!$E18*AE$310</f>
        <v>11520</v>
      </c>
      <c r="AF300" s="100">
        <f>[1]OpCost!$E18*AF$310</f>
        <v>11904.000000000002</v>
      </c>
      <c r="AG300" s="100">
        <f>[1]OpCost!$E18*AG$310</f>
        <v>11904.000000000002</v>
      </c>
      <c r="AH300" s="100">
        <f>[1]OpCost!$E18*AH$310</f>
        <v>10752.000000000002</v>
      </c>
      <c r="AI300" s="100">
        <f>[1]OpCost!$E18*AI$310</f>
        <v>11904.000000000002</v>
      </c>
      <c r="AJ300" s="100">
        <f>[1]OpCost!$E18*AJ$310</f>
        <v>11520</v>
      </c>
      <c r="AK300" s="100">
        <f>[1]OpCost!$E18*AK$310</f>
        <v>11904.000000000002</v>
      </c>
      <c r="AL300" s="100">
        <f>[1]OpCost!$E18*AL$310</f>
        <v>11520</v>
      </c>
      <c r="AM300" s="100">
        <f>[1]OpCost!$E18*AM$310</f>
        <v>11904.000000000002</v>
      </c>
      <c r="AN300" s="100">
        <f>[1]OpCost!$E18*AN$310</f>
        <v>11904.000000000002</v>
      </c>
      <c r="AO300" s="100">
        <f>[1]OpCost!$E18*AO$310</f>
        <v>11520</v>
      </c>
      <c r="AP300" s="100">
        <f>[1]OpCost!$E18*AP$310</f>
        <v>11904.000000000002</v>
      </c>
      <c r="AQ300" s="100">
        <f>[1]OpCost!$E18*AQ$310</f>
        <v>11520</v>
      </c>
      <c r="AR300" s="100">
        <f>[1]OpCost!$E18*AR$310</f>
        <v>11904.000000000002</v>
      </c>
      <c r="AS300" s="100">
        <f>[1]OpCost!$E18*AS$310</f>
        <v>11904.000000000002</v>
      </c>
      <c r="AT300" s="100">
        <f>[1]OpCost!$E18*AT$310</f>
        <v>10752.000000000002</v>
      </c>
      <c r="AU300" s="100">
        <f>[1]OpCost!$E18*AU$310</f>
        <v>11904.000000000002</v>
      </c>
      <c r="AV300" s="100">
        <f>[1]OpCost!$E18*AV$310</f>
        <v>11520</v>
      </c>
      <c r="AW300" s="100">
        <f>[1]OpCost!$E18*AW$310</f>
        <v>11904.000000000002</v>
      </c>
      <c r="AX300" s="100">
        <f>[1]OpCost!$E18*AX$310</f>
        <v>11520</v>
      </c>
      <c r="AY300" s="100">
        <f>[1]OpCost!$E18*AY$310</f>
        <v>11904.000000000002</v>
      </c>
      <c r="AZ300" s="100">
        <f>[1]OpCost!$E18*AZ$310</f>
        <v>11904.000000000002</v>
      </c>
      <c r="BA300" s="100">
        <f>[1]OpCost!$E18*BA$310</f>
        <v>11520</v>
      </c>
      <c r="BB300" s="100">
        <f>[1]OpCost!$E18*BB$310</f>
        <v>11904.000000000002</v>
      </c>
      <c r="BC300" s="100">
        <f>[1]OpCost!$E18*BC$310</f>
        <v>11520</v>
      </c>
      <c r="BD300" s="100">
        <f>[1]OpCost!$E18*BD$310</f>
        <v>11904.000000000002</v>
      </c>
      <c r="BE300" s="100">
        <f>[1]OpCost!$E18*BE$310</f>
        <v>11904.000000000002</v>
      </c>
      <c r="BF300" s="100">
        <f>[1]OpCost!$E18*BF$310</f>
        <v>10752.000000000002</v>
      </c>
      <c r="BG300" s="100">
        <f>[1]OpCost!$E18*BG$310</f>
        <v>11904.000000000002</v>
      </c>
      <c r="BH300" s="100">
        <f>[1]OpCost!$E18*BH$310</f>
        <v>11520</v>
      </c>
      <c r="BI300" s="100">
        <f>[1]OpCost!$E18*BI$310</f>
        <v>11904.000000000002</v>
      </c>
      <c r="BJ300" s="100">
        <f>[1]OpCost!$E18*BJ$310</f>
        <v>11520</v>
      </c>
      <c r="BK300" s="100">
        <f>[1]OpCost!$E18*BK$310</f>
        <v>11904.000000000002</v>
      </c>
      <c r="BL300" s="100">
        <f>[1]OpCost!$E18*BL$310</f>
        <v>11904.000000000002</v>
      </c>
      <c r="BM300" s="100">
        <f>[1]OpCost!$E18*BM$310</f>
        <v>11520</v>
      </c>
    </row>
    <row r="301" spans="1:65" outlineLevel="1">
      <c r="A301" s="3"/>
      <c r="B301" s="51" t="s">
        <v>337</v>
      </c>
      <c r="C301" s="51"/>
      <c r="D301" s="51"/>
      <c r="E301" s="54">
        <f t="shared" si="115"/>
        <v>169957.5</v>
      </c>
      <c r="F301" s="100">
        <f>[1]OpCost!$E19*F$310</f>
        <v>0</v>
      </c>
      <c r="G301" s="100">
        <f>[1]OpCost!$E19*G$310</f>
        <v>0</v>
      </c>
      <c r="H301" s="100">
        <f>[1]OpCost!$E19*H$310</f>
        <v>0</v>
      </c>
      <c r="I301" s="100">
        <f>[1]OpCost!$E19*I$310</f>
        <v>0</v>
      </c>
      <c r="J301" s="100">
        <f>[1]OpCost!$E19*J$310</f>
        <v>0</v>
      </c>
      <c r="K301" s="100">
        <f>[1]OpCost!$E19*K$310</f>
        <v>0</v>
      </c>
      <c r="L301" s="100">
        <f>[1]OpCost!$E19*L$310</f>
        <v>50</v>
      </c>
      <c r="M301" s="100">
        <f>[1]OpCost!$E19*M$310</f>
        <v>77.5</v>
      </c>
      <c r="N301" s="100">
        <f>[1]OpCost!$E19*N$310</f>
        <v>400</v>
      </c>
      <c r="O301" s="100">
        <f>[1]OpCost!$E19*O$310</f>
        <v>620</v>
      </c>
      <c r="P301" s="100">
        <f>[1]OpCost!$E19*P$310</f>
        <v>1395</v>
      </c>
      <c r="Q301" s="100">
        <f>[1]OpCost!$E19*Q$310</f>
        <v>1350</v>
      </c>
      <c r="R301" s="100">
        <f>[1]OpCost!$E19*R$310</f>
        <v>1860</v>
      </c>
      <c r="S301" s="100">
        <f>[1]OpCost!$E19*S$310</f>
        <v>1800</v>
      </c>
      <c r="T301" s="100">
        <f>[1]OpCost!$E19*T$310</f>
        <v>2325</v>
      </c>
      <c r="U301" s="100">
        <f>[1]OpCost!$E19*U$310</f>
        <v>2325</v>
      </c>
      <c r="V301" s="100">
        <f>[1]OpCost!$E19*V$310</f>
        <v>2520</v>
      </c>
      <c r="W301" s="100">
        <f>[1]OpCost!$E19*W$310</f>
        <v>2790</v>
      </c>
      <c r="X301" s="100">
        <f>[1]OpCost!$E19*X$310</f>
        <v>3150</v>
      </c>
      <c r="Y301" s="100">
        <f>[1]OpCost!$E19*Y$310</f>
        <v>3254.9999999999995</v>
      </c>
      <c r="Z301" s="100">
        <f>[1]OpCost!$E19*Z$310</f>
        <v>3600</v>
      </c>
      <c r="AA301" s="100">
        <f>[1]OpCost!$E19*AA$310</f>
        <v>3720</v>
      </c>
      <c r="AB301" s="100">
        <f>[1]OpCost!$E19*AB$310</f>
        <v>3720</v>
      </c>
      <c r="AC301" s="100">
        <f>[1]OpCost!$E19*AC$310</f>
        <v>3600</v>
      </c>
      <c r="AD301" s="100">
        <f>[1]OpCost!$E19*AD$310</f>
        <v>3720</v>
      </c>
      <c r="AE301" s="100">
        <f>[1]OpCost!$E19*AE$310</f>
        <v>3600</v>
      </c>
      <c r="AF301" s="100">
        <f>[1]OpCost!$E19*AF$310</f>
        <v>3720</v>
      </c>
      <c r="AG301" s="100">
        <f>[1]OpCost!$E19*AG$310</f>
        <v>3720</v>
      </c>
      <c r="AH301" s="100">
        <f>[1]OpCost!$E19*AH$310</f>
        <v>3360.0000000000005</v>
      </c>
      <c r="AI301" s="100">
        <f>[1]OpCost!$E19*AI$310</f>
        <v>3720</v>
      </c>
      <c r="AJ301" s="100">
        <f>[1]OpCost!$E19*AJ$310</f>
        <v>3600</v>
      </c>
      <c r="AK301" s="100">
        <f>[1]OpCost!$E19*AK$310</f>
        <v>3720</v>
      </c>
      <c r="AL301" s="100">
        <f>[1]OpCost!$E19*AL$310</f>
        <v>3600</v>
      </c>
      <c r="AM301" s="100">
        <f>[1]OpCost!$E19*AM$310</f>
        <v>3720</v>
      </c>
      <c r="AN301" s="100">
        <f>[1]OpCost!$E19*AN$310</f>
        <v>3720</v>
      </c>
      <c r="AO301" s="100">
        <f>[1]OpCost!$E19*AO$310</f>
        <v>3600</v>
      </c>
      <c r="AP301" s="100">
        <f>[1]OpCost!$E19*AP$310</f>
        <v>3720</v>
      </c>
      <c r="AQ301" s="100">
        <f>[1]OpCost!$E19*AQ$310</f>
        <v>3600</v>
      </c>
      <c r="AR301" s="100">
        <f>[1]OpCost!$E19*AR$310</f>
        <v>3720</v>
      </c>
      <c r="AS301" s="100">
        <f>[1]OpCost!$E19*AS$310</f>
        <v>3720</v>
      </c>
      <c r="AT301" s="100">
        <f>[1]OpCost!$E19*AT$310</f>
        <v>3360.0000000000005</v>
      </c>
      <c r="AU301" s="100">
        <f>[1]OpCost!$E19*AU$310</f>
        <v>3720</v>
      </c>
      <c r="AV301" s="100">
        <f>[1]OpCost!$E19*AV$310</f>
        <v>3600</v>
      </c>
      <c r="AW301" s="100">
        <f>[1]OpCost!$E19*AW$310</f>
        <v>3720</v>
      </c>
      <c r="AX301" s="100">
        <f>[1]OpCost!$E19*AX$310</f>
        <v>3600</v>
      </c>
      <c r="AY301" s="100">
        <f>[1]OpCost!$E19*AY$310</f>
        <v>3720</v>
      </c>
      <c r="AZ301" s="100">
        <f>[1]OpCost!$E19*AZ$310</f>
        <v>3720</v>
      </c>
      <c r="BA301" s="100">
        <f>[1]OpCost!$E19*BA$310</f>
        <v>3600</v>
      </c>
      <c r="BB301" s="100">
        <f>[1]OpCost!$E19*BB$310</f>
        <v>3720</v>
      </c>
      <c r="BC301" s="100">
        <f>[1]OpCost!$E19*BC$310</f>
        <v>3600</v>
      </c>
      <c r="BD301" s="100">
        <f>[1]OpCost!$E19*BD$310</f>
        <v>3720</v>
      </c>
      <c r="BE301" s="100">
        <f>[1]OpCost!$E19*BE$310</f>
        <v>3720</v>
      </c>
      <c r="BF301" s="100">
        <f>[1]OpCost!$E19*BF$310</f>
        <v>3360.0000000000005</v>
      </c>
      <c r="BG301" s="100">
        <f>[1]OpCost!$E19*BG$310</f>
        <v>3720</v>
      </c>
      <c r="BH301" s="100">
        <f>[1]OpCost!$E19*BH$310</f>
        <v>3600</v>
      </c>
      <c r="BI301" s="100">
        <f>[1]OpCost!$E19*BI$310</f>
        <v>3720</v>
      </c>
      <c r="BJ301" s="100">
        <f>[1]OpCost!$E19*BJ$310</f>
        <v>3600</v>
      </c>
      <c r="BK301" s="100">
        <f>[1]OpCost!$E19*BK$310</f>
        <v>3720</v>
      </c>
      <c r="BL301" s="100">
        <f>[1]OpCost!$E19*BL$310</f>
        <v>3720</v>
      </c>
      <c r="BM301" s="100">
        <f>[1]OpCost!$E19*BM$310</f>
        <v>3600</v>
      </c>
    </row>
    <row r="302" spans="1:65">
      <c r="A302" s="51"/>
      <c r="B302" s="51" t="s">
        <v>338</v>
      </c>
      <c r="C302" s="51" t="s">
        <v>134</v>
      </c>
      <c r="D302" s="51"/>
      <c r="E302" s="54">
        <f t="shared" si="115"/>
        <v>16514320.439999983</v>
      </c>
      <c r="F302" s="125">
        <f>SUM(F282:F301)</f>
        <v>0</v>
      </c>
      <c r="G302" s="125">
        <f t="shared" ref="G302:BM302" si="116">SUM(G282:G301)</f>
        <v>0</v>
      </c>
      <c r="H302" s="125">
        <f t="shared" si="116"/>
        <v>0</v>
      </c>
      <c r="I302" s="125">
        <f t="shared" si="116"/>
        <v>0</v>
      </c>
      <c r="J302" s="125">
        <f t="shared" si="116"/>
        <v>0</v>
      </c>
      <c r="K302" s="125">
        <f t="shared" si="116"/>
        <v>0</v>
      </c>
      <c r="L302" s="56"/>
      <c r="M302" s="56"/>
      <c r="N302" s="56"/>
      <c r="O302" s="125">
        <f t="shared" si="116"/>
        <v>60345.84</v>
      </c>
      <c r="P302" s="125">
        <f t="shared" si="116"/>
        <v>135778.14000000001</v>
      </c>
      <c r="Q302" s="125">
        <f t="shared" si="116"/>
        <v>131398.20000000001</v>
      </c>
      <c r="R302" s="125">
        <f t="shared" si="116"/>
        <v>181037.52000000002</v>
      </c>
      <c r="S302" s="125">
        <f t="shared" si="116"/>
        <v>175197.6</v>
      </c>
      <c r="T302" s="125">
        <f t="shared" si="116"/>
        <v>226296.90000000002</v>
      </c>
      <c r="U302" s="125">
        <f t="shared" si="116"/>
        <v>226296.90000000002</v>
      </c>
      <c r="V302" s="125">
        <f t="shared" si="116"/>
        <v>245276.64</v>
      </c>
      <c r="W302" s="125">
        <f t="shared" si="116"/>
        <v>271556.28000000003</v>
      </c>
      <c r="X302" s="125">
        <f t="shared" si="116"/>
        <v>306595.8</v>
      </c>
      <c r="Y302" s="125">
        <f t="shared" si="116"/>
        <v>316815.66000000003</v>
      </c>
      <c r="Z302" s="125">
        <f t="shared" si="116"/>
        <v>350395.2</v>
      </c>
      <c r="AA302" s="125">
        <f t="shared" si="116"/>
        <v>362075.04000000004</v>
      </c>
      <c r="AB302" s="125">
        <f t="shared" si="116"/>
        <v>362075.04000000004</v>
      </c>
      <c r="AC302" s="125">
        <f t="shared" si="116"/>
        <v>350395.2</v>
      </c>
      <c r="AD302" s="125">
        <f t="shared" si="116"/>
        <v>362075.04000000004</v>
      </c>
      <c r="AE302" s="125">
        <f t="shared" si="116"/>
        <v>350395.2</v>
      </c>
      <c r="AF302" s="125">
        <f t="shared" si="116"/>
        <v>362075.04000000004</v>
      </c>
      <c r="AG302" s="125">
        <f t="shared" si="116"/>
        <v>362075.04000000004</v>
      </c>
      <c r="AH302" s="125">
        <f t="shared" si="116"/>
        <v>327035.52000000002</v>
      </c>
      <c r="AI302" s="125">
        <f t="shared" si="116"/>
        <v>362075.04000000004</v>
      </c>
      <c r="AJ302" s="125">
        <f>AI302</f>
        <v>362075.04000000004</v>
      </c>
      <c r="AK302" s="125">
        <f t="shared" ref="AK302:AL302" si="117">AJ302</f>
        <v>362075.04000000004</v>
      </c>
      <c r="AL302" s="125">
        <f t="shared" si="117"/>
        <v>362075.04000000004</v>
      </c>
      <c r="AM302" s="125">
        <f t="shared" si="116"/>
        <v>362075.04000000004</v>
      </c>
      <c r="AN302" s="125">
        <f t="shared" si="116"/>
        <v>362075.04000000004</v>
      </c>
      <c r="AO302" s="125">
        <f t="shared" si="116"/>
        <v>350395.2</v>
      </c>
      <c r="AP302" s="125">
        <f t="shared" si="116"/>
        <v>362075.04000000004</v>
      </c>
      <c r="AQ302" s="125">
        <f t="shared" si="116"/>
        <v>350395.2</v>
      </c>
      <c r="AR302" s="125">
        <f t="shared" si="116"/>
        <v>362075.04000000004</v>
      </c>
      <c r="AS302" s="125">
        <f t="shared" si="116"/>
        <v>362075.04000000004</v>
      </c>
      <c r="AT302" s="125">
        <f t="shared" si="116"/>
        <v>327035.52000000002</v>
      </c>
      <c r="AU302" s="125">
        <f t="shared" si="116"/>
        <v>362075.04000000004</v>
      </c>
      <c r="AV302" s="125">
        <f t="shared" si="116"/>
        <v>350395.2</v>
      </c>
      <c r="AW302" s="125">
        <f t="shared" si="116"/>
        <v>362075.04000000004</v>
      </c>
      <c r="AX302" s="125">
        <f t="shared" si="116"/>
        <v>350395.2</v>
      </c>
      <c r="AY302" s="125">
        <f t="shared" si="116"/>
        <v>362075.04000000004</v>
      </c>
      <c r="AZ302" s="125">
        <f t="shared" si="116"/>
        <v>362075.04000000004</v>
      </c>
      <c r="BA302" s="125">
        <f t="shared" si="116"/>
        <v>350395.2</v>
      </c>
      <c r="BB302" s="125">
        <f t="shared" si="116"/>
        <v>362075.04000000004</v>
      </c>
      <c r="BC302" s="125">
        <f t="shared" si="116"/>
        <v>350395.2</v>
      </c>
      <c r="BD302" s="125">
        <f t="shared" si="116"/>
        <v>362075.04000000004</v>
      </c>
      <c r="BE302" s="125">
        <f t="shared" si="116"/>
        <v>362075.04000000004</v>
      </c>
      <c r="BF302" s="125">
        <f t="shared" si="116"/>
        <v>327035.52000000002</v>
      </c>
      <c r="BG302" s="125">
        <f t="shared" si="116"/>
        <v>362075.04000000004</v>
      </c>
      <c r="BH302" s="125">
        <f t="shared" si="116"/>
        <v>350395.2</v>
      </c>
      <c r="BI302" s="125">
        <f t="shared" si="116"/>
        <v>362075.04000000004</v>
      </c>
      <c r="BJ302" s="125">
        <f t="shared" si="116"/>
        <v>350395.2</v>
      </c>
      <c r="BK302" s="125">
        <f t="shared" si="116"/>
        <v>362075.04000000004</v>
      </c>
      <c r="BL302" s="125">
        <f t="shared" si="116"/>
        <v>362075.04000000004</v>
      </c>
      <c r="BM302" s="125">
        <f t="shared" si="116"/>
        <v>350395.2</v>
      </c>
    </row>
    <row r="303" spans="1:65">
      <c r="A303" s="51"/>
      <c r="B303" s="51" t="s">
        <v>339</v>
      </c>
      <c r="C303" s="51"/>
      <c r="D303" s="51"/>
      <c r="E303" s="54">
        <f t="shared" si="115"/>
        <v>27982.949999999953</v>
      </c>
      <c r="F303" s="100"/>
      <c r="G303" s="100"/>
      <c r="H303" s="100"/>
      <c r="I303" s="100"/>
      <c r="J303" s="100"/>
      <c r="K303" s="100"/>
      <c r="L303" s="100">
        <f>SUM(L282:L301)</f>
        <v>4866.6000000000004</v>
      </c>
      <c r="M303" s="100">
        <f>SUM(M282:M301)</f>
        <v>7543.23</v>
      </c>
      <c r="N303" s="100">
        <f>SUM(N282:N301)</f>
        <v>38932.800000000003</v>
      </c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>
        <f>SUM(AJ282:AJ301)-AJ302</f>
        <v>-11679.840000000026</v>
      </c>
      <c r="AK303" s="100">
        <f t="shared" ref="AK303:AL303" si="118">SUM(AK282:AK301)-AK302</f>
        <v>0</v>
      </c>
      <c r="AL303" s="100">
        <f t="shared" si="118"/>
        <v>-11679.840000000026</v>
      </c>
      <c r="AM303" s="100"/>
      <c r="AN303" s="100"/>
      <c r="AO303" s="100"/>
      <c r="AP303" s="100"/>
      <c r="AQ303" s="100"/>
      <c r="AR303" s="100"/>
      <c r="AS303" s="100"/>
      <c r="AT303" s="100"/>
      <c r="AU303" s="100"/>
      <c r="AV303" s="100"/>
      <c r="AW303" s="100"/>
      <c r="AX303" s="100"/>
      <c r="AY303" s="100"/>
      <c r="AZ303" s="100"/>
      <c r="BA303" s="100"/>
      <c r="BB303" s="100"/>
      <c r="BC303" s="100"/>
      <c r="BD303" s="100"/>
      <c r="BE303" s="100"/>
      <c r="BF303" s="100"/>
      <c r="BG303" s="100"/>
      <c r="BH303" s="100"/>
      <c r="BI303" s="100"/>
      <c r="BJ303" s="100"/>
      <c r="BK303" s="100"/>
      <c r="BL303" s="100"/>
      <c r="BM303" s="100"/>
    </row>
    <row r="304" spans="1:65">
      <c r="A304" s="51"/>
      <c r="B304" s="51" t="s">
        <v>284</v>
      </c>
      <c r="C304" s="51"/>
      <c r="D304" s="51"/>
      <c r="E304" s="111">
        <f>SUM(E302:E303)/SUM(E336:E339)</f>
        <v>2.5973661452051013E-2</v>
      </c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  <c r="AM304" s="100"/>
      <c r="AN304" s="100"/>
      <c r="AO304" s="100"/>
      <c r="AP304" s="100"/>
      <c r="AQ304" s="100"/>
      <c r="AR304" s="100"/>
      <c r="AS304" s="100"/>
      <c r="AT304" s="100"/>
      <c r="AU304" s="100"/>
      <c r="AV304" s="100"/>
      <c r="AW304" s="100"/>
      <c r="AX304" s="100"/>
      <c r="AY304" s="100"/>
      <c r="AZ304" s="100"/>
      <c r="BA304" s="100"/>
      <c r="BB304" s="100"/>
      <c r="BC304" s="100"/>
      <c r="BD304" s="100"/>
      <c r="BE304" s="100"/>
      <c r="BF304" s="100"/>
      <c r="BG304" s="100"/>
      <c r="BH304" s="100"/>
      <c r="BI304" s="100"/>
      <c r="BJ304" s="100"/>
      <c r="BK304" s="100"/>
      <c r="BL304" s="100"/>
      <c r="BM304" s="100"/>
    </row>
    <row r="305" spans="1:65">
      <c r="A305" s="51"/>
      <c r="B305" s="51"/>
      <c r="C305" s="51"/>
      <c r="D305" s="51"/>
      <c r="E305" s="54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  <c r="AP305" s="69"/>
      <c r="AQ305" s="69"/>
      <c r="AR305" s="69"/>
      <c r="AS305" s="69"/>
      <c r="AT305" s="69"/>
      <c r="AU305" s="69"/>
      <c r="AV305" s="69"/>
      <c r="AW305" s="69"/>
      <c r="AX305" s="69"/>
      <c r="AY305" s="69"/>
      <c r="AZ305" s="69"/>
      <c r="BA305" s="69"/>
      <c r="BB305" s="69"/>
      <c r="BC305" s="69"/>
      <c r="BD305" s="69"/>
      <c r="BE305" s="69"/>
      <c r="BF305" s="69"/>
      <c r="BG305" s="69"/>
      <c r="BH305" s="69"/>
      <c r="BI305" s="69"/>
      <c r="BJ305" s="69"/>
      <c r="BK305" s="69"/>
      <c r="BL305" s="69"/>
      <c r="BM305" s="69"/>
    </row>
    <row r="306" spans="1:65">
      <c r="A306" s="3" t="s">
        <v>340</v>
      </c>
      <c r="B306" s="51"/>
      <c r="C306" s="51"/>
      <c r="D306" s="51"/>
      <c r="E306" s="54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  <c r="AP306" s="69"/>
      <c r="AQ306" s="69"/>
      <c r="AR306" s="69"/>
      <c r="AS306" s="69"/>
      <c r="AT306" s="69"/>
      <c r="AU306" s="69"/>
      <c r="AV306" s="69"/>
      <c r="AW306" s="69"/>
      <c r="AX306" s="69"/>
      <c r="AY306" s="69"/>
      <c r="AZ306" s="69"/>
      <c r="BA306" s="69"/>
      <c r="BB306" s="69"/>
      <c r="BC306" s="69"/>
      <c r="BD306" s="69"/>
      <c r="BE306" s="69"/>
      <c r="BF306" s="69"/>
      <c r="BG306" s="69"/>
      <c r="BH306" s="69"/>
      <c r="BI306" s="69"/>
      <c r="BJ306" s="69"/>
      <c r="BK306" s="69"/>
      <c r="BL306" s="69"/>
      <c r="BM306" s="69"/>
    </row>
    <row r="307" spans="1:65" outlineLevel="1">
      <c r="A307" s="3"/>
      <c r="B307" s="51" t="s">
        <v>341</v>
      </c>
      <c r="C307" s="51"/>
      <c r="D307" s="51"/>
      <c r="E307" s="54"/>
      <c r="F307" s="126">
        <f>[1]Assumptions!C35</f>
        <v>48</v>
      </c>
      <c r="G307" s="127">
        <f t="shared" ref="G307:M307" si="119">F307</f>
        <v>48</v>
      </c>
      <c r="H307" s="127">
        <f t="shared" si="119"/>
        <v>48</v>
      </c>
      <c r="I307" s="127">
        <f t="shared" si="119"/>
        <v>48</v>
      </c>
      <c r="J307" s="127">
        <f t="shared" si="119"/>
        <v>48</v>
      </c>
      <c r="K307" s="127">
        <f t="shared" si="119"/>
        <v>48</v>
      </c>
      <c r="L307" s="127">
        <f t="shared" si="119"/>
        <v>48</v>
      </c>
      <c r="M307" s="127">
        <f t="shared" si="119"/>
        <v>48</v>
      </c>
      <c r="N307" s="127">
        <f>M307</f>
        <v>48</v>
      </c>
      <c r="O307" s="127">
        <f>N307</f>
        <v>48</v>
      </c>
      <c r="P307" s="127">
        <f t="shared" ref="P307:BM307" si="120">O307</f>
        <v>48</v>
      </c>
      <c r="Q307" s="127">
        <f t="shared" si="120"/>
        <v>48</v>
      </c>
      <c r="R307" s="127">
        <f t="shared" si="120"/>
        <v>48</v>
      </c>
      <c r="S307" s="127">
        <f t="shared" si="120"/>
        <v>48</v>
      </c>
      <c r="T307" s="127">
        <f t="shared" si="120"/>
        <v>48</v>
      </c>
      <c r="U307" s="127">
        <f t="shared" si="120"/>
        <v>48</v>
      </c>
      <c r="V307" s="127">
        <f t="shared" si="120"/>
        <v>48</v>
      </c>
      <c r="W307" s="127">
        <f t="shared" si="120"/>
        <v>48</v>
      </c>
      <c r="X307" s="127">
        <f t="shared" si="120"/>
        <v>48</v>
      </c>
      <c r="Y307" s="127">
        <f t="shared" si="120"/>
        <v>48</v>
      </c>
      <c r="Z307" s="127">
        <f t="shared" si="120"/>
        <v>48</v>
      </c>
      <c r="AA307" s="127">
        <f t="shared" si="120"/>
        <v>48</v>
      </c>
      <c r="AB307" s="127">
        <f t="shared" si="120"/>
        <v>48</v>
      </c>
      <c r="AC307" s="127">
        <f t="shared" si="120"/>
        <v>48</v>
      </c>
      <c r="AD307" s="127">
        <f t="shared" si="120"/>
        <v>48</v>
      </c>
      <c r="AE307" s="127">
        <f t="shared" si="120"/>
        <v>48</v>
      </c>
      <c r="AF307" s="127">
        <f t="shared" si="120"/>
        <v>48</v>
      </c>
      <c r="AG307" s="127">
        <f t="shared" si="120"/>
        <v>48</v>
      </c>
      <c r="AH307" s="127">
        <f t="shared" si="120"/>
        <v>48</v>
      </c>
      <c r="AI307" s="127">
        <f t="shared" si="120"/>
        <v>48</v>
      </c>
      <c r="AJ307" s="127">
        <f t="shared" si="120"/>
        <v>48</v>
      </c>
      <c r="AK307" s="127">
        <f t="shared" si="120"/>
        <v>48</v>
      </c>
      <c r="AL307" s="127">
        <f t="shared" si="120"/>
        <v>48</v>
      </c>
      <c r="AM307" s="127">
        <f t="shared" si="120"/>
        <v>48</v>
      </c>
      <c r="AN307" s="127">
        <f t="shared" si="120"/>
        <v>48</v>
      </c>
      <c r="AO307" s="127">
        <f t="shared" si="120"/>
        <v>48</v>
      </c>
      <c r="AP307" s="127">
        <f t="shared" si="120"/>
        <v>48</v>
      </c>
      <c r="AQ307" s="127">
        <f t="shared" si="120"/>
        <v>48</v>
      </c>
      <c r="AR307" s="127">
        <f t="shared" si="120"/>
        <v>48</v>
      </c>
      <c r="AS307" s="127">
        <f t="shared" si="120"/>
        <v>48</v>
      </c>
      <c r="AT307" s="127">
        <f t="shared" si="120"/>
        <v>48</v>
      </c>
      <c r="AU307" s="127">
        <f t="shared" si="120"/>
        <v>48</v>
      </c>
      <c r="AV307" s="127">
        <f t="shared" si="120"/>
        <v>48</v>
      </c>
      <c r="AW307" s="127">
        <f t="shared" si="120"/>
        <v>48</v>
      </c>
      <c r="AX307" s="127">
        <f t="shared" si="120"/>
        <v>48</v>
      </c>
      <c r="AY307" s="127">
        <f t="shared" si="120"/>
        <v>48</v>
      </c>
      <c r="AZ307" s="127">
        <f t="shared" si="120"/>
        <v>48</v>
      </c>
      <c r="BA307" s="127">
        <f t="shared" si="120"/>
        <v>48</v>
      </c>
      <c r="BB307" s="127">
        <f t="shared" si="120"/>
        <v>48</v>
      </c>
      <c r="BC307" s="127">
        <f t="shared" si="120"/>
        <v>48</v>
      </c>
      <c r="BD307" s="127">
        <f t="shared" si="120"/>
        <v>48</v>
      </c>
      <c r="BE307" s="127">
        <f t="shared" si="120"/>
        <v>48</v>
      </c>
      <c r="BF307" s="127">
        <f t="shared" si="120"/>
        <v>48</v>
      </c>
      <c r="BG307" s="127">
        <f t="shared" si="120"/>
        <v>48</v>
      </c>
      <c r="BH307" s="127">
        <f t="shared" si="120"/>
        <v>48</v>
      </c>
      <c r="BI307" s="127">
        <f t="shared" si="120"/>
        <v>48</v>
      </c>
      <c r="BJ307" s="127">
        <f t="shared" si="120"/>
        <v>48</v>
      </c>
      <c r="BK307" s="127">
        <f t="shared" si="120"/>
        <v>48</v>
      </c>
      <c r="BL307" s="127">
        <f t="shared" si="120"/>
        <v>48</v>
      </c>
      <c r="BM307" s="127">
        <f t="shared" si="120"/>
        <v>48</v>
      </c>
    </row>
    <row r="308" spans="1:65" outlineLevel="1">
      <c r="A308" s="51"/>
      <c r="B308" s="51" t="s">
        <v>342</v>
      </c>
      <c r="C308" s="51"/>
      <c r="D308" s="51"/>
      <c r="E308" s="54"/>
      <c r="F308" s="128">
        <f t="shared" ref="F308:BM308" si="121">F307*F215</f>
        <v>0</v>
      </c>
      <c r="G308" s="128">
        <f t="shared" si="121"/>
        <v>0</v>
      </c>
      <c r="H308" s="128">
        <f t="shared" si="121"/>
        <v>0</v>
      </c>
      <c r="I308" s="128">
        <f t="shared" si="121"/>
        <v>0</v>
      </c>
      <c r="J308" s="128">
        <f t="shared" si="121"/>
        <v>0</v>
      </c>
      <c r="K308" s="128">
        <f t="shared" si="121"/>
        <v>0</v>
      </c>
      <c r="L308" s="128">
        <f>L307*L215</f>
        <v>48</v>
      </c>
      <c r="M308" s="128">
        <f>M307*M215</f>
        <v>48</v>
      </c>
      <c r="N308" s="128">
        <f>N307*N215</f>
        <v>96</v>
      </c>
      <c r="O308" s="128">
        <f t="shared" si="121"/>
        <v>96</v>
      </c>
      <c r="P308" s="128">
        <f t="shared" si="121"/>
        <v>144</v>
      </c>
      <c r="Q308" s="128">
        <f t="shared" si="121"/>
        <v>144</v>
      </c>
      <c r="R308" s="128">
        <f t="shared" si="121"/>
        <v>192</v>
      </c>
      <c r="S308" s="128">
        <f t="shared" si="121"/>
        <v>192</v>
      </c>
      <c r="T308" s="128">
        <f t="shared" si="121"/>
        <v>240</v>
      </c>
      <c r="U308" s="128">
        <f t="shared" si="121"/>
        <v>240</v>
      </c>
      <c r="V308" s="128">
        <f t="shared" si="121"/>
        <v>288</v>
      </c>
      <c r="W308" s="128">
        <f t="shared" si="121"/>
        <v>288</v>
      </c>
      <c r="X308" s="128">
        <f t="shared" si="121"/>
        <v>336</v>
      </c>
      <c r="Y308" s="128">
        <f t="shared" si="121"/>
        <v>336</v>
      </c>
      <c r="Z308" s="128">
        <f t="shared" si="121"/>
        <v>384</v>
      </c>
      <c r="AA308" s="128">
        <f t="shared" si="121"/>
        <v>384</v>
      </c>
      <c r="AB308" s="128">
        <f t="shared" si="121"/>
        <v>384</v>
      </c>
      <c r="AC308" s="128">
        <f t="shared" si="121"/>
        <v>384</v>
      </c>
      <c r="AD308" s="128">
        <f t="shared" si="121"/>
        <v>384</v>
      </c>
      <c r="AE308" s="128">
        <f t="shared" si="121"/>
        <v>384</v>
      </c>
      <c r="AF308" s="128">
        <f t="shared" si="121"/>
        <v>384</v>
      </c>
      <c r="AG308" s="128">
        <f t="shared" si="121"/>
        <v>384</v>
      </c>
      <c r="AH308" s="128">
        <f t="shared" si="121"/>
        <v>384</v>
      </c>
      <c r="AI308" s="128">
        <f t="shared" si="121"/>
        <v>384</v>
      </c>
      <c r="AJ308" s="128">
        <f t="shared" si="121"/>
        <v>384</v>
      </c>
      <c r="AK308" s="128">
        <f t="shared" si="121"/>
        <v>384</v>
      </c>
      <c r="AL308" s="128">
        <f t="shared" si="121"/>
        <v>384</v>
      </c>
      <c r="AM308" s="128">
        <f t="shared" si="121"/>
        <v>384</v>
      </c>
      <c r="AN308" s="128">
        <f t="shared" si="121"/>
        <v>384</v>
      </c>
      <c r="AO308" s="128">
        <f t="shared" si="121"/>
        <v>384</v>
      </c>
      <c r="AP308" s="128">
        <f t="shared" si="121"/>
        <v>384</v>
      </c>
      <c r="AQ308" s="128">
        <f t="shared" si="121"/>
        <v>384</v>
      </c>
      <c r="AR308" s="128">
        <f t="shared" si="121"/>
        <v>384</v>
      </c>
      <c r="AS308" s="128">
        <f t="shared" si="121"/>
        <v>384</v>
      </c>
      <c r="AT308" s="128">
        <f t="shared" si="121"/>
        <v>384</v>
      </c>
      <c r="AU308" s="128">
        <f t="shared" si="121"/>
        <v>384</v>
      </c>
      <c r="AV308" s="128">
        <f t="shared" si="121"/>
        <v>384</v>
      </c>
      <c r="AW308" s="128">
        <f t="shared" si="121"/>
        <v>384</v>
      </c>
      <c r="AX308" s="128">
        <f t="shared" si="121"/>
        <v>384</v>
      </c>
      <c r="AY308" s="128">
        <f t="shared" si="121"/>
        <v>384</v>
      </c>
      <c r="AZ308" s="128">
        <f t="shared" si="121"/>
        <v>384</v>
      </c>
      <c r="BA308" s="128">
        <f t="shared" si="121"/>
        <v>384</v>
      </c>
      <c r="BB308" s="128">
        <f t="shared" si="121"/>
        <v>384</v>
      </c>
      <c r="BC308" s="128">
        <f t="shared" si="121"/>
        <v>384</v>
      </c>
      <c r="BD308" s="128">
        <f t="shared" si="121"/>
        <v>384</v>
      </c>
      <c r="BE308" s="128">
        <f t="shared" si="121"/>
        <v>384</v>
      </c>
      <c r="BF308" s="128">
        <f t="shared" si="121"/>
        <v>384</v>
      </c>
      <c r="BG308" s="128">
        <f t="shared" si="121"/>
        <v>384</v>
      </c>
      <c r="BH308" s="128">
        <f t="shared" si="121"/>
        <v>384</v>
      </c>
      <c r="BI308" s="128">
        <f t="shared" si="121"/>
        <v>384</v>
      </c>
      <c r="BJ308" s="128">
        <f t="shared" si="121"/>
        <v>384</v>
      </c>
      <c r="BK308" s="128">
        <f t="shared" si="121"/>
        <v>384</v>
      </c>
      <c r="BL308" s="128">
        <f t="shared" si="121"/>
        <v>384</v>
      </c>
      <c r="BM308" s="128">
        <f t="shared" si="121"/>
        <v>384</v>
      </c>
    </row>
    <row r="309" spans="1:65" outlineLevel="1">
      <c r="A309" s="51"/>
      <c r="B309" s="51" t="s">
        <v>343</v>
      </c>
      <c r="C309" s="51"/>
      <c r="D309" s="51"/>
      <c r="E309" s="54"/>
      <c r="F309" s="129">
        <v>0</v>
      </c>
      <c r="G309" s="130">
        <v>0</v>
      </c>
      <c r="H309" s="130">
        <v>0</v>
      </c>
      <c r="I309" s="130">
        <v>0</v>
      </c>
      <c r="J309" s="130">
        <v>0</v>
      </c>
      <c r="K309" s="130">
        <v>0</v>
      </c>
      <c r="L309" s="131">
        <v>0.1</v>
      </c>
      <c r="M309" s="131">
        <v>0.15</v>
      </c>
      <c r="N309" s="131">
        <v>0.4</v>
      </c>
      <c r="O309" s="131">
        <v>0.6</v>
      </c>
      <c r="P309" s="130">
        <v>0.9</v>
      </c>
      <c r="Q309" s="130">
        <f t="shared" ref="Q309:BM309" si="122">P309</f>
        <v>0.9</v>
      </c>
      <c r="R309" s="130">
        <f t="shared" si="122"/>
        <v>0.9</v>
      </c>
      <c r="S309" s="130">
        <f t="shared" si="122"/>
        <v>0.9</v>
      </c>
      <c r="T309" s="130">
        <f t="shared" si="122"/>
        <v>0.9</v>
      </c>
      <c r="U309" s="130">
        <f t="shared" si="122"/>
        <v>0.9</v>
      </c>
      <c r="V309" s="130">
        <f t="shared" si="122"/>
        <v>0.9</v>
      </c>
      <c r="W309" s="130">
        <f t="shared" si="122"/>
        <v>0.9</v>
      </c>
      <c r="X309" s="130">
        <f t="shared" si="122"/>
        <v>0.9</v>
      </c>
      <c r="Y309" s="130">
        <f t="shared" si="122"/>
        <v>0.9</v>
      </c>
      <c r="Z309" s="130">
        <f t="shared" si="122"/>
        <v>0.9</v>
      </c>
      <c r="AA309" s="130">
        <f t="shared" si="122"/>
        <v>0.9</v>
      </c>
      <c r="AB309" s="130">
        <f t="shared" si="122"/>
        <v>0.9</v>
      </c>
      <c r="AC309" s="130">
        <f t="shared" si="122"/>
        <v>0.9</v>
      </c>
      <c r="AD309" s="130">
        <f t="shared" si="122"/>
        <v>0.9</v>
      </c>
      <c r="AE309" s="130">
        <f t="shared" si="122"/>
        <v>0.9</v>
      </c>
      <c r="AF309" s="130">
        <f t="shared" si="122"/>
        <v>0.9</v>
      </c>
      <c r="AG309" s="130">
        <f t="shared" si="122"/>
        <v>0.9</v>
      </c>
      <c r="AH309" s="130">
        <f t="shared" si="122"/>
        <v>0.9</v>
      </c>
      <c r="AI309" s="130">
        <f t="shared" si="122"/>
        <v>0.9</v>
      </c>
      <c r="AJ309" s="130">
        <f t="shared" si="122"/>
        <v>0.9</v>
      </c>
      <c r="AK309" s="130">
        <f t="shared" si="122"/>
        <v>0.9</v>
      </c>
      <c r="AL309" s="130">
        <f t="shared" si="122"/>
        <v>0.9</v>
      </c>
      <c r="AM309" s="129">
        <v>0.9</v>
      </c>
      <c r="AN309" s="130">
        <f t="shared" si="122"/>
        <v>0.9</v>
      </c>
      <c r="AO309" s="130">
        <f t="shared" si="122"/>
        <v>0.9</v>
      </c>
      <c r="AP309" s="130">
        <f t="shared" si="122"/>
        <v>0.9</v>
      </c>
      <c r="AQ309" s="130">
        <f t="shared" si="122"/>
        <v>0.9</v>
      </c>
      <c r="AR309" s="130">
        <f t="shared" si="122"/>
        <v>0.9</v>
      </c>
      <c r="AS309" s="130">
        <f t="shared" si="122"/>
        <v>0.9</v>
      </c>
      <c r="AT309" s="130">
        <f t="shared" si="122"/>
        <v>0.9</v>
      </c>
      <c r="AU309" s="130">
        <f t="shared" si="122"/>
        <v>0.9</v>
      </c>
      <c r="AV309" s="130">
        <f t="shared" si="122"/>
        <v>0.9</v>
      </c>
      <c r="AW309" s="130">
        <f t="shared" si="122"/>
        <v>0.9</v>
      </c>
      <c r="AX309" s="130">
        <f t="shared" si="122"/>
        <v>0.9</v>
      </c>
      <c r="AY309" s="130">
        <f t="shared" si="122"/>
        <v>0.9</v>
      </c>
      <c r="AZ309" s="130">
        <f t="shared" si="122"/>
        <v>0.9</v>
      </c>
      <c r="BA309" s="130">
        <f t="shared" si="122"/>
        <v>0.9</v>
      </c>
      <c r="BB309" s="130">
        <f t="shared" si="122"/>
        <v>0.9</v>
      </c>
      <c r="BC309" s="130">
        <f t="shared" si="122"/>
        <v>0.9</v>
      </c>
      <c r="BD309" s="130">
        <f t="shared" si="122"/>
        <v>0.9</v>
      </c>
      <c r="BE309" s="130">
        <f t="shared" si="122"/>
        <v>0.9</v>
      </c>
      <c r="BF309" s="130">
        <f t="shared" si="122"/>
        <v>0.9</v>
      </c>
      <c r="BG309" s="130">
        <f t="shared" si="122"/>
        <v>0.9</v>
      </c>
      <c r="BH309" s="130">
        <f t="shared" si="122"/>
        <v>0.9</v>
      </c>
      <c r="BI309" s="130">
        <f t="shared" si="122"/>
        <v>0.9</v>
      </c>
      <c r="BJ309" s="130">
        <f t="shared" si="122"/>
        <v>0.9</v>
      </c>
      <c r="BK309" s="130">
        <f t="shared" si="122"/>
        <v>0.9</v>
      </c>
      <c r="BL309" s="130">
        <f t="shared" si="122"/>
        <v>0.9</v>
      </c>
      <c r="BM309" s="130">
        <f t="shared" si="122"/>
        <v>0.9</v>
      </c>
    </row>
    <row r="310" spans="1:65" outlineLevel="1">
      <c r="A310" s="51"/>
      <c r="B310" s="51" t="s">
        <v>344</v>
      </c>
      <c r="C310" s="51"/>
      <c r="D310" s="51"/>
      <c r="E310" s="54"/>
      <c r="F310" s="69">
        <f t="shared" ref="F310:BM310" si="123">F308*F9*F309</f>
        <v>0</v>
      </c>
      <c r="G310" s="69">
        <f t="shared" si="123"/>
        <v>0</v>
      </c>
      <c r="H310" s="69">
        <f t="shared" si="123"/>
        <v>0</v>
      </c>
      <c r="I310" s="69">
        <f t="shared" si="123"/>
        <v>0</v>
      </c>
      <c r="J310" s="69">
        <f t="shared" si="123"/>
        <v>0</v>
      </c>
      <c r="K310" s="69">
        <f t="shared" si="123"/>
        <v>0</v>
      </c>
      <c r="L310" s="69">
        <f>L308*L9*L309</f>
        <v>144</v>
      </c>
      <c r="M310" s="69">
        <f>M308*M9*M309</f>
        <v>223.2</v>
      </c>
      <c r="N310" s="69">
        <f t="shared" si="123"/>
        <v>1152</v>
      </c>
      <c r="O310" s="69">
        <f t="shared" si="123"/>
        <v>1785.6</v>
      </c>
      <c r="P310" s="69">
        <f t="shared" si="123"/>
        <v>4017.6</v>
      </c>
      <c r="Q310" s="69">
        <f t="shared" si="123"/>
        <v>3888</v>
      </c>
      <c r="R310" s="69">
        <f t="shared" si="123"/>
        <v>5356.8</v>
      </c>
      <c r="S310" s="69">
        <f t="shared" si="123"/>
        <v>5184</v>
      </c>
      <c r="T310" s="69">
        <f t="shared" si="123"/>
        <v>6696</v>
      </c>
      <c r="U310" s="69">
        <f t="shared" si="123"/>
        <v>6696</v>
      </c>
      <c r="V310" s="69">
        <f t="shared" si="123"/>
        <v>7257.6</v>
      </c>
      <c r="W310" s="69">
        <f t="shared" si="123"/>
        <v>8035.2</v>
      </c>
      <c r="X310" s="69">
        <f t="shared" si="123"/>
        <v>9072</v>
      </c>
      <c r="Y310" s="69">
        <f t="shared" si="123"/>
        <v>9374.4</v>
      </c>
      <c r="Z310" s="69">
        <f t="shared" si="123"/>
        <v>10368</v>
      </c>
      <c r="AA310" s="69">
        <f t="shared" si="123"/>
        <v>10713.6</v>
      </c>
      <c r="AB310" s="69">
        <f t="shared" si="123"/>
        <v>10713.6</v>
      </c>
      <c r="AC310" s="69">
        <f t="shared" si="123"/>
        <v>10368</v>
      </c>
      <c r="AD310" s="69">
        <f t="shared" si="123"/>
        <v>10713.6</v>
      </c>
      <c r="AE310" s="69">
        <f t="shared" si="123"/>
        <v>10368</v>
      </c>
      <c r="AF310" s="69">
        <f t="shared" si="123"/>
        <v>10713.6</v>
      </c>
      <c r="AG310" s="69">
        <f t="shared" si="123"/>
        <v>10713.6</v>
      </c>
      <c r="AH310" s="69">
        <f t="shared" si="123"/>
        <v>9676.8000000000011</v>
      </c>
      <c r="AI310" s="69">
        <f t="shared" si="123"/>
        <v>10713.6</v>
      </c>
      <c r="AJ310" s="69">
        <f t="shared" si="123"/>
        <v>10368</v>
      </c>
      <c r="AK310" s="69">
        <f t="shared" si="123"/>
        <v>10713.6</v>
      </c>
      <c r="AL310" s="69">
        <f t="shared" si="123"/>
        <v>10368</v>
      </c>
      <c r="AM310" s="69">
        <f t="shared" si="123"/>
        <v>10713.6</v>
      </c>
      <c r="AN310" s="69">
        <f t="shared" si="123"/>
        <v>10713.6</v>
      </c>
      <c r="AO310" s="69">
        <f t="shared" si="123"/>
        <v>10368</v>
      </c>
      <c r="AP310" s="69">
        <f t="shared" si="123"/>
        <v>10713.6</v>
      </c>
      <c r="AQ310" s="69">
        <f t="shared" si="123"/>
        <v>10368</v>
      </c>
      <c r="AR310" s="69">
        <f t="shared" si="123"/>
        <v>10713.6</v>
      </c>
      <c r="AS310" s="69">
        <f t="shared" si="123"/>
        <v>10713.6</v>
      </c>
      <c r="AT310" s="69">
        <f t="shared" si="123"/>
        <v>9676.8000000000011</v>
      </c>
      <c r="AU310" s="69">
        <f t="shared" si="123"/>
        <v>10713.6</v>
      </c>
      <c r="AV310" s="69">
        <f t="shared" si="123"/>
        <v>10368</v>
      </c>
      <c r="AW310" s="69">
        <f t="shared" si="123"/>
        <v>10713.6</v>
      </c>
      <c r="AX310" s="69">
        <f t="shared" si="123"/>
        <v>10368</v>
      </c>
      <c r="AY310" s="69">
        <f t="shared" si="123"/>
        <v>10713.6</v>
      </c>
      <c r="AZ310" s="69">
        <f t="shared" si="123"/>
        <v>10713.6</v>
      </c>
      <c r="BA310" s="69">
        <f t="shared" si="123"/>
        <v>10368</v>
      </c>
      <c r="BB310" s="69">
        <f t="shared" si="123"/>
        <v>10713.6</v>
      </c>
      <c r="BC310" s="69">
        <f t="shared" si="123"/>
        <v>10368</v>
      </c>
      <c r="BD310" s="69">
        <f t="shared" si="123"/>
        <v>10713.6</v>
      </c>
      <c r="BE310" s="69">
        <f t="shared" si="123"/>
        <v>10713.6</v>
      </c>
      <c r="BF310" s="69">
        <f t="shared" si="123"/>
        <v>9676.8000000000011</v>
      </c>
      <c r="BG310" s="69">
        <f t="shared" si="123"/>
        <v>10713.6</v>
      </c>
      <c r="BH310" s="69">
        <f t="shared" si="123"/>
        <v>10368</v>
      </c>
      <c r="BI310" s="69">
        <f t="shared" si="123"/>
        <v>10713.6</v>
      </c>
      <c r="BJ310" s="69">
        <f t="shared" si="123"/>
        <v>10368</v>
      </c>
      <c r="BK310" s="69">
        <f t="shared" si="123"/>
        <v>10713.6</v>
      </c>
      <c r="BL310" s="69">
        <f t="shared" si="123"/>
        <v>10713.6</v>
      </c>
      <c r="BM310" s="69">
        <f t="shared" si="123"/>
        <v>10368</v>
      </c>
    </row>
    <row r="311" spans="1:65" outlineLevel="1">
      <c r="A311" s="51"/>
      <c r="B311" s="51"/>
      <c r="C311" s="51"/>
      <c r="D311" s="51"/>
      <c r="E311" s="54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  <c r="AP311" s="69"/>
      <c r="AQ311" s="69"/>
      <c r="AR311" s="69"/>
      <c r="AS311" s="69"/>
      <c r="AT311" s="69"/>
      <c r="AU311" s="69"/>
      <c r="AV311" s="69"/>
      <c r="AW311" s="69"/>
      <c r="AX311" s="69"/>
      <c r="AY311" s="69"/>
      <c r="AZ311" s="69"/>
      <c r="BA311" s="69"/>
      <c r="BB311" s="69"/>
      <c r="BC311" s="69"/>
      <c r="BD311" s="69"/>
      <c r="BE311" s="69"/>
      <c r="BF311" s="69"/>
      <c r="BG311" s="69"/>
      <c r="BH311" s="69"/>
      <c r="BI311" s="69"/>
      <c r="BJ311" s="69"/>
      <c r="BK311" s="69"/>
      <c r="BL311" s="69"/>
      <c r="BM311" s="69"/>
    </row>
    <row r="312" spans="1:65" outlineLevel="1">
      <c r="A312" s="51"/>
      <c r="B312" s="51" t="s">
        <v>345</v>
      </c>
      <c r="C312" s="51"/>
      <c r="D312" s="51"/>
      <c r="E312" s="54"/>
      <c r="F312" s="68">
        <f>F310*2000</f>
        <v>0</v>
      </c>
      <c r="G312" s="68">
        <f t="shared" ref="G312:BM312" si="124">G310*2000</f>
        <v>0</v>
      </c>
      <c r="H312" s="68">
        <f t="shared" si="124"/>
        <v>0</v>
      </c>
      <c r="I312" s="68">
        <f t="shared" si="124"/>
        <v>0</v>
      </c>
      <c r="J312" s="68">
        <f t="shared" si="124"/>
        <v>0</v>
      </c>
      <c r="K312" s="68">
        <f t="shared" si="124"/>
        <v>0</v>
      </c>
      <c r="L312" s="68">
        <f t="shared" si="124"/>
        <v>288000</v>
      </c>
      <c r="M312" s="68">
        <f t="shared" si="124"/>
        <v>446400</v>
      </c>
      <c r="N312" s="68">
        <f t="shared" si="124"/>
        <v>2304000</v>
      </c>
      <c r="O312" s="68">
        <f t="shared" si="124"/>
        <v>3571200</v>
      </c>
      <c r="P312" s="68">
        <f t="shared" si="124"/>
        <v>8035200</v>
      </c>
      <c r="Q312" s="68">
        <f t="shared" si="124"/>
        <v>7776000</v>
      </c>
      <c r="R312" s="68">
        <f t="shared" si="124"/>
        <v>10713600</v>
      </c>
      <c r="S312" s="68">
        <f t="shared" si="124"/>
        <v>10368000</v>
      </c>
      <c r="T312" s="68">
        <f t="shared" si="124"/>
        <v>13392000</v>
      </c>
      <c r="U312" s="68">
        <f t="shared" si="124"/>
        <v>13392000</v>
      </c>
      <c r="V312" s="68">
        <f t="shared" si="124"/>
        <v>14515200</v>
      </c>
      <c r="W312" s="68">
        <f t="shared" si="124"/>
        <v>16070400</v>
      </c>
      <c r="X312" s="68">
        <f t="shared" si="124"/>
        <v>18144000</v>
      </c>
      <c r="Y312" s="68">
        <f t="shared" si="124"/>
        <v>18748800</v>
      </c>
      <c r="Z312" s="68">
        <f t="shared" si="124"/>
        <v>20736000</v>
      </c>
      <c r="AA312" s="68">
        <f t="shared" si="124"/>
        <v>21427200</v>
      </c>
      <c r="AB312" s="68">
        <f t="shared" si="124"/>
        <v>21427200</v>
      </c>
      <c r="AC312" s="68">
        <f t="shared" si="124"/>
        <v>20736000</v>
      </c>
      <c r="AD312" s="68">
        <f t="shared" si="124"/>
        <v>21427200</v>
      </c>
      <c r="AE312" s="68">
        <f t="shared" si="124"/>
        <v>20736000</v>
      </c>
      <c r="AF312" s="68">
        <f t="shared" si="124"/>
        <v>21427200</v>
      </c>
      <c r="AG312" s="68">
        <f t="shared" si="124"/>
        <v>21427200</v>
      </c>
      <c r="AH312" s="68">
        <f t="shared" si="124"/>
        <v>19353600.000000004</v>
      </c>
      <c r="AI312" s="68">
        <f t="shared" si="124"/>
        <v>21427200</v>
      </c>
      <c r="AJ312" s="68">
        <f t="shared" si="124"/>
        <v>20736000</v>
      </c>
      <c r="AK312" s="68">
        <f t="shared" si="124"/>
        <v>21427200</v>
      </c>
      <c r="AL312" s="68">
        <f t="shared" si="124"/>
        <v>20736000</v>
      </c>
      <c r="AM312" s="68">
        <f t="shared" si="124"/>
        <v>21427200</v>
      </c>
      <c r="AN312" s="68">
        <f t="shared" si="124"/>
        <v>21427200</v>
      </c>
      <c r="AO312" s="68">
        <f t="shared" si="124"/>
        <v>20736000</v>
      </c>
      <c r="AP312" s="68">
        <f t="shared" si="124"/>
        <v>21427200</v>
      </c>
      <c r="AQ312" s="68">
        <f t="shared" si="124"/>
        <v>20736000</v>
      </c>
      <c r="AR312" s="68">
        <f t="shared" si="124"/>
        <v>21427200</v>
      </c>
      <c r="AS312" s="68">
        <f t="shared" si="124"/>
        <v>21427200</v>
      </c>
      <c r="AT312" s="68">
        <f t="shared" si="124"/>
        <v>19353600.000000004</v>
      </c>
      <c r="AU312" s="68">
        <f t="shared" si="124"/>
        <v>21427200</v>
      </c>
      <c r="AV312" s="68">
        <f t="shared" si="124"/>
        <v>20736000</v>
      </c>
      <c r="AW312" s="68">
        <f t="shared" si="124"/>
        <v>21427200</v>
      </c>
      <c r="AX312" s="68">
        <f t="shared" si="124"/>
        <v>20736000</v>
      </c>
      <c r="AY312" s="68">
        <f t="shared" si="124"/>
        <v>21427200</v>
      </c>
      <c r="AZ312" s="68">
        <f t="shared" si="124"/>
        <v>21427200</v>
      </c>
      <c r="BA312" s="68">
        <f t="shared" si="124"/>
        <v>20736000</v>
      </c>
      <c r="BB312" s="68">
        <f t="shared" si="124"/>
        <v>21427200</v>
      </c>
      <c r="BC312" s="68">
        <f t="shared" si="124"/>
        <v>20736000</v>
      </c>
      <c r="BD312" s="68">
        <f t="shared" si="124"/>
        <v>21427200</v>
      </c>
      <c r="BE312" s="68">
        <f t="shared" si="124"/>
        <v>21427200</v>
      </c>
      <c r="BF312" s="68">
        <f t="shared" si="124"/>
        <v>19353600.000000004</v>
      </c>
      <c r="BG312" s="68">
        <f t="shared" si="124"/>
        <v>21427200</v>
      </c>
      <c r="BH312" s="68">
        <f t="shared" si="124"/>
        <v>20736000</v>
      </c>
      <c r="BI312" s="68">
        <f t="shared" si="124"/>
        <v>21427200</v>
      </c>
      <c r="BJ312" s="68">
        <f t="shared" si="124"/>
        <v>20736000</v>
      </c>
      <c r="BK312" s="68">
        <f t="shared" si="124"/>
        <v>21427200</v>
      </c>
      <c r="BL312" s="68">
        <f t="shared" si="124"/>
        <v>21427200</v>
      </c>
      <c r="BM312" s="68">
        <f t="shared" si="124"/>
        <v>20736000</v>
      </c>
    </row>
    <row r="313" spans="1:65" outlineLevel="1">
      <c r="A313" s="51"/>
      <c r="B313" s="51" t="s">
        <v>346</v>
      </c>
      <c r="C313" s="51"/>
      <c r="D313" s="51"/>
      <c r="E313" s="54">
        <f>SUM(F313:BM313)</f>
        <v>54386400</v>
      </c>
      <c r="F313" s="69">
        <f>F312/([1]Assumptions!$C$36-[1]Assumptions!$C$37)</f>
        <v>0</v>
      </c>
      <c r="G313" s="69">
        <f>G312/([1]Assumptions!$C$36-[1]Assumptions!$C$37)</f>
        <v>0</v>
      </c>
      <c r="H313" s="69">
        <f>H312/([1]Assumptions!$C$36-[1]Assumptions!$C$37)</f>
        <v>0</v>
      </c>
      <c r="I313" s="69">
        <f>I312/([1]Assumptions!$C$36-[1]Assumptions!$C$37)</f>
        <v>0</v>
      </c>
      <c r="J313" s="69">
        <f>J312/([1]Assumptions!$C$36-[1]Assumptions!$C$37)</f>
        <v>0</v>
      </c>
      <c r="K313" s="69">
        <f>K312/([1]Assumptions!$C$36-[1]Assumptions!$C$37)</f>
        <v>0</v>
      </c>
      <c r="L313" s="69">
        <f>L312/([1]Assumptions!$C$36-[1]Assumptions!$C$37)</f>
        <v>16000</v>
      </c>
      <c r="M313" s="69">
        <f>M312/([1]Assumptions!$C$36-[1]Assumptions!$C$37)</f>
        <v>24800</v>
      </c>
      <c r="N313" s="69">
        <f>N312/([1]Assumptions!$C$36-[1]Assumptions!$C$37)</f>
        <v>128000</v>
      </c>
      <c r="O313" s="69">
        <f>O312/([1]Assumptions!$C$36-[1]Assumptions!$C$37)</f>
        <v>198400</v>
      </c>
      <c r="P313" s="69">
        <f>P312/([1]Assumptions!$C$36-[1]Assumptions!$C$37)</f>
        <v>446400</v>
      </c>
      <c r="Q313" s="69">
        <f>Q312/([1]Assumptions!$C$36-[1]Assumptions!$C$37)</f>
        <v>432000</v>
      </c>
      <c r="R313" s="69">
        <f>R312/([1]Assumptions!$C$36-[1]Assumptions!$C$37)</f>
        <v>595200</v>
      </c>
      <c r="S313" s="69">
        <f>S312/([1]Assumptions!$C$36-[1]Assumptions!$C$37)</f>
        <v>576000</v>
      </c>
      <c r="T313" s="69">
        <f>T312/([1]Assumptions!$C$36-[1]Assumptions!$C$37)</f>
        <v>744000</v>
      </c>
      <c r="U313" s="69">
        <f>U312/([1]Assumptions!$C$36-[1]Assumptions!$C$37)</f>
        <v>744000</v>
      </c>
      <c r="V313" s="69">
        <f>V312/([1]Assumptions!$C$36-[1]Assumptions!$C$37)</f>
        <v>806400</v>
      </c>
      <c r="W313" s="69">
        <f>W312/([1]Assumptions!$C$36-[1]Assumptions!$C$37)</f>
        <v>892800</v>
      </c>
      <c r="X313" s="69">
        <f>X312/([1]Assumptions!$C$36-[1]Assumptions!$C$37)</f>
        <v>1008000</v>
      </c>
      <c r="Y313" s="69">
        <f>Y312/([1]Assumptions!$C$36-[1]Assumptions!$C$37)</f>
        <v>1041600</v>
      </c>
      <c r="Z313" s="69">
        <f>Z312/([1]Assumptions!$C$36-[1]Assumptions!$C$37)</f>
        <v>1152000</v>
      </c>
      <c r="AA313" s="69">
        <f>AA312/([1]Assumptions!$C$36-[1]Assumptions!$C$37)</f>
        <v>1190400</v>
      </c>
      <c r="AB313" s="69">
        <f>AB312/([1]Assumptions!$C$36-[1]Assumptions!$C$37)</f>
        <v>1190400</v>
      </c>
      <c r="AC313" s="69">
        <f>AC312/([1]Assumptions!$C$36-[1]Assumptions!$C$37)</f>
        <v>1152000</v>
      </c>
      <c r="AD313" s="69">
        <f>AD312/([1]Assumptions!$C$36-[1]Assumptions!$C$37)</f>
        <v>1190400</v>
      </c>
      <c r="AE313" s="69">
        <f>AE312/([1]Assumptions!$C$36-[1]Assumptions!$C$37)</f>
        <v>1152000</v>
      </c>
      <c r="AF313" s="69">
        <f>AF312/([1]Assumptions!$C$36-[1]Assumptions!$C$37)</f>
        <v>1190400</v>
      </c>
      <c r="AG313" s="69">
        <f>AG312/([1]Assumptions!$C$36-[1]Assumptions!$C$37)</f>
        <v>1190400</v>
      </c>
      <c r="AH313" s="69">
        <f>AH312/([1]Assumptions!$C$36-[1]Assumptions!$C$37)</f>
        <v>1075200.0000000002</v>
      </c>
      <c r="AI313" s="69">
        <f>AI312/([1]Assumptions!$C$36-[1]Assumptions!$C$37)</f>
        <v>1190400</v>
      </c>
      <c r="AJ313" s="69">
        <f>AJ312/([1]Assumptions!$C$36-[1]Assumptions!$C$37)</f>
        <v>1152000</v>
      </c>
      <c r="AK313" s="69">
        <f>AK312/([1]Assumptions!$C$36-[1]Assumptions!$C$37)</f>
        <v>1190400</v>
      </c>
      <c r="AL313" s="69">
        <f>AL312/([1]Assumptions!$C$36-[1]Assumptions!$C$37)</f>
        <v>1152000</v>
      </c>
      <c r="AM313" s="69">
        <f>AM312/([1]Assumptions!$C$36-[1]Assumptions!$C$37)</f>
        <v>1190400</v>
      </c>
      <c r="AN313" s="69">
        <f>AN312/([1]Assumptions!$C$36-[1]Assumptions!$C$37)</f>
        <v>1190400</v>
      </c>
      <c r="AO313" s="69">
        <f>AO312/([1]Assumptions!$C$36-[1]Assumptions!$C$37)</f>
        <v>1152000</v>
      </c>
      <c r="AP313" s="69">
        <f>AP312/([1]Assumptions!$C$36-[1]Assumptions!$C$37)</f>
        <v>1190400</v>
      </c>
      <c r="AQ313" s="69">
        <f>AQ312/([1]Assumptions!$C$36-[1]Assumptions!$C$37)</f>
        <v>1152000</v>
      </c>
      <c r="AR313" s="69">
        <f>AR312/([1]Assumptions!$C$36-[1]Assumptions!$C$37)</f>
        <v>1190400</v>
      </c>
      <c r="AS313" s="69">
        <f>AS312/([1]Assumptions!$C$36-[1]Assumptions!$C$37)</f>
        <v>1190400</v>
      </c>
      <c r="AT313" s="69">
        <f>AT312/([1]Assumptions!$C$36-[1]Assumptions!$C$37)</f>
        <v>1075200.0000000002</v>
      </c>
      <c r="AU313" s="69">
        <f>AU312/([1]Assumptions!$C$36-[1]Assumptions!$C$37)</f>
        <v>1190400</v>
      </c>
      <c r="AV313" s="69">
        <f>AV312/([1]Assumptions!$C$36-[1]Assumptions!$C$37)</f>
        <v>1152000</v>
      </c>
      <c r="AW313" s="69">
        <f>AW312/([1]Assumptions!$C$36-[1]Assumptions!$C$37)</f>
        <v>1190400</v>
      </c>
      <c r="AX313" s="69">
        <f>AX312/([1]Assumptions!$C$36-[1]Assumptions!$C$37)</f>
        <v>1152000</v>
      </c>
      <c r="AY313" s="69">
        <f>AY312/([1]Assumptions!$C$36-[1]Assumptions!$C$37)</f>
        <v>1190400</v>
      </c>
      <c r="AZ313" s="69">
        <f>AZ312/([1]Assumptions!$C$36-[1]Assumptions!$C$37)</f>
        <v>1190400</v>
      </c>
      <c r="BA313" s="69">
        <f>BA312/([1]Assumptions!$C$36-[1]Assumptions!$C$37)</f>
        <v>1152000</v>
      </c>
      <c r="BB313" s="69">
        <f>BB312/([1]Assumptions!$C$36-[1]Assumptions!$C$37)</f>
        <v>1190400</v>
      </c>
      <c r="BC313" s="69">
        <f>BC312/([1]Assumptions!$C$36-[1]Assumptions!$C$37)</f>
        <v>1152000</v>
      </c>
      <c r="BD313" s="69">
        <f>BD312/([1]Assumptions!$C$36-[1]Assumptions!$C$37)</f>
        <v>1190400</v>
      </c>
      <c r="BE313" s="69">
        <f>BE312/([1]Assumptions!$C$36-[1]Assumptions!$C$37)</f>
        <v>1190400</v>
      </c>
      <c r="BF313" s="69">
        <f>BF312/([1]Assumptions!$C$36-[1]Assumptions!$C$37)</f>
        <v>1075200.0000000002</v>
      </c>
      <c r="BG313" s="69">
        <f>BG312/([1]Assumptions!$C$36-[1]Assumptions!$C$37)</f>
        <v>1190400</v>
      </c>
      <c r="BH313" s="69">
        <f>BH312/([1]Assumptions!$C$36-[1]Assumptions!$C$37)</f>
        <v>1152000</v>
      </c>
      <c r="BI313" s="69">
        <f>BI312/([1]Assumptions!$C$36-[1]Assumptions!$C$37)</f>
        <v>1190400</v>
      </c>
      <c r="BJ313" s="69">
        <f>BJ312/([1]Assumptions!$C$36-[1]Assumptions!$C$37)</f>
        <v>1152000</v>
      </c>
      <c r="BK313" s="69">
        <f>BK312/([1]Assumptions!$C$36-[1]Assumptions!$C$37)</f>
        <v>1190400</v>
      </c>
      <c r="BL313" s="69">
        <f>BL312/([1]Assumptions!$C$36-[1]Assumptions!$C$37)</f>
        <v>1190400</v>
      </c>
      <c r="BM313" s="69">
        <f>BM312/([1]Assumptions!$C$36-[1]Assumptions!$C$37)</f>
        <v>1152000</v>
      </c>
    </row>
    <row r="314" spans="1:65" outlineLevel="1">
      <c r="A314" s="51"/>
      <c r="B314" s="51" t="s">
        <v>347</v>
      </c>
      <c r="C314" s="51"/>
      <c r="D314" s="51"/>
      <c r="E314" s="54"/>
      <c r="F314" s="69">
        <f t="shared" ref="F314:BM314" si="125">F313/F255</f>
        <v>0</v>
      </c>
      <c r="G314" s="69">
        <f t="shared" si="125"/>
        <v>0</v>
      </c>
      <c r="H314" s="69">
        <f t="shared" si="125"/>
        <v>0</v>
      </c>
      <c r="I314" s="69">
        <f t="shared" si="125"/>
        <v>0</v>
      </c>
      <c r="J314" s="69">
        <f t="shared" si="125"/>
        <v>0</v>
      </c>
      <c r="K314" s="69">
        <f t="shared" si="125"/>
        <v>0</v>
      </c>
      <c r="L314" s="69">
        <f t="shared" si="125"/>
        <v>533.33333333333337</v>
      </c>
      <c r="M314" s="69">
        <f t="shared" si="125"/>
        <v>800</v>
      </c>
      <c r="N314" s="69">
        <f t="shared" si="125"/>
        <v>4266.666666666667</v>
      </c>
      <c r="O314" s="69">
        <f t="shared" si="125"/>
        <v>6400</v>
      </c>
      <c r="P314" s="69">
        <f t="shared" si="125"/>
        <v>14400</v>
      </c>
      <c r="Q314" s="69">
        <f t="shared" si="125"/>
        <v>14400</v>
      </c>
      <c r="R314" s="69">
        <f t="shared" si="125"/>
        <v>19200</v>
      </c>
      <c r="S314" s="69">
        <f t="shared" si="125"/>
        <v>19200</v>
      </c>
      <c r="T314" s="69">
        <f t="shared" si="125"/>
        <v>24000</v>
      </c>
      <c r="U314" s="69">
        <f t="shared" si="125"/>
        <v>24000</v>
      </c>
      <c r="V314" s="69">
        <f t="shared" si="125"/>
        <v>28800</v>
      </c>
      <c r="W314" s="69">
        <f t="shared" si="125"/>
        <v>28800</v>
      </c>
      <c r="X314" s="69">
        <f t="shared" si="125"/>
        <v>33600</v>
      </c>
      <c r="Y314" s="69">
        <f t="shared" si="125"/>
        <v>33600</v>
      </c>
      <c r="Z314" s="69">
        <f t="shared" si="125"/>
        <v>38400</v>
      </c>
      <c r="AA314" s="69">
        <f t="shared" si="125"/>
        <v>38400</v>
      </c>
      <c r="AB314" s="69">
        <f t="shared" si="125"/>
        <v>38400</v>
      </c>
      <c r="AC314" s="69">
        <f t="shared" si="125"/>
        <v>38400</v>
      </c>
      <c r="AD314" s="69">
        <f t="shared" si="125"/>
        <v>38400</v>
      </c>
      <c r="AE314" s="69">
        <f t="shared" si="125"/>
        <v>38400</v>
      </c>
      <c r="AF314" s="69">
        <f t="shared" si="125"/>
        <v>38400</v>
      </c>
      <c r="AG314" s="69">
        <f t="shared" si="125"/>
        <v>38400</v>
      </c>
      <c r="AH314" s="69">
        <f t="shared" si="125"/>
        <v>38400.000000000007</v>
      </c>
      <c r="AI314" s="69">
        <f t="shared" si="125"/>
        <v>38400</v>
      </c>
      <c r="AJ314" s="69">
        <f t="shared" si="125"/>
        <v>38400</v>
      </c>
      <c r="AK314" s="69">
        <f t="shared" si="125"/>
        <v>38400</v>
      </c>
      <c r="AL314" s="69">
        <f t="shared" si="125"/>
        <v>38400</v>
      </c>
      <c r="AM314" s="69">
        <f t="shared" si="125"/>
        <v>38400</v>
      </c>
      <c r="AN314" s="69">
        <f t="shared" si="125"/>
        <v>38400</v>
      </c>
      <c r="AO314" s="69">
        <f t="shared" si="125"/>
        <v>38400</v>
      </c>
      <c r="AP314" s="69">
        <f t="shared" si="125"/>
        <v>38400</v>
      </c>
      <c r="AQ314" s="69">
        <f t="shared" si="125"/>
        <v>38400</v>
      </c>
      <c r="AR314" s="69">
        <f t="shared" si="125"/>
        <v>38400</v>
      </c>
      <c r="AS314" s="69">
        <f t="shared" si="125"/>
        <v>38400</v>
      </c>
      <c r="AT314" s="69">
        <f t="shared" si="125"/>
        <v>38400.000000000007</v>
      </c>
      <c r="AU314" s="69">
        <f t="shared" si="125"/>
        <v>38400</v>
      </c>
      <c r="AV314" s="69">
        <f t="shared" si="125"/>
        <v>38400</v>
      </c>
      <c r="AW314" s="69">
        <f t="shared" si="125"/>
        <v>38400</v>
      </c>
      <c r="AX314" s="69">
        <f t="shared" si="125"/>
        <v>38400</v>
      </c>
      <c r="AY314" s="69">
        <f t="shared" si="125"/>
        <v>38400</v>
      </c>
      <c r="AZ314" s="69">
        <f t="shared" si="125"/>
        <v>38400</v>
      </c>
      <c r="BA314" s="69">
        <f t="shared" si="125"/>
        <v>38400</v>
      </c>
      <c r="BB314" s="69">
        <f t="shared" si="125"/>
        <v>38400</v>
      </c>
      <c r="BC314" s="69">
        <f t="shared" si="125"/>
        <v>38400</v>
      </c>
      <c r="BD314" s="69">
        <f t="shared" si="125"/>
        <v>38400</v>
      </c>
      <c r="BE314" s="69">
        <f t="shared" si="125"/>
        <v>38400</v>
      </c>
      <c r="BF314" s="69">
        <f t="shared" si="125"/>
        <v>38400.000000000007</v>
      </c>
      <c r="BG314" s="69">
        <f t="shared" si="125"/>
        <v>38400</v>
      </c>
      <c r="BH314" s="69">
        <f t="shared" si="125"/>
        <v>38400</v>
      </c>
      <c r="BI314" s="69">
        <f t="shared" si="125"/>
        <v>38400</v>
      </c>
      <c r="BJ314" s="69">
        <f t="shared" si="125"/>
        <v>38400</v>
      </c>
      <c r="BK314" s="69">
        <f t="shared" si="125"/>
        <v>38400</v>
      </c>
      <c r="BL314" s="69">
        <f t="shared" si="125"/>
        <v>38400</v>
      </c>
      <c r="BM314" s="69">
        <f t="shared" si="125"/>
        <v>38400</v>
      </c>
    </row>
    <row r="315" spans="1:65" outlineLevel="1">
      <c r="A315" s="51"/>
      <c r="B315" s="51" t="s">
        <v>348</v>
      </c>
      <c r="C315" s="51"/>
      <c r="D315" s="51"/>
      <c r="E315" s="54"/>
      <c r="F315" s="126">
        <f>[1]Assumptions!C37</f>
        <v>0</v>
      </c>
      <c r="G315" s="127">
        <f>F315</f>
        <v>0</v>
      </c>
      <c r="H315" s="127">
        <f t="shared" ref="H315:BM315" si="126">G315</f>
        <v>0</v>
      </c>
      <c r="I315" s="127">
        <f t="shared" si="126"/>
        <v>0</v>
      </c>
      <c r="J315" s="127">
        <f t="shared" si="126"/>
        <v>0</v>
      </c>
      <c r="K315" s="127">
        <f t="shared" si="126"/>
        <v>0</v>
      </c>
      <c r="L315" s="127">
        <f t="shared" si="126"/>
        <v>0</v>
      </c>
      <c r="M315" s="127">
        <f t="shared" si="126"/>
        <v>0</v>
      </c>
      <c r="N315" s="127">
        <f t="shared" si="126"/>
        <v>0</v>
      </c>
      <c r="O315" s="127">
        <f t="shared" si="126"/>
        <v>0</v>
      </c>
      <c r="P315" s="127">
        <f t="shared" si="126"/>
        <v>0</v>
      </c>
      <c r="Q315" s="127">
        <f t="shared" si="126"/>
        <v>0</v>
      </c>
      <c r="R315" s="127">
        <f t="shared" si="126"/>
        <v>0</v>
      </c>
      <c r="S315" s="127">
        <f t="shared" si="126"/>
        <v>0</v>
      </c>
      <c r="T315" s="127">
        <f t="shared" si="126"/>
        <v>0</v>
      </c>
      <c r="U315" s="127">
        <f t="shared" si="126"/>
        <v>0</v>
      </c>
      <c r="V315" s="127">
        <f t="shared" si="126"/>
        <v>0</v>
      </c>
      <c r="W315" s="127">
        <f t="shared" si="126"/>
        <v>0</v>
      </c>
      <c r="X315" s="127">
        <f t="shared" si="126"/>
        <v>0</v>
      </c>
      <c r="Y315" s="127">
        <f t="shared" si="126"/>
        <v>0</v>
      </c>
      <c r="Z315" s="127">
        <f t="shared" si="126"/>
        <v>0</v>
      </c>
      <c r="AA315" s="127">
        <f t="shared" si="126"/>
        <v>0</v>
      </c>
      <c r="AB315" s="127">
        <f t="shared" si="126"/>
        <v>0</v>
      </c>
      <c r="AC315" s="127">
        <f t="shared" si="126"/>
        <v>0</v>
      </c>
      <c r="AD315" s="127">
        <f t="shared" si="126"/>
        <v>0</v>
      </c>
      <c r="AE315" s="127">
        <f t="shared" si="126"/>
        <v>0</v>
      </c>
      <c r="AF315" s="127">
        <f t="shared" si="126"/>
        <v>0</v>
      </c>
      <c r="AG315" s="127">
        <f t="shared" si="126"/>
        <v>0</v>
      </c>
      <c r="AH315" s="127">
        <f t="shared" si="126"/>
        <v>0</v>
      </c>
      <c r="AI315" s="127">
        <f t="shared" si="126"/>
        <v>0</v>
      </c>
      <c r="AJ315" s="127">
        <f t="shared" si="126"/>
        <v>0</v>
      </c>
      <c r="AK315" s="127">
        <f t="shared" si="126"/>
        <v>0</v>
      </c>
      <c r="AL315" s="127">
        <f t="shared" si="126"/>
        <v>0</v>
      </c>
      <c r="AM315" s="127">
        <f t="shared" si="126"/>
        <v>0</v>
      </c>
      <c r="AN315" s="127">
        <f t="shared" si="126"/>
        <v>0</v>
      </c>
      <c r="AO315" s="127">
        <f t="shared" si="126"/>
        <v>0</v>
      </c>
      <c r="AP315" s="127">
        <f t="shared" si="126"/>
        <v>0</v>
      </c>
      <c r="AQ315" s="127">
        <f t="shared" si="126"/>
        <v>0</v>
      </c>
      <c r="AR315" s="127">
        <f t="shared" si="126"/>
        <v>0</v>
      </c>
      <c r="AS315" s="127">
        <f t="shared" si="126"/>
        <v>0</v>
      </c>
      <c r="AT315" s="127">
        <f t="shared" si="126"/>
        <v>0</v>
      </c>
      <c r="AU315" s="127">
        <f t="shared" si="126"/>
        <v>0</v>
      </c>
      <c r="AV315" s="127">
        <f t="shared" si="126"/>
        <v>0</v>
      </c>
      <c r="AW315" s="127">
        <f t="shared" si="126"/>
        <v>0</v>
      </c>
      <c r="AX315" s="127">
        <f t="shared" si="126"/>
        <v>0</v>
      </c>
      <c r="AY315" s="127">
        <f t="shared" si="126"/>
        <v>0</v>
      </c>
      <c r="AZ315" s="127">
        <f t="shared" si="126"/>
        <v>0</v>
      </c>
      <c r="BA315" s="127">
        <f t="shared" si="126"/>
        <v>0</v>
      </c>
      <c r="BB315" s="127">
        <f t="shared" si="126"/>
        <v>0</v>
      </c>
      <c r="BC315" s="127">
        <f t="shared" si="126"/>
        <v>0</v>
      </c>
      <c r="BD315" s="127">
        <f t="shared" si="126"/>
        <v>0</v>
      </c>
      <c r="BE315" s="127">
        <f t="shared" si="126"/>
        <v>0</v>
      </c>
      <c r="BF315" s="127">
        <f t="shared" si="126"/>
        <v>0</v>
      </c>
      <c r="BG315" s="127">
        <f t="shared" si="126"/>
        <v>0</v>
      </c>
      <c r="BH315" s="127">
        <f t="shared" si="126"/>
        <v>0</v>
      </c>
      <c r="BI315" s="127">
        <f t="shared" si="126"/>
        <v>0</v>
      </c>
      <c r="BJ315" s="127">
        <f t="shared" si="126"/>
        <v>0</v>
      </c>
      <c r="BK315" s="127">
        <f t="shared" si="126"/>
        <v>0</v>
      </c>
      <c r="BL315" s="127">
        <f t="shared" si="126"/>
        <v>0</v>
      </c>
      <c r="BM315" s="127">
        <f t="shared" si="126"/>
        <v>0</v>
      </c>
    </row>
    <row r="316" spans="1:65" outlineLevel="1">
      <c r="A316" s="51"/>
      <c r="B316" t="s">
        <v>349</v>
      </c>
      <c r="C316" s="51"/>
      <c r="D316" s="51"/>
      <c r="E316" s="54">
        <f>SUM(F316:BM316)</f>
        <v>0</v>
      </c>
      <c r="F316" s="69">
        <f>F313*F315</f>
        <v>0</v>
      </c>
      <c r="G316" s="69">
        <f t="shared" ref="G316:BM316" si="127">G313*G315</f>
        <v>0</v>
      </c>
      <c r="H316" s="69">
        <f t="shared" si="127"/>
        <v>0</v>
      </c>
      <c r="I316" s="69">
        <f t="shared" si="127"/>
        <v>0</v>
      </c>
      <c r="J316" s="69">
        <f t="shared" si="127"/>
        <v>0</v>
      </c>
      <c r="K316" s="69">
        <f t="shared" si="127"/>
        <v>0</v>
      </c>
      <c r="L316" s="69">
        <f t="shared" si="127"/>
        <v>0</v>
      </c>
      <c r="M316" s="69">
        <f t="shared" si="127"/>
        <v>0</v>
      </c>
      <c r="N316" s="69">
        <f t="shared" si="127"/>
        <v>0</v>
      </c>
      <c r="O316" s="69">
        <f t="shared" si="127"/>
        <v>0</v>
      </c>
      <c r="P316" s="69">
        <f t="shared" si="127"/>
        <v>0</v>
      </c>
      <c r="Q316" s="69">
        <f t="shared" si="127"/>
        <v>0</v>
      </c>
      <c r="R316" s="69">
        <f t="shared" si="127"/>
        <v>0</v>
      </c>
      <c r="S316" s="69">
        <f t="shared" si="127"/>
        <v>0</v>
      </c>
      <c r="T316" s="69">
        <f t="shared" si="127"/>
        <v>0</v>
      </c>
      <c r="U316" s="69">
        <f t="shared" si="127"/>
        <v>0</v>
      </c>
      <c r="V316" s="69">
        <f t="shared" si="127"/>
        <v>0</v>
      </c>
      <c r="W316" s="69">
        <f t="shared" si="127"/>
        <v>0</v>
      </c>
      <c r="X316" s="69">
        <f t="shared" si="127"/>
        <v>0</v>
      </c>
      <c r="Y316" s="69">
        <f t="shared" si="127"/>
        <v>0</v>
      </c>
      <c r="Z316" s="69">
        <f t="shared" si="127"/>
        <v>0</v>
      </c>
      <c r="AA316" s="69">
        <f t="shared" si="127"/>
        <v>0</v>
      </c>
      <c r="AB316" s="69">
        <f t="shared" si="127"/>
        <v>0</v>
      </c>
      <c r="AC316" s="69">
        <f t="shared" si="127"/>
        <v>0</v>
      </c>
      <c r="AD316" s="69">
        <f t="shared" si="127"/>
        <v>0</v>
      </c>
      <c r="AE316" s="69">
        <f t="shared" si="127"/>
        <v>0</v>
      </c>
      <c r="AF316" s="69">
        <f t="shared" si="127"/>
        <v>0</v>
      </c>
      <c r="AG316" s="69">
        <f t="shared" si="127"/>
        <v>0</v>
      </c>
      <c r="AH316" s="69">
        <f t="shared" si="127"/>
        <v>0</v>
      </c>
      <c r="AI316" s="69">
        <f t="shared" si="127"/>
        <v>0</v>
      </c>
      <c r="AJ316" s="69">
        <f t="shared" si="127"/>
        <v>0</v>
      </c>
      <c r="AK316" s="69">
        <f t="shared" si="127"/>
        <v>0</v>
      </c>
      <c r="AL316" s="69">
        <f t="shared" si="127"/>
        <v>0</v>
      </c>
      <c r="AM316" s="69">
        <f t="shared" si="127"/>
        <v>0</v>
      </c>
      <c r="AN316" s="69">
        <f t="shared" si="127"/>
        <v>0</v>
      </c>
      <c r="AO316" s="69">
        <f t="shared" si="127"/>
        <v>0</v>
      </c>
      <c r="AP316" s="69">
        <f t="shared" si="127"/>
        <v>0</v>
      </c>
      <c r="AQ316" s="69">
        <f t="shared" si="127"/>
        <v>0</v>
      </c>
      <c r="AR316" s="69">
        <f t="shared" si="127"/>
        <v>0</v>
      </c>
      <c r="AS316" s="69">
        <f t="shared" si="127"/>
        <v>0</v>
      </c>
      <c r="AT316" s="69">
        <f t="shared" si="127"/>
        <v>0</v>
      </c>
      <c r="AU316" s="69">
        <f t="shared" si="127"/>
        <v>0</v>
      </c>
      <c r="AV316" s="69">
        <f t="shared" si="127"/>
        <v>0</v>
      </c>
      <c r="AW316" s="69">
        <f t="shared" si="127"/>
        <v>0</v>
      </c>
      <c r="AX316" s="69">
        <f t="shared" si="127"/>
        <v>0</v>
      </c>
      <c r="AY316" s="69">
        <f t="shared" si="127"/>
        <v>0</v>
      </c>
      <c r="AZ316" s="69">
        <f t="shared" si="127"/>
        <v>0</v>
      </c>
      <c r="BA316" s="69">
        <f t="shared" si="127"/>
        <v>0</v>
      </c>
      <c r="BB316" s="69">
        <f t="shared" si="127"/>
        <v>0</v>
      </c>
      <c r="BC316" s="69">
        <f t="shared" si="127"/>
        <v>0</v>
      </c>
      <c r="BD316" s="69">
        <f t="shared" si="127"/>
        <v>0</v>
      </c>
      <c r="BE316" s="69">
        <f t="shared" si="127"/>
        <v>0</v>
      </c>
      <c r="BF316" s="69">
        <f t="shared" si="127"/>
        <v>0</v>
      </c>
      <c r="BG316" s="69">
        <f t="shared" si="127"/>
        <v>0</v>
      </c>
      <c r="BH316" s="69">
        <f t="shared" si="127"/>
        <v>0</v>
      </c>
      <c r="BI316" s="69">
        <f t="shared" si="127"/>
        <v>0</v>
      </c>
      <c r="BJ316" s="69">
        <f t="shared" si="127"/>
        <v>0</v>
      </c>
      <c r="BK316" s="69">
        <f t="shared" si="127"/>
        <v>0</v>
      </c>
      <c r="BL316" s="69">
        <f t="shared" si="127"/>
        <v>0</v>
      </c>
      <c r="BM316" s="69">
        <f t="shared" si="127"/>
        <v>0</v>
      </c>
    </row>
    <row r="317" spans="1:65" outlineLevel="1">
      <c r="A317" s="51"/>
      <c r="B317" s="51"/>
      <c r="C317" s="51"/>
      <c r="D317" s="51"/>
      <c r="E317" s="54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  <c r="AP317" s="69"/>
      <c r="AQ317" s="69"/>
      <c r="AR317" s="69"/>
      <c r="AS317" s="69"/>
      <c r="AT317" s="69"/>
      <c r="AU317" s="69"/>
      <c r="AV317" s="69"/>
      <c r="AW317" s="69"/>
      <c r="AX317" s="69"/>
      <c r="AY317" s="69"/>
      <c r="AZ317" s="69"/>
      <c r="BA317" s="69"/>
      <c r="BB317" s="69"/>
      <c r="BC317" s="69"/>
      <c r="BD317" s="69"/>
      <c r="BE317" s="69"/>
      <c r="BF317" s="69"/>
      <c r="BG317" s="69"/>
      <c r="BH317" s="69"/>
      <c r="BI317" s="69"/>
      <c r="BJ317" s="69"/>
      <c r="BK317" s="69"/>
      <c r="BL317" s="69"/>
      <c r="BM317" s="69"/>
    </row>
    <row r="318" spans="1:65" outlineLevel="1">
      <c r="A318" s="51"/>
      <c r="B318" s="3" t="s">
        <v>350</v>
      </c>
      <c r="C318" s="51"/>
      <c r="D318" s="51"/>
      <c r="E318" s="54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  <c r="AP318" s="69"/>
      <c r="AQ318" s="69"/>
      <c r="AR318" s="69"/>
      <c r="AS318" s="69"/>
      <c r="AT318" s="69"/>
      <c r="AU318" s="69"/>
      <c r="AV318" s="69"/>
      <c r="AW318" s="69"/>
      <c r="AX318" s="69"/>
      <c r="AY318" s="69"/>
      <c r="AZ318" s="69"/>
      <c r="BA318" s="69"/>
      <c r="BB318" s="69"/>
      <c r="BC318" s="69"/>
      <c r="BD318" s="69"/>
      <c r="BE318" s="69"/>
      <c r="BF318" s="69"/>
      <c r="BG318" s="69"/>
      <c r="BH318" s="69"/>
      <c r="BI318" s="69"/>
      <c r="BJ318" s="69"/>
      <c r="BK318" s="69"/>
      <c r="BL318" s="69"/>
      <c r="BM318" s="69"/>
    </row>
    <row r="319" spans="1:65" outlineLevel="1">
      <c r="A319" s="51"/>
      <c r="B319" s="51" t="s">
        <v>351</v>
      </c>
      <c r="C319" s="51"/>
      <c r="D319" s="51"/>
      <c r="E319" s="54"/>
      <c r="F319" s="132">
        <f>[1]Assumptions!C41</f>
        <v>0.45</v>
      </c>
      <c r="G319" s="130">
        <f>F319</f>
        <v>0.45</v>
      </c>
      <c r="H319" s="130">
        <f t="shared" ref="H319:W321" si="128">G319</f>
        <v>0.45</v>
      </c>
      <c r="I319" s="130">
        <f t="shared" si="128"/>
        <v>0.45</v>
      </c>
      <c r="J319" s="130">
        <f t="shared" si="128"/>
        <v>0.45</v>
      </c>
      <c r="K319" s="130">
        <f t="shared" si="128"/>
        <v>0.45</v>
      </c>
      <c r="L319" s="130">
        <f t="shared" si="128"/>
        <v>0.45</v>
      </c>
      <c r="M319" s="130">
        <f t="shared" si="128"/>
        <v>0.45</v>
      </c>
      <c r="N319" s="130">
        <f t="shared" si="128"/>
        <v>0.45</v>
      </c>
      <c r="O319" s="130">
        <f t="shared" si="128"/>
        <v>0.45</v>
      </c>
      <c r="P319" s="130">
        <f t="shared" si="128"/>
        <v>0.45</v>
      </c>
      <c r="Q319" s="130">
        <f t="shared" si="128"/>
        <v>0.45</v>
      </c>
      <c r="R319" s="130">
        <f t="shared" si="128"/>
        <v>0.45</v>
      </c>
      <c r="S319" s="130">
        <f t="shared" si="128"/>
        <v>0.45</v>
      </c>
      <c r="T319" s="130">
        <f t="shared" si="128"/>
        <v>0.45</v>
      </c>
      <c r="U319" s="130">
        <f t="shared" si="128"/>
        <v>0.45</v>
      </c>
      <c r="V319" s="130">
        <f t="shared" si="128"/>
        <v>0.45</v>
      </c>
      <c r="W319" s="130">
        <f t="shared" si="128"/>
        <v>0.45</v>
      </c>
      <c r="X319" s="130">
        <f t="shared" ref="X319:AM321" si="129">W319</f>
        <v>0.45</v>
      </c>
      <c r="Y319" s="130">
        <f t="shared" si="129"/>
        <v>0.45</v>
      </c>
      <c r="Z319" s="130">
        <f t="shared" si="129"/>
        <v>0.45</v>
      </c>
      <c r="AA319" s="130">
        <f t="shared" si="129"/>
        <v>0.45</v>
      </c>
      <c r="AB319" s="130">
        <f t="shared" si="129"/>
        <v>0.45</v>
      </c>
      <c r="AC319" s="130">
        <f t="shared" si="129"/>
        <v>0.45</v>
      </c>
      <c r="AD319" s="130">
        <f t="shared" si="129"/>
        <v>0.45</v>
      </c>
      <c r="AE319" s="130">
        <f t="shared" si="129"/>
        <v>0.45</v>
      </c>
      <c r="AF319" s="130">
        <f t="shared" si="129"/>
        <v>0.45</v>
      </c>
      <c r="AG319" s="130">
        <f t="shared" si="129"/>
        <v>0.45</v>
      </c>
      <c r="AH319" s="130">
        <f t="shared" si="129"/>
        <v>0.45</v>
      </c>
      <c r="AI319" s="130">
        <f t="shared" si="129"/>
        <v>0.45</v>
      </c>
      <c r="AJ319" s="130">
        <f t="shared" si="129"/>
        <v>0.45</v>
      </c>
      <c r="AK319" s="130">
        <f t="shared" si="129"/>
        <v>0.45</v>
      </c>
      <c r="AL319" s="130">
        <f t="shared" si="129"/>
        <v>0.45</v>
      </c>
      <c r="AM319" s="130">
        <f t="shared" si="129"/>
        <v>0.45</v>
      </c>
      <c r="AN319" s="130">
        <f t="shared" ref="AN319:BC321" si="130">AM319</f>
        <v>0.45</v>
      </c>
      <c r="AO319" s="130">
        <f t="shared" si="130"/>
        <v>0.45</v>
      </c>
      <c r="AP319" s="130">
        <f t="shared" si="130"/>
        <v>0.45</v>
      </c>
      <c r="AQ319" s="130">
        <f t="shared" si="130"/>
        <v>0.45</v>
      </c>
      <c r="AR319" s="130">
        <f t="shared" si="130"/>
        <v>0.45</v>
      </c>
      <c r="AS319" s="130">
        <f t="shared" si="130"/>
        <v>0.45</v>
      </c>
      <c r="AT319" s="130">
        <f t="shared" si="130"/>
        <v>0.45</v>
      </c>
      <c r="AU319" s="130">
        <f t="shared" si="130"/>
        <v>0.45</v>
      </c>
      <c r="AV319" s="130">
        <f t="shared" si="130"/>
        <v>0.45</v>
      </c>
      <c r="AW319" s="130">
        <f t="shared" si="130"/>
        <v>0.45</v>
      </c>
      <c r="AX319" s="130">
        <f t="shared" si="130"/>
        <v>0.45</v>
      </c>
      <c r="AY319" s="130">
        <f t="shared" si="130"/>
        <v>0.45</v>
      </c>
      <c r="AZ319" s="130">
        <f t="shared" si="130"/>
        <v>0.45</v>
      </c>
      <c r="BA319" s="130">
        <f t="shared" si="130"/>
        <v>0.45</v>
      </c>
      <c r="BB319" s="130">
        <f t="shared" si="130"/>
        <v>0.45</v>
      </c>
      <c r="BC319" s="130">
        <f t="shared" si="130"/>
        <v>0.45</v>
      </c>
      <c r="BD319" s="130">
        <f t="shared" ref="BD319:BM321" si="131">BC319</f>
        <v>0.45</v>
      </c>
      <c r="BE319" s="130">
        <f t="shared" si="131"/>
        <v>0.45</v>
      </c>
      <c r="BF319" s="130">
        <f t="shared" si="131"/>
        <v>0.45</v>
      </c>
      <c r="BG319" s="130">
        <f t="shared" si="131"/>
        <v>0.45</v>
      </c>
      <c r="BH319" s="130">
        <f t="shared" si="131"/>
        <v>0.45</v>
      </c>
      <c r="BI319" s="130">
        <f t="shared" si="131"/>
        <v>0.45</v>
      </c>
      <c r="BJ319" s="130">
        <f t="shared" si="131"/>
        <v>0.45</v>
      </c>
      <c r="BK319" s="130">
        <f t="shared" si="131"/>
        <v>0.45</v>
      </c>
      <c r="BL319" s="130">
        <f t="shared" si="131"/>
        <v>0.45</v>
      </c>
      <c r="BM319" s="130">
        <f t="shared" si="131"/>
        <v>0.45</v>
      </c>
    </row>
    <row r="320" spans="1:65" outlineLevel="1">
      <c r="A320" s="51"/>
      <c r="B320" s="51" t="s">
        <v>352</v>
      </c>
      <c r="C320" s="51"/>
      <c r="D320" s="51"/>
      <c r="E320" s="54"/>
      <c r="F320" s="132">
        <f>[1]Assumptions!C42</f>
        <v>0.45</v>
      </c>
      <c r="G320" s="130">
        <f>F320</f>
        <v>0.45</v>
      </c>
      <c r="H320" s="130">
        <f t="shared" si="128"/>
        <v>0.45</v>
      </c>
      <c r="I320" s="130">
        <f t="shared" si="128"/>
        <v>0.45</v>
      </c>
      <c r="J320" s="130">
        <f t="shared" si="128"/>
        <v>0.45</v>
      </c>
      <c r="K320" s="130">
        <f t="shared" si="128"/>
        <v>0.45</v>
      </c>
      <c r="L320" s="130">
        <f t="shared" si="128"/>
        <v>0.45</v>
      </c>
      <c r="M320" s="130">
        <f t="shared" si="128"/>
        <v>0.45</v>
      </c>
      <c r="N320" s="130">
        <f t="shared" si="128"/>
        <v>0.45</v>
      </c>
      <c r="O320" s="130">
        <f t="shared" si="128"/>
        <v>0.45</v>
      </c>
      <c r="P320" s="130">
        <f t="shared" si="128"/>
        <v>0.45</v>
      </c>
      <c r="Q320" s="130">
        <f t="shared" si="128"/>
        <v>0.45</v>
      </c>
      <c r="R320" s="130">
        <f t="shared" si="128"/>
        <v>0.45</v>
      </c>
      <c r="S320" s="130">
        <f t="shared" si="128"/>
        <v>0.45</v>
      </c>
      <c r="T320" s="130">
        <f t="shared" si="128"/>
        <v>0.45</v>
      </c>
      <c r="U320" s="130">
        <f t="shared" si="128"/>
        <v>0.45</v>
      </c>
      <c r="V320" s="130">
        <f t="shared" si="128"/>
        <v>0.45</v>
      </c>
      <c r="W320" s="130">
        <f t="shared" si="128"/>
        <v>0.45</v>
      </c>
      <c r="X320" s="130">
        <f t="shared" si="129"/>
        <v>0.45</v>
      </c>
      <c r="Y320" s="130">
        <f t="shared" si="129"/>
        <v>0.45</v>
      </c>
      <c r="Z320" s="130">
        <f t="shared" si="129"/>
        <v>0.45</v>
      </c>
      <c r="AA320" s="130">
        <f t="shared" si="129"/>
        <v>0.45</v>
      </c>
      <c r="AB320" s="130">
        <f t="shared" si="129"/>
        <v>0.45</v>
      </c>
      <c r="AC320" s="130">
        <f t="shared" si="129"/>
        <v>0.45</v>
      </c>
      <c r="AD320" s="130">
        <f t="shared" si="129"/>
        <v>0.45</v>
      </c>
      <c r="AE320" s="130">
        <f t="shared" si="129"/>
        <v>0.45</v>
      </c>
      <c r="AF320" s="130">
        <f t="shared" si="129"/>
        <v>0.45</v>
      </c>
      <c r="AG320" s="130">
        <f t="shared" si="129"/>
        <v>0.45</v>
      </c>
      <c r="AH320" s="130">
        <f t="shared" si="129"/>
        <v>0.45</v>
      </c>
      <c r="AI320" s="130">
        <f t="shared" si="129"/>
        <v>0.45</v>
      </c>
      <c r="AJ320" s="130">
        <f t="shared" si="129"/>
        <v>0.45</v>
      </c>
      <c r="AK320" s="130">
        <f t="shared" si="129"/>
        <v>0.45</v>
      </c>
      <c r="AL320" s="130">
        <f t="shared" si="129"/>
        <v>0.45</v>
      </c>
      <c r="AM320" s="130">
        <f t="shared" si="129"/>
        <v>0.45</v>
      </c>
      <c r="AN320" s="130">
        <f t="shared" si="130"/>
        <v>0.45</v>
      </c>
      <c r="AO320" s="130">
        <f t="shared" si="130"/>
        <v>0.45</v>
      </c>
      <c r="AP320" s="130">
        <f t="shared" si="130"/>
        <v>0.45</v>
      </c>
      <c r="AQ320" s="130">
        <f t="shared" si="130"/>
        <v>0.45</v>
      </c>
      <c r="AR320" s="130">
        <f t="shared" si="130"/>
        <v>0.45</v>
      </c>
      <c r="AS320" s="130">
        <f t="shared" si="130"/>
        <v>0.45</v>
      </c>
      <c r="AT320" s="130">
        <f t="shared" si="130"/>
        <v>0.45</v>
      </c>
      <c r="AU320" s="130">
        <f t="shared" si="130"/>
        <v>0.45</v>
      </c>
      <c r="AV320" s="130">
        <f t="shared" si="130"/>
        <v>0.45</v>
      </c>
      <c r="AW320" s="130">
        <f t="shared" si="130"/>
        <v>0.45</v>
      </c>
      <c r="AX320" s="130">
        <f t="shared" si="130"/>
        <v>0.45</v>
      </c>
      <c r="AY320" s="130">
        <f t="shared" si="130"/>
        <v>0.45</v>
      </c>
      <c r="AZ320" s="130">
        <f t="shared" si="130"/>
        <v>0.45</v>
      </c>
      <c r="BA320" s="130">
        <f t="shared" si="130"/>
        <v>0.45</v>
      </c>
      <c r="BB320" s="130">
        <f t="shared" si="130"/>
        <v>0.45</v>
      </c>
      <c r="BC320" s="130">
        <f t="shared" si="130"/>
        <v>0.45</v>
      </c>
      <c r="BD320" s="130">
        <f t="shared" si="131"/>
        <v>0.45</v>
      </c>
      <c r="BE320" s="130">
        <f t="shared" si="131"/>
        <v>0.45</v>
      </c>
      <c r="BF320" s="130">
        <f t="shared" si="131"/>
        <v>0.45</v>
      </c>
      <c r="BG320" s="130">
        <f t="shared" si="131"/>
        <v>0.45</v>
      </c>
      <c r="BH320" s="130">
        <f t="shared" si="131"/>
        <v>0.45</v>
      </c>
      <c r="BI320" s="130">
        <f t="shared" si="131"/>
        <v>0.45</v>
      </c>
      <c r="BJ320" s="130">
        <f t="shared" si="131"/>
        <v>0.45</v>
      </c>
      <c r="BK320" s="130">
        <f t="shared" si="131"/>
        <v>0.45</v>
      </c>
      <c r="BL320" s="130">
        <f t="shared" si="131"/>
        <v>0.45</v>
      </c>
      <c r="BM320" s="130">
        <f t="shared" si="131"/>
        <v>0.45</v>
      </c>
    </row>
    <row r="321" spans="2:65" outlineLevel="1">
      <c r="B321" s="51" t="s">
        <v>353</v>
      </c>
      <c r="C321" s="51"/>
      <c r="D321" s="51"/>
      <c r="E321" s="54"/>
      <c r="F321" s="133">
        <f>[1]Assumptions!C43</f>
        <v>0.1</v>
      </c>
      <c r="G321" s="134">
        <f>F321</f>
        <v>0.1</v>
      </c>
      <c r="H321" s="134">
        <f t="shared" si="128"/>
        <v>0.1</v>
      </c>
      <c r="I321" s="134">
        <f t="shared" si="128"/>
        <v>0.1</v>
      </c>
      <c r="J321" s="134">
        <f t="shared" si="128"/>
        <v>0.1</v>
      </c>
      <c r="K321" s="134">
        <f t="shared" si="128"/>
        <v>0.1</v>
      </c>
      <c r="L321" s="134">
        <f t="shared" si="128"/>
        <v>0.1</v>
      </c>
      <c r="M321" s="134">
        <f t="shared" si="128"/>
        <v>0.1</v>
      </c>
      <c r="N321" s="134">
        <f t="shared" si="128"/>
        <v>0.1</v>
      </c>
      <c r="O321" s="134">
        <f t="shared" si="128"/>
        <v>0.1</v>
      </c>
      <c r="P321" s="134">
        <f t="shared" si="128"/>
        <v>0.1</v>
      </c>
      <c r="Q321" s="134">
        <f t="shared" si="128"/>
        <v>0.1</v>
      </c>
      <c r="R321" s="134">
        <f t="shared" si="128"/>
        <v>0.1</v>
      </c>
      <c r="S321" s="134">
        <f t="shared" si="128"/>
        <v>0.1</v>
      </c>
      <c r="T321" s="134">
        <f t="shared" si="128"/>
        <v>0.1</v>
      </c>
      <c r="U321" s="134">
        <f t="shared" si="128"/>
        <v>0.1</v>
      </c>
      <c r="V321" s="134">
        <f t="shared" si="128"/>
        <v>0.1</v>
      </c>
      <c r="W321" s="134">
        <f t="shared" si="128"/>
        <v>0.1</v>
      </c>
      <c r="X321" s="134">
        <f t="shared" si="129"/>
        <v>0.1</v>
      </c>
      <c r="Y321" s="134">
        <f t="shared" si="129"/>
        <v>0.1</v>
      </c>
      <c r="Z321" s="134">
        <f t="shared" si="129"/>
        <v>0.1</v>
      </c>
      <c r="AA321" s="134">
        <f t="shared" si="129"/>
        <v>0.1</v>
      </c>
      <c r="AB321" s="134">
        <f t="shared" si="129"/>
        <v>0.1</v>
      </c>
      <c r="AC321" s="134">
        <f t="shared" si="129"/>
        <v>0.1</v>
      </c>
      <c r="AD321" s="134">
        <f t="shared" si="129"/>
        <v>0.1</v>
      </c>
      <c r="AE321" s="134">
        <f t="shared" si="129"/>
        <v>0.1</v>
      </c>
      <c r="AF321" s="134">
        <f t="shared" si="129"/>
        <v>0.1</v>
      </c>
      <c r="AG321" s="134">
        <f t="shared" si="129"/>
        <v>0.1</v>
      </c>
      <c r="AH321" s="134">
        <f t="shared" si="129"/>
        <v>0.1</v>
      </c>
      <c r="AI321" s="134">
        <f t="shared" si="129"/>
        <v>0.1</v>
      </c>
      <c r="AJ321" s="134">
        <f t="shared" si="129"/>
        <v>0.1</v>
      </c>
      <c r="AK321" s="134">
        <f t="shared" si="129"/>
        <v>0.1</v>
      </c>
      <c r="AL321" s="134">
        <f t="shared" si="129"/>
        <v>0.1</v>
      </c>
      <c r="AM321" s="134">
        <f t="shared" si="129"/>
        <v>0.1</v>
      </c>
      <c r="AN321" s="134">
        <f t="shared" si="130"/>
        <v>0.1</v>
      </c>
      <c r="AO321" s="134">
        <f t="shared" si="130"/>
        <v>0.1</v>
      </c>
      <c r="AP321" s="134">
        <f t="shared" si="130"/>
        <v>0.1</v>
      </c>
      <c r="AQ321" s="134">
        <f t="shared" si="130"/>
        <v>0.1</v>
      </c>
      <c r="AR321" s="134">
        <f t="shared" si="130"/>
        <v>0.1</v>
      </c>
      <c r="AS321" s="134">
        <f t="shared" si="130"/>
        <v>0.1</v>
      </c>
      <c r="AT321" s="134">
        <f t="shared" si="130"/>
        <v>0.1</v>
      </c>
      <c r="AU321" s="134">
        <f t="shared" si="130"/>
        <v>0.1</v>
      </c>
      <c r="AV321" s="134">
        <f t="shared" si="130"/>
        <v>0.1</v>
      </c>
      <c r="AW321" s="134">
        <f t="shared" si="130"/>
        <v>0.1</v>
      </c>
      <c r="AX321" s="134">
        <f t="shared" si="130"/>
        <v>0.1</v>
      </c>
      <c r="AY321" s="134">
        <f t="shared" si="130"/>
        <v>0.1</v>
      </c>
      <c r="AZ321" s="134">
        <f t="shared" si="130"/>
        <v>0.1</v>
      </c>
      <c r="BA321" s="134">
        <f t="shared" si="130"/>
        <v>0.1</v>
      </c>
      <c r="BB321" s="134">
        <f t="shared" si="130"/>
        <v>0.1</v>
      </c>
      <c r="BC321" s="134">
        <f t="shared" si="130"/>
        <v>0.1</v>
      </c>
      <c r="BD321" s="134">
        <f t="shared" si="131"/>
        <v>0.1</v>
      </c>
      <c r="BE321" s="134">
        <f t="shared" si="131"/>
        <v>0.1</v>
      </c>
      <c r="BF321" s="134">
        <f t="shared" si="131"/>
        <v>0.1</v>
      </c>
      <c r="BG321" s="134">
        <f t="shared" si="131"/>
        <v>0.1</v>
      </c>
      <c r="BH321" s="134">
        <f t="shared" si="131"/>
        <v>0.1</v>
      </c>
      <c r="BI321" s="134">
        <f t="shared" si="131"/>
        <v>0.1</v>
      </c>
      <c r="BJ321" s="134">
        <f t="shared" si="131"/>
        <v>0.1</v>
      </c>
      <c r="BK321" s="134">
        <f t="shared" si="131"/>
        <v>0.1</v>
      </c>
      <c r="BL321" s="134">
        <f t="shared" si="131"/>
        <v>0.1</v>
      </c>
      <c r="BM321" s="134">
        <f t="shared" si="131"/>
        <v>0.1</v>
      </c>
    </row>
    <row r="322" spans="2:65" outlineLevel="1">
      <c r="B322" s="51"/>
      <c r="C322" s="51"/>
      <c r="D322" s="51"/>
      <c r="E322" s="54"/>
      <c r="F322" s="130">
        <f t="shared" ref="F322:BM322" si="132">SUM(F319:F321)</f>
        <v>1</v>
      </c>
      <c r="G322" s="130">
        <f t="shared" si="132"/>
        <v>1</v>
      </c>
      <c r="H322" s="130">
        <f t="shared" si="132"/>
        <v>1</v>
      </c>
      <c r="I322" s="130">
        <f t="shared" si="132"/>
        <v>1</v>
      </c>
      <c r="J322" s="130">
        <f t="shared" si="132"/>
        <v>1</v>
      </c>
      <c r="K322" s="130">
        <f t="shared" si="132"/>
        <v>1</v>
      </c>
      <c r="L322" s="130">
        <f t="shared" si="132"/>
        <v>1</v>
      </c>
      <c r="M322" s="130">
        <f t="shared" si="132"/>
        <v>1</v>
      </c>
      <c r="N322" s="130">
        <f t="shared" si="132"/>
        <v>1</v>
      </c>
      <c r="O322" s="130">
        <f t="shared" si="132"/>
        <v>1</v>
      </c>
      <c r="P322" s="130">
        <f t="shared" si="132"/>
        <v>1</v>
      </c>
      <c r="Q322" s="130">
        <f t="shared" si="132"/>
        <v>1</v>
      </c>
      <c r="R322" s="130">
        <f t="shared" si="132"/>
        <v>1</v>
      </c>
      <c r="S322" s="130">
        <f t="shared" si="132"/>
        <v>1</v>
      </c>
      <c r="T322" s="130">
        <f t="shared" si="132"/>
        <v>1</v>
      </c>
      <c r="U322" s="130">
        <f t="shared" si="132"/>
        <v>1</v>
      </c>
      <c r="V322" s="130">
        <f t="shared" si="132"/>
        <v>1</v>
      </c>
      <c r="W322" s="130">
        <f t="shared" si="132"/>
        <v>1</v>
      </c>
      <c r="X322" s="130">
        <f t="shared" si="132"/>
        <v>1</v>
      </c>
      <c r="Y322" s="130">
        <f t="shared" si="132"/>
        <v>1</v>
      </c>
      <c r="Z322" s="130">
        <f t="shared" si="132"/>
        <v>1</v>
      </c>
      <c r="AA322" s="130">
        <f t="shared" si="132"/>
        <v>1</v>
      </c>
      <c r="AB322" s="130">
        <f t="shared" si="132"/>
        <v>1</v>
      </c>
      <c r="AC322" s="130">
        <f t="shared" si="132"/>
        <v>1</v>
      </c>
      <c r="AD322" s="130">
        <f t="shared" si="132"/>
        <v>1</v>
      </c>
      <c r="AE322" s="130">
        <f t="shared" si="132"/>
        <v>1</v>
      </c>
      <c r="AF322" s="130">
        <f t="shared" si="132"/>
        <v>1</v>
      </c>
      <c r="AG322" s="130">
        <f t="shared" si="132"/>
        <v>1</v>
      </c>
      <c r="AH322" s="130">
        <f t="shared" si="132"/>
        <v>1</v>
      </c>
      <c r="AI322" s="130">
        <f t="shared" si="132"/>
        <v>1</v>
      </c>
      <c r="AJ322" s="130">
        <f t="shared" si="132"/>
        <v>1</v>
      </c>
      <c r="AK322" s="130">
        <f t="shared" si="132"/>
        <v>1</v>
      </c>
      <c r="AL322" s="130">
        <f t="shared" si="132"/>
        <v>1</v>
      </c>
      <c r="AM322" s="130">
        <f t="shared" si="132"/>
        <v>1</v>
      </c>
      <c r="AN322" s="130">
        <f t="shared" si="132"/>
        <v>1</v>
      </c>
      <c r="AO322" s="130">
        <f t="shared" si="132"/>
        <v>1</v>
      </c>
      <c r="AP322" s="130">
        <f t="shared" si="132"/>
        <v>1</v>
      </c>
      <c r="AQ322" s="130">
        <f t="shared" si="132"/>
        <v>1</v>
      </c>
      <c r="AR322" s="130">
        <f t="shared" si="132"/>
        <v>1</v>
      </c>
      <c r="AS322" s="130">
        <f t="shared" si="132"/>
        <v>1</v>
      </c>
      <c r="AT322" s="130">
        <f t="shared" si="132"/>
        <v>1</v>
      </c>
      <c r="AU322" s="130">
        <f t="shared" si="132"/>
        <v>1</v>
      </c>
      <c r="AV322" s="130">
        <f t="shared" si="132"/>
        <v>1</v>
      </c>
      <c r="AW322" s="130">
        <f t="shared" si="132"/>
        <v>1</v>
      </c>
      <c r="AX322" s="130">
        <f t="shared" si="132"/>
        <v>1</v>
      </c>
      <c r="AY322" s="130">
        <f t="shared" si="132"/>
        <v>1</v>
      </c>
      <c r="AZ322" s="130">
        <f t="shared" si="132"/>
        <v>1</v>
      </c>
      <c r="BA322" s="130">
        <f t="shared" si="132"/>
        <v>1</v>
      </c>
      <c r="BB322" s="130">
        <f t="shared" si="132"/>
        <v>1</v>
      </c>
      <c r="BC322" s="130">
        <f t="shared" si="132"/>
        <v>1</v>
      </c>
      <c r="BD322" s="130">
        <f t="shared" si="132"/>
        <v>1</v>
      </c>
      <c r="BE322" s="130">
        <f t="shared" si="132"/>
        <v>1</v>
      </c>
      <c r="BF322" s="130">
        <f t="shared" si="132"/>
        <v>1</v>
      </c>
      <c r="BG322" s="130">
        <f t="shared" si="132"/>
        <v>1</v>
      </c>
      <c r="BH322" s="130">
        <f t="shared" si="132"/>
        <v>1</v>
      </c>
      <c r="BI322" s="130">
        <f t="shared" si="132"/>
        <v>1</v>
      </c>
      <c r="BJ322" s="130">
        <f t="shared" si="132"/>
        <v>1</v>
      </c>
      <c r="BK322" s="130">
        <f t="shared" si="132"/>
        <v>1</v>
      </c>
      <c r="BL322" s="130">
        <f t="shared" si="132"/>
        <v>1</v>
      </c>
      <c r="BM322" s="130">
        <f t="shared" si="132"/>
        <v>1</v>
      </c>
    </row>
    <row r="323" spans="2:65" outlineLevel="1">
      <c r="B323" s="51"/>
      <c r="C323" s="51"/>
      <c r="D323" s="51"/>
      <c r="E323" s="54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  <c r="AQ323" s="69"/>
      <c r="AR323" s="69"/>
      <c r="AS323" s="69"/>
      <c r="AT323" s="69"/>
      <c r="AU323" s="69"/>
      <c r="AV323" s="69"/>
      <c r="AW323" s="69"/>
      <c r="AX323" s="69"/>
      <c r="AY323" s="69"/>
      <c r="AZ323" s="69"/>
      <c r="BA323" s="69"/>
      <c r="BB323" s="69"/>
      <c r="BC323" s="69"/>
      <c r="BD323" s="69"/>
      <c r="BE323" s="69"/>
      <c r="BF323" s="69"/>
      <c r="BG323" s="69"/>
      <c r="BH323" s="69"/>
      <c r="BI323" s="69"/>
      <c r="BJ323" s="69"/>
      <c r="BK323" s="69"/>
      <c r="BL323" s="69"/>
      <c r="BM323" s="69"/>
    </row>
    <row r="324" spans="2:65">
      <c r="B324" s="51" t="s">
        <v>354</v>
      </c>
      <c r="C324" s="51"/>
      <c r="D324" s="51"/>
      <c r="E324" s="54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  <c r="AP324" s="69"/>
      <c r="AQ324" s="69"/>
      <c r="AR324" s="69"/>
      <c r="AS324" s="69"/>
      <c r="AT324" s="69"/>
      <c r="AU324" s="69"/>
      <c r="AV324" s="69"/>
      <c r="AW324" s="69"/>
      <c r="AX324" s="69"/>
      <c r="AY324" s="69"/>
      <c r="AZ324" s="69"/>
      <c r="BA324" s="69"/>
      <c r="BB324" s="69"/>
      <c r="BC324" s="69"/>
      <c r="BD324" s="69"/>
      <c r="BE324" s="69"/>
      <c r="BF324" s="69"/>
      <c r="BG324" s="69"/>
      <c r="BH324" s="69"/>
      <c r="BI324" s="69"/>
      <c r="BJ324" s="69"/>
      <c r="BK324" s="69"/>
      <c r="BL324" s="69"/>
      <c r="BM324" s="69"/>
    </row>
    <row r="325" spans="2:65">
      <c r="B325" s="51" t="s">
        <v>355</v>
      </c>
      <c r="C325" s="51"/>
      <c r="D325" s="51"/>
      <c r="E325" s="54">
        <f>SUM(F325:BM325)</f>
        <v>58737312</v>
      </c>
      <c r="F325" s="69">
        <f>F310*F319*2000/7.5</f>
        <v>0</v>
      </c>
      <c r="G325" s="69">
        <f t="shared" ref="G325:BM325" si="133">G310*G319*2000/7.5</f>
        <v>0</v>
      </c>
      <c r="H325" s="69">
        <f t="shared" si="133"/>
        <v>0</v>
      </c>
      <c r="I325" s="69">
        <f t="shared" si="133"/>
        <v>0</v>
      </c>
      <c r="J325" s="69">
        <f t="shared" si="133"/>
        <v>0</v>
      </c>
      <c r="K325" s="69">
        <f t="shared" si="133"/>
        <v>0</v>
      </c>
      <c r="L325" s="69">
        <f>L310*L319*2000/7.5</f>
        <v>17280</v>
      </c>
      <c r="M325" s="69">
        <f t="shared" si="133"/>
        <v>26784</v>
      </c>
      <c r="N325" s="69">
        <f>N310*N319*2000/7.5</f>
        <v>138240</v>
      </c>
      <c r="O325" s="69">
        <f t="shared" si="133"/>
        <v>214272</v>
      </c>
      <c r="P325" s="69">
        <f t="shared" si="133"/>
        <v>482112</v>
      </c>
      <c r="Q325" s="69">
        <f t="shared" si="133"/>
        <v>466560.00000000006</v>
      </c>
      <c r="R325" s="69">
        <f t="shared" si="133"/>
        <v>642816</v>
      </c>
      <c r="S325" s="69">
        <f t="shared" si="133"/>
        <v>622080</v>
      </c>
      <c r="T325" s="69">
        <f t="shared" si="133"/>
        <v>803520.00000000012</v>
      </c>
      <c r="U325" s="69">
        <f t="shared" si="133"/>
        <v>803520.00000000012</v>
      </c>
      <c r="V325" s="69">
        <f t="shared" si="133"/>
        <v>870912</v>
      </c>
      <c r="W325" s="69">
        <f t="shared" si="133"/>
        <v>964224</v>
      </c>
      <c r="X325" s="69">
        <f t="shared" si="133"/>
        <v>1088640</v>
      </c>
      <c r="Y325" s="69">
        <f t="shared" si="133"/>
        <v>1124928</v>
      </c>
      <c r="Z325" s="69">
        <f t="shared" si="133"/>
        <v>1244160</v>
      </c>
      <c r="AA325" s="69">
        <f t="shared" si="133"/>
        <v>1285632</v>
      </c>
      <c r="AB325" s="69">
        <f t="shared" si="133"/>
        <v>1285632</v>
      </c>
      <c r="AC325" s="69">
        <f t="shared" si="133"/>
        <v>1244160</v>
      </c>
      <c r="AD325" s="69">
        <f t="shared" si="133"/>
        <v>1285632</v>
      </c>
      <c r="AE325" s="69">
        <f t="shared" si="133"/>
        <v>1244160</v>
      </c>
      <c r="AF325" s="69">
        <f t="shared" si="133"/>
        <v>1285632</v>
      </c>
      <c r="AG325" s="69">
        <f t="shared" si="133"/>
        <v>1285632</v>
      </c>
      <c r="AH325" s="69">
        <f t="shared" si="133"/>
        <v>1161216</v>
      </c>
      <c r="AI325" s="69">
        <f t="shared" si="133"/>
        <v>1285632</v>
      </c>
      <c r="AJ325" s="69">
        <f t="shared" si="133"/>
        <v>1244160</v>
      </c>
      <c r="AK325" s="69">
        <f t="shared" si="133"/>
        <v>1285632</v>
      </c>
      <c r="AL325" s="69">
        <f t="shared" si="133"/>
        <v>1244160</v>
      </c>
      <c r="AM325" s="69">
        <f t="shared" si="133"/>
        <v>1285632</v>
      </c>
      <c r="AN325" s="69">
        <f t="shared" si="133"/>
        <v>1285632</v>
      </c>
      <c r="AO325" s="69">
        <f t="shared" si="133"/>
        <v>1244160</v>
      </c>
      <c r="AP325" s="69">
        <f t="shared" si="133"/>
        <v>1285632</v>
      </c>
      <c r="AQ325" s="69">
        <f t="shared" si="133"/>
        <v>1244160</v>
      </c>
      <c r="AR325" s="69">
        <f t="shared" si="133"/>
        <v>1285632</v>
      </c>
      <c r="AS325" s="69">
        <f t="shared" si="133"/>
        <v>1285632</v>
      </c>
      <c r="AT325" s="69">
        <f t="shared" si="133"/>
        <v>1161216</v>
      </c>
      <c r="AU325" s="69">
        <f t="shared" si="133"/>
        <v>1285632</v>
      </c>
      <c r="AV325" s="69">
        <f t="shared" si="133"/>
        <v>1244160</v>
      </c>
      <c r="AW325" s="69">
        <f t="shared" si="133"/>
        <v>1285632</v>
      </c>
      <c r="AX325" s="69">
        <f t="shared" si="133"/>
        <v>1244160</v>
      </c>
      <c r="AY325" s="69">
        <f t="shared" si="133"/>
        <v>1285632</v>
      </c>
      <c r="AZ325" s="69">
        <f t="shared" si="133"/>
        <v>1285632</v>
      </c>
      <c r="BA325" s="69">
        <f t="shared" si="133"/>
        <v>1244160</v>
      </c>
      <c r="BB325" s="69">
        <f t="shared" si="133"/>
        <v>1285632</v>
      </c>
      <c r="BC325" s="69">
        <f t="shared" si="133"/>
        <v>1244160</v>
      </c>
      <c r="BD325" s="69">
        <f t="shared" si="133"/>
        <v>1285632</v>
      </c>
      <c r="BE325" s="69">
        <f t="shared" si="133"/>
        <v>1285632</v>
      </c>
      <c r="BF325" s="69">
        <f t="shared" si="133"/>
        <v>1161216</v>
      </c>
      <c r="BG325" s="69">
        <f t="shared" si="133"/>
        <v>1285632</v>
      </c>
      <c r="BH325" s="69">
        <f t="shared" si="133"/>
        <v>1244160</v>
      </c>
      <c r="BI325" s="69">
        <f t="shared" si="133"/>
        <v>1285632</v>
      </c>
      <c r="BJ325" s="69">
        <f t="shared" si="133"/>
        <v>1244160</v>
      </c>
      <c r="BK325" s="69">
        <f t="shared" si="133"/>
        <v>1285632</v>
      </c>
      <c r="BL325" s="69">
        <f t="shared" si="133"/>
        <v>1285632</v>
      </c>
      <c r="BM325" s="69">
        <f t="shared" si="133"/>
        <v>1244160</v>
      </c>
    </row>
    <row r="326" spans="2:65">
      <c r="B326" s="51" t="s">
        <v>356</v>
      </c>
      <c r="C326" s="51"/>
      <c r="D326" s="51"/>
      <c r="E326" s="54">
        <f>SUM(F326:BM326)</f>
        <v>440529840</v>
      </c>
      <c r="F326" s="69">
        <f>F310*2000*F320</f>
        <v>0</v>
      </c>
      <c r="G326" s="69">
        <f t="shared" ref="G326:BM326" si="134">G310*2000*G320</f>
        <v>0</v>
      </c>
      <c r="H326" s="69">
        <f t="shared" si="134"/>
        <v>0</v>
      </c>
      <c r="I326" s="69">
        <f t="shared" si="134"/>
        <v>0</v>
      </c>
      <c r="J326" s="69">
        <f t="shared" si="134"/>
        <v>0</v>
      </c>
      <c r="K326" s="69">
        <f t="shared" si="134"/>
        <v>0</v>
      </c>
      <c r="L326" s="69">
        <f t="shared" si="134"/>
        <v>129600</v>
      </c>
      <c r="M326" s="69">
        <f t="shared" si="134"/>
        <v>200880</v>
      </c>
      <c r="N326" s="69">
        <f>N310*2000*N320</f>
        <v>1036800</v>
      </c>
      <c r="O326" s="69">
        <f t="shared" si="134"/>
        <v>1607040</v>
      </c>
      <c r="P326" s="69">
        <f t="shared" si="134"/>
        <v>3615840</v>
      </c>
      <c r="Q326" s="69">
        <f t="shared" si="134"/>
        <v>3499200</v>
      </c>
      <c r="R326" s="69">
        <f t="shared" si="134"/>
        <v>4821120</v>
      </c>
      <c r="S326" s="69">
        <f t="shared" si="134"/>
        <v>4665600</v>
      </c>
      <c r="T326" s="69">
        <f t="shared" si="134"/>
        <v>6026400</v>
      </c>
      <c r="U326" s="69">
        <f t="shared" si="134"/>
        <v>6026400</v>
      </c>
      <c r="V326" s="69">
        <f t="shared" si="134"/>
        <v>6531840</v>
      </c>
      <c r="W326" s="69">
        <f t="shared" si="134"/>
        <v>7231680</v>
      </c>
      <c r="X326" s="69">
        <f t="shared" si="134"/>
        <v>8164800</v>
      </c>
      <c r="Y326" s="69">
        <f t="shared" si="134"/>
        <v>8436960</v>
      </c>
      <c r="Z326" s="69">
        <f t="shared" si="134"/>
        <v>9331200</v>
      </c>
      <c r="AA326" s="69">
        <f t="shared" si="134"/>
        <v>9642240</v>
      </c>
      <c r="AB326" s="69">
        <f t="shared" si="134"/>
        <v>9642240</v>
      </c>
      <c r="AC326" s="69">
        <f t="shared" si="134"/>
        <v>9331200</v>
      </c>
      <c r="AD326" s="69">
        <f t="shared" si="134"/>
        <v>9642240</v>
      </c>
      <c r="AE326" s="69">
        <f t="shared" si="134"/>
        <v>9331200</v>
      </c>
      <c r="AF326" s="69">
        <f t="shared" si="134"/>
        <v>9642240</v>
      </c>
      <c r="AG326" s="69">
        <f t="shared" si="134"/>
        <v>9642240</v>
      </c>
      <c r="AH326" s="69">
        <f t="shared" si="134"/>
        <v>8709120.0000000019</v>
      </c>
      <c r="AI326" s="69">
        <f t="shared" si="134"/>
        <v>9642240</v>
      </c>
      <c r="AJ326" s="69">
        <f t="shared" si="134"/>
        <v>9331200</v>
      </c>
      <c r="AK326" s="69">
        <f t="shared" si="134"/>
        <v>9642240</v>
      </c>
      <c r="AL326" s="69">
        <f t="shared" si="134"/>
        <v>9331200</v>
      </c>
      <c r="AM326" s="69">
        <f t="shared" si="134"/>
        <v>9642240</v>
      </c>
      <c r="AN326" s="69">
        <f t="shared" si="134"/>
        <v>9642240</v>
      </c>
      <c r="AO326" s="69">
        <f t="shared" si="134"/>
        <v>9331200</v>
      </c>
      <c r="AP326" s="69">
        <f t="shared" si="134"/>
        <v>9642240</v>
      </c>
      <c r="AQ326" s="69">
        <f t="shared" si="134"/>
        <v>9331200</v>
      </c>
      <c r="AR326" s="69">
        <f t="shared" si="134"/>
        <v>9642240</v>
      </c>
      <c r="AS326" s="69">
        <f t="shared" si="134"/>
        <v>9642240</v>
      </c>
      <c r="AT326" s="69">
        <f t="shared" si="134"/>
        <v>8709120.0000000019</v>
      </c>
      <c r="AU326" s="69">
        <f t="shared" si="134"/>
        <v>9642240</v>
      </c>
      <c r="AV326" s="69">
        <f t="shared" si="134"/>
        <v>9331200</v>
      </c>
      <c r="AW326" s="69">
        <f t="shared" si="134"/>
        <v>9642240</v>
      </c>
      <c r="AX326" s="69">
        <f t="shared" si="134"/>
        <v>9331200</v>
      </c>
      <c r="AY326" s="69">
        <f t="shared" si="134"/>
        <v>9642240</v>
      </c>
      <c r="AZ326" s="69">
        <f t="shared" si="134"/>
        <v>9642240</v>
      </c>
      <c r="BA326" s="69">
        <f t="shared" si="134"/>
        <v>9331200</v>
      </c>
      <c r="BB326" s="69">
        <f t="shared" si="134"/>
        <v>9642240</v>
      </c>
      <c r="BC326" s="69">
        <f t="shared" si="134"/>
        <v>9331200</v>
      </c>
      <c r="BD326" s="69">
        <f t="shared" si="134"/>
        <v>9642240</v>
      </c>
      <c r="BE326" s="69">
        <f t="shared" si="134"/>
        <v>9642240</v>
      </c>
      <c r="BF326" s="69">
        <f t="shared" si="134"/>
        <v>8709120.0000000019</v>
      </c>
      <c r="BG326" s="69">
        <f t="shared" si="134"/>
        <v>9642240</v>
      </c>
      <c r="BH326" s="69">
        <f t="shared" si="134"/>
        <v>9331200</v>
      </c>
      <c r="BI326" s="69">
        <f t="shared" si="134"/>
        <v>9642240</v>
      </c>
      <c r="BJ326" s="69">
        <f t="shared" si="134"/>
        <v>9331200</v>
      </c>
      <c r="BK326" s="69">
        <f t="shared" si="134"/>
        <v>9642240</v>
      </c>
      <c r="BL326" s="69">
        <f t="shared" si="134"/>
        <v>9642240</v>
      </c>
      <c r="BM326" s="69">
        <f t="shared" si="134"/>
        <v>9331200</v>
      </c>
    </row>
    <row r="327" spans="2:65">
      <c r="B327" t="s">
        <v>357</v>
      </c>
      <c r="C327" s="51"/>
      <c r="D327" s="51"/>
      <c r="E327" s="54">
        <f>SUM(F327:BM327)</f>
        <v>17591009.771335751</v>
      </c>
      <c r="F327" s="69">
        <f>F316/2000</f>
        <v>0</v>
      </c>
      <c r="G327" s="69">
        <f t="shared" ref="G327:L327" si="135">G316/2000</f>
        <v>0</v>
      </c>
      <c r="H327" s="69">
        <f t="shared" si="135"/>
        <v>0</v>
      </c>
      <c r="I327" s="69">
        <f t="shared" si="135"/>
        <v>0</v>
      </c>
      <c r="J327" s="69">
        <f t="shared" si="135"/>
        <v>0</v>
      </c>
      <c r="K327" s="69">
        <f t="shared" si="135"/>
        <v>0</v>
      </c>
      <c r="L327" s="69">
        <f t="shared" si="135"/>
        <v>0</v>
      </c>
      <c r="M327" s="69">
        <f>M316/2000</f>
        <v>0</v>
      </c>
      <c r="N327" s="68">
        <f>N310*2000*N321*60*24/8.003/1000*0.75</f>
        <v>31092.340372360362</v>
      </c>
      <c r="O327" s="68">
        <f t="shared" ref="O327:BM327" si="136">O310*2000*O321*60*24/8.003/1000</f>
        <v>64257.503436211424</v>
      </c>
      <c r="P327" s="68">
        <f t="shared" si="136"/>
        <v>144579.38273147569</v>
      </c>
      <c r="Q327" s="68">
        <f t="shared" si="136"/>
        <v>139915.53167562163</v>
      </c>
      <c r="R327" s="68">
        <f t="shared" si="136"/>
        <v>192772.51030863426</v>
      </c>
      <c r="S327" s="68">
        <f t="shared" si="136"/>
        <v>186554.04223416219</v>
      </c>
      <c r="T327" s="68">
        <f t="shared" si="136"/>
        <v>240965.63788579282</v>
      </c>
      <c r="U327" s="68">
        <f t="shared" si="136"/>
        <v>240965.63788579282</v>
      </c>
      <c r="V327" s="68">
        <f t="shared" si="136"/>
        <v>261175.65912782704</v>
      </c>
      <c r="W327" s="68">
        <f t="shared" si="136"/>
        <v>289158.76546295139</v>
      </c>
      <c r="X327" s="68">
        <f t="shared" si="136"/>
        <v>326469.57390978385</v>
      </c>
      <c r="Y327" s="68">
        <f t="shared" si="136"/>
        <v>337351.89304010995</v>
      </c>
      <c r="Z327" s="68">
        <f t="shared" si="136"/>
        <v>373108.08446832438</v>
      </c>
      <c r="AA327" s="68">
        <f t="shared" si="136"/>
        <v>385545.02061726851</v>
      </c>
      <c r="AB327" s="68">
        <f t="shared" si="136"/>
        <v>385545.02061726851</v>
      </c>
      <c r="AC327" s="68">
        <f t="shared" si="136"/>
        <v>373108.08446832438</v>
      </c>
      <c r="AD327" s="68">
        <f t="shared" si="136"/>
        <v>385545.02061726851</v>
      </c>
      <c r="AE327" s="68">
        <f t="shared" si="136"/>
        <v>373108.08446832438</v>
      </c>
      <c r="AF327" s="68">
        <f t="shared" si="136"/>
        <v>385545.02061726851</v>
      </c>
      <c r="AG327" s="68">
        <f t="shared" si="136"/>
        <v>385545.02061726851</v>
      </c>
      <c r="AH327" s="68">
        <f t="shared" si="136"/>
        <v>348234.21217043622</v>
      </c>
      <c r="AI327" s="68">
        <f t="shared" si="136"/>
        <v>385545.02061726851</v>
      </c>
      <c r="AJ327" s="68">
        <f t="shared" si="136"/>
        <v>373108.08446832438</v>
      </c>
      <c r="AK327" s="68">
        <f t="shared" si="136"/>
        <v>385545.02061726851</v>
      </c>
      <c r="AL327" s="68">
        <f t="shared" si="136"/>
        <v>373108.08446832438</v>
      </c>
      <c r="AM327" s="68">
        <f t="shared" si="136"/>
        <v>385545.02061726851</v>
      </c>
      <c r="AN327" s="68">
        <f t="shared" si="136"/>
        <v>385545.02061726851</v>
      </c>
      <c r="AO327" s="68">
        <f t="shared" si="136"/>
        <v>373108.08446832438</v>
      </c>
      <c r="AP327" s="68">
        <f t="shared" si="136"/>
        <v>385545.02061726851</v>
      </c>
      <c r="AQ327" s="68">
        <f t="shared" si="136"/>
        <v>373108.08446832438</v>
      </c>
      <c r="AR327" s="68">
        <f t="shared" si="136"/>
        <v>385545.02061726851</v>
      </c>
      <c r="AS327" s="68">
        <f t="shared" si="136"/>
        <v>385545.02061726851</v>
      </c>
      <c r="AT327" s="68">
        <f t="shared" si="136"/>
        <v>348234.21217043622</v>
      </c>
      <c r="AU327" s="68">
        <f t="shared" si="136"/>
        <v>385545.02061726851</v>
      </c>
      <c r="AV327" s="68">
        <f t="shared" si="136"/>
        <v>373108.08446832438</v>
      </c>
      <c r="AW327" s="68">
        <f t="shared" si="136"/>
        <v>385545.02061726851</v>
      </c>
      <c r="AX327" s="68">
        <f t="shared" si="136"/>
        <v>373108.08446832438</v>
      </c>
      <c r="AY327" s="68">
        <f t="shared" si="136"/>
        <v>385545.02061726851</v>
      </c>
      <c r="AZ327" s="68">
        <f t="shared" si="136"/>
        <v>385545.02061726851</v>
      </c>
      <c r="BA327" s="68">
        <f t="shared" si="136"/>
        <v>373108.08446832438</v>
      </c>
      <c r="BB327" s="68">
        <f t="shared" si="136"/>
        <v>385545.02061726851</v>
      </c>
      <c r="BC327" s="68">
        <f t="shared" si="136"/>
        <v>373108.08446832438</v>
      </c>
      <c r="BD327" s="68">
        <f t="shared" si="136"/>
        <v>385545.02061726851</v>
      </c>
      <c r="BE327" s="68">
        <f t="shared" si="136"/>
        <v>385545.02061726851</v>
      </c>
      <c r="BF327" s="68">
        <f t="shared" si="136"/>
        <v>348234.21217043622</v>
      </c>
      <c r="BG327" s="68">
        <f t="shared" si="136"/>
        <v>385545.02061726851</v>
      </c>
      <c r="BH327" s="68">
        <f t="shared" si="136"/>
        <v>373108.08446832438</v>
      </c>
      <c r="BI327" s="68">
        <f t="shared" si="136"/>
        <v>385545.02061726851</v>
      </c>
      <c r="BJ327" s="68">
        <f t="shared" si="136"/>
        <v>373108.08446832438</v>
      </c>
      <c r="BK327" s="68">
        <f t="shared" si="136"/>
        <v>385545.02061726851</v>
      </c>
      <c r="BL327" s="68">
        <f t="shared" si="136"/>
        <v>385545.02061726851</v>
      </c>
      <c r="BM327" s="68">
        <f t="shared" si="136"/>
        <v>373108.08446832438</v>
      </c>
    </row>
    <row r="328" spans="2:65">
      <c r="B328" s="51"/>
      <c r="C328" s="51"/>
      <c r="D328" s="51"/>
      <c r="E328" s="54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  <c r="AP328" s="69"/>
      <c r="AQ328" s="69"/>
      <c r="AR328" s="69"/>
      <c r="AS328" s="69"/>
      <c r="AT328" s="69"/>
      <c r="AU328" s="69"/>
      <c r="AV328" s="69"/>
      <c r="AW328" s="69"/>
      <c r="AX328" s="69"/>
      <c r="AY328" s="69"/>
      <c r="AZ328" s="69"/>
      <c r="BA328" s="69"/>
      <c r="BB328" s="69"/>
      <c r="BC328" s="69"/>
      <c r="BD328" s="69"/>
      <c r="BE328" s="69"/>
      <c r="BF328" s="69"/>
      <c r="BG328" s="69"/>
      <c r="BH328" s="69"/>
      <c r="BI328" s="69"/>
      <c r="BJ328" s="69"/>
      <c r="BK328" s="69"/>
      <c r="BL328" s="69"/>
      <c r="BM328" s="69"/>
    </row>
    <row r="329" spans="2:65">
      <c r="B329" s="3" t="s">
        <v>358</v>
      </c>
      <c r="C329" s="51"/>
      <c r="D329" s="51"/>
      <c r="E329" s="54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  <c r="AP329" s="69"/>
      <c r="AQ329" s="69"/>
      <c r="AR329" s="69"/>
      <c r="AS329" s="69"/>
      <c r="AT329" s="69"/>
      <c r="AU329" s="69"/>
      <c r="AV329" s="69"/>
      <c r="AW329" s="69"/>
      <c r="AX329" s="69"/>
      <c r="AY329" s="69"/>
      <c r="AZ329" s="69"/>
      <c r="BA329" s="69"/>
      <c r="BB329" s="69"/>
      <c r="BC329" s="69"/>
      <c r="BD329" s="69"/>
      <c r="BE329" s="69"/>
      <c r="BF329" s="69"/>
      <c r="BG329" s="69"/>
      <c r="BH329" s="69"/>
      <c r="BI329" s="69"/>
      <c r="BJ329" s="69"/>
      <c r="BK329" s="69"/>
      <c r="BL329" s="69"/>
      <c r="BM329" s="69"/>
    </row>
    <row r="330" spans="2:65">
      <c r="B330" s="51" t="s">
        <v>359</v>
      </c>
      <c r="C330" s="51"/>
      <c r="D330" s="51"/>
      <c r="E330" s="54"/>
      <c r="F330" s="113">
        <f t="shared" ref="F330:N333" si="137">E330</f>
        <v>0</v>
      </c>
      <c r="G330" s="113">
        <f t="shared" si="137"/>
        <v>0</v>
      </c>
      <c r="H330" s="113">
        <f t="shared" si="137"/>
        <v>0</v>
      </c>
      <c r="I330" s="113">
        <f t="shared" si="137"/>
        <v>0</v>
      </c>
      <c r="J330" s="113">
        <f t="shared" si="137"/>
        <v>0</v>
      </c>
      <c r="K330" s="113">
        <f t="shared" si="137"/>
        <v>0</v>
      </c>
      <c r="L330" s="135">
        <v>0</v>
      </c>
      <c r="M330" s="113">
        <v>4</v>
      </c>
      <c r="N330" s="113">
        <v>4</v>
      </c>
      <c r="O330" s="113">
        <v>4</v>
      </c>
      <c r="P330" s="113">
        <v>4</v>
      </c>
      <c r="Q330" s="113">
        <f t="shared" ref="Q330:AF330" si="138">P330</f>
        <v>4</v>
      </c>
      <c r="R330" s="136">
        <v>4</v>
      </c>
      <c r="S330" s="113">
        <v>6</v>
      </c>
      <c r="T330" s="113">
        <f t="shared" si="138"/>
        <v>6</v>
      </c>
      <c r="U330" s="113">
        <f t="shared" si="138"/>
        <v>6</v>
      </c>
      <c r="V330" s="113">
        <f t="shared" si="138"/>
        <v>6</v>
      </c>
      <c r="W330" s="113">
        <f t="shared" si="138"/>
        <v>6</v>
      </c>
      <c r="X330" s="113">
        <f t="shared" si="138"/>
        <v>6</v>
      </c>
      <c r="Y330" s="113">
        <f t="shared" si="138"/>
        <v>6</v>
      </c>
      <c r="Z330" s="113">
        <f t="shared" si="138"/>
        <v>6</v>
      </c>
      <c r="AA330" s="113">
        <f t="shared" si="138"/>
        <v>6</v>
      </c>
      <c r="AB330" s="113">
        <f t="shared" si="138"/>
        <v>6</v>
      </c>
      <c r="AC330" s="113">
        <f t="shared" si="138"/>
        <v>6</v>
      </c>
      <c r="AD330" s="112">
        <v>8</v>
      </c>
      <c r="AE330" s="113">
        <f t="shared" si="138"/>
        <v>8</v>
      </c>
      <c r="AF330" s="113">
        <f t="shared" si="138"/>
        <v>8</v>
      </c>
      <c r="AG330" s="113">
        <f t="shared" ref="AG330:AV330" si="139">AF330</f>
        <v>8</v>
      </c>
      <c r="AH330" s="113">
        <f t="shared" si="139"/>
        <v>8</v>
      </c>
      <c r="AI330" s="113">
        <f t="shared" si="139"/>
        <v>8</v>
      </c>
      <c r="AJ330" s="113">
        <f t="shared" si="139"/>
        <v>8</v>
      </c>
      <c r="AK330" s="113">
        <f t="shared" si="139"/>
        <v>8</v>
      </c>
      <c r="AL330" s="113">
        <f t="shared" si="139"/>
        <v>8</v>
      </c>
      <c r="AM330" s="113">
        <f t="shared" si="139"/>
        <v>8</v>
      </c>
      <c r="AN330" s="113">
        <f t="shared" si="139"/>
        <v>8</v>
      </c>
      <c r="AO330" s="113">
        <f t="shared" si="139"/>
        <v>8</v>
      </c>
      <c r="AP330" s="112">
        <v>10</v>
      </c>
      <c r="AQ330" s="113">
        <f t="shared" si="139"/>
        <v>10</v>
      </c>
      <c r="AR330" s="113">
        <f t="shared" si="139"/>
        <v>10</v>
      </c>
      <c r="AS330" s="113">
        <f t="shared" si="139"/>
        <v>10</v>
      </c>
      <c r="AT330" s="113">
        <f t="shared" si="139"/>
        <v>10</v>
      </c>
      <c r="AU330" s="113">
        <f t="shared" si="139"/>
        <v>10</v>
      </c>
      <c r="AV330" s="113">
        <f t="shared" si="139"/>
        <v>10</v>
      </c>
      <c r="AW330" s="113">
        <f t="shared" ref="AW330:BL330" si="140">AV330</f>
        <v>10</v>
      </c>
      <c r="AX330" s="113">
        <f t="shared" si="140"/>
        <v>10</v>
      </c>
      <c r="AY330" s="113">
        <f t="shared" si="140"/>
        <v>10</v>
      </c>
      <c r="AZ330" s="113">
        <f t="shared" si="140"/>
        <v>10</v>
      </c>
      <c r="BA330" s="113">
        <f t="shared" si="140"/>
        <v>10</v>
      </c>
      <c r="BB330" s="113">
        <f t="shared" si="140"/>
        <v>10</v>
      </c>
      <c r="BC330" s="113">
        <f t="shared" si="140"/>
        <v>10</v>
      </c>
      <c r="BD330" s="113">
        <f t="shared" si="140"/>
        <v>10</v>
      </c>
      <c r="BE330" s="113">
        <v>12</v>
      </c>
      <c r="BF330" s="113">
        <f t="shared" si="140"/>
        <v>12</v>
      </c>
      <c r="BG330" s="113">
        <f t="shared" si="140"/>
        <v>12</v>
      </c>
      <c r="BH330" s="113">
        <f t="shared" si="140"/>
        <v>12</v>
      </c>
      <c r="BI330" s="113">
        <f t="shared" si="140"/>
        <v>12</v>
      </c>
      <c r="BJ330" s="113">
        <f t="shared" si="140"/>
        <v>12</v>
      </c>
      <c r="BK330" s="113">
        <f t="shared" si="140"/>
        <v>12</v>
      </c>
      <c r="BL330" s="113">
        <f t="shared" si="140"/>
        <v>12</v>
      </c>
      <c r="BM330" s="113">
        <f t="shared" ref="O330:BM333" si="141">BL330</f>
        <v>12</v>
      </c>
    </row>
    <row r="331" spans="2:65">
      <c r="B331" s="51" t="s">
        <v>360</v>
      </c>
      <c r="C331" s="51"/>
      <c r="D331" s="51"/>
      <c r="E331" s="54"/>
      <c r="F331" s="113">
        <f t="shared" si="137"/>
        <v>0</v>
      </c>
      <c r="G331" s="113">
        <f t="shared" si="137"/>
        <v>0</v>
      </c>
      <c r="H331" s="113">
        <f t="shared" si="137"/>
        <v>0</v>
      </c>
      <c r="I331" s="113">
        <f t="shared" si="137"/>
        <v>0</v>
      </c>
      <c r="J331" s="113">
        <f t="shared" si="137"/>
        <v>0</v>
      </c>
      <c r="K331" s="113">
        <f t="shared" si="137"/>
        <v>0</v>
      </c>
      <c r="L331" s="135">
        <f>[1]Assumptions!C18</f>
        <v>0.2</v>
      </c>
      <c r="M331" s="113">
        <f t="shared" si="137"/>
        <v>0.2</v>
      </c>
      <c r="N331" s="113">
        <f t="shared" si="137"/>
        <v>0.2</v>
      </c>
      <c r="O331" s="113">
        <f t="shared" si="141"/>
        <v>0.2</v>
      </c>
      <c r="P331" s="113">
        <f t="shared" si="141"/>
        <v>0.2</v>
      </c>
      <c r="Q331" s="113">
        <f t="shared" si="141"/>
        <v>0.2</v>
      </c>
      <c r="R331" s="113">
        <f t="shared" si="141"/>
        <v>0.2</v>
      </c>
      <c r="S331" s="113">
        <f t="shared" si="141"/>
        <v>0.2</v>
      </c>
      <c r="T331" s="113">
        <f t="shared" si="141"/>
        <v>0.2</v>
      </c>
      <c r="U331" s="113">
        <f t="shared" si="141"/>
        <v>0.2</v>
      </c>
      <c r="V331" s="113">
        <f t="shared" si="141"/>
        <v>0.2</v>
      </c>
      <c r="W331" s="113">
        <f t="shared" si="141"/>
        <v>0.2</v>
      </c>
      <c r="X331" s="113">
        <f t="shared" si="141"/>
        <v>0.2</v>
      </c>
      <c r="Y331" s="113">
        <f t="shared" si="141"/>
        <v>0.2</v>
      </c>
      <c r="Z331" s="113">
        <f t="shared" si="141"/>
        <v>0.2</v>
      </c>
      <c r="AA331" s="113">
        <f t="shared" si="141"/>
        <v>0.2</v>
      </c>
      <c r="AB331" s="113">
        <f t="shared" si="141"/>
        <v>0.2</v>
      </c>
      <c r="AC331" s="113">
        <f t="shared" si="141"/>
        <v>0.2</v>
      </c>
      <c r="AD331" s="113">
        <f t="shared" si="141"/>
        <v>0.2</v>
      </c>
      <c r="AE331" s="113">
        <f t="shared" si="141"/>
        <v>0.2</v>
      </c>
      <c r="AF331" s="113">
        <f t="shared" si="141"/>
        <v>0.2</v>
      </c>
      <c r="AG331" s="113">
        <f t="shared" si="141"/>
        <v>0.2</v>
      </c>
      <c r="AH331" s="113">
        <f t="shared" si="141"/>
        <v>0.2</v>
      </c>
      <c r="AI331" s="113">
        <f t="shared" si="141"/>
        <v>0.2</v>
      </c>
      <c r="AJ331" s="113">
        <f t="shared" si="141"/>
        <v>0.2</v>
      </c>
      <c r="AK331" s="113">
        <f t="shared" si="141"/>
        <v>0.2</v>
      </c>
      <c r="AL331" s="113">
        <f t="shared" si="141"/>
        <v>0.2</v>
      </c>
      <c r="AM331" s="113">
        <f t="shared" si="141"/>
        <v>0.2</v>
      </c>
      <c r="AN331" s="113">
        <f t="shared" si="141"/>
        <v>0.2</v>
      </c>
      <c r="AO331" s="113">
        <f t="shared" si="141"/>
        <v>0.2</v>
      </c>
      <c r="AP331" s="113">
        <f t="shared" si="141"/>
        <v>0.2</v>
      </c>
      <c r="AQ331" s="113">
        <f t="shared" si="141"/>
        <v>0.2</v>
      </c>
      <c r="AR331" s="113">
        <f t="shared" si="141"/>
        <v>0.2</v>
      </c>
      <c r="AS331" s="113">
        <f t="shared" si="141"/>
        <v>0.2</v>
      </c>
      <c r="AT331" s="113">
        <f t="shared" si="141"/>
        <v>0.2</v>
      </c>
      <c r="AU331" s="113">
        <f t="shared" si="141"/>
        <v>0.2</v>
      </c>
      <c r="AV331" s="113">
        <f t="shared" si="141"/>
        <v>0.2</v>
      </c>
      <c r="AW331" s="113">
        <f t="shared" si="141"/>
        <v>0.2</v>
      </c>
      <c r="AX331" s="113">
        <f t="shared" si="141"/>
        <v>0.2</v>
      </c>
      <c r="AY331" s="113">
        <f t="shared" si="141"/>
        <v>0.2</v>
      </c>
      <c r="AZ331" s="113">
        <f t="shared" si="141"/>
        <v>0.2</v>
      </c>
      <c r="BA331" s="113">
        <f t="shared" si="141"/>
        <v>0.2</v>
      </c>
      <c r="BB331" s="113">
        <f t="shared" si="141"/>
        <v>0.2</v>
      </c>
      <c r="BC331" s="113">
        <f t="shared" si="141"/>
        <v>0.2</v>
      </c>
      <c r="BD331" s="113">
        <f t="shared" si="141"/>
        <v>0.2</v>
      </c>
      <c r="BE331" s="113">
        <f t="shared" si="141"/>
        <v>0.2</v>
      </c>
      <c r="BF331" s="113">
        <f t="shared" si="141"/>
        <v>0.2</v>
      </c>
      <c r="BG331" s="113">
        <f t="shared" si="141"/>
        <v>0.2</v>
      </c>
      <c r="BH331" s="113">
        <f t="shared" si="141"/>
        <v>0.2</v>
      </c>
      <c r="BI331" s="113">
        <f t="shared" si="141"/>
        <v>0.2</v>
      </c>
      <c r="BJ331" s="113">
        <f t="shared" si="141"/>
        <v>0.2</v>
      </c>
      <c r="BK331" s="113">
        <f t="shared" si="141"/>
        <v>0.2</v>
      </c>
      <c r="BL331" s="113">
        <f t="shared" si="141"/>
        <v>0.2</v>
      </c>
      <c r="BM331" s="113">
        <f t="shared" si="141"/>
        <v>0.2</v>
      </c>
    </row>
    <row r="332" spans="2:65">
      <c r="B332" t="s">
        <v>361</v>
      </c>
      <c r="C332" s="51"/>
      <c r="D332" s="51"/>
      <c r="E332" s="22"/>
      <c r="F332" s="137">
        <f>[1]Assumptions!C19</f>
        <v>1.5</v>
      </c>
      <c r="G332" s="138">
        <f t="shared" si="137"/>
        <v>1.5</v>
      </c>
      <c r="H332" s="138">
        <f t="shared" si="137"/>
        <v>1.5</v>
      </c>
      <c r="I332" s="138">
        <f t="shared" si="137"/>
        <v>1.5</v>
      </c>
      <c r="J332" s="138">
        <f t="shared" si="137"/>
        <v>1.5</v>
      </c>
      <c r="K332" s="138">
        <f t="shared" si="137"/>
        <v>1.5</v>
      </c>
      <c r="L332" s="138">
        <f t="shared" si="137"/>
        <v>1.5</v>
      </c>
      <c r="M332" s="138">
        <f t="shared" si="137"/>
        <v>1.5</v>
      </c>
      <c r="N332" s="138">
        <f t="shared" si="137"/>
        <v>1.5</v>
      </c>
      <c r="O332" s="138">
        <f t="shared" si="141"/>
        <v>1.5</v>
      </c>
      <c r="P332" s="138">
        <f t="shared" si="141"/>
        <v>1.5</v>
      </c>
      <c r="Q332" s="138">
        <f t="shared" si="141"/>
        <v>1.5</v>
      </c>
      <c r="R332" s="138">
        <f t="shared" si="141"/>
        <v>1.5</v>
      </c>
      <c r="S332" s="138">
        <f t="shared" si="141"/>
        <v>1.5</v>
      </c>
      <c r="T332" s="138">
        <f t="shared" si="141"/>
        <v>1.5</v>
      </c>
      <c r="U332" s="138">
        <f t="shared" si="141"/>
        <v>1.5</v>
      </c>
      <c r="V332" s="138">
        <f t="shared" si="141"/>
        <v>1.5</v>
      </c>
      <c r="W332" s="138">
        <f t="shared" si="141"/>
        <v>1.5</v>
      </c>
      <c r="X332" s="138">
        <f t="shared" si="141"/>
        <v>1.5</v>
      </c>
      <c r="Y332" s="138">
        <f t="shared" si="141"/>
        <v>1.5</v>
      </c>
      <c r="Z332" s="138">
        <f t="shared" si="141"/>
        <v>1.5</v>
      </c>
      <c r="AA332" s="138">
        <f t="shared" si="141"/>
        <v>1.5</v>
      </c>
      <c r="AB332" s="138">
        <f t="shared" si="141"/>
        <v>1.5</v>
      </c>
      <c r="AC332" s="138">
        <f t="shared" si="141"/>
        <v>1.5</v>
      </c>
      <c r="AD332" s="138">
        <f t="shared" si="141"/>
        <v>1.5</v>
      </c>
      <c r="AE332" s="138">
        <f t="shared" si="141"/>
        <v>1.5</v>
      </c>
      <c r="AF332" s="138">
        <f t="shared" si="141"/>
        <v>1.5</v>
      </c>
      <c r="AG332" s="138">
        <f t="shared" si="141"/>
        <v>1.5</v>
      </c>
      <c r="AH332" s="138">
        <f t="shared" si="141"/>
        <v>1.5</v>
      </c>
      <c r="AI332" s="138">
        <f t="shared" si="141"/>
        <v>1.5</v>
      </c>
      <c r="AJ332" s="138">
        <f t="shared" si="141"/>
        <v>1.5</v>
      </c>
      <c r="AK332" s="138">
        <f t="shared" si="141"/>
        <v>1.5</v>
      </c>
      <c r="AL332" s="138">
        <f t="shared" si="141"/>
        <v>1.5</v>
      </c>
      <c r="AM332" s="138">
        <f t="shared" si="141"/>
        <v>1.5</v>
      </c>
      <c r="AN332" s="138">
        <f t="shared" si="141"/>
        <v>1.5</v>
      </c>
      <c r="AO332" s="138">
        <f t="shared" si="141"/>
        <v>1.5</v>
      </c>
      <c r="AP332" s="138">
        <f t="shared" si="141"/>
        <v>1.5</v>
      </c>
      <c r="AQ332" s="138">
        <f t="shared" si="141"/>
        <v>1.5</v>
      </c>
      <c r="AR332" s="138">
        <f t="shared" si="141"/>
        <v>1.5</v>
      </c>
      <c r="AS332" s="138">
        <f t="shared" si="141"/>
        <v>1.5</v>
      </c>
      <c r="AT332" s="138">
        <f t="shared" si="141"/>
        <v>1.5</v>
      </c>
      <c r="AU332" s="138">
        <f t="shared" si="141"/>
        <v>1.5</v>
      </c>
      <c r="AV332" s="138">
        <f t="shared" si="141"/>
        <v>1.5</v>
      </c>
      <c r="AW332" s="138">
        <f t="shared" si="141"/>
        <v>1.5</v>
      </c>
      <c r="AX332" s="138">
        <f t="shared" si="141"/>
        <v>1.5</v>
      </c>
      <c r="AY332" s="138">
        <f t="shared" si="141"/>
        <v>1.5</v>
      </c>
      <c r="AZ332" s="138">
        <f t="shared" si="141"/>
        <v>1.5</v>
      </c>
      <c r="BA332" s="138">
        <f t="shared" si="141"/>
        <v>1.5</v>
      </c>
      <c r="BB332" s="138">
        <f t="shared" si="141"/>
        <v>1.5</v>
      </c>
      <c r="BC332" s="138">
        <f t="shared" si="141"/>
        <v>1.5</v>
      </c>
      <c r="BD332" s="138">
        <f t="shared" si="141"/>
        <v>1.5</v>
      </c>
      <c r="BE332" s="138">
        <f t="shared" si="141"/>
        <v>1.5</v>
      </c>
      <c r="BF332" s="138">
        <f t="shared" si="141"/>
        <v>1.5</v>
      </c>
      <c r="BG332" s="138">
        <f t="shared" si="141"/>
        <v>1.5</v>
      </c>
      <c r="BH332" s="138">
        <f t="shared" si="141"/>
        <v>1.5</v>
      </c>
      <c r="BI332" s="138">
        <f t="shared" si="141"/>
        <v>1.5</v>
      </c>
      <c r="BJ332" s="138">
        <f t="shared" si="141"/>
        <v>1.5</v>
      </c>
      <c r="BK332" s="138">
        <f t="shared" si="141"/>
        <v>1.5</v>
      </c>
      <c r="BL332" s="138">
        <f t="shared" si="141"/>
        <v>1.5</v>
      </c>
      <c r="BM332" s="138">
        <f t="shared" si="141"/>
        <v>1.5</v>
      </c>
    </row>
    <row r="333" spans="2:65">
      <c r="B333" s="51" t="s">
        <v>362</v>
      </c>
      <c r="C333" s="51"/>
      <c r="D333" s="51"/>
      <c r="E333" s="54"/>
      <c r="F333" s="135">
        <f>[1]Assumptions!C20</f>
        <v>0</v>
      </c>
      <c r="G333" s="113">
        <f t="shared" si="137"/>
        <v>0</v>
      </c>
      <c r="H333" s="113">
        <f t="shared" si="137"/>
        <v>0</v>
      </c>
      <c r="I333" s="113">
        <f t="shared" si="137"/>
        <v>0</v>
      </c>
      <c r="J333" s="113">
        <f t="shared" si="137"/>
        <v>0</v>
      </c>
      <c r="K333" s="113">
        <f t="shared" si="137"/>
        <v>0</v>
      </c>
      <c r="L333" s="113">
        <f t="shared" si="137"/>
        <v>0</v>
      </c>
      <c r="M333" s="113">
        <f t="shared" si="137"/>
        <v>0</v>
      </c>
      <c r="N333" s="113">
        <f t="shared" si="137"/>
        <v>0</v>
      </c>
      <c r="O333" s="113">
        <f>N333</f>
        <v>0</v>
      </c>
      <c r="P333" s="113">
        <f t="shared" si="141"/>
        <v>0</v>
      </c>
      <c r="Q333" s="113">
        <f t="shared" si="141"/>
        <v>0</v>
      </c>
      <c r="R333" s="113">
        <f t="shared" si="141"/>
        <v>0</v>
      </c>
      <c r="S333" s="113">
        <f t="shared" si="141"/>
        <v>0</v>
      </c>
      <c r="T333" s="113">
        <f t="shared" si="141"/>
        <v>0</v>
      </c>
      <c r="U333" s="113">
        <f t="shared" si="141"/>
        <v>0</v>
      </c>
      <c r="V333" s="113">
        <f t="shared" si="141"/>
        <v>0</v>
      </c>
      <c r="W333" s="113">
        <f t="shared" si="141"/>
        <v>0</v>
      </c>
      <c r="X333" s="113">
        <f t="shared" si="141"/>
        <v>0</v>
      </c>
      <c r="Y333" s="113">
        <f t="shared" si="141"/>
        <v>0</v>
      </c>
      <c r="Z333" s="113">
        <f t="shared" si="141"/>
        <v>0</v>
      </c>
      <c r="AA333" s="113">
        <f t="shared" si="141"/>
        <v>0</v>
      </c>
      <c r="AB333" s="113">
        <f t="shared" si="141"/>
        <v>0</v>
      </c>
      <c r="AC333" s="113">
        <f t="shared" si="141"/>
        <v>0</v>
      </c>
      <c r="AD333" s="113">
        <f t="shared" si="141"/>
        <v>0</v>
      </c>
      <c r="AE333" s="113">
        <f t="shared" si="141"/>
        <v>0</v>
      </c>
      <c r="AF333" s="113">
        <f t="shared" si="141"/>
        <v>0</v>
      </c>
      <c r="AG333" s="113">
        <f t="shared" si="141"/>
        <v>0</v>
      </c>
      <c r="AH333" s="113">
        <f t="shared" si="141"/>
        <v>0</v>
      </c>
      <c r="AI333" s="113">
        <f t="shared" si="141"/>
        <v>0</v>
      </c>
      <c r="AJ333" s="113">
        <f t="shared" si="141"/>
        <v>0</v>
      </c>
      <c r="AK333" s="113">
        <f t="shared" si="141"/>
        <v>0</v>
      </c>
      <c r="AL333" s="113">
        <f t="shared" si="141"/>
        <v>0</v>
      </c>
      <c r="AM333" s="113">
        <f t="shared" si="141"/>
        <v>0</v>
      </c>
      <c r="AN333" s="113">
        <f t="shared" si="141"/>
        <v>0</v>
      </c>
      <c r="AO333" s="113">
        <f t="shared" si="141"/>
        <v>0</v>
      </c>
      <c r="AP333" s="113">
        <f t="shared" si="141"/>
        <v>0</v>
      </c>
      <c r="AQ333" s="113">
        <f t="shared" si="141"/>
        <v>0</v>
      </c>
      <c r="AR333" s="113">
        <f t="shared" si="141"/>
        <v>0</v>
      </c>
      <c r="AS333" s="113">
        <f t="shared" si="141"/>
        <v>0</v>
      </c>
      <c r="AT333" s="113">
        <f t="shared" si="141"/>
        <v>0</v>
      </c>
      <c r="AU333" s="113">
        <f t="shared" si="141"/>
        <v>0</v>
      </c>
      <c r="AV333" s="113">
        <f t="shared" si="141"/>
        <v>0</v>
      </c>
      <c r="AW333" s="113">
        <f t="shared" si="141"/>
        <v>0</v>
      </c>
      <c r="AX333" s="113">
        <f t="shared" si="141"/>
        <v>0</v>
      </c>
      <c r="AY333" s="113">
        <f t="shared" si="141"/>
        <v>0</v>
      </c>
      <c r="AZ333" s="113">
        <f t="shared" si="141"/>
        <v>0</v>
      </c>
      <c r="BA333" s="113">
        <f t="shared" si="141"/>
        <v>0</v>
      </c>
      <c r="BB333" s="113">
        <f t="shared" si="141"/>
        <v>0</v>
      </c>
      <c r="BC333" s="113">
        <f t="shared" si="141"/>
        <v>0</v>
      </c>
      <c r="BD333" s="113">
        <f t="shared" si="141"/>
        <v>0</v>
      </c>
      <c r="BE333" s="113">
        <f t="shared" si="141"/>
        <v>0</v>
      </c>
      <c r="BF333" s="113">
        <f t="shared" si="141"/>
        <v>0</v>
      </c>
      <c r="BG333" s="113">
        <f t="shared" si="141"/>
        <v>0</v>
      </c>
      <c r="BH333" s="113">
        <f t="shared" si="141"/>
        <v>0</v>
      </c>
      <c r="BI333" s="113">
        <f t="shared" si="141"/>
        <v>0</v>
      </c>
      <c r="BJ333" s="113">
        <f t="shared" si="141"/>
        <v>0</v>
      </c>
      <c r="BK333" s="113">
        <f t="shared" si="141"/>
        <v>0</v>
      </c>
      <c r="BL333" s="113">
        <f t="shared" si="141"/>
        <v>0</v>
      </c>
      <c r="BM333" s="113">
        <f t="shared" si="141"/>
        <v>0</v>
      </c>
    </row>
    <row r="334" spans="2:65">
      <c r="B334" s="51"/>
      <c r="C334" s="51"/>
      <c r="D334" s="51"/>
      <c r="E334" s="54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0"/>
      <c r="AI334" s="100"/>
      <c r="AJ334" s="100"/>
      <c r="AK334" s="100"/>
      <c r="AL334" s="100"/>
      <c r="AM334" s="100"/>
      <c r="AN334" s="100"/>
      <c r="AO334" s="100"/>
      <c r="AP334" s="100"/>
      <c r="AQ334" s="100"/>
      <c r="AR334" s="100"/>
      <c r="AS334" s="100"/>
      <c r="AT334" s="100"/>
      <c r="AU334" s="100"/>
      <c r="AV334" s="100"/>
      <c r="AW334" s="100"/>
      <c r="AX334" s="100"/>
      <c r="AY334" s="100"/>
      <c r="AZ334" s="100"/>
      <c r="BA334" s="100"/>
      <c r="BB334" s="100"/>
      <c r="BC334" s="100"/>
      <c r="BD334" s="100"/>
      <c r="BE334" s="100"/>
      <c r="BF334" s="100"/>
      <c r="BG334" s="100"/>
      <c r="BH334" s="100"/>
      <c r="BI334" s="100"/>
      <c r="BJ334" s="100"/>
      <c r="BK334" s="100"/>
      <c r="BL334" s="100"/>
      <c r="BM334" s="100"/>
    </row>
    <row r="335" spans="2:65">
      <c r="B335" s="3" t="s">
        <v>127</v>
      </c>
      <c r="C335" s="51"/>
      <c r="D335" s="51"/>
      <c r="E335" s="54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  <c r="AI335" s="100"/>
      <c r="AJ335" s="100"/>
      <c r="AK335" s="100"/>
      <c r="AL335" s="100"/>
      <c r="AM335" s="100"/>
      <c r="AN335" s="100"/>
      <c r="AO335" s="100"/>
      <c r="AP335" s="100"/>
      <c r="AQ335" s="100"/>
      <c r="AR335" s="100"/>
      <c r="AS335" s="100"/>
      <c r="AT335" s="100"/>
      <c r="AU335" s="100"/>
      <c r="AV335" s="100"/>
      <c r="AW335" s="100"/>
      <c r="AX335" s="100"/>
      <c r="AY335" s="100"/>
      <c r="AZ335" s="100"/>
      <c r="BA335" s="100"/>
      <c r="BB335" s="100"/>
      <c r="BC335" s="100"/>
      <c r="BD335" s="100"/>
      <c r="BE335" s="100"/>
      <c r="BF335" s="100"/>
      <c r="BG335" s="100"/>
      <c r="BH335" s="100"/>
      <c r="BI335" s="100"/>
      <c r="BJ335" s="100"/>
      <c r="BK335" s="100"/>
      <c r="BL335" s="100"/>
      <c r="BM335" s="100"/>
    </row>
    <row r="336" spans="2:65">
      <c r="B336" s="51" t="s">
        <v>363</v>
      </c>
      <c r="C336" s="51" t="s">
        <v>128</v>
      </c>
      <c r="D336" s="51"/>
      <c r="E336" s="54">
        <f>SUM(F336:BM336)</f>
        <v>0</v>
      </c>
      <c r="F336" s="100">
        <f>F313*[1]Assumptions!$C$21</f>
        <v>0</v>
      </c>
      <c r="G336" s="100">
        <f>G313*[1]Assumptions!$C$21</f>
        <v>0</v>
      </c>
      <c r="H336" s="100">
        <f>H313*[1]Assumptions!$C$21</f>
        <v>0</v>
      </c>
      <c r="I336" s="100">
        <f>I313*[1]Assumptions!$C$21</f>
        <v>0</v>
      </c>
      <c r="J336" s="100">
        <f>J313*[1]Assumptions!$C$21</f>
        <v>0</v>
      </c>
      <c r="K336" s="100">
        <f>K313*[1]Assumptions!$C$21</f>
        <v>0</v>
      </c>
      <c r="L336" s="100">
        <f>L313*[1]Assumptions!$C$21</f>
        <v>0</v>
      </c>
      <c r="M336" s="100">
        <f>M313*[1]Assumptions!$C$21</f>
        <v>0</v>
      </c>
      <c r="N336" s="100">
        <f>N313*[1]Assumptions!$C$21</f>
        <v>0</v>
      </c>
      <c r="O336" s="100">
        <f>O313*[1]Assumptions!$C$21</f>
        <v>0</v>
      </c>
      <c r="P336" s="100">
        <f>P313*[1]Assumptions!$C$21</f>
        <v>0</v>
      </c>
      <c r="Q336" s="100">
        <f>Q313*[1]Assumptions!$C$21</f>
        <v>0</v>
      </c>
      <c r="R336" s="100">
        <f>R313*[1]Assumptions!$C$21</f>
        <v>0</v>
      </c>
      <c r="S336" s="100">
        <f>S313*[1]Assumptions!$C$21</f>
        <v>0</v>
      </c>
      <c r="T336" s="100">
        <f>T313*[1]Assumptions!$C$21</f>
        <v>0</v>
      </c>
      <c r="U336" s="100">
        <f>U313*[1]Assumptions!$C$21</f>
        <v>0</v>
      </c>
      <c r="V336" s="100">
        <f>V313*[1]Assumptions!$C$21</f>
        <v>0</v>
      </c>
      <c r="W336" s="100">
        <f>W313*[1]Assumptions!$C$21</f>
        <v>0</v>
      </c>
      <c r="X336" s="100">
        <f>X313*[1]Assumptions!$C$21</f>
        <v>0</v>
      </c>
      <c r="Y336" s="100">
        <f>Y313*[1]Assumptions!$C$21</f>
        <v>0</v>
      </c>
      <c r="Z336" s="100">
        <f>Z313*[1]Assumptions!$C$21</f>
        <v>0</v>
      </c>
      <c r="AA336" s="100">
        <f>AA313*[1]Assumptions!$C$21</f>
        <v>0</v>
      </c>
      <c r="AB336" s="100">
        <f>AB313*[1]Assumptions!$C$21</f>
        <v>0</v>
      </c>
      <c r="AC336" s="100">
        <f>AC313*[1]Assumptions!$C$21</f>
        <v>0</v>
      </c>
      <c r="AD336" s="100">
        <f>AD313*[1]Assumptions!$C$21</f>
        <v>0</v>
      </c>
      <c r="AE336" s="100">
        <f>AE313*[1]Assumptions!$C$21</f>
        <v>0</v>
      </c>
      <c r="AF336" s="100">
        <f>AF313*[1]Assumptions!$C$21</f>
        <v>0</v>
      </c>
      <c r="AG336" s="100">
        <f>AG313*[1]Assumptions!$C$21</f>
        <v>0</v>
      </c>
      <c r="AH336" s="100">
        <f>AH313*[1]Assumptions!$C$21</f>
        <v>0</v>
      </c>
      <c r="AI336" s="100">
        <f>AI313*[1]Assumptions!$C$21</f>
        <v>0</v>
      </c>
      <c r="AJ336" s="100">
        <f>AJ313*[1]Assumptions!$C$21</f>
        <v>0</v>
      </c>
      <c r="AK336" s="100">
        <f>AK313*[1]Assumptions!$C$21</f>
        <v>0</v>
      </c>
      <c r="AL336" s="100">
        <f>AL313*[1]Assumptions!$C$21</f>
        <v>0</v>
      </c>
      <c r="AM336" s="100">
        <f>AM313*[1]Assumptions!$C$21</f>
        <v>0</v>
      </c>
      <c r="AN336" s="100">
        <f>AN313*[1]Assumptions!$C$21</f>
        <v>0</v>
      </c>
      <c r="AO336" s="100">
        <f>AO313*[1]Assumptions!$C$21</f>
        <v>0</v>
      </c>
      <c r="AP336" s="100">
        <f>AP313*[1]Assumptions!$C$21</f>
        <v>0</v>
      </c>
      <c r="AQ336" s="100">
        <f>AQ313*[1]Assumptions!$C$21</f>
        <v>0</v>
      </c>
      <c r="AR336" s="100">
        <f>AR313*[1]Assumptions!$C$21</f>
        <v>0</v>
      </c>
      <c r="AS336" s="100">
        <f>AS313*[1]Assumptions!$C$21</f>
        <v>0</v>
      </c>
      <c r="AT336" s="100">
        <f>AT313*[1]Assumptions!$C$21</f>
        <v>0</v>
      </c>
      <c r="AU336" s="100">
        <f>AU313*[1]Assumptions!$C$21</f>
        <v>0</v>
      </c>
      <c r="AV336" s="100">
        <f>AV313*[1]Assumptions!$C$21</f>
        <v>0</v>
      </c>
      <c r="AW336" s="100">
        <f>AW313*[1]Assumptions!$C$21</f>
        <v>0</v>
      </c>
      <c r="AX336" s="100">
        <f>AX313*[1]Assumptions!$C$21</f>
        <v>0</v>
      </c>
      <c r="AY336" s="100">
        <f>AY313*[1]Assumptions!$C$21</f>
        <v>0</v>
      </c>
      <c r="AZ336" s="100">
        <f>AZ313*[1]Assumptions!$C$21</f>
        <v>0</v>
      </c>
      <c r="BA336" s="100">
        <f>BA313*[1]Assumptions!$C$21</f>
        <v>0</v>
      </c>
      <c r="BB336" s="100">
        <f>BB313*[1]Assumptions!$C$21</f>
        <v>0</v>
      </c>
      <c r="BC336" s="100">
        <f>BC313*[1]Assumptions!$C$21</f>
        <v>0</v>
      </c>
      <c r="BD336" s="100">
        <f>BD313*[1]Assumptions!$C$21</f>
        <v>0</v>
      </c>
      <c r="BE336" s="100">
        <f>BE313*[1]Assumptions!$C$21</f>
        <v>0</v>
      </c>
      <c r="BF336" s="100">
        <f>BF313*[1]Assumptions!$C$21</f>
        <v>0</v>
      </c>
      <c r="BG336" s="100">
        <f>BG313*[1]Assumptions!$C$21</f>
        <v>0</v>
      </c>
      <c r="BH336" s="100">
        <f>BH313*[1]Assumptions!$C$21</f>
        <v>0</v>
      </c>
      <c r="BI336" s="100">
        <f>BI313*[1]Assumptions!$C$21</f>
        <v>0</v>
      </c>
      <c r="BJ336" s="100">
        <f>BJ313*[1]Assumptions!$C$21</f>
        <v>0</v>
      </c>
      <c r="BK336" s="100">
        <f>BK313*[1]Assumptions!$C$21</f>
        <v>0</v>
      </c>
      <c r="BL336" s="100">
        <f>BL313*[1]Assumptions!$C$21</f>
        <v>0</v>
      </c>
      <c r="BM336" s="100">
        <f>BM313*[1]Assumptions!$C$21</f>
        <v>0</v>
      </c>
    </row>
    <row r="337" spans="1:65">
      <c r="A337" s="51"/>
      <c r="B337" s="51" t="s">
        <v>364</v>
      </c>
      <c r="C337" s="51" t="s">
        <v>128</v>
      </c>
      <c r="D337" s="51"/>
      <c r="E337" s="54">
        <f>SUM(F337:BM337)</f>
        <v>522395136</v>
      </c>
      <c r="F337" s="94">
        <f t="shared" ref="F337:BM339" si="142">F325*F330</f>
        <v>0</v>
      </c>
      <c r="G337" s="94">
        <f t="shared" si="142"/>
        <v>0</v>
      </c>
      <c r="H337" s="94">
        <f t="shared" si="142"/>
        <v>0</v>
      </c>
      <c r="I337" s="94">
        <f t="shared" si="142"/>
        <v>0</v>
      </c>
      <c r="J337" s="94">
        <f t="shared" si="142"/>
        <v>0</v>
      </c>
      <c r="K337" s="94">
        <f t="shared" si="142"/>
        <v>0</v>
      </c>
      <c r="L337" s="94">
        <f t="shared" si="142"/>
        <v>0</v>
      </c>
      <c r="M337" s="94">
        <f t="shared" si="142"/>
        <v>107136</v>
      </c>
      <c r="N337" s="94">
        <f t="shared" si="142"/>
        <v>552960</v>
      </c>
      <c r="O337" s="94">
        <f t="shared" si="142"/>
        <v>857088</v>
      </c>
      <c r="P337" s="94">
        <f t="shared" si="142"/>
        <v>1928448</v>
      </c>
      <c r="Q337" s="94">
        <f t="shared" si="142"/>
        <v>1866240.0000000002</v>
      </c>
      <c r="R337" s="94">
        <f t="shared" si="142"/>
        <v>2571264</v>
      </c>
      <c r="S337" s="94">
        <f t="shared" si="142"/>
        <v>3732480</v>
      </c>
      <c r="T337" s="94">
        <f t="shared" si="142"/>
        <v>4821120.0000000009</v>
      </c>
      <c r="U337" s="94">
        <f t="shared" si="142"/>
        <v>4821120.0000000009</v>
      </c>
      <c r="V337" s="94">
        <f t="shared" si="142"/>
        <v>5225472</v>
      </c>
      <c r="W337" s="94">
        <f t="shared" si="142"/>
        <v>5785344</v>
      </c>
      <c r="X337" s="94">
        <f t="shared" si="142"/>
        <v>6531840</v>
      </c>
      <c r="Y337" s="94">
        <f t="shared" si="142"/>
        <v>6749568</v>
      </c>
      <c r="Z337" s="94">
        <f t="shared" si="142"/>
        <v>7464960</v>
      </c>
      <c r="AA337" s="94">
        <f t="shared" si="142"/>
        <v>7713792</v>
      </c>
      <c r="AB337" s="94">
        <f t="shared" si="142"/>
        <v>7713792</v>
      </c>
      <c r="AC337" s="94">
        <f t="shared" si="142"/>
        <v>7464960</v>
      </c>
      <c r="AD337" s="94">
        <f t="shared" si="142"/>
        <v>10285056</v>
      </c>
      <c r="AE337" s="94">
        <f t="shared" si="142"/>
        <v>9953280</v>
      </c>
      <c r="AF337" s="94">
        <f t="shared" si="142"/>
        <v>10285056</v>
      </c>
      <c r="AG337" s="94">
        <f t="shared" si="142"/>
        <v>10285056</v>
      </c>
      <c r="AH337" s="94">
        <f t="shared" si="142"/>
        <v>9289728</v>
      </c>
      <c r="AI337" s="94">
        <f t="shared" si="142"/>
        <v>10285056</v>
      </c>
      <c r="AJ337" s="94">
        <f t="shared" si="142"/>
        <v>9953280</v>
      </c>
      <c r="AK337" s="94">
        <f t="shared" si="142"/>
        <v>10285056</v>
      </c>
      <c r="AL337" s="94">
        <f t="shared" si="142"/>
        <v>9953280</v>
      </c>
      <c r="AM337" s="94">
        <f t="shared" si="142"/>
        <v>10285056</v>
      </c>
      <c r="AN337" s="94">
        <f t="shared" si="142"/>
        <v>10285056</v>
      </c>
      <c r="AO337" s="94">
        <f t="shared" si="142"/>
        <v>9953280</v>
      </c>
      <c r="AP337" s="94">
        <f t="shared" si="142"/>
        <v>12856320</v>
      </c>
      <c r="AQ337" s="94">
        <f t="shared" si="142"/>
        <v>12441600</v>
      </c>
      <c r="AR337" s="94">
        <f t="shared" si="142"/>
        <v>12856320</v>
      </c>
      <c r="AS337" s="94">
        <f t="shared" si="142"/>
        <v>12856320</v>
      </c>
      <c r="AT337" s="94">
        <f t="shared" si="142"/>
        <v>11612160</v>
      </c>
      <c r="AU337" s="94">
        <f t="shared" si="142"/>
        <v>12856320</v>
      </c>
      <c r="AV337" s="94">
        <f t="shared" si="142"/>
        <v>12441600</v>
      </c>
      <c r="AW337" s="94">
        <f t="shared" si="142"/>
        <v>12856320</v>
      </c>
      <c r="AX337" s="94">
        <f t="shared" si="142"/>
        <v>12441600</v>
      </c>
      <c r="AY337" s="94">
        <f t="shared" si="142"/>
        <v>12856320</v>
      </c>
      <c r="AZ337" s="94">
        <f t="shared" si="142"/>
        <v>12856320</v>
      </c>
      <c r="BA337" s="94">
        <f t="shared" si="142"/>
        <v>12441600</v>
      </c>
      <c r="BB337" s="94">
        <f t="shared" si="142"/>
        <v>12856320</v>
      </c>
      <c r="BC337" s="94">
        <f t="shared" si="142"/>
        <v>12441600</v>
      </c>
      <c r="BD337" s="94">
        <f t="shared" si="142"/>
        <v>12856320</v>
      </c>
      <c r="BE337" s="94">
        <f t="shared" si="142"/>
        <v>15427584</v>
      </c>
      <c r="BF337" s="94">
        <f t="shared" si="142"/>
        <v>13934592</v>
      </c>
      <c r="BG337" s="94">
        <f t="shared" si="142"/>
        <v>15427584</v>
      </c>
      <c r="BH337" s="94">
        <f t="shared" si="142"/>
        <v>14929920</v>
      </c>
      <c r="BI337" s="94">
        <f t="shared" si="142"/>
        <v>15427584</v>
      </c>
      <c r="BJ337" s="94">
        <f t="shared" si="142"/>
        <v>14929920</v>
      </c>
      <c r="BK337" s="94">
        <f t="shared" si="142"/>
        <v>15427584</v>
      </c>
      <c r="BL337" s="94">
        <f t="shared" si="142"/>
        <v>15427584</v>
      </c>
      <c r="BM337" s="94">
        <f t="shared" si="142"/>
        <v>14929920</v>
      </c>
    </row>
    <row r="338" spans="1:65">
      <c r="A338" s="51"/>
      <c r="B338" s="51" t="s">
        <v>365</v>
      </c>
      <c r="C338" s="51" t="s">
        <v>128</v>
      </c>
      <c r="D338" s="51"/>
      <c r="E338" s="54">
        <f>SUM(F338:BM338)</f>
        <v>88105968</v>
      </c>
      <c r="F338" s="94">
        <f t="shared" si="142"/>
        <v>0</v>
      </c>
      <c r="G338" s="94">
        <f t="shared" si="142"/>
        <v>0</v>
      </c>
      <c r="H338" s="94">
        <f t="shared" si="142"/>
        <v>0</v>
      </c>
      <c r="I338" s="94">
        <f t="shared" si="142"/>
        <v>0</v>
      </c>
      <c r="J338" s="94">
        <f t="shared" si="142"/>
        <v>0</v>
      </c>
      <c r="K338" s="94">
        <f t="shared" si="142"/>
        <v>0</v>
      </c>
      <c r="L338" s="94">
        <f t="shared" si="142"/>
        <v>25920</v>
      </c>
      <c r="M338" s="94">
        <f t="shared" si="142"/>
        <v>40176</v>
      </c>
      <c r="N338" s="94">
        <f t="shared" si="142"/>
        <v>207360</v>
      </c>
      <c r="O338" s="94">
        <f t="shared" si="142"/>
        <v>321408</v>
      </c>
      <c r="P338" s="94">
        <f t="shared" si="142"/>
        <v>723168</v>
      </c>
      <c r="Q338" s="94">
        <f t="shared" si="142"/>
        <v>699840</v>
      </c>
      <c r="R338" s="94">
        <f t="shared" si="142"/>
        <v>964224</v>
      </c>
      <c r="S338" s="94">
        <f t="shared" si="142"/>
        <v>933120</v>
      </c>
      <c r="T338" s="94">
        <f t="shared" si="142"/>
        <v>1205280</v>
      </c>
      <c r="U338" s="94">
        <f t="shared" si="142"/>
        <v>1205280</v>
      </c>
      <c r="V338" s="94">
        <f t="shared" si="142"/>
        <v>1306368</v>
      </c>
      <c r="W338" s="94">
        <f t="shared" si="142"/>
        <v>1446336</v>
      </c>
      <c r="X338" s="94">
        <f t="shared" si="142"/>
        <v>1632960</v>
      </c>
      <c r="Y338" s="94">
        <f t="shared" si="142"/>
        <v>1687392</v>
      </c>
      <c r="Z338" s="94">
        <f t="shared" si="142"/>
        <v>1866240</v>
      </c>
      <c r="AA338" s="94">
        <f t="shared" si="142"/>
        <v>1928448</v>
      </c>
      <c r="AB338" s="94">
        <f t="shared" si="142"/>
        <v>1928448</v>
      </c>
      <c r="AC338" s="94">
        <f t="shared" si="142"/>
        <v>1866240</v>
      </c>
      <c r="AD338" s="94">
        <f t="shared" si="142"/>
        <v>1928448</v>
      </c>
      <c r="AE338" s="94">
        <f t="shared" si="142"/>
        <v>1866240</v>
      </c>
      <c r="AF338" s="94">
        <f t="shared" si="142"/>
        <v>1928448</v>
      </c>
      <c r="AG338" s="94">
        <f t="shared" si="142"/>
        <v>1928448</v>
      </c>
      <c r="AH338" s="94">
        <f t="shared" si="142"/>
        <v>1741824.0000000005</v>
      </c>
      <c r="AI338" s="94">
        <f t="shared" si="142"/>
        <v>1928448</v>
      </c>
      <c r="AJ338" s="94">
        <f t="shared" si="142"/>
        <v>1866240</v>
      </c>
      <c r="AK338" s="94">
        <f t="shared" si="142"/>
        <v>1928448</v>
      </c>
      <c r="AL338" s="94">
        <f t="shared" si="142"/>
        <v>1866240</v>
      </c>
      <c r="AM338" s="94">
        <f t="shared" si="142"/>
        <v>1928448</v>
      </c>
      <c r="AN338" s="94">
        <f t="shared" si="142"/>
        <v>1928448</v>
      </c>
      <c r="AO338" s="94">
        <f t="shared" si="142"/>
        <v>1866240</v>
      </c>
      <c r="AP338" s="94">
        <f t="shared" si="142"/>
        <v>1928448</v>
      </c>
      <c r="AQ338" s="94">
        <f t="shared" si="142"/>
        <v>1866240</v>
      </c>
      <c r="AR338" s="94">
        <f t="shared" si="142"/>
        <v>1928448</v>
      </c>
      <c r="AS338" s="94">
        <f t="shared" si="142"/>
        <v>1928448</v>
      </c>
      <c r="AT338" s="94">
        <f t="shared" si="142"/>
        <v>1741824.0000000005</v>
      </c>
      <c r="AU338" s="94">
        <f t="shared" si="142"/>
        <v>1928448</v>
      </c>
      <c r="AV338" s="94">
        <f t="shared" si="142"/>
        <v>1866240</v>
      </c>
      <c r="AW338" s="94">
        <f t="shared" si="142"/>
        <v>1928448</v>
      </c>
      <c r="AX338" s="94">
        <f t="shared" si="142"/>
        <v>1866240</v>
      </c>
      <c r="AY338" s="94">
        <f t="shared" si="142"/>
        <v>1928448</v>
      </c>
      <c r="AZ338" s="94">
        <f t="shared" si="142"/>
        <v>1928448</v>
      </c>
      <c r="BA338" s="94">
        <f t="shared" si="142"/>
        <v>1866240</v>
      </c>
      <c r="BB338" s="94">
        <f t="shared" si="142"/>
        <v>1928448</v>
      </c>
      <c r="BC338" s="94">
        <f t="shared" si="142"/>
        <v>1866240</v>
      </c>
      <c r="BD338" s="94">
        <f t="shared" si="142"/>
        <v>1928448</v>
      </c>
      <c r="BE338" s="94">
        <f t="shared" si="142"/>
        <v>1928448</v>
      </c>
      <c r="BF338" s="94">
        <f t="shared" si="142"/>
        <v>1741824.0000000005</v>
      </c>
      <c r="BG338" s="94">
        <f t="shared" si="142"/>
        <v>1928448</v>
      </c>
      <c r="BH338" s="94">
        <f t="shared" si="142"/>
        <v>1866240</v>
      </c>
      <c r="BI338" s="94">
        <f t="shared" si="142"/>
        <v>1928448</v>
      </c>
      <c r="BJ338" s="94">
        <f t="shared" si="142"/>
        <v>1866240</v>
      </c>
      <c r="BK338" s="94">
        <f t="shared" si="142"/>
        <v>1928448</v>
      </c>
      <c r="BL338" s="94">
        <f t="shared" si="142"/>
        <v>1928448</v>
      </c>
      <c r="BM338" s="94">
        <f t="shared" si="142"/>
        <v>1866240</v>
      </c>
    </row>
    <row r="339" spans="1:65">
      <c r="A339" s="51"/>
      <c r="B339" t="s">
        <v>366</v>
      </c>
      <c r="C339" s="51" t="s">
        <v>128</v>
      </c>
      <c r="D339" s="51"/>
      <c r="E339" s="54">
        <f>SUM(F339:BM339)</f>
        <v>26386514.657003641</v>
      </c>
      <c r="F339" s="94">
        <f t="shared" ref="F339:M339" si="143">F316*F333</f>
        <v>0</v>
      </c>
      <c r="G339" s="94">
        <f t="shared" si="143"/>
        <v>0</v>
      </c>
      <c r="H339" s="94">
        <f t="shared" si="143"/>
        <v>0</v>
      </c>
      <c r="I339" s="94">
        <f t="shared" si="143"/>
        <v>0</v>
      </c>
      <c r="J339" s="94">
        <f t="shared" si="143"/>
        <v>0</v>
      </c>
      <c r="K339" s="94">
        <f t="shared" si="143"/>
        <v>0</v>
      </c>
      <c r="L339" s="94">
        <f t="shared" si="143"/>
        <v>0</v>
      </c>
      <c r="M339" s="94">
        <f t="shared" si="143"/>
        <v>0</v>
      </c>
      <c r="N339" s="92">
        <f t="shared" si="142"/>
        <v>46638.51055854054</v>
      </c>
      <c r="O339" s="92">
        <f t="shared" si="142"/>
        <v>96386.255154317128</v>
      </c>
      <c r="P339" s="92">
        <f t="shared" si="142"/>
        <v>216869.07409721354</v>
      </c>
      <c r="Q339" s="92">
        <f t="shared" si="142"/>
        <v>209873.29751343245</v>
      </c>
      <c r="R339" s="92">
        <f t="shared" si="142"/>
        <v>289158.76546295139</v>
      </c>
      <c r="S339" s="92">
        <f t="shared" si="142"/>
        <v>279831.06335124327</v>
      </c>
      <c r="T339" s="92">
        <f t="shared" si="142"/>
        <v>361448.4568286892</v>
      </c>
      <c r="U339" s="92">
        <f t="shared" si="142"/>
        <v>361448.4568286892</v>
      </c>
      <c r="V339" s="92">
        <f t="shared" si="142"/>
        <v>391763.48869174055</v>
      </c>
      <c r="W339" s="92">
        <f t="shared" si="142"/>
        <v>433738.14819442708</v>
      </c>
      <c r="X339" s="92">
        <f t="shared" si="142"/>
        <v>489704.36086467578</v>
      </c>
      <c r="Y339" s="92">
        <f t="shared" si="142"/>
        <v>506027.83956016495</v>
      </c>
      <c r="Z339" s="92">
        <f t="shared" si="142"/>
        <v>559662.12670248654</v>
      </c>
      <c r="AA339" s="92">
        <f t="shared" si="142"/>
        <v>578317.53092590277</v>
      </c>
      <c r="AB339" s="92">
        <f t="shared" si="142"/>
        <v>578317.53092590277</v>
      </c>
      <c r="AC339" s="92">
        <f t="shared" si="142"/>
        <v>559662.12670248654</v>
      </c>
      <c r="AD339" s="92">
        <f t="shared" si="142"/>
        <v>578317.53092590277</v>
      </c>
      <c r="AE339" s="92">
        <f t="shared" si="142"/>
        <v>559662.12670248654</v>
      </c>
      <c r="AF339" s="92">
        <f t="shared" si="142"/>
        <v>578317.53092590277</v>
      </c>
      <c r="AG339" s="92">
        <f t="shared" si="142"/>
        <v>578317.53092590277</v>
      </c>
      <c r="AH339" s="92">
        <f t="shared" si="142"/>
        <v>522351.3182556543</v>
      </c>
      <c r="AI339" s="92">
        <f t="shared" si="142"/>
        <v>578317.53092590277</v>
      </c>
      <c r="AJ339" s="92">
        <f t="shared" si="142"/>
        <v>559662.12670248654</v>
      </c>
      <c r="AK339" s="92">
        <f t="shared" si="142"/>
        <v>578317.53092590277</v>
      </c>
      <c r="AL339" s="92">
        <f t="shared" si="142"/>
        <v>559662.12670248654</v>
      </c>
      <c r="AM339" s="92">
        <f t="shared" si="142"/>
        <v>578317.53092590277</v>
      </c>
      <c r="AN339" s="92">
        <f t="shared" si="142"/>
        <v>578317.53092590277</v>
      </c>
      <c r="AO339" s="92">
        <f t="shared" si="142"/>
        <v>559662.12670248654</v>
      </c>
      <c r="AP339" s="92">
        <f t="shared" si="142"/>
        <v>578317.53092590277</v>
      </c>
      <c r="AQ339" s="92">
        <f t="shared" si="142"/>
        <v>559662.12670248654</v>
      </c>
      <c r="AR339" s="92">
        <f t="shared" si="142"/>
        <v>578317.53092590277</v>
      </c>
      <c r="AS339" s="92">
        <f t="shared" si="142"/>
        <v>578317.53092590277</v>
      </c>
      <c r="AT339" s="92">
        <f t="shared" si="142"/>
        <v>522351.3182556543</v>
      </c>
      <c r="AU339" s="92">
        <f t="shared" si="142"/>
        <v>578317.53092590277</v>
      </c>
      <c r="AV339" s="92">
        <f t="shared" si="142"/>
        <v>559662.12670248654</v>
      </c>
      <c r="AW339" s="92">
        <f t="shared" si="142"/>
        <v>578317.53092590277</v>
      </c>
      <c r="AX339" s="92">
        <f t="shared" si="142"/>
        <v>559662.12670248654</v>
      </c>
      <c r="AY339" s="92">
        <f t="shared" si="142"/>
        <v>578317.53092590277</v>
      </c>
      <c r="AZ339" s="92">
        <f t="shared" si="142"/>
        <v>578317.53092590277</v>
      </c>
      <c r="BA339" s="92">
        <f t="shared" si="142"/>
        <v>559662.12670248654</v>
      </c>
      <c r="BB339" s="92">
        <f t="shared" si="142"/>
        <v>578317.53092590277</v>
      </c>
      <c r="BC339" s="92">
        <f t="shared" si="142"/>
        <v>559662.12670248654</v>
      </c>
      <c r="BD339" s="92">
        <f t="shared" si="142"/>
        <v>578317.53092590277</v>
      </c>
      <c r="BE339" s="92">
        <f t="shared" si="142"/>
        <v>578317.53092590277</v>
      </c>
      <c r="BF339" s="92">
        <f t="shared" si="142"/>
        <v>522351.3182556543</v>
      </c>
      <c r="BG339" s="92">
        <f t="shared" si="142"/>
        <v>578317.53092590277</v>
      </c>
      <c r="BH339" s="92">
        <f t="shared" si="142"/>
        <v>559662.12670248654</v>
      </c>
      <c r="BI339" s="92">
        <f t="shared" si="142"/>
        <v>578317.53092590277</v>
      </c>
      <c r="BJ339" s="92">
        <f t="shared" si="142"/>
        <v>559662.12670248654</v>
      </c>
      <c r="BK339" s="92">
        <f t="shared" si="142"/>
        <v>578317.53092590277</v>
      </c>
      <c r="BL339" s="92">
        <f t="shared" si="142"/>
        <v>578317.53092590277</v>
      </c>
      <c r="BM339" s="92">
        <f t="shared" si="142"/>
        <v>559662.12670248654</v>
      </c>
    </row>
    <row r="340" spans="1:65">
      <c r="A340" s="51"/>
      <c r="B340" s="51"/>
      <c r="C340" s="51"/>
      <c r="D340" s="51"/>
      <c r="E340" s="74"/>
      <c r="F340" s="51"/>
      <c r="G340" s="69"/>
      <c r="H340" s="69"/>
      <c r="I340" s="69"/>
      <c r="J340" s="69"/>
      <c r="K340" s="69"/>
      <c r="L340" s="69"/>
      <c r="M340" s="69"/>
      <c r="N340" s="69"/>
      <c r="O340" s="69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  <c r="AR340" s="51"/>
      <c r="AS340" s="51"/>
      <c r="AT340" s="51"/>
      <c r="AU340" s="51"/>
      <c r="AV340" s="51"/>
      <c r="AW340" s="51"/>
      <c r="AX340" s="51"/>
      <c r="AY340" s="51"/>
      <c r="AZ340" s="51"/>
      <c r="BA340" s="51"/>
      <c r="BB340" s="51"/>
      <c r="BC340" s="51"/>
      <c r="BD340" s="51"/>
      <c r="BE340" s="51"/>
      <c r="BF340" s="51"/>
      <c r="BG340" s="51"/>
      <c r="BH340" s="51"/>
      <c r="BI340" s="51"/>
      <c r="BJ340" s="51"/>
      <c r="BK340" s="51"/>
      <c r="BL340" s="51"/>
      <c r="BM340" s="51"/>
    </row>
    <row r="341" spans="1:65">
      <c r="A341" s="51"/>
      <c r="B341" s="3" t="s">
        <v>367</v>
      </c>
      <c r="C341" s="51"/>
      <c r="D341" s="51"/>
      <c r="E341" s="74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  <c r="AO341" s="51"/>
      <c r="AP341" s="51"/>
      <c r="AQ341" s="51"/>
      <c r="AR341" s="51"/>
      <c r="AS341" s="51"/>
      <c r="AT341" s="51"/>
      <c r="AU341" s="51"/>
      <c r="AV341" s="51"/>
      <c r="AW341" s="51"/>
      <c r="AX341" s="51"/>
      <c r="AY341" s="51"/>
      <c r="AZ341" s="51"/>
      <c r="BA341" s="51"/>
      <c r="BB341" s="51"/>
      <c r="BC341" s="51"/>
      <c r="BD341" s="51"/>
      <c r="BE341" s="51"/>
      <c r="BF341" s="51"/>
      <c r="BG341" s="51"/>
      <c r="BH341" s="51"/>
      <c r="BI341" s="51"/>
      <c r="BJ341" s="51"/>
      <c r="BK341" s="51"/>
      <c r="BL341" s="51"/>
      <c r="BM341" s="51"/>
    </row>
    <row r="342" spans="1:65">
      <c r="A342" s="51"/>
      <c r="B342" s="51" t="s">
        <v>368</v>
      </c>
      <c r="C342" s="51"/>
      <c r="D342" s="51"/>
      <c r="E342" s="74"/>
      <c r="F342" s="139">
        <f>[1]Assumptions!C14</f>
        <v>0.05</v>
      </c>
      <c r="G342" s="140">
        <f t="shared" ref="G342:N342" si="144">F342</f>
        <v>0.05</v>
      </c>
      <c r="H342" s="140">
        <f t="shared" si="144"/>
        <v>0.05</v>
      </c>
      <c r="I342" s="140">
        <f t="shared" si="144"/>
        <v>0.05</v>
      </c>
      <c r="J342" s="140">
        <f t="shared" si="144"/>
        <v>0.05</v>
      </c>
      <c r="K342" s="140">
        <f t="shared" si="144"/>
        <v>0.05</v>
      </c>
      <c r="L342" s="140">
        <f t="shared" si="144"/>
        <v>0.05</v>
      </c>
      <c r="M342" s="140">
        <f t="shared" si="144"/>
        <v>0.05</v>
      </c>
      <c r="N342" s="140">
        <f t="shared" si="144"/>
        <v>0.05</v>
      </c>
      <c r="O342" s="140">
        <f>N342</f>
        <v>0.05</v>
      </c>
      <c r="P342" s="140">
        <f t="shared" ref="P342:BM342" si="145">O342</f>
        <v>0.05</v>
      </c>
      <c r="Q342" s="140">
        <f t="shared" si="145"/>
        <v>0.05</v>
      </c>
      <c r="R342" s="140">
        <f t="shared" si="145"/>
        <v>0.05</v>
      </c>
      <c r="S342" s="140">
        <f t="shared" si="145"/>
        <v>0.05</v>
      </c>
      <c r="T342" s="140">
        <f t="shared" si="145"/>
        <v>0.05</v>
      </c>
      <c r="U342" s="140">
        <v>7.4999999999999997E-2</v>
      </c>
      <c r="V342" s="140">
        <f t="shared" si="145"/>
        <v>7.4999999999999997E-2</v>
      </c>
      <c r="W342" s="140">
        <f t="shared" si="145"/>
        <v>7.4999999999999997E-2</v>
      </c>
      <c r="X342" s="140">
        <f t="shared" si="145"/>
        <v>7.4999999999999997E-2</v>
      </c>
      <c r="Y342" s="140">
        <f t="shared" si="145"/>
        <v>7.4999999999999997E-2</v>
      </c>
      <c r="Z342" s="140">
        <f t="shared" si="145"/>
        <v>7.4999999999999997E-2</v>
      </c>
      <c r="AA342" s="140">
        <f t="shared" si="145"/>
        <v>7.4999999999999997E-2</v>
      </c>
      <c r="AB342" s="140">
        <f t="shared" si="145"/>
        <v>7.4999999999999997E-2</v>
      </c>
      <c r="AC342" s="140">
        <f t="shared" si="145"/>
        <v>7.4999999999999997E-2</v>
      </c>
      <c r="AD342" s="140">
        <f t="shared" si="145"/>
        <v>7.4999999999999997E-2</v>
      </c>
      <c r="AE342" s="140">
        <f t="shared" si="145"/>
        <v>7.4999999999999997E-2</v>
      </c>
      <c r="AF342" s="140">
        <f t="shared" si="145"/>
        <v>7.4999999999999997E-2</v>
      </c>
      <c r="AG342" s="140">
        <v>0.1</v>
      </c>
      <c r="AH342" s="140">
        <f t="shared" si="145"/>
        <v>0.1</v>
      </c>
      <c r="AI342" s="140">
        <f t="shared" si="145"/>
        <v>0.1</v>
      </c>
      <c r="AJ342" s="140">
        <f t="shared" si="145"/>
        <v>0.1</v>
      </c>
      <c r="AK342" s="140">
        <f t="shared" si="145"/>
        <v>0.1</v>
      </c>
      <c r="AL342" s="140">
        <f t="shared" si="145"/>
        <v>0.1</v>
      </c>
      <c r="AM342" s="140">
        <f t="shared" si="145"/>
        <v>0.1</v>
      </c>
      <c r="AN342" s="140">
        <f t="shared" si="145"/>
        <v>0.1</v>
      </c>
      <c r="AO342" s="140">
        <f t="shared" si="145"/>
        <v>0.1</v>
      </c>
      <c r="AP342" s="140">
        <f t="shared" si="145"/>
        <v>0.1</v>
      </c>
      <c r="AQ342" s="140">
        <f t="shared" si="145"/>
        <v>0.1</v>
      </c>
      <c r="AR342" s="140">
        <f t="shared" si="145"/>
        <v>0.1</v>
      </c>
      <c r="AS342" s="140">
        <v>0.12</v>
      </c>
      <c r="AT342" s="140">
        <f t="shared" si="145"/>
        <v>0.12</v>
      </c>
      <c r="AU342" s="140">
        <f t="shared" si="145"/>
        <v>0.12</v>
      </c>
      <c r="AV342" s="140">
        <f t="shared" si="145"/>
        <v>0.12</v>
      </c>
      <c r="AW342" s="140">
        <f t="shared" si="145"/>
        <v>0.12</v>
      </c>
      <c r="AX342" s="140">
        <f t="shared" si="145"/>
        <v>0.12</v>
      </c>
      <c r="AY342" s="140">
        <f t="shared" si="145"/>
        <v>0.12</v>
      </c>
      <c r="AZ342" s="140">
        <f t="shared" si="145"/>
        <v>0.12</v>
      </c>
      <c r="BA342" s="140">
        <f t="shared" si="145"/>
        <v>0.12</v>
      </c>
      <c r="BB342" s="140">
        <f t="shared" si="145"/>
        <v>0.12</v>
      </c>
      <c r="BC342" s="140">
        <f t="shared" si="145"/>
        <v>0.12</v>
      </c>
      <c r="BD342" s="140">
        <f t="shared" si="145"/>
        <v>0.12</v>
      </c>
      <c r="BE342" s="140">
        <v>1.2E-2</v>
      </c>
      <c r="BF342" s="140">
        <f t="shared" si="145"/>
        <v>1.2E-2</v>
      </c>
      <c r="BG342" s="140">
        <f t="shared" si="145"/>
        <v>1.2E-2</v>
      </c>
      <c r="BH342" s="140">
        <f t="shared" si="145"/>
        <v>1.2E-2</v>
      </c>
      <c r="BI342" s="140">
        <f t="shared" si="145"/>
        <v>1.2E-2</v>
      </c>
      <c r="BJ342" s="140">
        <f t="shared" si="145"/>
        <v>1.2E-2</v>
      </c>
      <c r="BK342" s="140">
        <f t="shared" si="145"/>
        <v>1.2E-2</v>
      </c>
      <c r="BL342" s="140">
        <f t="shared" si="145"/>
        <v>1.2E-2</v>
      </c>
      <c r="BM342" s="140">
        <f t="shared" si="145"/>
        <v>1.2E-2</v>
      </c>
    </row>
    <row r="343" spans="1:65">
      <c r="A343" s="51"/>
      <c r="B343" s="51" t="s">
        <v>369</v>
      </c>
      <c r="C343" s="51" t="s">
        <v>132</v>
      </c>
      <c r="D343" s="51"/>
      <c r="E343" s="74"/>
      <c r="F343" s="113">
        <f>F310*2000*F342</f>
        <v>0</v>
      </c>
      <c r="G343" s="113">
        <f t="shared" ref="G343:BM343" si="146">G310*2000*G342</f>
        <v>0</v>
      </c>
      <c r="H343" s="113">
        <f t="shared" si="146"/>
        <v>0</v>
      </c>
      <c r="I343" s="113">
        <f t="shared" si="146"/>
        <v>0</v>
      </c>
      <c r="J343" s="113">
        <f t="shared" si="146"/>
        <v>0</v>
      </c>
      <c r="K343" s="113">
        <f t="shared" si="146"/>
        <v>0</v>
      </c>
      <c r="L343" s="113">
        <v>0</v>
      </c>
      <c r="M343" s="113">
        <v>0</v>
      </c>
      <c r="N343" s="113">
        <v>0</v>
      </c>
      <c r="O343" s="113">
        <f t="shared" si="146"/>
        <v>178560</v>
      </c>
      <c r="P343" s="113">
        <f t="shared" si="146"/>
        <v>401760</v>
      </c>
      <c r="Q343" s="113">
        <f t="shared" si="146"/>
        <v>388800</v>
      </c>
      <c r="R343" s="113">
        <f t="shared" si="146"/>
        <v>535680</v>
      </c>
      <c r="S343" s="113">
        <f t="shared" si="146"/>
        <v>518400</v>
      </c>
      <c r="T343" s="113">
        <f t="shared" si="146"/>
        <v>669600</v>
      </c>
      <c r="U343" s="113">
        <f t="shared" si="146"/>
        <v>1004400</v>
      </c>
      <c r="V343" s="113">
        <f t="shared" si="146"/>
        <v>1088640</v>
      </c>
      <c r="W343" s="113">
        <f t="shared" si="146"/>
        <v>1205280</v>
      </c>
      <c r="X343" s="113">
        <f t="shared" si="146"/>
        <v>1360800</v>
      </c>
      <c r="Y343" s="113">
        <f t="shared" si="146"/>
        <v>1406160</v>
      </c>
      <c r="Z343" s="113">
        <f t="shared" si="146"/>
        <v>1555200</v>
      </c>
      <c r="AA343" s="113">
        <f t="shared" si="146"/>
        <v>1607040</v>
      </c>
      <c r="AB343" s="113">
        <f t="shared" si="146"/>
        <v>1607040</v>
      </c>
      <c r="AC343" s="113">
        <f t="shared" si="146"/>
        <v>1555200</v>
      </c>
      <c r="AD343" s="113">
        <f t="shared" si="146"/>
        <v>1607040</v>
      </c>
      <c r="AE343" s="113">
        <f t="shared" si="146"/>
        <v>1555200</v>
      </c>
      <c r="AF343" s="113">
        <f t="shared" si="146"/>
        <v>1607040</v>
      </c>
      <c r="AG343" s="113">
        <f t="shared" si="146"/>
        <v>2142720</v>
      </c>
      <c r="AH343" s="113">
        <f t="shared" si="146"/>
        <v>1935360.0000000005</v>
      </c>
      <c r="AI343" s="113">
        <f>AI310*2000*AI342</f>
        <v>2142720</v>
      </c>
      <c r="AJ343" s="112">
        <f>AJ9*48*0.9*2000*AJ342</f>
        <v>259200</v>
      </c>
      <c r="AK343" s="112">
        <f>AK9*48*0.9*2000*AK342</f>
        <v>267840</v>
      </c>
      <c r="AL343" s="112">
        <f>AL9*48*0.9*2000*AL342</f>
        <v>259200</v>
      </c>
      <c r="AM343" s="113">
        <f t="shared" si="146"/>
        <v>2142720</v>
      </c>
      <c r="AN343" s="113">
        <f t="shared" si="146"/>
        <v>2142720</v>
      </c>
      <c r="AO343" s="113">
        <f t="shared" si="146"/>
        <v>2073600</v>
      </c>
      <c r="AP343" s="113">
        <f t="shared" si="146"/>
        <v>2142720</v>
      </c>
      <c r="AQ343" s="113">
        <f t="shared" si="146"/>
        <v>2073600</v>
      </c>
      <c r="AR343" s="113">
        <f t="shared" si="146"/>
        <v>2142720</v>
      </c>
      <c r="AS343" s="113">
        <f t="shared" si="146"/>
        <v>2571264</v>
      </c>
      <c r="AT343" s="113">
        <f t="shared" si="146"/>
        <v>2322432.0000000005</v>
      </c>
      <c r="AU343" s="113">
        <f t="shared" si="146"/>
        <v>2571264</v>
      </c>
      <c r="AV343" s="113">
        <f t="shared" si="146"/>
        <v>2488320</v>
      </c>
      <c r="AW343" s="113">
        <f t="shared" si="146"/>
        <v>2571264</v>
      </c>
      <c r="AX343" s="113">
        <f t="shared" si="146"/>
        <v>2488320</v>
      </c>
      <c r="AY343" s="113">
        <f t="shared" si="146"/>
        <v>2571264</v>
      </c>
      <c r="AZ343" s="113">
        <f t="shared" si="146"/>
        <v>2571264</v>
      </c>
      <c r="BA343" s="113">
        <f t="shared" si="146"/>
        <v>2488320</v>
      </c>
      <c r="BB343" s="113">
        <f t="shared" si="146"/>
        <v>2571264</v>
      </c>
      <c r="BC343" s="113">
        <f t="shared" si="146"/>
        <v>2488320</v>
      </c>
      <c r="BD343" s="113">
        <f t="shared" si="146"/>
        <v>2571264</v>
      </c>
      <c r="BE343" s="113">
        <f t="shared" si="146"/>
        <v>257126.39999999999</v>
      </c>
      <c r="BF343" s="113">
        <f t="shared" si="146"/>
        <v>232243.20000000004</v>
      </c>
      <c r="BG343" s="113">
        <f t="shared" si="146"/>
        <v>257126.39999999999</v>
      </c>
      <c r="BH343" s="113">
        <f t="shared" si="146"/>
        <v>248832</v>
      </c>
      <c r="BI343" s="113">
        <f t="shared" si="146"/>
        <v>257126.39999999999</v>
      </c>
      <c r="BJ343" s="113">
        <f t="shared" si="146"/>
        <v>248832</v>
      </c>
      <c r="BK343" s="113">
        <f t="shared" si="146"/>
        <v>257126.39999999999</v>
      </c>
      <c r="BL343" s="113">
        <f t="shared" si="146"/>
        <v>257126.39999999999</v>
      </c>
      <c r="BM343" s="113">
        <f t="shared" si="146"/>
        <v>248832</v>
      </c>
    </row>
    <row r="344" spans="1:65">
      <c r="A344" s="51"/>
      <c r="B344" s="51" t="s">
        <v>370</v>
      </c>
      <c r="C344" s="51"/>
      <c r="D344" s="51"/>
      <c r="E344" s="74"/>
      <c r="F344" s="113"/>
      <c r="G344" s="113"/>
      <c r="H344" s="113"/>
      <c r="I344" s="113"/>
      <c r="J344" s="113"/>
      <c r="K344" s="113"/>
      <c r="L344" s="113">
        <f>L310*2000*L342</f>
        <v>14400</v>
      </c>
      <c r="M344" s="113">
        <f>M310*2000*M342</f>
        <v>22320</v>
      </c>
      <c r="N344" s="113">
        <f>N310*2000*N342</f>
        <v>115200</v>
      </c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  <c r="AA344" s="113"/>
      <c r="AB344" s="113"/>
      <c r="AC344" s="113"/>
      <c r="AD344" s="113"/>
      <c r="AE344" s="113"/>
      <c r="AF344" s="113"/>
      <c r="AG344" s="113"/>
      <c r="AH344" s="113"/>
      <c r="AI344" s="113"/>
      <c r="AJ344" s="112">
        <f>AJ310*2000*AJ342-AJ343</f>
        <v>1814400</v>
      </c>
      <c r="AK344" s="112">
        <f t="shared" ref="AK344:AL344" si="147">AK310*2000*AK342-AK343</f>
        <v>1874880</v>
      </c>
      <c r="AL344" s="112">
        <f t="shared" si="147"/>
        <v>1814400</v>
      </c>
      <c r="AM344" s="113"/>
      <c r="AN344" s="113"/>
      <c r="AO344" s="113"/>
      <c r="AP344" s="113"/>
      <c r="AQ344" s="113"/>
      <c r="AR344" s="113"/>
      <c r="AS344" s="113"/>
      <c r="AT344" s="113"/>
      <c r="AU344" s="113"/>
      <c r="AV344" s="113"/>
      <c r="AW344" s="113"/>
      <c r="AX344" s="113"/>
      <c r="AY344" s="113"/>
      <c r="AZ344" s="113"/>
      <c r="BA344" s="113"/>
      <c r="BB344" s="113"/>
      <c r="BC344" s="113"/>
      <c r="BD344" s="113"/>
      <c r="BE344" s="113"/>
      <c r="BF344" s="113"/>
      <c r="BG344" s="113"/>
      <c r="BH344" s="113"/>
      <c r="BI344" s="113"/>
      <c r="BJ344" s="113"/>
      <c r="BK344" s="113"/>
      <c r="BL344" s="113"/>
      <c r="BM344" s="113"/>
    </row>
    <row r="345" spans="1:65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  <c r="AD345" s="141"/>
      <c r="AE345" s="141"/>
      <c r="AF345" s="141"/>
      <c r="AG345" s="141"/>
      <c r="AH345" s="141"/>
      <c r="AI345" s="141"/>
      <c r="AJ345" s="141"/>
      <c r="AK345" s="141"/>
      <c r="AL345" s="141"/>
      <c r="AM345" s="141"/>
      <c r="AN345" s="141"/>
      <c r="AO345" s="141"/>
      <c r="AP345" s="141"/>
      <c r="AQ345" s="141"/>
      <c r="AR345" s="141"/>
      <c r="AS345" s="141"/>
      <c r="AT345" s="141"/>
      <c r="AU345" s="141"/>
      <c r="AV345" s="141"/>
      <c r="AW345" s="141"/>
      <c r="AX345" s="141"/>
      <c r="AY345" s="141"/>
      <c r="AZ345" s="141"/>
      <c r="BA345" s="141"/>
      <c r="BB345" s="141"/>
      <c r="BC345" s="141"/>
      <c r="BD345" s="141"/>
      <c r="BE345" s="141"/>
      <c r="BF345" s="141"/>
      <c r="BG345" s="141"/>
      <c r="BH345" s="141"/>
      <c r="BI345" s="141"/>
      <c r="BJ345" s="141"/>
      <c r="BK345" s="141"/>
      <c r="BL345" s="141"/>
      <c r="BM345" s="141"/>
    </row>
    <row r="347" spans="1:65">
      <c r="A347" s="51"/>
      <c r="B347" s="51" t="s">
        <v>371</v>
      </c>
      <c r="C347" s="51"/>
      <c r="D347" s="51"/>
      <c r="E347" s="74"/>
      <c r="F347" s="100">
        <f t="shared" ref="F347:K347" si="148">F325/42</f>
        <v>0</v>
      </c>
      <c r="G347" s="100">
        <f t="shared" si="148"/>
        <v>0</v>
      </c>
      <c r="H347" s="100">
        <f t="shared" si="148"/>
        <v>0</v>
      </c>
      <c r="I347" s="100">
        <f t="shared" si="148"/>
        <v>0</v>
      </c>
      <c r="J347" s="100">
        <f t="shared" si="148"/>
        <v>0</v>
      </c>
      <c r="K347" s="100">
        <f t="shared" si="148"/>
        <v>0</v>
      </c>
      <c r="L347" s="100">
        <f>L325/42</f>
        <v>411.42857142857144</v>
      </c>
      <c r="M347" s="100">
        <f t="shared" ref="M347:BM347" si="149">M325/42</f>
        <v>637.71428571428567</v>
      </c>
      <c r="N347" s="100">
        <f t="shared" si="149"/>
        <v>3291.4285714285716</v>
      </c>
      <c r="O347" s="100">
        <f t="shared" si="149"/>
        <v>5101.7142857142853</v>
      </c>
      <c r="P347" s="100">
        <f t="shared" si="149"/>
        <v>11478.857142857143</v>
      </c>
      <c r="Q347" s="100">
        <f t="shared" si="149"/>
        <v>11108.571428571429</v>
      </c>
      <c r="R347" s="100">
        <f t="shared" si="149"/>
        <v>15305.142857142857</v>
      </c>
      <c r="S347" s="100">
        <f t="shared" si="149"/>
        <v>14811.428571428571</v>
      </c>
      <c r="T347" s="100">
        <f t="shared" si="149"/>
        <v>19131.428571428572</v>
      </c>
      <c r="U347" s="100">
        <f t="shared" si="149"/>
        <v>19131.428571428572</v>
      </c>
      <c r="V347" s="100">
        <f t="shared" si="149"/>
        <v>20736</v>
      </c>
      <c r="W347" s="100">
        <f t="shared" si="149"/>
        <v>22957.714285714286</v>
      </c>
      <c r="X347" s="100">
        <f t="shared" si="149"/>
        <v>25920</v>
      </c>
      <c r="Y347" s="100">
        <f t="shared" si="149"/>
        <v>26784</v>
      </c>
      <c r="Z347" s="100">
        <f t="shared" si="149"/>
        <v>29622.857142857141</v>
      </c>
      <c r="AA347" s="100">
        <f t="shared" si="149"/>
        <v>30610.285714285714</v>
      </c>
      <c r="AB347" s="100">
        <f t="shared" si="149"/>
        <v>30610.285714285714</v>
      </c>
      <c r="AC347" s="100">
        <f t="shared" si="149"/>
        <v>29622.857142857141</v>
      </c>
      <c r="AD347" s="100">
        <f t="shared" si="149"/>
        <v>30610.285714285714</v>
      </c>
      <c r="AE347" s="100">
        <f t="shared" si="149"/>
        <v>29622.857142857141</v>
      </c>
      <c r="AF347" s="100">
        <f t="shared" si="149"/>
        <v>30610.285714285714</v>
      </c>
      <c r="AG347" s="100">
        <f t="shared" si="149"/>
        <v>30610.285714285714</v>
      </c>
      <c r="AH347" s="100">
        <f t="shared" si="149"/>
        <v>27648</v>
      </c>
      <c r="AI347" s="100">
        <f t="shared" si="149"/>
        <v>30610.285714285714</v>
      </c>
      <c r="AJ347" s="100">
        <f t="shared" si="149"/>
        <v>29622.857142857141</v>
      </c>
      <c r="AK347" s="100">
        <f t="shared" si="149"/>
        <v>30610.285714285714</v>
      </c>
      <c r="AL347" s="100">
        <f t="shared" si="149"/>
        <v>29622.857142857141</v>
      </c>
      <c r="AM347" s="100">
        <f t="shared" si="149"/>
        <v>30610.285714285714</v>
      </c>
      <c r="AN347" s="100">
        <f t="shared" si="149"/>
        <v>30610.285714285714</v>
      </c>
      <c r="AO347" s="100">
        <f t="shared" si="149"/>
        <v>29622.857142857141</v>
      </c>
      <c r="AP347" s="100">
        <f t="shared" si="149"/>
        <v>30610.285714285714</v>
      </c>
      <c r="AQ347" s="100">
        <f t="shared" si="149"/>
        <v>29622.857142857141</v>
      </c>
      <c r="AR347" s="100">
        <f t="shared" si="149"/>
        <v>30610.285714285714</v>
      </c>
      <c r="AS347" s="100">
        <f t="shared" si="149"/>
        <v>30610.285714285714</v>
      </c>
      <c r="AT347" s="100">
        <f t="shared" si="149"/>
        <v>27648</v>
      </c>
      <c r="AU347" s="100">
        <f t="shared" si="149"/>
        <v>30610.285714285714</v>
      </c>
      <c r="AV347" s="100">
        <f t="shared" si="149"/>
        <v>29622.857142857141</v>
      </c>
      <c r="AW347" s="100">
        <f t="shared" si="149"/>
        <v>30610.285714285714</v>
      </c>
      <c r="AX347" s="100">
        <f t="shared" si="149"/>
        <v>29622.857142857141</v>
      </c>
      <c r="AY347" s="100">
        <f t="shared" si="149"/>
        <v>30610.285714285714</v>
      </c>
      <c r="AZ347" s="100">
        <f t="shared" si="149"/>
        <v>30610.285714285714</v>
      </c>
      <c r="BA347" s="100">
        <f t="shared" si="149"/>
        <v>29622.857142857141</v>
      </c>
      <c r="BB347" s="100">
        <f t="shared" si="149"/>
        <v>30610.285714285714</v>
      </c>
      <c r="BC347" s="100">
        <f t="shared" si="149"/>
        <v>29622.857142857141</v>
      </c>
      <c r="BD347" s="100">
        <f t="shared" si="149"/>
        <v>30610.285714285714</v>
      </c>
      <c r="BE347" s="100">
        <f t="shared" si="149"/>
        <v>30610.285714285714</v>
      </c>
      <c r="BF347" s="100">
        <f t="shared" si="149"/>
        <v>27648</v>
      </c>
      <c r="BG347" s="100">
        <f t="shared" si="149"/>
        <v>30610.285714285714</v>
      </c>
      <c r="BH347" s="100">
        <f t="shared" si="149"/>
        <v>29622.857142857141</v>
      </c>
      <c r="BI347" s="100">
        <f t="shared" si="149"/>
        <v>30610.285714285714</v>
      </c>
      <c r="BJ347" s="100">
        <f t="shared" si="149"/>
        <v>29622.857142857141</v>
      </c>
      <c r="BK347" s="100">
        <f t="shared" si="149"/>
        <v>30610.285714285714</v>
      </c>
      <c r="BL347" s="100">
        <f t="shared" si="149"/>
        <v>30610.285714285714</v>
      </c>
      <c r="BM347" s="100">
        <f t="shared" si="149"/>
        <v>29622.857142857141</v>
      </c>
    </row>
    <row r="348" spans="1:65">
      <c r="A348" s="51"/>
      <c r="B348" s="51" t="s">
        <v>372</v>
      </c>
      <c r="C348" s="51"/>
      <c r="D348" s="51"/>
      <c r="E348" s="74"/>
      <c r="F348" s="142"/>
      <c r="G348" s="142"/>
      <c r="H348" s="142"/>
      <c r="I348" s="142"/>
      <c r="J348" s="142"/>
      <c r="K348" s="142"/>
      <c r="L348" s="142">
        <f>L347/L310</f>
        <v>2.8571428571428572</v>
      </c>
      <c r="M348" s="142">
        <f t="shared" ref="M348:BM348" si="150">M347/M310</f>
        <v>2.8571428571428572</v>
      </c>
      <c r="N348" s="142">
        <f t="shared" si="150"/>
        <v>2.8571428571428572</v>
      </c>
      <c r="O348" s="142">
        <f t="shared" si="150"/>
        <v>2.8571428571428572</v>
      </c>
      <c r="P348" s="142">
        <f t="shared" si="150"/>
        <v>2.8571428571428572</v>
      </c>
      <c r="Q348" s="142">
        <f t="shared" si="150"/>
        <v>2.8571428571428572</v>
      </c>
      <c r="R348" s="142">
        <f t="shared" si="150"/>
        <v>2.8571428571428572</v>
      </c>
      <c r="S348" s="142">
        <f t="shared" si="150"/>
        <v>2.8571428571428572</v>
      </c>
      <c r="T348" s="142">
        <f t="shared" si="150"/>
        <v>2.8571428571428572</v>
      </c>
      <c r="U348" s="142">
        <f t="shared" si="150"/>
        <v>2.8571428571428572</v>
      </c>
      <c r="V348" s="142">
        <f t="shared" si="150"/>
        <v>2.8571428571428572</v>
      </c>
      <c r="W348" s="142">
        <f t="shared" si="150"/>
        <v>2.8571428571428572</v>
      </c>
      <c r="X348" s="142">
        <f t="shared" si="150"/>
        <v>2.8571428571428572</v>
      </c>
      <c r="Y348" s="142">
        <f t="shared" si="150"/>
        <v>2.8571428571428572</v>
      </c>
      <c r="Z348" s="142">
        <f t="shared" si="150"/>
        <v>2.8571428571428572</v>
      </c>
      <c r="AA348" s="142">
        <f t="shared" si="150"/>
        <v>2.8571428571428572</v>
      </c>
      <c r="AB348" s="142">
        <f t="shared" si="150"/>
        <v>2.8571428571428572</v>
      </c>
      <c r="AC348" s="142">
        <f t="shared" si="150"/>
        <v>2.8571428571428572</v>
      </c>
      <c r="AD348" s="142">
        <f t="shared" si="150"/>
        <v>2.8571428571428572</v>
      </c>
      <c r="AE348" s="142">
        <f t="shared" si="150"/>
        <v>2.8571428571428572</v>
      </c>
      <c r="AF348" s="142">
        <f t="shared" si="150"/>
        <v>2.8571428571428572</v>
      </c>
      <c r="AG348" s="142">
        <f t="shared" si="150"/>
        <v>2.8571428571428572</v>
      </c>
      <c r="AH348" s="142">
        <f t="shared" si="150"/>
        <v>2.8571428571428568</v>
      </c>
      <c r="AI348" s="142">
        <f t="shared" si="150"/>
        <v>2.8571428571428572</v>
      </c>
      <c r="AJ348" s="142">
        <f t="shared" si="150"/>
        <v>2.8571428571428572</v>
      </c>
      <c r="AK348" s="142">
        <f t="shared" si="150"/>
        <v>2.8571428571428572</v>
      </c>
      <c r="AL348" s="142">
        <f t="shared" si="150"/>
        <v>2.8571428571428572</v>
      </c>
      <c r="AM348" s="142">
        <f t="shared" si="150"/>
        <v>2.8571428571428572</v>
      </c>
      <c r="AN348" s="142">
        <f t="shared" si="150"/>
        <v>2.8571428571428572</v>
      </c>
      <c r="AO348" s="142">
        <f t="shared" si="150"/>
        <v>2.8571428571428572</v>
      </c>
      <c r="AP348" s="142">
        <f t="shared" si="150"/>
        <v>2.8571428571428572</v>
      </c>
      <c r="AQ348" s="142">
        <f t="shared" si="150"/>
        <v>2.8571428571428572</v>
      </c>
      <c r="AR348" s="142">
        <f t="shared" si="150"/>
        <v>2.8571428571428572</v>
      </c>
      <c r="AS348" s="142">
        <f t="shared" si="150"/>
        <v>2.8571428571428572</v>
      </c>
      <c r="AT348" s="142">
        <f t="shared" si="150"/>
        <v>2.8571428571428568</v>
      </c>
      <c r="AU348" s="142">
        <f t="shared" si="150"/>
        <v>2.8571428571428572</v>
      </c>
      <c r="AV348" s="142">
        <f t="shared" si="150"/>
        <v>2.8571428571428572</v>
      </c>
      <c r="AW348" s="142">
        <f t="shared" si="150"/>
        <v>2.8571428571428572</v>
      </c>
      <c r="AX348" s="142">
        <f t="shared" si="150"/>
        <v>2.8571428571428572</v>
      </c>
      <c r="AY348" s="142">
        <f t="shared" si="150"/>
        <v>2.8571428571428572</v>
      </c>
      <c r="AZ348" s="142">
        <f t="shared" si="150"/>
        <v>2.8571428571428572</v>
      </c>
      <c r="BA348" s="142">
        <f t="shared" si="150"/>
        <v>2.8571428571428572</v>
      </c>
      <c r="BB348" s="142">
        <f t="shared" si="150"/>
        <v>2.8571428571428572</v>
      </c>
      <c r="BC348" s="142">
        <f t="shared" si="150"/>
        <v>2.8571428571428572</v>
      </c>
      <c r="BD348" s="142">
        <f t="shared" si="150"/>
        <v>2.8571428571428572</v>
      </c>
      <c r="BE348" s="142">
        <f t="shared" si="150"/>
        <v>2.8571428571428572</v>
      </c>
      <c r="BF348" s="142">
        <f t="shared" si="150"/>
        <v>2.8571428571428568</v>
      </c>
      <c r="BG348" s="142">
        <f t="shared" si="150"/>
        <v>2.8571428571428572</v>
      </c>
      <c r="BH348" s="142">
        <f t="shared" si="150"/>
        <v>2.8571428571428572</v>
      </c>
      <c r="BI348" s="142">
        <f t="shared" si="150"/>
        <v>2.8571428571428572</v>
      </c>
      <c r="BJ348" s="142">
        <f t="shared" si="150"/>
        <v>2.8571428571428572</v>
      </c>
      <c r="BK348" s="142">
        <f t="shared" si="150"/>
        <v>2.8571428571428572</v>
      </c>
      <c r="BL348" s="142">
        <f t="shared" si="150"/>
        <v>2.8571428571428572</v>
      </c>
      <c r="BM348" s="142">
        <f t="shared" si="150"/>
        <v>2.8571428571428572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9628E9DFDA8B4F9A6E5869F8BD7898" ma:contentTypeVersion="4" ma:contentTypeDescription="Create a new document." ma:contentTypeScope="" ma:versionID="844180afaa84307d5cb6caf640807fa2">
  <xsd:schema xmlns:xsd="http://www.w3.org/2001/XMLSchema" xmlns:xs="http://www.w3.org/2001/XMLSchema" xmlns:p="http://schemas.microsoft.com/office/2006/metadata/properties" xmlns:ns2="53bdf0a3-53c9-4ecc-8255-506a078649a4" targetNamespace="http://schemas.microsoft.com/office/2006/metadata/properties" ma:root="true" ma:fieldsID="5dc33c7954872152e2ac19efd41d62a5" ns2:_="">
    <xsd:import namespace="53bdf0a3-53c9-4ecc-8255-506a07864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bdf0a3-53c9-4ecc-8255-506a07864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70833F-95F8-45C2-8C73-C28FC4861D20}"/>
</file>

<file path=customXml/itemProps2.xml><?xml version="1.0" encoding="utf-8"?>
<ds:datastoreItem xmlns:ds="http://schemas.openxmlformats.org/officeDocument/2006/customXml" ds:itemID="{7C5AE07A-C82F-4FA3-AC8E-0FA76A1244C2}"/>
</file>

<file path=customXml/itemProps3.xml><?xml version="1.0" encoding="utf-8"?>
<ds:datastoreItem xmlns:ds="http://schemas.openxmlformats.org/officeDocument/2006/customXml" ds:itemID="{B5D47BD5-D23B-455E-B088-B5CAD6B28D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2025-06-27T16:02:34Z</dcterms:created>
  <dcterms:modified xsi:type="dcterms:W3CDTF">2026-02-24T18:28:14Z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0x0101000D9628E9DFDA8B4F9A6E5869F8BD7898</vt:lpwstr>
  </property>
</Properties>
</file>