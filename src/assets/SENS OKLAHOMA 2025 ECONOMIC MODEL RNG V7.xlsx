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filterPrivacy="1" defaultThemeVersion="124226"/>
  <xr:revisionPtr revIDLastSave="0" documentId="8_{44496B02-3A12-4CC9-8D1C-EE707C9B1CB8}" xr6:coauthVersionLast="47" xr6:coauthVersionMax="47" xr10:uidLastSave="{00000000-0000-0000-0000-000000000000}"/>
  <bookViews>
    <workbookView xWindow="-120" yWindow="-16320" windowWidth="29040" windowHeight="15720" tabRatio="728" firstSheet="11" activeTab="4" xr2:uid="{00000000-000D-0000-FFFF-FFFF00000000}"/>
  </bookViews>
  <sheets>
    <sheet name="ModelDescription" sheetId="32" r:id="rId1"/>
    <sheet name="Sheet5" sheetId="47" state="hidden" r:id="rId2"/>
    <sheet name="Sheet6" sheetId="48" state="hidden" r:id="rId3"/>
    <sheet name="Economics" sheetId="4" r:id="rId4"/>
    <sheet name="Proforma" sheetId="50" r:id="rId5"/>
    <sheet name="Market Pricing of Products" sheetId="52" r:id="rId6"/>
    <sheet name="Assumptions" sheetId="19" r:id="rId7"/>
    <sheet name="WACC" sheetId="49" r:id="rId8"/>
    <sheet name="1 Machine Build" sheetId="51" state="hidden" r:id="rId9"/>
    <sheet name="Site Construction Budget" sheetId="37" state="hidden" r:id="rId10"/>
    <sheet name="OpCost" sheetId="34" state="hidden" r:id="rId11"/>
    <sheet name="MthCashSum" sheetId="28" r:id="rId12"/>
    <sheet name="Graphs - HIDE" sheetId="31" state="hidden" r:id="rId13"/>
  </sheets>
  <definedNames>
    <definedName name="FV" localSheetId="4">#REF!</definedName>
    <definedName name="FV">#REF!</definedName>
    <definedName name="FVV">#REF!</definedName>
    <definedName name="FVVV">#REF!</definedName>
    <definedName name="_xlnm.Print_Area" localSheetId="6">Assumptions!$A$1:$I$65</definedName>
    <definedName name="_xlnm.Print_Titles" localSheetId="4">Proforma!$A:$E,Proforma!$1:$8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2" l="1"/>
  <c r="B21" i="32"/>
  <c r="G45" i="52"/>
  <c r="G46" i="52"/>
  <c r="G47" i="52"/>
  <c r="G48" i="52"/>
  <c r="G49" i="52"/>
  <c r="G50" i="52"/>
  <c r="G51" i="52"/>
  <c r="G52" i="52"/>
  <c r="G53" i="52"/>
  <c r="G54" i="52"/>
  <c r="G55" i="52"/>
  <c r="G56" i="52"/>
  <c r="G57" i="52"/>
  <c r="G58" i="52"/>
  <c r="G59" i="52"/>
  <c r="G60" i="52"/>
  <c r="G61" i="52"/>
  <c r="G62" i="52"/>
  <c r="G63" i="52"/>
  <c r="G44" i="52"/>
  <c r="A3" i="52"/>
  <c r="A2" i="52"/>
  <c r="Y43" i="37"/>
  <c r="Q43" i="37"/>
  <c r="I43" i="37"/>
  <c r="Y42" i="37"/>
  <c r="X42" i="37"/>
  <c r="X43" i="37" s="1"/>
  <c r="W42" i="37"/>
  <c r="W43" i="37" s="1"/>
  <c r="Q42" i="37"/>
  <c r="P42" i="37"/>
  <c r="P43" i="37" s="1"/>
  <c r="O42" i="37"/>
  <c r="O43" i="37" s="1"/>
  <c r="I42" i="37"/>
  <c r="H42" i="37"/>
  <c r="H43" i="37" s="1"/>
  <c r="G42" i="37"/>
  <c r="G43" i="37" s="1"/>
  <c r="Z41" i="37"/>
  <c r="Z42" i="37" s="1"/>
  <c r="Z43" i="37" s="1"/>
  <c r="Y41" i="37"/>
  <c r="X41" i="37"/>
  <c r="W41" i="37"/>
  <c r="V41" i="37"/>
  <c r="V42" i="37" s="1"/>
  <c r="U41" i="37"/>
  <c r="U42" i="37" s="1"/>
  <c r="T41" i="37"/>
  <c r="T42" i="37" s="1"/>
  <c r="S41" i="37"/>
  <c r="S42" i="37" s="1"/>
  <c r="R41" i="37"/>
  <c r="R42" i="37" s="1"/>
  <c r="R43" i="37" s="1"/>
  <c r="Q41" i="37"/>
  <c r="P41" i="37"/>
  <c r="O41" i="37"/>
  <c r="N41" i="37"/>
  <c r="N42" i="37" s="1"/>
  <c r="M41" i="37"/>
  <c r="M42" i="37" s="1"/>
  <c r="L41" i="37"/>
  <c r="L42" i="37" s="1"/>
  <c r="K41" i="37"/>
  <c r="K42" i="37" s="1"/>
  <c r="J41" i="37"/>
  <c r="J42" i="37" s="1"/>
  <c r="J43" i="37" s="1"/>
  <c r="I41" i="37"/>
  <c r="H41" i="37"/>
  <c r="G41" i="37"/>
  <c r="F41" i="37"/>
  <c r="F42" i="37" s="1"/>
  <c r="E41" i="37"/>
  <c r="E42" i="37" s="1"/>
  <c r="C12" i="32"/>
  <c r="C11" i="32"/>
  <c r="C8" i="32"/>
  <c r="C10" i="32"/>
  <c r="E16" i="19"/>
  <c r="F16" i="19" s="1"/>
  <c r="G16" i="19" s="1"/>
  <c r="Q129" i="50"/>
  <c r="R129" i="50"/>
  <c r="S129" i="50"/>
  <c r="T129" i="50"/>
  <c r="U129" i="50"/>
  <c r="V129" i="50"/>
  <c r="W129" i="50"/>
  <c r="X129" i="50"/>
  <c r="Y129" i="50"/>
  <c r="Z129" i="50"/>
  <c r="AA129" i="50"/>
  <c r="AB129" i="50"/>
  <c r="AC129" i="50"/>
  <c r="AD129" i="50"/>
  <c r="AE129" i="50"/>
  <c r="AF129" i="50"/>
  <c r="AG129" i="50"/>
  <c r="AH129" i="50"/>
  <c r="AI129" i="50"/>
  <c r="AJ129" i="50"/>
  <c r="AK129" i="50"/>
  <c r="AL129" i="50"/>
  <c r="AM129" i="50"/>
  <c r="AN129" i="50"/>
  <c r="AO129" i="50"/>
  <c r="AP129" i="50"/>
  <c r="AQ129" i="50"/>
  <c r="AR129" i="50"/>
  <c r="AS129" i="50"/>
  <c r="AT129" i="50"/>
  <c r="AU129" i="50"/>
  <c r="AV129" i="50"/>
  <c r="AW129" i="50"/>
  <c r="AX129" i="50"/>
  <c r="AY129" i="50"/>
  <c r="AZ129" i="50"/>
  <c r="BA129" i="50"/>
  <c r="BB129" i="50"/>
  <c r="BC129" i="50"/>
  <c r="BD129" i="50"/>
  <c r="BE129" i="50"/>
  <c r="BF129" i="50"/>
  <c r="BG129" i="50"/>
  <c r="BH129" i="50"/>
  <c r="BI129" i="50"/>
  <c r="BJ129" i="50"/>
  <c r="BK129" i="50"/>
  <c r="BL129" i="50"/>
  <c r="BM129" i="50"/>
  <c r="BN129" i="50"/>
  <c r="BO129" i="50"/>
  <c r="BP129" i="50"/>
  <c r="BQ129" i="50"/>
  <c r="BR129" i="50"/>
  <c r="BS129" i="50"/>
  <c r="BT129" i="50"/>
  <c r="BU129" i="50"/>
  <c r="BV129" i="50"/>
  <c r="BW129" i="50"/>
  <c r="BX129" i="50"/>
  <c r="BY129" i="50"/>
  <c r="BZ129" i="50"/>
  <c r="CA129" i="50"/>
  <c r="CB129" i="50"/>
  <c r="CC129" i="50"/>
  <c r="CD129" i="50"/>
  <c r="CE129" i="50"/>
  <c r="CF129" i="50"/>
  <c r="CG129" i="50"/>
  <c r="CH129" i="50"/>
  <c r="CI129" i="50"/>
  <c r="CJ129" i="50"/>
  <c r="CK129" i="50"/>
  <c r="CL129" i="50"/>
  <c r="CM129" i="50"/>
  <c r="CN129" i="50"/>
  <c r="CO129" i="50"/>
  <c r="CP129" i="50"/>
  <c r="CQ129" i="50"/>
  <c r="CR129" i="50"/>
  <c r="CS129" i="50"/>
  <c r="CT129" i="50"/>
  <c r="CU129" i="50"/>
  <c r="CV129" i="50"/>
  <c r="CW129" i="50"/>
  <c r="CX129" i="50"/>
  <c r="CY129" i="50"/>
  <c r="CZ129" i="50"/>
  <c r="DA129" i="50"/>
  <c r="DB129" i="50"/>
  <c r="DC129" i="50"/>
  <c r="DD129" i="50"/>
  <c r="DE129" i="50"/>
  <c r="DF129" i="50"/>
  <c r="DG129" i="50"/>
  <c r="DH129" i="50"/>
  <c r="DI129" i="50"/>
  <c r="DJ129" i="50"/>
  <c r="DK129" i="50"/>
  <c r="DL129" i="50"/>
  <c r="DM129" i="50"/>
  <c r="DN129" i="50"/>
  <c r="DO129" i="50"/>
  <c r="DP129" i="50"/>
  <c r="DQ129" i="50"/>
  <c r="DR129" i="50"/>
  <c r="DS129" i="50"/>
  <c r="DT129" i="50"/>
  <c r="DU129" i="50"/>
  <c r="DV129" i="50"/>
  <c r="DW129" i="50"/>
  <c r="DX129" i="50"/>
  <c r="DY129" i="50"/>
  <c r="DZ129" i="50"/>
  <c r="EA129" i="50"/>
  <c r="EB129" i="50"/>
  <c r="EC129" i="50"/>
  <c r="ED129" i="50"/>
  <c r="EE129" i="50"/>
  <c r="EF129" i="50"/>
  <c r="EG129" i="50"/>
  <c r="EH129" i="50"/>
  <c r="EI129" i="50"/>
  <c r="EJ129" i="50"/>
  <c r="EK129" i="50"/>
  <c r="EL129" i="50"/>
  <c r="EM129" i="50"/>
  <c r="EN129" i="50"/>
  <c r="EO129" i="50"/>
  <c r="EP129" i="50"/>
  <c r="EQ129" i="50"/>
  <c r="ER129" i="50"/>
  <c r="ES129" i="50"/>
  <c r="ET129" i="50"/>
  <c r="EU129" i="50"/>
  <c r="EV129" i="50"/>
  <c r="EW129" i="50"/>
  <c r="EX129" i="50"/>
  <c r="EY129" i="50"/>
  <c r="EZ129" i="50"/>
  <c r="FA129" i="50"/>
  <c r="FB129" i="50"/>
  <c r="FC129" i="50"/>
  <c r="FD129" i="50"/>
  <c r="FE129" i="50"/>
  <c r="FF129" i="50"/>
  <c r="FG129" i="50"/>
  <c r="FH129" i="50"/>
  <c r="FI129" i="50"/>
  <c r="FJ129" i="50"/>
  <c r="FK129" i="50"/>
  <c r="FL129" i="50"/>
  <c r="FM129" i="50"/>
  <c r="FN129" i="50"/>
  <c r="FO129" i="50"/>
  <c r="FP129" i="50"/>
  <c r="FQ129" i="50"/>
  <c r="FR129" i="50"/>
  <c r="FS129" i="50"/>
  <c r="FT129" i="50"/>
  <c r="FU129" i="50"/>
  <c r="FV129" i="50"/>
  <c r="FW129" i="50"/>
  <c r="FX129" i="50"/>
  <c r="FY129" i="50"/>
  <c r="FZ129" i="50"/>
  <c r="GA129" i="50"/>
  <c r="GB129" i="50"/>
  <c r="GC129" i="50"/>
  <c r="F129" i="50"/>
  <c r="G129" i="50"/>
  <c r="H129" i="50"/>
  <c r="I129" i="50"/>
  <c r="J129" i="50"/>
  <c r="K129" i="50"/>
  <c r="L129" i="50"/>
  <c r="M129" i="50"/>
  <c r="N129" i="50"/>
  <c r="O129" i="50"/>
  <c r="P129" i="50"/>
  <c r="D16" i="34"/>
  <c r="C17" i="37"/>
  <c r="C8" i="34"/>
  <c r="C7" i="34" s="1"/>
  <c r="S43" i="37" l="1"/>
  <c r="L43" i="37"/>
  <c r="T43" i="37"/>
  <c r="K43" i="37"/>
  <c r="E43" i="37"/>
  <c r="M43" i="37"/>
  <c r="U43" i="37"/>
  <c r="F43" i="37"/>
  <c r="N43" i="37"/>
  <c r="V43" i="37"/>
  <c r="D8" i="34"/>
  <c r="D7" i="34" s="1"/>
  <c r="E32" i="4" l="1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AF38" i="19"/>
  <c r="AF37" i="19" s="1"/>
  <c r="AF36" i="19" s="1"/>
  <c r="AF35" i="19" s="1"/>
  <c r="AF34" i="19" s="1"/>
  <c r="AF33" i="19" s="1"/>
  <c r="AF32" i="19" s="1"/>
  <c r="AF31" i="19" s="1"/>
  <c r="AF30" i="19" s="1"/>
  <c r="Q63" i="19"/>
  <c r="Q64" i="19" s="1"/>
  <c r="Q65" i="19" s="1"/>
  <c r="Q66" i="19" s="1"/>
  <c r="Q67" i="19" s="1"/>
  <c r="Q68" i="19" s="1"/>
  <c r="Q69" i="19" s="1"/>
  <c r="Q70" i="19" s="1"/>
  <c r="Q71" i="19" s="1"/>
  <c r="Q38" i="19"/>
  <c r="Q37" i="19" s="1"/>
  <c r="Q36" i="19" s="1"/>
  <c r="Q35" i="19" s="1"/>
  <c r="Q34" i="19" s="1"/>
  <c r="Q33" i="19" s="1"/>
  <c r="Q32" i="19" s="1"/>
  <c r="Q31" i="19" s="1"/>
  <c r="Q30" i="19" s="1"/>
  <c r="AF17" i="19"/>
  <c r="AF18" i="19" s="1"/>
  <c r="AF19" i="19" s="1"/>
  <c r="AF20" i="19" s="1"/>
  <c r="AF21" i="19" s="1"/>
  <c r="AF22" i="19" s="1"/>
  <c r="AF23" i="19" s="1"/>
  <c r="AF24" i="19" s="1"/>
  <c r="AF25" i="19" s="1"/>
  <c r="AF26" i="19" s="1"/>
  <c r="AF27" i="19" s="1"/>
  <c r="AF15" i="19"/>
  <c r="Q8" i="19"/>
  <c r="Q9" i="19" s="1"/>
  <c r="Q10" i="19" s="1"/>
  <c r="Q11" i="19" s="1"/>
  <c r="Q12" i="19" s="1"/>
  <c r="Q13" i="19" s="1"/>
  <c r="Q14" i="19" s="1"/>
  <c r="Q15" i="19" s="1"/>
  <c r="G58" i="50"/>
  <c r="G67" i="50" s="1"/>
  <c r="H58" i="50"/>
  <c r="H67" i="50" s="1"/>
  <c r="I58" i="50"/>
  <c r="I67" i="50" s="1"/>
  <c r="J58" i="50"/>
  <c r="K58" i="50"/>
  <c r="K67" i="50" s="1"/>
  <c r="L58" i="50"/>
  <c r="L67" i="50" s="1"/>
  <c r="M58" i="50"/>
  <c r="M67" i="50" s="1"/>
  <c r="N58" i="50"/>
  <c r="N67" i="50" s="1"/>
  <c r="O58" i="50"/>
  <c r="O67" i="50" s="1"/>
  <c r="P58" i="50"/>
  <c r="P67" i="50" s="1"/>
  <c r="Q58" i="50"/>
  <c r="Q67" i="50" s="1"/>
  <c r="R58" i="50"/>
  <c r="R67" i="50" s="1"/>
  <c r="S58" i="50"/>
  <c r="S67" i="50" s="1"/>
  <c r="T58" i="50"/>
  <c r="T67" i="50" s="1"/>
  <c r="U58" i="50"/>
  <c r="U67" i="50" s="1"/>
  <c r="V58" i="50"/>
  <c r="V67" i="50" s="1"/>
  <c r="W58" i="50"/>
  <c r="W67" i="50" s="1"/>
  <c r="X58" i="50"/>
  <c r="X67" i="50" s="1"/>
  <c r="Y58" i="50"/>
  <c r="Y67" i="50" s="1"/>
  <c r="Z58" i="50"/>
  <c r="Z67" i="50" s="1"/>
  <c r="AA58" i="50"/>
  <c r="AA67" i="50" s="1"/>
  <c r="AB58" i="50"/>
  <c r="AB67" i="50" s="1"/>
  <c r="AC58" i="50"/>
  <c r="AC67" i="50" s="1"/>
  <c r="AD58" i="50"/>
  <c r="AD67" i="50" s="1"/>
  <c r="AE58" i="50"/>
  <c r="AE67" i="50" s="1"/>
  <c r="AF58" i="50"/>
  <c r="AF67" i="50" s="1"/>
  <c r="AG58" i="50"/>
  <c r="AG67" i="50" s="1"/>
  <c r="AH58" i="50"/>
  <c r="AH67" i="50" s="1"/>
  <c r="AI58" i="50"/>
  <c r="AI67" i="50" s="1"/>
  <c r="AJ58" i="50"/>
  <c r="AJ67" i="50" s="1"/>
  <c r="AK58" i="50"/>
  <c r="AK67" i="50" s="1"/>
  <c r="AL58" i="50"/>
  <c r="AL67" i="50" s="1"/>
  <c r="AM58" i="50"/>
  <c r="AM67" i="50" s="1"/>
  <c r="AN58" i="50"/>
  <c r="AN67" i="50" s="1"/>
  <c r="AO58" i="50"/>
  <c r="AO67" i="50" s="1"/>
  <c r="AP58" i="50"/>
  <c r="AP67" i="50" s="1"/>
  <c r="AQ58" i="50"/>
  <c r="AQ67" i="50" s="1"/>
  <c r="AR58" i="50"/>
  <c r="AR67" i="50" s="1"/>
  <c r="AS58" i="50"/>
  <c r="AS67" i="50" s="1"/>
  <c r="AT58" i="50"/>
  <c r="AT67" i="50" s="1"/>
  <c r="AU58" i="50"/>
  <c r="AU67" i="50" s="1"/>
  <c r="AV58" i="50"/>
  <c r="AV67" i="50" s="1"/>
  <c r="AW58" i="50"/>
  <c r="AW67" i="50" s="1"/>
  <c r="AX58" i="50"/>
  <c r="AX67" i="50" s="1"/>
  <c r="AY58" i="50"/>
  <c r="AY67" i="50" s="1"/>
  <c r="AZ58" i="50"/>
  <c r="AZ67" i="50" s="1"/>
  <c r="BA58" i="50"/>
  <c r="BA67" i="50" s="1"/>
  <c r="BB58" i="50"/>
  <c r="BB67" i="50" s="1"/>
  <c r="BC58" i="50"/>
  <c r="BC67" i="50" s="1"/>
  <c r="BD58" i="50"/>
  <c r="BD67" i="50" s="1"/>
  <c r="BE58" i="50"/>
  <c r="BE67" i="50" s="1"/>
  <c r="BF58" i="50"/>
  <c r="BF67" i="50" s="1"/>
  <c r="BG58" i="50"/>
  <c r="BG67" i="50" s="1"/>
  <c r="BH58" i="50"/>
  <c r="BH67" i="50" s="1"/>
  <c r="BI58" i="50"/>
  <c r="BI67" i="50" s="1"/>
  <c r="BJ58" i="50"/>
  <c r="BJ67" i="50" s="1"/>
  <c r="BK58" i="50"/>
  <c r="BK67" i="50" s="1"/>
  <c r="BL58" i="50"/>
  <c r="BL67" i="50" s="1"/>
  <c r="BM58" i="50"/>
  <c r="BM67" i="50" s="1"/>
  <c r="BN58" i="50"/>
  <c r="BN67" i="50" s="1"/>
  <c r="BO58" i="50"/>
  <c r="BO67" i="50" s="1"/>
  <c r="BP58" i="50"/>
  <c r="BP67" i="50" s="1"/>
  <c r="BQ58" i="50"/>
  <c r="BQ67" i="50" s="1"/>
  <c r="BR58" i="50"/>
  <c r="BR67" i="50" s="1"/>
  <c r="BS58" i="50"/>
  <c r="BS67" i="50" s="1"/>
  <c r="BT58" i="50"/>
  <c r="BT67" i="50" s="1"/>
  <c r="BU58" i="50"/>
  <c r="BU67" i="50" s="1"/>
  <c r="BV58" i="50"/>
  <c r="BV67" i="50" s="1"/>
  <c r="BW58" i="50"/>
  <c r="BW67" i="50" s="1"/>
  <c r="BX58" i="50"/>
  <c r="BX67" i="50" s="1"/>
  <c r="BY58" i="50"/>
  <c r="BY67" i="50" s="1"/>
  <c r="BZ58" i="50"/>
  <c r="BZ67" i="50" s="1"/>
  <c r="CA58" i="50"/>
  <c r="CA67" i="50" s="1"/>
  <c r="CB58" i="50"/>
  <c r="CB67" i="50" s="1"/>
  <c r="CC58" i="50"/>
  <c r="CC67" i="50" s="1"/>
  <c r="CD58" i="50"/>
  <c r="CD67" i="50" s="1"/>
  <c r="CE58" i="50"/>
  <c r="CE67" i="50" s="1"/>
  <c r="CF58" i="50"/>
  <c r="CF67" i="50" s="1"/>
  <c r="CG58" i="50"/>
  <c r="CG67" i="50" s="1"/>
  <c r="CH58" i="50"/>
  <c r="CH67" i="50" s="1"/>
  <c r="CI58" i="50"/>
  <c r="CI67" i="50" s="1"/>
  <c r="CJ58" i="50"/>
  <c r="CJ67" i="50" s="1"/>
  <c r="CK58" i="50"/>
  <c r="CK67" i="50" s="1"/>
  <c r="CL58" i="50"/>
  <c r="CL67" i="50" s="1"/>
  <c r="CM58" i="50"/>
  <c r="CM67" i="50" s="1"/>
  <c r="CN58" i="50"/>
  <c r="CN67" i="50" s="1"/>
  <c r="CO58" i="50"/>
  <c r="CO67" i="50" s="1"/>
  <c r="CP58" i="50"/>
  <c r="CP67" i="50" s="1"/>
  <c r="CQ58" i="50"/>
  <c r="CQ67" i="50" s="1"/>
  <c r="CR58" i="50"/>
  <c r="CR67" i="50" s="1"/>
  <c r="CS58" i="50"/>
  <c r="CS67" i="50" s="1"/>
  <c r="CT58" i="50"/>
  <c r="CT67" i="50" s="1"/>
  <c r="CU58" i="50"/>
  <c r="CU67" i="50" s="1"/>
  <c r="CV58" i="50"/>
  <c r="CV67" i="50" s="1"/>
  <c r="CW58" i="50"/>
  <c r="CW67" i="50" s="1"/>
  <c r="CX58" i="50"/>
  <c r="CX67" i="50" s="1"/>
  <c r="CY58" i="50"/>
  <c r="CY67" i="50" s="1"/>
  <c r="CZ58" i="50"/>
  <c r="CZ67" i="50" s="1"/>
  <c r="DA58" i="50"/>
  <c r="DA67" i="50" s="1"/>
  <c r="DB58" i="50"/>
  <c r="DB67" i="50" s="1"/>
  <c r="DC58" i="50"/>
  <c r="DC67" i="50" s="1"/>
  <c r="DD58" i="50"/>
  <c r="DD67" i="50" s="1"/>
  <c r="DE58" i="50"/>
  <c r="DE67" i="50" s="1"/>
  <c r="DF58" i="50"/>
  <c r="DF67" i="50" s="1"/>
  <c r="DG58" i="50"/>
  <c r="DG67" i="50" s="1"/>
  <c r="DH58" i="50"/>
  <c r="DH67" i="50" s="1"/>
  <c r="DI58" i="50"/>
  <c r="DI67" i="50" s="1"/>
  <c r="DJ58" i="50"/>
  <c r="DJ67" i="50" s="1"/>
  <c r="DK58" i="50"/>
  <c r="DK67" i="50" s="1"/>
  <c r="DL58" i="50"/>
  <c r="DL67" i="50" s="1"/>
  <c r="DM58" i="50"/>
  <c r="DM67" i="50" s="1"/>
  <c r="DN58" i="50"/>
  <c r="DN67" i="50" s="1"/>
  <c r="DO58" i="50"/>
  <c r="DO67" i="50" s="1"/>
  <c r="DP58" i="50"/>
  <c r="DP67" i="50" s="1"/>
  <c r="DQ58" i="50"/>
  <c r="DQ67" i="50" s="1"/>
  <c r="DR58" i="50"/>
  <c r="DR67" i="50" s="1"/>
  <c r="DS58" i="50"/>
  <c r="DS67" i="50" s="1"/>
  <c r="DT58" i="50"/>
  <c r="DT67" i="50" s="1"/>
  <c r="DU58" i="50"/>
  <c r="DU67" i="50" s="1"/>
  <c r="DV58" i="50"/>
  <c r="DV67" i="50" s="1"/>
  <c r="DW58" i="50"/>
  <c r="DW67" i="50" s="1"/>
  <c r="DX58" i="50"/>
  <c r="DX67" i="50" s="1"/>
  <c r="DY58" i="50"/>
  <c r="DY67" i="50" s="1"/>
  <c r="DZ58" i="50"/>
  <c r="DZ67" i="50" s="1"/>
  <c r="EA58" i="50"/>
  <c r="EA67" i="50" s="1"/>
  <c r="EB58" i="50"/>
  <c r="EB67" i="50" s="1"/>
  <c r="EC58" i="50"/>
  <c r="EC67" i="50" s="1"/>
  <c r="ED58" i="50"/>
  <c r="ED67" i="50" s="1"/>
  <c r="EE58" i="50"/>
  <c r="EE67" i="50" s="1"/>
  <c r="EF58" i="50"/>
  <c r="EF67" i="50" s="1"/>
  <c r="EG58" i="50"/>
  <c r="EG67" i="50" s="1"/>
  <c r="EH58" i="50"/>
  <c r="EH67" i="50" s="1"/>
  <c r="EI58" i="50"/>
  <c r="EI67" i="50" s="1"/>
  <c r="EJ58" i="50"/>
  <c r="EJ67" i="50" s="1"/>
  <c r="EK58" i="50"/>
  <c r="EK67" i="50" s="1"/>
  <c r="EL58" i="50"/>
  <c r="EL67" i="50" s="1"/>
  <c r="EM58" i="50"/>
  <c r="EM67" i="50" s="1"/>
  <c r="EN58" i="50"/>
  <c r="EN67" i="50" s="1"/>
  <c r="EO58" i="50"/>
  <c r="EO67" i="50" s="1"/>
  <c r="EP58" i="50"/>
  <c r="EP67" i="50" s="1"/>
  <c r="EQ58" i="50"/>
  <c r="EQ67" i="50" s="1"/>
  <c r="ER58" i="50"/>
  <c r="ER67" i="50" s="1"/>
  <c r="ES58" i="50"/>
  <c r="ES67" i="50" s="1"/>
  <c r="ET58" i="50"/>
  <c r="ET67" i="50" s="1"/>
  <c r="EU58" i="50"/>
  <c r="EU67" i="50" s="1"/>
  <c r="EV58" i="50"/>
  <c r="EV67" i="50" s="1"/>
  <c r="EW58" i="50"/>
  <c r="EW67" i="50" s="1"/>
  <c r="EX58" i="50"/>
  <c r="EX67" i="50" s="1"/>
  <c r="EY58" i="50"/>
  <c r="EY67" i="50" s="1"/>
  <c r="EZ58" i="50"/>
  <c r="EZ67" i="50" s="1"/>
  <c r="FA58" i="50"/>
  <c r="FA67" i="50" s="1"/>
  <c r="FB58" i="50"/>
  <c r="FB67" i="50" s="1"/>
  <c r="FC58" i="50"/>
  <c r="FC67" i="50" s="1"/>
  <c r="FD58" i="50"/>
  <c r="FD67" i="50" s="1"/>
  <c r="FE58" i="50"/>
  <c r="FE67" i="50" s="1"/>
  <c r="FF58" i="50"/>
  <c r="FF67" i="50" s="1"/>
  <c r="FG58" i="50"/>
  <c r="FG67" i="50" s="1"/>
  <c r="FH58" i="50"/>
  <c r="FH67" i="50" s="1"/>
  <c r="FI58" i="50"/>
  <c r="FI67" i="50" s="1"/>
  <c r="FJ58" i="50"/>
  <c r="FJ67" i="50" s="1"/>
  <c r="FK58" i="50"/>
  <c r="FK67" i="50" s="1"/>
  <c r="FL58" i="50"/>
  <c r="FL67" i="50" s="1"/>
  <c r="FM58" i="50"/>
  <c r="FM67" i="50" s="1"/>
  <c r="FN58" i="50"/>
  <c r="FN67" i="50" s="1"/>
  <c r="FO58" i="50"/>
  <c r="FO67" i="50" s="1"/>
  <c r="FP58" i="50"/>
  <c r="FP67" i="50" s="1"/>
  <c r="FQ58" i="50"/>
  <c r="FQ67" i="50" s="1"/>
  <c r="FR58" i="50"/>
  <c r="FR67" i="50" s="1"/>
  <c r="FS58" i="50"/>
  <c r="FS67" i="50" s="1"/>
  <c r="FT58" i="50"/>
  <c r="FT67" i="50" s="1"/>
  <c r="FU58" i="50"/>
  <c r="FU67" i="50" s="1"/>
  <c r="FV58" i="50"/>
  <c r="FV67" i="50" s="1"/>
  <c r="FW58" i="50"/>
  <c r="FW67" i="50" s="1"/>
  <c r="FX58" i="50"/>
  <c r="FX67" i="50" s="1"/>
  <c r="FY58" i="50"/>
  <c r="FY67" i="50" s="1"/>
  <c r="FZ58" i="50"/>
  <c r="FZ67" i="50" s="1"/>
  <c r="GA58" i="50"/>
  <c r="GA67" i="50" s="1"/>
  <c r="GB58" i="50"/>
  <c r="GB67" i="50" s="1"/>
  <c r="GC58" i="50"/>
  <c r="GC67" i="50" s="1"/>
  <c r="G60" i="50"/>
  <c r="G69" i="50" s="1"/>
  <c r="H60" i="50"/>
  <c r="H69" i="50" s="1"/>
  <c r="I60" i="50"/>
  <c r="I69" i="50" s="1"/>
  <c r="J60" i="50"/>
  <c r="J69" i="50" s="1"/>
  <c r="K60" i="50"/>
  <c r="K69" i="50" s="1"/>
  <c r="L60" i="50"/>
  <c r="L69" i="50" s="1"/>
  <c r="M60" i="50"/>
  <c r="M69" i="50" s="1"/>
  <c r="N60" i="50"/>
  <c r="N69" i="50" s="1"/>
  <c r="O60" i="50"/>
  <c r="O69" i="50" s="1"/>
  <c r="P60" i="50"/>
  <c r="P69" i="50" s="1"/>
  <c r="Q60" i="50"/>
  <c r="Q69" i="50" s="1"/>
  <c r="R60" i="50"/>
  <c r="R69" i="50" s="1"/>
  <c r="S60" i="50"/>
  <c r="S69" i="50" s="1"/>
  <c r="T60" i="50"/>
  <c r="T69" i="50" s="1"/>
  <c r="U60" i="50"/>
  <c r="U69" i="50" s="1"/>
  <c r="V60" i="50"/>
  <c r="V69" i="50" s="1"/>
  <c r="W60" i="50"/>
  <c r="W69" i="50" s="1"/>
  <c r="X60" i="50"/>
  <c r="X69" i="50" s="1"/>
  <c r="Y60" i="50"/>
  <c r="Y69" i="50" s="1"/>
  <c r="Z60" i="50"/>
  <c r="Z69" i="50" s="1"/>
  <c r="AA60" i="50"/>
  <c r="AA69" i="50" s="1"/>
  <c r="AB60" i="50"/>
  <c r="AB69" i="50" s="1"/>
  <c r="AC60" i="50"/>
  <c r="AC69" i="50" s="1"/>
  <c r="AD60" i="50"/>
  <c r="AD69" i="50" s="1"/>
  <c r="AE60" i="50"/>
  <c r="AE69" i="50" s="1"/>
  <c r="AF60" i="50"/>
  <c r="AF69" i="50" s="1"/>
  <c r="AG60" i="50"/>
  <c r="AG69" i="50" s="1"/>
  <c r="AH60" i="50"/>
  <c r="AH69" i="50" s="1"/>
  <c r="AI60" i="50"/>
  <c r="AI69" i="50" s="1"/>
  <c r="AJ60" i="50"/>
  <c r="AJ69" i="50" s="1"/>
  <c r="AK60" i="50"/>
  <c r="AK69" i="50" s="1"/>
  <c r="AL60" i="50"/>
  <c r="AL69" i="50" s="1"/>
  <c r="AM60" i="50"/>
  <c r="AM69" i="50" s="1"/>
  <c r="AN60" i="50"/>
  <c r="AN69" i="50" s="1"/>
  <c r="AO60" i="50"/>
  <c r="AO69" i="50" s="1"/>
  <c r="AP60" i="50"/>
  <c r="AP69" i="50" s="1"/>
  <c r="AQ60" i="50"/>
  <c r="AQ69" i="50" s="1"/>
  <c r="AR60" i="50"/>
  <c r="AR69" i="50" s="1"/>
  <c r="AS60" i="50"/>
  <c r="AS69" i="50" s="1"/>
  <c r="AT60" i="50"/>
  <c r="AT69" i="50" s="1"/>
  <c r="AU60" i="50"/>
  <c r="AU69" i="50" s="1"/>
  <c r="AV60" i="50"/>
  <c r="AV69" i="50" s="1"/>
  <c r="AW60" i="50"/>
  <c r="AW69" i="50" s="1"/>
  <c r="AX60" i="50"/>
  <c r="AX69" i="50" s="1"/>
  <c r="AY60" i="50"/>
  <c r="AY69" i="50" s="1"/>
  <c r="AZ60" i="50"/>
  <c r="AZ69" i="50" s="1"/>
  <c r="BA60" i="50"/>
  <c r="BA69" i="50" s="1"/>
  <c r="BB60" i="50"/>
  <c r="BB69" i="50" s="1"/>
  <c r="BC60" i="50"/>
  <c r="BC69" i="50" s="1"/>
  <c r="BD60" i="50"/>
  <c r="BD69" i="50" s="1"/>
  <c r="BE60" i="50"/>
  <c r="BE69" i="50" s="1"/>
  <c r="BF60" i="50"/>
  <c r="BF69" i="50" s="1"/>
  <c r="BG60" i="50"/>
  <c r="BG69" i="50" s="1"/>
  <c r="BH60" i="50"/>
  <c r="BH69" i="50" s="1"/>
  <c r="BI60" i="50"/>
  <c r="BI69" i="50" s="1"/>
  <c r="BJ60" i="50"/>
  <c r="BJ69" i="50" s="1"/>
  <c r="BK60" i="50"/>
  <c r="BK69" i="50" s="1"/>
  <c r="BL60" i="50"/>
  <c r="BL69" i="50" s="1"/>
  <c r="BM60" i="50"/>
  <c r="BM69" i="50" s="1"/>
  <c r="BN60" i="50"/>
  <c r="BN69" i="50" s="1"/>
  <c r="BO60" i="50"/>
  <c r="BO69" i="50" s="1"/>
  <c r="BP60" i="50"/>
  <c r="BP69" i="50" s="1"/>
  <c r="BQ60" i="50"/>
  <c r="BQ69" i="50" s="1"/>
  <c r="BR60" i="50"/>
  <c r="BR69" i="50" s="1"/>
  <c r="BS60" i="50"/>
  <c r="BS69" i="50" s="1"/>
  <c r="BT60" i="50"/>
  <c r="BT69" i="50" s="1"/>
  <c r="BU60" i="50"/>
  <c r="BU69" i="50" s="1"/>
  <c r="BV60" i="50"/>
  <c r="BV69" i="50" s="1"/>
  <c r="BW60" i="50"/>
  <c r="BW69" i="50" s="1"/>
  <c r="BX60" i="50"/>
  <c r="BX69" i="50" s="1"/>
  <c r="BY60" i="50"/>
  <c r="BY69" i="50" s="1"/>
  <c r="BZ60" i="50"/>
  <c r="BZ69" i="50" s="1"/>
  <c r="CA60" i="50"/>
  <c r="CA69" i="50" s="1"/>
  <c r="CB60" i="50"/>
  <c r="CB69" i="50" s="1"/>
  <c r="CC60" i="50"/>
  <c r="CC69" i="50" s="1"/>
  <c r="CD60" i="50"/>
  <c r="CD69" i="50" s="1"/>
  <c r="CE60" i="50"/>
  <c r="CE69" i="50" s="1"/>
  <c r="CF60" i="50"/>
  <c r="CF69" i="50" s="1"/>
  <c r="CG60" i="50"/>
  <c r="CG69" i="50" s="1"/>
  <c r="CH60" i="50"/>
  <c r="CH69" i="50" s="1"/>
  <c r="CI60" i="50"/>
  <c r="CI69" i="50" s="1"/>
  <c r="CJ60" i="50"/>
  <c r="CJ69" i="50" s="1"/>
  <c r="CK60" i="50"/>
  <c r="CK69" i="50" s="1"/>
  <c r="CL60" i="50"/>
  <c r="CL69" i="50" s="1"/>
  <c r="CM60" i="50"/>
  <c r="CM69" i="50" s="1"/>
  <c r="CN60" i="50"/>
  <c r="CN69" i="50" s="1"/>
  <c r="CO60" i="50"/>
  <c r="CO69" i="50" s="1"/>
  <c r="CP60" i="50"/>
  <c r="CP69" i="50" s="1"/>
  <c r="CQ60" i="50"/>
  <c r="CQ69" i="50" s="1"/>
  <c r="CR60" i="50"/>
  <c r="CR69" i="50" s="1"/>
  <c r="CS60" i="50"/>
  <c r="CS69" i="50" s="1"/>
  <c r="CT60" i="50"/>
  <c r="CT69" i="50" s="1"/>
  <c r="CU60" i="50"/>
  <c r="CU69" i="50" s="1"/>
  <c r="CV60" i="50"/>
  <c r="CV69" i="50" s="1"/>
  <c r="CW60" i="50"/>
  <c r="CW69" i="50" s="1"/>
  <c r="CX60" i="50"/>
  <c r="CX69" i="50" s="1"/>
  <c r="CY60" i="50"/>
  <c r="CY69" i="50" s="1"/>
  <c r="CZ60" i="50"/>
  <c r="CZ69" i="50" s="1"/>
  <c r="DA60" i="50"/>
  <c r="DA69" i="50" s="1"/>
  <c r="DB60" i="50"/>
  <c r="DB69" i="50" s="1"/>
  <c r="DC60" i="50"/>
  <c r="DC69" i="50" s="1"/>
  <c r="DD60" i="50"/>
  <c r="DD69" i="50" s="1"/>
  <c r="DE60" i="50"/>
  <c r="DE69" i="50" s="1"/>
  <c r="DF60" i="50"/>
  <c r="DF69" i="50" s="1"/>
  <c r="DG60" i="50"/>
  <c r="DG69" i="50" s="1"/>
  <c r="DH60" i="50"/>
  <c r="DH69" i="50" s="1"/>
  <c r="DI60" i="50"/>
  <c r="DI69" i="50" s="1"/>
  <c r="DJ60" i="50"/>
  <c r="DJ69" i="50" s="1"/>
  <c r="DK60" i="50"/>
  <c r="DK69" i="50" s="1"/>
  <c r="DL60" i="50"/>
  <c r="DL69" i="50" s="1"/>
  <c r="DM60" i="50"/>
  <c r="DM69" i="50" s="1"/>
  <c r="DN60" i="50"/>
  <c r="DN69" i="50" s="1"/>
  <c r="DO60" i="50"/>
  <c r="DO69" i="50" s="1"/>
  <c r="DP60" i="50"/>
  <c r="DP69" i="50" s="1"/>
  <c r="DQ60" i="50"/>
  <c r="DQ69" i="50" s="1"/>
  <c r="DR60" i="50"/>
  <c r="DR69" i="50" s="1"/>
  <c r="DS60" i="50"/>
  <c r="DS69" i="50" s="1"/>
  <c r="DT60" i="50"/>
  <c r="DT69" i="50" s="1"/>
  <c r="DU60" i="50"/>
  <c r="DU69" i="50" s="1"/>
  <c r="DV60" i="50"/>
  <c r="DV69" i="50" s="1"/>
  <c r="DW60" i="50"/>
  <c r="DW69" i="50" s="1"/>
  <c r="DX60" i="50"/>
  <c r="DX69" i="50" s="1"/>
  <c r="DY60" i="50"/>
  <c r="DY69" i="50" s="1"/>
  <c r="DZ60" i="50"/>
  <c r="DZ69" i="50" s="1"/>
  <c r="EA60" i="50"/>
  <c r="EA69" i="50" s="1"/>
  <c r="EB60" i="50"/>
  <c r="EB69" i="50" s="1"/>
  <c r="EC60" i="50"/>
  <c r="EC69" i="50" s="1"/>
  <c r="ED60" i="50"/>
  <c r="ED69" i="50" s="1"/>
  <c r="EE60" i="50"/>
  <c r="EE69" i="50" s="1"/>
  <c r="EF60" i="50"/>
  <c r="EF69" i="50" s="1"/>
  <c r="EG60" i="50"/>
  <c r="EG69" i="50" s="1"/>
  <c r="EH60" i="50"/>
  <c r="EH69" i="50" s="1"/>
  <c r="EI60" i="50"/>
  <c r="EI69" i="50" s="1"/>
  <c r="EJ60" i="50"/>
  <c r="EJ69" i="50" s="1"/>
  <c r="EK60" i="50"/>
  <c r="EK69" i="50" s="1"/>
  <c r="EL60" i="50"/>
  <c r="EL69" i="50" s="1"/>
  <c r="EM60" i="50"/>
  <c r="EM69" i="50" s="1"/>
  <c r="EN60" i="50"/>
  <c r="EN69" i="50" s="1"/>
  <c r="EO60" i="50"/>
  <c r="EO69" i="50" s="1"/>
  <c r="EP60" i="50"/>
  <c r="EP69" i="50" s="1"/>
  <c r="EQ60" i="50"/>
  <c r="EQ69" i="50" s="1"/>
  <c r="ER60" i="50"/>
  <c r="ER69" i="50" s="1"/>
  <c r="ES60" i="50"/>
  <c r="ES69" i="50" s="1"/>
  <c r="ET60" i="50"/>
  <c r="ET69" i="50" s="1"/>
  <c r="EU60" i="50"/>
  <c r="EU69" i="50" s="1"/>
  <c r="EV60" i="50"/>
  <c r="EV69" i="50" s="1"/>
  <c r="EW60" i="50"/>
  <c r="EW69" i="50" s="1"/>
  <c r="EX60" i="50"/>
  <c r="EX69" i="50" s="1"/>
  <c r="EY60" i="50"/>
  <c r="EY69" i="50" s="1"/>
  <c r="EZ60" i="50"/>
  <c r="EZ69" i="50" s="1"/>
  <c r="FA60" i="50"/>
  <c r="FA69" i="50" s="1"/>
  <c r="FB60" i="50"/>
  <c r="FB69" i="50" s="1"/>
  <c r="FC60" i="50"/>
  <c r="FC69" i="50" s="1"/>
  <c r="FD60" i="50"/>
  <c r="FD69" i="50" s="1"/>
  <c r="FE60" i="50"/>
  <c r="FE69" i="50" s="1"/>
  <c r="FF60" i="50"/>
  <c r="FF69" i="50" s="1"/>
  <c r="FG60" i="50"/>
  <c r="FG69" i="50" s="1"/>
  <c r="FH60" i="50"/>
  <c r="FH69" i="50" s="1"/>
  <c r="FI60" i="50"/>
  <c r="FI69" i="50" s="1"/>
  <c r="FJ60" i="50"/>
  <c r="FJ69" i="50" s="1"/>
  <c r="FK60" i="50"/>
  <c r="FK69" i="50" s="1"/>
  <c r="FL60" i="50"/>
  <c r="FL69" i="50" s="1"/>
  <c r="FM60" i="50"/>
  <c r="FM69" i="50" s="1"/>
  <c r="FN60" i="50"/>
  <c r="FN69" i="50" s="1"/>
  <c r="FO60" i="50"/>
  <c r="FO69" i="50" s="1"/>
  <c r="FP60" i="50"/>
  <c r="FP69" i="50" s="1"/>
  <c r="FQ60" i="50"/>
  <c r="FQ69" i="50" s="1"/>
  <c r="FR60" i="50"/>
  <c r="FR69" i="50" s="1"/>
  <c r="FS60" i="50"/>
  <c r="FS69" i="50" s="1"/>
  <c r="FT60" i="50"/>
  <c r="FT69" i="50" s="1"/>
  <c r="FU60" i="50"/>
  <c r="FU69" i="50" s="1"/>
  <c r="FV60" i="50"/>
  <c r="FV69" i="50" s="1"/>
  <c r="FW60" i="50"/>
  <c r="FW69" i="50" s="1"/>
  <c r="FX60" i="50"/>
  <c r="FX69" i="50" s="1"/>
  <c r="FY60" i="50"/>
  <c r="FY69" i="50" s="1"/>
  <c r="FZ60" i="50"/>
  <c r="FZ69" i="50" s="1"/>
  <c r="GA60" i="50"/>
  <c r="GA69" i="50" s="1"/>
  <c r="GB60" i="50"/>
  <c r="GB69" i="50" s="1"/>
  <c r="GC60" i="50"/>
  <c r="GC69" i="50" s="1"/>
  <c r="G62" i="50"/>
  <c r="G71" i="50" s="1"/>
  <c r="H62" i="50"/>
  <c r="H71" i="50" s="1"/>
  <c r="I62" i="50"/>
  <c r="I71" i="50" s="1"/>
  <c r="J62" i="50"/>
  <c r="J71" i="50" s="1"/>
  <c r="K62" i="50"/>
  <c r="K71" i="50" s="1"/>
  <c r="L62" i="50"/>
  <c r="L71" i="50" s="1"/>
  <c r="M62" i="50"/>
  <c r="M71" i="50" s="1"/>
  <c r="N62" i="50"/>
  <c r="N71" i="50" s="1"/>
  <c r="O62" i="50"/>
  <c r="O71" i="50" s="1"/>
  <c r="P62" i="50"/>
  <c r="P71" i="50" s="1"/>
  <c r="Q62" i="50"/>
  <c r="Q71" i="50" s="1"/>
  <c r="R62" i="50"/>
  <c r="R71" i="50" s="1"/>
  <c r="S62" i="50"/>
  <c r="S71" i="50" s="1"/>
  <c r="T62" i="50"/>
  <c r="U62" i="50"/>
  <c r="V62" i="50"/>
  <c r="W62" i="50"/>
  <c r="X62" i="50"/>
  <c r="X71" i="50" s="1"/>
  <c r="Y62" i="50"/>
  <c r="Y71" i="50" s="1"/>
  <c r="Z62" i="50"/>
  <c r="Z71" i="50" s="1"/>
  <c r="AA62" i="50"/>
  <c r="AA71" i="50" s="1"/>
  <c r="AB62" i="50"/>
  <c r="AB71" i="50" s="1"/>
  <c r="AC62" i="50"/>
  <c r="AC71" i="50" s="1"/>
  <c r="AD62" i="50"/>
  <c r="AD71" i="50" s="1"/>
  <c r="AE62" i="50"/>
  <c r="AE71" i="50" s="1"/>
  <c r="AF62" i="50"/>
  <c r="AF71" i="50" s="1"/>
  <c r="AG62" i="50"/>
  <c r="AG71" i="50" s="1"/>
  <c r="AH62" i="50"/>
  <c r="AH71" i="50" s="1"/>
  <c r="AI62" i="50"/>
  <c r="AI71" i="50" s="1"/>
  <c r="AJ62" i="50"/>
  <c r="AJ71" i="50" s="1"/>
  <c r="AK62" i="50"/>
  <c r="AK71" i="50" s="1"/>
  <c r="AL62" i="50"/>
  <c r="AL71" i="50" s="1"/>
  <c r="AM62" i="50"/>
  <c r="AM71" i="50" s="1"/>
  <c r="AN62" i="50"/>
  <c r="AN71" i="50" s="1"/>
  <c r="AO62" i="50"/>
  <c r="AO71" i="50" s="1"/>
  <c r="AP62" i="50"/>
  <c r="AP71" i="50" s="1"/>
  <c r="AQ62" i="50"/>
  <c r="AQ71" i="50" s="1"/>
  <c r="AR62" i="50"/>
  <c r="AR71" i="50" s="1"/>
  <c r="AS62" i="50"/>
  <c r="AS71" i="50" s="1"/>
  <c r="AT62" i="50"/>
  <c r="AT71" i="50" s="1"/>
  <c r="AU62" i="50"/>
  <c r="AU71" i="50" s="1"/>
  <c r="AV62" i="50"/>
  <c r="AV71" i="50" s="1"/>
  <c r="AW62" i="50"/>
  <c r="AW71" i="50" s="1"/>
  <c r="AX62" i="50"/>
  <c r="AX71" i="50" s="1"/>
  <c r="AY62" i="50"/>
  <c r="AY71" i="50" s="1"/>
  <c r="AZ62" i="50"/>
  <c r="AZ71" i="50" s="1"/>
  <c r="BA62" i="50"/>
  <c r="BA71" i="50" s="1"/>
  <c r="BB62" i="50"/>
  <c r="BB71" i="50" s="1"/>
  <c r="BC62" i="50"/>
  <c r="BC71" i="50" s="1"/>
  <c r="BD62" i="50"/>
  <c r="BD71" i="50" s="1"/>
  <c r="BE62" i="50"/>
  <c r="BE71" i="50" s="1"/>
  <c r="BF62" i="50"/>
  <c r="BF71" i="50" s="1"/>
  <c r="BG62" i="50"/>
  <c r="BG71" i="50" s="1"/>
  <c r="BH62" i="50"/>
  <c r="BH71" i="50" s="1"/>
  <c r="BI62" i="50"/>
  <c r="BI71" i="50" s="1"/>
  <c r="BJ62" i="50"/>
  <c r="BJ71" i="50" s="1"/>
  <c r="BK62" i="50"/>
  <c r="BK71" i="50" s="1"/>
  <c r="BL62" i="50"/>
  <c r="BL71" i="50" s="1"/>
  <c r="BM62" i="50"/>
  <c r="BM71" i="50" s="1"/>
  <c r="BN62" i="50"/>
  <c r="BN71" i="50" s="1"/>
  <c r="BO62" i="50"/>
  <c r="BO71" i="50" s="1"/>
  <c r="BP62" i="50"/>
  <c r="BP71" i="50" s="1"/>
  <c r="BQ62" i="50"/>
  <c r="BQ71" i="50" s="1"/>
  <c r="BR62" i="50"/>
  <c r="BR71" i="50" s="1"/>
  <c r="BS62" i="50"/>
  <c r="BS71" i="50" s="1"/>
  <c r="BT62" i="50"/>
  <c r="BT71" i="50" s="1"/>
  <c r="BU62" i="50"/>
  <c r="BU71" i="50" s="1"/>
  <c r="BV62" i="50"/>
  <c r="BV71" i="50" s="1"/>
  <c r="BW62" i="50"/>
  <c r="BW71" i="50" s="1"/>
  <c r="BX62" i="50"/>
  <c r="BX71" i="50" s="1"/>
  <c r="BY62" i="50"/>
  <c r="BY71" i="50" s="1"/>
  <c r="BZ62" i="50"/>
  <c r="BZ71" i="50" s="1"/>
  <c r="CA62" i="50"/>
  <c r="CA71" i="50" s="1"/>
  <c r="CB62" i="50"/>
  <c r="CB71" i="50" s="1"/>
  <c r="CC62" i="50"/>
  <c r="CC71" i="50" s="1"/>
  <c r="CD62" i="50"/>
  <c r="CD71" i="50" s="1"/>
  <c r="CE62" i="50"/>
  <c r="CE71" i="50" s="1"/>
  <c r="CF62" i="50"/>
  <c r="CF71" i="50" s="1"/>
  <c r="CG62" i="50"/>
  <c r="CG71" i="50" s="1"/>
  <c r="CH62" i="50"/>
  <c r="CH71" i="50" s="1"/>
  <c r="CI62" i="50"/>
  <c r="CI71" i="50" s="1"/>
  <c r="CJ62" i="50"/>
  <c r="CJ71" i="50" s="1"/>
  <c r="CK62" i="50"/>
  <c r="CK71" i="50" s="1"/>
  <c r="CL62" i="50"/>
  <c r="CL71" i="50" s="1"/>
  <c r="CM62" i="50"/>
  <c r="CM71" i="50" s="1"/>
  <c r="CN62" i="50"/>
  <c r="CN71" i="50" s="1"/>
  <c r="CO62" i="50"/>
  <c r="CO71" i="50" s="1"/>
  <c r="CP62" i="50"/>
  <c r="CP71" i="50" s="1"/>
  <c r="CQ62" i="50"/>
  <c r="CQ71" i="50" s="1"/>
  <c r="CR62" i="50"/>
  <c r="CR71" i="50" s="1"/>
  <c r="CS62" i="50"/>
  <c r="CS71" i="50" s="1"/>
  <c r="CT62" i="50"/>
  <c r="CT71" i="50" s="1"/>
  <c r="CU62" i="50"/>
  <c r="CU71" i="50" s="1"/>
  <c r="CV62" i="50"/>
  <c r="CV71" i="50" s="1"/>
  <c r="CW62" i="50"/>
  <c r="CW71" i="50" s="1"/>
  <c r="CX62" i="50"/>
  <c r="CX71" i="50" s="1"/>
  <c r="CY62" i="50"/>
  <c r="CY71" i="50" s="1"/>
  <c r="CZ62" i="50"/>
  <c r="CZ71" i="50" s="1"/>
  <c r="DA62" i="50"/>
  <c r="DA71" i="50" s="1"/>
  <c r="DB62" i="50"/>
  <c r="DB71" i="50" s="1"/>
  <c r="DC62" i="50"/>
  <c r="DC71" i="50" s="1"/>
  <c r="DD62" i="50"/>
  <c r="DD71" i="50" s="1"/>
  <c r="DE62" i="50"/>
  <c r="DE71" i="50" s="1"/>
  <c r="DF62" i="50"/>
  <c r="DF71" i="50" s="1"/>
  <c r="DG62" i="50"/>
  <c r="DG71" i="50" s="1"/>
  <c r="DH62" i="50"/>
  <c r="DH71" i="50" s="1"/>
  <c r="DI62" i="50"/>
  <c r="DI71" i="50" s="1"/>
  <c r="DJ62" i="50"/>
  <c r="DJ71" i="50" s="1"/>
  <c r="DK62" i="50"/>
  <c r="DK71" i="50" s="1"/>
  <c r="DL62" i="50"/>
  <c r="DL71" i="50" s="1"/>
  <c r="DM62" i="50"/>
  <c r="DM71" i="50" s="1"/>
  <c r="DN62" i="50"/>
  <c r="DN71" i="50" s="1"/>
  <c r="DO62" i="50"/>
  <c r="DO71" i="50" s="1"/>
  <c r="DP62" i="50"/>
  <c r="DP71" i="50" s="1"/>
  <c r="DQ62" i="50"/>
  <c r="DQ71" i="50" s="1"/>
  <c r="DR62" i="50"/>
  <c r="DR71" i="50" s="1"/>
  <c r="DS62" i="50"/>
  <c r="DS71" i="50" s="1"/>
  <c r="DT62" i="50"/>
  <c r="DT71" i="50" s="1"/>
  <c r="DU62" i="50"/>
  <c r="DU71" i="50" s="1"/>
  <c r="DV62" i="50"/>
  <c r="DV71" i="50" s="1"/>
  <c r="DW62" i="50"/>
  <c r="DW71" i="50" s="1"/>
  <c r="DX62" i="50"/>
  <c r="DX71" i="50" s="1"/>
  <c r="DY62" i="50"/>
  <c r="DY71" i="50" s="1"/>
  <c r="DZ62" i="50"/>
  <c r="DZ71" i="50" s="1"/>
  <c r="EA62" i="50"/>
  <c r="EA71" i="50" s="1"/>
  <c r="EB62" i="50"/>
  <c r="EB71" i="50" s="1"/>
  <c r="EC62" i="50"/>
  <c r="EC71" i="50" s="1"/>
  <c r="ED62" i="50"/>
  <c r="ED71" i="50" s="1"/>
  <c r="EE62" i="50"/>
  <c r="EE71" i="50" s="1"/>
  <c r="EF62" i="50"/>
  <c r="EF71" i="50" s="1"/>
  <c r="EG62" i="50"/>
  <c r="EG71" i="50" s="1"/>
  <c r="EH62" i="50"/>
  <c r="EH71" i="50" s="1"/>
  <c r="EI62" i="50"/>
  <c r="EI71" i="50" s="1"/>
  <c r="EJ62" i="50"/>
  <c r="EJ71" i="50" s="1"/>
  <c r="EK62" i="50"/>
  <c r="EK71" i="50" s="1"/>
  <c r="EL62" i="50"/>
  <c r="EL71" i="50" s="1"/>
  <c r="EM62" i="50"/>
  <c r="EM71" i="50" s="1"/>
  <c r="EN62" i="50"/>
  <c r="EN71" i="50" s="1"/>
  <c r="EO62" i="50"/>
  <c r="EO71" i="50" s="1"/>
  <c r="EP62" i="50"/>
  <c r="EP71" i="50" s="1"/>
  <c r="EQ62" i="50"/>
  <c r="EQ71" i="50" s="1"/>
  <c r="ER62" i="50"/>
  <c r="ER71" i="50" s="1"/>
  <c r="ES62" i="50"/>
  <c r="ES71" i="50" s="1"/>
  <c r="ET62" i="50"/>
  <c r="ET71" i="50" s="1"/>
  <c r="EU62" i="50"/>
  <c r="EU71" i="50" s="1"/>
  <c r="EV62" i="50"/>
  <c r="EV71" i="50" s="1"/>
  <c r="EW62" i="50"/>
  <c r="EW71" i="50" s="1"/>
  <c r="EX62" i="50"/>
  <c r="EX71" i="50" s="1"/>
  <c r="EY62" i="50"/>
  <c r="EY71" i="50" s="1"/>
  <c r="EZ62" i="50"/>
  <c r="EZ71" i="50" s="1"/>
  <c r="FA62" i="50"/>
  <c r="FA71" i="50" s="1"/>
  <c r="FB62" i="50"/>
  <c r="FB71" i="50" s="1"/>
  <c r="FC62" i="50"/>
  <c r="FC71" i="50" s="1"/>
  <c r="FD62" i="50"/>
  <c r="FD71" i="50" s="1"/>
  <c r="FE62" i="50"/>
  <c r="FE71" i="50" s="1"/>
  <c r="FF62" i="50"/>
  <c r="FF71" i="50" s="1"/>
  <c r="FG62" i="50"/>
  <c r="FG71" i="50" s="1"/>
  <c r="FH62" i="50"/>
  <c r="FH71" i="50" s="1"/>
  <c r="FI62" i="50"/>
  <c r="FI71" i="50" s="1"/>
  <c r="FJ62" i="50"/>
  <c r="FJ71" i="50" s="1"/>
  <c r="FK62" i="50"/>
  <c r="FK71" i="50" s="1"/>
  <c r="FL62" i="50"/>
  <c r="FL71" i="50" s="1"/>
  <c r="FM62" i="50"/>
  <c r="FM71" i="50" s="1"/>
  <c r="FN62" i="50"/>
  <c r="FN71" i="50" s="1"/>
  <c r="FO62" i="50"/>
  <c r="FO71" i="50" s="1"/>
  <c r="FP62" i="50"/>
  <c r="FP71" i="50" s="1"/>
  <c r="FQ62" i="50"/>
  <c r="FQ71" i="50" s="1"/>
  <c r="FR62" i="50"/>
  <c r="FR71" i="50" s="1"/>
  <c r="FS62" i="50"/>
  <c r="FS71" i="50" s="1"/>
  <c r="FT62" i="50"/>
  <c r="FT71" i="50" s="1"/>
  <c r="FU62" i="50"/>
  <c r="FU71" i="50" s="1"/>
  <c r="FV62" i="50"/>
  <c r="FV71" i="50" s="1"/>
  <c r="FW62" i="50"/>
  <c r="FW71" i="50" s="1"/>
  <c r="FX62" i="50"/>
  <c r="FX71" i="50" s="1"/>
  <c r="FY62" i="50"/>
  <c r="FY71" i="50" s="1"/>
  <c r="FZ62" i="50"/>
  <c r="FZ71" i="50" s="1"/>
  <c r="GA62" i="50"/>
  <c r="GA71" i="50" s="1"/>
  <c r="GB62" i="50"/>
  <c r="GB71" i="50" s="1"/>
  <c r="GC62" i="50"/>
  <c r="GC71" i="50" s="1"/>
  <c r="G64" i="50"/>
  <c r="H64" i="50"/>
  <c r="I64" i="50"/>
  <c r="J64" i="50"/>
  <c r="K64" i="50"/>
  <c r="L64" i="50"/>
  <c r="M64" i="50"/>
  <c r="N64" i="50"/>
  <c r="O64" i="50"/>
  <c r="P64" i="50"/>
  <c r="Q64" i="50"/>
  <c r="R64" i="50"/>
  <c r="S64" i="50"/>
  <c r="T64" i="50"/>
  <c r="U64" i="50"/>
  <c r="V64" i="50"/>
  <c r="W64" i="50"/>
  <c r="X64" i="50"/>
  <c r="Y64" i="50"/>
  <c r="Z64" i="50"/>
  <c r="AA64" i="50"/>
  <c r="AB64" i="50"/>
  <c r="AC64" i="50"/>
  <c r="AD64" i="50"/>
  <c r="AE64" i="50"/>
  <c r="AF64" i="50"/>
  <c r="AG64" i="50"/>
  <c r="AH64" i="50"/>
  <c r="AI64" i="50"/>
  <c r="AJ64" i="50"/>
  <c r="AK64" i="50"/>
  <c r="AL64" i="50"/>
  <c r="AM64" i="50"/>
  <c r="AN64" i="50"/>
  <c r="AO64" i="50"/>
  <c r="AP64" i="50"/>
  <c r="AQ64" i="50"/>
  <c r="AR64" i="50"/>
  <c r="AS64" i="50"/>
  <c r="AT64" i="50"/>
  <c r="AU64" i="50"/>
  <c r="AV64" i="50"/>
  <c r="AW64" i="50"/>
  <c r="AX64" i="50"/>
  <c r="AY64" i="50"/>
  <c r="AZ64" i="50"/>
  <c r="BA64" i="50"/>
  <c r="BB64" i="50"/>
  <c r="BC64" i="50"/>
  <c r="BD64" i="50"/>
  <c r="BE64" i="50"/>
  <c r="BF64" i="50"/>
  <c r="BG64" i="50"/>
  <c r="BH64" i="50"/>
  <c r="BI64" i="50"/>
  <c r="BJ64" i="50"/>
  <c r="BK64" i="50"/>
  <c r="BL64" i="50"/>
  <c r="BM64" i="50"/>
  <c r="BN64" i="50"/>
  <c r="BO64" i="50"/>
  <c r="BP64" i="50"/>
  <c r="BQ64" i="50"/>
  <c r="BR64" i="50"/>
  <c r="BS64" i="50"/>
  <c r="BT64" i="50"/>
  <c r="BU64" i="50"/>
  <c r="BV64" i="50"/>
  <c r="BW64" i="50"/>
  <c r="BX64" i="50"/>
  <c r="BY64" i="50"/>
  <c r="BZ64" i="50"/>
  <c r="CA64" i="50"/>
  <c r="CB64" i="50"/>
  <c r="CC64" i="50"/>
  <c r="CD64" i="50"/>
  <c r="CE64" i="50"/>
  <c r="CF64" i="50"/>
  <c r="CG64" i="50"/>
  <c r="CH64" i="50"/>
  <c r="CI64" i="50"/>
  <c r="CJ64" i="50"/>
  <c r="CK64" i="50"/>
  <c r="CL64" i="50"/>
  <c r="CM64" i="50"/>
  <c r="CN64" i="50"/>
  <c r="CO64" i="50"/>
  <c r="CP64" i="50"/>
  <c r="CQ64" i="50"/>
  <c r="CR64" i="50"/>
  <c r="CS64" i="50"/>
  <c r="CT64" i="50"/>
  <c r="CU64" i="50"/>
  <c r="CV64" i="50"/>
  <c r="CW64" i="50"/>
  <c r="CX64" i="50"/>
  <c r="CY64" i="50"/>
  <c r="CZ64" i="50"/>
  <c r="DA64" i="50"/>
  <c r="DB64" i="50"/>
  <c r="DC64" i="50"/>
  <c r="DD64" i="50"/>
  <c r="DE64" i="50"/>
  <c r="DF64" i="50"/>
  <c r="DG64" i="50"/>
  <c r="DH64" i="50"/>
  <c r="DI64" i="50"/>
  <c r="DJ64" i="50"/>
  <c r="DK64" i="50"/>
  <c r="DL64" i="50"/>
  <c r="DM64" i="50"/>
  <c r="DN64" i="50"/>
  <c r="DO64" i="50"/>
  <c r="DP64" i="50"/>
  <c r="DQ64" i="50"/>
  <c r="DR64" i="50"/>
  <c r="DS64" i="50"/>
  <c r="DT64" i="50"/>
  <c r="DU64" i="50"/>
  <c r="DV64" i="50"/>
  <c r="DW64" i="50"/>
  <c r="DX64" i="50"/>
  <c r="DY64" i="50"/>
  <c r="DZ64" i="50"/>
  <c r="EA64" i="50"/>
  <c r="EB64" i="50"/>
  <c r="EC64" i="50"/>
  <c r="ED64" i="50"/>
  <c r="EE64" i="50"/>
  <c r="EF64" i="50"/>
  <c r="EG64" i="50"/>
  <c r="EH64" i="50"/>
  <c r="EI64" i="50"/>
  <c r="EJ64" i="50"/>
  <c r="EK64" i="50"/>
  <c r="EL64" i="50"/>
  <c r="EM64" i="50"/>
  <c r="EN64" i="50"/>
  <c r="EO64" i="50"/>
  <c r="EP64" i="50"/>
  <c r="EQ64" i="50"/>
  <c r="ER64" i="50"/>
  <c r="ES64" i="50"/>
  <c r="ET64" i="50"/>
  <c r="EU64" i="50"/>
  <c r="EV64" i="50"/>
  <c r="EW64" i="50"/>
  <c r="EX64" i="50"/>
  <c r="EY64" i="50"/>
  <c r="EZ64" i="50"/>
  <c r="FA64" i="50"/>
  <c r="FB64" i="50"/>
  <c r="FC64" i="50"/>
  <c r="FD64" i="50"/>
  <c r="FE64" i="50"/>
  <c r="FF64" i="50"/>
  <c r="FG64" i="50"/>
  <c r="FH64" i="50"/>
  <c r="FI64" i="50"/>
  <c r="FJ64" i="50"/>
  <c r="FK64" i="50"/>
  <c r="FL64" i="50"/>
  <c r="FM64" i="50"/>
  <c r="FN64" i="50"/>
  <c r="FO64" i="50"/>
  <c r="FP64" i="50"/>
  <c r="FQ64" i="50"/>
  <c r="FR64" i="50"/>
  <c r="FS64" i="50"/>
  <c r="FT64" i="50"/>
  <c r="FU64" i="50"/>
  <c r="FV64" i="50"/>
  <c r="FW64" i="50"/>
  <c r="FX64" i="50"/>
  <c r="FY64" i="50"/>
  <c r="FZ64" i="50"/>
  <c r="GA64" i="50"/>
  <c r="GB64" i="50"/>
  <c r="GC64" i="50"/>
  <c r="F64" i="50"/>
  <c r="F62" i="50"/>
  <c r="F60" i="50"/>
  <c r="F58" i="50"/>
  <c r="F67" i="50" s="1"/>
  <c r="E13" i="19"/>
  <c r="F13" i="19" s="1"/>
  <c r="G13" i="19" s="1"/>
  <c r="H13" i="19" s="1"/>
  <c r="B8" i="32"/>
  <c r="B9" i="32" s="1"/>
  <c r="B10" i="32" s="1"/>
  <c r="B11" i="32" s="1"/>
  <c r="B12" i="32" s="1"/>
  <c r="B13" i="32" s="1"/>
  <c r="B14" i="32" s="1"/>
  <c r="B15" i="32" s="1"/>
  <c r="D54" i="19"/>
  <c r="D13" i="34"/>
  <c r="D14" i="34"/>
  <c r="D15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12" i="3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J67" i="50" l="1"/>
  <c r="B17" i="32"/>
  <c r="B16" i="32" s="1"/>
  <c r="B18" i="32" s="1"/>
  <c r="B19" i="32" s="1"/>
  <c r="B20" i="32" s="1"/>
  <c r="AF40" i="19"/>
  <c r="AF41" i="19" s="1"/>
  <c r="AF42" i="19" s="1"/>
  <c r="AF43" i="19" s="1"/>
  <c r="AF44" i="19" s="1"/>
  <c r="AF45" i="19" s="1"/>
  <c r="AF46" i="19" s="1"/>
  <c r="AF47" i="19" s="1"/>
  <c r="AF48" i="19" s="1"/>
  <c r="AF49" i="19" s="1"/>
  <c r="AF13" i="19"/>
  <c r="AF12" i="19" s="1"/>
  <c r="AF11" i="19" s="1"/>
  <c r="AF10" i="19" s="1"/>
  <c r="AF9" i="19" s="1"/>
  <c r="AF8" i="19" s="1"/>
  <c r="AF7" i="19" s="1"/>
  <c r="Q40" i="19"/>
  <c r="Q41" i="19" s="1"/>
  <c r="Q42" i="19" s="1"/>
  <c r="Q43" i="19" s="1"/>
  <c r="Q44" i="19" s="1"/>
  <c r="Q45" i="19" s="1"/>
  <c r="Q46" i="19" s="1"/>
  <c r="Q47" i="19" s="1"/>
  <c r="Q48" i="19" s="1"/>
  <c r="Q49" i="19" s="1"/>
  <c r="Q61" i="19"/>
  <c r="Q60" i="19" s="1"/>
  <c r="Q59" i="19" s="1"/>
  <c r="Q58" i="19" s="1"/>
  <c r="Q57" i="19" s="1"/>
  <c r="Q56" i="19" s="1"/>
  <c r="Q55" i="19" s="1"/>
  <c r="Q54" i="19" s="1"/>
  <c r="Q53" i="19" s="1"/>
  <c r="Q52" i="19" s="1"/>
  <c r="Q17" i="19"/>
  <c r="Q18" i="19" s="1"/>
  <c r="Q19" i="19" s="1"/>
  <c r="Q20" i="19" s="1"/>
  <c r="Q21" i="19" s="1"/>
  <c r="Q22" i="19" s="1"/>
  <c r="Q23" i="19" s="1"/>
  <c r="Q24" i="19" s="1"/>
  <c r="Q25" i="19" s="1"/>
  <c r="Q26" i="19" s="1"/>
  <c r="Q27" i="19" s="1"/>
  <c r="D32" i="4"/>
  <c r="G44" i="31"/>
  <c r="H44" i="31"/>
  <c r="I44" i="31"/>
  <c r="J44" i="31"/>
  <c r="K44" i="31"/>
  <c r="L44" i="31"/>
  <c r="M44" i="31"/>
  <c r="N44" i="31"/>
  <c r="O44" i="31"/>
  <c r="P44" i="31"/>
  <c r="Q44" i="31"/>
  <c r="R44" i="31"/>
  <c r="S44" i="31"/>
  <c r="T44" i="31"/>
  <c r="U44" i="31"/>
  <c r="V44" i="31"/>
  <c r="W44" i="31"/>
  <c r="X44" i="31"/>
  <c r="Y44" i="31"/>
  <c r="Z44" i="31"/>
  <c r="AA44" i="31"/>
  <c r="AB44" i="31"/>
  <c r="AC44" i="31"/>
  <c r="AD44" i="31"/>
  <c r="AE44" i="31"/>
  <c r="AF44" i="31"/>
  <c r="AG44" i="31"/>
  <c r="AH44" i="31"/>
  <c r="AI44" i="31"/>
  <c r="AJ44" i="31"/>
  <c r="AK44" i="31"/>
  <c r="AL44" i="31"/>
  <c r="AM44" i="31"/>
  <c r="AN44" i="31"/>
  <c r="AO44" i="31"/>
  <c r="AP44" i="31"/>
  <c r="AQ44" i="31"/>
  <c r="AR44" i="31"/>
  <c r="AS44" i="31"/>
  <c r="AT44" i="31"/>
  <c r="AU44" i="31"/>
  <c r="AV44" i="31"/>
  <c r="AW44" i="31"/>
  <c r="AX44" i="31"/>
  <c r="AY44" i="31"/>
  <c r="AZ44" i="31"/>
  <c r="BA44" i="31"/>
  <c r="BB44" i="31"/>
  <c r="BC44" i="31"/>
  <c r="BD44" i="31"/>
  <c r="BE44" i="31"/>
  <c r="BF44" i="31"/>
  <c r="BG44" i="31"/>
  <c r="BH44" i="31"/>
  <c r="BI44" i="31"/>
  <c r="BJ44" i="31"/>
  <c r="BK44" i="31"/>
  <c r="BL44" i="31"/>
  <c r="BM44" i="31"/>
  <c r="BN44" i="31"/>
  <c r="BO44" i="31"/>
  <c r="BP44" i="31"/>
  <c r="BQ44" i="31"/>
  <c r="BR44" i="31"/>
  <c r="BS44" i="31"/>
  <c r="BT44" i="31"/>
  <c r="BU44" i="31"/>
  <c r="BV44" i="31"/>
  <c r="BW44" i="31"/>
  <c r="BX44" i="31"/>
  <c r="BY44" i="31"/>
  <c r="BZ44" i="31"/>
  <c r="CA44" i="31"/>
  <c r="CB44" i="31"/>
  <c r="CC44" i="31"/>
  <c r="CD44" i="31"/>
  <c r="CE44" i="31"/>
  <c r="CF44" i="31"/>
  <c r="CG44" i="31"/>
  <c r="CH44" i="31"/>
  <c r="CI44" i="31"/>
  <c r="CJ44" i="31"/>
  <c r="CK44" i="31"/>
  <c r="CL44" i="31"/>
  <c r="CM44" i="31"/>
  <c r="CN44" i="31"/>
  <c r="CO44" i="31"/>
  <c r="CP44" i="31"/>
  <c r="CQ44" i="31"/>
  <c r="CR44" i="31"/>
  <c r="CS44" i="31"/>
  <c r="CT44" i="31"/>
  <c r="CU44" i="31"/>
  <c r="CV44" i="31"/>
  <c r="CW44" i="31"/>
  <c r="CX44" i="31"/>
  <c r="CY44" i="31"/>
  <c r="CZ44" i="31"/>
  <c r="DA44" i="31"/>
  <c r="DB44" i="31"/>
  <c r="DC44" i="31"/>
  <c r="DD44" i="31"/>
  <c r="DE44" i="31"/>
  <c r="DF44" i="31"/>
  <c r="DG44" i="31"/>
  <c r="DH44" i="31"/>
  <c r="DI44" i="31"/>
  <c r="DJ44" i="31"/>
  <c r="DK44" i="31"/>
  <c r="DL44" i="31"/>
  <c r="DM44" i="31"/>
  <c r="DN44" i="31"/>
  <c r="DO44" i="31"/>
  <c r="DP44" i="31"/>
  <c r="DQ44" i="31"/>
  <c r="DR44" i="31"/>
  <c r="DS44" i="31"/>
  <c r="DT44" i="31"/>
  <c r="DU44" i="31"/>
  <c r="DV44" i="31"/>
  <c r="DW44" i="31"/>
  <c r="DX44" i="31"/>
  <c r="DY44" i="31"/>
  <c r="DZ44" i="31"/>
  <c r="EA44" i="31"/>
  <c r="EB44" i="31"/>
  <c r="EC44" i="31"/>
  <c r="ED44" i="31"/>
  <c r="EE44" i="31"/>
  <c r="EF44" i="31"/>
  <c r="EG44" i="31"/>
  <c r="EH44" i="31"/>
  <c r="EI44" i="31"/>
  <c r="EJ44" i="31"/>
  <c r="EK44" i="31"/>
  <c r="EL44" i="31"/>
  <c r="EM44" i="31"/>
  <c r="EN44" i="31"/>
  <c r="EO44" i="31"/>
  <c r="EP44" i="31"/>
  <c r="EQ44" i="31"/>
  <c r="ER44" i="31"/>
  <c r="ES44" i="31"/>
  <c r="ET44" i="31"/>
  <c r="EU44" i="31"/>
  <c r="EV44" i="31"/>
  <c r="EW44" i="31"/>
  <c r="EX44" i="31"/>
  <c r="EY44" i="31"/>
  <c r="EZ44" i="31"/>
  <c r="FA44" i="31"/>
  <c r="FB44" i="31"/>
  <c r="FC44" i="31"/>
  <c r="FD44" i="31"/>
  <c r="FE44" i="31"/>
  <c r="FF44" i="31"/>
  <c r="FG44" i="31"/>
  <c r="FH44" i="31"/>
  <c r="FI44" i="31"/>
  <c r="FJ44" i="31"/>
  <c r="FK44" i="31"/>
  <c r="FL44" i="31"/>
  <c r="FM44" i="31"/>
  <c r="FN44" i="31"/>
  <c r="FO44" i="31"/>
  <c r="FP44" i="31"/>
  <c r="FQ44" i="31"/>
  <c r="FR44" i="31"/>
  <c r="FS44" i="31"/>
  <c r="FT44" i="31"/>
  <c r="FU44" i="31"/>
  <c r="FV44" i="31"/>
  <c r="FW44" i="31"/>
  <c r="FX44" i="31"/>
  <c r="FY44" i="31"/>
  <c r="FZ44" i="31"/>
  <c r="GA44" i="31"/>
  <c r="GB44" i="31"/>
  <c r="GC44" i="31"/>
  <c r="F44" i="31"/>
  <c r="B81" i="19"/>
  <c r="D30" i="19" s="1"/>
  <c r="D77" i="50"/>
  <c r="A3" i="51"/>
  <c r="A2" i="51"/>
  <c r="F5" i="51"/>
  <c r="Q8" i="51"/>
  <c r="P8" i="51"/>
  <c r="O8" i="51"/>
  <c r="N8" i="51"/>
  <c r="M8" i="51"/>
  <c r="L8" i="51"/>
  <c r="K8" i="51"/>
  <c r="J8" i="51"/>
  <c r="I8" i="51"/>
  <c r="H8" i="51"/>
  <c r="G8" i="51"/>
  <c r="F8" i="51"/>
  <c r="Q7" i="51"/>
  <c r="P7" i="51"/>
  <c r="O7" i="51"/>
  <c r="N7" i="51"/>
  <c r="M7" i="51"/>
  <c r="L7" i="51"/>
  <c r="K7" i="51"/>
  <c r="J7" i="51"/>
  <c r="I7" i="51"/>
  <c r="H7" i="51"/>
  <c r="G7" i="51"/>
  <c r="F7" i="51"/>
  <c r="D67" i="31"/>
  <c r="F147" i="51"/>
  <c r="G147" i="51"/>
  <c r="H147" i="51"/>
  <c r="I147" i="51"/>
  <c r="C35" i="37"/>
  <c r="C34" i="37"/>
  <c r="C33" i="37"/>
  <c r="C32" i="37"/>
  <c r="C31" i="37"/>
  <c r="C30" i="37"/>
  <c r="C29" i="37"/>
  <c r="C28" i="37"/>
  <c r="C27" i="37"/>
  <c r="C26" i="37"/>
  <c r="C25" i="37"/>
  <c r="C24" i="37"/>
  <c r="C23" i="37"/>
  <c r="C22" i="37"/>
  <c r="C21" i="37"/>
  <c r="C20" i="37"/>
  <c r="C19" i="37"/>
  <c r="C18" i="37"/>
  <c r="BN43" i="31"/>
  <c r="BO43" i="31"/>
  <c r="BP43" i="31"/>
  <c r="BQ43" i="31"/>
  <c r="BR43" i="31"/>
  <c r="BS43" i="31"/>
  <c r="BT43" i="31"/>
  <c r="BU43" i="31"/>
  <c r="BV43" i="31"/>
  <c r="BW43" i="31"/>
  <c r="BX43" i="31"/>
  <c r="BY43" i="31"/>
  <c r="BZ43" i="31"/>
  <c r="CA43" i="31"/>
  <c r="CB43" i="31"/>
  <c r="CC43" i="31"/>
  <c r="CD43" i="31"/>
  <c r="CE43" i="31"/>
  <c r="CF43" i="31"/>
  <c r="CG43" i="31"/>
  <c r="CH43" i="31"/>
  <c r="CI43" i="31"/>
  <c r="CJ43" i="31"/>
  <c r="CK43" i="31"/>
  <c r="CL43" i="31"/>
  <c r="CM43" i="31"/>
  <c r="CN43" i="31"/>
  <c r="CO43" i="31"/>
  <c r="CP43" i="31"/>
  <c r="CQ43" i="31"/>
  <c r="CR43" i="31"/>
  <c r="CS43" i="31"/>
  <c r="CT43" i="31"/>
  <c r="CU43" i="31"/>
  <c r="CV43" i="31"/>
  <c r="CW43" i="31"/>
  <c r="CX43" i="31"/>
  <c r="CY43" i="31"/>
  <c r="CZ43" i="31"/>
  <c r="DA43" i="31"/>
  <c r="DB43" i="31"/>
  <c r="DC43" i="31"/>
  <c r="DD43" i="31"/>
  <c r="DE43" i="31"/>
  <c r="DF43" i="31"/>
  <c r="DG43" i="31"/>
  <c r="DH43" i="31"/>
  <c r="DI43" i="31"/>
  <c r="DJ43" i="31"/>
  <c r="DK43" i="31"/>
  <c r="DL43" i="31"/>
  <c r="DM43" i="31"/>
  <c r="DN43" i="31"/>
  <c r="DO43" i="31"/>
  <c r="DP43" i="31"/>
  <c r="DQ43" i="31"/>
  <c r="DR43" i="31"/>
  <c r="DS43" i="31"/>
  <c r="DT43" i="31"/>
  <c r="DU43" i="31"/>
  <c r="DV43" i="31"/>
  <c r="DW43" i="31"/>
  <c r="DX43" i="31"/>
  <c r="DY43" i="31"/>
  <c r="DZ43" i="31"/>
  <c r="EA43" i="31"/>
  <c r="EB43" i="31"/>
  <c r="EC43" i="31"/>
  <c r="ED43" i="31"/>
  <c r="EE43" i="31"/>
  <c r="EF43" i="31"/>
  <c r="EG43" i="31"/>
  <c r="EH43" i="31"/>
  <c r="EI43" i="31"/>
  <c r="EJ43" i="31"/>
  <c r="EK43" i="31"/>
  <c r="EL43" i="31"/>
  <c r="EM43" i="31"/>
  <c r="EN43" i="31"/>
  <c r="EO43" i="31"/>
  <c r="EP43" i="31"/>
  <c r="EQ43" i="31"/>
  <c r="ER43" i="31"/>
  <c r="ES43" i="31"/>
  <c r="ET43" i="31"/>
  <c r="EU43" i="31"/>
  <c r="EV43" i="31"/>
  <c r="EW43" i="31"/>
  <c r="EX43" i="31"/>
  <c r="EY43" i="31"/>
  <c r="EZ43" i="31"/>
  <c r="FA43" i="31"/>
  <c r="FB43" i="31"/>
  <c r="FC43" i="31"/>
  <c r="FD43" i="31"/>
  <c r="FE43" i="31"/>
  <c r="FF43" i="31"/>
  <c r="FG43" i="31"/>
  <c r="FH43" i="31"/>
  <c r="FI43" i="31"/>
  <c r="FJ43" i="31"/>
  <c r="FK43" i="31"/>
  <c r="FL43" i="31"/>
  <c r="FM43" i="31"/>
  <c r="FN43" i="31"/>
  <c r="FO43" i="31"/>
  <c r="FP43" i="31"/>
  <c r="FQ43" i="31"/>
  <c r="FR43" i="31"/>
  <c r="FS43" i="31"/>
  <c r="FT43" i="31"/>
  <c r="FU43" i="31"/>
  <c r="FV43" i="31"/>
  <c r="FW43" i="31"/>
  <c r="FX43" i="31"/>
  <c r="FY43" i="31"/>
  <c r="FZ43" i="31"/>
  <c r="GA43" i="31"/>
  <c r="GB43" i="31"/>
  <c r="GC43" i="31"/>
  <c r="FX7" i="28"/>
  <c r="FY7" i="28"/>
  <c r="FZ7" i="28"/>
  <c r="GA7" i="28"/>
  <c r="GB7" i="28"/>
  <c r="GC7" i="28"/>
  <c r="FX8" i="28"/>
  <c r="FY8" i="28"/>
  <c r="FZ8" i="28"/>
  <c r="GA8" i="28"/>
  <c r="GB8" i="28"/>
  <c r="GC8" i="28"/>
  <c r="BN7" i="28"/>
  <c r="BO7" i="28"/>
  <c r="BP7" i="28"/>
  <c r="BQ7" i="28"/>
  <c r="BR7" i="28"/>
  <c r="BS7" i="28"/>
  <c r="BT7" i="28"/>
  <c r="BU7" i="28"/>
  <c r="BV7" i="28"/>
  <c r="BW7" i="28"/>
  <c r="BX7" i="28"/>
  <c r="BY7" i="28"/>
  <c r="BZ7" i="28"/>
  <c r="CA7" i="28"/>
  <c r="CB7" i="28"/>
  <c r="CC7" i="28"/>
  <c r="CD7" i="28"/>
  <c r="CE7" i="28"/>
  <c r="CF7" i="28"/>
  <c r="CG7" i="28"/>
  <c r="CH7" i="28"/>
  <c r="CI7" i="28"/>
  <c r="CJ7" i="28"/>
  <c r="CK7" i="28"/>
  <c r="CL7" i="28"/>
  <c r="CM7" i="28"/>
  <c r="CN7" i="28"/>
  <c r="CO7" i="28"/>
  <c r="CP7" i="28"/>
  <c r="CQ7" i="28"/>
  <c r="CR7" i="28"/>
  <c r="CS7" i="28"/>
  <c r="CT7" i="28"/>
  <c r="CU7" i="28"/>
  <c r="CV7" i="28"/>
  <c r="CW7" i="28"/>
  <c r="CX7" i="28"/>
  <c r="CY7" i="28"/>
  <c r="CZ7" i="28"/>
  <c r="DA7" i="28"/>
  <c r="DB7" i="28"/>
  <c r="DC7" i="28"/>
  <c r="DD7" i="28"/>
  <c r="DE7" i="28"/>
  <c r="DF7" i="28"/>
  <c r="DG7" i="28"/>
  <c r="DH7" i="28"/>
  <c r="DI7" i="28"/>
  <c r="DJ7" i="28"/>
  <c r="DK7" i="28"/>
  <c r="DL7" i="28"/>
  <c r="DM7" i="28"/>
  <c r="DN7" i="28"/>
  <c r="DO7" i="28"/>
  <c r="DP7" i="28"/>
  <c r="DQ7" i="28"/>
  <c r="DR7" i="28"/>
  <c r="DS7" i="28"/>
  <c r="DT7" i="28"/>
  <c r="DU7" i="28"/>
  <c r="DV7" i="28"/>
  <c r="DW7" i="28"/>
  <c r="DX7" i="28"/>
  <c r="DY7" i="28"/>
  <c r="DZ7" i="28"/>
  <c r="EA7" i="28"/>
  <c r="EB7" i="28"/>
  <c r="EC7" i="28"/>
  <c r="ED7" i="28"/>
  <c r="EE7" i="28"/>
  <c r="EF7" i="28"/>
  <c r="EG7" i="28"/>
  <c r="EH7" i="28"/>
  <c r="EI7" i="28"/>
  <c r="EJ7" i="28"/>
  <c r="EK7" i="28"/>
  <c r="EL7" i="28"/>
  <c r="EM7" i="28"/>
  <c r="EN7" i="28"/>
  <c r="EO7" i="28"/>
  <c r="EP7" i="28"/>
  <c r="EQ7" i="28"/>
  <c r="ER7" i="28"/>
  <c r="ES7" i="28"/>
  <c r="ET7" i="28"/>
  <c r="EU7" i="28"/>
  <c r="EV7" i="28"/>
  <c r="EW7" i="28"/>
  <c r="EX7" i="28"/>
  <c r="EY7" i="28"/>
  <c r="EZ7" i="28"/>
  <c r="FA7" i="28"/>
  <c r="FB7" i="28"/>
  <c r="FC7" i="28"/>
  <c r="FD7" i="28"/>
  <c r="FE7" i="28"/>
  <c r="FF7" i="28"/>
  <c r="FG7" i="28"/>
  <c r="FH7" i="28"/>
  <c r="FI7" i="28"/>
  <c r="FJ7" i="28"/>
  <c r="FK7" i="28"/>
  <c r="FL7" i="28"/>
  <c r="FM7" i="28"/>
  <c r="FN7" i="28"/>
  <c r="FO7" i="28"/>
  <c r="FP7" i="28"/>
  <c r="FQ7" i="28"/>
  <c r="FR7" i="28"/>
  <c r="FS7" i="28"/>
  <c r="FT7" i="28"/>
  <c r="FU7" i="28"/>
  <c r="FV7" i="28"/>
  <c r="FW7" i="28"/>
  <c r="BN8" i="28"/>
  <c r="BO8" i="28"/>
  <c r="BP8" i="28"/>
  <c r="BQ8" i="28"/>
  <c r="BR8" i="28"/>
  <c r="BS8" i="28"/>
  <c r="BT8" i="28"/>
  <c r="BU8" i="28"/>
  <c r="BV8" i="28"/>
  <c r="BW8" i="28"/>
  <c r="BX8" i="28"/>
  <c r="BY8" i="28"/>
  <c r="BZ8" i="28"/>
  <c r="CA8" i="28"/>
  <c r="CB8" i="28"/>
  <c r="CC8" i="28"/>
  <c r="CD8" i="28"/>
  <c r="CE8" i="28"/>
  <c r="CF8" i="28"/>
  <c r="CG8" i="28"/>
  <c r="CH8" i="28"/>
  <c r="CI8" i="28"/>
  <c r="CJ8" i="28"/>
  <c r="CK8" i="28"/>
  <c r="CL8" i="28"/>
  <c r="CM8" i="28"/>
  <c r="CN8" i="28"/>
  <c r="CO8" i="28"/>
  <c r="CP8" i="28"/>
  <c r="CQ8" i="28"/>
  <c r="CR8" i="28"/>
  <c r="CS8" i="28"/>
  <c r="CT8" i="28"/>
  <c r="CU8" i="28"/>
  <c r="CV8" i="28"/>
  <c r="CW8" i="28"/>
  <c r="CX8" i="28"/>
  <c r="CY8" i="28"/>
  <c r="CZ8" i="28"/>
  <c r="DA8" i="28"/>
  <c r="DB8" i="28"/>
  <c r="DC8" i="28"/>
  <c r="DD8" i="28"/>
  <c r="DE8" i="28"/>
  <c r="DF8" i="28"/>
  <c r="DG8" i="28"/>
  <c r="DH8" i="28"/>
  <c r="DI8" i="28"/>
  <c r="DJ8" i="28"/>
  <c r="DK8" i="28"/>
  <c r="DL8" i="28"/>
  <c r="DM8" i="28"/>
  <c r="DN8" i="28"/>
  <c r="DO8" i="28"/>
  <c r="DP8" i="28"/>
  <c r="DQ8" i="28"/>
  <c r="DR8" i="28"/>
  <c r="DS8" i="28"/>
  <c r="DT8" i="28"/>
  <c r="DU8" i="28"/>
  <c r="DV8" i="28"/>
  <c r="DW8" i="28"/>
  <c r="DX8" i="28"/>
  <c r="DY8" i="28"/>
  <c r="DZ8" i="28"/>
  <c r="EA8" i="28"/>
  <c r="EB8" i="28"/>
  <c r="EC8" i="28"/>
  <c r="ED8" i="28"/>
  <c r="EE8" i="28"/>
  <c r="EF8" i="28"/>
  <c r="EG8" i="28"/>
  <c r="EH8" i="28"/>
  <c r="EI8" i="28"/>
  <c r="EJ8" i="28"/>
  <c r="EK8" i="28"/>
  <c r="EL8" i="28"/>
  <c r="EM8" i="28"/>
  <c r="EN8" i="28"/>
  <c r="EO8" i="28"/>
  <c r="EP8" i="28"/>
  <c r="EQ8" i="28"/>
  <c r="ER8" i="28"/>
  <c r="ES8" i="28"/>
  <c r="ET8" i="28"/>
  <c r="EU8" i="28"/>
  <c r="EV8" i="28"/>
  <c r="EW8" i="28"/>
  <c r="EX8" i="28"/>
  <c r="EY8" i="28"/>
  <c r="EZ8" i="28"/>
  <c r="FA8" i="28"/>
  <c r="FB8" i="28"/>
  <c r="FC8" i="28"/>
  <c r="FD8" i="28"/>
  <c r="FE8" i="28"/>
  <c r="FF8" i="28"/>
  <c r="FG8" i="28"/>
  <c r="FH8" i="28"/>
  <c r="FI8" i="28"/>
  <c r="FJ8" i="28"/>
  <c r="FK8" i="28"/>
  <c r="FL8" i="28"/>
  <c r="FM8" i="28"/>
  <c r="FN8" i="28"/>
  <c r="FO8" i="28"/>
  <c r="FP8" i="28"/>
  <c r="FQ8" i="28"/>
  <c r="FR8" i="28"/>
  <c r="FS8" i="28"/>
  <c r="FT8" i="28"/>
  <c r="FU8" i="28"/>
  <c r="FV8" i="28"/>
  <c r="FW8" i="28"/>
  <c r="DZ7" i="50"/>
  <c r="EA7" i="50"/>
  <c r="EB7" i="50"/>
  <c r="EC7" i="50"/>
  <c r="ED7" i="50"/>
  <c r="EE7" i="50"/>
  <c r="EF7" i="50"/>
  <c r="EG7" i="50"/>
  <c r="EH7" i="50"/>
  <c r="EI7" i="50"/>
  <c r="EJ7" i="50"/>
  <c r="EK7" i="50"/>
  <c r="EL7" i="50"/>
  <c r="EM7" i="50"/>
  <c r="EN7" i="50"/>
  <c r="EO7" i="50"/>
  <c r="EP7" i="50"/>
  <c r="EQ7" i="50"/>
  <c r="ER7" i="50"/>
  <c r="ES7" i="50"/>
  <c r="ET7" i="50"/>
  <c r="EU7" i="50"/>
  <c r="EV7" i="50"/>
  <c r="EW7" i="50"/>
  <c r="EX7" i="50"/>
  <c r="EY7" i="50"/>
  <c r="EZ7" i="50"/>
  <c r="FA7" i="50"/>
  <c r="FB7" i="50"/>
  <c r="FC7" i="50"/>
  <c r="FD7" i="50"/>
  <c r="FE7" i="50"/>
  <c r="FF7" i="50"/>
  <c r="FG7" i="50"/>
  <c r="FH7" i="50"/>
  <c r="FI7" i="50"/>
  <c r="FJ7" i="50"/>
  <c r="FK7" i="50"/>
  <c r="FL7" i="50"/>
  <c r="FM7" i="50"/>
  <c r="FN7" i="50"/>
  <c r="FO7" i="50"/>
  <c r="FP7" i="50"/>
  <c r="FQ7" i="50"/>
  <c r="FR7" i="50"/>
  <c r="FS7" i="50"/>
  <c r="FT7" i="50"/>
  <c r="FU7" i="50"/>
  <c r="FV7" i="50"/>
  <c r="FW7" i="50"/>
  <c r="FX7" i="50"/>
  <c r="FY7" i="50"/>
  <c r="FZ7" i="50"/>
  <c r="GA7" i="50"/>
  <c r="GB7" i="50"/>
  <c r="GC7" i="50"/>
  <c r="DZ8" i="50"/>
  <c r="EA8" i="50"/>
  <c r="EB8" i="50"/>
  <c r="EC8" i="50"/>
  <c r="EC80" i="50" s="1"/>
  <c r="ED8" i="50"/>
  <c r="ED80" i="50" s="1"/>
  <c r="EE8" i="50"/>
  <c r="EE80" i="50" s="1"/>
  <c r="EF8" i="50"/>
  <c r="EF80" i="50" s="1"/>
  <c r="EG8" i="50"/>
  <c r="EG80" i="50" s="1"/>
  <c r="EH8" i="50"/>
  <c r="EH80" i="50" s="1"/>
  <c r="EI8" i="50"/>
  <c r="EI80" i="50" s="1"/>
  <c r="EJ8" i="50"/>
  <c r="EJ80" i="50" s="1"/>
  <c r="EK8" i="50"/>
  <c r="EK80" i="50" s="1"/>
  <c r="EL8" i="50"/>
  <c r="EL80" i="50" s="1"/>
  <c r="EM8" i="50"/>
  <c r="EM80" i="50" s="1"/>
  <c r="EN8" i="50"/>
  <c r="EN80" i="50" s="1"/>
  <c r="EO8" i="50"/>
  <c r="EO80" i="50" s="1"/>
  <c r="EP8" i="50"/>
  <c r="EP80" i="50" s="1"/>
  <c r="EQ8" i="50"/>
  <c r="EQ80" i="50" s="1"/>
  <c r="ER8" i="50"/>
  <c r="ER80" i="50" s="1"/>
  <c r="ES8" i="50"/>
  <c r="ES80" i="50" s="1"/>
  <c r="ET8" i="50"/>
  <c r="ET80" i="50" s="1"/>
  <c r="EU8" i="50"/>
  <c r="EU80" i="50" s="1"/>
  <c r="EV8" i="50"/>
  <c r="EV80" i="50" s="1"/>
  <c r="EW8" i="50"/>
  <c r="EW80" i="50" s="1"/>
  <c r="EX8" i="50"/>
  <c r="EX80" i="50" s="1"/>
  <c r="EY8" i="50"/>
  <c r="EY80" i="50" s="1"/>
  <c r="EZ8" i="50"/>
  <c r="EZ80" i="50" s="1"/>
  <c r="FA8" i="50"/>
  <c r="FA80" i="50" s="1"/>
  <c r="FB8" i="50"/>
  <c r="FB80" i="50" s="1"/>
  <c r="FC8" i="50"/>
  <c r="FC80" i="50" s="1"/>
  <c r="FD8" i="50"/>
  <c r="FD80" i="50" s="1"/>
  <c r="FE8" i="50"/>
  <c r="FE80" i="50" s="1"/>
  <c r="FF8" i="50"/>
  <c r="FF80" i="50" s="1"/>
  <c r="FG8" i="50"/>
  <c r="FG80" i="50" s="1"/>
  <c r="FH8" i="50"/>
  <c r="FH80" i="50" s="1"/>
  <c r="FI8" i="50"/>
  <c r="FI80" i="50" s="1"/>
  <c r="FJ8" i="50"/>
  <c r="FJ80" i="50" s="1"/>
  <c r="FK8" i="50"/>
  <c r="FK80" i="50" s="1"/>
  <c r="FL8" i="50"/>
  <c r="FL80" i="50" s="1"/>
  <c r="FM8" i="50"/>
  <c r="FM80" i="50" s="1"/>
  <c r="FN8" i="50"/>
  <c r="FN80" i="50" s="1"/>
  <c r="FO8" i="50"/>
  <c r="FO80" i="50" s="1"/>
  <c r="FP8" i="50"/>
  <c r="FP80" i="50" s="1"/>
  <c r="FQ8" i="50"/>
  <c r="FQ80" i="50" s="1"/>
  <c r="FR8" i="50"/>
  <c r="FR80" i="50" s="1"/>
  <c r="FS8" i="50"/>
  <c r="FS80" i="50" s="1"/>
  <c r="FT8" i="50"/>
  <c r="FT80" i="50" s="1"/>
  <c r="FU8" i="50"/>
  <c r="FU80" i="50" s="1"/>
  <c r="FV8" i="50"/>
  <c r="FV80" i="50" s="1"/>
  <c r="FW8" i="50"/>
  <c r="FW80" i="50" s="1"/>
  <c r="FX8" i="50"/>
  <c r="FX80" i="50" s="1"/>
  <c r="FY8" i="50"/>
  <c r="FY80" i="50" s="1"/>
  <c r="FZ8" i="50"/>
  <c r="FZ80" i="50" s="1"/>
  <c r="GA8" i="50"/>
  <c r="GA80" i="50" s="1"/>
  <c r="GB8" i="50"/>
  <c r="GB80" i="50" s="1"/>
  <c r="GC8" i="50"/>
  <c r="GC80" i="50" s="1"/>
  <c r="DZ80" i="50"/>
  <c r="EA80" i="50"/>
  <c r="EB80" i="50"/>
  <c r="BN7" i="50"/>
  <c r="BO7" i="50"/>
  <c r="BP7" i="50"/>
  <c r="BQ7" i="50"/>
  <c r="BR7" i="50"/>
  <c r="BS7" i="50"/>
  <c r="BT7" i="50"/>
  <c r="BU7" i="50"/>
  <c r="BV7" i="50"/>
  <c r="BW7" i="50"/>
  <c r="BX7" i="50"/>
  <c r="BY7" i="50"/>
  <c r="BZ7" i="50"/>
  <c r="CA7" i="50"/>
  <c r="CB7" i="50"/>
  <c r="CC7" i="50"/>
  <c r="CD7" i="50"/>
  <c r="CE7" i="50"/>
  <c r="CF7" i="50"/>
  <c r="CG7" i="50"/>
  <c r="CH7" i="50"/>
  <c r="CI7" i="50"/>
  <c r="CJ7" i="50"/>
  <c r="CK7" i="50"/>
  <c r="CL7" i="50"/>
  <c r="CM7" i="50"/>
  <c r="CN7" i="50"/>
  <c r="CO7" i="50"/>
  <c r="CP7" i="50"/>
  <c r="CQ7" i="50"/>
  <c r="CR7" i="50"/>
  <c r="CS7" i="50"/>
  <c r="CT7" i="50"/>
  <c r="CU7" i="50"/>
  <c r="CV7" i="50"/>
  <c r="CW7" i="50"/>
  <c r="CX7" i="50"/>
  <c r="CY7" i="50"/>
  <c r="CZ7" i="50"/>
  <c r="DA7" i="50"/>
  <c r="DB7" i="50"/>
  <c r="DC7" i="50"/>
  <c r="DD7" i="50"/>
  <c r="DE7" i="50"/>
  <c r="DF7" i="50"/>
  <c r="DG7" i="50"/>
  <c r="DH7" i="50"/>
  <c r="DI7" i="50"/>
  <c r="DJ7" i="50"/>
  <c r="DK7" i="50"/>
  <c r="DL7" i="50"/>
  <c r="DM7" i="50"/>
  <c r="DN7" i="50"/>
  <c r="DO7" i="50"/>
  <c r="DP7" i="50"/>
  <c r="DQ7" i="50"/>
  <c r="DR7" i="50"/>
  <c r="DS7" i="50"/>
  <c r="DT7" i="50"/>
  <c r="DU7" i="50"/>
  <c r="DV7" i="50"/>
  <c r="DW7" i="50"/>
  <c r="DX7" i="50"/>
  <c r="DY7" i="50"/>
  <c r="BN8" i="50"/>
  <c r="BN80" i="50" s="1"/>
  <c r="BO8" i="50"/>
  <c r="BO80" i="50" s="1"/>
  <c r="BP8" i="50"/>
  <c r="BP80" i="50" s="1"/>
  <c r="BQ8" i="50"/>
  <c r="BQ80" i="50" s="1"/>
  <c r="BR8" i="50"/>
  <c r="BR80" i="50" s="1"/>
  <c r="BS8" i="50"/>
  <c r="BS80" i="50" s="1"/>
  <c r="BT8" i="50"/>
  <c r="BT80" i="50" s="1"/>
  <c r="BU8" i="50"/>
  <c r="BU80" i="50" s="1"/>
  <c r="BV8" i="50"/>
  <c r="BV80" i="50" s="1"/>
  <c r="BW8" i="50"/>
  <c r="BW80" i="50" s="1"/>
  <c r="BX8" i="50"/>
  <c r="BX80" i="50" s="1"/>
  <c r="BY8" i="50"/>
  <c r="BY80" i="50" s="1"/>
  <c r="BZ8" i="50"/>
  <c r="BZ80" i="50" s="1"/>
  <c r="CA8" i="50"/>
  <c r="CA80" i="50" s="1"/>
  <c r="CB8" i="50"/>
  <c r="CB80" i="50" s="1"/>
  <c r="CC8" i="50"/>
  <c r="CC80" i="50" s="1"/>
  <c r="CD8" i="50"/>
  <c r="CD80" i="50" s="1"/>
  <c r="CE8" i="50"/>
  <c r="CE80" i="50" s="1"/>
  <c r="CF8" i="50"/>
  <c r="CF80" i="50" s="1"/>
  <c r="CG8" i="50"/>
  <c r="CG80" i="50" s="1"/>
  <c r="CH8" i="50"/>
  <c r="CH80" i="50" s="1"/>
  <c r="CI8" i="50"/>
  <c r="CI80" i="50" s="1"/>
  <c r="CJ8" i="50"/>
  <c r="CJ80" i="50" s="1"/>
  <c r="CK8" i="50"/>
  <c r="CK80" i="50" s="1"/>
  <c r="CL8" i="50"/>
  <c r="CL80" i="50" s="1"/>
  <c r="CM8" i="50"/>
  <c r="CM80" i="50" s="1"/>
  <c r="CN8" i="50"/>
  <c r="CN80" i="50" s="1"/>
  <c r="CO8" i="50"/>
  <c r="CO80" i="50" s="1"/>
  <c r="CP8" i="50"/>
  <c r="CP80" i="50" s="1"/>
  <c r="CQ8" i="50"/>
  <c r="CQ80" i="50" s="1"/>
  <c r="CR8" i="50"/>
  <c r="CR80" i="50" s="1"/>
  <c r="CS8" i="50"/>
  <c r="CS80" i="50" s="1"/>
  <c r="CT8" i="50"/>
  <c r="CT80" i="50" s="1"/>
  <c r="CU8" i="50"/>
  <c r="CU80" i="50" s="1"/>
  <c r="CV8" i="50"/>
  <c r="CV80" i="50" s="1"/>
  <c r="CW8" i="50"/>
  <c r="CW80" i="50" s="1"/>
  <c r="CX8" i="50"/>
  <c r="CX80" i="50" s="1"/>
  <c r="CY8" i="50"/>
  <c r="CY80" i="50" s="1"/>
  <c r="CZ8" i="50"/>
  <c r="CZ80" i="50" s="1"/>
  <c r="DA8" i="50"/>
  <c r="DA80" i="50" s="1"/>
  <c r="DB8" i="50"/>
  <c r="DB80" i="50" s="1"/>
  <c r="DC8" i="50"/>
  <c r="DC80" i="50" s="1"/>
  <c r="DD8" i="50"/>
  <c r="DD80" i="50" s="1"/>
  <c r="DE8" i="50"/>
  <c r="DE80" i="50" s="1"/>
  <c r="DF8" i="50"/>
  <c r="DF80" i="50" s="1"/>
  <c r="DG8" i="50"/>
  <c r="DG80" i="50" s="1"/>
  <c r="DH8" i="50"/>
  <c r="DH80" i="50" s="1"/>
  <c r="DI8" i="50"/>
  <c r="DI80" i="50" s="1"/>
  <c r="DJ8" i="50"/>
  <c r="DJ80" i="50" s="1"/>
  <c r="DK8" i="50"/>
  <c r="DK80" i="50" s="1"/>
  <c r="DL8" i="50"/>
  <c r="DL80" i="50" s="1"/>
  <c r="DM8" i="50"/>
  <c r="DM80" i="50" s="1"/>
  <c r="DN8" i="50"/>
  <c r="DN80" i="50" s="1"/>
  <c r="DO8" i="50"/>
  <c r="DO80" i="50" s="1"/>
  <c r="DP8" i="50"/>
  <c r="DP80" i="50" s="1"/>
  <c r="DQ8" i="50"/>
  <c r="DQ80" i="50" s="1"/>
  <c r="DR8" i="50"/>
  <c r="DR80" i="50" s="1"/>
  <c r="DS8" i="50"/>
  <c r="DS80" i="50" s="1"/>
  <c r="DT8" i="50"/>
  <c r="DT80" i="50" s="1"/>
  <c r="DU8" i="50"/>
  <c r="DU80" i="50" s="1"/>
  <c r="DV8" i="50"/>
  <c r="DV80" i="50" s="1"/>
  <c r="DW8" i="50"/>
  <c r="DW80" i="50" s="1"/>
  <c r="DX8" i="50"/>
  <c r="DX80" i="50" s="1"/>
  <c r="DY8" i="50"/>
  <c r="DY80" i="50" s="1"/>
  <c r="F40" i="37"/>
  <c r="G40" i="37"/>
  <c r="H40" i="37"/>
  <c r="J40" i="37"/>
  <c r="K40" i="37"/>
  <c r="L40" i="37"/>
  <c r="M40" i="37"/>
  <c r="N40" i="37"/>
  <c r="O40" i="37"/>
  <c r="P40" i="37"/>
  <c r="Q40" i="37"/>
  <c r="R40" i="37"/>
  <c r="S40" i="37"/>
  <c r="T40" i="37"/>
  <c r="U40" i="37"/>
  <c r="V40" i="37"/>
  <c r="W40" i="37"/>
  <c r="X40" i="37"/>
  <c r="Y40" i="37"/>
  <c r="Z40" i="37"/>
  <c r="E40" i="37"/>
  <c r="I40" i="37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AP8" i="28"/>
  <c r="AQ8" i="28"/>
  <c r="AR8" i="28"/>
  <c r="AS8" i="28"/>
  <c r="AT8" i="28"/>
  <c r="AU8" i="28"/>
  <c r="AV8" i="28"/>
  <c r="AW8" i="28"/>
  <c r="AX8" i="28"/>
  <c r="AY8" i="28"/>
  <c r="AZ8" i="28"/>
  <c r="BA8" i="28"/>
  <c r="BB8" i="28"/>
  <c r="BC8" i="28"/>
  <c r="BD8" i="28"/>
  <c r="BE8" i="28"/>
  <c r="BF8" i="28"/>
  <c r="BG8" i="28"/>
  <c r="BH8" i="28"/>
  <c r="BI8" i="28"/>
  <c r="BJ8" i="28"/>
  <c r="BK8" i="28"/>
  <c r="BL8" i="28"/>
  <c r="BM8" i="28"/>
  <c r="G122" i="51"/>
  <c r="G126" i="51" s="1"/>
  <c r="G15" i="51" s="1"/>
  <c r="H122" i="51"/>
  <c r="H126" i="51" s="1"/>
  <c r="H15" i="51" s="1"/>
  <c r="I122" i="51"/>
  <c r="I126" i="51" s="1"/>
  <c r="I15" i="51" s="1"/>
  <c r="J122" i="51"/>
  <c r="J126" i="51" s="1"/>
  <c r="J15" i="51" s="1"/>
  <c r="K122" i="51"/>
  <c r="K126" i="51" s="1"/>
  <c r="K15" i="51" s="1"/>
  <c r="L122" i="51"/>
  <c r="L126" i="51" s="1"/>
  <c r="L15" i="51" s="1"/>
  <c r="M122" i="51"/>
  <c r="M126" i="51" s="1"/>
  <c r="M15" i="51" s="1"/>
  <c r="F122" i="51"/>
  <c r="F124" i="51"/>
  <c r="F119" i="51"/>
  <c r="F117" i="51"/>
  <c r="N126" i="51"/>
  <c r="N134" i="51" s="1"/>
  <c r="O126" i="51"/>
  <c r="O134" i="51" s="1"/>
  <c r="P126" i="51"/>
  <c r="P134" i="51" s="1"/>
  <c r="Q126" i="51"/>
  <c r="Q137" i="51" s="1"/>
  <c r="G96" i="51"/>
  <c r="H96" i="51"/>
  <c r="I96" i="51"/>
  <c r="J96" i="51"/>
  <c r="K96" i="51"/>
  <c r="L96" i="51"/>
  <c r="M96" i="51"/>
  <c r="N96" i="51"/>
  <c r="O96" i="51"/>
  <c r="P96" i="51"/>
  <c r="Q96" i="51"/>
  <c r="G97" i="51"/>
  <c r="H97" i="51"/>
  <c r="I97" i="51"/>
  <c r="J97" i="51"/>
  <c r="K97" i="51"/>
  <c r="L97" i="51"/>
  <c r="M97" i="51"/>
  <c r="N97" i="51"/>
  <c r="O97" i="51"/>
  <c r="P97" i="51"/>
  <c r="Q97" i="51"/>
  <c r="G98" i="51"/>
  <c r="H98" i="51"/>
  <c r="I98" i="51"/>
  <c r="J98" i="51"/>
  <c r="K98" i="51"/>
  <c r="L98" i="51"/>
  <c r="M98" i="51"/>
  <c r="N98" i="51"/>
  <c r="O98" i="51"/>
  <c r="P98" i="51"/>
  <c r="Q98" i="51"/>
  <c r="G99" i="51"/>
  <c r="H99" i="51"/>
  <c r="I99" i="51"/>
  <c r="J99" i="51"/>
  <c r="K99" i="51"/>
  <c r="L99" i="51"/>
  <c r="M99" i="51"/>
  <c r="N99" i="51"/>
  <c r="O99" i="51"/>
  <c r="P99" i="51"/>
  <c r="Q99" i="51"/>
  <c r="G100" i="51"/>
  <c r="H100" i="51"/>
  <c r="I100" i="51"/>
  <c r="J100" i="51"/>
  <c r="K100" i="51"/>
  <c r="L100" i="51"/>
  <c r="M100" i="51"/>
  <c r="N100" i="51"/>
  <c r="O100" i="51"/>
  <c r="P100" i="51"/>
  <c r="Q100" i="51"/>
  <c r="G101" i="51"/>
  <c r="H101" i="51"/>
  <c r="I101" i="51"/>
  <c r="J101" i="51"/>
  <c r="K101" i="51"/>
  <c r="L101" i="51"/>
  <c r="M101" i="51"/>
  <c r="N101" i="51"/>
  <c r="O101" i="51"/>
  <c r="P101" i="51"/>
  <c r="Q101" i="51"/>
  <c r="F97" i="51"/>
  <c r="F98" i="51"/>
  <c r="F99" i="51"/>
  <c r="F100" i="51"/>
  <c r="F101" i="51"/>
  <c r="F96" i="51"/>
  <c r="F87" i="51"/>
  <c r="G87" i="51"/>
  <c r="H87" i="51"/>
  <c r="I87" i="51"/>
  <c r="J87" i="51"/>
  <c r="K87" i="51"/>
  <c r="L87" i="51"/>
  <c r="M87" i="51"/>
  <c r="N87" i="51"/>
  <c r="O87" i="51"/>
  <c r="P87" i="51"/>
  <c r="Q87" i="51"/>
  <c r="F88" i="51"/>
  <c r="G88" i="51"/>
  <c r="H88" i="51"/>
  <c r="I88" i="51"/>
  <c r="J88" i="51"/>
  <c r="K88" i="51"/>
  <c r="L88" i="51"/>
  <c r="M88" i="51"/>
  <c r="N88" i="51"/>
  <c r="O88" i="51"/>
  <c r="P88" i="51"/>
  <c r="Q88" i="51"/>
  <c r="F89" i="51"/>
  <c r="G89" i="51"/>
  <c r="H89" i="51"/>
  <c r="I89" i="51"/>
  <c r="J89" i="51"/>
  <c r="K89" i="51"/>
  <c r="L89" i="51"/>
  <c r="M89" i="51"/>
  <c r="N89" i="51"/>
  <c r="O89" i="51"/>
  <c r="P89" i="51"/>
  <c r="Q89" i="51"/>
  <c r="F90" i="51"/>
  <c r="G90" i="51"/>
  <c r="H90" i="51"/>
  <c r="I90" i="51"/>
  <c r="J90" i="51"/>
  <c r="K90" i="51"/>
  <c r="L90" i="51"/>
  <c r="M90" i="51"/>
  <c r="N90" i="51"/>
  <c r="O90" i="51"/>
  <c r="P90" i="51"/>
  <c r="Q90" i="51"/>
  <c r="F91" i="51"/>
  <c r="G91" i="51"/>
  <c r="H91" i="51"/>
  <c r="I91" i="51"/>
  <c r="J91" i="51"/>
  <c r="K91" i="51"/>
  <c r="L91" i="51"/>
  <c r="M91" i="51"/>
  <c r="N91" i="51"/>
  <c r="O91" i="51"/>
  <c r="P91" i="51"/>
  <c r="Q91" i="51"/>
  <c r="G86" i="51"/>
  <c r="H86" i="51"/>
  <c r="I86" i="51"/>
  <c r="J86" i="51"/>
  <c r="K86" i="51"/>
  <c r="L86" i="51"/>
  <c r="M86" i="51"/>
  <c r="N86" i="51"/>
  <c r="O86" i="51"/>
  <c r="P86" i="51"/>
  <c r="Q86" i="51"/>
  <c r="F86" i="51"/>
  <c r="G106" i="51"/>
  <c r="H106" i="51"/>
  <c r="I106" i="51"/>
  <c r="J106" i="51"/>
  <c r="K106" i="51"/>
  <c r="L106" i="51"/>
  <c r="M106" i="51"/>
  <c r="N106" i="51"/>
  <c r="O106" i="51"/>
  <c r="P106" i="51"/>
  <c r="Q106" i="51"/>
  <c r="G107" i="51"/>
  <c r="H107" i="51"/>
  <c r="I107" i="51"/>
  <c r="J107" i="51"/>
  <c r="K107" i="51"/>
  <c r="L107" i="51"/>
  <c r="M107" i="51"/>
  <c r="N107" i="51"/>
  <c r="O107" i="51"/>
  <c r="P107" i="51"/>
  <c r="Q107" i="51"/>
  <c r="G108" i="51"/>
  <c r="H108" i="51"/>
  <c r="I108" i="51"/>
  <c r="J108" i="51"/>
  <c r="K108" i="51"/>
  <c r="L108" i="51"/>
  <c r="M108" i="51"/>
  <c r="N108" i="51"/>
  <c r="O108" i="51"/>
  <c r="P108" i="51"/>
  <c r="Q108" i="51"/>
  <c r="F107" i="51"/>
  <c r="F108" i="51"/>
  <c r="F106" i="51"/>
  <c r="J65" i="51"/>
  <c r="K65" i="51"/>
  <c r="L65" i="51"/>
  <c r="M65" i="51"/>
  <c r="N65" i="51"/>
  <c r="O65" i="51"/>
  <c r="P65" i="51"/>
  <c r="Q65" i="51"/>
  <c r="G68" i="51"/>
  <c r="H68" i="51"/>
  <c r="I68" i="51"/>
  <c r="J68" i="51"/>
  <c r="K68" i="51"/>
  <c r="L68" i="51"/>
  <c r="M68" i="51"/>
  <c r="N68" i="51"/>
  <c r="O68" i="51"/>
  <c r="P68" i="51"/>
  <c r="Q68" i="51"/>
  <c r="G69" i="51"/>
  <c r="H69" i="51"/>
  <c r="I69" i="51"/>
  <c r="J69" i="51"/>
  <c r="K69" i="51"/>
  <c r="L69" i="51"/>
  <c r="M69" i="51"/>
  <c r="N69" i="51"/>
  <c r="O69" i="51"/>
  <c r="P69" i="51"/>
  <c r="Q69" i="51"/>
  <c r="G70" i="51"/>
  <c r="H70" i="51"/>
  <c r="I70" i="51"/>
  <c r="J70" i="51"/>
  <c r="K70" i="51"/>
  <c r="L70" i="51"/>
  <c r="M70" i="51"/>
  <c r="N70" i="51"/>
  <c r="O70" i="51"/>
  <c r="P70" i="51"/>
  <c r="Q70" i="51"/>
  <c r="G71" i="51"/>
  <c r="H71" i="51"/>
  <c r="I71" i="51"/>
  <c r="J71" i="51"/>
  <c r="K71" i="51"/>
  <c r="L71" i="51"/>
  <c r="M71" i="51"/>
  <c r="N71" i="51"/>
  <c r="O71" i="51"/>
  <c r="P71" i="51"/>
  <c r="Q71" i="51"/>
  <c r="G72" i="51"/>
  <c r="H72" i="51"/>
  <c r="I72" i="51"/>
  <c r="J72" i="51"/>
  <c r="K72" i="51"/>
  <c r="L72" i="51"/>
  <c r="M72" i="51"/>
  <c r="N72" i="51"/>
  <c r="O72" i="51"/>
  <c r="P72" i="51"/>
  <c r="Q72" i="51"/>
  <c r="G73" i="51"/>
  <c r="H73" i="51"/>
  <c r="I73" i="51"/>
  <c r="J73" i="51"/>
  <c r="K73" i="51"/>
  <c r="L73" i="51"/>
  <c r="M73" i="51"/>
  <c r="N73" i="51"/>
  <c r="O73" i="51"/>
  <c r="P73" i="51"/>
  <c r="Q73" i="51"/>
  <c r="G74" i="51"/>
  <c r="H74" i="51"/>
  <c r="I74" i="51"/>
  <c r="J74" i="51"/>
  <c r="K74" i="51"/>
  <c r="L74" i="51"/>
  <c r="M74" i="51"/>
  <c r="N74" i="51"/>
  <c r="O74" i="51"/>
  <c r="P74" i="51"/>
  <c r="Q74" i="51"/>
  <c r="G75" i="51"/>
  <c r="H75" i="51"/>
  <c r="I75" i="51"/>
  <c r="J75" i="51"/>
  <c r="K75" i="51"/>
  <c r="L75" i="51"/>
  <c r="M75" i="51"/>
  <c r="N75" i="51"/>
  <c r="O75" i="51"/>
  <c r="P75" i="51"/>
  <c r="Q75" i="51"/>
  <c r="G76" i="51"/>
  <c r="H76" i="51"/>
  <c r="I76" i="51"/>
  <c r="J76" i="51"/>
  <c r="K76" i="51"/>
  <c r="L76" i="51"/>
  <c r="M76" i="51"/>
  <c r="N76" i="51"/>
  <c r="O76" i="51"/>
  <c r="P76" i="51"/>
  <c r="Q76" i="51"/>
  <c r="G77" i="51"/>
  <c r="H77" i="51"/>
  <c r="I77" i="51"/>
  <c r="J77" i="51"/>
  <c r="K77" i="51"/>
  <c r="L77" i="51"/>
  <c r="M77" i="51"/>
  <c r="N77" i="51"/>
  <c r="O77" i="51"/>
  <c r="P77" i="51"/>
  <c r="Q77" i="51"/>
  <c r="F69" i="51"/>
  <c r="F70" i="51"/>
  <c r="F71" i="51"/>
  <c r="F72" i="51"/>
  <c r="F73" i="51"/>
  <c r="F74" i="51"/>
  <c r="F75" i="51"/>
  <c r="F76" i="51"/>
  <c r="F77" i="51"/>
  <c r="F68" i="51"/>
  <c r="G65" i="51"/>
  <c r="H65" i="51"/>
  <c r="I65" i="51"/>
  <c r="F65" i="51"/>
  <c r="G54" i="51"/>
  <c r="H54" i="51"/>
  <c r="I54" i="51"/>
  <c r="J54" i="51"/>
  <c r="K54" i="51"/>
  <c r="L54" i="51"/>
  <c r="M54" i="51"/>
  <c r="N54" i="51"/>
  <c r="O54" i="51"/>
  <c r="P54" i="51"/>
  <c r="Q54" i="51"/>
  <c r="G55" i="51"/>
  <c r="H55" i="51"/>
  <c r="I55" i="51"/>
  <c r="J55" i="51"/>
  <c r="K55" i="51"/>
  <c r="L55" i="51"/>
  <c r="M55" i="51"/>
  <c r="N55" i="51"/>
  <c r="O55" i="51"/>
  <c r="P55" i="51"/>
  <c r="Q55" i="51"/>
  <c r="G56" i="51"/>
  <c r="H56" i="51"/>
  <c r="I56" i="51"/>
  <c r="J56" i="51"/>
  <c r="K56" i="51"/>
  <c r="L56" i="51"/>
  <c r="M56" i="51"/>
  <c r="N56" i="51"/>
  <c r="O56" i="51"/>
  <c r="P56" i="51"/>
  <c r="Q56" i="51"/>
  <c r="G50" i="51"/>
  <c r="H50" i="51"/>
  <c r="I50" i="51"/>
  <c r="J50" i="51"/>
  <c r="K50" i="51"/>
  <c r="L50" i="51"/>
  <c r="M50" i="51"/>
  <c r="N50" i="51"/>
  <c r="O50" i="51"/>
  <c r="P50" i="51"/>
  <c r="Q50" i="51"/>
  <c r="G51" i="51"/>
  <c r="H51" i="51"/>
  <c r="I51" i="51"/>
  <c r="J51" i="51"/>
  <c r="K51" i="51"/>
  <c r="L51" i="51"/>
  <c r="M51" i="51"/>
  <c r="N51" i="51"/>
  <c r="O51" i="51"/>
  <c r="P51" i="51"/>
  <c r="Q51" i="51"/>
  <c r="G52" i="51"/>
  <c r="H52" i="51"/>
  <c r="I52" i="51"/>
  <c r="J52" i="51"/>
  <c r="K52" i="51"/>
  <c r="L52" i="51"/>
  <c r="M52" i="51"/>
  <c r="N52" i="51"/>
  <c r="O52" i="51"/>
  <c r="P52" i="51"/>
  <c r="Q52" i="51"/>
  <c r="F56" i="51"/>
  <c r="F55" i="51"/>
  <c r="F54" i="51"/>
  <c r="F52" i="51"/>
  <c r="F51" i="51"/>
  <c r="F50" i="51"/>
  <c r="G44" i="51"/>
  <c r="H44" i="51"/>
  <c r="I44" i="51"/>
  <c r="J44" i="51"/>
  <c r="K44" i="51"/>
  <c r="L44" i="51"/>
  <c r="M44" i="51"/>
  <c r="N44" i="51"/>
  <c r="O44" i="51"/>
  <c r="P44" i="51"/>
  <c r="Q44" i="51"/>
  <c r="G45" i="51"/>
  <c r="H45" i="51"/>
  <c r="I45" i="51"/>
  <c r="J45" i="51"/>
  <c r="K45" i="51"/>
  <c r="L45" i="51"/>
  <c r="M45" i="51"/>
  <c r="N45" i="51"/>
  <c r="O45" i="51"/>
  <c r="P45" i="51"/>
  <c r="Q45" i="51"/>
  <c r="G46" i="51"/>
  <c r="H46" i="51"/>
  <c r="I46" i="51"/>
  <c r="J46" i="51"/>
  <c r="K46" i="51"/>
  <c r="L46" i="51"/>
  <c r="M46" i="51"/>
  <c r="N46" i="51"/>
  <c r="O46" i="51"/>
  <c r="P46" i="51"/>
  <c r="Q46" i="51"/>
  <c r="G47" i="51"/>
  <c r="H47" i="51"/>
  <c r="I47" i="51"/>
  <c r="J47" i="51"/>
  <c r="K47" i="51"/>
  <c r="L47" i="51"/>
  <c r="M47" i="51"/>
  <c r="N47" i="51"/>
  <c r="O47" i="51"/>
  <c r="P47" i="51"/>
  <c r="Q47" i="51"/>
  <c r="G48" i="51"/>
  <c r="H48" i="51"/>
  <c r="I48" i="51"/>
  <c r="J48" i="51"/>
  <c r="K48" i="51"/>
  <c r="L48" i="51"/>
  <c r="M48" i="51"/>
  <c r="N48" i="51"/>
  <c r="O48" i="51"/>
  <c r="P48" i="51"/>
  <c r="Q48" i="51"/>
  <c r="F45" i="51"/>
  <c r="F46" i="51"/>
  <c r="F47" i="51"/>
  <c r="F48" i="51"/>
  <c r="F44" i="51"/>
  <c r="G33" i="51"/>
  <c r="H33" i="51"/>
  <c r="I33" i="51"/>
  <c r="J33" i="51"/>
  <c r="K33" i="51"/>
  <c r="L33" i="51"/>
  <c r="M33" i="51"/>
  <c r="N33" i="51"/>
  <c r="O33" i="51"/>
  <c r="P33" i="51"/>
  <c r="Q33" i="51"/>
  <c r="G34" i="51"/>
  <c r="H34" i="51"/>
  <c r="I34" i="51"/>
  <c r="J34" i="51"/>
  <c r="K34" i="51"/>
  <c r="L34" i="51"/>
  <c r="M34" i="51"/>
  <c r="N34" i="51"/>
  <c r="O34" i="51"/>
  <c r="P34" i="51"/>
  <c r="Q34" i="51"/>
  <c r="G35" i="51"/>
  <c r="H35" i="51"/>
  <c r="I35" i="51"/>
  <c r="J35" i="51"/>
  <c r="K35" i="51"/>
  <c r="L35" i="51"/>
  <c r="M35" i="51"/>
  <c r="N35" i="51"/>
  <c r="O35" i="51"/>
  <c r="P35" i="51"/>
  <c r="Q35" i="51"/>
  <c r="G36" i="51"/>
  <c r="H36" i="51"/>
  <c r="I36" i="51"/>
  <c r="J36" i="51"/>
  <c r="K36" i="51"/>
  <c r="L36" i="51"/>
  <c r="M36" i="51"/>
  <c r="N36" i="51"/>
  <c r="O36" i="51"/>
  <c r="P36" i="51"/>
  <c r="Q36" i="51"/>
  <c r="G37" i="51"/>
  <c r="H37" i="51"/>
  <c r="I37" i="51"/>
  <c r="J37" i="51"/>
  <c r="K37" i="51"/>
  <c r="L37" i="51"/>
  <c r="M37" i="51"/>
  <c r="N37" i="51"/>
  <c r="O37" i="51"/>
  <c r="P37" i="51"/>
  <c r="Q37" i="51"/>
  <c r="G38" i="51"/>
  <c r="H38" i="51"/>
  <c r="I38" i="51"/>
  <c r="J38" i="51"/>
  <c r="K38" i="51"/>
  <c r="L38" i="51"/>
  <c r="M38" i="51"/>
  <c r="N38" i="51"/>
  <c r="O38" i="51"/>
  <c r="P38" i="51"/>
  <c r="Q38" i="51"/>
  <c r="G39" i="51"/>
  <c r="H39" i="51"/>
  <c r="I39" i="51"/>
  <c r="J39" i="51"/>
  <c r="K39" i="51"/>
  <c r="L39" i="51"/>
  <c r="M39" i="51"/>
  <c r="N39" i="51"/>
  <c r="O39" i="51"/>
  <c r="P39" i="51"/>
  <c r="Q39" i="51"/>
  <c r="G40" i="51"/>
  <c r="H40" i="51"/>
  <c r="I40" i="51"/>
  <c r="J40" i="51"/>
  <c r="K40" i="51"/>
  <c r="L40" i="51"/>
  <c r="M40" i="51"/>
  <c r="N40" i="51"/>
  <c r="O40" i="51"/>
  <c r="P40" i="51"/>
  <c r="Q40" i="51"/>
  <c r="G41" i="51"/>
  <c r="H41" i="51"/>
  <c r="I41" i="51"/>
  <c r="J41" i="51"/>
  <c r="K41" i="51"/>
  <c r="L41" i="51"/>
  <c r="M41" i="51"/>
  <c r="N41" i="51"/>
  <c r="O41" i="51"/>
  <c r="P41" i="51"/>
  <c r="Q41" i="51"/>
  <c r="G42" i="51"/>
  <c r="H42" i="51"/>
  <c r="I42" i="51"/>
  <c r="J42" i="51"/>
  <c r="K42" i="51"/>
  <c r="L42" i="51"/>
  <c r="M42" i="51"/>
  <c r="N42" i="51"/>
  <c r="O42" i="51"/>
  <c r="P42" i="51"/>
  <c r="Q42" i="51"/>
  <c r="F34" i="51"/>
  <c r="F35" i="51"/>
  <c r="F36" i="51"/>
  <c r="F37" i="51"/>
  <c r="F38" i="51"/>
  <c r="F39" i="51"/>
  <c r="F40" i="51"/>
  <c r="F41" i="51"/>
  <c r="F42" i="51"/>
  <c r="F33" i="51"/>
  <c r="G30" i="51"/>
  <c r="H30" i="51"/>
  <c r="I30" i="51"/>
  <c r="J30" i="51"/>
  <c r="K30" i="51"/>
  <c r="L30" i="51"/>
  <c r="M30" i="51"/>
  <c r="N30" i="51"/>
  <c r="O30" i="51"/>
  <c r="P30" i="51"/>
  <c r="Q30" i="51"/>
  <c r="G31" i="51"/>
  <c r="H31" i="51"/>
  <c r="I31" i="51"/>
  <c r="J31" i="51"/>
  <c r="K31" i="51"/>
  <c r="L31" i="51"/>
  <c r="M31" i="51"/>
  <c r="N31" i="51"/>
  <c r="O31" i="51"/>
  <c r="P31" i="51"/>
  <c r="Q31" i="51"/>
  <c r="G28" i="51"/>
  <c r="H28" i="51"/>
  <c r="I28" i="51"/>
  <c r="J28" i="51"/>
  <c r="K28" i="51"/>
  <c r="L28" i="51"/>
  <c r="M28" i="51"/>
  <c r="N28" i="51"/>
  <c r="O28" i="51"/>
  <c r="P28" i="51"/>
  <c r="Q28" i="51"/>
  <c r="F31" i="51"/>
  <c r="F30" i="51"/>
  <c r="F28" i="51"/>
  <c r="G23" i="51"/>
  <c r="H23" i="51"/>
  <c r="I23" i="51"/>
  <c r="J23" i="51"/>
  <c r="K23" i="51"/>
  <c r="L23" i="51"/>
  <c r="M23" i="51"/>
  <c r="N23" i="51"/>
  <c r="O23" i="51"/>
  <c r="P23" i="51"/>
  <c r="Q23" i="51"/>
  <c r="G24" i="51"/>
  <c r="H24" i="51"/>
  <c r="I24" i="51"/>
  <c r="J24" i="51"/>
  <c r="K24" i="51"/>
  <c r="L24" i="51"/>
  <c r="M24" i="51"/>
  <c r="N24" i="51"/>
  <c r="O24" i="51"/>
  <c r="P24" i="51"/>
  <c r="Q24" i="51"/>
  <c r="G25" i="51"/>
  <c r="H25" i="51"/>
  <c r="I25" i="51"/>
  <c r="J25" i="51"/>
  <c r="K25" i="51"/>
  <c r="L25" i="51"/>
  <c r="M25" i="51"/>
  <c r="N25" i="51"/>
  <c r="O25" i="51"/>
  <c r="P25" i="51"/>
  <c r="Q25" i="51"/>
  <c r="G26" i="51"/>
  <c r="H26" i="51"/>
  <c r="I26" i="51"/>
  <c r="J26" i="51"/>
  <c r="K26" i="51"/>
  <c r="L26" i="51"/>
  <c r="M26" i="51"/>
  <c r="N26" i="51"/>
  <c r="O26" i="51"/>
  <c r="P26" i="51"/>
  <c r="Q26" i="51"/>
  <c r="F24" i="51"/>
  <c r="F25" i="51"/>
  <c r="F26" i="51"/>
  <c r="F23" i="51"/>
  <c r="C103" i="51"/>
  <c r="C93" i="51"/>
  <c r="C110" i="51"/>
  <c r="C79" i="51"/>
  <c r="F5" i="50"/>
  <c r="G73" i="50"/>
  <c r="H73" i="50"/>
  <c r="I73" i="50"/>
  <c r="J73" i="50"/>
  <c r="K73" i="50"/>
  <c r="L73" i="50"/>
  <c r="AG73" i="50"/>
  <c r="AS73" i="50"/>
  <c r="BE73" i="50"/>
  <c r="BG73" i="50"/>
  <c r="F73" i="50"/>
  <c r="F71" i="50"/>
  <c r="F69" i="50"/>
  <c r="G5" i="51"/>
  <c r="D47" i="19"/>
  <c r="G8" i="50"/>
  <c r="G80" i="50" s="1"/>
  <c r="F135" i="50"/>
  <c r="G135" i="50" s="1"/>
  <c r="H135" i="50" s="1"/>
  <c r="I135" i="50" s="1"/>
  <c r="J135" i="50" s="1"/>
  <c r="K135" i="50" s="1"/>
  <c r="L135" i="50" s="1"/>
  <c r="M135" i="50" s="1"/>
  <c r="N135" i="50" s="1"/>
  <c r="O135" i="50" s="1"/>
  <c r="P135" i="50" s="1"/>
  <c r="Q135" i="50" s="1"/>
  <c r="R135" i="50" s="1"/>
  <c r="S135" i="50" s="1"/>
  <c r="T135" i="50" s="1"/>
  <c r="U135" i="50" s="1"/>
  <c r="V135" i="50" s="1"/>
  <c r="W135" i="50" s="1"/>
  <c r="X135" i="50" s="1"/>
  <c r="Y135" i="50" s="1"/>
  <c r="Z135" i="50" s="1"/>
  <c r="AA135" i="50" s="1"/>
  <c r="AB135" i="50" s="1"/>
  <c r="AC135" i="50" s="1"/>
  <c r="AD135" i="50" s="1"/>
  <c r="AE135" i="50" s="1"/>
  <c r="AF135" i="50" s="1"/>
  <c r="AG135" i="50" s="1"/>
  <c r="AH135" i="50" s="1"/>
  <c r="AI135" i="50" s="1"/>
  <c r="AJ135" i="50" s="1"/>
  <c r="AK135" i="50" s="1"/>
  <c r="AL135" i="50" s="1"/>
  <c r="AM135" i="50" s="1"/>
  <c r="AN135" i="50" s="1"/>
  <c r="AO135" i="50" s="1"/>
  <c r="AP135" i="50" s="1"/>
  <c r="AQ135" i="50" s="1"/>
  <c r="AR135" i="50" s="1"/>
  <c r="AS135" i="50" s="1"/>
  <c r="AT135" i="50" s="1"/>
  <c r="AU135" i="50" s="1"/>
  <c r="AV135" i="50" s="1"/>
  <c r="AW135" i="50" s="1"/>
  <c r="AX135" i="50" s="1"/>
  <c r="AY135" i="50" s="1"/>
  <c r="AZ135" i="50" s="1"/>
  <c r="BA135" i="50" s="1"/>
  <c r="BB135" i="50" s="1"/>
  <c r="BC135" i="50" s="1"/>
  <c r="BD135" i="50" s="1"/>
  <c r="BE135" i="50" s="1"/>
  <c r="BF135" i="50" s="1"/>
  <c r="BG135" i="50" s="1"/>
  <c r="BH135" i="50" s="1"/>
  <c r="BI135" i="50" s="1"/>
  <c r="BJ135" i="50" s="1"/>
  <c r="BK135" i="50" s="1"/>
  <c r="BL135" i="50" s="1"/>
  <c r="BM135" i="50" s="1"/>
  <c r="BN135" i="50" s="1"/>
  <c r="BO135" i="50" s="1"/>
  <c r="BP135" i="50" s="1"/>
  <c r="BQ135" i="50" s="1"/>
  <c r="BR135" i="50" s="1"/>
  <c r="BS135" i="50" s="1"/>
  <c r="BT135" i="50" s="1"/>
  <c r="BU135" i="50" s="1"/>
  <c r="BV135" i="50" s="1"/>
  <c r="BW135" i="50" s="1"/>
  <c r="BX135" i="50" s="1"/>
  <c r="BY135" i="50" s="1"/>
  <c r="BZ135" i="50" s="1"/>
  <c r="CA135" i="50" s="1"/>
  <c r="CB135" i="50" s="1"/>
  <c r="CC135" i="50" s="1"/>
  <c r="CD135" i="50" s="1"/>
  <c r="CE135" i="50" s="1"/>
  <c r="CF135" i="50" s="1"/>
  <c r="CG135" i="50" s="1"/>
  <c r="CH135" i="50" s="1"/>
  <c r="CI135" i="50" s="1"/>
  <c r="CJ135" i="50" s="1"/>
  <c r="CK135" i="50" s="1"/>
  <c r="CL135" i="50" s="1"/>
  <c r="CM135" i="50" s="1"/>
  <c r="CN135" i="50" s="1"/>
  <c r="CO135" i="50" s="1"/>
  <c r="CP135" i="50" s="1"/>
  <c r="CQ135" i="50" s="1"/>
  <c r="CR135" i="50" s="1"/>
  <c r="CS135" i="50" s="1"/>
  <c r="CT135" i="50" s="1"/>
  <c r="CU135" i="50" s="1"/>
  <c r="CV135" i="50" s="1"/>
  <c r="CW135" i="50" s="1"/>
  <c r="CX135" i="50" s="1"/>
  <c r="CY135" i="50" s="1"/>
  <c r="CZ135" i="50" s="1"/>
  <c r="DA135" i="50" s="1"/>
  <c r="DB135" i="50" s="1"/>
  <c r="DC135" i="50" s="1"/>
  <c r="DD135" i="50" s="1"/>
  <c r="DE135" i="50" s="1"/>
  <c r="DF135" i="50" s="1"/>
  <c r="DG135" i="50" s="1"/>
  <c r="DH135" i="50" s="1"/>
  <c r="DI135" i="50" s="1"/>
  <c r="DJ135" i="50" s="1"/>
  <c r="DK135" i="50" s="1"/>
  <c r="DL135" i="50" s="1"/>
  <c r="DM135" i="50" s="1"/>
  <c r="DN135" i="50" s="1"/>
  <c r="DO135" i="50" s="1"/>
  <c r="DP135" i="50" s="1"/>
  <c r="DQ135" i="50" s="1"/>
  <c r="DR135" i="50" s="1"/>
  <c r="DS135" i="50" s="1"/>
  <c r="DT135" i="50" s="1"/>
  <c r="DU135" i="50" s="1"/>
  <c r="DV135" i="50" s="1"/>
  <c r="DW135" i="50" s="1"/>
  <c r="DX135" i="50" s="1"/>
  <c r="DY135" i="50" s="1"/>
  <c r="DZ135" i="50" s="1"/>
  <c r="EA135" i="50" s="1"/>
  <c r="EB135" i="50" s="1"/>
  <c r="EC135" i="50" s="1"/>
  <c r="ED135" i="50" s="1"/>
  <c r="EE135" i="50" s="1"/>
  <c r="EF135" i="50" s="1"/>
  <c r="EG135" i="50" s="1"/>
  <c r="EH135" i="50" s="1"/>
  <c r="EI135" i="50" s="1"/>
  <c r="EJ135" i="50" s="1"/>
  <c r="EK135" i="50" s="1"/>
  <c r="EL135" i="50" s="1"/>
  <c r="EM135" i="50" s="1"/>
  <c r="EN135" i="50" s="1"/>
  <c r="EO135" i="50" s="1"/>
  <c r="EP135" i="50" s="1"/>
  <c r="EQ135" i="50" s="1"/>
  <c r="ER135" i="50" s="1"/>
  <c r="ES135" i="50" s="1"/>
  <c r="ET135" i="50" s="1"/>
  <c r="EU135" i="50" s="1"/>
  <c r="EV135" i="50" s="1"/>
  <c r="EW135" i="50" s="1"/>
  <c r="EX135" i="50" s="1"/>
  <c r="EY135" i="50" s="1"/>
  <c r="EZ135" i="50" s="1"/>
  <c r="FA135" i="50" s="1"/>
  <c r="FB135" i="50" s="1"/>
  <c r="FC135" i="50" s="1"/>
  <c r="FD135" i="50" s="1"/>
  <c r="FE135" i="50" s="1"/>
  <c r="FF135" i="50" s="1"/>
  <c r="FG135" i="50" s="1"/>
  <c r="FH135" i="50" s="1"/>
  <c r="FI135" i="50" s="1"/>
  <c r="FJ135" i="50" s="1"/>
  <c r="FK135" i="50" s="1"/>
  <c r="FL135" i="50" s="1"/>
  <c r="FM135" i="50" s="1"/>
  <c r="FN135" i="50" s="1"/>
  <c r="FO135" i="50" s="1"/>
  <c r="FP135" i="50" s="1"/>
  <c r="FQ135" i="50" s="1"/>
  <c r="FR135" i="50" s="1"/>
  <c r="FS135" i="50" s="1"/>
  <c r="FT135" i="50" s="1"/>
  <c r="FU135" i="50" s="1"/>
  <c r="FV135" i="50" s="1"/>
  <c r="FW135" i="50" s="1"/>
  <c r="FX135" i="50" s="1"/>
  <c r="FY135" i="50" s="1"/>
  <c r="FZ135" i="50" s="1"/>
  <c r="GA135" i="50" s="1"/>
  <c r="GB135" i="50" s="1"/>
  <c r="GC135" i="50" s="1"/>
  <c r="F139" i="50"/>
  <c r="G139" i="50" s="1"/>
  <c r="H139" i="50" s="1"/>
  <c r="I139" i="50" s="1"/>
  <c r="F140" i="50"/>
  <c r="G140" i="50" s="1"/>
  <c r="H140" i="50" s="1"/>
  <c r="I140" i="50" s="1"/>
  <c r="J140" i="50" s="1"/>
  <c r="K140" i="50" s="1"/>
  <c r="L140" i="50" s="1"/>
  <c r="M140" i="50" s="1"/>
  <c r="N140" i="50" s="1"/>
  <c r="O140" i="50" s="1"/>
  <c r="P140" i="50" s="1"/>
  <c r="Q140" i="50" s="1"/>
  <c r="R140" i="50" s="1"/>
  <c r="S140" i="50" s="1"/>
  <c r="T140" i="50" s="1"/>
  <c r="U140" i="50" s="1"/>
  <c r="V140" i="50" s="1"/>
  <c r="W140" i="50" s="1"/>
  <c r="X140" i="50" s="1"/>
  <c r="Y140" i="50" s="1"/>
  <c r="Z140" i="50" s="1"/>
  <c r="AA140" i="50" s="1"/>
  <c r="AB140" i="50" s="1"/>
  <c r="AC140" i="50" s="1"/>
  <c r="AD140" i="50" s="1"/>
  <c r="AE140" i="50" s="1"/>
  <c r="AF140" i="50" s="1"/>
  <c r="AG140" i="50" s="1"/>
  <c r="AH140" i="50" s="1"/>
  <c r="AI140" i="50" s="1"/>
  <c r="AJ140" i="50" s="1"/>
  <c r="AK140" i="50" s="1"/>
  <c r="AL140" i="50" s="1"/>
  <c r="AM140" i="50" s="1"/>
  <c r="AN140" i="50" s="1"/>
  <c r="AO140" i="50" s="1"/>
  <c r="AP140" i="50" s="1"/>
  <c r="AQ140" i="50" s="1"/>
  <c r="AR140" i="50" s="1"/>
  <c r="AS140" i="50" s="1"/>
  <c r="AT140" i="50" s="1"/>
  <c r="AU140" i="50" s="1"/>
  <c r="AV140" i="50" s="1"/>
  <c r="AW140" i="50" s="1"/>
  <c r="AX140" i="50" s="1"/>
  <c r="AY140" i="50" s="1"/>
  <c r="AZ140" i="50" s="1"/>
  <c r="BA140" i="50" s="1"/>
  <c r="BB140" i="50" s="1"/>
  <c r="BC140" i="50" s="1"/>
  <c r="BD140" i="50" s="1"/>
  <c r="BE140" i="50" s="1"/>
  <c r="BF140" i="50" s="1"/>
  <c r="BG140" i="50" s="1"/>
  <c r="BH140" i="50" s="1"/>
  <c r="BI140" i="50" s="1"/>
  <c r="BJ140" i="50" s="1"/>
  <c r="BK140" i="50" s="1"/>
  <c r="BL140" i="50" s="1"/>
  <c r="BM140" i="50" s="1"/>
  <c r="BN140" i="50" s="1"/>
  <c r="BO140" i="50" s="1"/>
  <c r="BP140" i="50" s="1"/>
  <c r="BQ140" i="50" s="1"/>
  <c r="BR140" i="50" s="1"/>
  <c r="BS140" i="50" s="1"/>
  <c r="BT140" i="50" s="1"/>
  <c r="BU140" i="50" s="1"/>
  <c r="BV140" i="50" s="1"/>
  <c r="BW140" i="50" s="1"/>
  <c r="BX140" i="50" s="1"/>
  <c r="BY140" i="50" s="1"/>
  <c r="BZ140" i="50" s="1"/>
  <c r="CA140" i="50" s="1"/>
  <c r="CB140" i="50" s="1"/>
  <c r="CC140" i="50" s="1"/>
  <c r="CD140" i="50" s="1"/>
  <c r="CE140" i="50" s="1"/>
  <c r="CF140" i="50" s="1"/>
  <c r="CG140" i="50" s="1"/>
  <c r="CH140" i="50" s="1"/>
  <c r="CI140" i="50" s="1"/>
  <c r="CJ140" i="50" s="1"/>
  <c r="CK140" i="50" s="1"/>
  <c r="CL140" i="50" s="1"/>
  <c r="CM140" i="50" s="1"/>
  <c r="CN140" i="50" s="1"/>
  <c r="CO140" i="50" s="1"/>
  <c r="CP140" i="50" s="1"/>
  <c r="CQ140" i="50" s="1"/>
  <c r="CR140" i="50" s="1"/>
  <c r="CS140" i="50" s="1"/>
  <c r="CT140" i="50" s="1"/>
  <c r="CU140" i="50" s="1"/>
  <c r="CV140" i="50" s="1"/>
  <c r="CW140" i="50" s="1"/>
  <c r="CX140" i="50" s="1"/>
  <c r="CY140" i="50" s="1"/>
  <c r="CZ140" i="50" s="1"/>
  <c r="DA140" i="50" s="1"/>
  <c r="DB140" i="50" s="1"/>
  <c r="DC140" i="50" s="1"/>
  <c r="DD140" i="50" s="1"/>
  <c r="DE140" i="50" s="1"/>
  <c r="DF140" i="50" s="1"/>
  <c r="DG140" i="50" s="1"/>
  <c r="DH140" i="50" s="1"/>
  <c r="DI140" i="50" s="1"/>
  <c r="DJ140" i="50" s="1"/>
  <c r="DK140" i="50" s="1"/>
  <c r="DL140" i="50" s="1"/>
  <c r="DM140" i="50" s="1"/>
  <c r="DN140" i="50" s="1"/>
  <c r="DO140" i="50" s="1"/>
  <c r="DP140" i="50" s="1"/>
  <c r="DQ140" i="50" s="1"/>
  <c r="DR140" i="50" s="1"/>
  <c r="DS140" i="50" s="1"/>
  <c r="DT140" i="50" s="1"/>
  <c r="DU140" i="50" s="1"/>
  <c r="DV140" i="50" s="1"/>
  <c r="DW140" i="50" s="1"/>
  <c r="DX140" i="50" s="1"/>
  <c r="DY140" i="50" s="1"/>
  <c r="DZ140" i="50" s="1"/>
  <c r="EA140" i="50" s="1"/>
  <c r="EB140" i="50" s="1"/>
  <c r="EC140" i="50" s="1"/>
  <c r="ED140" i="50" s="1"/>
  <c r="EE140" i="50" s="1"/>
  <c r="EF140" i="50" s="1"/>
  <c r="EG140" i="50" s="1"/>
  <c r="EH140" i="50" s="1"/>
  <c r="EI140" i="50" s="1"/>
  <c r="EJ140" i="50" s="1"/>
  <c r="EK140" i="50" s="1"/>
  <c r="EL140" i="50" s="1"/>
  <c r="EM140" i="50" s="1"/>
  <c r="EN140" i="50" s="1"/>
  <c r="EO140" i="50" s="1"/>
  <c r="EP140" i="50" s="1"/>
  <c r="EQ140" i="50" s="1"/>
  <c r="ER140" i="50" s="1"/>
  <c r="ES140" i="50" s="1"/>
  <c r="ET140" i="50" s="1"/>
  <c r="EU140" i="50" s="1"/>
  <c r="EV140" i="50" s="1"/>
  <c r="EW140" i="50" s="1"/>
  <c r="EX140" i="50" s="1"/>
  <c r="EY140" i="50" s="1"/>
  <c r="EZ140" i="50" s="1"/>
  <c r="FA140" i="50" s="1"/>
  <c r="FB140" i="50" s="1"/>
  <c r="FC140" i="50" s="1"/>
  <c r="FD140" i="50" s="1"/>
  <c r="FE140" i="50" s="1"/>
  <c r="FF140" i="50" s="1"/>
  <c r="FG140" i="50" s="1"/>
  <c r="FH140" i="50" s="1"/>
  <c r="FI140" i="50" s="1"/>
  <c r="FJ140" i="50" s="1"/>
  <c r="FK140" i="50" s="1"/>
  <c r="FL140" i="50" s="1"/>
  <c r="FM140" i="50" s="1"/>
  <c r="FN140" i="50" s="1"/>
  <c r="FO140" i="50" s="1"/>
  <c r="FP140" i="50" s="1"/>
  <c r="FQ140" i="50" s="1"/>
  <c r="FR140" i="50" s="1"/>
  <c r="FS140" i="50" s="1"/>
  <c r="FT140" i="50" s="1"/>
  <c r="FU140" i="50" s="1"/>
  <c r="FV140" i="50" s="1"/>
  <c r="FW140" i="50" s="1"/>
  <c r="FX140" i="50" s="1"/>
  <c r="FY140" i="50" s="1"/>
  <c r="FZ140" i="50" s="1"/>
  <c r="GA140" i="50" s="1"/>
  <c r="GB140" i="50" s="1"/>
  <c r="GC140" i="50" s="1"/>
  <c r="F150" i="50"/>
  <c r="G150" i="50" s="1"/>
  <c r="H150" i="50" s="1"/>
  <c r="I150" i="50" s="1"/>
  <c r="J150" i="50" s="1"/>
  <c r="K150" i="50" s="1"/>
  <c r="L150" i="50" s="1"/>
  <c r="M150" i="50" s="1"/>
  <c r="N150" i="50" s="1"/>
  <c r="O150" i="50" s="1"/>
  <c r="P150" i="50" s="1"/>
  <c r="Q150" i="50" s="1"/>
  <c r="R150" i="50" s="1"/>
  <c r="S150" i="50" s="1"/>
  <c r="T150" i="50" s="1"/>
  <c r="U150" i="50" s="1"/>
  <c r="V150" i="50" s="1"/>
  <c r="W150" i="50" s="1"/>
  <c r="X150" i="50" s="1"/>
  <c r="Y150" i="50" s="1"/>
  <c r="Z150" i="50" s="1"/>
  <c r="AA150" i="50" s="1"/>
  <c r="AB150" i="50" s="1"/>
  <c r="AC150" i="50" s="1"/>
  <c r="AD150" i="50" s="1"/>
  <c r="AE150" i="50" s="1"/>
  <c r="AF150" i="50" s="1"/>
  <c r="AG150" i="50" s="1"/>
  <c r="AH150" i="50" s="1"/>
  <c r="AI150" i="50" s="1"/>
  <c r="AJ150" i="50" s="1"/>
  <c r="AK150" i="50" s="1"/>
  <c r="AL150" i="50" s="1"/>
  <c r="AM150" i="50" s="1"/>
  <c r="AN150" i="50" s="1"/>
  <c r="AO150" i="50" s="1"/>
  <c r="AP150" i="50" s="1"/>
  <c r="AQ150" i="50" s="1"/>
  <c r="AR150" i="50" s="1"/>
  <c r="AS150" i="50" s="1"/>
  <c r="AT150" i="50" s="1"/>
  <c r="AU150" i="50" s="1"/>
  <c r="AV150" i="50" s="1"/>
  <c r="AW150" i="50" s="1"/>
  <c r="AX150" i="50" s="1"/>
  <c r="AY150" i="50" s="1"/>
  <c r="AZ150" i="50" s="1"/>
  <c r="BA150" i="50" s="1"/>
  <c r="BB150" i="50" s="1"/>
  <c r="BC150" i="50" s="1"/>
  <c r="BD150" i="50" s="1"/>
  <c r="BE150" i="50" s="1"/>
  <c r="BF150" i="50" s="1"/>
  <c r="BG150" i="50" s="1"/>
  <c r="BH150" i="50" s="1"/>
  <c r="BI150" i="50" s="1"/>
  <c r="BJ150" i="50" s="1"/>
  <c r="BK150" i="50" s="1"/>
  <c r="BL150" i="50" s="1"/>
  <c r="BM150" i="50" s="1"/>
  <c r="BN150" i="50" s="1"/>
  <c r="BO150" i="50" s="1"/>
  <c r="BP150" i="50" s="1"/>
  <c r="BQ150" i="50" s="1"/>
  <c r="BR150" i="50" s="1"/>
  <c r="BS150" i="50" s="1"/>
  <c r="BT150" i="50" s="1"/>
  <c r="BU150" i="50" s="1"/>
  <c r="BV150" i="50" s="1"/>
  <c r="BW150" i="50" s="1"/>
  <c r="BX150" i="50" s="1"/>
  <c r="BY150" i="50" s="1"/>
  <c r="BZ150" i="50" s="1"/>
  <c r="CA150" i="50" s="1"/>
  <c r="CB150" i="50" s="1"/>
  <c r="CC150" i="50" s="1"/>
  <c r="CD150" i="50" s="1"/>
  <c r="CE150" i="50" s="1"/>
  <c r="CF150" i="50" s="1"/>
  <c r="CG150" i="50" s="1"/>
  <c r="CH150" i="50" s="1"/>
  <c r="CI150" i="50" s="1"/>
  <c r="CJ150" i="50" s="1"/>
  <c r="CK150" i="50" s="1"/>
  <c r="CL150" i="50" s="1"/>
  <c r="CM150" i="50" s="1"/>
  <c r="CN150" i="50" s="1"/>
  <c r="CO150" i="50" s="1"/>
  <c r="CP150" i="50" s="1"/>
  <c r="CQ150" i="50" s="1"/>
  <c r="CR150" i="50" s="1"/>
  <c r="CS150" i="50" s="1"/>
  <c r="CT150" i="50" s="1"/>
  <c r="CU150" i="50" s="1"/>
  <c r="CV150" i="50" s="1"/>
  <c r="CW150" i="50" s="1"/>
  <c r="CX150" i="50" s="1"/>
  <c r="CY150" i="50" s="1"/>
  <c r="CZ150" i="50" s="1"/>
  <c r="DA150" i="50" s="1"/>
  <c r="DB150" i="50" s="1"/>
  <c r="DC150" i="50" s="1"/>
  <c r="DD150" i="50" s="1"/>
  <c r="DE150" i="50" s="1"/>
  <c r="DF150" i="50" s="1"/>
  <c r="DG150" i="50" s="1"/>
  <c r="DH150" i="50" s="1"/>
  <c r="DI150" i="50" s="1"/>
  <c r="DJ150" i="50" s="1"/>
  <c r="DK150" i="50" s="1"/>
  <c r="DL150" i="50" s="1"/>
  <c r="DM150" i="50" s="1"/>
  <c r="DN150" i="50" s="1"/>
  <c r="DO150" i="50" s="1"/>
  <c r="DP150" i="50" s="1"/>
  <c r="DQ150" i="50" s="1"/>
  <c r="DR150" i="50" s="1"/>
  <c r="DS150" i="50" s="1"/>
  <c r="DT150" i="50" s="1"/>
  <c r="DU150" i="50" s="1"/>
  <c r="DV150" i="50" s="1"/>
  <c r="DW150" i="50" s="1"/>
  <c r="DX150" i="50" s="1"/>
  <c r="DY150" i="50" s="1"/>
  <c r="DZ150" i="50" s="1"/>
  <c r="EA150" i="50" s="1"/>
  <c r="EB150" i="50" s="1"/>
  <c r="EC150" i="50" s="1"/>
  <c r="ED150" i="50" s="1"/>
  <c r="EE150" i="50" s="1"/>
  <c r="EF150" i="50" s="1"/>
  <c r="EG150" i="50" s="1"/>
  <c r="EH150" i="50" s="1"/>
  <c r="EI150" i="50" s="1"/>
  <c r="EJ150" i="50" s="1"/>
  <c r="EK150" i="50" s="1"/>
  <c r="EL150" i="50" s="1"/>
  <c r="EM150" i="50" s="1"/>
  <c r="EN150" i="50" s="1"/>
  <c r="EO150" i="50" s="1"/>
  <c r="EP150" i="50" s="1"/>
  <c r="EQ150" i="50" s="1"/>
  <c r="ER150" i="50" s="1"/>
  <c r="ES150" i="50" s="1"/>
  <c r="ET150" i="50" s="1"/>
  <c r="EU150" i="50" s="1"/>
  <c r="EV150" i="50" s="1"/>
  <c r="EW150" i="50" s="1"/>
  <c r="EX150" i="50" s="1"/>
  <c r="EY150" i="50" s="1"/>
  <c r="EZ150" i="50" s="1"/>
  <c r="FA150" i="50" s="1"/>
  <c r="FB150" i="50" s="1"/>
  <c r="FC150" i="50" s="1"/>
  <c r="FD150" i="50" s="1"/>
  <c r="FE150" i="50" s="1"/>
  <c r="FF150" i="50" s="1"/>
  <c r="FG150" i="50" s="1"/>
  <c r="FH150" i="50" s="1"/>
  <c r="FI150" i="50" s="1"/>
  <c r="FJ150" i="50" s="1"/>
  <c r="FK150" i="50" s="1"/>
  <c r="FL150" i="50" s="1"/>
  <c r="FM150" i="50" s="1"/>
  <c r="FN150" i="50" s="1"/>
  <c r="FO150" i="50" s="1"/>
  <c r="FP150" i="50" s="1"/>
  <c r="FQ150" i="50" s="1"/>
  <c r="FR150" i="50" s="1"/>
  <c r="FS150" i="50" s="1"/>
  <c r="FT150" i="50" s="1"/>
  <c r="FU150" i="50" s="1"/>
  <c r="FV150" i="50" s="1"/>
  <c r="FW150" i="50" s="1"/>
  <c r="FX150" i="50" s="1"/>
  <c r="FY150" i="50" s="1"/>
  <c r="FZ150" i="50" s="1"/>
  <c r="GA150" i="50" s="1"/>
  <c r="GB150" i="50" s="1"/>
  <c r="GC150" i="50" s="1"/>
  <c r="F152" i="50"/>
  <c r="G152" i="50" s="1"/>
  <c r="H152" i="50" s="1"/>
  <c r="I152" i="50" s="1"/>
  <c r="J152" i="50" s="1"/>
  <c r="K152" i="50" s="1"/>
  <c r="L152" i="50" s="1"/>
  <c r="M152" i="50" s="1"/>
  <c r="N152" i="50" s="1"/>
  <c r="O152" i="50" s="1"/>
  <c r="P152" i="50" s="1"/>
  <c r="Q152" i="50" s="1"/>
  <c r="R152" i="50" s="1"/>
  <c r="S152" i="50" s="1"/>
  <c r="T152" i="50" s="1"/>
  <c r="U152" i="50" s="1"/>
  <c r="V152" i="50" s="1"/>
  <c r="W152" i="50" s="1"/>
  <c r="X152" i="50" s="1"/>
  <c r="Y152" i="50" s="1"/>
  <c r="Z152" i="50" s="1"/>
  <c r="AA152" i="50" s="1"/>
  <c r="AB152" i="50" s="1"/>
  <c r="AC152" i="50" s="1"/>
  <c r="AD152" i="50" s="1"/>
  <c r="AE152" i="50" s="1"/>
  <c r="AF152" i="50" s="1"/>
  <c r="AG152" i="50" s="1"/>
  <c r="AH152" i="50" s="1"/>
  <c r="AI152" i="50" s="1"/>
  <c r="AJ152" i="50" s="1"/>
  <c r="AK152" i="50" s="1"/>
  <c r="AL152" i="50" s="1"/>
  <c r="AM152" i="50" s="1"/>
  <c r="AN152" i="50" s="1"/>
  <c r="AO152" i="50" s="1"/>
  <c r="AP152" i="50" s="1"/>
  <c r="AQ152" i="50" s="1"/>
  <c r="AR152" i="50" s="1"/>
  <c r="AS152" i="50" s="1"/>
  <c r="AT152" i="50" s="1"/>
  <c r="AU152" i="50" s="1"/>
  <c r="AV152" i="50" s="1"/>
  <c r="AW152" i="50" s="1"/>
  <c r="AX152" i="50" s="1"/>
  <c r="AY152" i="50" s="1"/>
  <c r="AZ152" i="50" s="1"/>
  <c r="BA152" i="50" s="1"/>
  <c r="BB152" i="50" s="1"/>
  <c r="BC152" i="50" s="1"/>
  <c r="BD152" i="50" s="1"/>
  <c r="BE152" i="50" s="1"/>
  <c r="BF152" i="50" s="1"/>
  <c r="BG152" i="50" s="1"/>
  <c r="BH152" i="50" s="1"/>
  <c r="BI152" i="50" s="1"/>
  <c r="BJ152" i="50" s="1"/>
  <c r="BK152" i="50" s="1"/>
  <c r="BL152" i="50" s="1"/>
  <c r="BM152" i="50" s="1"/>
  <c r="BN152" i="50" s="1"/>
  <c r="BO152" i="50" s="1"/>
  <c r="BP152" i="50" s="1"/>
  <c r="BQ152" i="50" s="1"/>
  <c r="BR152" i="50" s="1"/>
  <c r="BS152" i="50" s="1"/>
  <c r="BT152" i="50" s="1"/>
  <c r="BU152" i="50" s="1"/>
  <c r="BV152" i="50" s="1"/>
  <c r="BW152" i="50" s="1"/>
  <c r="BX152" i="50" s="1"/>
  <c r="BY152" i="50" s="1"/>
  <c r="BZ152" i="50" s="1"/>
  <c r="CA152" i="50" s="1"/>
  <c r="CB152" i="50" s="1"/>
  <c r="CC152" i="50" s="1"/>
  <c r="CD152" i="50" s="1"/>
  <c r="CE152" i="50" s="1"/>
  <c r="CF152" i="50" s="1"/>
  <c r="CG152" i="50" s="1"/>
  <c r="CH152" i="50" s="1"/>
  <c r="CI152" i="50" s="1"/>
  <c r="CJ152" i="50" s="1"/>
  <c r="CK152" i="50" s="1"/>
  <c r="CL152" i="50" s="1"/>
  <c r="CM152" i="50" s="1"/>
  <c r="CN152" i="50" s="1"/>
  <c r="CO152" i="50" s="1"/>
  <c r="CP152" i="50" s="1"/>
  <c r="CQ152" i="50" s="1"/>
  <c r="CR152" i="50" s="1"/>
  <c r="CS152" i="50" s="1"/>
  <c r="CT152" i="50" s="1"/>
  <c r="CU152" i="50" s="1"/>
  <c r="CV152" i="50" s="1"/>
  <c r="CW152" i="50" s="1"/>
  <c r="CX152" i="50" s="1"/>
  <c r="CY152" i="50" s="1"/>
  <c r="CZ152" i="50" s="1"/>
  <c r="DA152" i="50" s="1"/>
  <c r="DB152" i="50" s="1"/>
  <c r="DC152" i="50" s="1"/>
  <c r="DD152" i="50" s="1"/>
  <c r="DE152" i="50" s="1"/>
  <c r="DF152" i="50" s="1"/>
  <c r="DG152" i="50" s="1"/>
  <c r="DH152" i="50" s="1"/>
  <c r="DI152" i="50" s="1"/>
  <c r="DJ152" i="50" s="1"/>
  <c r="DK152" i="50" s="1"/>
  <c r="DL152" i="50" s="1"/>
  <c r="DM152" i="50" s="1"/>
  <c r="DN152" i="50" s="1"/>
  <c r="DO152" i="50" s="1"/>
  <c r="DP152" i="50" s="1"/>
  <c r="DQ152" i="50" s="1"/>
  <c r="DR152" i="50" s="1"/>
  <c r="DS152" i="50" s="1"/>
  <c r="DT152" i="50" s="1"/>
  <c r="DU152" i="50" s="1"/>
  <c r="DV152" i="50" s="1"/>
  <c r="DW152" i="50" s="1"/>
  <c r="DX152" i="50" s="1"/>
  <c r="DY152" i="50" s="1"/>
  <c r="DZ152" i="50" s="1"/>
  <c r="EA152" i="50" s="1"/>
  <c r="EB152" i="50" s="1"/>
  <c r="EC152" i="50" s="1"/>
  <c r="ED152" i="50" s="1"/>
  <c r="EE152" i="50" s="1"/>
  <c r="EF152" i="50" s="1"/>
  <c r="EG152" i="50" s="1"/>
  <c r="EH152" i="50" s="1"/>
  <c r="EI152" i="50" s="1"/>
  <c r="EJ152" i="50" s="1"/>
  <c r="EK152" i="50" s="1"/>
  <c r="EL152" i="50" s="1"/>
  <c r="EM152" i="50" s="1"/>
  <c r="EN152" i="50" s="1"/>
  <c r="EO152" i="50" s="1"/>
  <c r="EP152" i="50" s="1"/>
  <c r="EQ152" i="50" s="1"/>
  <c r="ER152" i="50" s="1"/>
  <c r="ES152" i="50" s="1"/>
  <c r="ET152" i="50" s="1"/>
  <c r="EU152" i="50" s="1"/>
  <c r="EV152" i="50" s="1"/>
  <c r="EW152" i="50" s="1"/>
  <c r="EX152" i="50" s="1"/>
  <c r="EY152" i="50" s="1"/>
  <c r="EZ152" i="50" s="1"/>
  <c r="FA152" i="50" s="1"/>
  <c r="FB152" i="50" s="1"/>
  <c r="FC152" i="50" s="1"/>
  <c r="FD152" i="50" s="1"/>
  <c r="FE152" i="50" s="1"/>
  <c r="FF152" i="50" s="1"/>
  <c r="FG152" i="50" s="1"/>
  <c r="FH152" i="50" s="1"/>
  <c r="FI152" i="50" s="1"/>
  <c r="FJ152" i="50" s="1"/>
  <c r="FK152" i="50" s="1"/>
  <c r="FL152" i="50" s="1"/>
  <c r="FM152" i="50" s="1"/>
  <c r="FN152" i="50" s="1"/>
  <c r="FO152" i="50" s="1"/>
  <c r="FP152" i="50" s="1"/>
  <c r="FQ152" i="50" s="1"/>
  <c r="FR152" i="50" s="1"/>
  <c r="FS152" i="50" s="1"/>
  <c r="FT152" i="50" s="1"/>
  <c r="FU152" i="50" s="1"/>
  <c r="FV152" i="50" s="1"/>
  <c r="FW152" i="50" s="1"/>
  <c r="FX152" i="50" s="1"/>
  <c r="FY152" i="50" s="1"/>
  <c r="FZ152" i="50" s="1"/>
  <c r="GA152" i="50" s="1"/>
  <c r="GB152" i="50" s="1"/>
  <c r="GC152" i="50" s="1"/>
  <c r="F141" i="50"/>
  <c r="G141" i="50" s="1"/>
  <c r="H141" i="50" s="1"/>
  <c r="I141" i="50" s="1"/>
  <c r="J141" i="50" s="1"/>
  <c r="K141" i="50" s="1"/>
  <c r="L141" i="50" s="1"/>
  <c r="M141" i="50" s="1"/>
  <c r="N141" i="50" s="1"/>
  <c r="O141" i="50" s="1"/>
  <c r="P141" i="50" s="1"/>
  <c r="Q141" i="50" s="1"/>
  <c r="R141" i="50" s="1"/>
  <c r="S141" i="50" s="1"/>
  <c r="T141" i="50" s="1"/>
  <c r="U141" i="50" s="1"/>
  <c r="V141" i="50" s="1"/>
  <c r="W141" i="50" s="1"/>
  <c r="X141" i="50" s="1"/>
  <c r="Y141" i="50" s="1"/>
  <c r="Z141" i="50" s="1"/>
  <c r="AA141" i="50" s="1"/>
  <c r="AB141" i="50" s="1"/>
  <c r="AC141" i="50" s="1"/>
  <c r="AD141" i="50" s="1"/>
  <c r="AE141" i="50" s="1"/>
  <c r="AF141" i="50" s="1"/>
  <c r="AG141" i="50" s="1"/>
  <c r="AH141" i="50" s="1"/>
  <c r="AI141" i="50" s="1"/>
  <c r="AJ141" i="50" s="1"/>
  <c r="AK141" i="50" s="1"/>
  <c r="AL141" i="50" s="1"/>
  <c r="AM141" i="50" s="1"/>
  <c r="AN141" i="50" s="1"/>
  <c r="AO141" i="50" s="1"/>
  <c r="AP141" i="50" s="1"/>
  <c r="AQ141" i="50" s="1"/>
  <c r="AR141" i="50" s="1"/>
  <c r="AS141" i="50" s="1"/>
  <c r="AT141" i="50" s="1"/>
  <c r="AU141" i="50" s="1"/>
  <c r="AV141" i="50" s="1"/>
  <c r="AW141" i="50" s="1"/>
  <c r="AX141" i="50" s="1"/>
  <c r="AY141" i="50" s="1"/>
  <c r="AZ141" i="50" s="1"/>
  <c r="BA141" i="50" s="1"/>
  <c r="BB141" i="50" s="1"/>
  <c r="BC141" i="50" s="1"/>
  <c r="BD141" i="50" s="1"/>
  <c r="BE141" i="50" s="1"/>
  <c r="BF141" i="50" s="1"/>
  <c r="BG141" i="50" s="1"/>
  <c r="BH141" i="50" s="1"/>
  <c r="BI141" i="50" s="1"/>
  <c r="BJ141" i="50" s="1"/>
  <c r="BK141" i="50" s="1"/>
  <c r="BL141" i="50" s="1"/>
  <c r="BM141" i="50" s="1"/>
  <c r="BN141" i="50" s="1"/>
  <c r="BO141" i="50" s="1"/>
  <c r="BP141" i="50" s="1"/>
  <c r="BQ141" i="50" s="1"/>
  <c r="BR141" i="50" s="1"/>
  <c r="BS141" i="50" s="1"/>
  <c r="BT141" i="50" s="1"/>
  <c r="BU141" i="50" s="1"/>
  <c r="BV141" i="50" s="1"/>
  <c r="BW141" i="50" s="1"/>
  <c r="BX141" i="50" s="1"/>
  <c r="BY141" i="50" s="1"/>
  <c r="BZ141" i="50" s="1"/>
  <c r="CA141" i="50" s="1"/>
  <c r="CB141" i="50" s="1"/>
  <c r="CC141" i="50" s="1"/>
  <c r="CD141" i="50" s="1"/>
  <c r="CE141" i="50" s="1"/>
  <c r="CF141" i="50" s="1"/>
  <c r="CG141" i="50" s="1"/>
  <c r="CH141" i="50" s="1"/>
  <c r="CI141" i="50" s="1"/>
  <c r="CJ141" i="50" s="1"/>
  <c r="CK141" i="50" s="1"/>
  <c r="CL141" i="50" s="1"/>
  <c r="CM141" i="50" s="1"/>
  <c r="CN141" i="50" s="1"/>
  <c r="CO141" i="50" s="1"/>
  <c r="CP141" i="50" s="1"/>
  <c r="CQ141" i="50" s="1"/>
  <c r="CR141" i="50" s="1"/>
  <c r="CS141" i="50" s="1"/>
  <c r="CT141" i="50" s="1"/>
  <c r="CU141" i="50" s="1"/>
  <c r="CV141" i="50" s="1"/>
  <c r="CW141" i="50" s="1"/>
  <c r="CX141" i="50" s="1"/>
  <c r="CY141" i="50" s="1"/>
  <c r="CZ141" i="50" s="1"/>
  <c r="DA141" i="50" s="1"/>
  <c r="DB141" i="50" s="1"/>
  <c r="DC141" i="50" s="1"/>
  <c r="DD141" i="50" s="1"/>
  <c r="DE141" i="50" s="1"/>
  <c r="DF141" i="50" s="1"/>
  <c r="DG141" i="50" s="1"/>
  <c r="DH141" i="50" s="1"/>
  <c r="DI141" i="50" s="1"/>
  <c r="DJ141" i="50" s="1"/>
  <c r="DK141" i="50" s="1"/>
  <c r="DL141" i="50" s="1"/>
  <c r="DM141" i="50" s="1"/>
  <c r="DN141" i="50" s="1"/>
  <c r="DO141" i="50" s="1"/>
  <c r="DP141" i="50" s="1"/>
  <c r="DQ141" i="50" s="1"/>
  <c r="DR141" i="50" s="1"/>
  <c r="DS141" i="50" s="1"/>
  <c r="DT141" i="50" s="1"/>
  <c r="DU141" i="50" s="1"/>
  <c r="DV141" i="50" s="1"/>
  <c r="DW141" i="50" s="1"/>
  <c r="DX141" i="50" s="1"/>
  <c r="DY141" i="50" s="1"/>
  <c r="DZ141" i="50" s="1"/>
  <c r="EA141" i="50" s="1"/>
  <c r="EB141" i="50" s="1"/>
  <c r="EC141" i="50" s="1"/>
  <c r="ED141" i="50" s="1"/>
  <c r="EE141" i="50" s="1"/>
  <c r="EF141" i="50" s="1"/>
  <c r="EG141" i="50" s="1"/>
  <c r="EH141" i="50" s="1"/>
  <c r="EI141" i="50" s="1"/>
  <c r="EJ141" i="50" s="1"/>
  <c r="EK141" i="50" s="1"/>
  <c r="EL141" i="50" s="1"/>
  <c r="EM141" i="50" s="1"/>
  <c r="EN141" i="50" s="1"/>
  <c r="EO141" i="50" s="1"/>
  <c r="EP141" i="50" s="1"/>
  <c r="EQ141" i="50" s="1"/>
  <c r="ER141" i="50" s="1"/>
  <c r="ES141" i="50" s="1"/>
  <c r="ET141" i="50" s="1"/>
  <c r="EU141" i="50" s="1"/>
  <c r="EV141" i="50" s="1"/>
  <c r="EW141" i="50" s="1"/>
  <c r="EX141" i="50" s="1"/>
  <c r="EY141" i="50" s="1"/>
  <c r="EZ141" i="50" s="1"/>
  <c r="FA141" i="50" s="1"/>
  <c r="FB141" i="50" s="1"/>
  <c r="FC141" i="50" s="1"/>
  <c r="FD141" i="50" s="1"/>
  <c r="FE141" i="50" s="1"/>
  <c r="FF141" i="50" s="1"/>
  <c r="FG141" i="50" s="1"/>
  <c r="FH141" i="50" s="1"/>
  <c r="FI141" i="50" s="1"/>
  <c r="FJ141" i="50" s="1"/>
  <c r="FK141" i="50" s="1"/>
  <c r="FL141" i="50" s="1"/>
  <c r="FM141" i="50" s="1"/>
  <c r="FN141" i="50" s="1"/>
  <c r="FO141" i="50" s="1"/>
  <c r="FP141" i="50" s="1"/>
  <c r="FQ141" i="50" s="1"/>
  <c r="FR141" i="50" s="1"/>
  <c r="FS141" i="50" s="1"/>
  <c r="FT141" i="50" s="1"/>
  <c r="FU141" i="50" s="1"/>
  <c r="FV141" i="50" s="1"/>
  <c r="FW141" i="50" s="1"/>
  <c r="FX141" i="50" s="1"/>
  <c r="FY141" i="50" s="1"/>
  <c r="FZ141" i="50" s="1"/>
  <c r="GA141" i="50" s="1"/>
  <c r="GB141" i="50" s="1"/>
  <c r="GC141" i="50" s="1"/>
  <c r="F151" i="50"/>
  <c r="G151" i="50" s="1"/>
  <c r="H151" i="50" s="1"/>
  <c r="I151" i="50" s="1"/>
  <c r="J151" i="50" s="1"/>
  <c r="K151" i="50" s="1"/>
  <c r="L151" i="50" s="1"/>
  <c r="M151" i="50" s="1"/>
  <c r="N151" i="50" s="1"/>
  <c r="O151" i="50" s="1"/>
  <c r="P151" i="50" s="1"/>
  <c r="Q151" i="50" s="1"/>
  <c r="R151" i="50" s="1"/>
  <c r="S151" i="50" s="1"/>
  <c r="T151" i="50" s="1"/>
  <c r="U151" i="50" s="1"/>
  <c r="V151" i="50" s="1"/>
  <c r="W151" i="50" s="1"/>
  <c r="X151" i="50" s="1"/>
  <c r="Y151" i="50" s="1"/>
  <c r="Z151" i="50" s="1"/>
  <c r="AA151" i="50" s="1"/>
  <c r="AB151" i="50" s="1"/>
  <c r="AC151" i="50" s="1"/>
  <c r="AD151" i="50" s="1"/>
  <c r="AE151" i="50" s="1"/>
  <c r="AF151" i="50" s="1"/>
  <c r="AG151" i="50" s="1"/>
  <c r="AH151" i="50" s="1"/>
  <c r="AI151" i="50" s="1"/>
  <c r="AJ151" i="50" s="1"/>
  <c r="AK151" i="50" s="1"/>
  <c r="AL151" i="50" s="1"/>
  <c r="AM151" i="50" s="1"/>
  <c r="AN151" i="50" s="1"/>
  <c r="AO151" i="50" s="1"/>
  <c r="AP151" i="50" s="1"/>
  <c r="AQ151" i="50" s="1"/>
  <c r="AR151" i="50" s="1"/>
  <c r="AS151" i="50" s="1"/>
  <c r="AT151" i="50" s="1"/>
  <c r="AU151" i="50" s="1"/>
  <c r="AV151" i="50" s="1"/>
  <c r="AW151" i="50" s="1"/>
  <c r="AX151" i="50" s="1"/>
  <c r="AY151" i="50" s="1"/>
  <c r="AZ151" i="50" s="1"/>
  <c r="BA151" i="50" s="1"/>
  <c r="BB151" i="50" s="1"/>
  <c r="BC151" i="50" s="1"/>
  <c r="BD151" i="50" s="1"/>
  <c r="BE151" i="50" s="1"/>
  <c r="BF151" i="50" s="1"/>
  <c r="BG151" i="50" s="1"/>
  <c r="BH151" i="50" s="1"/>
  <c r="BI151" i="50" s="1"/>
  <c r="BJ151" i="50" s="1"/>
  <c r="BK151" i="50" s="1"/>
  <c r="BL151" i="50" s="1"/>
  <c r="BM151" i="50" s="1"/>
  <c r="BN151" i="50" s="1"/>
  <c r="BO151" i="50" s="1"/>
  <c r="BP151" i="50" s="1"/>
  <c r="BQ151" i="50" s="1"/>
  <c r="BR151" i="50" s="1"/>
  <c r="BS151" i="50" s="1"/>
  <c r="BT151" i="50" s="1"/>
  <c r="BU151" i="50" s="1"/>
  <c r="BV151" i="50" s="1"/>
  <c r="BW151" i="50" s="1"/>
  <c r="BX151" i="50" s="1"/>
  <c r="BY151" i="50" s="1"/>
  <c r="BZ151" i="50" s="1"/>
  <c r="CA151" i="50" s="1"/>
  <c r="CB151" i="50" s="1"/>
  <c r="CC151" i="50" s="1"/>
  <c r="CD151" i="50" s="1"/>
  <c r="CE151" i="50" s="1"/>
  <c r="CF151" i="50" s="1"/>
  <c r="CG151" i="50" s="1"/>
  <c r="CH151" i="50" s="1"/>
  <c r="CI151" i="50" s="1"/>
  <c r="CJ151" i="50" s="1"/>
  <c r="CK151" i="50" s="1"/>
  <c r="CL151" i="50" s="1"/>
  <c r="CM151" i="50" s="1"/>
  <c r="CN151" i="50" s="1"/>
  <c r="CO151" i="50" s="1"/>
  <c r="CP151" i="50" s="1"/>
  <c r="CQ151" i="50" s="1"/>
  <c r="CR151" i="50" s="1"/>
  <c r="CS151" i="50" s="1"/>
  <c r="CT151" i="50" s="1"/>
  <c r="CU151" i="50" s="1"/>
  <c r="CV151" i="50" s="1"/>
  <c r="CW151" i="50" s="1"/>
  <c r="CX151" i="50" s="1"/>
  <c r="CY151" i="50" s="1"/>
  <c r="CZ151" i="50" s="1"/>
  <c r="DA151" i="50" s="1"/>
  <c r="DB151" i="50" s="1"/>
  <c r="DC151" i="50" s="1"/>
  <c r="DD151" i="50" s="1"/>
  <c r="DE151" i="50" s="1"/>
  <c r="DF151" i="50" s="1"/>
  <c r="DG151" i="50" s="1"/>
  <c r="DH151" i="50" s="1"/>
  <c r="DI151" i="50" s="1"/>
  <c r="DJ151" i="50" s="1"/>
  <c r="DK151" i="50" s="1"/>
  <c r="DL151" i="50" s="1"/>
  <c r="DM151" i="50" s="1"/>
  <c r="DN151" i="50" s="1"/>
  <c r="DO151" i="50" s="1"/>
  <c r="DP151" i="50" s="1"/>
  <c r="DQ151" i="50" s="1"/>
  <c r="DR151" i="50" s="1"/>
  <c r="DS151" i="50" s="1"/>
  <c r="DT151" i="50" s="1"/>
  <c r="DU151" i="50" s="1"/>
  <c r="DV151" i="50" s="1"/>
  <c r="DW151" i="50" s="1"/>
  <c r="DX151" i="50" s="1"/>
  <c r="DY151" i="50" s="1"/>
  <c r="DZ151" i="50" s="1"/>
  <c r="EA151" i="50" s="1"/>
  <c r="EB151" i="50" s="1"/>
  <c r="EC151" i="50" s="1"/>
  <c r="ED151" i="50" s="1"/>
  <c r="EE151" i="50" s="1"/>
  <c r="EF151" i="50" s="1"/>
  <c r="EG151" i="50" s="1"/>
  <c r="EH151" i="50" s="1"/>
  <c r="EI151" i="50" s="1"/>
  <c r="EJ151" i="50" s="1"/>
  <c r="EK151" i="50" s="1"/>
  <c r="EL151" i="50" s="1"/>
  <c r="EM151" i="50" s="1"/>
  <c r="EN151" i="50" s="1"/>
  <c r="EO151" i="50" s="1"/>
  <c r="EP151" i="50" s="1"/>
  <c r="EQ151" i="50" s="1"/>
  <c r="ER151" i="50" s="1"/>
  <c r="ES151" i="50" s="1"/>
  <c r="ET151" i="50" s="1"/>
  <c r="EU151" i="50" s="1"/>
  <c r="EV151" i="50" s="1"/>
  <c r="EW151" i="50" s="1"/>
  <c r="EX151" i="50" s="1"/>
  <c r="EY151" i="50" s="1"/>
  <c r="EZ151" i="50" s="1"/>
  <c r="FA151" i="50" s="1"/>
  <c r="FB151" i="50" s="1"/>
  <c r="FC151" i="50" s="1"/>
  <c r="FD151" i="50" s="1"/>
  <c r="FE151" i="50" s="1"/>
  <c r="FF151" i="50" s="1"/>
  <c r="FG151" i="50" s="1"/>
  <c r="FH151" i="50" s="1"/>
  <c r="FI151" i="50" s="1"/>
  <c r="FJ151" i="50" s="1"/>
  <c r="FK151" i="50" s="1"/>
  <c r="FL151" i="50" s="1"/>
  <c r="FM151" i="50" s="1"/>
  <c r="FN151" i="50" s="1"/>
  <c r="FO151" i="50" s="1"/>
  <c r="FP151" i="50" s="1"/>
  <c r="FQ151" i="50" s="1"/>
  <c r="FR151" i="50" s="1"/>
  <c r="FS151" i="50" s="1"/>
  <c r="FT151" i="50" s="1"/>
  <c r="FU151" i="50" s="1"/>
  <c r="FV151" i="50" s="1"/>
  <c r="FW151" i="50" s="1"/>
  <c r="FX151" i="50" s="1"/>
  <c r="FY151" i="50" s="1"/>
  <c r="FZ151" i="50" s="1"/>
  <c r="GA151" i="50" s="1"/>
  <c r="GB151" i="50" s="1"/>
  <c r="GC151" i="50" s="1"/>
  <c r="H8" i="50"/>
  <c r="H80" i="50" s="1"/>
  <c r="I8" i="50"/>
  <c r="I80" i="50" s="1"/>
  <c r="J8" i="50"/>
  <c r="J80" i="50" s="1"/>
  <c r="K8" i="50"/>
  <c r="K80" i="50" s="1"/>
  <c r="L8" i="50"/>
  <c r="L80" i="50" s="1"/>
  <c r="M8" i="50"/>
  <c r="M80" i="50" s="1"/>
  <c r="N8" i="50"/>
  <c r="N80" i="50" s="1"/>
  <c r="O8" i="50"/>
  <c r="O80" i="50" s="1"/>
  <c r="P8" i="50"/>
  <c r="P80" i="50" s="1"/>
  <c r="Q8" i="50"/>
  <c r="Q80" i="50" s="1"/>
  <c r="R8" i="50"/>
  <c r="R80" i="50" s="1"/>
  <c r="S8" i="50"/>
  <c r="S80" i="50" s="1"/>
  <c r="T8" i="50"/>
  <c r="T80" i="50" s="1"/>
  <c r="U8" i="50"/>
  <c r="U80" i="50" s="1"/>
  <c r="V8" i="50"/>
  <c r="V80" i="50" s="1"/>
  <c r="W8" i="50"/>
  <c r="W80" i="50" s="1"/>
  <c r="X8" i="50"/>
  <c r="X80" i="50" s="1"/>
  <c r="Y8" i="50"/>
  <c r="Y80" i="50" s="1"/>
  <c r="Z8" i="50"/>
  <c r="Z80" i="50" s="1"/>
  <c r="AA8" i="50"/>
  <c r="AA80" i="50" s="1"/>
  <c r="AB8" i="50"/>
  <c r="AB80" i="50" s="1"/>
  <c r="AC8" i="50"/>
  <c r="AC80" i="50" s="1"/>
  <c r="AD8" i="50"/>
  <c r="AD80" i="50" s="1"/>
  <c r="AE8" i="50"/>
  <c r="AE80" i="50" s="1"/>
  <c r="AF8" i="50"/>
  <c r="AF80" i="50" s="1"/>
  <c r="AG8" i="50"/>
  <c r="AG80" i="50" s="1"/>
  <c r="AH8" i="50"/>
  <c r="AH80" i="50" s="1"/>
  <c r="AI8" i="50"/>
  <c r="AI80" i="50" s="1"/>
  <c r="AJ8" i="50"/>
  <c r="AJ80" i="50" s="1"/>
  <c r="AK8" i="50"/>
  <c r="AK80" i="50" s="1"/>
  <c r="AL8" i="50"/>
  <c r="AL80" i="50" s="1"/>
  <c r="AM8" i="50"/>
  <c r="AM80" i="50" s="1"/>
  <c r="AN8" i="50"/>
  <c r="AN80" i="50" s="1"/>
  <c r="AO8" i="50"/>
  <c r="AO80" i="50" s="1"/>
  <c r="AP8" i="50"/>
  <c r="AP80" i="50" s="1"/>
  <c r="AQ8" i="50"/>
  <c r="AQ80" i="50" s="1"/>
  <c r="AR8" i="50"/>
  <c r="AR80" i="50" s="1"/>
  <c r="AS8" i="50"/>
  <c r="AS80" i="50" s="1"/>
  <c r="AT8" i="50"/>
  <c r="AT80" i="50" s="1"/>
  <c r="AU8" i="50"/>
  <c r="AU80" i="50" s="1"/>
  <c r="AV8" i="50"/>
  <c r="AV80" i="50" s="1"/>
  <c r="AW8" i="50"/>
  <c r="AW80" i="50" s="1"/>
  <c r="AX8" i="50"/>
  <c r="AX80" i="50" s="1"/>
  <c r="AY8" i="50"/>
  <c r="AY80" i="50" s="1"/>
  <c r="AZ8" i="50"/>
  <c r="AZ80" i="50" s="1"/>
  <c r="BA8" i="50"/>
  <c r="BA80" i="50" s="1"/>
  <c r="BB8" i="50"/>
  <c r="BB80" i="50" s="1"/>
  <c r="BC8" i="50"/>
  <c r="BC80" i="50" s="1"/>
  <c r="BD8" i="50"/>
  <c r="BD80" i="50" s="1"/>
  <c r="BE8" i="50"/>
  <c r="BE80" i="50" s="1"/>
  <c r="BF8" i="50"/>
  <c r="BF80" i="50" s="1"/>
  <c r="BG8" i="50"/>
  <c r="BG80" i="50" s="1"/>
  <c r="BH8" i="50"/>
  <c r="BH80" i="50" s="1"/>
  <c r="BI8" i="50"/>
  <c r="BI80" i="50" s="1"/>
  <c r="BJ8" i="50"/>
  <c r="BJ80" i="50" s="1"/>
  <c r="BK8" i="50"/>
  <c r="BK80" i="50" s="1"/>
  <c r="BL8" i="50"/>
  <c r="BL80" i="50" s="1"/>
  <c r="BM8" i="50"/>
  <c r="BM80" i="50" s="1"/>
  <c r="F8" i="50"/>
  <c r="F80" i="50" s="1"/>
  <c r="BM7" i="50"/>
  <c r="BL7" i="50"/>
  <c r="BK7" i="50"/>
  <c r="BJ7" i="50"/>
  <c r="BI7" i="50"/>
  <c r="BH7" i="50"/>
  <c r="BG7" i="50"/>
  <c r="BF7" i="50"/>
  <c r="BE7" i="50"/>
  <c r="BD7" i="50"/>
  <c r="BC7" i="50"/>
  <c r="BB7" i="50"/>
  <c r="BA7" i="50"/>
  <c r="AZ7" i="50"/>
  <c r="AY7" i="50"/>
  <c r="AX7" i="50"/>
  <c r="AW7" i="50"/>
  <c r="AV7" i="50"/>
  <c r="AU7" i="50"/>
  <c r="AT7" i="50"/>
  <c r="AS7" i="50"/>
  <c r="AR7" i="50"/>
  <c r="AQ7" i="50"/>
  <c r="AP7" i="50"/>
  <c r="AO7" i="50"/>
  <c r="AN7" i="50"/>
  <c r="AM7" i="50"/>
  <c r="AL7" i="50"/>
  <c r="AK7" i="50"/>
  <c r="AJ7" i="50"/>
  <c r="AI7" i="50"/>
  <c r="AH7" i="50"/>
  <c r="AG7" i="50"/>
  <c r="AF7" i="50"/>
  <c r="AE7" i="50"/>
  <c r="AD7" i="50"/>
  <c r="AC7" i="50"/>
  <c r="AB7" i="50"/>
  <c r="AA7" i="50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G7" i="50"/>
  <c r="F7" i="50"/>
  <c r="F6" i="51"/>
  <c r="F6" i="50"/>
  <c r="A3" i="50"/>
  <c r="A2" i="50"/>
  <c r="C16" i="49"/>
  <c r="C18" i="49"/>
  <c r="D14" i="4" s="1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C9" i="49"/>
  <c r="C22" i="49" s="1"/>
  <c r="A3" i="49"/>
  <c r="A2" i="49"/>
  <c r="C13" i="4"/>
  <c r="E43" i="34"/>
  <c r="D9" i="34"/>
  <c r="E14" i="34" s="1"/>
  <c r="E23" i="34"/>
  <c r="E25" i="34"/>
  <c r="E28" i="34"/>
  <c r="E32" i="34"/>
  <c r="E34" i="34"/>
  <c r="E35" i="34"/>
  <c r="E36" i="34"/>
  <c r="E38" i="34"/>
  <c r="E40" i="34"/>
  <c r="E12" i="34"/>
  <c r="E21" i="34"/>
  <c r="E24" i="34"/>
  <c r="E42" i="34"/>
  <c r="E44" i="34"/>
  <c r="A3" i="34"/>
  <c r="A2" i="34"/>
  <c r="A2" i="37"/>
  <c r="A3" i="37"/>
  <c r="E60" i="19"/>
  <c r="E61" i="19"/>
  <c r="E62" i="19"/>
  <c r="E63" i="19"/>
  <c r="E64" i="19"/>
  <c r="E65" i="19"/>
  <c r="E59" i="19"/>
  <c r="C9" i="34"/>
  <c r="A2" i="31"/>
  <c r="A2" i="19"/>
  <c r="A2" i="28"/>
  <c r="A2" i="4"/>
  <c r="G43" i="31"/>
  <c r="H43" i="31"/>
  <c r="I43" i="31"/>
  <c r="J43" i="31"/>
  <c r="K43" i="31"/>
  <c r="L43" i="31"/>
  <c r="M43" i="31"/>
  <c r="N43" i="31"/>
  <c r="O43" i="31"/>
  <c r="P43" i="31"/>
  <c r="Q43" i="31"/>
  <c r="R43" i="31"/>
  <c r="S43" i="31"/>
  <c r="T43" i="31"/>
  <c r="F42" i="31"/>
  <c r="F43" i="31"/>
  <c r="F41" i="31"/>
  <c r="F8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F6" i="28"/>
  <c r="D5" i="4" s="1"/>
  <c r="E5" i="4" s="1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F5" i="28"/>
  <c r="E6" i="4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AE7" i="28"/>
  <c r="AB43" i="31"/>
  <c r="AB7" i="28"/>
  <c r="U43" i="31"/>
  <c r="U7" i="28"/>
  <c r="Y43" i="31"/>
  <c r="AC43" i="31"/>
  <c r="AC7" i="28"/>
  <c r="V43" i="31"/>
  <c r="V7" i="28"/>
  <c r="Z43" i="31"/>
  <c r="Z7" i="28"/>
  <c r="AD43" i="31"/>
  <c r="AD7" i="28"/>
  <c r="W43" i="31"/>
  <c r="W7" i="28"/>
  <c r="AA43" i="31"/>
  <c r="AA7" i="28"/>
  <c r="AE43" i="31"/>
  <c r="X43" i="31"/>
  <c r="X7" i="28"/>
  <c r="AF43" i="31"/>
  <c r="AF7" i="28"/>
  <c r="Y7" i="28"/>
  <c r="AR43" i="31"/>
  <c r="AR7" i="28"/>
  <c r="AK43" i="31"/>
  <c r="AK7" i="28"/>
  <c r="AG43" i="31"/>
  <c r="AG7" i="28"/>
  <c r="AJ43" i="31"/>
  <c r="AJ7" i="28"/>
  <c r="AQ43" i="31"/>
  <c r="AQ7" i="28"/>
  <c r="AP43" i="31"/>
  <c r="AP7" i="28"/>
  <c r="AL43" i="31"/>
  <c r="AL7" i="28"/>
  <c r="AH43" i="31"/>
  <c r="AH7" i="28"/>
  <c r="AN43" i="31"/>
  <c r="AN7" i="28"/>
  <c r="AM43" i="31"/>
  <c r="AM7" i="28"/>
  <c r="AO43" i="31"/>
  <c r="AO7" i="28"/>
  <c r="AI43" i="31"/>
  <c r="AI7" i="28"/>
  <c r="AY43" i="31"/>
  <c r="AY7" i="28"/>
  <c r="AZ43" i="31"/>
  <c r="AZ7" i="28"/>
  <c r="BC43" i="31"/>
  <c r="BC7" i="28"/>
  <c r="AV43" i="31"/>
  <c r="AV7" i="28"/>
  <c r="BD43" i="31"/>
  <c r="BD7" i="28"/>
  <c r="AT43" i="31"/>
  <c r="AT7" i="28"/>
  <c r="AU43" i="31"/>
  <c r="AU7" i="28"/>
  <c r="AX43" i="31"/>
  <c r="AX7" i="28"/>
  <c r="AS43" i="31"/>
  <c r="AS7" i="28"/>
  <c r="BA43" i="31"/>
  <c r="BA7" i="28"/>
  <c r="BB43" i="31"/>
  <c r="BB7" i="28"/>
  <c r="AW43" i="31"/>
  <c r="AW7" i="28"/>
  <c r="BI43" i="31"/>
  <c r="BI7" i="28"/>
  <c r="BM43" i="31"/>
  <c r="BM7" i="28"/>
  <c r="BG43" i="31"/>
  <c r="BG7" i="28"/>
  <c r="BJ43" i="31"/>
  <c r="BJ7" i="28"/>
  <c r="BH43" i="31"/>
  <c r="BH7" i="28"/>
  <c r="BL43" i="31"/>
  <c r="BL7" i="28"/>
  <c r="BF43" i="31"/>
  <c r="BF7" i="28"/>
  <c r="BE43" i="31"/>
  <c r="BE7" i="28"/>
  <c r="BK43" i="31"/>
  <c r="BK7" i="28"/>
  <c r="A3" i="4"/>
  <c r="A3" i="19"/>
  <c r="A3" i="31"/>
  <c r="A3" i="28"/>
  <c r="E41" i="34" l="1"/>
  <c r="E30" i="34"/>
  <c r="E27" i="34"/>
  <c r="E13" i="34"/>
  <c r="E33" i="34"/>
  <c r="E19" i="34"/>
  <c r="E26" i="34"/>
  <c r="E39" i="34"/>
  <c r="E31" i="34"/>
  <c r="E20" i="34"/>
  <c r="E22" i="34"/>
  <c r="E37" i="34"/>
  <c r="E29" i="34"/>
  <c r="E18" i="34"/>
  <c r="E17" i="34"/>
  <c r="E15" i="34"/>
  <c r="F60" i="19"/>
  <c r="G60" i="19" s="1"/>
  <c r="F127" i="50"/>
  <c r="G127" i="50" s="1"/>
  <c r="H127" i="50" s="1"/>
  <c r="I127" i="50" s="1"/>
  <c r="J127" i="50" s="1"/>
  <c r="K127" i="50" s="1"/>
  <c r="L127" i="50" s="1"/>
  <c r="M127" i="50" s="1"/>
  <c r="N127" i="50" s="1"/>
  <c r="O127" i="50" s="1"/>
  <c r="P127" i="50" s="1"/>
  <c r="Q127" i="50" s="1"/>
  <c r="R127" i="50" s="1"/>
  <c r="S127" i="50" s="1"/>
  <c r="T127" i="50" s="1"/>
  <c r="U127" i="50" s="1"/>
  <c r="V127" i="50" s="1"/>
  <c r="W127" i="50" s="1"/>
  <c r="X127" i="50" s="1"/>
  <c r="Y127" i="50" s="1"/>
  <c r="Z127" i="50" s="1"/>
  <c r="AA127" i="50" s="1"/>
  <c r="AB127" i="50" s="1"/>
  <c r="AC127" i="50" s="1"/>
  <c r="AD127" i="50" s="1"/>
  <c r="AE127" i="50" s="1"/>
  <c r="AF127" i="50" s="1"/>
  <c r="AG127" i="50" s="1"/>
  <c r="AH127" i="50" s="1"/>
  <c r="AI127" i="50" s="1"/>
  <c r="AJ127" i="50" s="1"/>
  <c r="AK127" i="50" s="1"/>
  <c r="AL127" i="50" s="1"/>
  <c r="AM127" i="50" s="1"/>
  <c r="AN127" i="50" s="1"/>
  <c r="AO127" i="50" s="1"/>
  <c r="AP127" i="50" s="1"/>
  <c r="AQ127" i="50" s="1"/>
  <c r="AR127" i="50" s="1"/>
  <c r="AS127" i="50" s="1"/>
  <c r="AT127" i="50" s="1"/>
  <c r="AU127" i="50" s="1"/>
  <c r="AV127" i="50" s="1"/>
  <c r="AW127" i="50" s="1"/>
  <c r="AX127" i="50" s="1"/>
  <c r="AY127" i="50" s="1"/>
  <c r="AZ127" i="50" s="1"/>
  <c r="BA127" i="50" s="1"/>
  <c r="BB127" i="50" s="1"/>
  <c r="BC127" i="50" s="1"/>
  <c r="BD127" i="50" s="1"/>
  <c r="BE127" i="50" s="1"/>
  <c r="BF127" i="50" s="1"/>
  <c r="BG127" i="50" s="1"/>
  <c r="BH127" i="50" s="1"/>
  <c r="BI127" i="50" s="1"/>
  <c r="BJ127" i="50" s="1"/>
  <c r="BK127" i="50" s="1"/>
  <c r="BL127" i="50" s="1"/>
  <c r="BM127" i="50" s="1"/>
  <c r="BN127" i="50" s="1"/>
  <c r="BO127" i="50" s="1"/>
  <c r="BP127" i="50" s="1"/>
  <c r="BQ127" i="50" s="1"/>
  <c r="BR127" i="50" s="1"/>
  <c r="BS127" i="50" s="1"/>
  <c r="BT127" i="50" s="1"/>
  <c r="BU127" i="50" s="1"/>
  <c r="BV127" i="50" s="1"/>
  <c r="BW127" i="50" s="1"/>
  <c r="BX127" i="50" s="1"/>
  <c r="BY127" i="50" s="1"/>
  <c r="BZ127" i="50" s="1"/>
  <c r="CA127" i="50" s="1"/>
  <c r="CB127" i="50" s="1"/>
  <c r="CC127" i="50" s="1"/>
  <c r="CD127" i="50" s="1"/>
  <c r="CE127" i="50" s="1"/>
  <c r="CF127" i="50" s="1"/>
  <c r="CG127" i="50" s="1"/>
  <c r="CH127" i="50" s="1"/>
  <c r="CI127" i="50" s="1"/>
  <c r="CJ127" i="50" s="1"/>
  <c r="CK127" i="50" s="1"/>
  <c r="CL127" i="50" s="1"/>
  <c r="CM127" i="50" s="1"/>
  <c r="CN127" i="50" s="1"/>
  <c r="CO127" i="50" s="1"/>
  <c r="CP127" i="50" s="1"/>
  <c r="CQ127" i="50" s="1"/>
  <c r="CR127" i="50" s="1"/>
  <c r="CS127" i="50" s="1"/>
  <c r="CT127" i="50" s="1"/>
  <c r="CU127" i="50" s="1"/>
  <c r="CV127" i="50" s="1"/>
  <c r="CW127" i="50" s="1"/>
  <c r="CX127" i="50" s="1"/>
  <c r="CY127" i="50" s="1"/>
  <c r="CZ127" i="50" s="1"/>
  <c r="DA127" i="50" s="1"/>
  <c r="DB127" i="50" s="1"/>
  <c r="DC127" i="50" s="1"/>
  <c r="DD127" i="50" s="1"/>
  <c r="DE127" i="50" s="1"/>
  <c r="DF127" i="50" s="1"/>
  <c r="DG127" i="50" s="1"/>
  <c r="DH127" i="50" s="1"/>
  <c r="DI127" i="50" s="1"/>
  <c r="DJ127" i="50" s="1"/>
  <c r="DK127" i="50" s="1"/>
  <c r="DL127" i="50" s="1"/>
  <c r="DM127" i="50" s="1"/>
  <c r="DN127" i="50" s="1"/>
  <c r="DO127" i="50" s="1"/>
  <c r="DP127" i="50" s="1"/>
  <c r="DQ127" i="50" s="1"/>
  <c r="DR127" i="50" s="1"/>
  <c r="DS127" i="50" s="1"/>
  <c r="DT127" i="50" s="1"/>
  <c r="DU127" i="50" s="1"/>
  <c r="DV127" i="50" s="1"/>
  <c r="DW127" i="50" s="1"/>
  <c r="DX127" i="50" s="1"/>
  <c r="DY127" i="50" s="1"/>
  <c r="DZ127" i="50" s="1"/>
  <c r="EA127" i="50" s="1"/>
  <c r="EB127" i="50" s="1"/>
  <c r="EC127" i="50" s="1"/>
  <c r="ED127" i="50" s="1"/>
  <c r="EE127" i="50" s="1"/>
  <c r="EF127" i="50" s="1"/>
  <c r="EG127" i="50" s="1"/>
  <c r="EH127" i="50" s="1"/>
  <c r="EI127" i="50" s="1"/>
  <c r="EJ127" i="50" s="1"/>
  <c r="EK127" i="50" s="1"/>
  <c r="EL127" i="50" s="1"/>
  <c r="EM127" i="50" s="1"/>
  <c r="EN127" i="50" s="1"/>
  <c r="EO127" i="50" s="1"/>
  <c r="EP127" i="50" s="1"/>
  <c r="EQ127" i="50" s="1"/>
  <c r="ER127" i="50" s="1"/>
  <c r="ES127" i="50" s="1"/>
  <c r="ET127" i="50" s="1"/>
  <c r="EU127" i="50" s="1"/>
  <c r="EV127" i="50" s="1"/>
  <c r="EW127" i="50" s="1"/>
  <c r="EX127" i="50" s="1"/>
  <c r="EY127" i="50" s="1"/>
  <c r="EZ127" i="50" s="1"/>
  <c r="FA127" i="50" s="1"/>
  <c r="FB127" i="50" s="1"/>
  <c r="FC127" i="50" s="1"/>
  <c r="FD127" i="50" s="1"/>
  <c r="FE127" i="50" s="1"/>
  <c r="FF127" i="50" s="1"/>
  <c r="FG127" i="50" s="1"/>
  <c r="FH127" i="50" s="1"/>
  <c r="FI127" i="50" s="1"/>
  <c r="FJ127" i="50" s="1"/>
  <c r="FK127" i="50" s="1"/>
  <c r="FL127" i="50" s="1"/>
  <c r="FM127" i="50" s="1"/>
  <c r="FN127" i="50" s="1"/>
  <c r="FO127" i="50" s="1"/>
  <c r="FP127" i="50" s="1"/>
  <c r="FQ127" i="50" s="1"/>
  <c r="FR127" i="50" s="1"/>
  <c r="FS127" i="50" s="1"/>
  <c r="FT127" i="50" s="1"/>
  <c r="FU127" i="50" s="1"/>
  <c r="FV127" i="50" s="1"/>
  <c r="FW127" i="50" s="1"/>
  <c r="FX127" i="50" s="1"/>
  <c r="FY127" i="50" s="1"/>
  <c r="FZ127" i="50" s="1"/>
  <c r="GA127" i="50" s="1"/>
  <c r="GB127" i="50" s="1"/>
  <c r="GC127" i="50" s="1"/>
  <c r="F65" i="19"/>
  <c r="G65" i="19" s="1"/>
  <c r="F64" i="19"/>
  <c r="G64" i="19" s="1"/>
  <c r="F63" i="19"/>
  <c r="G63" i="19" s="1"/>
  <c r="F62" i="19"/>
  <c r="G62" i="19" s="1"/>
  <c r="F59" i="19"/>
  <c r="G59" i="19" s="1"/>
  <c r="F61" i="19"/>
  <c r="G61" i="19" s="1"/>
  <c r="E80" i="50"/>
  <c r="D87" i="19"/>
  <c r="F149" i="50"/>
  <c r="F161" i="50"/>
  <c r="D82" i="19"/>
  <c r="D88" i="19"/>
  <c r="D86" i="19"/>
  <c r="D85" i="19"/>
  <c r="D84" i="19"/>
  <c r="F21" i="50"/>
  <c r="F26" i="50" s="1"/>
  <c r="D83" i="19"/>
  <c r="G5" i="28"/>
  <c r="G41" i="31"/>
  <c r="D46" i="19"/>
  <c r="C21" i="49"/>
  <c r="C23" i="49" s="1"/>
  <c r="D7" i="19"/>
  <c r="D66" i="31"/>
  <c r="C16" i="28"/>
  <c r="G6" i="28"/>
  <c r="G42" i="31"/>
  <c r="G6" i="50"/>
  <c r="G93" i="51"/>
  <c r="M110" i="51"/>
  <c r="O110" i="51"/>
  <c r="G110" i="51"/>
  <c r="Q15" i="51"/>
  <c r="O15" i="51"/>
  <c r="L110" i="51"/>
  <c r="N110" i="51"/>
  <c r="Q143" i="51"/>
  <c r="O93" i="51"/>
  <c r="P15" i="51"/>
  <c r="N93" i="51"/>
  <c r="I58" i="51"/>
  <c r="I12" i="51" s="1"/>
  <c r="Q58" i="51"/>
  <c r="Q12" i="51" s="1"/>
  <c r="P145" i="51"/>
  <c r="O143" i="51"/>
  <c r="Q147" i="51"/>
  <c r="P140" i="51"/>
  <c r="P110" i="51"/>
  <c r="H110" i="51"/>
  <c r="Q138" i="51"/>
  <c r="F110" i="51"/>
  <c r="J110" i="51"/>
  <c r="F103" i="51"/>
  <c r="K103" i="51"/>
  <c r="Q103" i="51"/>
  <c r="I103" i="51"/>
  <c r="L103" i="51"/>
  <c r="O103" i="51"/>
  <c r="G103" i="51"/>
  <c r="G112" i="51" s="1"/>
  <c r="G14" i="51" s="1"/>
  <c r="J103" i="51"/>
  <c r="Q135" i="51"/>
  <c r="L58" i="51"/>
  <c r="L12" i="51" s="1"/>
  <c r="O79" i="51"/>
  <c r="O81" i="51" s="1"/>
  <c r="O13" i="51" s="1"/>
  <c r="G79" i="51"/>
  <c r="G81" i="51" s="1"/>
  <c r="G13" i="51" s="1"/>
  <c r="Q133" i="51"/>
  <c r="O58" i="51"/>
  <c r="O12" i="51" s="1"/>
  <c r="N79" i="51"/>
  <c r="N81" i="51" s="1"/>
  <c r="N13" i="51" s="1"/>
  <c r="Q79" i="51"/>
  <c r="Q81" i="51" s="1"/>
  <c r="Q13" i="51" s="1"/>
  <c r="I79" i="51"/>
  <c r="I81" i="51" s="1"/>
  <c r="I13" i="51" s="1"/>
  <c r="L79" i="51"/>
  <c r="L81" i="51" s="1"/>
  <c r="L13" i="51" s="1"/>
  <c r="K110" i="51"/>
  <c r="F93" i="51"/>
  <c r="J93" i="51"/>
  <c r="M103" i="51"/>
  <c r="P103" i="51"/>
  <c r="H103" i="51"/>
  <c r="P146" i="51"/>
  <c r="Q140" i="51"/>
  <c r="N137" i="51"/>
  <c r="N132" i="51"/>
  <c r="H79" i="51"/>
  <c r="H81" i="51" s="1"/>
  <c r="H13" i="51" s="1"/>
  <c r="Q93" i="51"/>
  <c r="F58" i="51"/>
  <c r="F12" i="51" s="1"/>
  <c r="P58" i="51"/>
  <c r="P12" i="51" s="1"/>
  <c r="H58" i="51"/>
  <c r="H12" i="51" s="1"/>
  <c r="K58" i="51"/>
  <c r="K12" i="51" s="1"/>
  <c r="N58" i="51"/>
  <c r="N12" i="51" s="1"/>
  <c r="G58" i="51"/>
  <c r="G12" i="51" s="1"/>
  <c r="J58" i="51"/>
  <c r="J12" i="51" s="1"/>
  <c r="J79" i="51"/>
  <c r="J81" i="51" s="1"/>
  <c r="J13" i="51" s="1"/>
  <c r="Q110" i="51"/>
  <c r="I110" i="51"/>
  <c r="P93" i="51"/>
  <c r="H93" i="51"/>
  <c r="N103" i="51"/>
  <c r="P147" i="51"/>
  <c r="O145" i="51"/>
  <c r="O140" i="51"/>
  <c r="P135" i="51"/>
  <c r="P79" i="51"/>
  <c r="P81" i="51" s="1"/>
  <c r="P13" i="51" s="1"/>
  <c r="K79" i="51"/>
  <c r="K81" i="51" s="1"/>
  <c r="K13" i="51" s="1"/>
  <c r="M93" i="51"/>
  <c r="I93" i="51"/>
  <c r="M58" i="51"/>
  <c r="M12" i="51" s="1"/>
  <c r="N145" i="51"/>
  <c r="N140" i="51"/>
  <c r="O135" i="51"/>
  <c r="P143" i="51"/>
  <c r="P138" i="51"/>
  <c r="Q132" i="51"/>
  <c r="F79" i="51"/>
  <c r="F81" i="51" s="1"/>
  <c r="F13" i="51" s="1"/>
  <c r="L93" i="51"/>
  <c r="P137" i="51"/>
  <c r="P132" i="51"/>
  <c r="M79" i="51"/>
  <c r="M81" i="51" s="1"/>
  <c r="M13" i="51" s="1"/>
  <c r="K93" i="51"/>
  <c r="F126" i="51"/>
  <c r="F144" i="51" s="1"/>
  <c r="Q146" i="51"/>
  <c r="Q141" i="51"/>
  <c r="O137" i="51"/>
  <c r="O132" i="51"/>
  <c r="O147" i="51"/>
  <c r="O146" i="51"/>
  <c r="Q144" i="51"/>
  <c r="N143" i="51"/>
  <c r="P141" i="51"/>
  <c r="O138" i="51"/>
  <c r="Q136" i="51"/>
  <c r="N135" i="51"/>
  <c r="P133" i="51"/>
  <c r="C112" i="51"/>
  <c r="C14" i="51" s="1"/>
  <c r="N147" i="51"/>
  <c r="N146" i="51"/>
  <c r="P144" i="51"/>
  <c r="O141" i="51"/>
  <c r="Q139" i="51"/>
  <c r="N138" i="51"/>
  <c r="P136" i="51"/>
  <c r="O133" i="51"/>
  <c r="N15" i="51"/>
  <c r="Q131" i="51"/>
  <c r="O144" i="51"/>
  <c r="Q142" i="51"/>
  <c r="N141" i="51"/>
  <c r="P139" i="51"/>
  <c r="O136" i="51"/>
  <c r="Q134" i="51"/>
  <c r="N133" i="51"/>
  <c r="P131" i="51"/>
  <c r="Q145" i="51"/>
  <c r="N144" i="51"/>
  <c r="P142" i="51"/>
  <c r="O139" i="51"/>
  <c r="N136" i="51"/>
  <c r="O131" i="51"/>
  <c r="O142" i="51"/>
  <c r="N139" i="51"/>
  <c r="N131" i="51"/>
  <c r="N142" i="51"/>
  <c r="C36" i="37"/>
  <c r="C40" i="37" s="1"/>
  <c r="C41" i="37" s="1"/>
  <c r="C42" i="37" s="1"/>
  <c r="G5" i="50"/>
  <c r="H5" i="51"/>
  <c r="G132" i="51"/>
  <c r="G134" i="51"/>
  <c r="G136" i="51"/>
  <c r="G138" i="51"/>
  <c r="G140" i="51"/>
  <c r="G142" i="51"/>
  <c r="G144" i="51"/>
  <c r="G146" i="51"/>
  <c r="G133" i="51"/>
  <c r="G135" i="51"/>
  <c r="G137" i="51"/>
  <c r="G139" i="51"/>
  <c r="G141" i="51"/>
  <c r="G143" i="51"/>
  <c r="G145" i="51"/>
  <c r="G131" i="51"/>
  <c r="F142" i="50"/>
  <c r="BF73" i="50"/>
  <c r="M73" i="50"/>
  <c r="AH73" i="50"/>
  <c r="AI73" i="50"/>
  <c r="AT73" i="50"/>
  <c r="N73" i="50"/>
  <c r="J139" i="50"/>
  <c r="I142" i="50"/>
  <c r="G142" i="50"/>
  <c r="H142" i="50"/>
  <c r="E87" i="19" l="1"/>
  <c r="G161" i="50"/>
  <c r="E83" i="19"/>
  <c r="E84" i="19"/>
  <c r="E85" i="19"/>
  <c r="E86" i="19"/>
  <c r="E88" i="19"/>
  <c r="G21" i="50"/>
  <c r="G26" i="50" s="1"/>
  <c r="E82" i="19"/>
  <c r="H137" i="51"/>
  <c r="D81" i="19"/>
  <c r="E81" i="19" s="1"/>
  <c r="H141" i="51"/>
  <c r="G149" i="50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D8" i="19"/>
  <c r="O112" i="51"/>
  <c r="O14" i="51" s="1"/>
  <c r="F134" i="51"/>
  <c r="H133" i="51"/>
  <c r="H144" i="51"/>
  <c r="H146" i="51"/>
  <c r="H140" i="51"/>
  <c r="H134" i="51"/>
  <c r="H138" i="51"/>
  <c r="H143" i="51"/>
  <c r="H131" i="51"/>
  <c r="H145" i="51"/>
  <c r="H142" i="51"/>
  <c r="H139" i="51"/>
  <c r="H136" i="51"/>
  <c r="H135" i="51"/>
  <c r="H132" i="51"/>
  <c r="G6" i="51"/>
  <c r="H42" i="31"/>
  <c r="H6" i="28"/>
  <c r="H6" i="50"/>
  <c r="I112" i="51"/>
  <c r="I14" i="51" s="1"/>
  <c r="N112" i="51"/>
  <c r="N14" i="51" s="1"/>
  <c r="M112" i="51"/>
  <c r="M14" i="51" s="1"/>
  <c r="F132" i="51"/>
  <c r="F146" i="51"/>
  <c r="F138" i="51"/>
  <c r="F133" i="51"/>
  <c r="J112" i="51"/>
  <c r="J14" i="51" s="1"/>
  <c r="L112" i="51"/>
  <c r="L14" i="51" s="1"/>
  <c r="F112" i="51"/>
  <c r="F14" i="51" s="1"/>
  <c r="H112" i="51"/>
  <c r="H14" i="51" s="1"/>
  <c r="F136" i="51"/>
  <c r="F139" i="51"/>
  <c r="P149" i="51"/>
  <c r="P154" i="51" s="1"/>
  <c r="F140" i="51"/>
  <c r="F145" i="51"/>
  <c r="P112" i="51"/>
  <c r="P14" i="51" s="1"/>
  <c r="F137" i="51"/>
  <c r="F135" i="51"/>
  <c r="BJ73" i="50"/>
  <c r="BI73" i="50"/>
  <c r="BH73" i="50"/>
  <c r="X73" i="50"/>
  <c r="F142" i="51"/>
  <c r="F141" i="51"/>
  <c r="K112" i="51"/>
  <c r="K14" i="51" s="1"/>
  <c r="F131" i="51"/>
  <c r="F15" i="51"/>
  <c r="F143" i="51"/>
  <c r="Q149" i="51"/>
  <c r="Q152" i="51" s="1"/>
  <c r="C81" i="51"/>
  <c r="C13" i="51" s="1"/>
  <c r="O149" i="51"/>
  <c r="O153" i="51" s="1"/>
  <c r="C58" i="51"/>
  <c r="C12" i="51" s="1"/>
  <c r="Q112" i="51"/>
  <c r="Q14" i="51" s="1"/>
  <c r="N149" i="51"/>
  <c r="C43" i="37"/>
  <c r="I5" i="51"/>
  <c r="H5" i="50"/>
  <c r="H161" i="50" s="1"/>
  <c r="H41" i="31"/>
  <c r="H5" i="28"/>
  <c r="G149" i="51"/>
  <c r="AJ73" i="50"/>
  <c r="BK73" i="50"/>
  <c r="O73" i="50"/>
  <c r="AU73" i="50"/>
  <c r="J142" i="50"/>
  <c r="K139" i="50"/>
  <c r="H21" i="50" l="1"/>
  <c r="H26" i="50" s="1"/>
  <c r="F88" i="19"/>
  <c r="F83" i="19"/>
  <c r="F86" i="19"/>
  <c r="F85" i="19"/>
  <c r="F84" i="19"/>
  <c r="F82" i="19"/>
  <c r="F87" i="19"/>
  <c r="F81" i="19"/>
  <c r="F22" i="50"/>
  <c r="F23" i="50"/>
  <c r="F98" i="50" s="1"/>
  <c r="G22" i="50"/>
  <c r="H149" i="50"/>
  <c r="P153" i="51"/>
  <c r="H149" i="51"/>
  <c r="H152" i="51" s="1"/>
  <c r="P152" i="51"/>
  <c r="I145" i="51"/>
  <c r="I141" i="51"/>
  <c r="I133" i="51"/>
  <c r="I137" i="51"/>
  <c r="H6" i="51"/>
  <c r="I42" i="31"/>
  <c r="I6" i="50"/>
  <c r="I6" i="28"/>
  <c r="O154" i="51"/>
  <c r="O152" i="51"/>
  <c r="F149" i="51"/>
  <c r="F153" i="51" s="1"/>
  <c r="Y73" i="50"/>
  <c r="Q154" i="51"/>
  <c r="Q153" i="51"/>
  <c r="N154" i="51"/>
  <c r="N152" i="51"/>
  <c r="N153" i="51"/>
  <c r="J5" i="51"/>
  <c r="I5" i="50"/>
  <c r="I41" i="31"/>
  <c r="I5" i="28"/>
  <c r="I134" i="51"/>
  <c r="I142" i="51"/>
  <c r="I131" i="51"/>
  <c r="I143" i="51"/>
  <c r="I136" i="51"/>
  <c r="I144" i="51"/>
  <c r="I135" i="51"/>
  <c r="I139" i="51"/>
  <c r="I138" i="51"/>
  <c r="I146" i="51"/>
  <c r="I132" i="51"/>
  <c r="I140" i="51"/>
  <c r="G154" i="51"/>
  <c r="G152" i="51"/>
  <c r="G153" i="51"/>
  <c r="BL73" i="50"/>
  <c r="AV73" i="50"/>
  <c r="P73" i="50"/>
  <c r="AK73" i="50"/>
  <c r="L139" i="50"/>
  <c r="K142" i="50"/>
  <c r="F30" i="50"/>
  <c r="F32" i="50"/>
  <c r="F33" i="50"/>
  <c r="I21" i="50" l="1"/>
  <c r="I26" i="50" s="1"/>
  <c r="I161" i="50"/>
  <c r="G82" i="19"/>
  <c r="G84" i="19"/>
  <c r="G85" i="19"/>
  <c r="G86" i="19"/>
  <c r="F45" i="50"/>
  <c r="F46" i="50"/>
  <c r="F47" i="50"/>
  <c r="F48" i="50"/>
  <c r="F49" i="50"/>
  <c r="F44" i="50"/>
  <c r="F56" i="50"/>
  <c r="F55" i="50"/>
  <c r="F50" i="50"/>
  <c r="G83" i="19"/>
  <c r="G88" i="19"/>
  <c r="G87" i="19"/>
  <c r="G23" i="50"/>
  <c r="G98" i="50" s="1"/>
  <c r="G81" i="19"/>
  <c r="J140" i="51"/>
  <c r="J136" i="51"/>
  <c r="H22" i="50"/>
  <c r="J141" i="51"/>
  <c r="J144" i="51"/>
  <c r="J147" i="51"/>
  <c r="J139" i="51"/>
  <c r="J131" i="51"/>
  <c r="I149" i="50"/>
  <c r="Q156" i="51"/>
  <c r="Q158" i="51" s="1"/>
  <c r="Q16" i="51" s="1"/>
  <c r="Q18" i="51" s="1"/>
  <c r="P156" i="51"/>
  <c r="P158" i="51" s="1"/>
  <c r="P16" i="51" s="1"/>
  <c r="P18" i="51" s="1"/>
  <c r="O156" i="51"/>
  <c r="O158" i="51" s="1"/>
  <c r="O16" i="51" s="1"/>
  <c r="O18" i="51" s="1"/>
  <c r="H154" i="51"/>
  <c r="H153" i="51"/>
  <c r="J143" i="51"/>
  <c r="J135" i="51"/>
  <c r="J133" i="51"/>
  <c r="J145" i="51"/>
  <c r="J138" i="51"/>
  <c r="J134" i="51"/>
  <c r="J132" i="51"/>
  <c r="J142" i="51"/>
  <c r="J137" i="51"/>
  <c r="J146" i="51"/>
  <c r="I6" i="51"/>
  <c r="J6" i="28"/>
  <c r="J42" i="31"/>
  <c r="J6" i="50"/>
  <c r="F154" i="51"/>
  <c r="F152" i="51"/>
  <c r="N156" i="51"/>
  <c r="N158" i="51" s="1"/>
  <c r="N16" i="51" s="1"/>
  <c r="N18" i="51" s="1"/>
  <c r="I149" i="51"/>
  <c r="G156" i="51"/>
  <c r="G158" i="51" s="1"/>
  <c r="G16" i="51" s="1"/>
  <c r="G18" i="51" s="1"/>
  <c r="K5" i="51"/>
  <c r="J41" i="31"/>
  <c r="J5" i="50"/>
  <c r="J5" i="28"/>
  <c r="AL73" i="50"/>
  <c r="BM73" i="50"/>
  <c r="Q73" i="50"/>
  <c r="AW73" i="50"/>
  <c r="M139" i="50"/>
  <c r="L142" i="50"/>
  <c r="G32" i="50"/>
  <c r="G33" i="50"/>
  <c r="G30" i="50"/>
  <c r="F65" i="50"/>
  <c r="F74" i="50" s="1"/>
  <c r="F63" i="50"/>
  <c r="F72" i="50" s="1"/>
  <c r="F61" i="50"/>
  <c r="F70" i="50" s="1"/>
  <c r="F128" i="50"/>
  <c r="F130" i="50" s="1"/>
  <c r="F59" i="50"/>
  <c r="F166" i="50" l="1"/>
  <c r="F93" i="50"/>
  <c r="F122" i="50"/>
  <c r="F114" i="50"/>
  <c r="F106" i="50"/>
  <c r="F103" i="50"/>
  <c r="F92" i="50"/>
  <c r="F121" i="50"/>
  <c r="F113" i="50"/>
  <c r="F105" i="50"/>
  <c r="F90" i="50"/>
  <c r="F91" i="50"/>
  <c r="F120" i="50"/>
  <c r="F112" i="50"/>
  <c r="F104" i="50"/>
  <c r="F111" i="50"/>
  <c r="F97" i="50"/>
  <c r="F89" i="50"/>
  <c r="F118" i="50"/>
  <c r="F110" i="50"/>
  <c r="F96" i="50"/>
  <c r="F88" i="50"/>
  <c r="F117" i="50"/>
  <c r="F109" i="50"/>
  <c r="F94" i="50"/>
  <c r="F86" i="50"/>
  <c r="F115" i="50"/>
  <c r="F107" i="50"/>
  <c r="F119" i="50"/>
  <c r="F108" i="50"/>
  <c r="F116" i="50"/>
  <c r="F95" i="50"/>
  <c r="F87" i="50"/>
  <c r="G59" i="50"/>
  <c r="G68" i="50" s="1"/>
  <c r="G63" i="50"/>
  <c r="G72" i="50" s="1"/>
  <c r="G61" i="50"/>
  <c r="G70" i="50" s="1"/>
  <c r="G65" i="50"/>
  <c r="G74" i="50" s="1"/>
  <c r="J21" i="50"/>
  <c r="J26" i="50" s="1"/>
  <c r="J161" i="50"/>
  <c r="H87" i="19"/>
  <c r="H88" i="19"/>
  <c r="H83" i="19"/>
  <c r="H86" i="19"/>
  <c r="H85" i="19"/>
  <c r="F51" i="50"/>
  <c r="H84" i="19"/>
  <c r="H23" i="50"/>
  <c r="H98" i="50" s="1"/>
  <c r="G46" i="50"/>
  <c r="G44" i="50"/>
  <c r="G47" i="50"/>
  <c r="G50" i="50"/>
  <c r="G48" i="50"/>
  <c r="G45" i="50"/>
  <c r="G55" i="50"/>
  <c r="G49" i="50"/>
  <c r="G56" i="50"/>
  <c r="H82" i="19"/>
  <c r="H81" i="19"/>
  <c r="Z73" i="50"/>
  <c r="I22" i="50"/>
  <c r="J149" i="50"/>
  <c r="F156" i="51"/>
  <c r="F158" i="51" s="1"/>
  <c r="F16" i="51" s="1"/>
  <c r="F34" i="50" s="1"/>
  <c r="H156" i="51"/>
  <c r="H158" i="51" s="1"/>
  <c r="H16" i="51" s="1"/>
  <c r="H18" i="51" s="1"/>
  <c r="J149" i="51"/>
  <c r="J152" i="51" s="1"/>
  <c r="J6" i="51"/>
  <c r="K6" i="28"/>
  <c r="K42" i="31"/>
  <c r="K6" i="50"/>
  <c r="G34" i="50"/>
  <c r="I153" i="51"/>
  <c r="I152" i="51"/>
  <c r="I154" i="51"/>
  <c r="K5" i="50"/>
  <c r="K161" i="50" s="1"/>
  <c r="K5" i="28"/>
  <c r="K41" i="31"/>
  <c r="K145" i="51"/>
  <c r="K147" i="51"/>
  <c r="K137" i="51"/>
  <c r="K146" i="51"/>
  <c r="K131" i="51"/>
  <c r="K132" i="51"/>
  <c r="K135" i="51"/>
  <c r="K140" i="51"/>
  <c r="K133" i="51"/>
  <c r="K139" i="51"/>
  <c r="K136" i="51"/>
  <c r="K141" i="51"/>
  <c r="K134" i="51"/>
  <c r="K144" i="51"/>
  <c r="K143" i="51"/>
  <c r="K142" i="51"/>
  <c r="K138" i="51"/>
  <c r="AX73" i="50"/>
  <c r="R73" i="50"/>
  <c r="BN73" i="50"/>
  <c r="AA73" i="50"/>
  <c r="AM73" i="50"/>
  <c r="N139" i="50"/>
  <c r="M142" i="50"/>
  <c r="H30" i="50"/>
  <c r="H32" i="50"/>
  <c r="H33" i="50"/>
  <c r="G128" i="50"/>
  <c r="G130" i="50" s="1"/>
  <c r="F68" i="50"/>
  <c r="F76" i="50" s="1"/>
  <c r="F145" i="50"/>
  <c r="F162" i="50"/>
  <c r="F132" i="50"/>
  <c r="F133" i="50" s="1"/>
  <c r="F144" i="50"/>
  <c r="G105" i="50" l="1"/>
  <c r="G166" i="50"/>
  <c r="G103" i="50"/>
  <c r="G106" i="50"/>
  <c r="G104" i="50"/>
  <c r="G107" i="50"/>
  <c r="G110" i="50"/>
  <c r="G109" i="50"/>
  <c r="G108" i="50"/>
  <c r="G117" i="50"/>
  <c r="G112" i="50"/>
  <c r="G115" i="50"/>
  <c r="G116" i="50"/>
  <c r="G118" i="50"/>
  <c r="G119" i="50"/>
  <c r="G114" i="50"/>
  <c r="G87" i="50"/>
  <c r="G113" i="50"/>
  <c r="G90" i="50"/>
  <c r="G120" i="50"/>
  <c r="G91" i="50"/>
  <c r="G121" i="50"/>
  <c r="G88" i="50"/>
  <c r="G89" i="50"/>
  <c r="G92" i="50"/>
  <c r="G95" i="50"/>
  <c r="G122" i="50"/>
  <c r="G86" i="50"/>
  <c r="G111" i="50"/>
  <c r="G96" i="50"/>
  <c r="G93" i="50"/>
  <c r="G94" i="50"/>
  <c r="G97" i="50"/>
  <c r="H59" i="50"/>
  <c r="H68" i="50" s="1"/>
  <c r="H61" i="50"/>
  <c r="H70" i="50" s="1"/>
  <c r="H63" i="50"/>
  <c r="H72" i="50" s="1"/>
  <c r="H65" i="50"/>
  <c r="H74" i="50" s="1"/>
  <c r="I82" i="19"/>
  <c r="I23" i="50"/>
  <c r="I98" i="50" s="1"/>
  <c r="G51" i="50"/>
  <c r="K21" i="50"/>
  <c r="K26" i="50" s="1"/>
  <c r="H46" i="50"/>
  <c r="H44" i="50"/>
  <c r="H45" i="50"/>
  <c r="H47" i="50"/>
  <c r="H48" i="50"/>
  <c r="H49" i="50"/>
  <c r="H55" i="50"/>
  <c r="H50" i="50"/>
  <c r="H56" i="50"/>
  <c r="I83" i="19"/>
  <c r="I84" i="19"/>
  <c r="I88" i="19"/>
  <c r="I85" i="19"/>
  <c r="I86" i="19"/>
  <c r="I87" i="19"/>
  <c r="I81" i="19"/>
  <c r="F18" i="51"/>
  <c r="L138" i="51"/>
  <c r="J22" i="50"/>
  <c r="H34" i="50"/>
  <c r="K149" i="50"/>
  <c r="J154" i="51"/>
  <c r="J153" i="51"/>
  <c r="L141" i="51"/>
  <c r="L132" i="51"/>
  <c r="L136" i="51"/>
  <c r="L146" i="51"/>
  <c r="L5" i="51"/>
  <c r="K6" i="51"/>
  <c r="L6" i="50"/>
  <c r="L42" i="31"/>
  <c r="L6" i="28"/>
  <c r="I156" i="51"/>
  <c r="I158" i="51" s="1"/>
  <c r="I16" i="51" s="1"/>
  <c r="I18" i="51" s="1"/>
  <c r="L131" i="51"/>
  <c r="K149" i="51"/>
  <c r="L5" i="50"/>
  <c r="L41" i="31"/>
  <c r="L5" i="28"/>
  <c r="L140" i="51"/>
  <c r="L133" i="51"/>
  <c r="L143" i="51"/>
  <c r="L135" i="51"/>
  <c r="L145" i="51"/>
  <c r="L147" i="51"/>
  <c r="L144" i="51"/>
  <c r="L139" i="51"/>
  <c r="L142" i="51"/>
  <c r="L134" i="51"/>
  <c r="L137" i="51"/>
  <c r="S73" i="50"/>
  <c r="AB73" i="50"/>
  <c r="AY73" i="50"/>
  <c r="AN73" i="50"/>
  <c r="BO73" i="50"/>
  <c r="O139" i="50"/>
  <c r="N142" i="50"/>
  <c r="I33" i="50"/>
  <c r="I30" i="50"/>
  <c r="I32" i="50"/>
  <c r="F156" i="50"/>
  <c r="F165" i="50"/>
  <c r="F136" i="50"/>
  <c r="F155" i="50"/>
  <c r="F134" i="50"/>
  <c r="F52" i="31"/>
  <c r="F99" i="50"/>
  <c r="F123" i="50"/>
  <c r="F157" i="50"/>
  <c r="F77" i="50"/>
  <c r="F78" i="50" s="1"/>
  <c r="F81" i="50" s="1"/>
  <c r="H128" i="50"/>
  <c r="H130" i="50" s="1"/>
  <c r="G76" i="50"/>
  <c r="G162" i="50"/>
  <c r="G145" i="50"/>
  <c r="G132" i="50"/>
  <c r="G133" i="50" s="1"/>
  <c r="G144" i="50"/>
  <c r="H105" i="50" l="1"/>
  <c r="H166" i="50"/>
  <c r="H103" i="50"/>
  <c r="H106" i="50"/>
  <c r="H104" i="50"/>
  <c r="H110" i="50"/>
  <c r="H107" i="50"/>
  <c r="H108" i="50"/>
  <c r="H111" i="50"/>
  <c r="H112" i="50"/>
  <c r="H113" i="50"/>
  <c r="H109" i="50"/>
  <c r="H117" i="50"/>
  <c r="H120" i="50"/>
  <c r="H118" i="50"/>
  <c r="H115" i="50"/>
  <c r="H116" i="50"/>
  <c r="H119" i="50"/>
  <c r="H86" i="50"/>
  <c r="H121" i="50"/>
  <c r="H122" i="50"/>
  <c r="H92" i="50"/>
  <c r="H87" i="50"/>
  <c r="H114" i="50"/>
  <c r="H88" i="50"/>
  <c r="H93" i="50"/>
  <c r="H97" i="50"/>
  <c r="H90" i="50"/>
  <c r="H91" i="50"/>
  <c r="H89" i="50"/>
  <c r="H94" i="50"/>
  <c r="H95" i="50"/>
  <c r="H96" i="50"/>
  <c r="F47" i="31"/>
  <c r="G99" i="50"/>
  <c r="J83" i="19"/>
  <c r="I55" i="50"/>
  <c r="I61" i="50"/>
  <c r="I70" i="50" s="1"/>
  <c r="I59" i="50"/>
  <c r="I68" i="50" s="1"/>
  <c r="I65" i="50"/>
  <c r="I74" i="50" s="1"/>
  <c r="I63" i="50"/>
  <c r="I72" i="50" s="1"/>
  <c r="L21" i="50"/>
  <c r="L26" i="50" s="1"/>
  <c r="L161" i="50"/>
  <c r="I56" i="50"/>
  <c r="I48" i="50"/>
  <c r="J84" i="19"/>
  <c r="I50" i="50"/>
  <c r="I46" i="50"/>
  <c r="I45" i="50"/>
  <c r="J23" i="50"/>
  <c r="J98" i="50" s="1"/>
  <c r="I47" i="50"/>
  <c r="I44" i="50"/>
  <c r="I49" i="50"/>
  <c r="J87" i="19"/>
  <c r="J86" i="19"/>
  <c r="J85" i="19"/>
  <c r="J88" i="19"/>
  <c r="J82" i="19"/>
  <c r="H51" i="50"/>
  <c r="J81" i="19"/>
  <c r="M138" i="51"/>
  <c r="J156" i="51"/>
  <c r="J158" i="51" s="1"/>
  <c r="J16" i="51" s="1"/>
  <c r="J18" i="51" s="1"/>
  <c r="K22" i="50"/>
  <c r="L149" i="50"/>
  <c r="M136" i="51"/>
  <c r="L6" i="51"/>
  <c r="M42" i="31"/>
  <c r="M6" i="50"/>
  <c r="M6" i="28"/>
  <c r="M141" i="51"/>
  <c r="M5" i="51"/>
  <c r="M132" i="51"/>
  <c r="M143" i="51"/>
  <c r="M134" i="51"/>
  <c r="I34" i="50"/>
  <c r="L149" i="51"/>
  <c r="L152" i="51" s="1"/>
  <c r="M133" i="51"/>
  <c r="N5" i="51"/>
  <c r="M5" i="50"/>
  <c r="M5" i="28"/>
  <c r="M41" i="31"/>
  <c r="M146" i="51"/>
  <c r="M142" i="51"/>
  <c r="M144" i="51"/>
  <c r="M137" i="51"/>
  <c r="K152" i="51"/>
  <c r="K153" i="51"/>
  <c r="K154" i="51"/>
  <c r="M147" i="51"/>
  <c r="M145" i="51"/>
  <c r="M140" i="51"/>
  <c r="M139" i="51"/>
  <c r="M135" i="51"/>
  <c r="M131" i="51"/>
  <c r="BP73" i="50"/>
  <c r="AZ73" i="50"/>
  <c r="AC73" i="50"/>
  <c r="AO73" i="50"/>
  <c r="P139" i="50"/>
  <c r="O142" i="50"/>
  <c r="J32" i="50"/>
  <c r="J33" i="50"/>
  <c r="J30" i="50"/>
  <c r="G156" i="50"/>
  <c r="G165" i="50"/>
  <c r="G136" i="50"/>
  <c r="G134" i="50"/>
  <c r="G155" i="50"/>
  <c r="G52" i="31"/>
  <c r="G54" i="31" s="1"/>
  <c r="G157" i="50"/>
  <c r="G123" i="50"/>
  <c r="G77" i="50"/>
  <c r="G78" i="50" s="1"/>
  <c r="G81" i="50" s="1"/>
  <c r="I128" i="50"/>
  <c r="I130" i="50" s="1"/>
  <c r="H76" i="50"/>
  <c r="H162" i="50"/>
  <c r="H145" i="50"/>
  <c r="H144" i="50"/>
  <c r="H132" i="50"/>
  <c r="H133" i="50" s="1"/>
  <c r="F54" i="31"/>
  <c r="F146" i="50"/>
  <c r="F158" i="50"/>
  <c r="F49" i="31" l="1"/>
  <c r="I105" i="50"/>
  <c r="I166" i="50"/>
  <c r="I103" i="50"/>
  <c r="I104" i="50"/>
  <c r="I106" i="50"/>
  <c r="I108" i="50"/>
  <c r="I109" i="50"/>
  <c r="I110" i="50"/>
  <c r="I111" i="50"/>
  <c r="I112" i="50"/>
  <c r="I113" i="50"/>
  <c r="I107" i="50"/>
  <c r="I114" i="50"/>
  <c r="I119" i="50"/>
  <c r="I115" i="50"/>
  <c r="I117" i="50"/>
  <c r="I118" i="50"/>
  <c r="I120" i="50"/>
  <c r="I121" i="50"/>
  <c r="I89" i="50"/>
  <c r="I122" i="50"/>
  <c r="I92" i="50"/>
  <c r="I116" i="50"/>
  <c r="I86" i="50"/>
  <c r="I93" i="50"/>
  <c r="I94" i="50"/>
  <c r="I97" i="50"/>
  <c r="I87" i="50"/>
  <c r="I88" i="50"/>
  <c r="I90" i="50"/>
  <c r="I91" i="50"/>
  <c r="I95" i="50"/>
  <c r="I96" i="50"/>
  <c r="G47" i="31"/>
  <c r="G49" i="31" s="1"/>
  <c r="J34" i="50"/>
  <c r="H99" i="50"/>
  <c r="J50" i="50"/>
  <c r="J61" i="50"/>
  <c r="J70" i="50" s="1"/>
  <c r="J59" i="50"/>
  <c r="J63" i="50"/>
  <c r="J72" i="50" s="1"/>
  <c r="J65" i="50"/>
  <c r="J74" i="50" s="1"/>
  <c r="M21" i="50"/>
  <c r="M26" i="50" s="1"/>
  <c r="M161" i="50"/>
  <c r="J49" i="50"/>
  <c r="J47" i="50"/>
  <c r="J44" i="50"/>
  <c r="J46" i="50"/>
  <c r="J56" i="50"/>
  <c r="J45" i="50"/>
  <c r="K23" i="50"/>
  <c r="K98" i="50" s="1"/>
  <c r="J55" i="50"/>
  <c r="J48" i="50"/>
  <c r="I51" i="50"/>
  <c r="K87" i="19"/>
  <c r="K88" i="19"/>
  <c r="K85" i="19"/>
  <c r="K86" i="19"/>
  <c r="K83" i="19"/>
  <c r="K84" i="19"/>
  <c r="K82" i="19"/>
  <c r="K81" i="19"/>
  <c r="L22" i="50"/>
  <c r="M149" i="50"/>
  <c r="M6" i="51"/>
  <c r="N6" i="50"/>
  <c r="N42" i="31"/>
  <c r="N6" i="28"/>
  <c r="L153" i="51"/>
  <c r="K156" i="51"/>
  <c r="K158" i="51" s="1"/>
  <c r="K16" i="51" s="1"/>
  <c r="K18" i="51" s="1"/>
  <c r="L154" i="51"/>
  <c r="M149" i="51"/>
  <c r="O5" i="51"/>
  <c r="N5" i="50"/>
  <c r="N5" i="28"/>
  <c r="N41" i="31"/>
  <c r="AP73" i="50"/>
  <c r="AD73" i="50"/>
  <c r="BA73" i="50"/>
  <c r="BQ73" i="50"/>
  <c r="P142" i="50"/>
  <c r="Q139" i="50"/>
  <c r="K33" i="50"/>
  <c r="K32" i="50"/>
  <c r="K30" i="50"/>
  <c r="F55" i="31"/>
  <c r="G55" i="31" s="1"/>
  <c r="H136" i="50"/>
  <c r="H134" i="50"/>
  <c r="H155" i="50"/>
  <c r="H52" i="31"/>
  <c r="H156" i="50"/>
  <c r="H165" i="50"/>
  <c r="H157" i="50"/>
  <c r="H123" i="50"/>
  <c r="H77" i="50"/>
  <c r="H78" i="50" s="1"/>
  <c r="H81" i="50" s="1"/>
  <c r="J128" i="50"/>
  <c r="J130" i="50" s="1"/>
  <c r="I76" i="50"/>
  <c r="I162" i="50"/>
  <c r="I145" i="50"/>
  <c r="I132" i="50"/>
  <c r="I133" i="50" s="1"/>
  <c r="I144" i="50"/>
  <c r="G146" i="50"/>
  <c r="G158" i="50"/>
  <c r="J68" i="50" l="1"/>
  <c r="J76" i="50" s="1"/>
  <c r="J104" i="50"/>
  <c r="J105" i="50"/>
  <c r="J106" i="50"/>
  <c r="J108" i="50"/>
  <c r="J166" i="50"/>
  <c r="J103" i="50"/>
  <c r="J112" i="50"/>
  <c r="J107" i="50"/>
  <c r="J109" i="50"/>
  <c r="J110" i="50"/>
  <c r="J111" i="50"/>
  <c r="J113" i="50"/>
  <c r="J116" i="50"/>
  <c r="J119" i="50"/>
  <c r="J122" i="50"/>
  <c r="J118" i="50"/>
  <c r="J121" i="50"/>
  <c r="J89" i="50"/>
  <c r="J117" i="50"/>
  <c r="J90" i="50"/>
  <c r="J120" i="50"/>
  <c r="J114" i="50"/>
  <c r="J115" i="50"/>
  <c r="J93" i="50"/>
  <c r="J94" i="50"/>
  <c r="J92" i="50"/>
  <c r="J95" i="50"/>
  <c r="J86" i="50"/>
  <c r="J88" i="50"/>
  <c r="J87" i="50"/>
  <c r="J97" i="50"/>
  <c r="J91" i="50"/>
  <c r="J96" i="50"/>
  <c r="H47" i="31"/>
  <c r="H49" i="31" s="1"/>
  <c r="I99" i="50"/>
  <c r="K45" i="50"/>
  <c r="K63" i="50"/>
  <c r="K72" i="50" s="1"/>
  <c r="K61" i="50"/>
  <c r="K70" i="50" s="1"/>
  <c r="K59" i="50"/>
  <c r="K68" i="50" s="1"/>
  <c r="K65" i="50"/>
  <c r="K74" i="50" s="1"/>
  <c r="J51" i="50"/>
  <c r="N21" i="50"/>
  <c r="N26" i="50" s="1"/>
  <c r="N161" i="50"/>
  <c r="K48" i="50"/>
  <c r="K44" i="50"/>
  <c r="K47" i="50"/>
  <c r="L23" i="50"/>
  <c r="K50" i="50"/>
  <c r="K46" i="50"/>
  <c r="K55" i="50"/>
  <c r="K56" i="50"/>
  <c r="K49" i="50"/>
  <c r="L84" i="19"/>
  <c r="L83" i="19"/>
  <c r="L86" i="19"/>
  <c r="L85" i="19"/>
  <c r="L88" i="19"/>
  <c r="L82" i="19"/>
  <c r="L87" i="19"/>
  <c r="L81" i="19"/>
  <c r="M22" i="50"/>
  <c r="N149" i="50"/>
  <c r="N6" i="51"/>
  <c r="O42" i="31"/>
  <c r="O6" i="50"/>
  <c r="O6" i="28"/>
  <c r="L156" i="51"/>
  <c r="L158" i="51" s="1"/>
  <c r="L16" i="51" s="1"/>
  <c r="L18" i="51" s="1"/>
  <c r="K34" i="50"/>
  <c r="O5" i="50"/>
  <c r="O5" i="28"/>
  <c r="O41" i="31"/>
  <c r="M154" i="51"/>
  <c r="M153" i="51"/>
  <c r="M152" i="51"/>
  <c r="BB73" i="50"/>
  <c r="AE73" i="50"/>
  <c r="AF73" i="50"/>
  <c r="AR73" i="50"/>
  <c r="AQ73" i="50"/>
  <c r="BR73" i="50"/>
  <c r="Q142" i="50"/>
  <c r="R139" i="50"/>
  <c r="L33" i="50"/>
  <c r="L32" i="50"/>
  <c r="L30" i="50"/>
  <c r="I156" i="50"/>
  <c r="I165" i="50"/>
  <c r="I136" i="50"/>
  <c r="I134" i="50"/>
  <c r="I155" i="50"/>
  <c r="I52" i="31"/>
  <c r="I54" i="31" s="1"/>
  <c r="I157" i="50"/>
  <c r="I123" i="50"/>
  <c r="I77" i="50"/>
  <c r="I78" i="50" s="1"/>
  <c r="I81" i="50" s="1"/>
  <c r="K128" i="50"/>
  <c r="K130" i="50" s="1"/>
  <c r="J162" i="50"/>
  <c r="J145" i="50"/>
  <c r="J132" i="50"/>
  <c r="J133" i="50" s="1"/>
  <c r="J144" i="50"/>
  <c r="H54" i="31"/>
  <c r="H146" i="50"/>
  <c r="H158" i="50"/>
  <c r="H55" i="31" l="1"/>
  <c r="I55" i="31" s="1"/>
  <c r="L47" i="50"/>
  <c r="L98" i="50"/>
  <c r="K119" i="50"/>
  <c r="K104" i="50"/>
  <c r="K105" i="50"/>
  <c r="K106" i="50"/>
  <c r="K166" i="50"/>
  <c r="K103" i="50"/>
  <c r="K112" i="50"/>
  <c r="K110" i="50"/>
  <c r="K108" i="50"/>
  <c r="K109" i="50"/>
  <c r="K111" i="50"/>
  <c r="K113" i="50"/>
  <c r="K114" i="50"/>
  <c r="K116" i="50"/>
  <c r="K117" i="50"/>
  <c r="K120" i="50"/>
  <c r="K122" i="50"/>
  <c r="K86" i="50"/>
  <c r="K91" i="50"/>
  <c r="K118" i="50"/>
  <c r="K121" i="50"/>
  <c r="K87" i="50"/>
  <c r="K107" i="50"/>
  <c r="K96" i="50"/>
  <c r="K115" i="50"/>
  <c r="K93" i="50"/>
  <c r="K94" i="50"/>
  <c r="K88" i="50"/>
  <c r="K92" i="50"/>
  <c r="K89" i="50"/>
  <c r="K90" i="50"/>
  <c r="K95" i="50"/>
  <c r="K97" i="50"/>
  <c r="I47" i="31"/>
  <c r="I49" i="31" s="1"/>
  <c r="J99" i="50"/>
  <c r="L49" i="50"/>
  <c r="L59" i="50"/>
  <c r="L68" i="50" s="1"/>
  <c r="L63" i="50"/>
  <c r="L72" i="50" s="1"/>
  <c r="L61" i="50"/>
  <c r="L70" i="50" s="1"/>
  <c r="L65" i="50"/>
  <c r="L74" i="50" s="1"/>
  <c r="O21" i="50"/>
  <c r="O26" i="50" s="1"/>
  <c r="O161" i="50"/>
  <c r="L45" i="50"/>
  <c r="L44" i="50"/>
  <c r="L55" i="50"/>
  <c r="M23" i="50"/>
  <c r="M98" i="50" s="1"/>
  <c r="L50" i="50"/>
  <c r="L46" i="50"/>
  <c r="L48" i="50"/>
  <c r="L56" i="50"/>
  <c r="K51" i="50"/>
  <c r="M88" i="19"/>
  <c r="M86" i="19"/>
  <c r="M87" i="19"/>
  <c r="M82" i="19"/>
  <c r="M85" i="19"/>
  <c r="M84" i="19"/>
  <c r="M83" i="19"/>
  <c r="M81" i="19"/>
  <c r="P5" i="51"/>
  <c r="N22" i="50"/>
  <c r="O149" i="50"/>
  <c r="O6" i="51"/>
  <c r="P42" i="31"/>
  <c r="P6" i="50"/>
  <c r="P6" i="28"/>
  <c r="L34" i="50"/>
  <c r="M156" i="51"/>
  <c r="M158" i="51" s="1"/>
  <c r="M16" i="51" s="1"/>
  <c r="M18" i="51" s="1"/>
  <c r="C18" i="51" s="1"/>
  <c r="P5" i="50"/>
  <c r="P41" i="31"/>
  <c r="P5" i="28"/>
  <c r="BD73" i="50"/>
  <c r="BC73" i="50"/>
  <c r="BS73" i="50"/>
  <c r="R142" i="50"/>
  <c r="S139" i="50"/>
  <c r="M30" i="50"/>
  <c r="M33" i="50"/>
  <c r="M32" i="50"/>
  <c r="J156" i="50"/>
  <c r="J165" i="50"/>
  <c r="J136" i="50"/>
  <c r="J134" i="50"/>
  <c r="J155" i="50"/>
  <c r="J52" i="31"/>
  <c r="J157" i="50"/>
  <c r="J123" i="50"/>
  <c r="J77" i="50"/>
  <c r="J78" i="50" s="1"/>
  <c r="J81" i="50" s="1"/>
  <c r="L128" i="50"/>
  <c r="L130" i="50" s="1"/>
  <c r="K76" i="50"/>
  <c r="K162" i="50"/>
  <c r="K145" i="50"/>
  <c r="K132" i="50"/>
  <c r="K133" i="50" s="1"/>
  <c r="K144" i="50"/>
  <c r="I146" i="50"/>
  <c r="I158" i="50"/>
  <c r="L104" i="50" l="1"/>
  <c r="L166" i="50"/>
  <c r="L103" i="50"/>
  <c r="L107" i="50"/>
  <c r="L106" i="50"/>
  <c r="L108" i="50"/>
  <c r="L105" i="50"/>
  <c r="L109" i="50"/>
  <c r="L112" i="50"/>
  <c r="L113" i="50"/>
  <c r="L111" i="50"/>
  <c r="L118" i="50"/>
  <c r="L114" i="50"/>
  <c r="L115" i="50"/>
  <c r="L116" i="50"/>
  <c r="L88" i="50"/>
  <c r="L91" i="50"/>
  <c r="L120" i="50"/>
  <c r="L92" i="50"/>
  <c r="L117" i="50"/>
  <c r="L110" i="50"/>
  <c r="L121" i="50"/>
  <c r="L119" i="50"/>
  <c r="L96" i="50"/>
  <c r="L86" i="50"/>
  <c r="L87" i="50"/>
  <c r="L89" i="50"/>
  <c r="L90" i="50"/>
  <c r="L97" i="50"/>
  <c r="L93" i="50"/>
  <c r="L94" i="50"/>
  <c r="L122" i="50"/>
  <c r="L95" i="50"/>
  <c r="J47" i="31"/>
  <c r="K99" i="50"/>
  <c r="M56" i="50"/>
  <c r="M61" i="50"/>
  <c r="M70" i="50" s="1"/>
  <c r="M59" i="50"/>
  <c r="M68" i="50" s="1"/>
  <c r="M63" i="50"/>
  <c r="M72" i="50" s="1"/>
  <c r="M65" i="50"/>
  <c r="M74" i="50" s="1"/>
  <c r="P21" i="50"/>
  <c r="P26" i="50" s="1"/>
  <c r="P161" i="50"/>
  <c r="L51" i="50"/>
  <c r="M49" i="50"/>
  <c r="M47" i="50"/>
  <c r="M46" i="50"/>
  <c r="M45" i="50"/>
  <c r="M50" i="50"/>
  <c r="M48" i="50"/>
  <c r="N23" i="50"/>
  <c r="N98" i="50" s="1"/>
  <c r="M55" i="50"/>
  <c r="M44" i="50"/>
  <c r="N84" i="19"/>
  <c r="N86" i="19"/>
  <c r="N85" i="19"/>
  <c r="N88" i="19"/>
  <c r="N82" i="19"/>
  <c r="N83" i="19"/>
  <c r="N87" i="19"/>
  <c r="N81" i="19"/>
  <c r="Q5" i="51"/>
  <c r="O22" i="50"/>
  <c r="P149" i="50"/>
  <c r="P6" i="51"/>
  <c r="Q6" i="28"/>
  <c r="Q6" i="50"/>
  <c r="Q42" i="31"/>
  <c r="Q5" i="50"/>
  <c r="Q41" i="31"/>
  <c r="Q5" i="28"/>
  <c r="M34" i="50"/>
  <c r="BT73" i="50"/>
  <c r="S142" i="50"/>
  <c r="T139" i="50"/>
  <c r="N30" i="50"/>
  <c r="N33" i="50"/>
  <c r="N34" i="50"/>
  <c r="N32" i="50"/>
  <c r="K156" i="50"/>
  <c r="K165" i="50"/>
  <c r="K136" i="50"/>
  <c r="K134" i="50"/>
  <c r="K155" i="50"/>
  <c r="K52" i="31"/>
  <c r="K54" i="31" s="1"/>
  <c r="K157" i="50"/>
  <c r="K123" i="50"/>
  <c r="K77" i="50"/>
  <c r="K78" i="50" s="1"/>
  <c r="K81" i="50" s="1"/>
  <c r="M128" i="50"/>
  <c r="M130" i="50" s="1"/>
  <c r="L76" i="50"/>
  <c r="L145" i="50"/>
  <c r="L132" i="50"/>
  <c r="L133" i="50" s="1"/>
  <c r="L144" i="50"/>
  <c r="J54" i="31"/>
  <c r="J146" i="50"/>
  <c r="J158" i="50"/>
  <c r="J49" i="31" l="1"/>
  <c r="M103" i="50"/>
  <c r="M104" i="50"/>
  <c r="M107" i="50"/>
  <c r="M106" i="50"/>
  <c r="M108" i="50"/>
  <c r="M109" i="50"/>
  <c r="M105" i="50"/>
  <c r="M111" i="50"/>
  <c r="M110" i="50"/>
  <c r="M115" i="50"/>
  <c r="M113" i="50"/>
  <c r="M118" i="50"/>
  <c r="M121" i="50"/>
  <c r="M116" i="50"/>
  <c r="M117" i="50"/>
  <c r="M120" i="50"/>
  <c r="M88" i="50"/>
  <c r="M114" i="50"/>
  <c r="M89" i="50"/>
  <c r="M86" i="50"/>
  <c r="M87" i="50"/>
  <c r="M90" i="50"/>
  <c r="M112" i="50"/>
  <c r="M119" i="50"/>
  <c r="M122" i="50"/>
  <c r="M91" i="50"/>
  <c r="M92" i="50"/>
  <c r="M93" i="50"/>
  <c r="M94" i="50"/>
  <c r="M95" i="50"/>
  <c r="M96" i="50"/>
  <c r="M97" i="50"/>
  <c r="K47" i="31"/>
  <c r="K49" i="31" s="1"/>
  <c r="L99" i="50"/>
  <c r="N50" i="50"/>
  <c r="N61" i="50"/>
  <c r="N70" i="50" s="1"/>
  <c r="N65" i="50"/>
  <c r="N74" i="50" s="1"/>
  <c r="N63" i="50"/>
  <c r="N72" i="50" s="1"/>
  <c r="N59" i="50"/>
  <c r="N68" i="50" s="1"/>
  <c r="M51" i="50"/>
  <c r="Q21" i="50"/>
  <c r="Q26" i="50" s="1"/>
  <c r="Q161" i="50"/>
  <c r="N45" i="50"/>
  <c r="N55" i="50"/>
  <c r="O23" i="50"/>
  <c r="N47" i="50"/>
  <c r="N44" i="50"/>
  <c r="N46" i="50"/>
  <c r="N48" i="50"/>
  <c r="N49" i="50"/>
  <c r="N56" i="50"/>
  <c r="O83" i="19"/>
  <c r="O82" i="19"/>
  <c r="O88" i="19"/>
  <c r="O85" i="19"/>
  <c r="L123" i="50"/>
  <c r="O86" i="19"/>
  <c r="O87" i="19"/>
  <c r="O84" i="19"/>
  <c r="O81" i="19"/>
  <c r="P22" i="50"/>
  <c r="Q149" i="50"/>
  <c r="Q6" i="51"/>
  <c r="R42" i="31"/>
  <c r="R6" i="50"/>
  <c r="R6" i="28"/>
  <c r="R41" i="31"/>
  <c r="R5" i="50"/>
  <c r="R5" i="28"/>
  <c r="BU73" i="50"/>
  <c r="T142" i="50"/>
  <c r="U139" i="50"/>
  <c r="O33" i="50"/>
  <c r="O34" i="50"/>
  <c r="O32" i="50"/>
  <c r="O30" i="50"/>
  <c r="J55" i="31"/>
  <c r="K55" i="31" s="1"/>
  <c r="L156" i="50"/>
  <c r="L165" i="50"/>
  <c r="L136" i="50"/>
  <c r="L134" i="50"/>
  <c r="L155" i="50"/>
  <c r="L52" i="31"/>
  <c r="L157" i="50"/>
  <c r="L77" i="50"/>
  <c r="L78" i="50" s="1"/>
  <c r="L81" i="50" s="1"/>
  <c r="N128" i="50"/>
  <c r="N130" i="50" s="1"/>
  <c r="M76" i="50"/>
  <c r="M162" i="50"/>
  <c r="M145" i="50"/>
  <c r="M144" i="50"/>
  <c r="M132" i="50"/>
  <c r="M133" i="50" s="1"/>
  <c r="K146" i="50"/>
  <c r="K158" i="50"/>
  <c r="P23" i="50" l="1"/>
  <c r="P98" i="50" s="1"/>
  <c r="O98" i="50"/>
  <c r="N103" i="50"/>
  <c r="N106" i="50"/>
  <c r="N104" i="50"/>
  <c r="N105" i="50"/>
  <c r="N107" i="50"/>
  <c r="N110" i="50"/>
  <c r="N108" i="50"/>
  <c r="N109" i="50"/>
  <c r="N111" i="50"/>
  <c r="N112" i="50"/>
  <c r="N113" i="50"/>
  <c r="N115" i="50"/>
  <c r="N116" i="50"/>
  <c r="N119" i="50"/>
  <c r="N114" i="50"/>
  <c r="N120" i="50"/>
  <c r="N121" i="50"/>
  <c r="N118" i="50"/>
  <c r="N122" i="50"/>
  <c r="N86" i="50"/>
  <c r="N90" i="50"/>
  <c r="N93" i="50"/>
  <c r="N117" i="50"/>
  <c r="N88" i="50"/>
  <c r="N89" i="50"/>
  <c r="N91" i="50"/>
  <c r="N92" i="50"/>
  <c r="N94" i="50"/>
  <c r="N87" i="50"/>
  <c r="N95" i="50"/>
  <c r="N96" i="50"/>
  <c r="N97" i="50"/>
  <c r="L47" i="31"/>
  <c r="L49" i="31" s="1"/>
  <c r="O50" i="50"/>
  <c r="O59" i="50"/>
  <c r="O68" i="50" s="1"/>
  <c r="O61" i="50"/>
  <c r="O70" i="50" s="1"/>
  <c r="O65" i="50"/>
  <c r="O74" i="50" s="1"/>
  <c r="O63" i="50"/>
  <c r="O72" i="50" s="1"/>
  <c r="O55" i="50"/>
  <c r="O45" i="50"/>
  <c r="O44" i="50"/>
  <c r="O46" i="50"/>
  <c r="M99" i="50"/>
  <c r="O49" i="50"/>
  <c r="O56" i="50"/>
  <c r="N51" i="50"/>
  <c r="R21" i="50"/>
  <c r="R26" i="50" s="1"/>
  <c r="R161" i="50"/>
  <c r="O47" i="50"/>
  <c r="O48" i="50"/>
  <c r="P85" i="19"/>
  <c r="P84" i="19"/>
  <c r="M123" i="50"/>
  <c r="P88" i="19"/>
  <c r="P82" i="19"/>
  <c r="P87" i="19"/>
  <c r="P83" i="19"/>
  <c r="P86" i="19"/>
  <c r="P81" i="19"/>
  <c r="Q22" i="50"/>
  <c r="R149" i="50"/>
  <c r="S42" i="31"/>
  <c r="S6" i="28"/>
  <c r="S6" i="50"/>
  <c r="S5" i="50"/>
  <c r="S5" i="28"/>
  <c r="S41" i="31"/>
  <c r="BV73" i="50"/>
  <c r="U142" i="50"/>
  <c r="V139" i="50"/>
  <c r="P32" i="50"/>
  <c r="P33" i="50"/>
  <c r="P30" i="50"/>
  <c r="P34" i="50"/>
  <c r="M136" i="50"/>
  <c r="M134" i="50"/>
  <c r="M155" i="50"/>
  <c r="M52" i="31"/>
  <c r="M54" i="31" s="1"/>
  <c r="M156" i="50"/>
  <c r="M165" i="50"/>
  <c r="M166" i="50" s="1"/>
  <c r="M157" i="50"/>
  <c r="M77" i="50"/>
  <c r="M78" i="50" s="1"/>
  <c r="M81" i="50" s="1"/>
  <c r="O128" i="50"/>
  <c r="O130" i="50" s="1"/>
  <c r="N76" i="50"/>
  <c r="N145" i="50"/>
  <c r="N162" i="50"/>
  <c r="N146" i="50"/>
  <c r="N158" i="50" s="1"/>
  <c r="N132" i="50"/>
  <c r="N133" i="50" s="1"/>
  <c r="N144" i="50"/>
  <c r="L54" i="31"/>
  <c r="L55" i="31" s="1"/>
  <c r="L146" i="50"/>
  <c r="L158" i="50"/>
  <c r="P46" i="50" l="1"/>
  <c r="P56" i="50"/>
  <c r="P45" i="50"/>
  <c r="P44" i="50"/>
  <c r="P65" i="50"/>
  <c r="P74" i="50" s="1"/>
  <c r="Q23" i="50"/>
  <c r="Q98" i="50" s="1"/>
  <c r="P47" i="50"/>
  <c r="P55" i="50"/>
  <c r="P50" i="50"/>
  <c r="P49" i="50"/>
  <c r="P48" i="50"/>
  <c r="P61" i="50"/>
  <c r="P70" i="50" s="1"/>
  <c r="P63" i="50"/>
  <c r="P72" i="50" s="1"/>
  <c r="P59" i="50"/>
  <c r="P68" i="50" s="1"/>
  <c r="O105" i="50"/>
  <c r="O103" i="50"/>
  <c r="O106" i="50"/>
  <c r="O104" i="50"/>
  <c r="O107" i="50"/>
  <c r="O110" i="50"/>
  <c r="O108" i="50"/>
  <c r="O109" i="50"/>
  <c r="O111" i="50"/>
  <c r="O112" i="50"/>
  <c r="O117" i="50"/>
  <c r="O114" i="50"/>
  <c r="O113" i="50"/>
  <c r="O120" i="50"/>
  <c r="O119" i="50"/>
  <c r="O115" i="50"/>
  <c r="O87" i="50"/>
  <c r="O86" i="50"/>
  <c r="O90" i="50"/>
  <c r="O118" i="50"/>
  <c r="O121" i="50"/>
  <c r="O122" i="50"/>
  <c r="O91" i="50"/>
  <c r="O93" i="50"/>
  <c r="O88" i="50"/>
  <c r="O95" i="50"/>
  <c r="O96" i="50"/>
  <c r="O97" i="50"/>
  <c r="O92" i="50"/>
  <c r="O94" i="50"/>
  <c r="O89" i="50"/>
  <c r="O116" i="50"/>
  <c r="N99" i="50"/>
  <c r="O51" i="50"/>
  <c r="S21" i="50"/>
  <c r="S26" i="50" s="1"/>
  <c r="S161" i="50"/>
  <c r="Q88" i="19"/>
  <c r="Q86" i="19"/>
  <c r="Q85" i="19"/>
  <c r="Q83" i="19"/>
  <c r="Q87" i="19"/>
  <c r="N123" i="50"/>
  <c r="Q82" i="19"/>
  <c r="Q84" i="19"/>
  <c r="Q81" i="19"/>
  <c r="R22" i="50"/>
  <c r="S149" i="50"/>
  <c r="T42" i="31"/>
  <c r="T6" i="50"/>
  <c r="T6" i="28"/>
  <c r="T5" i="50"/>
  <c r="T161" i="50" s="1"/>
  <c r="T41" i="31"/>
  <c r="T5" i="28"/>
  <c r="BW73" i="50"/>
  <c r="W139" i="50"/>
  <c r="V142" i="50"/>
  <c r="M55" i="31"/>
  <c r="Q34" i="50"/>
  <c r="Q32" i="50"/>
  <c r="Q30" i="50"/>
  <c r="Q33" i="50"/>
  <c r="N156" i="50"/>
  <c r="N165" i="50"/>
  <c r="N166" i="50" s="1"/>
  <c r="N134" i="50"/>
  <c r="N136" i="50"/>
  <c r="N155" i="50"/>
  <c r="N52" i="31"/>
  <c r="N157" i="50"/>
  <c r="N77" i="50"/>
  <c r="N78" i="50" s="1"/>
  <c r="N81" i="50" s="1"/>
  <c r="P128" i="50"/>
  <c r="P130" i="50" s="1"/>
  <c r="O76" i="50"/>
  <c r="O145" i="50"/>
  <c r="O162" i="50"/>
  <c r="O146" i="50"/>
  <c r="O158" i="50" s="1"/>
  <c r="O144" i="50"/>
  <c r="O132" i="50"/>
  <c r="O133" i="50" s="1"/>
  <c r="M47" i="31"/>
  <c r="M146" i="50"/>
  <c r="M158" i="50"/>
  <c r="R23" i="50" l="1"/>
  <c r="R98" i="50" s="1"/>
  <c r="Q48" i="50"/>
  <c r="Q49" i="50"/>
  <c r="Q55" i="50"/>
  <c r="P51" i="50"/>
  <c r="Q47" i="50"/>
  <c r="Q44" i="50"/>
  <c r="Q65" i="50"/>
  <c r="Q74" i="50" s="1"/>
  <c r="Q50" i="50"/>
  <c r="Q59" i="50"/>
  <c r="Q68" i="50" s="1"/>
  <c r="Q46" i="50"/>
  <c r="Q61" i="50"/>
  <c r="Q70" i="50" s="1"/>
  <c r="Q63" i="50"/>
  <c r="Q72" i="50" s="1"/>
  <c r="Q56" i="50"/>
  <c r="Q45" i="50"/>
  <c r="P105" i="50"/>
  <c r="P103" i="50"/>
  <c r="P106" i="50"/>
  <c r="P104" i="50"/>
  <c r="P110" i="50"/>
  <c r="P108" i="50"/>
  <c r="P109" i="50"/>
  <c r="P107" i="50"/>
  <c r="P113" i="50"/>
  <c r="P111" i="50"/>
  <c r="P117" i="50"/>
  <c r="P120" i="50"/>
  <c r="P118" i="50"/>
  <c r="P114" i="50"/>
  <c r="P86" i="50"/>
  <c r="P121" i="50"/>
  <c r="P119" i="50"/>
  <c r="P92" i="50"/>
  <c r="P115" i="50"/>
  <c r="P87" i="50"/>
  <c r="P112" i="50"/>
  <c r="P88" i="50"/>
  <c r="P122" i="50"/>
  <c r="P116" i="50"/>
  <c r="P91" i="50"/>
  <c r="P95" i="50"/>
  <c r="P96" i="50"/>
  <c r="P93" i="50"/>
  <c r="P97" i="50"/>
  <c r="P94" i="50"/>
  <c r="P89" i="50"/>
  <c r="P90" i="50"/>
  <c r="O99" i="50"/>
  <c r="R61" i="50"/>
  <c r="R70" i="50" s="1"/>
  <c r="R59" i="50"/>
  <c r="R68" i="50" s="1"/>
  <c r="R63" i="50"/>
  <c r="R87" i="19"/>
  <c r="T21" i="50"/>
  <c r="T26" i="50" s="1"/>
  <c r="R83" i="19"/>
  <c r="R84" i="19"/>
  <c r="R85" i="19"/>
  <c r="R86" i="19"/>
  <c r="R46" i="50"/>
  <c r="R47" i="50"/>
  <c r="R49" i="50"/>
  <c r="R44" i="50"/>
  <c r="R50" i="50"/>
  <c r="R48" i="50"/>
  <c r="R55" i="50"/>
  <c r="R82" i="19"/>
  <c r="R88" i="19"/>
  <c r="R81" i="19"/>
  <c r="S22" i="50"/>
  <c r="S23" i="50"/>
  <c r="S98" i="50" s="1"/>
  <c r="T149" i="50"/>
  <c r="U42" i="31"/>
  <c r="U6" i="50"/>
  <c r="U6" i="28"/>
  <c r="U5" i="50"/>
  <c r="U5" i="28"/>
  <c r="U41" i="31"/>
  <c r="BX73" i="50"/>
  <c r="W142" i="50"/>
  <c r="X139" i="50"/>
  <c r="R32" i="50"/>
  <c r="R30" i="50"/>
  <c r="R33" i="50"/>
  <c r="R34" i="50"/>
  <c r="M49" i="31"/>
  <c r="O134" i="50"/>
  <c r="O136" i="50"/>
  <c r="O155" i="50"/>
  <c r="O52" i="31"/>
  <c r="O54" i="31" s="1"/>
  <c r="O156" i="50"/>
  <c r="O165" i="50"/>
  <c r="O166" i="50" s="1"/>
  <c r="O157" i="50"/>
  <c r="O123" i="50"/>
  <c r="O77" i="50"/>
  <c r="O78" i="50" s="1"/>
  <c r="O81" i="50" s="1"/>
  <c r="Q128" i="50"/>
  <c r="Q130" i="50" s="1"/>
  <c r="P76" i="50"/>
  <c r="P145" i="50"/>
  <c r="P162" i="50"/>
  <c r="P146" i="50"/>
  <c r="P132" i="50"/>
  <c r="P133" i="50" s="1"/>
  <c r="P144" i="50"/>
  <c r="N54" i="31"/>
  <c r="N47" i="31"/>
  <c r="R56" i="50" l="1"/>
  <c r="R45" i="50"/>
  <c r="R51" i="50" s="1"/>
  <c r="R65" i="50"/>
  <c r="Q51" i="50"/>
  <c r="Q105" i="50"/>
  <c r="Q103" i="50"/>
  <c r="Q104" i="50"/>
  <c r="Q108" i="50"/>
  <c r="Q109" i="50"/>
  <c r="Q107" i="50"/>
  <c r="Q106" i="50"/>
  <c r="Q110" i="50"/>
  <c r="Q111" i="50"/>
  <c r="Q112" i="50"/>
  <c r="Q113" i="50"/>
  <c r="Q114" i="50"/>
  <c r="Q115" i="50"/>
  <c r="Q121" i="50"/>
  <c r="Q117" i="50"/>
  <c r="Q116" i="50"/>
  <c r="Q89" i="50"/>
  <c r="Q119" i="50"/>
  <c r="Q92" i="50"/>
  <c r="Q93" i="50"/>
  <c r="Q122" i="50"/>
  <c r="Q86" i="50"/>
  <c r="Q120" i="50"/>
  <c r="Q87" i="50"/>
  <c r="Q88" i="50"/>
  <c r="Q118" i="50"/>
  <c r="Q94" i="50"/>
  <c r="Q97" i="50"/>
  <c r="Q91" i="50"/>
  <c r="Q95" i="50"/>
  <c r="Q96" i="50"/>
  <c r="Q90" i="50"/>
  <c r="P99" i="50"/>
  <c r="S63" i="50"/>
  <c r="S61" i="50"/>
  <c r="S70" i="50" s="1"/>
  <c r="S59" i="50"/>
  <c r="S68" i="50" s="1"/>
  <c r="S65" i="50"/>
  <c r="U21" i="50"/>
  <c r="U26" i="50" s="1"/>
  <c r="U161" i="50"/>
  <c r="S47" i="50"/>
  <c r="S45" i="50"/>
  <c r="S44" i="50"/>
  <c r="S49" i="50"/>
  <c r="S48" i="50"/>
  <c r="S56" i="50"/>
  <c r="S50" i="50"/>
  <c r="S55" i="50"/>
  <c r="S46" i="50"/>
  <c r="S84" i="19"/>
  <c r="S83" i="19"/>
  <c r="S88" i="19"/>
  <c r="S82" i="19"/>
  <c r="S86" i="19"/>
  <c r="S87" i="19"/>
  <c r="S85" i="19"/>
  <c r="S81" i="19"/>
  <c r="T22" i="50"/>
  <c r="T23" i="50"/>
  <c r="T98" i="50" s="1"/>
  <c r="U149" i="50"/>
  <c r="V6" i="50"/>
  <c r="V6" i="28"/>
  <c r="V42" i="31"/>
  <c r="V5" i="50"/>
  <c r="V41" i="31"/>
  <c r="V5" i="28"/>
  <c r="BY73" i="50"/>
  <c r="X142" i="50"/>
  <c r="Y139" i="50"/>
  <c r="S34" i="50"/>
  <c r="S32" i="50"/>
  <c r="S30" i="50"/>
  <c r="S33" i="50"/>
  <c r="N49" i="31"/>
  <c r="N55" i="31"/>
  <c r="O55" i="31" s="1"/>
  <c r="P156" i="50"/>
  <c r="P165" i="50"/>
  <c r="P166" i="50" s="1"/>
  <c r="P134" i="50"/>
  <c r="P136" i="50"/>
  <c r="P155" i="50"/>
  <c r="P52" i="31"/>
  <c r="P158" i="50"/>
  <c r="P157" i="50"/>
  <c r="P123" i="50"/>
  <c r="P77" i="50"/>
  <c r="P78" i="50" s="1"/>
  <c r="P81" i="50" s="1"/>
  <c r="R74" i="50"/>
  <c r="R72" i="50"/>
  <c r="R128" i="50"/>
  <c r="R130" i="50" s="1"/>
  <c r="Q76" i="50"/>
  <c r="Q145" i="50"/>
  <c r="Q162" i="50"/>
  <c r="Q146" i="50"/>
  <c r="Q144" i="50"/>
  <c r="Q132" i="50"/>
  <c r="Q133" i="50" s="1"/>
  <c r="O47" i="31"/>
  <c r="R104" i="50" l="1"/>
  <c r="R105" i="50"/>
  <c r="R108" i="50"/>
  <c r="R103" i="50"/>
  <c r="R107" i="50"/>
  <c r="R112" i="50"/>
  <c r="R111" i="50"/>
  <c r="R106" i="50"/>
  <c r="R110" i="50"/>
  <c r="R109" i="50"/>
  <c r="R113" i="50"/>
  <c r="R116" i="50"/>
  <c r="R119" i="50"/>
  <c r="R122" i="50"/>
  <c r="R114" i="50"/>
  <c r="R89" i="50"/>
  <c r="R115" i="50"/>
  <c r="R118" i="50"/>
  <c r="R90" i="50"/>
  <c r="R117" i="50"/>
  <c r="R86" i="50"/>
  <c r="R120" i="50"/>
  <c r="R87" i="50"/>
  <c r="R88" i="50"/>
  <c r="R91" i="50"/>
  <c r="R121" i="50"/>
  <c r="R94" i="50"/>
  <c r="R95" i="50"/>
  <c r="R96" i="50"/>
  <c r="R97" i="50"/>
  <c r="R92" i="50"/>
  <c r="R93" i="50"/>
  <c r="T87" i="19"/>
  <c r="Q99" i="50"/>
  <c r="T59" i="50"/>
  <c r="T68" i="50" s="1"/>
  <c r="T63" i="50"/>
  <c r="T61" i="50"/>
  <c r="T65" i="50"/>
  <c r="V21" i="50"/>
  <c r="V26" i="50" s="1"/>
  <c r="V161" i="50"/>
  <c r="T86" i="19"/>
  <c r="T88" i="19"/>
  <c r="T82" i="19"/>
  <c r="T83" i="19"/>
  <c r="T44" i="50"/>
  <c r="T47" i="50"/>
  <c r="T45" i="50"/>
  <c r="T49" i="50"/>
  <c r="T46" i="50"/>
  <c r="T56" i="50"/>
  <c r="T48" i="50"/>
  <c r="T50" i="50"/>
  <c r="T55" i="50"/>
  <c r="S51" i="50"/>
  <c r="T84" i="19"/>
  <c r="T85" i="19"/>
  <c r="T81" i="19"/>
  <c r="U23" i="50"/>
  <c r="U98" i="50" s="1"/>
  <c r="U22" i="50"/>
  <c r="V149" i="50"/>
  <c r="W6" i="50"/>
  <c r="W42" i="31"/>
  <c r="W6" i="28"/>
  <c r="W5" i="50"/>
  <c r="W5" i="28"/>
  <c r="W41" i="31"/>
  <c r="BZ73" i="50"/>
  <c r="Y142" i="50"/>
  <c r="Z139" i="50"/>
  <c r="T32" i="50"/>
  <c r="T30" i="50"/>
  <c r="T34" i="50"/>
  <c r="T33" i="50"/>
  <c r="O49" i="31"/>
  <c r="Q134" i="50"/>
  <c r="Q136" i="50"/>
  <c r="Q155" i="50"/>
  <c r="Q52" i="31"/>
  <c r="Q54" i="31" s="1"/>
  <c r="D49" i="4"/>
  <c r="Q156" i="50"/>
  <c r="Q165" i="50"/>
  <c r="Q166" i="50" s="1"/>
  <c r="D50" i="4"/>
  <c r="Q158" i="50"/>
  <c r="D52" i="4"/>
  <c r="Q157" i="50"/>
  <c r="D51" i="4"/>
  <c r="Q123" i="50"/>
  <c r="Q77" i="50"/>
  <c r="Q78" i="50" s="1"/>
  <c r="Q81" i="50" s="1"/>
  <c r="S74" i="50"/>
  <c r="S72" i="50"/>
  <c r="S128" i="50"/>
  <c r="S130" i="50" s="1"/>
  <c r="R76" i="50"/>
  <c r="R162" i="50"/>
  <c r="R145" i="50"/>
  <c r="R146" i="50"/>
  <c r="R144" i="50"/>
  <c r="R132" i="50"/>
  <c r="R133" i="50" s="1"/>
  <c r="P54" i="31"/>
  <c r="P55" i="31" s="1"/>
  <c r="P47" i="31"/>
  <c r="S104" i="50" l="1"/>
  <c r="S105" i="50"/>
  <c r="S106" i="50"/>
  <c r="S103" i="50"/>
  <c r="S107" i="50"/>
  <c r="S109" i="50"/>
  <c r="S110" i="50"/>
  <c r="S112" i="50"/>
  <c r="S116" i="50"/>
  <c r="S119" i="50"/>
  <c r="S117" i="50"/>
  <c r="S120" i="50"/>
  <c r="S115" i="50"/>
  <c r="S118" i="50"/>
  <c r="S113" i="50"/>
  <c r="S122" i="50"/>
  <c r="S111" i="50"/>
  <c r="S86" i="50"/>
  <c r="S108" i="50"/>
  <c r="S91" i="50"/>
  <c r="S87" i="50"/>
  <c r="S114" i="50"/>
  <c r="S89" i="50"/>
  <c r="S90" i="50"/>
  <c r="S92" i="50"/>
  <c r="S93" i="50"/>
  <c r="S96" i="50"/>
  <c r="S88" i="50"/>
  <c r="S121" i="50"/>
  <c r="S94" i="50"/>
  <c r="S95" i="50"/>
  <c r="S97" i="50"/>
  <c r="R99" i="50"/>
  <c r="U61" i="50"/>
  <c r="U59" i="50"/>
  <c r="U68" i="50" s="1"/>
  <c r="U63" i="50"/>
  <c r="U65" i="50"/>
  <c r="W21" i="50"/>
  <c r="W26" i="50" s="1"/>
  <c r="W161" i="50"/>
  <c r="U84" i="19"/>
  <c r="U83" i="19"/>
  <c r="U88" i="19"/>
  <c r="U44" i="50"/>
  <c r="U45" i="50"/>
  <c r="U46" i="50"/>
  <c r="U48" i="50"/>
  <c r="U49" i="50"/>
  <c r="U47" i="50"/>
  <c r="U56" i="50"/>
  <c r="U55" i="50"/>
  <c r="U50" i="50"/>
  <c r="T51" i="50"/>
  <c r="U82" i="19"/>
  <c r="U86" i="19"/>
  <c r="U85" i="19"/>
  <c r="U87" i="19"/>
  <c r="U81" i="19"/>
  <c r="V22" i="50"/>
  <c r="V23" i="50"/>
  <c r="V98" i="50" s="1"/>
  <c r="W149" i="50"/>
  <c r="X6" i="28"/>
  <c r="X42" i="31"/>
  <c r="X6" i="50"/>
  <c r="X5" i="50"/>
  <c r="X41" i="31"/>
  <c r="X5" i="28"/>
  <c r="CA73" i="50"/>
  <c r="Z142" i="50"/>
  <c r="AA139" i="50"/>
  <c r="U30" i="50"/>
  <c r="U33" i="50"/>
  <c r="U34" i="50"/>
  <c r="U32" i="50"/>
  <c r="Q55" i="31"/>
  <c r="P49" i="31"/>
  <c r="R134" i="50"/>
  <c r="R136" i="50"/>
  <c r="R155" i="50"/>
  <c r="R52" i="31"/>
  <c r="R156" i="50"/>
  <c r="R165" i="50"/>
  <c r="R166" i="50" s="1"/>
  <c r="R158" i="50"/>
  <c r="R157" i="50"/>
  <c r="R123" i="50"/>
  <c r="R77" i="50"/>
  <c r="R78" i="50" s="1"/>
  <c r="R81" i="50" s="1"/>
  <c r="T74" i="50"/>
  <c r="T128" i="50"/>
  <c r="T130" i="50" s="1"/>
  <c r="S76" i="50"/>
  <c r="S145" i="50"/>
  <c r="S162" i="50"/>
  <c r="S146" i="50"/>
  <c r="S144" i="50"/>
  <c r="S132" i="50"/>
  <c r="S133" i="50" s="1"/>
  <c r="D56" i="4"/>
  <c r="D57" i="4"/>
  <c r="D55" i="4"/>
  <c r="Q47" i="31"/>
  <c r="T104" i="50" l="1"/>
  <c r="T103" i="50"/>
  <c r="T105" i="50"/>
  <c r="T107" i="50"/>
  <c r="T108" i="50"/>
  <c r="T109" i="50"/>
  <c r="T110" i="50"/>
  <c r="T106" i="50"/>
  <c r="T111" i="50"/>
  <c r="T113" i="50"/>
  <c r="T114" i="50"/>
  <c r="T118" i="50"/>
  <c r="T112" i="50"/>
  <c r="T116" i="50"/>
  <c r="T117" i="50"/>
  <c r="T115" i="50"/>
  <c r="T120" i="50"/>
  <c r="T121" i="50"/>
  <c r="T88" i="50"/>
  <c r="T91" i="50"/>
  <c r="T119" i="50"/>
  <c r="T86" i="50"/>
  <c r="T92" i="50"/>
  <c r="T122" i="50"/>
  <c r="T87" i="50"/>
  <c r="T89" i="50"/>
  <c r="T90" i="50"/>
  <c r="T93" i="50"/>
  <c r="T96" i="50"/>
  <c r="T97" i="50"/>
  <c r="T95" i="50"/>
  <c r="T94" i="50"/>
  <c r="V82" i="19"/>
  <c r="V61" i="50"/>
  <c r="V65" i="50"/>
  <c r="V63" i="50"/>
  <c r="V59" i="50"/>
  <c r="V68" i="50" s="1"/>
  <c r="S99" i="50"/>
  <c r="X21" i="50"/>
  <c r="X26" i="50" s="1"/>
  <c r="X161" i="50"/>
  <c r="V86" i="19"/>
  <c r="V46" i="50"/>
  <c r="V44" i="50"/>
  <c r="V47" i="50"/>
  <c r="V45" i="50"/>
  <c r="V48" i="50"/>
  <c r="V49" i="50"/>
  <c r="V55" i="50"/>
  <c r="V56" i="50"/>
  <c r="V50" i="50"/>
  <c r="U51" i="50"/>
  <c r="V88" i="19"/>
  <c r="V87" i="19"/>
  <c r="V83" i="19"/>
  <c r="V85" i="19"/>
  <c r="V84" i="19"/>
  <c r="V81" i="19"/>
  <c r="W22" i="50"/>
  <c r="W23" i="50"/>
  <c r="W98" i="50" s="1"/>
  <c r="X149" i="50"/>
  <c r="Y42" i="31"/>
  <c r="Y6" i="28"/>
  <c r="Y6" i="50"/>
  <c r="Y5" i="50"/>
  <c r="Y5" i="28"/>
  <c r="Y41" i="31"/>
  <c r="CB73" i="50"/>
  <c r="AA142" i="50"/>
  <c r="AB139" i="50"/>
  <c r="V34" i="50"/>
  <c r="V33" i="50"/>
  <c r="V32" i="50"/>
  <c r="V30" i="50"/>
  <c r="Q49" i="31"/>
  <c r="S134" i="50"/>
  <c r="S136" i="50"/>
  <c r="S155" i="50"/>
  <c r="S52" i="31"/>
  <c r="S54" i="31" s="1"/>
  <c r="S156" i="50"/>
  <c r="S165" i="50"/>
  <c r="S166" i="50" s="1"/>
  <c r="S158" i="50"/>
  <c r="S157" i="50"/>
  <c r="S123" i="50"/>
  <c r="S77" i="50"/>
  <c r="S78" i="50" s="1"/>
  <c r="S81" i="50" s="1"/>
  <c r="U74" i="50"/>
  <c r="U128" i="50"/>
  <c r="U130" i="50" s="1"/>
  <c r="T145" i="50"/>
  <c r="T162" i="50"/>
  <c r="T146" i="50"/>
  <c r="T132" i="50"/>
  <c r="T133" i="50" s="1"/>
  <c r="T144" i="50"/>
  <c r="R47" i="31"/>
  <c r="R54" i="31"/>
  <c r="U103" i="50" l="1"/>
  <c r="U104" i="50"/>
  <c r="U105" i="50"/>
  <c r="U107" i="50"/>
  <c r="U111" i="50"/>
  <c r="U108" i="50"/>
  <c r="U112" i="50"/>
  <c r="U106" i="50"/>
  <c r="U110" i="50"/>
  <c r="U115" i="50"/>
  <c r="U114" i="50"/>
  <c r="U118" i="50"/>
  <c r="U113" i="50"/>
  <c r="U119" i="50"/>
  <c r="U121" i="50"/>
  <c r="U109" i="50"/>
  <c r="U116" i="50"/>
  <c r="U117" i="50"/>
  <c r="U120" i="50"/>
  <c r="U122" i="50"/>
  <c r="U88" i="50"/>
  <c r="U89" i="50"/>
  <c r="U86" i="50"/>
  <c r="U91" i="50"/>
  <c r="U92" i="50"/>
  <c r="U87" i="50"/>
  <c r="U90" i="50"/>
  <c r="U93" i="50"/>
  <c r="U94" i="50"/>
  <c r="U96" i="50"/>
  <c r="U95" i="50"/>
  <c r="U97" i="50"/>
  <c r="W88" i="19"/>
  <c r="T99" i="50"/>
  <c r="W83" i="19"/>
  <c r="W87" i="19"/>
  <c r="W59" i="50"/>
  <c r="W68" i="50" s="1"/>
  <c r="W61" i="50"/>
  <c r="W63" i="50"/>
  <c r="W65" i="50"/>
  <c r="Y21" i="50"/>
  <c r="Y26" i="50" s="1"/>
  <c r="Y161" i="50"/>
  <c r="W85" i="19"/>
  <c r="W46" i="50"/>
  <c r="W44" i="50"/>
  <c r="W47" i="50"/>
  <c r="W50" i="50"/>
  <c r="W45" i="50"/>
  <c r="W48" i="50"/>
  <c r="W49" i="50"/>
  <c r="W55" i="50"/>
  <c r="W56" i="50"/>
  <c r="V51" i="50"/>
  <c r="W82" i="19"/>
  <c r="W84" i="19"/>
  <c r="W86" i="19"/>
  <c r="W81" i="19"/>
  <c r="X22" i="50"/>
  <c r="X23" i="50"/>
  <c r="X98" i="50" s="1"/>
  <c r="Y149" i="50"/>
  <c r="Z42" i="31"/>
  <c r="Z6" i="28"/>
  <c r="Z6" i="50"/>
  <c r="Z5" i="50"/>
  <c r="Z41" i="31"/>
  <c r="Z5" i="28"/>
  <c r="CC73" i="50"/>
  <c r="AB142" i="50"/>
  <c r="AC139" i="50"/>
  <c r="W30" i="50"/>
  <c r="W32" i="50"/>
  <c r="W33" i="50"/>
  <c r="W34" i="50"/>
  <c r="R55" i="31"/>
  <c r="S55" i="31" s="1"/>
  <c r="R49" i="31"/>
  <c r="T156" i="50"/>
  <c r="T165" i="50"/>
  <c r="T166" i="50" s="1"/>
  <c r="T134" i="50"/>
  <c r="T136" i="50"/>
  <c r="T155" i="50"/>
  <c r="T52" i="31"/>
  <c r="T158" i="50"/>
  <c r="T157" i="50"/>
  <c r="T123" i="50"/>
  <c r="V74" i="50"/>
  <c r="V128" i="50"/>
  <c r="V130" i="50" s="1"/>
  <c r="U145" i="50"/>
  <c r="U162" i="50"/>
  <c r="U146" i="50"/>
  <c r="U144" i="50"/>
  <c r="U132" i="50"/>
  <c r="U133" i="50" s="1"/>
  <c r="S47" i="31"/>
  <c r="V103" i="50" l="1"/>
  <c r="V106" i="50"/>
  <c r="V104" i="50"/>
  <c r="V105" i="50"/>
  <c r="V107" i="50"/>
  <c r="V109" i="50"/>
  <c r="V110" i="50"/>
  <c r="V111" i="50"/>
  <c r="V112" i="50"/>
  <c r="V113" i="50"/>
  <c r="V108" i="50"/>
  <c r="V115" i="50"/>
  <c r="V116" i="50"/>
  <c r="V119" i="50"/>
  <c r="V118" i="50"/>
  <c r="V121" i="50"/>
  <c r="V114" i="50"/>
  <c r="V122" i="50"/>
  <c r="V90" i="50"/>
  <c r="V120" i="50"/>
  <c r="V93" i="50"/>
  <c r="V94" i="50"/>
  <c r="V117" i="50"/>
  <c r="V95" i="50"/>
  <c r="V86" i="50"/>
  <c r="V88" i="50"/>
  <c r="V89" i="50"/>
  <c r="V91" i="50"/>
  <c r="V92" i="50"/>
  <c r="V96" i="50"/>
  <c r="V87" i="50"/>
  <c r="V97" i="50"/>
  <c r="U99" i="50"/>
  <c r="X59" i="50"/>
  <c r="X68" i="50" s="1"/>
  <c r="X65" i="50"/>
  <c r="X63" i="50"/>
  <c r="X61" i="50"/>
  <c r="X70" i="50" s="1"/>
  <c r="Z21" i="50"/>
  <c r="Z26" i="50" s="1"/>
  <c r="Z161" i="50"/>
  <c r="X82" i="19"/>
  <c r="X46" i="50"/>
  <c r="X44" i="50"/>
  <c r="X45" i="50"/>
  <c r="X48" i="50"/>
  <c r="X49" i="50"/>
  <c r="X47" i="50"/>
  <c r="X50" i="50"/>
  <c r="X55" i="50"/>
  <c r="X56" i="50"/>
  <c r="X88" i="19"/>
  <c r="W51" i="50"/>
  <c r="X87" i="19"/>
  <c r="X86" i="19"/>
  <c r="X83" i="19"/>
  <c r="X84" i="19"/>
  <c r="X85" i="19"/>
  <c r="X81" i="19"/>
  <c r="Y22" i="50"/>
  <c r="Y23" i="50"/>
  <c r="Y98" i="50" s="1"/>
  <c r="Z149" i="50"/>
  <c r="AA6" i="50"/>
  <c r="AA6" i="28"/>
  <c r="AA42" i="31"/>
  <c r="AA5" i="50"/>
  <c r="AA5" i="28"/>
  <c r="AA41" i="31"/>
  <c r="CD73" i="50"/>
  <c r="AC142" i="50"/>
  <c r="AD139" i="50"/>
  <c r="X33" i="50"/>
  <c r="X30" i="50"/>
  <c r="X32" i="50"/>
  <c r="X34" i="50"/>
  <c r="S49" i="31"/>
  <c r="U134" i="50"/>
  <c r="U136" i="50"/>
  <c r="U155" i="50"/>
  <c r="U52" i="31"/>
  <c r="U54" i="31" s="1"/>
  <c r="U156" i="50"/>
  <c r="U165" i="50"/>
  <c r="U166" i="50" s="1"/>
  <c r="U158" i="50"/>
  <c r="U157" i="50"/>
  <c r="U123" i="50"/>
  <c r="W74" i="50"/>
  <c r="W128" i="50"/>
  <c r="W130" i="50" s="1"/>
  <c r="V145" i="50"/>
  <c r="V162" i="50"/>
  <c r="V146" i="50"/>
  <c r="V144" i="50"/>
  <c r="V132" i="50"/>
  <c r="V133" i="50" s="1"/>
  <c r="T54" i="31"/>
  <c r="T55" i="31" s="1"/>
  <c r="T47" i="31"/>
  <c r="W105" i="50" l="1"/>
  <c r="W103" i="50"/>
  <c r="W106" i="50"/>
  <c r="W107" i="50"/>
  <c r="W109" i="50"/>
  <c r="W110" i="50"/>
  <c r="W104" i="50"/>
  <c r="W108" i="50"/>
  <c r="W111" i="50"/>
  <c r="W112" i="50"/>
  <c r="W117" i="50"/>
  <c r="W119" i="50"/>
  <c r="W118" i="50"/>
  <c r="W87" i="50"/>
  <c r="W116" i="50"/>
  <c r="W121" i="50"/>
  <c r="W122" i="50"/>
  <c r="W90" i="50"/>
  <c r="W113" i="50"/>
  <c r="W120" i="50"/>
  <c r="W91" i="50"/>
  <c r="W114" i="50"/>
  <c r="W95" i="50"/>
  <c r="W115" i="50"/>
  <c r="W86" i="50"/>
  <c r="W96" i="50"/>
  <c r="W88" i="50"/>
  <c r="W92" i="50"/>
  <c r="W93" i="50"/>
  <c r="W89" i="50"/>
  <c r="W97" i="50"/>
  <c r="W94" i="50"/>
  <c r="Y84" i="19"/>
  <c r="Y86" i="19"/>
  <c r="Y87" i="19"/>
  <c r="V99" i="50"/>
  <c r="Y61" i="50"/>
  <c r="Y70" i="50" s="1"/>
  <c r="Y59" i="50"/>
  <c r="Y68" i="50" s="1"/>
  <c r="Y63" i="50"/>
  <c r="Y65" i="50"/>
  <c r="AA21" i="50"/>
  <c r="AA26" i="50" s="1"/>
  <c r="AA161" i="50"/>
  <c r="Y83" i="19"/>
  <c r="Y45" i="50"/>
  <c r="Y46" i="50"/>
  <c r="Y47" i="50"/>
  <c r="Y50" i="50"/>
  <c r="Y44" i="50"/>
  <c r="Y49" i="50"/>
  <c r="Y55" i="50"/>
  <c r="Y48" i="50"/>
  <c r="Y56" i="50"/>
  <c r="Y88" i="19"/>
  <c r="X51" i="50"/>
  <c r="Y85" i="19"/>
  <c r="Y82" i="19"/>
  <c r="Y81" i="19"/>
  <c r="Z22" i="50"/>
  <c r="Z23" i="50"/>
  <c r="Z98" i="50" s="1"/>
  <c r="AA149" i="50"/>
  <c r="AB6" i="50"/>
  <c r="AB42" i="31"/>
  <c r="AB6" i="28"/>
  <c r="AB5" i="50"/>
  <c r="AB41" i="31"/>
  <c r="AB5" i="28"/>
  <c r="CE73" i="50"/>
  <c r="AE139" i="50"/>
  <c r="AD142" i="50"/>
  <c r="U55" i="31"/>
  <c r="Y33" i="50"/>
  <c r="Y32" i="50"/>
  <c r="Y34" i="50"/>
  <c r="Y30" i="50"/>
  <c r="T49" i="31"/>
  <c r="V134" i="50"/>
  <c r="V136" i="50"/>
  <c r="V155" i="50"/>
  <c r="V52" i="31"/>
  <c r="V156" i="50"/>
  <c r="V165" i="50"/>
  <c r="V166" i="50" s="1"/>
  <c r="V158" i="50"/>
  <c r="V157" i="50"/>
  <c r="V123" i="50"/>
  <c r="X74" i="50"/>
  <c r="X72" i="50"/>
  <c r="X128" i="50"/>
  <c r="X130" i="50" s="1"/>
  <c r="W145" i="50"/>
  <c r="W162" i="50"/>
  <c r="W146" i="50"/>
  <c r="W144" i="50"/>
  <c r="W132" i="50"/>
  <c r="W133" i="50" s="1"/>
  <c r="U47" i="31"/>
  <c r="X105" i="50" l="1"/>
  <c r="X103" i="50"/>
  <c r="X106" i="50"/>
  <c r="X104" i="50"/>
  <c r="X108" i="50"/>
  <c r="X109" i="50"/>
  <c r="X107" i="50"/>
  <c r="X113" i="50"/>
  <c r="X111" i="50"/>
  <c r="X112" i="50"/>
  <c r="X117" i="50"/>
  <c r="X114" i="50"/>
  <c r="X118" i="50"/>
  <c r="X120" i="50"/>
  <c r="X86" i="50"/>
  <c r="X92" i="50"/>
  <c r="X87" i="50"/>
  <c r="X116" i="50"/>
  <c r="X121" i="50"/>
  <c r="X115" i="50"/>
  <c r="X88" i="50"/>
  <c r="X110" i="50"/>
  <c r="X122" i="50"/>
  <c r="X89" i="50"/>
  <c r="X93" i="50"/>
  <c r="X90" i="50"/>
  <c r="X97" i="50"/>
  <c r="X91" i="50"/>
  <c r="X119" i="50"/>
  <c r="X94" i="50"/>
  <c r="X95" i="50"/>
  <c r="X96" i="50"/>
  <c r="W99" i="50"/>
  <c r="Z61" i="50"/>
  <c r="Z70" i="50" s="1"/>
  <c r="Z59" i="50"/>
  <c r="Z68" i="50" s="1"/>
  <c r="Z63" i="50"/>
  <c r="Z65" i="50"/>
  <c r="AB21" i="50"/>
  <c r="AB26" i="50" s="1"/>
  <c r="AB161" i="50"/>
  <c r="Y51" i="50"/>
  <c r="Z85" i="19"/>
  <c r="Z88" i="19"/>
  <c r="Z45" i="50"/>
  <c r="Z46" i="50"/>
  <c r="Z47" i="50"/>
  <c r="Z49" i="50"/>
  <c r="Z44" i="50"/>
  <c r="Z50" i="50"/>
  <c r="Z55" i="50"/>
  <c r="Z48" i="50"/>
  <c r="Z56" i="50"/>
  <c r="Z87" i="19"/>
  <c r="Z86" i="19"/>
  <c r="Z83" i="19"/>
  <c r="Z82" i="19"/>
  <c r="Z84" i="19"/>
  <c r="Z81" i="19"/>
  <c r="AA22" i="50"/>
  <c r="AA23" i="50"/>
  <c r="AA98" i="50" s="1"/>
  <c r="AB149" i="50"/>
  <c r="AC6" i="50"/>
  <c r="AC42" i="31"/>
  <c r="AC6" i="28"/>
  <c r="AC5" i="50"/>
  <c r="AC41" i="31"/>
  <c r="AC5" i="28"/>
  <c r="CF73" i="50"/>
  <c r="AE142" i="50"/>
  <c r="AF139" i="50"/>
  <c r="Z34" i="50"/>
  <c r="Z32" i="50"/>
  <c r="Z30" i="50"/>
  <c r="Z33" i="50"/>
  <c r="U49" i="31"/>
  <c r="W134" i="50"/>
  <c r="W136" i="50"/>
  <c r="W155" i="50"/>
  <c r="W52" i="31"/>
  <c r="W54" i="31" s="1"/>
  <c r="W156" i="50"/>
  <c r="W165" i="50"/>
  <c r="W166" i="50" s="1"/>
  <c r="W158" i="50"/>
  <c r="W157" i="50"/>
  <c r="W123" i="50"/>
  <c r="Y74" i="50"/>
  <c r="Y72" i="50"/>
  <c r="Y128" i="50"/>
  <c r="Y130" i="50" s="1"/>
  <c r="X76" i="50"/>
  <c r="X145" i="50"/>
  <c r="X162" i="50"/>
  <c r="X146" i="50"/>
  <c r="X144" i="50"/>
  <c r="X132" i="50"/>
  <c r="X133" i="50" s="1"/>
  <c r="V47" i="31"/>
  <c r="V54" i="31"/>
  <c r="Y105" i="50" l="1"/>
  <c r="Y103" i="50"/>
  <c r="Y104" i="50"/>
  <c r="Y106" i="50"/>
  <c r="Y108" i="50"/>
  <c r="Y109" i="50"/>
  <c r="Y110" i="50"/>
  <c r="Y111" i="50"/>
  <c r="Y113" i="50"/>
  <c r="Y114" i="50"/>
  <c r="Y115" i="50"/>
  <c r="Y107" i="50"/>
  <c r="Y120" i="50"/>
  <c r="Y116" i="50"/>
  <c r="Y121" i="50"/>
  <c r="Y112" i="50"/>
  <c r="Y117" i="50"/>
  <c r="Y86" i="50"/>
  <c r="Y89" i="50"/>
  <c r="Y92" i="50"/>
  <c r="Y119" i="50"/>
  <c r="Y93" i="50"/>
  <c r="Y94" i="50"/>
  <c r="Y118" i="50"/>
  <c r="Y122" i="50"/>
  <c r="Y97" i="50"/>
  <c r="Y87" i="50"/>
  <c r="Y88" i="50"/>
  <c r="Y90" i="50"/>
  <c r="Y91" i="50"/>
  <c r="Y95" i="50"/>
  <c r="Y96" i="50"/>
  <c r="AA82" i="19"/>
  <c r="AA86" i="19"/>
  <c r="X99" i="50"/>
  <c r="AA63" i="50"/>
  <c r="AA61" i="50"/>
  <c r="AA70" i="50" s="1"/>
  <c r="AA59" i="50"/>
  <c r="AA68" i="50" s="1"/>
  <c r="AA65" i="50"/>
  <c r="AC21" i="50"/>
  <c r="AC26" i="50" s="1"/>
  <c r="AC161" i="50"/>
  <c r="AA83" i="19"/>
  <c r="AA87" i="19"/>
  <c r="AA84" i="19"/>
  <c r="Z51" i="50"/>
  <c r="AA47" i="50"/>
  <c r="AA45" i="50"/>
  <c r="AA44" i="50"/>
  <c r="AA49" i="50"/>
  <c r="AA48" i="50"/>
  <c r="AA46" i="50"/>
  <c r="AA56" i="50"/>
  <c r="AA50" i="50"/>
  <c r="AA55" i="50"/>
  <c r="AA88" i="19"/>
  <c r="AA85" i="19"/>
  <c r="AA81" i="19"/>
  <c r="AB22" i="50"/>
  <c r="AB23" i="50"/>
  <c r="AB98" i="50" s="1"/>
  <c r="AC149" i="50"/>
  <c r="AD6" i="50"/>
  <c r="AD6" i="28"/>
  <c r="AD42" i="31"/>
  <c r="AD5" i="50"/>
  <c r="AD41" i="31"/>
  <c r="AD5" i="28"/>
  <c r="CG73" i="50"/>
  <c r="AG139" i="50"/>
  <c r="AF142" i="50"/>
  <c r="AA34" i="50"/>
  <c r="AA32" i="50"/>
  <c r="AA30" i="50"/>
  <c r="AA33" i="50"/>
  <c r="V55" i="31"/>
  <c r="W55" i="31" s="1"/>
  <c r="V49" i="31"/>
  <c r="X134" i="50"/>
  <c r="X136" i="50"/>
  <c r="X155" i="50"/>
  <c r="X52" i="31"/>
  <c r="X156" i="50"/>
  <c r="X165" i="50"/>
  <c r="X166" i="50" s="1"/>
  <c r="X158" i="50"/>
  <c r="X157" i="50"/>
  <c r="X123" i="50"/>
  <c r="X77" i="50"/>
  <c r="X78" i="50" s="1"/>
  <c r="X81" i="50" s="1"/>
  <c r="Z74" i="50"/>
  <c r="Z72" i="50"/>
  <c r="Z128" i="50"/>
  <c r="Z130" i="50" s="1"/>
  <c r="Y76" i="50"/>
  <c r="Y145" i="50"/>
  <c r="Y162" i="50"/>
  <c r="Y146" i="50"/>
  <c r="Y144" i="50"/>
  <c r="Y132" i="50"/>
  <c r="Y133" i="50" s="1"/>
  <c r="W47" i="31"/>
  <c r="Z104" i="50" l="1"/>
  <c r="Z105" i="50"/>
  <c r="Z103" i="50"/>
  <c r="Z106" i="50"/>
  <c r="Z108" i="50"/>
  <c r="Z109" i="50"/>
  <c r="Z107" i="50"/>
  <c r="Z112" i="50"/>
  <c r="Z113" i="50"/>
  <c r="Z110" i="50"/>
  <c r="Z116" i="50"/>
  <c r="Z119" i="50"/>
  <c r="Z122" i="50"/>
  <c r="Z115" i="50"/>
  <c r="Z117" i="50"/>
  <c r="Z118" i="50"/>
  <c r="Z114" i="50"/>
  <c r="Z86" i="50"/>
  <c r="Z89" i="50"/>
  <c r="Z111" i="50"/>
  <c r="Z90" i="50"/>
  <c r="Z87" i="50"/>
  <c r="Z88" i="50"/>
  <c r="Z91" i="50"/>
  <c r="Z93" i="50"/>
  <c r="Z120" i="50"/>
  <c r="Z94" i="50"/>
  <c r="Z92" i="50"/>
  <c r="Z95" i="50"/>
  <c r="Z121" i="50"/>
  <c r="Z96" i="50"/>
  <c r="Z97" i="50"/>
  <c r="Y99" i="50"/>
  <c r="AB59" i="50"/>
  <c r="AB68" i="50" s="1"/>
  <c r="AB63" i="50"/>
  <c r="AB61" i="50"/>
  <c r="AB70" i="50" s="1"/>
  <c r="AB65" i="50"/>
  <c r="AD21" i="50"/>
  <c r="AD26" i="50" s="1"/>
  <c r="AD161" i="50"/>
  <c r="AB88" i="19"/>
  <c r="AA51" i="50"/>
  <c r="AB87" i="19"/>
  <c r="AB44" i="50"/>
  <c r="AB47" i="50"/>
  <c r="AB45" i="50"/>
  <c r="AB46" i="50"/>
  <c r="AB49" i="50"/>
  <c r="AB48" i="50"/>
  <c r="AB56" i="50"/>
  <c r="AB50" i="50"/>
  <c r="AB55" i="50"/>
  <c r="AB86" i="19"/>
  <c r="AB83" i="19"/>
  <c r="AB82" i="19"/>
  <c r="AB85" i="19"/>
  <c r="AB84" i="19"/>
  <c r="AB81" i="19"/>
  <c r="AC22" i="50"/>
  <c r="AC23" i="50"/>
  <c r="AC98" i="50" s="1"/>
  <c r="AD149" i="50"/>
  <c r="AE6" i="50"/>
  <c r="AE42" i="31"/>
  <c r="AE6" i="28"/>
  <c r="AE5" i="50"/>
  <c r="AE5" i="28"/>
  <c r="AE41" i="31"/>
  <c r="CH73" i="50"/>
  <c r="AG142" i="50"/>
  <c r="AH139" i="50"/>
  <c r="AB34" i="50"/>
  <c r="AB32" i="50"/>
  <c r="AB30" i="50"/>
  <c r="AB33" i="50"/>
  <c r="W49" i="31"/>
  <c r="Y134" i="50"/>
  <c r="Y136" i="50"/>
  <c r="Y155" i="50"/>
  <c r="Y52" i="31"/>
  <c r="Y54" i="31" s="1"/>
  <c r="Y156" i="50"/>
  <c r="Y165" i="50"/>
  <c r="Y166" i="50" s="1"/>
  <c r="Y158" i="50"/>
  <c r="Y157" i="50"/>
  <c r="Y123" i="50"/>
  <c r="Y77" i="50"/>
  <c r="Y78" i="50" s="1"/>
  <c r="Y81" i="50" s="1"/>
  <c r="AA74" i="50"/>
  <c r="AA72" i="50"/>
  <c r="AA128" i="50"/>
  <c r="AA130" i="50" s="1"/>
  <c r="Z76" i="50"/>
  <c r="Z145" i="50"/>
  <c r="Z162" i="50"/>
  <c r="Z146" i="50"/>
  <c r="Z144" i="50"/>
  <c r="Z132" i="50"/>
  <c r="Z133" i="50" s="1"/>
  <c r="X47" i="31"/>
  <c r="X54" i="31"/>
  <c r="X55" i="31" s="1"/>
  <c r="AA104" i="50" l="1"/>
  <c r="AA105" i="50"/>
  <c r="AA106" i="50"/>
  <c r="AA103" i="50"/>
  <c r="AA108" i="50"/>
  <c r="AA107" i="50"/>
  <c r="AA112" i="50"/>
  <c r="AA109" i="50"/>
  <c r="AA111" i="50"/>
  <c r="AA110" i="50"/>
  <c r="AA116" i="50"/>
  <c r="AA119" i="50"/>
  <c r="AA117" i="50"/>
  <c r="AA122" i="50"/>
  <c r="AA86" i="50"/>
  <c r="AA115" i="50"/>
  <c r="AA91" i="50"/>
  <c r="AA114" i="50"/>
  <c r="AA120" i="50"/>
  <c r="AA121" i="50"/>
  <c r="AA87" i="50"/>
  <c r="AA89" i="50"/>
  <c r="AA90" i="50"/>
  <c r="AA92" i="50"/>
  <c r="AA88" i="50"/>
  <c r="AA96" i="50"/>
  <c r="AA118" i="50"/>
  <c r="AA94" i="50"/>
  <c r="AA95" i="50"/>
  <c r="AA97" i="50"/>
  <c r="AA113" i="50"/>
  <c r="AA93" i="50"/>
  <c r="AC86" i="19"/>
  <c r="AC84" i="19"/>
  <c r="AC85" i="19"/>
  <c r="AC83" i="19"/>
  <c r="Z99" i="50"/>
  <c r="AC61" i="50"/>
  <c r="AC70" i="50" s="1"/>
  <c r="AC63" i="50"/>
  <c r="AC65" i="50"/>
  <c r="AC59" i="50"/>
  <c r="AC68" i="50" s="1"/>
  <c r="AE21" i="50"/>
  <c r="AE26" i="50" s="1"/>
  <c r="AE161" i="50"/>
  <c r="AC82" i="19"/>
  <c r="AC44" i="50"/>
  <c r="AC45" i="50"/>
  <c r="AC46" i="50"/>
  <c r="AC48" i="50"/>
  <c r="AC47" i="50"/>
  <c r="AC49" i="50"/>
  <c r="AC56" i="50"/>
  <c r="AC50" i="50"/>
  <c r="AC55" i="50"/>
  <c r="AB51" i="50"/>
  <c r="AC87" i="19"/>
  <c r="AC88" i="19"/>
  <c r="AC81" i="19"/>
  <c r="AD22" i="50"/>
  <c r="AD23" i="50"/>
  <c r="AD98" i="50" s="1"/>
  <c r="AE149" i="50"/>
  <c r="AF42" i="31"/>
  <c r="AF6" i="50"/>
  <c r="AF6" i="28"/>
  <c r="AF5" i="50"/>
  <c r="AF41" i="31"/>
  <c r="AF5" i="28"/>
  <c r="CI73" i="50"/>
  <c r="Y55" i="31"/>
  <c r="AH142" i="50"/>
  <c r="AI139" i="50"/>
  <c r="AC34" i="50"/>
  <c r="AC32" i="50"/>
  <c r="AC30" i="50"/>
  <c r="AC33" i="50"/>
  <c r="X49" i="31"/>
  <c r="Z134" i="50"/>
  <c r="Z136" i="50"/>
  <c r="Z155" i="50"/>
  <c r="Z52" i="31"/>
  <c r="Z156" i="50"/>
  <c r="Z165" i="50"/>
  <c r="Z166" i="50" s="1"/>
  <c r="Z158" i="50"/>
  <c r="Z157" i="50"/>
  <c r="Z123" i="50"/>
  <c r="Z77" i="50"/>
  <c r="Z78" i="50" s="1"/>
  <c r="Z81" i="50" s="1"/>
  <c r="AB74" i="50"/>
  <c r="AB72" i="50"/>
  <c r="AB128" i="50"/>
  <c r="AB130" i="50" s="1"/>
  <c r="AA76" i="50"/>
  <c r="AA145" i="50"/>
  <c r="AA162" i="50"/>
  <c r="AA146" i="50"/>
  <c r="AA144" i="50"/>
  <c r="AA132" i="50"/>
  <c r="AA133" i="50" s="1"/>
  <c r="Y47" i="31"/>
  <c r="AB104" i="50" l="1"/>
  <c r="AB103" i="50"/>
  <c r="AB107" i="50"/>
  <c r="AB105" i="50"/>
  <c r="AB106" i="50"/>
  <c r="AB108" i="50"/>
  <c r="AB109" i="50"/>
  <c r="AB110" i="50"/>
  <c r="AB112" i="50"/>
  <c r="AB113" i="50"/>
  <c r="AB118" i="50"/>
  <c r="AB111" i="50"/>
  <c r="AB114" i="50"/>
  <c r="AB119" i="50"/>
  <c r="AB120" i="50"/>
  <c r="AB121" i="50"/>
  <c r="AB88" i="50"/>
  <c r="AB117" i="50"/>
  <c r="AB91" i="50"/>
  <c r="AB122" i="50"/>
  <c r="AB92" i="50"/>
  <c r="AB116" i="50"/>
  <c r="AB87" i="50"/>
  <c r="AB96" i="50"/>
  <c r="AB97" i="50"/>
  <c r="AB94" i="50"/>
  <c r="AB86" i="50"/>
  <c r="AB90" i="50"/>
  <c r="AB95" i="50"/>
  <c r="AB115" i="50"/>
  <c r="AB89" i="50"/>
  <c r="AB93" i="50"/>
  <c r="AD61" i="50"/>
  <c r="AD70" i="50" s="1"/>
  <c r="AD65" i="50"/>
  <c r="AD63" i="50"/>
  <c r="AD59" i="50"/>
  <c r="AD68" i="50" s="1"/>
  <c r="AA99" i="50"/>
  <c r="AF21" i="50"/>
  <c r="AF26" i="50" s="1"/>
  <c r="AF161" i="50"/>
  <c r="AD87" i="19"/>
  <c r="AD86" i="19"/>
  <c r="AD46" i="50"/>
  <c r="AD44" i="50"/>
  <c r="AD47" i="50"/>
  <c r="AD48" i="50"/>
  <c r="AD45" i="50"/>
  <c r="AD55" i="50"/>
  <c r="AD49" i="50"/>
  <c r="AD56" i="50"/>
  <c r="AD50" i="50"/>
  <c r="AC51" i="50"/>
  <c r="AD83" i="19"/>
  <c r="AD82" i="19"/>
  <c r="AD85" i="19"/>
  <c r="AD88" i="19"/>
  <c r="AD84" i="19"/>
  <c r="AD81" i="19"/>
  <c r="AE22" i="50"/>
  <c r="AE23" i="50"/>
  <c r="AE98" i="50" s="1"/>
  <c r="AF149" i="50"/>
  <c r="AG6" i="28"/>
  <c r="AG6" i="50"/>
  <c r="AG42" i="31"/>
  <c r="AG5" i="50"/>
  <c r="AG5" i="28"/>
  <c r="AG41" i="31"/>
  <c r="CJ73" i="50"/>
  <c r="AI142" i="50"/>
  <c r="AJ139" i="50"/>
  <c r="AD32" i="50"/>
  <c r="AD30" i="50"/>
  <c r="AD33" i="50"/>
  <c r="AD34" i="50"/>
  <c r="Y49" i="31"/>
  <c r="AA134" i="50"/>
  <c r="AA136" i="50"/>
  <c r="AA155" i="50"/>
  <c r="AA52" i="31"/>
  <c r="AA54" i="31" s="1"/>
  <c r="AA156" i="50"/>
  <c r="AA165" i="50"/>
  <c r="AA166" i="50" s="1"/>
  <c r="AA158" i="50"/>
  <c r="AA157" i="50"/>
  <c r="AA123" i="50"/>
  <c r="AA77" i="50"/>
  <c r="AA78" i="50" s="1"/>
  <c r="AA81" i="50" s="1"/>
  <c r="AC74" i="50"/>
  <c r="AC72" i="50"/>
  <c r="AC128" i="50"/>
  <c r="AC130" i="50" s="1"/>
  <c r="AB76" i="50"/>
  <c r="AB145" i="50"/>
  <c r="AB162" i="50"/>
  <c r="AB146" i="50"/>
  <c r="AB132" i="50"/>
  <c r="AB133" i="50" s="1"/>
  <c r="AB144" i="50"/>
  <c r="Z47" i="31"/>
  <c r="Z54" i="31"/>
  <c r="AC103" i="50" l="1"/>
  <c r="AC104" i="50"/>
  <c r="AC107" i="50"/>
  <c r="AC105" i="50"/>
  <c r="AC106" i="50"/>
  <c r="AC108" i="50"/>
  <c r="AC110" i="50"/>
  <c r="AC111" i="50"/>
  <c r="AC114" i="50"/>
  <c r="AC115" i="50"/>
  <c r="AC118" i="50"/>
  <c r="AC112" i="50"/>
  <c r="AC121" i="50"/>
  <c r="AC113" i="50"/>
  <c r="AC119" i="50"/>
  <c r="AC120" i="50"/>
  <c r="AC88" i="50"/>
  <c r="AC117" i="50"/>
  <c r="AC116" i="50"/>
  <c r="AC89" i="50"/>
  <c r="AC87" i="50"/>
  <c r="AC93" i="50"/>
  <c r="AC122" i="50"/>
  <c r="AC109" i="50"/>
  <c r="AC86" i="50"/>
  <c r="AC94" i="50"/>
  <c r="AC96" i="50"/>
  <c r="AC97" i="50"/>
  <c r="AC90" i="50"/>
  <c r="AC95" i="50"/>
  <c r="AC91" i="50"/>
  <c r="AC92" i="50"/>
  <c r="AE88" i="19"/>
  <c r="AE83" i="19"/>
  <c r="AB99" i="50"/>
  <c r="AE59" i="50"/>
  <c r="AE68" i="50" s="1"/>
  <c r="AE61" i="50"/>
  <c r="AE70" i="50" s="1"/>
  <c r="AE65" i="50"/>
  <c r="AE63" i="50"/>
  <c r="AG21" i="50"/>
  <c r="AG26" i="50" s="1"/>
  <c r="AG161" i="50"/>
  <c r="AE85" i="19"/>
  <c r="AE82" i="19"/>
  <c r="AE46" i="50"/>
  <c r="AE44" i="50"/>
  <c r="AE47" i="50"/>
  <c r="AE50" i="50"/>
  <c r="AE48" i="50"/>
  <c r="AE55" i="50"/>
  <c r="AE49" i="50"/>
  <c r="AE56" i="50"/>
  <c r="AE45" i="50"/>
  <c r="AD51" i="50"/>
  <c r="AE86" i="19"/>
  <c r="AE84" i="19"/>
  <c r="AE87" i="19"/>
  <c r="AE81" i="19"/>
  <c r="AF22" i="50"/>
  <c r="AF23" i="50"/>
  <c r="AF98" i="50" s="1"/>
  <c r="AG149" i="50"/>
  <c r="AH6" i="50"/>
  <c r="AH42" i="31"/>
  <c r="AH6" i="28"/>
  <c r="AH5" i="28"/>
  <c r="AH5" i="50"/>
  <c r="AH41" i="31"/>
  <c r="CK73" i="50"/>
  <c r="AJ142" i="50"/>
  <c r="AK139" i="50"/>
  <c r="AE33" i="50"/>
  <c r="AE34" i="50"/>
  <c r="AE32" i="50"/>
  <c r="AE30" i="50"/>
  <c r="Z55" i="31"/>
  <c r="AA55" i="31" s="1"/>
  <c r="Z49" i="31"/>
  <c r="AB156" i="50"/>
  <c r="AB165" i="50"/>
  <c r="AB166" i="50" s="1"/>
  <c r="AB134" i="50"/>
  <c r="AB136" i="50"/>
  <c r="AB155" i="50"/>
  <c r="AB52" i="31"/>
  <c r="AB158" i="50"/>
  <c r="AB157" i="50"/>
  <c r="AB123" i="50"/>
  <c r="AB77" i="50"/>
  <c r="AB78" i="50" s="1"/>
  <c r="AB81" i="50" s="1"/>
  <c r="AD74" i="50"/>
  <c r="AD72" i="50"/>
  <c r="AD128" i="50"/>
  <c r="AD130" i="50" s="1"/>
  <c r="AC76" i="50"/>
  <c r="AC145" i="50"/>
  <c r="E51" i="4" s="1"/>
  <c r="AC162" i="50"/>
  <c r="AC146" i="50"/>
  <c r="E52" i="4" s="1"/>
  <c r="AC144" i="50"/>
  <c r="AC132" i="50"/>
  <c r="AC133" i="50" s="1"/>
  <c r="AA47" i="31"/>
  <c r="AD103" i="50" l="1"/>
  <c r="AD106" i="50"/>
  <c r="AD104" i="50"/>
  <c r="AD105" i="50"/>
  <c r="AD107" i="50"/>
  <c r="AD110" i="50"/>
  <c r="AD108" i="50"/>
  <c r="AD111" i="50"/>
  <c r="AD112" i="50"/>
  <c r="AD109" i="50"/>
  <c r="AD113" i="50"/>
  <c r="AD114" i="50"/>
  <c r="AD115" i="50"/>
  <c r="AD116" i="50"/>
  <c r="AD119" i="50"/>
  <c r="AD121" i="50"/>
  <c r="AD122" i="50"/>
  <c r="AD118" i="50"/>
  <c r="AD90" i="50"/>
  <c r="AD93" i="50"/>
  <c r="AD86" i="50"/>
  <c r="AD94" i="50"/>
  <c r="AD88" i="50"/>
  <c r="AD117" i="50"/>
  <c r="AD87" i="50"/>
  <c r="AD95" i="50"/>
  <c r="AD120" i="50"/>
  <c r="AD89" i="50"/>
  <c r="AD96" i="50"/>
  <c r="AD91" i="50"/>
  <c r="AD97" i="50"/>
  <c r="AD92" i="50"/>
  <c r="AF84" i="19"/>
  <c r="AC99" i="50"/>
  <c r="AF59" i="50"/>
  <c r="AF68" i="50" s="1"/>
  <c r="AF63" i="50"/>
  <c r="AF65" i="50"/>
  <c r="AF61" i="50"/>
  <c r="AF70" i="50" s="1"/>
  <c r="AH21" i="50"/>
  <c r="AH26" i="50" s="1"/>
  <c r="AH161" i="50"/>
  <c r="AF86" i="19"/>
  <c r="AF46" i="50"/>
  <c r="AF44" i="50"/>
  <c r="AF45" i="50"/>
  <c r="AF47" i="50"/>
  <c r="AF48" i="50"/>
  <c r="AF49" i="50"/>
  <c r="AF55" i="50"/>
  <c r="AF56" i="50"/>
  <c r="AF50" i="50"/>
  <c r="AF83" i="19"/>
  <c r="AE51" i="50"/>
  <c r="AF82" i="19"/>
  <c r="AF85" i="19"/>
  <c r="AF87" i="19"/>
  <c r="AF88" i="19"/>
  <c r="AF81" i="19"/>
  <c r="AG22" i="50"/>
  <c r="AG23" i="50"/>
  <c r="AG98" i="50" s="1"/>
  <c r="AH149" i="50"/>
  <c r="AI42" i="31"/>
  <c r="AI6" i="50"/>
  <c r="AI6" i="28"/>
  <c r="AI5" i="50"/>
  <c r="AI5" i="28"/>
  <c r="AI41" i="31"/>
  <c r="CL73" i="50"/>
  <c r="AK142" i="50"/>
  <c r="AL139" i="50"/>
  <c r="AF34" i="50"/>
  <c r="AF30" i="50"/>
  <c r="AF33" i="50"/>
  <c r="AF32" i="50"/>
  <c r="AA49" i="31"/>
  <c r="AC134" i="50"/>
  <c r="AC136" i="50"/>
  <c r="AC155" i="50"/>
  <c r="AC52" i="31"/>
  <c r="AC54" i="31" s="1"/>
  <c r="E49" i="4"/>
  <c r="AC156" i="50"/>
  <c r="AC165" i="50"/>
  <c r="AC166" i="50" s="1"/>
  <c r="E50" i="4"/>
  <c r="AC158" i="50"/>
  <c r="AC157" i="50"/>
  <c r="AC123" i="50"/>
  <c r="AC77" i="50"/>
  <c r="AC78" i="50" s="1"/>
  <c r="AC81" i="50" s="1"/>
  <c r="AE74" i="50"/>
  <c r="AE72" i="50"/>
  <c r="AE128" i="50"/>
  <c r="AE130" i="50" s="1"/>
  <c r="AD76" i="50"/>
  <c r="AD162" i="50"/>
  <c r="AD145" i="50"/>
  <c r="AD146" i="50"/>
  <c r="AD144" i="50"/>
  <c r="AD132" i="50"/>
  <c r="AD133" i="50" s="1"/>
  <c r="AB54" i="31"/>
  <c r="AB55" i="31" s="1"/>
  <c r="AB47" i="31"/>
  <c r="AE105" i="50" l="1"/>
  <c r="AE103" i="50"/>
  <c r="AE106" i="50"/>
  <c r="AE107" i="50"/>
  <c r="AE109" i="50"/>
  <c r="AE110" i="50"/>
  <c r="AE104" i="50"/>
  <c r="AE111" i="50"/>
  <c r="AE112" i="50"/>
  <c r="AE108" i="50"/>
  <c r="AE113" i="50"/>
  <c r="AE117" i="50"/>
  <c r="AE114" i="50"/>
  <c r="AE116" i="50"/>
  <c r="AE87" i="50"/>
  <c r="AE118" i="50"/>
  <c r="AE90" i="50"/>
  <c r="AE91" i="50"/>
  <c r="AE86" i="50"/>
  <c r="AE88" i="50"/>
  <c r="AE89" i="50"/>
  <c r="AE92" i="50"/>
  <c r="AE93" i="50"/>
  <c r="AE95" i="50"/>
  <c r="AE115" i="50"/>
  <c r="AE119" i="50"/>
  <c r="AE121" i="50"/>
  <c r="AE96" i="50"/>
  <c r="AE122" i="50"/>
  <c r="AE94" i="50"/>
  <c r="AE120" i="50"/>
  <c r="AE97" i="50"/>
  <c r="AG88" i="19"/>
  <c r="AG82" i="19"/>
  <c r="AD99" i="50"/>
  <c r="AG61" i="50"/>
  <c r="AG70" i="50" s="1"/>
  <c r="AG59" i="50"/>
  <c r="AG68" i="50" s="1"/>
  <c r="AG63" i="50"/>
  <c r="AG65" i="50"/>
  <c r="AG85" i="19"/>
  <c r="AI21" i="50"/>
  <c r="AI26" i="50" s="1"/>
  <c r="AI161" i="50"/>
  <c r="AG87" i="19"/>
  <c r="AG45" i="50"/>
  <c r="AG46" i="50"/>
  <c r="AG44" i="50"/>
  <c r="AG50" i="50"/>
  <c r="AG47" i="50"/>
  <c r="AG48" i="50"/>
  <c r="AG55" i="50"/>
  <c r="AG49" i="50"/>
  <c r="AG56" i="50"/>
  <c r="AG83" i="19"/>
  <c r="AF51" i="50"/>
  <c r="AG86" i="19"/>
  <c r="AG84" i="19"/>
  <c r="AG81" i="19"/>
  <c r="AH22" i="50"/>
  <c r="AH23" i="50"/>
  <c r="AH98" i="50" s="1"/>
  <c r="AI149" i="50"/>
  <c r="AJ6" i="50"/>
  <c r="AJ42" i="31"/>
  <c r="AJ6" i="28"/>
  <c r="AJ5" i="50"/>
  <c r="AJ41" i="31"/>
  <c r="AJ5" i="28"/>
  <c r="CM73" i="50"/>
  <c r="AL142" i="50"/>
  <c r="AM139" i="50"/>
  <c r="AC55" i="31"/>
  <c r="AG33" i="50"/>
  <c r="AG30" i="50"/>
  <c r="AG32" i="50"/>
  <c r="AG34" i="50"/>
  <c r="AB49" i="31"/>
  <c r="AD134" i="50"/>
  <c r="AD136" i="50"/>
  <c r="AD155" i="50"/>
  <c r="AD52" i="31"/>
  <c r="AD156" i="50"/>
  <c r="AD165" i="50"/>
  <c r="AD166" i="50" s="1"/>
  <c r="AD158" i="50"/>
  <c r="AD157" i="50"/>
  <c r="AD123" i="50"/>
  <c r="AD77" i="50"/>
  <c r="AD78" i="50" s="1"/>
  <c r="AD81" i="50" s="1"/>
  <c r="AF74" i="50"/>
  <c r="AF72" i="50"/>
  <c r="AF128" i="50"/>
  <c r="AF130" i="50" s="1"/>
  <c r="AE76" i="50"/>
  <c r="AE145" i="50"/>
  <c r="AE162" i="50"/>
  <c r="AE146" i="50"/>
  <c r="AE144" i="50"/>
  <c r="AE132" i="50"/>
  <c r="AE133" i="50" s="1"/>
  <c r="E56" i="4"/>
  <c r="E57" i="4"/>
  <c r="E55" i="4"/>
  <c r="AC47" i="31"/>
  <c r="AF105" i="50" l="1"/>
  <c r="AF103" i="50"/>
  <c r="AF106" i="50"/>
  <c r="AF109" i="50"/>
  <c r="AF108" i="50"/>
  <c r="AF110" i="50"/>
  <c r="AF107" i="50"/>
  <c r="AF113" i="50"/>
  <c r="AF104" i="50"/>
  <c r="AF117" i="50"/>
  <c r="AF118" i="50"/>
  <c r="AF115" i="50"/>
  <c r="AF116" i="50"/>
  <c r="AF120" i="50"/>
  <c r="AF112" i="50"/>
  <c r="AF86" i="50"/>
  <c r="AF111" i="50"/>
  <c r="AF92" i="50"/>
  <c r="AF87" i="50"/>
  <c r="AF114" i="50"/>
  <c r="AF88" i="50"/>
  <c r="AF119" i="50"/>
  <c r="AF121" i="50"/>
  <c r="AF90" i="50"/>
  <c r="AF91" i="50"/>
  <c r="AF89" i="50"/>
  <c r="AF93" i="50"/>
  <c r="AF122" i="50"/>
  <c r="AF96" i="50"/>
  <c r="AF94" i="50"/>
  <c r="AF95" i="50"/>
  <c r="AF97" i="50"/>
  <c r="AE99" i="50"/>
  <c r="AH61" i="50"/>
  <c r="AH70" i="50" s="1"/>
  <c r="AH59" i="50"/>
  <c r="AH68" i="50" s="1"/>
  <c r="AH63" i="50"/>
  <c r="AH65" i="50"/>
  <c r="AJ21" i="50"/>
  <c r="AJ26" i="50" s="1"/>
  <c r="AJ161" i="50"/>
  <c r="AH88" i="19"/>
  <c r="AH86" i="19"/>
  <c r="AG51" i="50"/>
  <c r="AH45" i="50"/>
  <c r="AH46" i="50"/>
  <c r="AH47" i="50"/>
  <c r="AH44" i="50"/>
  <c r="AH49" i="50"/>
  <c r="AH48" i="50"/>
  <c r="AH55" i="50"/>
  <c r="AH50" i="50"/>
  <c r="AH56" i="50"/>
  <c r="AH83" i="19"/>
  <c r="AH82" i="19"/>
  <c r="AH85" i="19"/>
  <c r="AH84" i="19"/>
  <c r="AH87" i="19"/>
  <c r="AH81" i="19"/>
  <c r="AI22" i="50"/>
  <c r="AI23" i="50"/>
  <c r="AI98" i="50" s="1"/>
  <c r="AJ149" i="50"/>
  <c r="AK6" i="50"/>
  <c r="AK42" i="31"/>
  <c r="AK6" i="28"/>
  <c r="AK5" i="50"/>
  <c r="AK5" i="28"/>
  <c r="AK41" i="31"/>
  <c r="CN73" i="50"/>
  <c r="AM142" i="50"/>
  <c r="AN139" i="50"/>
  <c r="AH32" i="50"/>
  <c r="AH34" i="50"/>
  <c r="AH30" i="50"/>
  <c r="AH33" i="50"/>
  <c r="AC49" i="31"/>
  <c r="AE134" i="50"/>
  <c r="AE136" i="50"/>
  <c r="AE155" i="50"/>
  <c r="AE52" i="31"/>
  <c r="AE54" i="31" s="1"/>
  <c r="AE156" i="50"/>
  <c r="AE165" i="50"/>
  <c r="AE166" i="50" s="1"/>
  <c r="AE158" i="50"/>
  <c r="AE157" i="50"/>
  <c r="AE123" i="50"/>
  <c r="AE77" i="50"/>
  <c r="AE78" i="50" s="1"/>
  <c r="AE81" i="50" s="1"/>
  <c r="AG74" i="50"/>
  <c r="AG72" i="50"/>
  <c r="AG128" i="50"/>
  <c r="AG130" i="50" s="1"/>
  <c r="AF76" i="50"/>
  <c r="AF145" i="50"/>
  <c r="AF162" i="50"/>
  <c r="AF146" i="50"/>
  <c r="AF132" i="50"/>
  <c r="AF133" i="50" s="1"/>
  <c r="AF144" i="50"/>
  <c r="AD47" i="31"/>
  <c r="AD54" i="31"/>
  <c r="AG105" i="50" l="1"/>
  <c r="AG103" i="50"/>
  <c r="AG104" i="50"/>
  <c r="AG108" i="50"/>
  <c r="AG109" i="50"/>
  <c r="AG107" i="50"/>
  <c r="AG111" i="50"/>
  <c r="AG112" i="50"/>
  <c r="AG113" i="50"/>
  <c r="AG106" i="50"/>
  <c r="AG114" i="50"/>
  <c r="AG110" i="50"/>
  <c r="AG115" i="50"/>
  <c r="AG117" i="50"/>
  <c r="AG118" i="50"/>
  <c r="AG119" i="50"/>
  <c r="AG116" i="50"/>
  <c r="AG120" i="50"/>
  <c r="AG121" i="50"/>
  <c r="AG122" i="50"/>
  <c r="AG89" i="50"/>
  <c r="AG92" i="50"/>
  <c r="AG93" i="50"/>
  <c r="AG86" i="50"/>
  <c r="AG94" i="50"/>
  <c r="AG87" i="50"/>
  <c r="AG88" i="50"/>
  <c r="AG90" i="50"/>
  <c r="AG91" i="50"/>
  <c r="AG97" i="50"/>
  <c r="AG95" i="50"/>
  <c r="AG96" i="50"/>
  <c r="AF99" i="50"/>
  <c r="AI63" i="50"/>
  <c r="AI61" i="50"/>
  <c r="AI70" i="50" s="1"/>
  <c r="AI59" i="50"/>
  <c r="AI68" i="50" s="1"/>
  <c r="AI65" i="50"/>
  <c r="AK21" i="50"/>
  <c r="AK26" i="50" s="1"/>
  <c r="AK161" i="50"/>
  <c r="AI84" i="19"/>
  <c r="AI85" i="19"/>
  <c r="AI82" i="19"/>
  <c r="AI83" i="19"/>
  <c r="AH51" i="50"/>
  <c r="AI87" i="19"/>
  <c r="AI47" i="50"/>
  <c r="AI45" i="50"/>
  <c r="AI44" i="50"/>
  <c r="AI46" i="50"/>
  <c r="AI49" i="50"/>
  <c r="AI48" i="50"/>
  <c r="AI50" i="50"/>
  <c r="AI56" i="50"/>
  <c r="AI55" i="50"/>
  <c r="AI86" i="19"/>
  <c r="AI88" i="19"/>
  <c r="AI81" i="19"/>
  <c r="AJ22" i="50"/>
  <c r="AJ23" i="50"/>
  <c r="AJ98" i="50" s="1"/>
  <c r="AK149" i="50"/>
  <c r="AL6" i="28"/>
  <c r="AL6" i="50"/>
  <c r="AL42" i="31"/>
  <c r="AL5" i="50"/>
  <c r="AL41" i="31"/>
  <c r="AL5" i="28"/>
  <c r="CO73" i="50"/>
  <c r="AN142" i="50"/>
  <c r="AO139" i="50"/>
  <c r="AI32" i="50"/>
  <c r="AI34" i="50"/>
  <c r="AI33" i="50"/>
  <c r="AI30" i="50"/>
  <c r="AD55" i="31"/>
  <c r="AE55" i="31" s="1"/>
  <c r="AD49" i="31"/>
  <c r="AF156" i="50"/>
  <c r="AF165" i="50"/>
  <c r="AF166" i="50" s="1"/>
  <c r="AF134" i="50"/>
  <c r="AF136" i="50"/>
  <c r="AF155" i="50"/>
  <c r="AF52" i="31"/>
  <c r="AF158" i="50"/>
  <c r="AF157" i="50"/>
  <c r="AF123" i="50"/>
  <c r="AF77" i="50"/>
  <c r="AF78" i="50" s="1"/>
  <c r="AF81" i="50" s="1"/>
  <c r="AH74" i="50"/>
  <c r="AH72" i="50"/>
  <c r="AH128" i="50"/>
  <c r="AH130" i="50" s="1"/>
  <c r="AG76" i="50"/>
  <c r="AG145" i="50"/>
  <c r="AG162" i="50"/>
  <c r="AG146" i="50"/>
  <c r="AG144" i="50"/>
  <c r="AG132" i="50"/>
  <c r="AG133" i="50" s="1"/>
  <c r="AE47" i="31"/>
  <c r="AH104" i="50" l="1"/>
  <c r="AH105" i="50"/>
  <c r="AH108" i="50"/>
  <c r="AH103" i="50"/>
  <c r="AH106" i="50"/>
  <c r="AH107" i="50"/>
  <c r="AH109" i="50"/>
  <c r="AH112" i="50"/>
  <c r="AH110" i="50"/>
  <c r="AH111" i="50"/>
  <c r="AH113" i="50"/>
  <c r="AH116" i="50"/>
  <c r="AH119" i="50"/>
  <c r="AH114" i="50"/>
  <c r="AH122" i="50"/>
  <c r="AH115" i="50"/>
  <c r="AH117" i="50"/>
  <c r="AH118" i="50"/>
  <c r="AH120" i="50"/>
  <c r="AH121" i="50"/>
  <c r="AH89" i="50"/>
  <c r="AH90" i="50"/>
  <c r="AH86" i="50"/>
  <c r="AH92" i="50"/>
  <c r="AH94" i="50"/>
  <c r="AH87" i="50"/>
  <c r="AH88" i="50"/>
  <c r="AH91" i="50"/>
  <c r="AH95" i="50"/>
  <c r="AH96" i="50"/>
  <c r="AH93" i="50"/>
  <c r="AH97" i="50"/>
  <c r="AJ86" i="19"/>
  <c r="AG99" i="50"/>
  <c r="AJ59" i="50"/>
  <c r="AJ68" i="50" s="1"/>
  <c r="AJ63" i="50"/>
  <c r="AJ61" i="50"/>
  <c r="AJ70" i="50" s="1"/>
  <c r="AJ65" i="50"/>
  <c r="AL21" i="50"/>
  <c r="AL26" i="50" s="1"/>
  <c r="AL161" i="50"/>
  <c r="AJ88" i="19"/>
  <c r="AJ87" i="19"/>
  <c r="AJ83" i="19"/>
  <c r="AI51" i="50"/>
  <c r="AJ44" i="50"/>
  <c r="AJ47" i="50"/>
  <c r="AJ45" i="50"/>
  <c r="AJ46" i="50"/>
  <c r="AJ49" i="50"/>
  <c r="AJ50" i="50"/>
  <c r="AJ56" i="50"/>
  <c r="AJ48" i="50"/>
  <c r="AJ55" i="50"/>
  <c r="AJ82" i="19"/>
  <c r="AJ85" i="19"/>
  <c r="AJ84" i="19"/>
  <c r="AJ81" i="19"/>
  <c r="AK22" i="50"/>
  <c r="AK23" i="50"/>
  <c r="AK98" i="50" s="1"/>
  <c r="AL149" i="50"/>
  <c r="AM6" i="50"/>
  <c r="AM6" i="28"/>
  <c r="AM42" i="31"/>
  <c r="AM5" i="50"/>
  <c r="AM5" i="28"/>
  <c r="AM41" i="31"/>
  <c r="CP73" i="50"/>
  <c r="AO142" i="50"/>
  <c r="AP139" i="50"/>
  <c r="AJ33" i="50"/>
  <c r="AJ30" i="50"/>
  <c r="AJ34" i="50"/>
  <c r="AJ32" i="50"/>
  <c r="AE49" i="31"/>
  <c r="AG134" i="50"/>
  <c r="AG136" i="50"/>
  <c r="AG155" i="50"/>
  <c r="AG52" i="31"/>
  <c r="AG54" i="31" s="1"/>
  <c r="AG156" i="50"/>
  <c r="AG165" i="50"/>
  <c r="AG166" i="50" s="1"/>
  <c r="AG158" i="50"/>
  <c r="AG157" i="50"/>
  <c r="AG123" i="50"/>
  <c r="AG77" i="50"/>
  <c r="AG78" i="50" s="1"/>
  <c r="AG81" i="50" s="1"/>
  <c r="AI74" i="50"/>
  <c r="AI72" i="50"/>
  <c r="AI128" i="50"/>
  <c r="AI130" i="50" s="1"/>
  <c r="AH76" i="50"/>
  <c r="AH145" i="50"/>
  <c r="AH162" i="50"/>
  <c r="AH146" i="50"/>
  <c r="AH144" i="50"/>
  <c r="AH132" i="50"/>
  <c r="AH133" i="50" s="1"/>
  <c r="AF54" i="31"/>
  <c r="AF55" i="31" s="1"/>
  <c r="AF47" i="31"/>
  <c r="AI104" i="50" l="1"/>
  <c r="AI105" i="50"/>
  <c r="AI106" i="50"/>
  <c r="AI103" i="50"/>
  <c r="AI107" i="50"/>
  <c r="AI109" i="50"/>
  <c r="AI108" i="50"/>
  <c r="AI112" i="50"/>
  <c r="AI110" i="50"/>
  <c r="AI111" i="50"/>
  <c r="AI113" i="50"/>
  <c r="AI116" i="50"/>
  <c r="AI119" i="50"/>
  <c r="AI117" i="50"/>
  <c r="AI122" i="50"/>
  <c r="AI86" i="50"/>
  <c r="AI115" i="50"/>
  <c r="AI91" i="50"/>
  <c r="AI120" i="50"/>
  <c r="AI121" i="50"/>
  <c r="AI118" i="50"/>
  <c r="AI87" i="50"/>
  <c r="AI96" i="50"/>
  <c r="AI114" i="50"/>
  <c r="AI89" i="50"/>
  <c r="AI90" i="50"/>
  <c r="AI92" i="50"/>
  <c r="AI94" i="50"/>
  <c r="AI93" i="50"/>
  <c r="AI97" i="50"/>
  <c r="AI88" i="50"/>
  <c r="AI95" i="50"/>
  <c r="AH99" i="50"/>
  <c r="AK61" i="50"/>
  <c r="AK70" i="50" s="1"/>
  <c r="AK65" i="50"/>
  <c r="AK59" i="50"/>
  <c r="AK68" i="50" s="1"/>
  <c r="AK63" i="50"/>
  <c r="AM21" i="50"/>
  <c r="AM26" i="50" s="1"/>
  <c r="AM161" i="50"/>
  <c r="AK85" i="19"/>
  <c r="AK82" i="19"/>
  <c r="AJ51" i="50"/>
  <c r="AK44" i="50"/>
  <c r="AK45" i="50"/>
  <c r="AK46" i="50"/>
  <c r="AK48" i="50"/>
  <c r="AK49" i="50"/>
  <c r="AK47" i="50"/>
  <c r="AK50" i="50"/>
  <c r="AK56" i="50"/>
  <c r="AK55" i="50"/>
  <c r="AK83" i="19"/>
  <c r="AK87" i="19"/>
  <c r="AK86" i="19"/>
  <c r="AK84" i="19"/>
  <c r="AK88" i="19"/>
  <c r="AK81" i="19"/>
  <c r="AL22" i="50"/>
  <c r="AL23" i="50"/>
  <c r="AL98" i="50" s="1"/>
  <c r="AM149" i="50"/>
  <c r="AN6" i="50"/>
  <c r="AN42" i="31"/>
  <c r="AN6" i="28"/>
  <c r="AN5" i="50"/>
  <c r="AN41" i="31"/>
  <c r="AN5" i="28"/>
  <c r="CQ73" i="50"/>
  <c r="AQ139" i="50"/>
  <c r="AP142" i="50"/>
  <c r="AG55" i="31"/>
  <c r="AK33" i="50"/>
  <c r="AK30" i="50"/>
  <c r="AK32" i="50"/>
  <c r="AK34" i="50"/>
  <c r="AF49" i="31"/>
  <c r="AH134" i="50"/>
  <c r="AH136" i="50"/>
  <c r="AH155" i="50"/>
  <c r="AH52" i="31"/>
  <c r="AH156" i="50"/>
  <c r="AH165" i="50"/>
  <c r="AH166" i="50" s="1"/>
  <c r="AH158" i="50"/>
  <c r="AH157" i="50"/>
  <c r="AH123" i="50"/>
  <c r="AH77" i="50"/>
  <c r="AH78" i="50" s="1"/>
  <c r="AH81" i="50" s="1"/>
  <c r="AJ74" i="50"/>
  <c r="AJ72" i="50"/>
  <c r="AJ128" i="50"/>
  <c r="AJ130" i="50" s="1"/>
  <c r="AI76" i="50"/>
  <c r="AI145" i="50"/>
  <c r="AI146" i="50"/>
  <c r="AI162" i="50"/>
  <c r="AI144" i="50"/>
  <c r="AI132" i="50"/>
  <c r="AI133" i="50" s="1"/>
  <c r="AG47" i="31"/>
  <c r="AJ162" i="50" l="1"/>
  <c r="AJ104" i="50"/>
  <c r="AJ103" i="50"/>
  <c r="AJ107" i="50"/>
  <c r="AJ108" i="50"/>
  <c r="AJ106" i="50"/>
  <c r="AJ105" i="50"/>
  <c r="AJ110" i="50"/>
  <c r="AJ112" i="50"/>
  <c r="AJ111" i="50"/>
  <c r="AJ113" i="50"/>
  <c r="AJ118" i="50"/>
  <c r="AJ109" i="50"/>
  <c r="AJ119" i="50"/>
  <c r="AJ114" i="50"/>
  <c r="AJ120" i="50"/>
  <c r="AJ86" i="50"/>
  <c r="AJ88" i="50"/>
  <c r="AJ115" i="50"/>
  <c r="AJ122" i="50"/>
  <c r="AJ91" i="50"/>
  <c r="AJ121" i="50"/>
  <c r="AJ117" i="50"/>
  <c r="AJ92" i="50"/>
  <c r="AJ93" i="50"/>
  <c r="AJ116" i="50"/>
  <c r="AJ96" i="50"/>
  <c r="AJ97" i="50"/>
  <c r="AJ89" i="50"/>
  <c r="AJ90" i="50"/>
  <c r="AJ94" i="50"/>
  <c r="AJ87" i="50"/>
  <c r="AJ95" i="50"/>
  <c r="AI99" i="50"/>
  <c r="AL61" i="50"/>
  <c r="AL70" i="50" s="1"/>
  <c r="AL65" i="50"/>
  <c r="AL63" i="50"/>
  <c r="AL59" i="50"/>
  <c r="AL68" i="50" s="1"/>
  <c r="AN21" i="50"/>
  <c r="AN26" i="50" s="1"/>
  <c r="AN161" i="50"/>
  <c r="AL84" i="19"/>
  <c r="AL86" i="19"/>
  <c r="AL87" i="19"/>
  <c r="AL46" i="50"/>
  <c r="AL44" i="50"/>
  <c r="AL47" i="50"/>
  <c r="AL48" i="50"/>
  <c r="AL45" i="50"/>
  <c r="AL55" i="50"/>
  <c r="AL50" i="50"/>
  <c r="AL56" i="50"/>
  <c r="AL49" i="50"/>
  <c r="AL83" i="19"/>
  <c r="AK51" i="50"/>
  <c r="AL82" i="19"/>
  <c r="AL88" i="19"/>
  <c r="AL85" i="19"/>
  <c r="AL81" i="19"/>
  <c r="AM22" i="50"/>
  <c r="AM23" i="50"/>
  <c r="AM98" i="50" s="1"/>
  <c r="AN149" i="50"/>
  <c r="AO6" i="28"/>
  <c r="AO6" i="50"/>
  <c r="AO42" i="31"/>
  <c r="AO5" i="50"/>
  <c r="AO41" i="31"/>
  <c r="AO5" i="28"/>
  <c r="CR73" i="50"/>
  <c r="AQ142" i="50"/>
  <c r="AR139" i="50"/>
  <c r="AL30" i="50"/>
  <c r="AL32" i="50"/>
  <c r="AL33" i="50"/>
  <c r="AL34" i="50"/>
  <c r="AG49" i="31"/>
  <c r="AI134" i="50"/>
  <c r="AI136" i="50"/>
  <c r="AI155" i="50"/>
  <c r="AI52" i="31"/>
  <c r="AI54" i="31" s="1"/>
  <c r="AI156" i="50"/>
  <c r="AI165" i="50"/>
  <c r="AI166" i="50" s="1"/>
  <c r="AI123" i="50"/>
  <c r="AI158" i="50"/>
  <c r="AI157" i="50"/>
  <c r="AI77" i="50"/>
  <c r="AI78" i="50" s="1"/>
  <c r="AI81" i="50" s="1"/>
  <c r="AK74" i="50"/>
  <c r="AK72" i="50"/>
  <c r="AK128" i="50"/>
  <c r="AK130" i="50" s="1"/>
  <c r="AJ76" i="50"/>
  <c r="AJ145" i="50"/>
  <c r="AJ146" i="50"/>
  <c r="AJ144" i="50"/>
  <c r="AJ132" i="50"/>
  <c r="AJ133" i="50" s="1"/>
  <c r="AH47" i="31"/>
  <c r="AH54" i="31"/>
  <c r="AK162" i="50" l="1"/>
  <c r="AK103" i="50"/>
  <c r="AK104" i="50"/>
  <c r="AK107" i="50"/>
  <c r="AK105" i="50"/>
  <c r="AK106" i="50"/>
  <c r="AK109" i="50"/>
  <c r="AK111" i="50"/>
  <c r="AK110" i="50"/>
  <c r="AK112" i="50"/>
  <c r="AK115" i="50"/>
  <c r="AK118" i="50"/>
  <c r="AK108" i="50"/>
  <c r="AK121" i="50"/>
  <c r="AK117" i="50"/>
  <c r="AK119" i="50"/>
  <c r="AK86" i="50"/>
  <c r="AK88" i="50"/>
  <c r="AK120" i="50"/>
  <c r="AK113" i="50"/>
  <c r="AK114" i="50"/>
  <c r="AK89" i="50"/>
  <c r="AK122" i="50"/>
  <c r="AK116" i="50"/>
  <c r="AK87" i="50"/>
  <c r="AK90" i="50"/>
  <c r="AK94" i="50"/>
  <c r="AK93" i="50"/>
  <c r="AK97" i="50"/>
  <c r="AK91" i="50"/>
  <c r="AK92" i="50"/>
  <c r="AK95" i="50"/>
  <c r="AK96" i="50"/>
  <c r="AM88" i="19"/>
  <c r="AJ99" i="50"/>
  <c r="AJ123" i="50"/>
  <c r="AM59" i="50"/>
  <c r="AM68" i="50" s="1"/>
  <c r="AM65" i="50"/>
  <c r="AM61" i="50"/>
  <c r="AM70" i="50" s="1"/>
  <c r="AM63" i="50"/>
  <c r="AO21" i="50"/>
  <c r="AO26" i="50" s="1"/>
  <c r="AO161" i="50"/>
  <c r="AM85" i="19"/>
  <c r="AM82" i="19"/>
  <c r="AM83" i="19"/>
  <c r="AM46" i="50"/>
  <c r="AM44" i="50"/>
  <c r="AM47" i="50"/>
  <c r="AM50" i="50"/>
  <c r="AM48" i="50"/>
  <c r="AM45" i="50"/>
  <c r="AM55" i="50"/>
  <c r="AM56" i="50"/>
  <c r="AM49" i="50"/>
  <c r="AL51" i="50"/>
  <c r="AM87" i="19"/>
  <c r="AM86" i="19"/>
  <c r="AM84" i="19"/>
  <c r="AM81" i="19"/>
  <c r="AN22" i="50"/>
  <c r="AN23" i="50"/>
  <c r="AN98" i="50" s="1"/>
  <c r="AO149" i="50"/>
  <c r="AP6" i="50"/>
  <c r="AP42" i="31"/>
  <c r="AP6" i="28"/>
  <c r="AP5" i="28"/>
  <c r="AP5" i="50"/>
  <c r="AN85" i="19" s="1"/>
  <c r="AP41" i="31"/>
  <c r="CS73" i="50"/>
  <c r="AS139" i="50"/>
  <c r="AR142" i="50"/>
  <c r="AM33" i="50"/>
  <c r="AM30" i="50"/>
  <c r="AM32" i="50"/>
  <c r="AM34" i="50"/>
  <c r="AH55" i="31"/>
  <c r="AI55" i="31" s="1"/>
  <c r="AH49" i="31"/>
  <c r="AJ134" i="50"/>
  <c r="AJ136" i="50"/>
  <c r="AJ155" i="50"/>
  <c r="AJ52" i="31"/>
  <c r="AJ156" i="50"/>
  <c r="AJ165" i="50"/>
  <c r="AJ166" i="50" s="1"/>
  <c r="AJ158" i="50"/>
  <c r="AJ157" i="50"/>
  <c r="AJ77" i="50"/>
  <c r="AJ78" i="50" s="1"/>
  <c r="AJ81" i="50" s="1"/>
  <c r="AL74" i="50"/>
  <c r="AL72" i="50"/>
  <c r="AL128" i="50"/>
  <c r="AL130" i="50" s="1"/>
  <c r="AK76" i="50"/>
  <c r="AK145" i="50"/>
  <c r="AK146" i="50"/>
  <c r="AK144" i="50"/>
  <c r="AK132" i="50"/>
  <c r="AK133" i="50" s="1"/>
  <c r="AI47" i="31"/>
  <c r="AL162" i="50" l="1"/>
  <c r="AL103" i="50"/>
  <c r="AL106" i="50"/>
  <c r="AL104" i="50"/>
  <c r="AL105" i="50"/>
  <c r="AL107" i="50"/>
  <c r="AL108" i="50"/>
  <c r="AL110" i="50"/>
  <c r="AL109" i="50"/>
  <c r="AL111" i="50"/>
  <c r="AL112" i="50"/>
  <c r="AL113" i="50"/>
  <c r="AL114" i="50"/>
  <c r="AL115" i="50"/>
  <c r="AL116" i="50"/>
  <c r="AL119" i="50"/>
  <c r="AL121" i="50"/>
  <c r="AL117" i="50"/>
  <c r="AL122" i="50"/>
  <c r="AL90" i="50"/>
  <c r="AL93" i="50"/>
  <c r="AL87" i="50"/>
  <c r="AL94" i="50"/>
  <c r="AL86" i="50"/>
  <c r="AL95" i="50"/>
  <c r="AL120" i="50"/>
  <c r="AL88" i="50"/>
  <c r="AL89" i="50"/>
  <c r="AL91" i="50"/>
  <c r="AL92" i="50"/>
  <c r="AL97" i="50"/>
  <c r="AL118" i="50"/>
  <c r="AL96" i="50"/>
  <c r="AN59" i="50"/>
  <c r="AN68" i="50" s="1"/>
  <c r="AN61" i="50"/>
  <c r="AN70" i="50" s="1"/>
  <c r="AN65" i="50"/>
  <c r="AN63" i="50"/>
  <c r="AK123" i="50"/>
  <c r="AK99" i="50"/>
  <c r="AP21" i="50"/>
  <c r="AP26" i="50" s="1"/>
  <c r="AP161" i="50"/>
  <c r="AN86" i="19"/>
  <c r="AN87" i="19"/>
  <c r="AN46" i="50"/>
  <c r="AN44" i="50"/>
  <c r="AN45" i="50"/>
  <c r="AN48" i="50"/>
  <c r="AN49" i="50"/>
  <c r="AN47" i="50"/>
  <c r="AN55" i="50"/>
  <c r="AN50" i="50"/>
  <c r="AN56" i="50"/>
  <c r="AN82" i="19"/>
  <c r="AN83" i="19"/>
  <c r="AO83" i="19" s="1"/>
  <c r="AM51" i="50"/>
  <c r="AN84" i="19"/>
  <c r="AN88" i="19"/>
  <c r="AN81" i="19"/>
  <c r="AO22" i="50"/>
  <c r="AO23" i="50"/>
  <c r="AO98" i="50" s="1"/>
  <c r="AP149" i="50"/>
  <c r="AQ42" i="31"/>
  <c r="AQ6" i="28"/>
  <c r="AQ6" i="50"/>
  <c r="AQ5" i="50"/>
  <c r="AQ5" i="28"/>
  <c r="AQ41" i="31"/>
  <c r="CT73" i="50"/>
  <c r="AS142" i="50"/>
  <c r="AT139" i="50"/>
  <c r="AN30" i="50"/>
  <c r="AN32" i="50"/>
  <c r="AN34" i="50"/>
  <c r="AN33" i="50"/>
  <c r="AI49" i="31"/>
  <c r="AK134" i="50"/>
  <c r="AK136" i="50"/>
  <c r="AK155" i="50"/>
  <c r="AK52" i="31"/>
  <c r="AK54" i="31" s="1"/>
  <c r="AK156" i="50"/>
  <c r="AK165" i="50"/>
  <c r="AK166" i="50" s="1"/>
  <c r="AK158" i="50"/>
  <c r="AK157" i="50"/>
  <c r="AK77" i="50"/>
  <c r="AK78" i="50" s="1"/>
  <c r="AK81" i="50" s="1"/>
  <c r="AM74" i="50"/>
  <c r="AM72" i="50"/>
  <c r="AM128" i="50"/>
  <c r="AM130" i="50" s="1"/>
  <c r="AL76" i="50"/>
  <c r="AL145" i="50"/>
  <c r="AL146" i="50"/>
  <c r="AL144" i="50"/>
  <c r="AL132" i="50"/>
  <c r="AL133" i="50" s="1"/>
  <c r="AJ47" i="31"/>
  <c r="AJ54" i="31"/>
  <c r="AJ55" i="31" s="1"/>
  <c r="AM162" i="50" l="1"/>
  <c r="AM105" i="50"/>
  <c r="AM103" i="50"/>
  <c r="AM106" i="50"/>
  <c r="AM104" i="50"/>
  <c r="AM107" i="50"/>
  <c r="AM108" i="50"/>
  <c r="AM110" i="50"/>
  <c r="AM109" i="50"/>
  <c r="AM112" i="50"/>
  <c r="AM117" i="50"/>
  <c r="AM114" i="50"/>
  <c r="AM115" i="50"/>
  <c r="AM116" i="50"/>
  <c r="AM118" i="50"/>
  <c r="AM113" i="50"/>
  <c r="AM87" i="50"/>
  <c r="AM119" i="50"/>
  <c r="AM90" i="50"/>
  <c r="AM120" i="50"/>
  <c r="AM91" i="50"/>
  <c r="AM111" i="50"/>
  <c r="AM88" i="50"/>
  <c r="AM89" i="50"/>
  <c r="AM92" i="50"/>
  <c r="AM121" i="50"/>
  <c r="AM122" i="50"/>
  <c r="AM86" i="50"/>
  <c r="AM95" i="50"/>
  <c r="AM96" i="50"/>
  <c r="AM93" i="50"/>
  <c r="AM97" i="50"/>
  <c r="AM94" i="50"/>
  <c r="AL99" i="50"/>
  <c r="AL123" i="50"/>
  <c r="AO61" i="50"/>
  <c r="AO70" i="50" s="1"/>
  <c r="AO59" i="50"/>
  <c r="AO68" i="50" s="1"/>
  <c r="AO63" i="50"/>
  <c r="AO65" i="50"/>
  <c r="AQ21" i="50"/>
  <c r="AQ26" i="50" s="1"/>
  <c r="AQ161" i="50"/>
  <c r="AO84" i="19"/>
  <c r="AO85" i="19"/>
  <c r="AO82" i="19"/>
  <c r="AO45" i="50"/>
  <c r="AO46" i="50"/>
  <c r="AO44" i="50"/>
  <c r="AO50" i="50"/>
  <c r="AO47" i="50"/>
  <c r="AO49" i="50"/>
  <c r="AO55" i="50"/>
  <c r="AO48" i="50"/>
  <c r="AO56" i="50"/>
  <c r="AO87" i="19"/>
  <c r="AN51" i="50"/>
  <c r="AO88" i="19"/>
  <c r="AO86" i="19"/>
  <c r="AO81" i="19"/>
  <c r="AP22" i="50"/>
  <c r="AP23" i="50"/>
  <c r="AP98" i="50" s="1"/>
  <c r="AQ149" i="50"/>
  <c r="AR6" i="50"/>
  <c r="AR42" i="31"/>
  <c r="AR6" i="28"/>
  <c r="AR5" i="50"/>
  <c r="AR41" i="31"/>
  <c r="AR5" i="28"/>
  <c r="CU73" i="50"/>
  <c r="AT142" i="50"/>
  <c r="AU139" i="50"/>
  <c r="AK55" i="31"/>
  <c r="AO34" i="50"/>
  <c r="AO33" i="50"/>
  <c r="AO30" i="50"/>
  <c r="AO32" i="50"/>
  <c r="AJ49" i="31"/>
  <c r="AL134" i="50"/>
  <c r="AL136" i="50"/>
  <c r="AL155" i="50"/>
  <c r="AL52" i="31"/>
  <c r="AL156" i="50"/>
  <c r="AL165" i="50"/>
  <c r="AL166" i="50" s="1"/>
  <c r="AL158" i="50"/>
  <c r="AL157" i="50"/>
  <c r="AL77" i="50"/>
  <c r="AL78" i="50" s="1"/>
  <c r="AL81" i="50" s="1"/>
  <c r="AN74" i="50"/>
  <c r="AN72" i="50"/>
  <c r="AN128" i="50"/>
  <c r="AN130" i="50" s="1"/>
  <c r="AM76" i="50"/>
  <c r="AM145" i="50"/>
  <c r="AM146" i="50"/>
  <c r="AM132" i="50"/>
  <c r="AM133" i="50" s="1"/>
  <c r="AM144" i="50"/>
  <c r="AK47" i="31"/>
  <c r="AN105" i="50" l="1"/>
  <c r="AN103" i="50"/>
  <c r="AN106" i="50"/>
  <c r="AN104" i="50"/>
  <c r="AN109" i="50"/>
  <c r="AN108" i="50"/>
  <c r="AN107" i="50"/>
  <c r="AN113" i="50"/>
  <c r="AN111" i="50"/>
  <c r="AN112" i="50"/>
  <c r="AN117" i="50"/>
  <c r="AN118" i="50"/>
  <c r="AN110" i="50"/>
  <c r="AN120" i="50"/>
  <c r="AN86" i="50"/>
  <c r="AN119" i="50"/>
  <c r="AN114" i="50"/>
  <c r="AN116" i="50"/>
  <c r="AN92" i="50"/>
  <c r="AN87" i="50"/>
  <c r="AN115" i="50"/>
  <c r="AN121" i="50"/>
  <c r="AN122" i="50"/>
  <c r="AN88" i="50"/>
  <c r="AN90" i="50"/>
  <c r="AN91" i="50"/>
  <c r="AN93" i="50"/>
  <c r="AN95" i="50"/>
  <c r="AN96" i="50"/>
  <c r="AN89" i="50"/>
  <c r="AN97" i="50"/>
  <c r="AN94" i="50"/>
  <c r="AP61" i="50"/>
  <c r="AP70" i="50" s="1"/>
  <c r="AP59" i="50"/>
  <c r="AP68" i="50" s="1"/>
  <c r="AP63" i="50"/>
  <c r="AP65" i="50"/>
  <c r="AM123" i="50"/>
  <c r="AM99" i="50"/>
  <c r="AR21" i="50"/>
  <c r="AR26" i="50" s="1"/>
  <c r="AR161" i="50"/>
  <c r="AP88" i="19"/>
  <c r="AP87" i="19"/>
  <c r="AP82" i="19"/>
  <c r="AO51" i="50"/>
  <c r="AP83" i="19"/>
  <c r="AP45" i="50"/>
  <c r="AP46" i="50"/>
  <c r="AP47" i="50"/>
  <c r="AP49" i="50"/>
  <c r="AP44" i="50"/>
  <c r="AP55" i="50"/>
  <c r="AP48" i="50"/>
  <c r="AP50" i="50"/>
  <c r="AP56" i="50"/>
  <c r="AP85" i="19"/>
  <c r="AP86" i="19"/>
  <c r="AP84" i="19"/>
  <c r="AP81" i="19"/>
  <c r="AQ22" i="50"/>
  <c r="AQ23" i="50"/>
  <c r="AQ98" i="50" s="1"/>
  <c r="AR149" i="50"/>
  <c r="AS42" i="31"/>
  <c r="AS6" i="28"/>
  <c r="AS6" i="50"/>
  <c r="AS5" i="50"/>
  <c r="AS5" i="28"/>
  <c r="AS41" i="31"/>
  <c r="CV73" i="50"/>
  <c r="AU142" i="50"/>
  <c r="AV139" i="50"/>
  <c r="AP30" i="50"/>
  <c r="AP32" i="50"/>
  <c r="AP34" i="50"/>
  <c r="AP33" i="50"/>
  <c r="AK49" i="31"/>
  <c r="AM156" i="50"/>
  <c r="AM165" i="50"/>
  <c r="AM166" i="50" s="1"/>
  <c r="AM134" i="50"/>
  <c r="AM136" i="50"/>
  <c r="AM155" i="50"/>
  <c r="AM52" i="31"/>
  <c r="AM54" i="31" s="1"/>
  <c r="AM158" i="50"/>
  <c r="AM157" i="50"/>
  <c r="AM77" i="50"/>
  <c r="AM78" i="50" s="1"/>
  <c r="AM81" i="50" s="1"/>
  <c r="AO74" i="50"/>
  <c r="AO72" i="50"/>
  <c r="AO128" i="50"/>
  <c r="AO130" i="50" s="1"/>
  <c r="AN76" i="50"/>
  <c r="AN145" i="50"/>
  <c r="AN162" i="50"/>
  <c r="AN146" i="50"/>
  <c r="AN132" i="50"/>
  <c r="AN133" i="50" s="1"/>
  <c r="AN144" i="50"/>
  <c r="AL47" i="31"/>
  <c r="AL54" i="31"/>
  <c r="AO105" i="50" l="1"/>
  <c r="AO103" i="50"/>
  <c r="AO104" i="50"/>
  <c r="AO106" i="50"/>
  <c r="AO108" i="50"/>
  <c r="AO109" i="50"/>
  <c r="AO110" i="50"/>
  <c r="AO111" i="50"/>
  <c r="AO107" i="50"/>
  <c r="AO113" i="50"/>
  <c r="AO114" i="50"/>
  <c r="AO112" i="50"/>
  <c r="AO115" i="50"/>
  <c r="AO120" i="50"/>
  <c r="AO121" i="50"/>
  <c r="AO89" i="50"/>
  <c r="AO116" i="50"/>
  <c r="AO92" i="50"/>
  <c r="AO119" i="50"/>
  <c r="AO118" i="50"/>
  <c r="AO86" i="50"/>
  <c r="AO93" i="50"/>
  <c r="AO87" i="50"/>
  <c r="AO88" i="50"/>
  <c r="AO122" i="50"/>
  <c r="AO94" i="50"/>
  <c r="AO117" i="50"/>
  <c r="AO97" i="50"/>
  <c r="AO95" i="50"/>
  <c r="AO96" i="50"/>
  <c r="AO90" i="50"/>
  <c r="AO91" i="50"/>
  <c r="AQ86" i="19"/>
  <c r="AQ83" i="19"/>
  <c r="AN123" i="50"/>
  <c r="AN99" i="50"/>
  <c r="AQ63" i="50"/>
  <c r="AQ61" i="50"/>
  <c r="AQ70" i="50" s="1"/>
  <c r="AQ59" i="50"/>
  <c r="AQ68" i="50" s="1"/>
  <c r="AQ65" i="50"/>
  <c r="AS21" i="50"/>
  <c r="AS26" i="50" s="1"/>
  <c r="AS161" i="50"/>
  <c r="AQ85" i="19"/>
  <c r="AQ47" i="50"/>
  <c r="AQ45" i="50"/>
  <c r="AQ44" i="50"/>
  <c r="AQ49" i="50"/>
  <c r="AQ46" i="50"/>
  <c r="AQ48" i="50"/>
  <c r="AQ56" i="50"/>
  <c r="AQ55" i="50"/>
  <c r="AQ50" i="50"/>
  <c r="AQ87" i="19"/>
  <c r="AP51" i="50"/>
  <c r="AQ82" i="19"/>
  <c r="AQ84" i="19"/>
  <c r="AQ88" i="19"/>
  <c r="AQ81" i="19"/>
  <c r="AR22" i="50"/>
  <c r="AR23" i="50"/>
  <c r="AR98" i="50" s="1"/>
  <c r="AS149" i="50"/>
  <c r="AT6" i="50"/>
  <c r="AT6" i="28"/>
  <c r="AT42" i="31"/>
  <c r="AT5" i="50"/>
  <c r="AT41" i="31"/>
  <c r="AT5" i="28"/>
  <c r="CW73" i="50"/>
  <c r="AV142" i="50"/>
  <c r="AW139" i="50"/>
  <c r="AQ34" i="50"/>
  <c r="AQ32" i="50"/>
  <c r="AQ33" i="50"/>
  <c r="AQ30" i="50"/>
  <c r="AL55" i="31"/>
  <c r="AM55" i="31" s="1"/>
  <c r="AL49" i="31"/>
  <c r="AN156" i="50"/>
  <c r="AN165" i="50"/>
  <c r="AN166" i="50" s="1"/>
  <c r="AN134" i="50"/>
  <c r="AN136" i="50"/>
  <c r="AN155" i="50"/>
  <c r="AN52" i="31"/>
  <c r="AN158" i="50"/>
  <c r="AN157" i="50"/>
  <c r="AN77" i="50"/>
  <c r="AN78" i="50" s="1"/>
  <c r="AN81" i="50" s="1"/>
  <c r="AP74" i="50"/>
  <c r="AP72" i="50"/>
  <c r="AP128" i="50"/>
  <c r="AP130" i="50" s="1"/>
  <c r="AO76" i="50"/>
  <c r="AO145" i="50"/>
  <c r="F51" i="4" s="1"/>
  <c r="AO162" i="50"/>
  <c r="AO146" i="50"/>
  <c r="F52" i="4" s="1"/>
  <c r="AO132" i="50"/>
  <c r="AO133" i="50" s="1"/>
  <c r="AO144" i="50"/>
  <c r="AM47" i="31"/>
  <c r="AR84" i="19" l="1"/>
  <c r="AP104" i="50"/>
  <c r="AP105" i="50"/>
  <c r="AP106" i="50"/>
  <c r="AP109" i="50"/>
  <c r="AP103" i="50"/>
  <c r="AP108" i="50"/>
  <c r="AP112" i="50"/>
  <c r="AP110" i="50"/>
  <c r="AP107" i="50"/>
  <c r="AP113" i="50"/>
  <c r="AP116" i="50"/>
  <c r="AP119" i="50"/>
  <c r="AP111" i="50"/>
  <c r="AP122" i="50"/>
  <c r="AP118" i="50"/>
  <c r="AP120" i="50"/>
  <c r="AP121" i="50"/>
  <c r="AP89" i="50"/>
  <c r="AP90" i="50"/>
  <c r="AP115" i="50"/>
  <c r="AP87" i="50"/>
  <c r="AP88" i="50"/>
  <c r="AP93" i="50"/>
  <c r="AP94" i="50"/>
  <c r="AP117" i="50"/>
  <c r="AP86" i="50"/>
  <c r="AP95" i="50"/>
  <c r="AP92" i="50"/>
  <c r="AP96" i="50"/>
  <c r="AP97" i="50"/>
  <c r="AP114" i="50"/>
  <c r="AP91" i="50"/>
  <c r="AR82" i="19"/>
  <c r="AO99" i="50"/>
  <c r="AO123" i="50"/>
  <c r="AR59" i="50"/>
  <c r="AR68" i="50" s="1"/>
  <c r="AR63" i="50"/>
  <c r="AR61" i="50"/>
  <c r="AR70" i="50" s="1"/>
  <c r="AR65" i="50"/>
  <c r="AT21" i="50"/>
  <c r="AT26" i="50" s="1"/>
  <c r="AT161" i="50"/>
  <c r="AR87" i="19"/>
  <c r="AR44" i="50"/>
  <c r="AR45" i="50"/>
  <c r="AR49" i="50"/>
  <c r="AR46" i="50"/>
  <c r="AR56" i="50"/>
  <c r="AR47" i="50"/>
  <c r="AR50" i="50"/>
  <c r="AR55" i="50"/>
  <c r="AR48" i="50"/>
  <c r="AQ51" i="50"/>
  <c r="AR83" i="19"/>
  <c r="AR86" i="19"/>
  <c r="AR88" i="19"/>
  <c r="AR85" i="19"/>
  <c r="AR81" i="19"/>
  <c r="AS22" i="50"/>
  <c r="AS23" i="50"/>
  <c r="AS98" i="50" s="1"/>
  <c r="AT149" i="50"/>
  <c r="AU42" i="31"/>
  <c r="AU6" i="50"/>
  <c r="AU6" i="28"/>
  <c r="AU5" i="50"/>
  <c r="AU5" i="28"/>
  <c r="AU41" i="31"/>
  <c r="CX73" i="50"/>
  <c r="AW142" i="50"/>
  <c r="AX139" i="50"/>
  <c r="AR33" i="50"/>
  <c r="AR30" i="50"/>
  <c r="AR34" i="50"/>
  <c r="AR32" i="50"/>
  <c r="AM49" i="31"/>
  <c r="AO156" i="50"/>
  <c r="AO165" i="50"/>
  <c r="AO166" i="50" s="1"/>
  <c r="F50" i="4"/>
  <c r="AO134" i="50"/>
  <c r="AO136" i="50"/>
  <c r="AO155" i="50"/>
  <c r="AO52" i="31"/>
  <c r="AO54" i="31" s="1"/>
  <c r="F49" i="4"/>
  <c r="AO158" i="50"/>
  <c r="AO157" i="50"/>
  <c r="AO77" i="50"/>
  <c r="AO78" i="50" s="1"/>
  <c r="AO81" i="50" s="1"/>
  <c r="AQ74" i="50"/>
  <c r="AQ72" i="50"/>
  <c r="AQ128" i="50"/>
  <c r="AQ130" i="50" s="1"/>
  <c r="AP76" i="50"/>
  <c r="AP162" i="50"/>
  <c r="AP145" i="50"/>
  <c r="AP146" i="50"/>
  <c r="AP144" i="50"/>
  <c r="AP132" i="50"/>
  <c r="AP133" i="50" s="1"/>
  <c r="AN54" i="31"/>
  <c r="AN55" i="31" s="1"/>
  <c r="AN47" i="31"/>
  <c r="AS88" i="19" l="1"/>
  <c r="AS86" i="19"/>
  <c r="AS83" i="19"/>
  <c r="AQ104" i="50"/>
  <c r="AQ105" i="50"/>
  <c r="AQ106" i="50"/>
  <c r="AQ103" i="50"/>
  <c r="AQ109" i="50"/>
  <c r="AQ112" i="50"/>
  <c r="AQ111" i="50"/>
  <c r="AQ107" i="50"/>
  <c r="AQ108" i="50"/>
  <c r="AQ110" i="50"/>
  <c r="AQ116" i="50"/>
  <c r="AQ119" i="50"/>
  <c r="AQ113" i="50"/>
  <c r="AQ114" i="50"/>
  <c r="AQ117" i="50"/>
  <c r="AQ122" i="50"/>
  <c r="AQ86" i="50"/>
  <c r="AQ91" i="50"/>
  <c r="AQ115" i="50"/>
  <c r="AQ87" i="50"/>
  <c r="AQ120" i="50"/>
  <c r="AQ121" i="50"/>
  <c r="AQ88" i="50"/>
  <c r="AQ96" i="50"/>
  <c r="AQ93" i="50"/>
  <c r="AQ94" i="50"/>
  <c r="AQ118" i="50"/>
  <c r="AQ92" i="50"/>
  <c r="AQ95" i="50"/>
  <c r="AQ89" i="50"/>
  <c r="AQ90" i="50"/>
  <c r="AQ97" i="50"/>
  <c r="AP123" i="50"/>
  <c r="AP99" i="50"/>
  <c r="AS61" i="50"/>
  <c r="AS70" i="50" s="1"/>
  <c r="AS59" i="50"/>
  <c r="AS68" i="50" s="1"/>
  <c r="AS65" i="50"/>
  <c r="AS63" i="50"/>
  <c r="AU21" i="50"/>
  <c r="AU26" i="50" s="1"/>
  <c r="AU161" i="50"/>
  <c r="AS87" i="19"/>
  <c r="AS44" i="50"/>
  <c r="AS45" i="50"/>
  <c r="AS46" i="50"/>
  <c r="AS47" i="50"/>
  <c r="AS48" i="50"/>
  <c r="AS49" i="50"/>
  <c r="AS50" i="50"/>
  <c r="AS56" i="50"/>
  <c r="AS55" i="50"/>
  <c r="AR51" i="50"/>
  <c r="AS82" i="19"/>
  <c r="AS85" i="19"/>
  <c r="AS84" i="19"/>
  <c r="AS81" i="19"/>
  <c r="AT22" i="50"/>
  <c r="AT23" i="50"/>
  <c r="AT98" i="50" s="1"/>
  <c r="AU149" i="50"/>
  <c r="AV42" i="31"/>
  <c r="AV6" i="28"/>
  <c r="AV6" i="50"/>
  <c r="AV5" i="50"/>
  <c r="AV41" i="31"/>
  <c r="AV5" i="28"/>
  <c r="CY73" i="50"/>
  <c r="AX142" i="50"/>
  <c r="AY139" i="50"/>
  <c r="AO55" i="31"/>
  <c r="AS33" i="50"/>
  <c r="AS30" i="50"/>
  <c r="AS32" i="50"/>
  <c r="AS34" i="50"/>
  <c r="AN49" i="31"/>
  <c r="AP134" i="50"/>
  <c r="AP136" i="50"/>
  <c r="AP155" i="50"/>
  <c r="AP52" i="31"/>
  <c r="AP156" i="50"/>
  <c r="AP165" i="50"/>
  <c r="AP166" i="50" s="1"/>
  <c r="AP158" i="50"/>
  <c r="AP157" i="50"/>
  <c r="AP77" i="50"/>
  <c r="AP78" i="50" s="1"/>
  <c r="AP81" i="50" s="1"/>
  <c r="AR74" i="50"/>
  <c r="AR72" i="50"/>
  <c r="AR128" i="50"/>
  <c r="AR130" i="50" s="1"/>
  <c r="AQ76" i="50"/>
  <c r="AQ145" i="50"/>
  <c r="AQ162" i="50"/>
  <c r="AQ146" i="50"/>
  <c r="AQ132" i="50"/>
  <c r="AQ133" i="50" s="1"/>
  <c r="AQ144" i="50"/>
  <c r="F56" i="4"/>
  <c r="F57" i="4"/>
  <c r="F55" i="4"/>
  <c r="AO47" i="31"/>
  <c r="AR104" i="50" l="1"/>
  <c r="AR103" i="50"/>
  <c r="AR107" i="50"/>
  <c r="AR106" i="50"/>
  <c r="AR108" i="50"/>
  <c r="AR109" i="50"/>
  <c r="AR105" i="50"/>
  <c r="AR112" i="50"/>
  <c r="AR113" i="50"/>
  <c r="AR111" i="50"/>
  <c r="AR118" i="50"/>
  <c r="AR114" i="50"/>
  <c r="AR115" i="50"/>
  <c r="AR110" i="50"/>
  <c r="AR120" i="50"/>
  <c r="AR117" i="50"/>
  <c r="AR88" i="50"/>
  <c r="AR91" i="50"/>
  <c r="AR116" i="50"/>
  <c r="AR92" i="50"/>
  <c r="AR119" i="50"/>
  <c r="AR121" i="50"/>
  <c r="AR122" i="50"/>
  <c r="AR87" i="50"/>
  <c r="AR89" i="50"/>
  <c r="AR90" i="50"/>
  <c r="AR96" i="50"/>
  <c r="AR97" i="50"/>
  <c r="AR86" i="50"/>
  <c r="AR93" i="50"/>
  <c r="AR95" i="50"/>
  <c r="AR94" i="50"/>
  <c r="AT85" i="19"/>
  <c r="AT82" i="19"/>
  <c r="AQ99" i="50"/>
  <c r="AQ123" i="50"/>
  <c r="AT61" i="50"/>
  <c r="AT70" i="50" s="1"/>
  <c r="AT65" i="50"/>
  <c r="AT63" i="50"/>
  <c r="AT59" i="50"/>
  <c r="AT68" i="50" s="1"/>
  <c r="AV21" i="50"/>
  <c r="AV26" i="50" s="1"/>
  <c r="AV161" i="50"/>
  <c r="AT46" i="50"/>
  <c r="AT44" i="50"/>
  <c r="AT47" i="50"/>
  <c r="AT48" i="50"/>
  <c r="AT55" i="50"/>
  <c r="AT45" i="50"/>
  <c r="AT49" i="50"/>
  <c r="AT50" i="50"/>
  <c r="AT56" i="50"/>
  <c r="AS51" i="50"/>
  <c r="AT87" i="19"/>
  <c r="AT83" i="19"/>
  <c r="AT86" i="19"/>
  <c r="AU86" i="19" s="1"/>
  <c r="AT84" i="19"/>
  <c r="AT88" i="19"/>
  <c r="AT81" i="19"/>
  <c r="AU22" i="50"/>
  <c r="AU23" i="50"/>
  <c r="AU98" i="50" s="1"/>
  <c r="AV149" i="50"/>
  <c r="AW6" i="50"/>
  <c r="AW42" i="31"/>
  <c r="AW6" i="28"/>
  <c r="AW5" i="50"/>
  <c r="AW5" i="28"/>
  <c r="AW41" i="31"/>
  <c r="CZ73" i="50"/>
  <c r="AY142" i="50"/>
  <c r="AZ139" i="50"/>
  <c r="AT32" i="50"/>
  <c r="AT34" i="50"/>
  <c r="AT33" i="50"/>
  <c r="AT30" i="50"/>
  <c r="AO49" i="31"/>
  <c r="AQ156" i="50"/>
  <c r="AQ165" i="50"/>
  <c r="AQ166" i="50" s="1"/>
  <c r="AQ134" i="50"/>
  <c r="AQ136" i="50"/>
  <c r="AQ155" i="50"/>
  <c r="AQ52" i="31"/>
  <c r="AQ54" i="31" s="1"/>
  <c r="AQ158" i="50"/>
  <c r="AQ157" i="50"/>
  <c r="AQ77" i="50"/>
  <c r="AQ78" i="50" s="1"/>
  <c r="AQ81" i="50" s="1"/>
  <c r="AS74" i="50"/>
  <c r="AS72" i="50"/>
  <c r="AS128" i="50"/>
  <c r="AS130" i="50" s="1"/>
  <c r="AR76" i="50"/>
  <c r="AR145" i="50"/>
  <c r="AR162" i="50"/>
  <c r="AR146" i="50"/>
  <c r="AR132" i="50"/>
  <c r="AR133" i="50" s="1"/>
  <c r="AR144" i="50"/>
  <c r="AP47" i="31"/>
  <c r="AP54" i="31"/>
  <c r="AS103" i="50" l="1"/>
  <c r="AS104" i="50"/>
  <c r="AS107" i="50"/>
  <c r="AS106" i="50"/>
  <c r="AS111" i="50"/>
  <c r="AS105" i="50"/>
  <c r="AS108" i="50"/>
  <c r="AS110" i="50"/>
  <c r="AS109" i="50"/>
  <c r="AS115" i="50"/>
  <c r="AS118" i="50"/>
  <c r="AS116" i="50"/>
  <c r="AS117" i="50"/>
  <c r="AS121" i="50"/>
  <c r="AS114" i="50"/>
  <c r="AS88" i="50"/>
  <c r="AS119" i="50"/>
  <c r="AS89" i="50"/>
  <c r="AS120" i="50"/>
  <c r="AS91" i="50"/>
  <c r="AS92" i="50"/>
  <c r="AS122" i="50"/>
  <c r="AS87" i="50"/>
  <c r="AS90" i="50"/>
  <c r="AS113" i="50"/>
  <c r="AS86" i="50"/>
  <c r="AS93" i="50"/>
  <c r="AS94" i="50"/>
  <c r="AS96" i="50"/>
  <c r="AS112" i="50"/>
  <c r="AS95" i="50"/>
  <c r="AS97" i="50"/>
  <c r="AR123" i="50"/>
  <c r="AR99" i="50"/>
  <c r="AU59" i="50"/>
  <c r="AU68" i="50" s="1"/>
  <c r="AU61" i="50"/>
  <c r="AU70" i="50" s="1"/>
  <c r="AU63" i="50"/>
  <c r="AU65" i="50"/>
  <c r="AW21" i="50"/>
  <c r="AW26" i="50" s="1"/>
  <c r="AW161" i="50"/>
  <c r="AU87" i="19"/>
  <c r="AU84" i="19"/>
  <c r="AU83" i="19"/>
  <c r="AU46" i="50"/>
  <c r="AU44" i="50"/>
  <c r="AU47" i="50"/>
  <c r="AU45" i="50"/>
  <c r="AU50" i="50"/>
  <c r="AU48" i="50"/>
  <c r="AU55" i="50"/>
  <c r="AU49" i="50"/>
  <c r="AU56" i="50"/>
  <c r="AT51" i="50"/>
  <c r="AU85" i="19"/>
  <c r="AU88" i="19"/>
  <c r="AU82" i="19"/>
  <c r="AU81" i="19"/>
  <c r="AV22" i="50"/>
  <c r="AV23" i="50"/>
  <c r="AV98" i="50" s="1"/>
  <c r="AW149" i="50"/>
  <c r="AX6" i="50"/>
  <c r="AX6" i="28"/>
  <c r="AX42" i="31"/>
  <c r="AX41" i="31"/>
  <c r="AX5" i="28"/>
  <c r="AX5" i="50"/>
  <c r="DA73" i="50"/>
  <c r="AZ142" i="50"/>
  <c r="BA139" i="50"/>
  <c r="AU30" i="50"/>
  <c r="AU32" i="50"/>
  <c r="AU34" i="50"/>
  <c r="AU33" i="50"/>
  <c r="AP55" i="31"/>
  <c r="AQ55" i="31" s="1"/>
  <c r="AP49" i="31"/>
  <c r="AR156" i="50"/>
  <c r="AR165" i="50"/>
  <c r="AR166" i="50" s="1"/>
  <c r="AR134" i="50"/>
  <c r="AR136" i="50"/>
  <c r="AR155" i="50"/>
  <c r="AR52" i="31"/>
  <c r="AR158" i="50"/>
  <c r="AR157" i="50"/>
  <c r="AR77" i="50"/>
  <c r="AR78" i="50" s="1"/>
  <c r="AR81" i="50" s="1"/>
  <c r="AT74" i="50"/>
  <c r="AT72" i="50"/>
  <c r="AT128" i="50"/>
  <c r="AT130" i="50" s="1"/>
  <c r="AS76" i="50"/>
  <c r="AS145" i="50"/>
  <c r="AS162" i="50"/>
  <c r="AS146" i="50"/>
  <c r="AS144" i="50"/>
  <c r="AS132" i="50"/>
  <c r="AS133" i="50" s="1"/>
  <c r="AQ47" i="31"/>
  <c r="AT103" i="50" l="1"/>
  <c r="AT106" i="50"/>
  <c r="AT104" i="50"/>
  <c r="AT105" i="50"/>
  <c r="AT107" i="50"/>
  <c r="AT110" i="50"/>
  <c r="AT111" i="50"/>
  <c r="AT109" i="50"/>
  <c r="AT112" i="50"/>
  <c r="AT113" i="50"/>
  <c r="AT115" i="50"/>
  <c r="AT108" i="50"/>
  <c r="AT116" i="50"/>
  <c r="AT119" i="50"/>
  <c r="AT118" i="50"/>
  <c r="AT117" i="50"/>
  <c r="AT121" i="50"/>
  <c r="AT122" i="50"/>
  <c r="AT120" i="50"/>
  <c r="AT86" i="50"/>
  <c r="AT90" i="50"/>
  <c r="AT93" i="50"/>
  <c r="AT94" i="50"/>
  <c r="AT95" i="50"/>
  <c r="AT88" i="50"/>
  <c r="AT89" i="50"/>
  <c r="AT91" i="50"/>
  <c r="AT92" i="50"/>
  <c r="AT87" i="50"/>
  <c r="AT114" i="50"/>
  <c r="AT97" i="50"/>
  <c r="AT96" i="50"/>
  <c r="AS99" i="50"/>
  <c r="AS123" i="50"/>
  <c r="AV59" i="50"/>
  <c r="AV68" i="50" s="1"/>
  <c r="AV61" i="50"/>
  <c r="AV70" i="50" s="1"/>
  <c r="AV65" i="50"/>
  <c r="AV63" i="50"/>
  <c r="AX21" i="50"/>
  <c r="AX26" i="50" s="1"/>
  <c r="AX161" i="50"/>
  <c r="AV88" i="19"/>
  <c r="AV85" i="19"/>
  <c r="AV87" i="19"/>
  <c r="AV44" i="50"/>
  <c r="AV45" i="50"/>
  <c r="AV47" i="50"/>
  <c r="AV48" i="50"/>
  <c r="AV49" i="50"/>
  <c r="AV46" i="50"/>
  <c r="AV50" i="50"/>
  <c r="AV55" i="50"/>
  <c r="AV56" i="50"/>
  <c r="AU51" i="50"/>
  <c r="AV83" i="19"/>
  <c r="AV86" i="19"/>
  <c r="AV82" i="19"/>
  <c r="AV84" i="19"/>
  <c r="AV81" i="19"/>
  <c r="AW22" i="50"/>
  <c r="AW23" i="50"/>
  <c r="AW98" i="50" s="1"/>
  <c r="AX149" i="50"/>
  <c r="AY6" i="50"/>
  <c r="AY42" i="31"/>
  <c r="AY6" i="28"/>
  <c r="AY5" i="50"/>
  <c r="AY5" i="28"/>
  <c r="AY41" i="31"/>
  <c r="DB73" i="50"/>
  <c r="BA142" i="50"/>
  <c r="BB139" i="50"/>
  <c r="AV30" i="50"/>
  <c r="AV33" i="50"/>
  <c r="AV32" i="50"/>
  <c r="AV34" i="50"/>
  <c r="AQ49" i="31"/>
  <c r="AS134" i="50"/>
  <c r="AS136" i="50"/>
  <c r="AS155" i="50"/>
  <c r="AS52" i="31"/>
  <c r="AS54" i="31" s="1"/>
  <c r="AS156" i="50"/>
  <c r="AS165" i="50"/>
  <c r="AS166" i="50" s="1"/>
  <c r="AS158" i="50"/>
  <c r="AS157" i="50"/>
  <c r="AS77" i="50"/>
  <c r="AS78" i="50" s="1"/>
  <c r="AS81" i="50" s="1"/>
  <c r="AU74" i="50"/>
  <c r="AU72" i="50"/>
  <c r="AU128" i="50"/>
  <c r="AU130" i="50" s="1"/>
  <c r="AT76" i="50"/>
  <c r="AT145" i="50"/>
  <c r="AT162" i="50"/>
  <c r="AT146" i="50"/>
  <c r="AT144" i="50"/>
  <c r="AT132" i="50"/>
  <c r="AT133" i="50" s="1"/>
  <c r="AR54" i="31"/>
  <c r="AR55" i="31" s="1"/>
  <c r="AR47" i="31"/>
  <c r="AU105" i="50" l="1"/>
  <c r="AU103" i="50"/>
  <c r="AU106" i="50"/>
  <c r="AU104" i="50"/>
  <c r="AU107" i="50"/>
  <c r="AU110" i="50"/>
  <c r="AU108" i="50"/>
  <c r="AU111" i="50"/>
  <c r="AU112" i="50"/>
  <c r="AU109" i="50"/>
  <c r="AU114" i="50"/>
  <c r="AU117" i="50"/>
  <c r="AU113" i="50"/>
  <c r="AU119" i="50"/>
  <c r="AU115" i="50"/>
  <c r="AU116" i="50"/>
  <c r="AU118" i="50"/>
  <c r="AU121" i="50"/>
  <c r="AU122" i="50"/>
  <c r="AU87" i="50"/>
  <c r="AU120" i="50"/>
  <c r="AU86" i="50"/>
  <c r="AU90" i="50"/>
  <c r="AU91" i="50"/>
  <c r="AU93" i="50"/>
  <c r="AU95" i="50"/>
  <c r="AU88" i="50"/>
  <c r="AU89" i="50"/>
  <c r="AU92" i="50"/>
  <c r="AU96" i="50"/>
  <c r="AU97" i="50"/>
  <c r="AU94" i="50"/>
  <c r="AT99" i="50"/>
  <c r="AT123" i="50"/>
  <c r="AW83" i="19"/>
  <c r="AW61" i="50"/>
  <c r="AW70" i="50" s="1"/>
  <c r="AW59" i="50"/>
  <c r="AW68" i="50" s="1"/>
  <c r="AW65" i="50"/>
  <c r="AW63" i="50"/>
  <c r="AY21" i="50"/>
  <c r="AY26" i="50" s="1"/>
  <c r="AY161" i="50"/>
  <c r="AW82" i="19"/>
  <c r="AW86" i="19"/>
  <c r="AW45" i="50"/>
  <c r="AW46" i="50"/>
  <c r="AW47" i="50"/>
  <c r="AW50" i="50"/>
  <c r="AW44" i="50"/>
  <c r="AW49" i="50"/>
  <c r="AW55" i="50"/>
  <c r="AW48" i="50"/>
  <c r="AW56" i="50"/>
  <c r="AW87" i="19"/>
  <c r="AV51" i="50"/>
  <c r="AW88" i="19"/>
  <c r="AW84" i="19"/>
  <c r="AW85" i="19"/>
  <c r="AW81" i="19"/>
  <c r="AX22" i="50"/>
  <c r="AX23" i="50"/>
  <c r="AX98" i="50" s="1"/>
  <c r="AY149" i="50"/>
  <c r="AZ6" i="50"/>
  <c r="AZ42" i="31"/>
  <c r="AZ6" i="28"/>
  <c r="AZ5" i="50"/>
  <c r="AZ41" i="31"/>
  <c r="AZ5" i="28"/>
  <c r="DC73" i="50"/>
  <c r="BB142" i="50"/>
  <c r="BC139" i="50"/>
  <c r="AS55" i="31"/>
  <c r="AW33" i="50"/>
  <c r="AW30" i="50"/>
  <c r="AW34" i="50"/>
  <c r="AW32" i="50"/>
  <c r="AR49" i="31"/>
  <c r="AT134" i="50"/>
  <c r="AT136" i="50"/>
  <c r="AT155" i="50"/>
  <c r="AT52" i="31"/>
  <c r="AT156" i="50"/>
  <c r="AT165" i="50"/>
  <c r="AT166" i="50" s="1"/>
  <c r="AT158" i="50"/>
  <c r="AT157" i="50"/>
  <c r="AT77" i="50"/>
  <c r="AT78" i="50" s="1"/>
  <c r="AT81" i="50" s="1"/>
  <c r="AV74" i="50"/>
  <c r="AV72" i="50"/>
  <c r="AV128" i="50"/>
  <c r="AV130" i="50" s="1"/>
  <c r="AU76" i="50"/>
  <c r="AU145" i="50"/>
  <c r="AU162" i="50"/>
  <c r="AU146" i="50"/>
  <c r="AU132" i="50"/>
  <c r="AU133" i="50" s="1"/>
  <c r="AU144" i="50"/>
  <c r="AS47" i="31"/>
  <c r="AV105" i="50" l="1"/>
  <c r="AV103" i="50"/>
  <c r="AV106" i="50"/>
  <c r="AV104" i="50"/>
  <c r="AV108" i="50"/>
  <c r="AV110" i="50"/>
  <c r="AV113" i="50"/>
  <c r="AV111" i="50"/>
  <c r="AV112" i="50"/>
  <c r="AV114" i="50"/>
  <c r="AV117" i="50"/>
  <c r="AV118" i="50"/>
  <c r="AV120" i="50"/>
  <c r="AV107" i="50"/>
  <c r="AV119" i="50"/>
  <c r="AV86" i="50"/>
  <c r="AV115" i="50"/>
  <c r="AV92" i="50"/>
  <c r="AV121" i="50"/>
  <c r="AV122" i="50"/>
  <c r="AV87" i="50"/>
  <c r="AV88" i="50"/>
  <c r="AV109" i="50"/>
  <c r="AV116" i="50"/>
  <c r="AV90" i="50"/>
  <c r="AV91" i="50"/>
  <c r="AV94" i="50"/>
  <c r="AV97" i="50"/>
  <c r="AV93" i="50"/>
  <c r="AV89" i="50"/>
  <c r="AV95" i="50"/>
  <c r="AV96" i="50"/>
  <c r="AU99" i="50"/>
  <c r="AX61" i="50"/>
  <c r="AX70" i="50" s="1"/>
  <c r="AX59" i="50"/>
  <c r="AX68" i="50" s="1"/>
  <c r="AX63" i="50"/>
  <c r="AX65" i="50"/>
  <c r="AU123" i="50"/>
  <c r="AZ21" i="50"/>
  <c r="AZ26" i="50" s="1"/>
  <c r="AZ161" i="50"/>
  <c r="AX84" i="19"/>
  <c r="AX88" i="19"/>
  <c r="AW51" i="50"/>
  <c r="AX82" i="19"/>
  <c r="AX87" i="19"/>
  <c r="AX45" i="50"/>
  <c r="AX46" i="50"/>
  <c r="AX47" i="50"/>
  <c r="AX49" i="50"/>
  <c r="AX48" i="50"/>
  <c r="AX44" i="50"/>
  <c r="AX50" i="50"/>
  <c r="AX55" i="50"/>
  <c r="AX56" i="50"/>
  <c r="AX83" i="19"/>
  <c r="AX85" i="19"/>
  <c r="AX86" i="19"/>
  <c r="AX81" i="19"/>
  <c r="AY22" i="50"/>
  <c r="AY23" i="50"/>
  <c r="AY98" i="50" s="1"/>
  <c r="AZ149" i="50"/>
  <c r="BA42" i="31"/>
  <c r="BA6" i="28"/>
  <c r="BA6" i="50"/>
  <c r="BA5" i="50"/>
  <c r="BA5" i="28"/>
  <c r="BA41" i="31"/>
  <c r="DD73" i="50"/>
  <c r="BC142" i="50"/>
  <c r="BD139" i="50"/>
  <c r="AX33" i="50"/>
  <c r="AX32" i="50"/>
  <c r="AX30" i="50"/>
  <c r="AX34" i="50"/>
  <c r="AS49" i="31"/>
  <c r="AU156" i="50"/>
  <c r="AU165" i="50"/>
  <c r="AU166" i="50" s="1"/>
  <c r="AU134" i="50"/>
  <c r="AU136" i="50"/>
  <c r="AU155" i="50"/>
  <c r="AU52" i="31"/>
  <c r="AU54" i="31" s="1"/>
  <c r="AU158" i="50"/>
  <c r="AU157" i="50"/>
  <c r="AU77" i="50"/>
  <c r="AU78" i="50" s="1"/>
  <c r="AU81" i="50" s="1"/>
  <c r="AW74" i="50"/>
  <c r="AW72" i="50"/>
  <c r="AW128" i="50"/>
  <c r="AW130" i="50" s="1"/>
  <c r="AV76" i="50"/>
  <c r="AV145" i="50"/>
  <c r="AV162" i="50"/>
  <c r="AV146" i="50"/>
  <c r="AV144" i="50"/>
  <c r="AV132" i="50"/>
  <c r="AV133" i="50" s="1"/>
  <c r="AT47" i="31"/>
  <c r="AT54" i="31"/>
  <c r="AW105" i="50" l="1"/>
  <c r="AW103" i="50"/>
  <c r="AW104" i="50"/>
  <c r="AW108" i="50"/>
  <c r="AW107" i="50"/>
  <c r="AW109" i="50"/>
  <c r="AW106" i="50"/>
  <c r="AW111" i="50"/>
  <c r="AW113" i="50"/>
  <c r="AW112" i="50"/>
  <c r="AW114" i="50"/>
  <c r="AW110" i="50"/>
  <c r="AW115" i="50"/>
  <c r="AW120" i="50"/>
  <c r="AW121" i="50"/>
  <c r="AW119" i="50"/>
  <c r="AW89" i="50"/>
  <c r="AW117" i="50"/>
  <c r="AW92" i="50"/>
  <c r="AW116" i="50"/>
  <c r="AW93" i="50"/>
  <c r="AW118" i="50"/>
  <c r="AW86" i="50"/>
  <c r="AW94" i="50"/>
  <c r="AW97" i="50"/>
  <c r="AW122" i="50"/>
  <c r="AW87" i="50"/>
  <c r="AW91" i="50"/>
  <c r="AW88" i="50"/>
  <c r="AW90" i="50"/>
  <c r="AW96" i="50"/>
  <c r="AW95" i="50"/>
  <c r="AV123" i="50"/>
  <c r="AV99" i="50"/>
  <c r="AY63" i="50"/>
  <c r="AY61" i="50"/>
  <c r="AY70" i="50" s="1"/>
  <c r="AY59" i="50"/>
  <c r="AY68" i="50" s="1"/>
  <c r="AY65" i="50"/>
  <c r="BA21" i="50"/>
  <c r="BA26" i="50" s="1"/>
  <c r="BA161" i="50"/>
  <c r="AY83" i="19"/>
  <c r="AY88" i="19"/>
  <c r="AY85" i="19"/>
  <c r="AY87" i="19"/>
  <c r="AY86" i="19"/>
  <c r="AX51" i="50"/>
  <c r="AY47" i="50"/>
  <c r="AY45" i="50"/>
  <c r="AY44" i="50"/>
  <c r="AY49" i="50"/>
  <c r="AY46" i="50"/>
  <c r="AY48" i="50"/>
  <c r="AY56" i="50"/>
  <c r="AY50" i="50"/>
  <c r="AY55" i="50"/>
  <c r="AY82" i="19"/>
  <c r="AY84" i="19"/>
  <c r="AY81" i="19"/>
  <c r="AZ23" i="50"/>
  <c r="AZ98" i="50" s="1"/>
  <c r="AZ22" i="50"/>
  <c r="BA149" i="50"/>
  <c r="BB6" i="50"/>
  <c r="BB42" i="31"/>
  <c r="BB6" i="28"/>
  <c r="BB5" i="50"/>
  <c r="BB41" i="31"/>
  <c r="BB5" i="28"/>
  <c r="DE73" i="50"/>
  <c r="BE139" i="50"/>
  <c r="BD142" i="50"/>
  <c r="AY33" i="50"/>
  <c r="AY30" i="50"/>
  <c r="AY34" i="50"/>
  <c r="AY32" i="50"/>
  <c r="AT55" i="31"/>
  <c r="AU55" i="31" s="1"/>
  <c r="AT49" i="31"/>
  <c r="AV134" i="50"/>
  <c r="AV136" i="50"/>
  <c r="AV155" i="50"/>
  <c r="AV52" i="31"/>
  <c r="AV156" i="50"/>
  <c r="AV165" i="50"/>
  <c r="AV166" i="50" s="1"/>
  <c r="AV158" i="50"/>
  <c r="AV157" i="50"/>
  <c r="AV77" i="50"/>
  <c r="AV78" i="50" s="1"/>
  <c r="AV81" i="50" s="1"/>
  <c r="AX74" i="50"/>
  <c r="AX72" i="50"/>
  <c r="AX128" i="50"/>
  <c r="AX130" i="50" s="1"/>
  <c r="AW76" i="50"/>
  <c r="AW145" i="50"/>
  <c r="AW162" i="50"/>
  <c r="AW146" i="50"/>
  <c r="AW144" i="50"/>
  <c r="AW132" i="50"/>
  <c r="AW133" i="50" s="1"/>
  <c r="AU47" i="31"/>
  <c r="AX104" i="50" l="1"/>
  <c r="AX105" i="50"/>
  <c r="AX107" i="50"/>
  <c r="AX108" i="50"/>
  <c r="AX109" i="50"/>
  <c r="AX112" i="50"/>
  <c r="AX110" i="50"/>
  <c r="AX111" i="50"/>
  <c r="AX113" i="50"/>
  <c r="AX116" i="50"/>
  <c r="AX119" i="50"/>
  <c r="AX122" i="50"/>
  <c r="AX106" i="50"/>
  <c r="AX114" i="50"/>
  <c r="AX118" i="50"/>
  <c r="AX89" i="50"/>
  <c r="AX117" i="50"/>
  <c r="AX120" i="50"/>
  <c r="AX121" i="50"/>
  <c r="AX90" i="50"/>
  <c r="AX115" i="50"/>
  <c r="AX86" i="50"/>
  <c r="AX103" i="50"/>
  <c r="AX94" i="50"/>
  <c r="AX87" i="50"/>
  <c r="AX88" i="50"/>
  <c r="AX91" i="50"/>
  <c r="AX95" i="50"/>
  <c r="AX97" i="50"/>
  <c r="AX92" i="50"/>
  <c r="AX93" i="50"/>
  <c r="AX96" i="50"/>
  <c r="AW99" i="50"/>
  <c r="AW123" i="50"/>
  <c r="AZ59" i="50"/>
  <c r="AZ68" i="50" s="1"/>
  <c r="AZ63" i="50"/>
  <c r="AZ61" i="50"/>
  <c r="AZ70" i="50" s="1"/>
  <c r="AZ65" i="50"/>
  <c r="BB21" i="50"/>
  <c r="BB26" i="50" s="1"/>
  <c r="BB161" i="50"/>
  <c r="AZ82" i="19"/>
  <c r="AZ85" i="19"/>
  <c r="AZ84" i="19"/>
  <c r="AZ87" i="19"/>
  <c r="AY51" i="50"/>
  <c r="AZ44" i="50"/>
  <c r="AZ45" i="50"/>
  <c r="AZ49" i="50"/>
  <c r="AZ47" i="50"/>
  <c r="AZ48" i="50"/>
  <c r="AZ56" i="50"/>
  <c r="AZ46" i="50"/>
  <c r="AZ50" i="50"/>
  <c r="AZ55" i="50"/>
  <c r="AZ88" i="19"/>
  <c r="AZ83" i="19"/>
  <c r="AZ86" i="19"/>
  <c r="AZ81" i="19"/>
  <c r="BA22" i="50"/>
  <c r="BA23" i="50"/>
  <c r="BA98" i="50" s="1"/>
  <c r="BB149" i="50"/>
  <c r="BC6" i="50"/>
  <c r="BC6" i="28"/>
  <c r="BC42" i="31"/>
  <c r="BC5" i="50"/>
  <c r="BC5" i="28"/>
  <c r="BC41" i="31"/>
  <c r="DF73" i="50"/>
  <c r="BE142" i="50"/>
  <c r="BF139" i="50"/>
  <c r="AZ32" i="50"/>
  <c r="AZ34" i="50"/>
  <c r="AZ33" i="50"/>
  <c r="AZ30" i="50"/>
  <c r="AU49" i="31"/>
  <c r="AW134" i="50"/>
  <c r="AW136" i="50"/>
  <c r="AW155" i="50"/>
  <c r="AW52" i="31"/>
  <c r="AW54" i="31" s="1"/>
  <c r="AW156" i="50"/>
  <c r="AW165" i="50"/>
  <c r="AW166" i="50" s="1"/>
  <c r="AW158" i="50"/>
  <c r="AW157" i="50"/>
  <c r="AW77" i="50"/>
  <c r="AW78" i="50" s="1"/>
  <c r="AW81" i="50" s="1"/>
  <c r="AY74" i="50"/>
  <c r="AY72" i="50"/>
  <c r="AY128" i="50"/>
  <c r="AY130" i="50" s="1"/>
  <c r="AX76" i="50"/>
  <c r="AX145" i="50"/>
  <c r="AX162" i="50"/>
  <c r="AX146" i="50"/>
  <c r="AX144" i="50"/>
  <c r="AX132" i="50"/>
  <c r="AX133" i="50" s="1"/>
  <c r="AV47" i="31"/>
  <c r="AV54" i="31"/>
  <c r="AV55" i="31" s="1"/>
  <c r="AY104" i="50" l="1"/>
  <c r="AY105" i="50"/>
  <c r="AY106" i="50"/>
  <c r="AY107" i="50"/>
  <c r="AY108" i="50"/>
  <c r="AY109" i="50"/>
  <c r="AY103" i="50"/>
  <c r="AY110" i="50"/>
  <c r="AY112" i="50"/>
  <c r="AY111" i="50"/>
  <c r="AY116" i="50"/>
  <c r="AY119" i="50"/>
  <c r="AY117" i="50"/>
  <c r="AY113" i="50"/>
  <c r="AY122" i="50"/>
  <c r="AY114" i="50"/>
  <c r="AY115" i="50"/>
  <c r="AY118" i="50"/>
  <c r="AY86" i="50"/>
  <c r="AY91" i="50"/>
  <c r="AY87" i="50"/>
  <c r="AY88" i="50"/>
  <c r="AY120" i="50"/>
  <c r="AY93" i="50"/>
  <c r="AY96" i="50"/>
  <c r="AY121" i="50"/>
  <c r="AY94" i="50"/>
  <c r="AY89" i="50"/>
  <c r="AY90" i="50"/>
  <c r="AY92" i="50"/>
  <c r="AY97" i="50"/>
  <c r="AY95" i="50"/>
  <c r="AX99" i="50"/>
  <c r="AX123" i="50"/>
  <c r="BA61" i="50"/>
  <c r="BA70" i="50" s="1"/>
  <c r="BA59" i="50"/>
  <c r="BA68" i="50" s="1"/>
  <c r="BA63" i="50"/>
  <c r="BA65" i="50"/>
  <c r="BC21" i="50"/>
  <c r="BC26" i="50" s="1"/>
  <c r="BC161" i="50"/>
  <c r="BA83" i="19"/>
  <c r="BA88" i="19"/>
  <c r="AZ51" i="50"/>
  <c r="BA44" i="50"/>
  <c r="BA45" i="50"/>
  <c r="BA46" i="50"/>
  <c r="BA48" i="50"/>
  <c r="BA49" i="50"/>
  <c r="BA56" i="50"/>
  <c r="BA47" i="50"/>
  <c r="BA55" i="50"/>
  <c r="BA50" i="50"/>
  <c r="BA82" i="19"/>
  <c r="BA87" i="19"/>
  <c r="BA85" i="19"/>
  <c r="BA86" i="19"/>
  <c r="BA84" i="19"/>
  <c r="BA81" i="19"/>
  <c r="BB22" i="50"/>
  <c r="BB23" i="50"/>
  <c r="BB98" i="50" s="1"/>
  <c r="BC149" i="50"/>
  <c r="BD6" i="28"/>
  <c r="BD6" i="50"/>
  <c r="BD42" i="31"/>
  <c r="BD5" i="50"/>
  <c r="BD41" i="31"/>
  <c r="BD5" i="28"/>
  <c r="DG73" i="50"/>
  <c r="BF142" i="50"/>
  <c r="BG139" i="50"/>
  <c r="AW55" i="31"/>
  <c r="BA33" i="50"/>
  <c r="BA30" i="50"/>
  <c r="BA32" i="50"/>
  <c r="BA34" i="50"/>
  <c r="AV49" i="31"/>
  <c r="AX134" i="50"/>
  <c r="AX136" i="50"/>
  <c r="AX155" i="50"/>
  <c r="AX52" i="31"/>
  <c r="AX156" i="50"/>
  <c r="AX165" i="50"/>
  <c r="AX166" i="50" s="1"/>
  <c r="AX158" i="50"/>
  <c r="AX157" i="50"/>
  <c r="AX77" i="50"/>
  <c r="AX78" i="50" s="1"/>
  <c r="AX81" i="50" s="1"/>
  <c r="AZ74" i="50"/>
  <c r="AZ72" i="50"/>
  <c r="AZ128" i="50"/>
  <c r="AZ130" i="50" s="1"/>
  <c r="AY76" i="50"/>
  <c r="AY145" i="50"/>
  <c r="AY162" i="50"/>
  <c r="AY146" i="50"/>
  <c r="AY132" i="50"/>
  <c r="AY133" i="50" s="1"/>
  <c r="AY144" i="50"/>
  <c r="AW47" i="31"/>
  <c r="BB82" i="19" l="1"/>
  <c r="AZ104" i="50"/>
  <c r="AZ103" i="50"/>
  <c r="AZ105" i="50"/>
  <c r="AZ107" i="50"/>
  <c r="AZ108" i="50"/>
  <c r="AZ109" i="50"/>
  <c r="AZ106" i="50"/>
  <c r="AZ110" i="50"/>
  <c r="AZ111" i="50"/>
  <c r="AZ113" i="50"/>
  <c r="AZ118" i="50"/>
  <c r="AZ114" i="50"/>
  <c r="AZ116" i="50"/>
  <c r="AZ117" i="50"/>
  <c r="AZ120" i="50"/>
  <c r="AZ88" i="50"/>
  <c r="AZ91" i="50"/>
  <c r="AZ121" i="50"/>
  <c r="AZ86" i="50"/>
  <c r="AZ92" i="50"/>
  <c r="AZ87" i="50"/>
  <c r="AZ89" i="50"/>
  <c r="AZ90" i="50"/>
  <c r="AZ115" i="50"/>
  <c r="AZ119" i="50"/>
  <c r="AZ93" i="50"/>
  <c r="AZ96" i="50"/>
  <c r="AZ112" i="50"/>
  <c r="AZ97" i="50"/>
  <c r="AZ95" i="50"/>
  <c r="AZ122" i="50"/>
  <c r="AZ94" i="50"/>
  <c r="AY99" i="50"/>
  <c r="AY123" i="50"/>
  <c r="BB61" i="50"/>
  <c r="BB70" i="50" s="1"/>
  <c r="BB65" i="50"/>
  <c r="BB63" i="50"/>
  <c r="BB59" i="50"/>
  <c r="BB68" i="50" s="1"/>
  <c r="BD21" i="50"/>
  <c r="BD26" i="50" s="1"/>
  <c r="BD161" i="50"/>
  <c r="BB86" i="19"/>
  <c r="BB85" i="19"/>
  <c r="BB87" i="19"/>
  <c r="BA51" i="50"/>
  <c r="BB83" i="19"/>
  <c r="BB46" i="50"/>
  <c r="BB44" i="50"/>
  <c r="BB47" i="50"/>
  <c r="BB45" i="50"/>
  <c r="BB48" i="50"/>
  <c r="BB55" i="50"/>
  <c r="BB56" i="50"/>
  <c r="BB49" i="50"/>
  <c r="BB50" i="50"/>
  <c r="BB84" i="19"/>
  <c r="BB88" i="19"/>
  <c r="BB81" i="19"/>
  <c r="BC22" i="50"/>
  <c r="BC23" i="50"/>
  <c r="BC98" i="50" s="1"/>
  <c r="BD149" i="50"/>
  <c r="BE6" i="50"/>
  <c r="BE42" i="31"/>
  <c r="BE6" i="28"/>
  <c r="BE5" i="50"/>
  <c r="BE41" i="31"/>
  <c r="BE5" i="28"/>
  <c r="DH73" i="50"/>
  <c r="BG142" i="50"/>
  <c r="BH139" i="50"/>
  <c r="BB33" i="50"/>
  <c r="BB30" i="50"/>
  <c r="BB32" i="50"/>
  <c r="BB34" i="50"/>
  <c r="AW49" i="31"/>
  <c r="AY156" i="50"/>
  <c r="AY165" i="50"/>
  <c r="AY166" i="50" s="1"/>
  <c r="AY134" i="50"/>
  <c r="AY136" i="50"/>
  <c r="AY155" i="50"/>
  <c r="AY52" i="31"/>
  <c r="AY54" i="31" s="1"/>
  <c r="AY158" i="50"/>
  <c r="AY157" i="50"/>
  <c r="AY77" i="50"/>
  <c r="AY78" i="50" s="1"/>
  <c r="AY81" i="50" s="1"/>
  <c r="BA74" i="50"/>
  <c r="BA72" i="50"/>
  <c r="BA128" i="50"/>
  <c r="BA130" i="50" s="1"/>
  <c r="AZ76" i="50"/>
  <c r="AZ145" i="50"/>
  <c r="AZ162" i="50"/>
  <c r="AZ146" i="50"/>
  <c r="AZ132" i="50"/>
  <c r="AZ133" i="50" s="1"/>
  <c r="AZ144" i="50"/>
  <c r="AX47" i="31"/>
  <c r="AX54" i="31"/>
  <c r="BA103" i="50" l="1"/>
  <c r="BA104" i="50"/>
  <c r="BA105" i="50"/>
  <c r="BA107" i="50"/>
  <c r="BA108" i="50"/>
  <c r="BA111" i="50"/>
  <c r="BA106" i="50"/>
  <c r="BA110" i="50"/>
  <c r="BA109" i="50"/>
  <c r="BA112" i="50"/>
  <c r="BA113" i="50"/>
  <c r="BA115" i="50"/>
  <c r="BA118" i="50"/>
  <c r="BA121" i="50"/>
  <c r="BA119" i="50"/>
  <c r="BA116" i="50"/>
  <c r="BA114" i="50"/>
  <c r="BA88" i="50"/>
  <c r="BA120" i="50"/>
  <c r="BA122" i="50"/>
  <c r="BA89" i="50"/>
  <c r="BA91" i="50"/>
  <c r="BA92" i="50"/>
  <c r="BA87" i="50"/>
  <c r="BA86" i="50"/>
  <c r="BA93" i="50"/>
  <c r="BA94" i="50"/>
  <c r="BA96" i="50"/>
  <c r="BA117" i="50"/>
  <c r="BA95" i="50"/>
  <c r="BA97" i="50"/>
  <c r="BA90" i="50"/>
  <c r="AZ123" i="50"/>
  <c r="AZ99" i="50"/>
  <c r="BC59" i="50"/>
  <c r="BC68" i="50" s="1"/>
  <c r="BC63" i="50"/>
  <c r="BC65" i="50"/>
  <c r="BC61" i="50"/>
  <c r="BC70" i="50" s="1"/>
  <c r="BE21" i="50"/>
  <c r="BE26" i="50" s="1"/>
  <c r="BE161" i="50"/>
  <c r="BC84" i="19"/>
  <c r="BB51" i="50"/>
  <c r="BC83" i="19"/>
  <c r="BC46" i="50"/>
  <c r="BC44" i="50"/>
  <c r="BC47" i="50"/>
  <c r="BC50" i="50"/>
  <c r="BC45" i="50"/>
  <c r="BC48" i="50"/>
  <c r="BC55" i="50"/>
  <c r="BC56" i="50"/>
  <c r="BC49" i="50"/>
  <c r="BC87" i="19"/>
  <c r="BC85" i="19"/>
  <c r="BC86" i="19"/>
  <c r="BC88" i="19"/>
  <c r="BC82" i="19"/>
  <c r="BC81" i="19"/>
  <c r="BD22" i="50"/>
  <c r="BD23" i="50"/>
  <c r="BD98" i="50" s="1"/>
  <c r="BE149" i="50"/>
  <c r="BF6" i="50"/>
  <c r="BF42" i="31"/>
  <c r="BF6" i="28"/>
  <c r="BF41" i="31"/>
  <c r="BF5" i="28"/>
  <c r="BF5" i="50"/>
  <c r="DI73" i="50"/>
  <c r="BH142" i="50"/>
  <c r="BI139" i="50"/>
  <c r="BC33" i="50"/>
  <c r="BC30" i="50"/>
  <c r="BC32" i="50"/>
  <c r="BC34" i="50"/>
  <c r="AX55" i="31"/>
  <c r="AY55" i="31" s="1"/>
  <c r="AX49" i="31"/>
  <c r="AZ156" i="50"/>
  <c r="AZ165" i="50"/>
  <c r="AZ166" i="50" s="1"/>
  <c r="AZ134" i="50"/>
  <c r="AZ136" i="50"/>
  <c r="AZ155" i="50"/>
  <c r="AZ52" i="31"/>
  <c r="AZ158" i="50"/>
  <c r="AZ157" i="50"/>
  <c r="AZ77" i="50"/>
  <c r="AZ78" i="50" s="1"/>
  <c r="AZ81" i="50" s="1"/>
  <c r="BB74" i="50"/>
  <c r="BB72" i="50"/>
  <c r="BB128" i="50"/>
  <c r="BB130" i="50" s="1"/>
  <c r="BA76" i="50"/>
  <c r="BA145" i="50"/>
  <c r="G51" i="4" s="1"/>
  <c r="BA162" i="50"/>
  <c r="BA146" i="50"/>
  <c r="G52" i="4" s="1"/>
  <c r="BA132" i="50"/>
  <c r="BA133" i="50" s="1"/>
  <c r="BA144" i="50"/>
  <c r="AY47" i="31"/>
  <c r="BB103" i="50" l="1"/>
  <c r="BB106" i="50"/>
  <c r="BB104" i="50"/>
  <c r="BB105" i="50"/>
  <c r="BB107" i="50"/>
  <c r="BB110" i="50"/>
  <c r="BB109" i="50"/>
  <c r="BB111" i="50"/>
  <c r="BB112" i="50"/>
  <c r="BB113" i="50"/>
  <c r="BB115" i="50"/>
  <c r="BB116" i="50"/>
  <c r="BB119" i="50"/>
  <c r="BB108" i="50"/>
  <c r="BB121" i="50"/>
  <c r="BB122" i="50"/>
  <c r="BB120" i="50"/>
  <c r="BB90" i="50"/>
  <c r="BB118" i="50"/>
  <c r="BB93" i="50"/>
  <c r="BB114" i="50"/>
  <c r="BB117" i="50"/>
  <c r="BB94" i="50"/>
  <c r="BB88" i="50"/>
  <c r="BB87" i="50"/>
  <c r="BB86" i="50"/>
  <c r="BB95" i="50"/>
  <c r="BB91" i="50"/>
  <c r="BB96" i="50"/>
  <c r="BB92" i="50"/>
  <c r="BB89" i="50"/>
  <c r="BB97" i="50"/>
  <c r="BA123" i="50"/>
  <c r="BD59" i="50"/>
  <c r="BD68" i="50" s="1"/>
  <c r="BD61" i="50"/>
  <c r="BD70" i="50" s="1"/>
  <c r="BD63" i="50"/>
  <c r="BD65" i="50"/>
  <c r="BA99" i="50"/>
  <c r="BF21" i="50"/>
  <c r="BF26" i="50" s="1"/>
  <c r="BF161" i="50"/>
  <c r="BD88" i="19"/>
  <c r="BD86" i="19"/>
  <c r="BD85" i="19"/>
  <c r="BD44" i="50"/>
  <c r="BD45" i="50"/>
  <c r="BD46" i="50"/>
  <c r="BD48" i="50"/>
  <c r="BD49" i="50"/>
  <c r="BD50" i="50"/>
  <c r="BD55" i="50"/>
  <c r="BD47" i="50"/>
  <c r="BD56" i="50"/>
  <c r="BD87" i="19"/>
  <c r="BC51" i="50"/>
  <c r="BD83" i="19"/>
  <c r="BD82" i="19"/>
  <c r="BD84" i="19"/>
  <c r="BD81" i="19"/>
  <c r="BE22" i="50"/>
  <c r="BE23" i="50"/>
  <c r="BE98" i="50" s="1"/>
  <c r="BF149" i="50"/>
  <c r="BG6" i="50"/>
  <c r="BG42" i="31"/>
  <c r="BG6" i="28"/>
  <c r="BG5" i="50"/>
  <c r="BG5" i="28"/>
  <c r="BG41" i="31"/>
  <c r="DJ73" i="50"/>
  <c r="BI142" i="50"/>
  <c r="BJ139" i="50"/>
  <c r="BD32" i="50"/>
  <c r="BD34" i="50"/>
  <c r="BD30" i="50"/>
  <c r="BD33" i="50"/>
  <c r="AY49" i="31"/>
  <c r="BA156" i="50"/>
  <c r="BA165" i="50"/>
  <c r="BA166" i="50" s="1"/>
  <c r="G50" i="4"/>
  <c r="BA134" i="50"/>
  <c r="BA136" i="50"/>
  <c r="BA155" i="50"/>
  <c r="BA52" i="31"/>
  <c r="BA54" i="31" s="1"/>
  <c r="G49" i="4"/>
  <c r="BA158" i="50"/>
  <c r="BA157" i="50"/>
  <c r="BA77" i="50"/>
  <c r="BA78" i="50" s="1"/>
  <c r="BA81" i="50" s="1"/>
  <c r="BC74" i="50"/>
  <c r="BC72" i="50"/>
  <c r="BC128" i="50"/>
  <c r="BC130" i="50" s="1"/>
  <c r="BB76" i="50"/>
  <c r="BB162" i="50"/>
  <c r="BB145" i="50"/>
  <c r="BB146" i="50"/>
  <c r="BB144" i="50"/>
  <c r="BB132" i="50"/>
  <c r="BB133" i="50" s="1"/>
  <c r="AZ54" i="31"/>
  <c r="AZ55" i="31" s="1"/>
  <c r="AZ47" i="31"/>
  <c r="BC105" i="50" l="1"/>
  <c r="BC103" i="50"/>
  <c r="BC106" i="50"/>
  <c r="BC107" i="50"/>
  <c r="BC110" i="50"/>
  <c r="BC104" i="50"/>
  <c r="BC108" i="50"/>
  <c r="BC109" i="50"/>
  <c r="BC117" i="50"/>
  <c r="BC113" i="50"/>
  <c r="BC112" i="50"/>
  <c r="BC111" i="50"/>
  <c r="BC121" i="50"/>
  <c r="BC115" i="50"/>
  <c r="BC87" i="50"/>
  <c r="BC90" i="50"/>
  <c r="BC118" i="50"/>
  <c r="BC91" i="50"/>
  <c r="BC114" i="50"/>
  <c r="BC88" i="50"/>
  <c r="BC119" i="50"/>
  <c r="BC120" i="50"/>
  <c r="BC116" i="50"/>
  <c r="BC86" i="50"/>
  <c r="BC95" i="50"/>
  <c r="BC122" i="50"/>
  <c r="BC96" i="50"/>
  <c r="BC94" i="50"/>
  <c r="BC92" i="50"/>
  <c r="BC93" i="50"/>
  <c r="BC89" i="50"/>
  <c r="BC97" i="50"/>
  <c r="BB123" i="50"/>
  <c r="BB99" i="50"/>
  <c r="BE61" i="50"/>
  <c r="BE70" i="50" s="1"/>
  <c r="BE59" i="50"/>
  <c r="BE68" i="50" s="1"/>
  <c r="BE63" i="50"/>
  <c r="BE65" i="50"/>
  <c r="BG21" i="50"/>
  <c r="BG26" i="50" s="1"/>
  <c r="BG161" i="50"/>
  <c r="BE82" i="19"/>
  <c r="BE83" i="19"/>
  <c r="BE87" i="19"/>
  <c r="BE84" i="19"/>
  <c r="BE88" i="19"/>
  <c r="BE45" i="50"/>
  <c r="BE46" i="50"/>
  <c r="BE50" i="50"/>
  <c r="BE47" i="50"/>
  <c r="BE44" i="50"/>
  <c r="BE48" i="50"/>
  <c r="BE55" i="50"/>
  <c r="BE56" i="50"/>
  <c r="BE49" i="50"/>
  <c r="BD51" i="50"/>
  <c r="BE86" i="19"/>
  <c r="BE85" i="19"/>
  <c r="BE81" i="19"/>
  <c r="BF22" i="50"/>
  <c r="BF23" i="50"/>
  <c r="BF98" i="50" s="1"/>
  <c r="BG149" i="50"/>
  <c r="BH6" i="50"/>
  <c r="BH42" i="31"/>
  <c r="BH6" i="28"/>
  <c r="BH5" i="50"/>
  <c r="BH41" i="31"/>
  <c r="BH5" i="28"/>
  <c r="DK73" i="50"/>
  <c r="BJ142" i="50"/>
  <c r="BK139" i="50"/>
  <c r="BA55" i="31"/>
  <c r="BE33" i="50"/>
  <c r="BE30" i="50"/>
  <c r="BE32" i="50"/>
  <c r="BE34" i="50"/>
  <c r="AZ49" i="31"/>
  <c r="BB134" i="50"/>
  <c r="BB136" i="50"/>
  <c r="BB155" i="50"/>
  <c r="BB52" i="31"/>
  <c r="BB156" i="50"/>
  <c r="BB165" i="50"/>
  <c r="BB166" i="50" s="1"/>
  <c r="BB158" i="50"/>
  <c r="BB157" i="50"/>
  <c r="BB77" i="50"/>
  <c r="BB78" i="50" s="1"/>
  <c r="BB81" i="50" s="1"/>
  <c r="BD74" i="50"/>
  <c r="BD72" i="50"/>
  <c r="BD128" i="50"/>
  <c r="BD130" i="50" s="1"/>
  <c r="BC76" i="50"/>
  <c r="BC145" i="50"/>
  <c r="BC162" i="50"/>
  <c r="BC146" i="50"/>
  <c r="BC144" i="50"/>
  <c r="BC132" i="50"/>
  <c r="BC133" i="50" s="1"/>
  <c r="G56" i="4"/>
  <c r="G57" i="4"/>
  <c r="G55" i="4"/>
  <c r="BA47" i="31"/>
  <c r="BD105" i="50" l="1"/>
  <c r="BD103" i="50"/>
  <c r="BD106" i="50"/>
  <c r="BD104" i="50"/>
  <c r="BD107" i="50"/>
  <c r="BD108" i="50"/>
  <c r="BD111" i="50"/>
  <c r="BD112" i="50"/>
  <c r="BD113" i="50"/>
  <c r="BD110" i="50"/>
  <c r="BD114" i="50"/>
  <c r="BD117" i="50"/>
  <c r="BD118" i="50"/>
  <c r="BD120" i="50"/>
  <c r="BD86" i="50"/>
  <c r="BD109" i="50"/>
  <c r="BD119" i="50"/>
  <c r="BD92" i="50"/>
  <c r="BD115" i="50"/>
  <c r="BD87" i="50"/>
  <c r="BD88" i="50"/>
  <c r="BD122" i="50"/>
  <c r="BD89" i="50"/>
  <c r="BD116" i="50"/>
  <c r="BD121" i="50"/>
  <c r="BD93" i="50"/>
  <c r="BD90" i="50"/>
  <c r="BD97" i="50"/>
  <c r="BD91" i="50"/>
  <c r="BD95" i="50"/>
  <c r="BD96" i="50"/>
  <c r="BD94" i="50"/>
  <c r="BF61" i="50"/>
  <c r="BF70" i="50" s="1"/>
  <c r="BF59" i="50"/>
  <c r="BF68" i="50" s="1"/>
  <c r="BF63" i="50"/>
  <c r="BF65" i="50"/>
  <c r="BF84" i="19"/>
  <c r="BC123" i="50"/>
  <c r="BC99" i="50"/>
  <c r="BH21" i="50"/>
  <c r="BH26" i="50" s="1"/>
  <c r="BH161" i="50"/>
  <c r="BF86" i="19"/>
  <c r="BF87" i="19"/>
  <c r="BE51" i="50"/>
  <c r="BF82" i="19"/>
  <c r="BF45" i="50"/>
  <c r="BF46" i="50"/>
  <c r="BF47" i="50"/>
  <c r="BF49" i="50"/>
  <c r="BF44" i="50"/>
  <c r="BF50" i="50"/>
  <c r="BF48" i="50"/>
  <c r="BF55" i="50"/>
  <c r="BF56" i="50"/>
  <c r="BF88" i="19"/>
  <c r="BF85" i="19"/>
  <c r="BF83" i="19"/>
  <c r="BF81" i="19"/>
  <c r="BG22" i="50"/>
  <c r="BG23" i="50"/>
  <c r="BG98" i="50" s="1"/>
  <c r="BH149" i="50"/>
  <c r="BI6" i="50"/>
  <c r="BI6" i="28"/>
  <c r="BI42" i="31"/>
  <c r="BI5" i="50"/>
  <c r="BI5" i="28"/>
  <c r="BI41" i="31"/>
  <c r="DL73" i="50"/>
  <c r="BK142" i="50"/>
  <c r="BL139" i="50"/>
  <c r="BF30" i="50"/>
  <c r="BF33" i="50"/>
  <c r="BF32" i="50"/>
  <c r="BF34" i="50"/>
  <c r="BA49" i="31"/>
  <c r="BC134" i="50"/>
  <c r="BC136" i="50"/>
  <c r="BC155" i="50"/>
  <c r="BC52" i="31"/>
  <c r="BC54" i="31" s="1"/>
  <c r="BC156" i="50"/>
  <c r="BC165" i="50"/>
  <c r="BC166" i="50" s="1"/>
  <c r="BC158" i="50"/>
  <c r="BC157" i="50"/>
  <c r="BC77" i="50"/>
  <c r="BC78" i="50" s="1"/>
  <c r="BC81" i="50" s="1"/>
  <c r="BE74" i="50"/>
  <c r="BE72" i="50"/>
  <c r="BE128" i="50"/>
  <c r="BE130" i="50" s="1"/>
  <c r="BD76" i="50"/>
  <c r="BD145" i="50"/>
  <c r="BD162" i="50"/>
  <c r="BD146" i="50"/>
  <c r="BD132" i="50"/>
  <c r="BD133" i="50" s="1"/>
  <c r="BD144" i="50"/>
  <c r="BB47" i="31"/>
  <c r="BB54" i="31"/>
  <c r="BE105" i="50" l="1"/>
  <c r="BE103" i="50"/>
  <c r="BE104" i="50"/>
  <c r="BE106" i="50"/>
  <c r="BE108" i="50"/>
  <c r="BE109" i="50"/>
  <c r="BE110" i="50"/>
  <c r="BE111" i="50"/>
  <c r="BE113" i="50"/>
  <c r="BE107" i="50"/>
  <c r="BE114" i="50"/>
  <c r="BE115" i="50"/>
  <c r="BE116" i="50"/>
  <c r="BE120" i="50"/>
  <c r="BE112" i="50"/>
  <c r="BE121" i="50"/>
  <c r="BE117" i="50"/>
  <c r="BE86" i="50"/>
  <c r="BE89" i="50"/>
  <c r="BE119" i="50"/>
  <c r="BE92" i="50"/>
  <c r="BE93" i="50"/>
  <c r="BE118" i="50"/>
  <c r="BE122" i="50"/>
  <c r="BE87" i="50"/>
  <c r="BE88" i="50"/>
  <c r="BE90" i="50"/>
  <c r="BE91" i="50"/>
  <c r="BE94" i="50"/>
  <c r="BE97" i="50"/>
  <c r="BE96" i="50"/>
  <c r="BE95" i="50"/>
  <c r="BD99" i="50"/>
  <c r="BG63" i="50"/>
  <c r="BG61" i="50"/>
  <c r="BG70" i="50" s="1"/>
  <c r="BG59" i="50"/>
  <c r="BG68" i="50" s="1"/>
  <c r="BG65" i="50"/>
  <c r="BD123" i="50"/>
  <c r="BI21" i="50"/>
  <c r="BI26" i="50" s="1"/>
  <c r="BI161" i="50"/>
  <c r="BG87" i="19"/>
  <c r="BG88" i="19"/>
  <c r="BG86" i="19"/>
  <c r="BG83" i="19"/>
  <c r="BG85" i="19"/>
  <c r="BG47" i="50"/>
  <c r="BG45" i="50"/>
  <c r="BG44" i="50"/>
  <c r="BG46" i="50"/>
  <c r="BG49" i="50"/>
  <c r="BG48" i="50"/>
  <c r="BG50" i="50"/>
  <c r="BG55" i="50"/>
  <c r="BG56" i="50"/>
  <c r="BG82" i="19"/>
  <c r="BF51" i="50"/>
  <c r="BG84" i="19"/>
  <c r="BG81" i="19"/>
  <c r="BH22" i="50"/>
  <c r="BH23" i="50"/>
  <c r="BH98" i="50" s="1"/>
  <c r="BI149" i="50"/>
  <c r="BJ6" i="28"/>
  <c r="BJ6" i="50"/>
  <c r="BJ42" i="31"/>
  <c r="BJ5" i="50"/>
  <c r="BJ41" i="31"/>
  <c r="BJ5" i="28"/>
  <c r="DM73" i="50"/>
  <c r="BL142" i="50"/>
  <c r="BM139" i="50"/>
  <c r="BG33" i="50"/>
  <c r="BG30" i="50"/>
  <c r="BG32" i="50"/>
  <c r="BG34" i="50"/>
  <c r="BB55" i="31"/>
  <c r="BC55" i="31" s="1"/>
  <c r="BB49" i="31"/>
  <c r="BD156" i="50"/>
  <c r="BD165" i="50"/>
  <c r="BD166" i="50" s="1"/>
  <c r="BD134" i="50"/>
  <c r="BD136" i="50"/>
  <c r="BD155" i="50"/>
  <c r="BD52" i="31"/>
  <c r="BD158" i="50"/>
  <c r="BD157" i="50"/>
  <c r="BD77" i="50"/>
  <c r="BD78" i="50" s="1"/>
  <c r="BD81" i="50" s="1"/>
  <c r="BF74" i="50"/>
  <c r="BF72" i="50"/>
  <c r="BF128" i="50"/>
  <c r="BF130" i="50" s="1"/>
  <c r="BE76" i="50"/>
  <c r="BE145" i="50"/>
  <c r="BE162" i="50"/>
  <c r="BE146" i="50"/>
  <c r="BE144" i="50"/>
  <c r="BE132" i="50"/>
  <c r="BE133" i="50" s="1"/>
  <c r="BC47" i="31"/>
  <c r="BF104" i="50" l="1"/>
  <c r="BF105" i="50"/>
  <c r="BF103" i="50"/>
  <c r="BF106" i="50"/>
  <c r="BF109" i="50"/>
  <c r="BF107" i="50"/>
  <c r="BF112" i="50"/>
  <c r="BF108" i="50"/>
  <c r="BF113" i="50"/>
  <c r="BF116" i="50"/>
  <c r="BF119" i="50"/>
  <c r="BF114" i="50"/>
  <c r="BF115" i="50"/>
  <c r="BF117" i="50"/>
  <c r="BF118" i="50"/>
  <c r="BF122" i="50"/>
  <c r="BF110" i="50"/>
  <c r="BF86" i="50"/>
  <c r="BF89" i="50"/>
  <c r="BF90" i="50"/>
  <c r="BF93" i="50"/>
  <c r="BF111" i="50"/>
  <c r="BF92" i="50"/>
  <c r="BF120" i="50"/>
  <c r="BF87" i="50"/>
  <c r="BF88" i="50"/>
  <c r="BF91" i="50"/>
  <c r="BF94" i="50"/>
  <c r="BF95" i="50"/>
  <c r="BF121" i="50"/>
  <c r="BF97" i="50"/>
  <c r="BF96" i="50"/>
  <c r="BH59" i="50"/>
  <c r="BH68" i="50" s="1"/>
  <c r="BH63" i="50"/>
  <c r="BH61" i="50"/>
  <c r="BH70" i="50" s="1"/>
  <c r="BH65" i="50"/>
  <c r="BE123" i="50"/>
  <c r="BE99" i="50"/>
  <c r="BJ21" i="50"/>
  <c r="BJ26" i="50" s="1"/>
  <c r="BJ161" i="50"/>
  <c r="BH83" i="19"/>
  <c r="BH82" i="19"/>
  <c r="BH86" i="19"/>
  <c r="BH44" i="50"/>
  <c r="BH45" i="50"/>
  <c r="BH46" i="50"/>
  <c r="BH49" i="50"/>
  <c r="BH56" i="50"/>
  <c r="BH50" i="50"/>
  <c r="BH48" i="50"/>
  <c r="BH55" i="50"/>
  <c r="BH47" i="50"/>
  <c r="BG51" i="50"/>
  <c r="BH88" i="19"/>
  <c r="BH87" i="19"/>
  <c r="BH84" i="19"/>
  <c r="BH85" i="19"/>
  <c r="BH81" i="19"/>
  <c r="BI22" i="50"/>
  <c r="BI23" i="50"/>
  <c r="BI98" i="50" s="1"/>
  <c r="BJ149" i="50"/>
  <c r="BK6" i="50"/>
  <c r="BK6" i="28"/>
  <c r="BK42" i="31"/>
  <c r="BK5" i="50"/>
  <c r="BK41" i="31"/>
  <c r="BK5" i="28"/>
  <c r="DN73" i="50"/>
  <c r="BN139" i="50"/>
  <c r="BM142" i="50"/>
  <c r="BH34" i="50"/>
  <c r="BH30" i="50"/>
  <c r="BH33" i="50"/>
  <c r="BH32" i="50"/>
  <c r="BC49" i="31"/>
  <c r="BE134" i="50"/>
  <c r="BE136" i="50"/>
  <c r="BE155" i="50"/>
  <c r="BE52" i="31"/>
  <c r="BE54" i="31" s="1"/>
  <c r="BE156" i="50"/>
  <c r="BE165" i="50"/>
  <c r="BE166" i="50" s="1"/>
  <c r="BE158" i="50"/>
  <c r="BE157" i="50"/>
  <c r="BE77" i="50"/>
  <c r="BE78" i="50" s="1"/>
  <c r="BE81" i="50" s="1"/>
  <c r="BG74" i="50"/>
  <c r="BG72" i="50"/>
  <c r="BG128" i="50"/>
  <c r="BG130" i="50" s="1"/>
  <c r="BF76" i="50"/>
  <c r="BF145" i="50"/>
  <c r="BF162" i="50"/>
  <c r="BF146" i="50"/>
  <c r="BF144" i="50"/>
  <c r="BF132" i="50"/>
  <c r="BF133" i="50" s="1"/>
  <c r="BD54" i="31"/>
  <c r="BD55" i="31" s="1"/>
  <c r="BD47" i="31"/>
  <c r="BG104" i="50" l="1"/>
  <c r="BG105" i="50"/>
  <c r="BG106" i="50"/>
  <c r="BG103" i="50"/>
  <c r="BG108" i="50"/>
  <c r="BG109" i="50"/>
  <c r="BG107" i="50"/>
  <c r="BG112" i="50"/>
  <c r="BG111" i="50"/>
  <c r="BG110" i="50"/>
  <c r="BG116" i="50"/>
  <c r="BG119" i="50"/>
  <c r="BG117" i="50"/>
  <c r="BG114" i="50"/>
  <c r="BG115" i="50"/>
  <c r="BG118" i="50"/>
  <c r="BG122" i="50"/>
  <c r="BG86" i="50"/>
  <c r="BG120" i="50"/>
  <c r="BG121" i="50"/>
  <c r="BG91" i="50"/>
  <c r="BG87" i="50"/>
  <c r="BG113" i="50"/>
  <c r="BG96" i="50"/>
  <c r="BG89" i="50"/>
  <c r="BG90" i="50"/>
  <c r="BG92" i="50"/>
  <c r="BG88" i="50"/>
  <c r="BG97" i="50"/>
  <c r="BG94" i="50"/>
  <c r="BG95" i="50"/>
  <c r="BG93" i="50"/>
  <c r="BI88" i="19"/>
  <c r="BF123" i="50"/>
  <c r="BF99" i="50"/>
  <c r="BI61" i="50"/>
  <c r="BI70" i="50" s="1"/>
  <c r="BI65" i="50"/>
  <c r="BI59" i="50"/>
  <c r="BI68" i="50" s="1"/>
  <c r="BI63" i="50"/>
  <c r="BK21" i="50"/>
  <c r="BK26" i="50" s="1"/>
  <c r="BK161" i="50"/>
  <c r="BI84" i="19"/>
  <c r="BI87" i="19"/>
  <c r="BI85" i="19"/>
  <c r="BI44" i="50"/>
  <c r="BI45" i="50"/>
  <c r="BI46" i="50"/>
  <c r="BI47" i="50"/>
  <c r="BI48" i="50"/>
  <c r="BI49" i="50"/>
  <c r="BI56" i="50"/>
  <c r="BI50" i="50"/>
  <c r="BI55" i="50"/>
  <c r="BI82" i="19"/>
  <c r="BH51" i="50"/>
  <c r="BI83" i="19"/>
  <c r="BI86" i="19"/>
  <c r="BI81" i="19"/>
  <c r="BJ22" i="50"/>
  <c r="BJ23" i="50"/>
  <c r="BJ98" i="50" s="1"/>
  <c r="BK149" i="50"/>
  <c r="BL42" i="31"/>
  <c r="BL6" i="28"/>
  <c r="BL6" i="50"/>
  <c r="BL5" i="50"/>
  <c r="BL41" i="31"/>
  <c r="BL5" i="28"/>
  <c r="DO73" i="50"/>
  <c r="BO139" i="50"/>
  <c r="BN142" i="50"/>
  <c r="BE55" i="31"/>
  <c r="BI33" i="50"/>
  <c r="BI30" i="50"/>
  <c r="BI32" i="50"/>
  <c r="BI34" i="50"/>
  <c r="BD49" i="31"/>
  <c r="BF134" i="50"/>
  <c r="BF136" i="50"/>
  <c r="BF155" i="50"/>
  <c r="BF52" i="31"/>
  <c r="BF156" i="50"/>
  <c r="BF165" i="50"/>
  <c r="BF166" i="50" s="1"/>
  <c r="BF158" i="50"/>
  <c r="BF157" i="50"/>
  <c r="BF77" i="50"/>
  <c r="BF78" i="50" s="1"/>
  <c r="BF81" i="50" s="1"/>
  <c r="BH74" i="50"/>
  <c r="BH72" i="50"/>
  <c r="BH128" i="50"/>
  <c r="BH130" i="50" s="1"/>
  <c r="BG76" i="50"/>
  <c r="BG145" i="50"/>
  <c r="BG162" i="50"/>
  <c r="BG146" i="50"/>
  <c r="BG144" i="50"/>
  <c r="BG132" i="50"/>
  <c r="BG133" i="50" s="1"/>
  <c r="BE47" i="31"/>
  <c r="BJ82" i="19" l="1"/>
  <c r="BH104" i="50"/>
  <c r="BH103" i="50"/>
  <c r="BH107" i="50"/>
  <c r="BH105" i="50"/>
  <c r="BH106" i="50"/>
  <c r="BH108" i="50"/>
  <c r="BH109" i="50"/>
  <c r="BH112" i="50"/>
  <c r="BH111" i="50"/>
  <c r="BH113" i="50"/>
  <c r="BH118" i="50"/>
  <c r="BH114" i="50"/>
  <c r="BH119" i="50"/>
  <c r="BH116" i="50"/>
  <c r="BH117" i="50"/>
  <c r="BH120" i="50"/>
  <c r="BH122" i="50"/>
  <c r="BH88" i="50"/>
  <c r="BH110" i="50"/>
  <c r="BH121" i="50"/>
  <c r="BH91" i="50"/>
  <c r="BH115" i="50"/>
  <c r="BH92" i="50"/>
  <c r="BH96" i="50"/>
  <c r="BH86" i="50"/>
  <c r="BH87" i="50"/>
  <c r="BH89" i="50"/>
  <c r="BH90" i="50"/>
  <c r="BH97" i="50"/>
  <c r="BH94" i="50"/>
  <c r="BH95" i="50"/>
  <c r="BH93" i="50"/>
  <c r="BG123" i="50"/>
  <c r="BG99" i="50"/>
  <c r="BJ61" i="50"/>
  <c r="BJ70" i="50" s="1"/>
  <c r="BJ65" i="50"/>
  <c r="BJ63" i="50"/>
  <c r="BJ59" i="50"/>
  <c r="BJ68" i="50" s="1"/>
  <c r="BL21" i="50"/>
  <c r="BL26" i="50" s="1"/>
  <c r="BL161" i="50"/>
  <c r="BJ85" i="19"/>
  <c r="BJ86" i="19"/>
  <c r="BJ83" i="19"/>
  <c r="BJ46" i="50"/>
  <c r="BJ44" i="50"/>
  <c r="BJ47" i="50"/>
  <c r="BJ48" i="50"/>
  <c r="BJ45" i="50"/>
  <c r="BJ55" i="50"/>
  <c r="BJ56" i="50"/>
  <c r="BJ50" i="50"/>
  <c r="BJ49" i="50"/>
  <c r="BI51" i="50"/>
  <c r="BJ84" i="19"/>
  <c r="BJ88" i="19"/>
  <c r="BJ87" i="19"/>
  <c r="BJ81" i="19"/>
  <c r="BK22" i="50"/>
  <c r="BK23" i="50"/>
  <c r="BK98" i="50" s="1"/>
  <c r="BL149" i="50"/>
  <c r="BM6" i="50"/>
  <c r="BM42" i="31"/>
  <c r="BM6" i="28"/>
  <c r="BM5" i="50"/>
  <c r="BM5" i="28"/>
  <c r="DP73" i="50"/>
  <c r="BO142" i="50"/>
  <c r="BP139" i="50"/>
  <c r="BJ33" i="50"/>
  <c r="BJ30" i="50"/>
  <c r="BJ32" i="50"/>
  <c r="BJ34" i="50"/>
  <c r="BE49" i="31"/>
  <c r="BG134" i="50"/>
  <c r="BG136" i="50"/>
  <c r="BG155" i="50"/>
  <c r="BG52" i="31"/>
  <c r="BG54" i="31" s="1"/>
  <c r="BG156" i="50"/>
  <c r="BG165" i="50"/>
  <c r="BG166" i="50" s="1"/>
  <c r="BG158" i="50"/>
  <c r="BG157" i="50"/>
  <c r="BG77" i="50"/>
  <c r="BG78" i="50" s="1"/>
  <c r="BG81" i="50" s="1"/>
  <c r="BI74" i="50"/>
  <c r="BI72" i="50"/>
  <c r="BI128" i="50"/>
  <c r="BI130" i="50" s="1"/>
  <c r="BH76" i="50"/>
  <c r="BH145" i="50"/>
  <c r="BH162" i="50"/>
  <c r="BH146" i="50"/>
  <c r="BH144" i="50"/>
  <c r="BH132" i="50"/>
  <c r="BH133" i="50" s="1"/>
  <c r="BF47" i="31"/>
  <c r="BF54" i="31"/>
  <c r="BI103" i="50" l="1"/>
  <c r="BI104" i="50"/>
  <c r="BI107" i="50"/>
  <c r="BI105" i="50"/>
  <c r="BI106" i="50"/>
  <c r="BI108" i="50"/>
  <c r="BI110" i="50"/>
  <c r="BI111" i="50"/>
  <c r="BI109" i="50"/>
  <c r="BI112" i="50"/>
  <c r="BI115" i="50"/>
  <c r="BI118" i="50"/>
  <c r="BI121" i="50"/>
  <c r="BI119" i="50"/>
  <c r="BI113" i="50"/>
  <c r="BI116" i="50"/>
  <c r="BI120" i="50"/>
  <c r="BI122" i="50"/>
  <c r="BI88" i="50"/>
  <c r="BI114" i="50"/>
  <c r="BI89" i="50"/>
  <c r="BI93" i="50"/>
  <c r="BI91" i="50"/>
  <c r="BI92" i="50"/>
  <c r="BI117" i="50"/>
  <c r="BI94" i="50"/>
  <c r="BI87" i="50"/>
  <c r="BI90" i="50"/>
  <c r="BI97" i="50"/>
  <c r="BI86" i="50"/>
  <c r="BI96" i="50"/>
  <c r="BI95" i="50"/>
  <c r="BH123" i="50"/>
  <c r="BH99" i="50"/>
  <c r="BK59" i="50"/>
  <c r="BK68" i="50" s="1"/>
  <c r="BK61" i="50"/>
  <c r="BK70" i="50" s="1"/>
  <c r="BK63" i="50"/>
  <c r="BK65" i="50"/>
  <c r="BM21" i="50"/>
  <c r="BM26" i="50" s="1"/>
  <c r="BM161" i="50"/>
  <c r="BK88" i="19"/>
  <c r="BK86" i="19"/>
  <c r="BK84" i="19"/>
  <c r="BK46" i="50"/>
  <c r="BK44" i="50"/>
  <c r="BK47" i="50"/>
  <c r="BK48" i="50"/>
  <c r="BK49" i="50"/>
  <c r="BK55" i="50"/>
  <c r="BK45" i="50"/>
  <c r="BK56" i="50"/>
  <c r="BK50" i="50"/>
  <c r="BK82" i="19"/>
  <c r="BJ51" i="50"/>
  <c r="BK85" i="19"/>
  <c r="BK87" i="19"/>
  <c r="BK83" i="19"/>
  <c r="BK81" i="19"/>
  <c r="BL22" i="50"/>
  <c r="BL23" i="50"/>
  <c r="BL98" i="50" s="1"/>
  <c r="BM149" i="50"/>
  <c r="BN6" i="28"/>
  <c r="BN42" i="31"/>
  <c r="BN6" i="50"/>
  <c r="BN41" i="31"/>
  <c r="BN5" i="28"/>
  <c r="BN5" i="50"/>
  <c r="DQ73" i="50"/>
  <c r="BP142" i="50"/>
  <c r="BQ139" i="50"/>
  <c r="BK33" i="50"/>
  <c r="BK30" i="50"/>
  <c r="BK32" i="50"/>
  <c r="BK34" i="50"/>
  <c r="BF55" i="31"/>
  <c r="BG55" i="31" s="1"/>
  <c r="BF49" i="31"/>
  <c r="BH134" i="50"/>
  <c r="BH136" i="50"/>
  <c r="BH155" i="50"/>
  <c r="BH52" i="31"/>
  <c r="BH156" i="50"/>
  <c r="BH165" i="50"/>
  <c r="BH166" i="50" s="1"/>
  <c r="BH158" i="50"/>
  <c r="BH157" i="50"/>
  <c r="BH77" i="50"/>
  <c r="BH78" i="50" s="1"/>
  <c r="BH81" i="50" s="1"/>
  <c r="BJ74" i="50"/>
  <c r="BJ72" i="50"/>
  <c r="BJ128" i="50"/>
  <c r="BJ130" i="50" s="1"/>
  <c r="BI76" i="50"/>
  <c r="BI145" i="50"/>
  <c r="BI162" i="50"/>
  <c r="BI146" i="50"/>
  <c r="BI132" i="50"/>
  <c r="BI133" i="50" s="1"/>
  <c r="BI144" i="50"/>
  <c r="BG47" i="31"/>
  <c r="BJ103" i="50" l="1"/>
  <c r="BJ106" i="50"/>
  <c r="BJ104" i="50"/>
  <c r="BJ105" i="50"/>
  <c r="BJ110" i="50"/>
  <c r="BJ108" i="50"/>
  <c r="BJ111" i="50"/>
  <c r="BJ109" i="50"/>
  <c r="BJ112" i="50"/>
  <c r="BJ113" i="50"/>
  <c r="BJ107" i="50"/>
  <c r="BJ115" i="50"/>
  <c r="BJ116" i="50"/>
  <c r="BJ119" i="50"/>
  <c r="BJ121" i="50"/>
  <c r="BJ122" i="50"/>
  <c r="BJ114" i="50"/>
  <c r="BJ90" i="50"/>
  <c r="BJ93" i="50"/>
  <c r="BJ120" i="50"/>
  <c r="BJ118" i="50"/>
  <c r="BJ86" i="50"/>
  <c r="BJ117" i="50"/>
  <c r="BJ95" i="50"/>
  <c r="BJ87" i="50"/>
  <c r="BJ91" i="50"/>
  <c r="BJ97" i="50"/>
  <c r="BJ92" i="50"/>
  <c r="BJ88" i="50"/>
  <c r="BJ89" i="50"/>
  <c r="BJ94" i="50"/>
  <c r="BJ96" i="50"/>
  <c r="BI99" i="50"/>
  <c r="BI123" i="50"/>
  <c r="BL59" i="50"/>
  <c r="BL68" i="50" s="1"/>
  <c r="BL65" i="50"/>
  <c r="BL63" i="50"/>
  <c r="BL61" i="50"/>
  <c r="BL70" i="50" s="1"/>
  <c r="BN21" i="50"/>
  <c r="BN26" i="50" s="1"/>
  <c r="BN161" i="50"/>
  <c r="BL85" i="19"/>
  <c r="BL82" i="19"/>
  <c r="BK51" i="50"/>
  <c r="BL87" i="19"/>
  <c r="BL88" i="19"/>
  <c r="BL44" i="50"/>
  <c r="BL45" i="50"/>
  <c r="BL47" i="50"/>
  <c r="BL46" i="50"/>
  <c r="BL48" i="50"/>
  <c r="BL49" i="50"/>
  <c r="BL55" i="50"/>
  <c r="BL56" i="50"/>
  <c r="BL50" i="50"/>
  <c r="BL84" i="19"/>
  <c r="BL83" i="19"/>
  <c r="BL86" i="19"/>
  <c r="E13" i="37"/>
  <c r="BL81" i="19"/>
  <c r="BM22" i="50"/>
  <c r="BM23" i="50"/>
  <c r="BM98" i="50" s="1"/>
  <c r="BN149" i="50"/>
  <c r="BO6" i="50"/>
  <c r="BO42" i="31"/>
  <c r="BO6" i="28"/>
  <c r="BO41" i="31"/>
  <c r="BO5" i="28"/>
  <c r="BO5" i="50"/>
  <c r="DR73" i="50"/>
  <c r="BR139" i="50"/>
  <c r="BQ142" i="50"/>
  <c r="BL32" i="50"/>
  <c r="BL34" i="50"/>
  <c r="BL33" i="50"/>
  <c r="BL30" i="50"/>
  <c r="BG49" i="31"/>
  <c r="BI156" i="50"/>
  <c r="BI165" i="50"/>
  <c r="BI166" i="50" s="1"/>
  <c r="BI134" i="50"/>
  <c r="BI136" i="50"/>
  <c r="BI155" i="50"/>
  <c r="BI52" i="31"/>
  <c r="BI54" i="31" s="1"/>
  <c r="BI158" i="50"/>
  <c r="BI157" i="50"/>
  <c r="BI77" i="50"/>
  <c r="BI78" i="50" s="1"/>
  <c r="BI81" i="50" s="1"/>
  <c r="BK74" i="50"/>
  <c r="BK72" i="50"/>
  <c r="BK128" i="50"/>
  <c r="BK130" i="50" s="1"/>
  <c r="BJ76" i="50"/>
  <c r="BJ145" i="50"/>
  <c r="BJ162" i="50"/>
  <c r="BJ146" i="50"/>
  <c r="BJ144" i="50"/>
  <c r="BJ132" i="50"/>
  <c r="BJ133" i="50" s="1"/>
  <c r="BH47" i="31"/>
  <c r="BH54" i="31"/>
  <c r="BH55" i="31" s="1"/>
  <c r="BK105" i="50" l="1"/>
  <c r="BK103" i="50"/>
  <c r="BK106" i="50"/>
  <c r="BK107" i="50"/>
  <c r="BK110" i="50"/>
  <c r="BK108" i="50"/>
  <c r="BK104" i="50"/>
  <c r="BK111" i="50"/>
  <c r="BK112" i="50"/>
  <c r="BK117" i="50"/>
  <c r="BK113" i="50"/>
  <c r="BK114" i="50"/>
  <c r="BK118" i="50"/>
  <c r="BK109" i="50"/>
  <c r="BK87" i="50"/>
  <c r="BK116" i="50"/>
  <c r="BK90" i="50"/>
  <c r="BK119" i="50"/>
  <c r="BK121" i="50"/>
  <c r="BK91" i="50"/>
  <c r="BK122" i="50"/>
  <c r="BK115" i="50"/>
  <c r="BK93" i="50"/>
  <c r="BK95" i="50"/>
  <c r="BK120" i="50"/>
  <c r="BK86" i="50"/>
  <c r="BK88" i="50"/>
  <c r="BK89" i="50"/>
  <c r="BK92" i="50"/>
  <c r="BK96" i="50"/>
  <c r="BK97" i="50"/>
  <c r="BK94" i="50"/>
  <c r="BJ123" i="50"/>
  <c r="BM61" i="50"/>
  <c r="BM70" i="50" s="1"/>
  <c r="BM59" i="50"/>
  <c r="BM68" i="50" s="1"/>
  <c r="BM63" i="50"/>
  <c r="BM65" i="50"/>
  <c r="BJ99" i="50"/>
  <c r="BO21" i="50"/>
  <c r="BO26" i="50" s="1"/>
  <c r="BO161" i="50"/>
  <c r="BM86" i="19"/>
  <c r="BM83" i="19"/>
  <c r="BM45" i="50"/>
  <c r="BM46" i="50"/>
  <c r="BM44" i="50"/>
  <c r="BM47" i="50"/>
  <c r="BM50" i="50"/>
  <c r="BM49" i="50"/>
  <c r="BM55" i="50"/>
  <c r="BM48" i="50"/>
  <c r="BM56" i="50"/>
  <c r="BM84" i="19"/>
  <c r="BM82" i="19"/>
  <c r="BL51" i="50"/>
  <c r="BM88" i="19"/>
  <c r="BM85" i="19"/>
  <c r="BM87" i="19"/>
  <c r="F13" i="37"/>
  <c r="G13" i="37" s="1"/>
  <c r="H13" i="37" s="1"/>
  <c r="I13" i="37" s="1"/>
  <c r="J13" i="37" s="1"/>
  <c r="K13" i="37" s="1"/>
  <c r="L13" i="37" s="1"/>
  <c r="M13" i="37" s="1"/>
  <c r="N13" i="37" s="1"/>
  <c r="O13" i="37" s="1"/>
  <c r="P13" i="37" s="1"/>
  <c r="Q13" i="37" s="1"/>
  <c r="R13" i="37" s="1"/>
  <c r="S13" i="37" s="1"/>
  <c r="T13" i="37" s="1"/>
  <c r="U13" i="37" s="1"/>
  <c r="V13" i="37" s="1"/>
  <c r="W13" i="37" s="1"/>
  <c r="X13" i="37" s="1"/>
  <c r="Y13" i="37" s="1"/>
  <c r="Z13" i="37" s="1"/>
  <c r="Z15" i="37" s="1"/>
  <c r="E14" i="37"/>
  <c r="E16" i="37"/>
  <c r="E15" i="37"/>
  <c r="BM81" i="19"/>
  <c r="BN22" i="50"/>
  <c r="BN23" i="50"/>
  <c r="BN98" i="50" s="1"/>
  <c r="BO149" i="50"/>
  <c r="BP42" i="31"/>
  <c r="BP6" i="28"/>
  <c r="BP6" i="50"/>
  <c r="BP41" i="31"/>
  <c r="BP5" i="28"/>
  <c r="BP5" i="50"/>
  <c r="DS73" i="50"/>
  <c r="BS139" i="50"/>
  <c r="BR142" i="50"/>
  <c r="BI55" i="31"/>
  <c r="BM34" i="50"/>
  <c r="BM33" i="50"/>
  <c r="BM30" i="50"/>
  <c r="BM32" i="50"/>
  <c r="BH49" i="31"/>
  <c r="BJ134" i="50"/>
  <c r="BJ136" i="50"/>
  <c r="BJ155" i="50"/>
  <c r="BJ52" i="31"/>
  <c r="BJ156" i="50"/>
  <c r="BJ165" i="50"/>
  <c r="BJ166" i="50" s="1"/>
  <c r="BJ158" i="50"/>
  <c r="BJ157" i="50"/>
  <c r="BJ77" i="50"/>
  <c r="BJ78" i="50" s="1"/>
  <c r="BJ81" i="50" s="1"/>
  <c r="BL74" i="50"/>
  <c r="BL72" i="50"/>
  <c r="BL128" i="50"/>
  <c r="BL130" i="50" s="1"/>
  <c r="BK76" i="50"/>
  <c r="BK145" i="50"/>
  <c r="BK162" i="50"/>
  <c r="BK146" i="50"/>
  <c r="BK144" i="50"/>
  <c r="BK132" i="50"/>
  <c r="BK133" i="50" s="1"/>
  <c r="BI47" i="31"/>
  <c r="BA31" i="50" l="1"/>
  <c r="BA36" i="50" s="1"/>
  <c r="AU31" i="50"/>
  <c r="AU36" i="50" s="1"/>
  <c r="BD31" i="50"/>
  <c r="BD36" i="50" s="1"/>
  <c r="BJ31" i="50"/>
  <c r="BJ36" i="50" s="1"/>
  <c r="AP31" i="50"/>
  <c r="AP36" i="50" s="1"/>
  <c r="BI31" i="50"/>
  <c r="BI36" i="50" s="1"/>
  <c r="BF31" i="50"/>
  <c r="BF36" i="50" s="1"/>
  <c r="BM31" i="50"/>
  <c r="BM36" i="50" s="1"/>
  <c r="BC31" i="50"/>
  <c r="BC36" i="50" s="1"/>
  <c r="AF31" i="50"/>
  <c r="AF36" i="50" s="1"/>
  <c r="BB31" i="50"/>
  <c r="BB36" i="50" s="1"/>
  <c r="BK31" i="50"/>
  <c r="BK36" i="50" s="1"/>
  <c r="AX31" i="50"/>
  <c r="AX36" i="50" s="1"/>
  <c r="AV31" i="50"/>
  <c r="AV36" i="50" s="1"/>
  <c r="AE31" i="50"/>
  <c r="AE36" i="50" s="1"/>
  <c r="M31" i="50"/>
  <c r="M36" i="50" s="1"/>
  <c r="BL105" i="50"/>
  <c r="BL103" i="50"/>
  <c r="BL106" i="50"/>
  <c r="BL107" i="50"/>
  <c r="BL110" i="50"/>
  <c r="BL109" i="50"/>
  <c r="BL113" i="50"/>
  <c r="BL108" i="50"/>
  <c r="BL114" i="50"/>
  <c r="BL104" i="50"/>
  <c r="BL117" i="50"/>
  <c r="BL111" i="50"/>
  <c r="BL118" i="50"/>
  <c r="BL120" i="50"/>
  <c r="BL115" i="50"/>
  <c r="BL116" i="50"/>
  <c r="BL112" i="50"/>
  <c r="BL92" i="50"/>
  <c r="BL87" i="50"/>
  <c r="BL88" i="50"/>
  <c r="BL86" i="50"/>
  <c r="BL89" i="50"/>
  <c r="BL122" i="50"/>
  <c r="BL119" i="50"/>
  <c r="BL93" i="50"/>
  <c r="BL121" i="50"/>
  <c r="BL90" i="50"/>
  <c r="BL91" i="50"/>
  <c r="BL94" i="50"/>
  <c r="BL95" i="50"/>
  <c r="BL96" i="50"/>
  <c r="BL97" i="50"/>
  <c r="AT31" i="50"/>
  <c r="AT36" i="50" s="1"/>
  <c r="AN31" i="50"/>
  <c r="AN36" i="50" s="1"/>
  <c r="AM31" i="50"/>
  <c r="AM36" i="50" s="1"/>
  <c r="AH31" i="50"/>
  <c r="AH36" i="50" s="1"/>
  <c r="BK123" i="50"/>
  <c r="BK99" i="50"/>
  <c r="BN61" i="50"/>
  <c r="BN70" i="50" s="1"/>
  <c r="BN59" i="50"/>
  <c r="BN68" i="50" s="1"/>
  <c r="BN63" i="50"/>
  <c r="BN65" i="50"/>
  <c r="U31" i="50"/>
  <c r="U36" i="50" s="1"/>
  <c r="O31" i="50"/>
  <c r="O36" i="50" s="1"/>
  <c r="BP21" i="50"/>
  <c r="BP26" i="50" s="1"/>
  <c r="BP161" i="50"/>
  <c r="AL31" i="50"/>
  <c r="AL36" i="50" s="1"/>
  <c r="AC31" i="50"/>
  <c r="AC36" i="50" s="1"/>
  <c r="AS31" i="50"/>
  <c r="AS36" i="50" s="1"/>
  <c r="AK31" i="50"/>
  <c r="AK36" i="50" s="1"/>
  <c r="Z31" i="50"/>
  <c r="Z36" i="50" s="1"/>
  <c r="BH31" i="50"/>
  <c r="BH36" i="50" s="1"/>
  <c r="AZ31" i="50"/>
  <c r="AZ36" i="50" s="1"/>
  <c r="AR31" i="50"/>
  <c r="AR36" i="50" s="1"/>
  <c r="AJ31" i="50"/>
  <c r="AJ36" i="50" s="1"/>
  <c r="Y31" i="50"/>
  <c r="Y36" i="50" s="1"/>
  <c r="BG31" i="50"/>
  <c r="BG36" i="50" s="1"/>
  <c r="AY31" i="50"/>
  <c r="AY36" i="50" s="1"/>
  <c r="AQ31" i="50"/>
  <c r="AQ36" i="50" s="1"/>
  <c r="AI31" i="50"/>
  <c r="AI36" i="50" s="1"/>
  <c r="W31" i="50"/>
  <c r="W36" i="50" s="1"/>
  <c r="BE31" i="50"/>
  <c r="BE36" i="50" s="1"/>
  <c r="AW31" i="50"/>
  <c r="AW36" i="50" s="1"/>
  <c r="AO31" i="50"/>
  <c r="AO36" i="50" s="1"/>
  <c r="AG31" i="50"/>
  <c r="AG36" i="50" s="1"/>
  <c r="S31" i="50"/>
  <c r="S36" i="50" s="1"/>
  <c r="R31" i="50"/>
  <c r="R36" i="50" s="1"/>
  <c r="X31" i="50"/>
  <c r="X36" i="50" s="1"/>
  <c r="AA31" i="50"/>
  <c r="AA36" i="50" s="1"/>
  <c r="P31" i="50"/>
  <c r="P36" i="50" s="1"/>
  <c r="H31" i="50"/>
  <c r="H36" i="50" s="1"/>
  <c r="Q31" i="50"/>
  <c r="Q36" i="50" s="1"/>
  <c r="L31" i="50"/>
  <c r="L36" i="50" s="1"/>
  <c r="AD31" i="50"/>
  <c r="AD36" i="50" s="1"/>
  <c r="V31" i="50"/>
  <c r="V36" i="50" s="1"/>
  <c r="I31" i="50"/>
  <c r="I36" i="50" s="1"/>
  <c r="AB31" i="50"/>
  <c r="AB36" i="50" s="1"/>
  <c r="T31" i="50"/>
  <c r="T36" i="50" s="1"/>
  <c r="F31" i="50"/>
  <c r="J31" i="50"/>
  <c r="J36" i="50" s="1"/>
  <c r="G31" i="50"/>
  <c r="G36" i="50" s="1"/>
  <c r="N31" i="50"/>
  <c r="N36" i="50" s="1"/>
  <c r="BN85" i="19"/>
  <c r="P16" i="37"/>
  <c r="X16" i="37"/>
  <c r="F16" i="37"/>
  <c r="BN88" i="19"/>
  <c r="G16" i="37"/>
  <c r="K15" i="37"/>
  <c r="F14" i="37"/>
  <c r="G14" i="37"/>
  <c r="Q16" i="37"/>
  <c r="F15" i="37"/>
  <c r="BN82" i="19"/>
  <c r="BM51" i="50"/>
  <c r="G15" i="37"/>
  <c r="Q15" i="37"/>
  <c r="Z16" i="37"/>
  <c r="BN84" i="19"/>
  <c r="K31" i="50"/>
  <c r="K36" i="50" s="1"/>
  <c r="P15" i="37"/>
  <c r="J15" i="37"/>
  <c r="BN45" i="50"/>
  <c r="BN46" i="50"/>
  <c r="BN47" i="50"/>
  <c r="BN44" i="50"/>
  <c r="BN49" i="50"/>
  <c r="BN50" i="50"/>
  <c r="BN55" i="50"/>
  <c r="BN56" i="50"/>
  <c r="BN48" i="50"/>
  <c r="BN83" i="19"/>
  <c r="X14" i="37"/>
  <c r="BN87" i="19"/>
  <c r="BN86" i="19"/>
  <c r="J14" i="37"/>
  <c r="M15" i="37"/>
  <c r="M14" i="37"/>
  <c r="P14" i="37"/>
  <c r="I15" i="37"/>
  <c r="L16" i="37"/>
  <c r="U16" i="37"/>
  <c r="I14" i="37"/>
  <c r="L15" i="37"/>
  <c r="K14" i="37"/>
  <c r="U14" i="37"/>
  <c r="Z14" i="37"/>
  <c r="O14" i="37"/>
  <c r="K16" i="37"/>
  <c r="U15" i="37"/>
  <c r="I16" i="37"/>
  <c r="J16" i="37"/>
  <c r="L14" i="37"/>
  <c r="W14" i="37"/>
  <c r="N14" i="37"/>
  <c r="W15" i="37"/>
  <c r="N15" i="37"/>
  <c r="Q14" i="37"/>
  <c r="X15" i="37"/>
  <c r="M16" i="37"/>
  <c r="O15" i="37"/>
  <c r="H16" i="37"/>
  <c r="O16" i="37"/>
  <c r="S16" i="37"/>
  <c r="S15" i="37"/>
  <c r="W16" i="37"/>
  <c r="N16" i="37"/>
  <c r="S14" i="37"/>
  <c r="H14" i="37"/>
  <c r="H15" i="37"/>
  <c r="R16" i="37"/>
  <c r="R15" i="37"/>
  <c r="R14" i="37"/>
  <c r="V14" i="37"/>
  <c r="V15" i="37"/>
  <c r="V16" i="37"/>
  <c r="T15" i="37"/>
  <c r="T14" i="37"/>
  <c r="T16" i="37"/>
  <c r="Y15" i="37"/>
  <c r="Y14" i="37"/>
  <c r="Y16" i="37"/>
  <c r="BL31" i="50"/>
  <c r="BL36" i="50" s="1"/>
  <c r="BN81" i="19"/>
  <c r="BO23" i="50"/>
  <c r="BO98" i="50" s="1"/>
  <c r="BO22" i="50"/>
  <c r="BP149" i="50"/>
  <c r="BQ6" i="28"/>
  <c r="BQ6" i="50"/>
  <c r="BQ42" i="31"/>
  <c r="BQ41" i="31"/>
  <c r="BQ5" i="28"/>
  <c r="BQ5" i="50"/>
  <c r="DT73" i="50"/>
  <c r="BT139" i="50"/>
  <c r="BS142" i="50"/>
  <c r="BN74" i="50"/>
  <c r="BN30" i="50"/>
  <c r="BN31" i="50"/>
  <c r="BN32" i="50"/>
  <c r="BN33" i="50"/>
  <c r="BN34" i="50"/>
  <c r="BI49" i="31"/>
  <c r="BK134" i="50"/>
  <c r="BK136" i="50"/>
  <c r="BK155" i="50"/>
  <c r="BK52" i="31"/>
  <c r="BK54" i="31" s="1"/>
  <c r="BK156" i="50"/>
  <c r="BK165" i="50"/>
  <c r="BK166" i="50" s="1"/>
  <c r="BK158" i="50"/>
  <c r="BK157" i="50"/>
  <c r="BK77" i="50"/>
  <c r="BK78" i="50" s="1"/>
  <c r="BK81" i="50" s="1"/>
  <c r="BM74" i="50"/>
  <c r="BM72" i="50"/>
  <c r="BM128" i="50"/>
  <c r="BM130" i="50" s="1"/>
  <c r="BL76" i="50"/>
  <c r="BL145" i="50"/>
  <c r="BL162" i="50"/>
  <c r="BL146" i="50"/>
  <c r="BL144" i="50"/>
  <c r="BL132" i="50"/>
  <c r="BL133" i="50" s="1"/>
  <c r="BJ47" i="31"/>
  <c r="BJ54" i="31"/>
  <c r="BM105" i="50" l="1"/>
  <c r="BM103" i="50"/>
  <c r="BM104" i="50"/>
  <c r="BM108" i="50"/>
  <c r="BM109" i="50"/>
  <c r="BM107" i="50"/>
  <c r="BM111" i="50"/>
  <c r="BM110" i="50"/>
  <c r="BM113" i="50"/>
  <c r="BM106" i="50"/>
  <c r="BM112" i="50"/>
  <c r="BM114" i="50"/>
  <c r="BM115" i="50"/>
  <c r="BM120" i="50"/>
  <c r="BM117" i="50"/>
  <c r="BM118" i="50"/>
  <c r="BM119" i="50"/>
  <c r="BM121" i="50"/>
  <c r="BM89" i="50"/>
  <c r="BM92" i="50"/>
  <c r="BM116" i="50"/>
  <c r="BM122" i="50"/>
  <c r="BM93" i="50"/>
  <c r="BM87" i="50"/>
  <c r="BM88" i="50"/>
  <c r="BM90" i="50"/>
  <c r="BM91" i="50"/>
  <c r="BM86" i="50"/>
  <c r="BM94" i="50"/>
  <c r="BM97" i="50"/>
  <c r="BM95" i="50"/>
  <c r="BM96" i="50"/>
  <c r="BL123" i="50"/>
  <c r="F36" i="50"/>
  <c r="BO63" i="50"/>
  <c r="BO61" i="50"/>
  <c r="BO70" i="50" s="1"/>
  <c r="BO59" i="50"/>
  <c r="BO68" i="50" s="1"/>
  <c r="BO65" i="50"/>
  <c r="BL99" i="50"/>
  <c r="BQ21" i="50"/>
  <c r="BQ26" i="50" s="1"/>
  <c r="BQ161" i="50"/>
  <c r="BO86" i="19"/>
  <c r="BO84" i="19"/>
  <c r="BO87" i="19"/>
  <c r="BN51" i="50"/>
  <c r="BO85" i="19"/>
  <c r="BO83" i="19"/>
  <c r="BO47" i="50"/>
  <c r="BO45" i="50"/>
  <c r="BO44" i="50"/>
  <c r="BO49" i="50"/>
  <c r="BO48" i="50"/>
  <c r="BO50" i="50"/>
  <c r="BO46" i="50"/>
  <c r="BO55" i="50"/>
  <c r="BO56" i="50"/>
  <c r="BO82" i="19"/>
  <c r="BO88" i="19"/>
  <c r="BO81" i="19"/>
  <c r="BP22" i="50"/>
  <c r="BP23" i="50"/>
  <c r="BP98" i="50" s="1"/>
  <c r="BQ149" i="50"/>
  <c r="BR42" i="31"/>
  <c r="BR6" i="28"/>
  <c r="BR6" i="50"/>
  <c r="BR41" i="31"/>
  <c r="BR5" i="28"/>
  <c r="BR5" i="50"/>
  <c r="DU73" i="50"/>
  <c r="BN72" i="50"/>
  <c r="BT142" i="50"/>
  <c r="BU139" i="50"/>
  <c r="BN128" i="50"/>
  <c r="BN130" i="50" s="1"/>
  <c r="BN36" i="50"/>
  <c r="BO32" i="50"/>
  <c r="BO33" i="50"/>
  <c r="BO34" i="50"/>
  <c r="BO30" i="50"/>
  <c r="BO31" i="50"/>
  <c r="BJ55" i="31"/>
  <c r="BK55" i="31" s="1"/>
  <c r="BJ49" i="31"/>
  <c r="BL134" i="50"/>
  <c r="BL136" i="50"/>
  <c r="BL155" i="50"/>
  <c r="BL52" i="31"/>
  <c r="BL156" i="50"/>
  <c r="BL165" i="50"/>
  <c r="BL166" i="50" s="1"/>
  <c r="BL158" i="50"/>
  <c r="BL157" i="50"/>
  <c r="BL77" i="50"/>
  <c r="BL78" i="50" s="1"/>
  <c r="BL81" i="50" s="1"/>
  <c r="BM76" i="50"/>
  <c r="BM145" i="50"/>
  <c r="H51" i="4" s="1"/>
  <c r="BM162" i="50"/>
  <c r="BM146" i="50"/>
  <c r="H52" i="4" s="1"/>
  <c r="BM132" i="50"/>
  <c r="BM133" i="50" s="1"/>
  <c r="BM144" i="50"/>
  <c r="BK47" i="31"/>
  <c r="BN144" i="50" l="1"/>
  <c r="BN165" i="50" s="1"/>
  <c r="BN166" i="50" s="1"/>
  <c r="BN104" i="50"/>
  <c r="BN105" i="50"/>
  <c r="BN103" i="50"/>
  <c r="BN106" i="50"/>
  <c r="BN109" i="50"/>
  <c r="BN107" i="50"/>
  <c r="BN112" i="50"/>
  <c r="BN108" i="50"/>
  <c r="BN113" i="50"/>
  <c r="BN111" i="50"/>
  <c r="BN116" i="50"/>
  <c r="BN119" i="50"/>
  <c r="BN122" i="50"/>
  <c r="BN110" i="50"/>
  <c r="BN117" i="50"/>
  <c r="BN86" i="50"/>
  <c r="BN89" i="50"/>
  <c r="BN115" i="50"/>
  <c r="BN120" i="50"/>
  <c r="BN121" i="50"/>
  <c r="BN90" i="50"/>
  <c r="BN92" i="50"/>
  <c r="BN114" i="50"/>
  <c r="BN87" i="50"/>
  <c r="BN88" i="50"/>
  <c r="BN118" i="50"/>
  <c r="BN94" i="50"/>
  <c r="BN95" i="50"/>
  <c r="BN93" i="50"/>
  <c r="BN96" i="50"/>
  <c r="BN91" i="50"/>
  <c r="BN97" i="50"/>
  <c r="BP59" i="50"/>
  <c r="BP68" i="50" s="1"/>
  <c r="BP63" i="50"/>
  <c r="BP61" i="50"/>
  <c r="BP70" i="50" s="1"/>
  <c r="BP65" i="50"/>
  <c r="BM99" i="50"/>
  <c r="BM123" i="50"/>
  <c r="BR21" i="50"/>
  <c r="BR26" i="50" s="1"/>
  <c r="BR161" i="50"/>
  <c r="BP82" i="19"/>
  <c r="BP44" i="50"/>
  <c r="BP45" i="50"/>
  <c r="BP49" i="50"/>
  <c r="BP47" i="50"/>
  <c r="BP56" i="50"/>
  <c r="BP50" i="50"/>
  <c r="BP46" i="50"/>
  <c r="BP48" i="50"/>
  <c r="BP55" i="50"/>
  <c r="BP83" i="19"/>
  <c r="BP85" i="19"/>
  <c r="BP87" i="19"/>
  <c r="BP84" i="19"/>
  <c r="BP88" i="19"/>
  <c r="BO51" i="50"/>
  <c r="BP86" i="19"/>
  <c r="BP81" i="19"/>
  <c r="BQ23" i="50"/>
  <c r="BQ98" i="50" s="1"/>
  <c r="BQ22" i="50"/>
  <c r="BR149" i="50"/>
  <c r="BS42" i="31"/>
  <c r="BS6" i="28"/>
  <c r="BS6" i="50"/>
  <c r="BS41" i="31"/>
  <c r="BS5" i="28"/>
  <c r="BS5" i="50"/>
  <c r="DV73" i="50"/>
  <c r="BN76" i="50"/>
  <c r="BN77" i="50" s="1"/>
  <c r="BN78" i="50" s="1"/>
  <c r="BN81" i="50" s="1"/>
  <c r="BN132" i="50"/>
  <c r="BN133" i="50" s="1"/>
  <c r="BN52" i="31" s="1"/>
  <c r="BN54" i="31" s="1"/>
  <c r="BV139" i="50"/>
  <c r="BU142" i="50"/>
  <c r="BN162" i="50"/>
  <c r="BN146" i="50"/>
  <c r="BN158" i="50" s="1"/>
  <c r="BN145" i="50"/>
  <c r="BN157" i="50" s="1"/>
  <c r="BO72" i="50"/>
  <c r="BP128" i="50"/>
  <c r="BP130" i="50" s="1"/>
  <c r="BO36" i="50"/>
  <c r="BO128" i="50"/>
  <c r="BO130" i="50" s="1"/>
  <c r="BP31" i="50"/>
  <c r="BP32" i="50"/>
  <c r="BP33" i="50"/>
  <c r="BP34" i="50"/>
  <c r="BP30" i="50"/>
  <c r="BO74" i="50"/>
  <c r="BK49" i="31"/>
  <c r="BM156" i="50"/>
  <c r="BM165" i="50"/>
  <c r="BM166" i="50" s="1"/>
  <c r="H50" i="4"/>
  <c r="BM134" i="50"/>
  <c r="BM136" i="50"/>
  <c r="E136" i="50" s="1"/>
  <c r="BM155" i="50"/>
  <c r="BM52" i="31"/>
  <c r="BM54" i="31" s="1"/>
  <c r="H49" i="4"/>
  <c r="BM158" i="50"/>
  <c r="BM157" i="50"/>
  <c r="BM77" i="50"/>
  <c r="BM78" i="50" s="1"/>
  <c r="BM81" i="50" s="1"/>
  <c r="BL47" i="31"/>
  <c r="BL54" i="31"/>
  <c r="BN156" i="50" l="1"/>
  <c r="BP104" i="50"/>
  <c r="BP103" i="50"/>
  <c r="BP107" i="50"/>
  <c r="BP108" i="50"/>
  <c r="BP106" i="50"/>
  <c r="BP109" i="50"/>
  <c r="BP111" i="50"/>
  <c r="BP110" i="50"/>
  <c r="BP105" i="50"/>
  <c r="BP113" i="50"/>
  <c r="BP118" i="50"/>
  <c r="BP114" i="50"/>
  <c r="BP120" i="50"/>
  <c r="BP88" i="50"/>
  <c r="BP112" i="50"/>
  <c r="BP117" i="50"/>
  <c r="BP91" i="50"/>
  <c r="BP119" i="50"/>
  <c r="BP92" i="50"/>
  <c r="BP121" i="50"/>
  <c r="BP93" i="50"/>
  <c r="BP86" i="50"/>
  <c r="BP87" i="50"/>
  <c r="BP115" i="50"/>
  <c r="BP122" i="50"/>
  <c r="BP96" i="50"/>
  <c r="BP97" i="50"/>
  <c r="BP89" i="50"/>
  <c r="BP94" i="50"/>
  <c r="BP95" i="50"/>
  <c r="BP90" i="50"/>
  <c r="BP116" i="50"/>
  <c r="BO145" i="50"/>
  <c r="BO157" i="50" s="1"/>
  <c r="BO104" i="50"/>
  <c r="BO105" i="50"/>
  <c r="BO103" i="50"/>
  <c r="BO106" i="50"/>
  <c r="BO109" i="50"/>
  <c r="BO107" i="50"/>
  <c r="BO112" i="50"/>
  <c r="BO110" i="50"/>
  <c r="BO108" i="50"/>
  <c r="BO116" i="50"/>
  <c r="BO119" i="50"/>
  <c r="BO117" i="50"/>
  <c r="BO122" i="50"/>
  <c r="BO113" i="50"/>
  <c r="BO115" i="50"/>
  <c r="BO120" i="50"/>
  <c r="BO121" i="50"/>
  <c r="BO111" i="50"/>
  <c r="BO91" i="50"/>
  <c r="BO86" i="50"/>
  <c r="BO87" i="50"/>
  <c r="BO114" i="50"/>
  <c r="BO88" i="50"/>
  <c r="BO118" i="50"/>
  <c r="BO96" i="50"/>
  <c r="BO93" i="50"/>
  <c r="BO89" i="50"/>
  <c r="BO97" i="50"/>
  <c r="BO94" i="50"/>
  <c r="BO95" i="50"/>
  <c r="BO90" i="50"/>
  <c r="BO92" i="50"/>
  <c r="BQ61" i="50"/>
  <c r="BQ70" i="50" s="1"/>
  <c r="BQ59" i="50"/>
  <c r="BQ68" i="50" s="1"/>
  <c r="BQ63" i="50"/>
  <c r="BQ65" i="50"/>
  <c r="BN99" i="50"/>
  <c r="BN123" i="50"/>
  <c r="BS21" i="50"/>
  <c r="BS26" i="50" s="1"/>
  <c r="BS161" i="50"/>
  <c r="BQ88" i="19"/>
  <c r="BQ84" i="19"/>
  <c r="BQ87" i="19"/>
  <c r="BQ44" i="50"/>
  <c r="BQ45" i="50"/>
  <c r="BQ46" i="50"/>
  <c r="BQ48" i="50"/>
  <c r="BQ49" i="50"/>
  <c r="BQ56" i="50"/>
  <c r="BQ50" i="50"/>
  <c r="BQ47" i="50"/>
  <c r="BQ55" i="50"/>
  <c r="BQ82" i="19"/>
  <c r="BQ85" i="19"/>
  <c r="BQ83" i="19"/>
  <c r="BQ86" i="19"/>
  <c r="BP51" i="50"/>
  <c r="BQ81" i="19"/>
  <c r="BR22" i="50"/>
  <c r="BR23" i="50"/>
  <c r="BR98" i="50" s="1"/>
  <c r="BS149" i="50"/>
  <c r="BT42" i="31"/>
  <c r="BT6" i="28"/>
  <c r="BT6" i="50"/>
  <c r="BT41" i="31"/>
  <c r="BT5" i="28"/>
  <c r="BT5" i="50"/>
  <c r="DW73" i="50"/>
  <c r="BN155" i="50"/>
  <c r="BN136" i="50"/>
  <c r="BN134" i="50"/>
  <c r="BO146" i="50"/>
  <c r="BO158" i="50" s="1"/>
  <c r="BP72" i="50"/>
  <c r="BW139" i="50"/>
  <c r="BV142" i="50"/>
  <c r="BP74" i="50"/>
  <c r="BO162" i="50"/>
  <c r="BO132" i="50"/>
  <c r="BO133" i="50" s="1"/>
  <c r="BO136" i="50" s="1"/>
  <c r="BO76" i="50"/>
  <c r="BO77" i="50" s="1"/>
  <c r="BO78" i="50" s="1"/>
  <c r="BO81" i="50" s="1"/>
  <c r="BO144" i="50"/>
  <c r="BO165" i="50" s="1"/>
  <c r="BO166" i="50" s="1"/>
  <c r="BL55" i="31"/>
  <c r="BM55" i="31" s="1"/>
  <c r="BN55" i="31" s="1"/>
  <c r="BQ31" i="50"/>
  <c r="BQ32" i="50"/>
  <c r="BQ33" i="50"/>
  <c r="BQ34" i="50"/>
  <c r="BQ30" i="50"/>
  <c r="BP36" i="50"/>
  <c r="BN47" i="31"/>
  <c r="BN49" i="31" s="1"/>
  <c r="BP132" i="50"/>
  <c r="BP133" i="50" s="1"/>
  <c r="BP144" i="50"/>
  <c r="BP145" i="50"/>
  <c r="BP146" i="50"/>
  <c r="BP162" i="50"/>
  <c r="BL49" i="31"/>
  <c r="H56" i="4"/>
  <c r="H57" i="4"/>
  <c r="H55" i="4"/>
  <c r="BM47" i="31"/>
  <c r="BO99" i="50" l="1"/>
  <c r="BP123" i="50"/>
  <c r="BR61" i="50"/>
  <c r="BR70" i="50" s="1"/>
  <c r="BR65" i="50"/>
  <c r="BR63" i="50"/>
  <c r="BR59" i="50"/>
  <c r="BR68" i="50" s="1"/>
  <c r="BP99" i="50"/>
  <c r="BO123" i="50"/>
  <c r="BT21" i="50"/>
  <c r="BT26" i="50" s="1"/>
  <c r="BT161" i="50"/>
  <c r="BR86" i="19"/>
  <c r="BR85" i="19"/>
  <c r="BR83" i="19"/>
  <c r="BR88" i="19"/>
  <c r="BR82" i="19"/>
  <c r="BQ51" i="50"/>
  <c r="BR87" i="19"/>
  <c r="BR46" i="50"/>
  <c r="BR44" i="50"/>
  <c r="BR47" i="50"/>
  <c r="BR48" i="50"/>
  <c r="BR55" i="50"/>
  <c r="BR49" i="50"/>
  <c r="BR45" i="50"/>
  <c r="BR56" i="50"/>
  <c r="BR50" i="50"/>
  <c r="BR84" i="19"/>
  <c r="BR81" i="19"/>
  <c r="BS22" i="50"/>
  <c r="BS23" i="50"/>
  <c r="BS98" i="50" s="1"/>
  <c r="BT149" i="50"/>
  <c r="BU6" i="28"/>
  <c r="BU42" i="31"/>
  <c r="BU6" i="50"/>
  <c r="BU41" i="31"/>
  <c r="BU5" i="50"/>
  <c r="BU5" i="28"/>
  <c r="DX73" i="50"/>
  <c r="BO156" i="50"/>
  <c r="BO134" i="50"/>
  <c r="BO52" i="31"/>
  <c r="BO54" i="31" s="1"/>
  <c r="BO55" i="31" s="1"/>
  <c r="BP76" i="50"/>
  <c r="BP77" i="50" s="1"/>
  <c r="BP78" i="50" s="1"/>
  <c r="BP81" i="50" s="1"/>
  <c r="BO155" i="50"/>
  <c r="BW142" i="50"/>
  <c r="BX139" i="50"/>
  <c r="BQ128" i="50"/>
  <c r="BQ130" i="50" s="1"/>
  <c r="BQ74" i="50"/>
  <c r="BQ72" i="50"/>
  <c r="BR30" i="50"/>
  <c r="BR31" i="50"/>
  <c r="BR32" i="50"/>
  <c r="BR33" i="50"/>
  <c r="BR34" i="50"/>
  <c r="BQ36" i="50"/>
  <c r="BO47" i="31"/>
  <c r="BO49" i="31" s="1"/>
  <c r="BP158" i="50"/>
  <c r="BP157" i="50"/>
  <c r="BP156" i="50"/>
  <c r="BP165" i="50"/>
  <c r="BP166" i="50" s="1"/>
  <c r="BP52" i="31"/>
  <c r="BP54" i="31" s="1"/>
  <c r="BP134" i="50"/>
  <c r="BP136" i="50"/>
  <c r="BP155" i="50"/>
  <c r="BM49" i="31"/>
  <c r="BQ145" i="50" l="1"/>
  <c r="BQ157" i="50" s="1"/>
  <c r="BQ103" i="50"/>
  <c r="BQ104" i="50"/>
  <c r="BQ106" i="50"/>
  <c r="BQ107" i="50"/>
  <c r="BQ105" i="50"/>
  <c r="BQ111" i="50"/>
  <c r="BQ112" i="50"/>
  <c r="BQ109" i="50"/>
  <c r="BQ110" i="50"/>
  <c r="BQ115" i="50"/>
  <c r="BQ118" i="50"/>
  <c r="BQ121" i="50"/>
  <c r="BQ119" i="50"/>
  <c r="BQ114" i="50"/>
  <c r="BQ108" i="50"/>
  <c r="BQ113" i="50"/>
  <c r="BQ88" i="50"/>
  <c r="BQ117" i="50"/>
  <c r="BQ116" i="50"/>
  <c r="BQ89" i="50"/>
  <c r="BQ86" i="50"/>
  <c r="BQ87" i="50"/>
  <c r="BQ90" i="50"/>
  <c r="BQ122" i="50"/>
  <c r="BQ94" i="50"/>
  <c r="BQ93" i="50"/>
  <c r="BQ97" i="50"/>
  <c r="BQ96" i="50"/>
  <c r="BQ95" i="50"/>
  <c r="BQ120" i="50"/>
  <c r="BQ91" i="50"/>
  <c r="BQ92" i="50"/>
  <c r="BS59" i="50"/>
  <c r="BS68" i="50" s="1"/>
  <c r="BS63" i="50"/>
  <c r="BS72" i="50" s="1"/>
  <c r="BS61" i="50"/>
  <c r="BS70" i="50" s="1"/>
  <c r="BS65" i="50"/>
  <c r="BS84" i="19"/>
  <c r="BU21" i="50"/>
  <c r="BU26" i="50" s="1"/>
  <c r="BU161" i="50"/>
  <c r="BS85" i="19"/>
  <c r="BS87" i="19"/>
  <c r="BS82" i="19"/>
  <c r="BS46" i="50"/>
  <c r="BS44" i="50"/>
  <c r="BS47" i="50"/>
  <c r="BS48" i="50"/>
  <c r="BS45" i="50"/>
  <c r="BS55" i="50"/>
  <c r="BS49" i="50"/>
  <c r="BS56" i="50"/>
  <c r="BS50" i="50"/>
  <c r="BS83" i="19"/>
  <c r="BS88" i="19"/>
  <c r="BR51" i="50"/>
  <c r="BS86" i="19"/>
  <c r="BS81" i="19"/>
  <c r="BT22" i="50"/>
  <c r="BT23" i="50"/>
  <c r="BT98" i="50" s="1"/>
  <c r="BU149" i="50"/>
  <c r="BV42" i="31"/>
  <c r="BV6" i="50"/>
  <c r="BV6" i="28"/>
  <c r="BQ162" i="50"/>
  <c r="BQ146" i="50"/>
  <c r="BQ158" i="50" s="1"/>
  <c r="BQ144" i="50"/>
  <c r="BQ165" i="50" s="1"/>
  <c r="BQ166" i="50" s="1"/>
  <c r="BV41" i="31"/>
  <c r="BV5" i="28"/>
  <c r="BV5" i="50"/>
  <c r="BQ132" i="50"/>
  <c r="BQ133" i="50" s="1"/>
  <c r="BQ136" i="50" s="1"/>
  <c r="DY73" i="50"/>
  <c r="BP55" i="31"/>
  <c r="BR74" i="50"/>
  <c r="BR72" i="50"/>
  <c r="BQ76" i="50"/>
  <c r="BQ77" i="50" s="1"/>
  <c r="BQ78" i="50" s="1"/>
  <c r="BQ81" i="50" s="1"/>
  <c r="BX142" i="50"/>
  <c r="BY139" i="50"/>
  <c r="BR128" i="50"/>
  <c r="BR130" i="50" s="1"/>
  <c r="BR36" i="50"/>
  <c r="BS32" i="50"/>
  <c r="BS33" i="50"/>
  <c r="BS34" i="50"/>
  <c r="BS30" i="50"/>
  <c r="BS31" i="50"/>
  <c r="BP47" i="31"/>
  <c r="BP49" i="31" s="1"/>
  <c r="BR145" i="50" l="1"/>
  <c r="BR157" i="50" s="1"/>
  <c r="BR103" i="50"/>
  <c r="BR106" i="50"/>
  <c r="BR104" i="50"/>
  <c r="BR105" i="50"/>
  <c r="BR108" i="50"/>
  <c r="BR110" i="50"/>
  <c r="BR109" i="50"/>
  <c r="BR111" i="50"/>
  <c r="BR112" i="50"/>
  <c r="BR107" i="50"/>
  <c r="BR113" i="50"/>
  <c r="BR115" i="50"/>
  <c r="BR116" i="50"/>
  <c r="BR119" i="50"/>
  <c r="BR114" i="50"/>
  <c r="BR117" i="50"/>
  <c r="BR121" i="50"/>
  <c r="BR122" i="50"/>
  <c r="BR118" i="50"/>
  <c r="BR90" i="50"/>
  <c r="BR93" i="50"/>
  <c r="BR86" i="50"/>
  <c r="BR88" i="50"/>
  <c r="BR89" i="50"/>
  <c r="BR91" i="50"/>
  <c r="BR92" i="50"/>
  <c r="BR95" i="50"/>
  <c r="BR87" i="50"/>
  <c r="BR120" i="50"/>
  <c r="BR97" i="50"/>
  <c r="BR96" i="50"/>
  <c r="BR94" i="50"/>
  <c r="BQ99" i="50"/>
  <c r="BQ123" i="50"/>
  <c r="BT59" i="50"/>
  <c r="BT68" i="50" s="1"/>
  <c r="BT61" i="50"/>
  <c r="BT70" i="50" s="1"/>
  <c r="BT63" i="50"/>
  <c r="BT65" i="50"/>
  <c r="BV21" i="50"/>
  <c r="BV26" i="50" s="1"/>
  <c r="BV161" i="50"/>
  <c r="BT84" i="19"/>
  <c r="BT88" i="19"/>
  <c r="BT44" i="50"/>
  <c r="BT45" i="50"/>
  <c r="BT48" i="50"/>
  <c r="BT46" i="50"/>
  <c r="BT49" i="50"/>
  <c r="BT47" i="50"/>
  <c r="BT55" i="50"/>
  <c r="BT56" i="50"/>
  <c r="BT50" i="50"/>
  <c r="BT83" i="19"/>
  <c r="BT82" i="19"/>
  <c r="BT87" i="19"/>
  <c r="BS51" i="50"/>
  <c r="BT86" i="19"/>
  <c r="BT85" i="19"/>
  <c r="BT81" i="19"/>
  <c r="BU23" i="50"/>
  <c r="BU98" i="50" s="1"/>
  <c r="BU22" i="50"/>
  <c r="BV149" i="50"/>
  <c r="BW42" i="31"/>
  <c r="BW6" i="28"/>
  <c r="BW6" i="50"/>
  <c r="BQ134" i="50"/>
  <c r="BQ156" i="50"/>
  <c r="BQ155" i="50"/>
  <c r="BQ52" i="31"/>
  <c r="BQ54" i="31" s="1"/>
  <c r="BQ55" i="31" s="1"/>
  <c r="BS128" i="50"/>
  <c r="BS130" i="50" s="1"/>
  <c r="BS74" i="50"/>
  <c r="BW41" i="31"/>
  <c r="BW5" i="28"/>
  <c r="BW5" i="50"/>
  <c r="DZ73" i="50"/>
  <c r="BR144" i="50"/>
  <c r="BR156" i="50" s="1"/>
  <c r="BR76" i="50"/>
  <c r="BR77" i="50" s="1"/>
  <c r="BR78" i="50" s="1"/>
  <c r="BR81" i="50" s="1"/>
  <c r="BR132" i="50"/>
  <c r="BR133" i="50" s="1"/>
  <c r="BR136" i="50" s="1"/>
  <c r="BR162" i="50"/>
  <c r="BR146" i="50"/>
  <c r="BR158" i="50" s="1"/>
  <c r="BZ139" i="50"/>
  <c r="BY142" i="50"/>
  <c r="BT34" i="50"/>
  <c r="BT30" i="50"/>
  <c r="BT31" i="50"/>
  <c r="BT32" i="50"/>
  <c r="BT33" i="50"/>
  <c r="BS36" i="50"/>
  <c r="BQ47" i="31"/>
  <c r="BQ49" i="31" s="1"/>
  <c r="BS105" i="50" l="1"/>
  <c r="BS103" i="50"/>
  <c r="BS106" i="50"/>
  <c r="BS104" i="50"/>
  <c r="BS107" i="50"/>
  <c r="BS108" i="50"/>
  <c r="BS110" i="50"/>
  <c r="BS109" i="50"/>
  <c r="BS112" i="50"/>
  <c r="BS117" i="50"/>
  <c r="BS115" i="50"/>
  <c r="BS116" i="50"/>
  <c r="BS118" i="50"/>
  <c r="BS114" i="50"/>
  <c r="BS111" i="50"/>
  <c r="BS120" i="50"/>
  <c r="BS87" i="50"/>
  <c r="BS90" i="50"/>
  <c r="BS113" i="50"/>
  <c r="BS91" i="50"/>
  <c r="BS121" i="50"/>
  <c r="BS86" i="50"/>
  <c r="BS88" i="50"/>
  <c r="BS89" i="50"/>
  <c r="BS92" i="50"/>
  <c r="BS95" i="50"/>
  <c r="BS119" i="50"/>
  <c r="BS96" i="50"/>
  <c r="BS122" i="50"/>
  <c r="BS93" i="50"/>
  <c r="BS94" i="50"/>
  <c r="BS97" i="50"/>
  <c r="BR123" i="50"/>
  <c r="BR99" i="50"/>
  <c r="BU61" i="50"/>
  <c r="BU70" i="50" s="1"/>
  <c r="BU59" i="50"/>
  <c r="BU68" i="50" s="1"/>
  <c r="BU65" i="50"/>
  <c r="BU63" i="50"/>
  <c r="BW21" i="50"/>
  <c r="BW26" i="50" s="1"/>
  <c r="BW161" i="50"/>
  <c r="BU86" i="19"/>
  <c r="BU87" i="19"/>
  <c r="BU82" i="19"/>
  <c r="BU45" i="50"/>
  <c r="BU46" i="50"/>
  <c r="BU44" i="50"/>
  <c r="BU47" i="50"/>
  <c r="BU48" i="50"/>
  <c r="BU50" i="50"/>
  <c r="BU55" i="50"/>
  <c r="BU49" i="50"/>
  <c r="BU56" i="50"/>
  <c r="BU83" i="19"/>
  <c r="BT51" i="50"/>
  <c r="BU88" i="19"/>
  <c r="BU85" i="19"/>
  <c r="BU84" i="19"/>
  <c r="BU81" i="19"/>
  <c r="BV22" i="50"/>
  <c r="BR52" i="31"/>
  <c r="BR54" i="31" s="1"/>
  <c r="BR55" i="31" s="1"/>
  <c r="BV23" i="50"/>
  <c r="BV98" i="50" s="1"/>
  <c r="BW149" i="50"/>
  <c r="BX42" i="31"/>
  <c r="BX6" i="28"/>
  <c r="BX6" i="50"/>
  <c r="BS146" i="50"/>
  <c r="BS158" i="50" s="1"/>
  <c r="BS162" i="50"/>
  <c r="BS145" i="50"/>
  <c r="BS157" i="50" s="1"/>
  <c r="BS144" i="50"/>
  <c r="BS156" i="50" s="1"/>
  <c r="BS132" i="50"/>
  <c r="BS133" i="50" s="1"/>
  <c r="BS52" i="31" s="1"/>
  <c r="BS54" i="31" s="1"/>
  <c r="BR134" i="50"/>
  <c r="BR155" i="50"/>
  <c r="BS76" i="50"/>
  <c r="BS77" i="50" s="1"/>
  <c r="BS78" i="50" s="1"/>
  <c r="BS81" i="50" s="1"/>
  <c r="BX41" i="31"/>
  <c r="BX5" i="28"/>
  <c r="BX5" i="50"/>
  <c r="BR165" i="50"/>
  <c r="EA73" i="50"/>
  <c r="CA139" i="50"/>
  <c r="BZ142" i="50"/>
  <c r="BT128" i="50"/>
  <c r="BT130" i="50" s="1"/>
  <c r="BT74" i="50"/>
  <c r="BT72" i="50"/>
  <c r="BT36" i="50"/>
  <c r="BU33" i="50"/>
  <c r="BU34" i="50"/>
  <c r="BU30" i="50"/>
  <c r="BU31" i="50"/>
  <c r="BU32" i="50"/>
  <c r="BT146" i="50" l="1"/>
  <c r="BT105" i="50"/>
  <c r="BT103" i="50"/>
  <c r="BT106" i="50"/>
  <c r="BT104" i="50"/>
  <c r="BT108" i="50"/>
  <c r="BT107" i="50"/>
  <c r="BT111" i="50"/>
  <c r="BT112" i="50"/>
  <c r="BT113" i="50"/>
  <c r="BT109" i="50"/>
  <c r="BT110" i="50"/>
  <c r="BT114" i="50"/>
  <c r="BT117" i="50"/>
  <c r="BT118" i="50"/>
  <c r="BT119" i="50"/>
  <c r="BT120" i="50"/>
  <c r="BT115" i="50"/>
  <c r="BT116" i="50"/>
  <c r="BT121" i="50"/>
  <c r="BT122" i="50"/>
  <c r="BT87" i="50"/>
  <c r="BT88" i="50"/>
  <c r="BT93" i="50"/>
  <c r="BT90" i="50"/>
  <c r="BT91" i="50"/>
  <c r="BT86" i="50"/>
  <c r="BT89" i="50"/>
  <c r="BT92" i="50"/>
  <c r="BT95" i="50"/>
  <c r="BT96" i="50"/>
  <c r="BT97" i="50"/>
  <c r="BT94" i="50"/>
  <c r="BR47" i="31"/>
  <c r="BR49" i="31" s="1"/>
  <c r="BR166" i="50"/>
  <c r="BV61" i="50"/>
  <c r="BV70" i="50" s="1"/>
  <c r="BV59" i="50"/>
  <c r="BV68" i="50" s="1"/>
  <c r="BV63" i="50"/>
  <c r="BV65" i="50"/>
  <c r="BV74" i="50" s="1"/>
  <c r="BS99" i="50"/>
  <c r="BS123" i="50"/>
  <c r="BX21" i="50"/>
  <c r="BX26" i="50" s="1"/>
  <c r="BX161" i="50"/>
  <c r="BV88" i="19"/>
  <c r="BV85" i="19"/>
  <c r="BV45" i="50"/>
  <c r="BV46" i="50"/>
  <c r="BV47" i="50"/>
  <c r="BV49" i="50"/>
  <c r="BV44" i="50"/>
  <c r="BV48" i="50"/>
  <c r="BV50" i="50"/>
  <c r="BV55" i="50"/>
  <c r="BV56" i="50"/>
  <c r="BU51" i="50"/>
  <c r="BV83" i="19"/>
  <c r="BV82" i="19"/>
  <c r="BV87" i="19"/>
  <c r="BV84" i="19"/>
  <c r="BV86" i="19"/>
  <c r="BV81" i="19"/>
  <c r="BS55" i="31"/>
  <c r="BW22" i="50"/>
  <c r="BW23" i="50"/>
  <c r="BW98" i="50" s="1"/>
  <c r="BX149" i="50"/>
  <c r="BY6" i="50"/>
  <c r="BY42" i="31"/>
  <c r="BY6" i="28"/>
  <c r="BS136" i="50"/>
  <c r="BS155" i="50"/>
  <c r="BS134" i="50"/>
  <c r="BS165" i="50"/>
  <c r="BS166" i="50" s="1"/>
  <c r="BU72" i="50"/>
  <c r="BU74" i="50"/>
  <c r="BY41" i="31"/>
  <c r="BY5" i="28"/>
  <c r="BY5" i="50"/>
  <c r="BT145" i="50"/>
  <c r="BT157" i="50" s="1"/>
  <c r="EB73" i="50"/>
  <c r="BU128" i="50"/>
  <c r="BU130" i="50" s="1"/>
  <c r="BT132" i="50"/>
  <c r="BT133" i="50" s="1"/>
  <c r="BT52" i="31" s="1"/>
  <c r="BT54" i="31" s="1"/>
  <c r="BT144" i="50"/>
  <c r="BT165" i="50" s="1"/>
  <c r="BT166" i="50" s="1"/>
  <c r="BT162" i="50"/>
  <c r="CB139" i="50"/>
  <c r="CA142" i="50"/>
  <c r="BT76" i="50"/>
  <c r="BT77" i="50" s="1"/>
  <c r="BT78" i="50" s="1"/>
  <c r="BT81" i="50" s="1"/>
  <c r="BU36" i="50"/>
  <c r="BV30" i="50"/>
  <c r="BV31" i="50"/>
  <c r="BV32" i="50"/>
  <c r="BV33" i="50"/>
  <c r="BV34" i="50"/>
  <c r="BT158" i="50"/>
  <c r="BU132" i="50" l="1"/>
  <c r="BU133" i="50" s="1"/>
  <c r="BU105" i="50"/>
  <c r="BU103" i="50"/>
  <c r="BU104" i="50"/>
  <c r="BU108" i="50"/>
  <c r="BU106" i="50"/>
  <c r="BU109" i="50"/>
  <c r="BU110" i="50"/>
  <c r="BU111" i="50"/>
  <c r="BU112" i="50"/>
  <c r="BU113" i="50"/>
  <c r="BU107" i="50"/>
  <c r="BU114" i="50"/>
  <c r="BU115" i="50"/>
  <c r="BU117" i="50"/>
  <c r="BU118" i="50"/>
  <c r="BU119" i="50"/>
  <c r="BU120" i="50"/>
  <c r="BU121" i="50"/>
  <c r="BU116" i="50"/>
  <c r="BU89" i="50"/>
  <c r="BU122" i="50"/>
  <c r="BU92" i="50"/>
  <c r="BU93" i="50"/>
  <c r="BU94" i="50"/>
  <c r="BU97" i="50"/>
  <c r="BU87" i="50"/>
  <c r="BU88" i="50"/>
  <c r="BU90" i="50"/>
  <c r="BU91" i="50"/>
  <c r="BU86" i="50"/>
  <c r="BU95" i="50"/>
  <c r="BU96" i="50"/>
  <c r="BW63" i="50"/>
  <c r="BW61" i="50"/>
  <c r="BW70" i="50" s="1"/>
  <c r="BW59" i="50"/>
  <c r="BW68" i="50" s="1"/>
  <c r="BW65" i="50"/>
  <c r="BT99" i="50"/>
  <c r="BT123" i="50"/>
  <c r="BY21" i="50"/>
  <c r="BY26" i="50" s="1"/>
  <c r="BY161" i="50"/>
  <c r="BW84" i="19"/>
  <c r="BW82" i="19"/>
  <c r="BW87" i="19"/>
  <c r="BW47" i="50"/>
  <c r="BW45" i="50"/>
  <c r="BW44" i="50"/>
  <c r="BW48" i="50"/>
  <c r="BW50" i="50"/>
  <c r="BW49" i="50"/>
  <c r="BW55" i="50"/>
  <c r="BW46" i="50"/>
  <c r="BW56" i="50"/>
  <c r="BV51" i="50"/>
  <c r="BW88" i="19"/>
  <c r="BW83" i="19"/>
  <c r="BW86" i="19"/>
  <c r="BW85" i="19"/>
  <c r="BW81" i="19"/>
  <c r="BT55" i="31"/>
  <c r="BX22" i="50"/>
  <c r="BX23" i="50"/>
  <c r="BX98" i="50" s="1"/>
  <c r="BY149" i="50"/>
  <c r="BV72" i="50"/>
  <c r="BZ6" i="50"/>
  <c r="BZ42" i="31"/>
  <c r="BZ6" i="28"/>
  <c r="BU144" i="50"/>
  <c r="BU156" i="50" s="1"/>
  <c r="BS47" i="31"/>
  <c r="BS49" i="31" s="1"/>
  <c r="BU162" i="50"/>
  <c r="BU146" i="50"/>
  <c r="BU158" i="50" s="1"/>
  <c r="BU145" i="50"/>
  <c r="BU157" i="50" s="1"/>
  <c r="BZ41" i="31"/>
  <c r="BZ5" i="28"/>
  <c r="BZ5" i="50"/>
  <c r="EC73" i="50"/>
  <c r="BU76" i="50"/>
  <c r="BU77" i="50" s="1"/>
  <c r="BU78" i="50" s="1"/>
  <c r="BU81" i="50" s="1"/>
  <c r="BV128" i="50"/>
  <c r="BV130" i="50" s="1"/>
  <c r="BT156" i="50"/>
  <c r="BT155" i="50"/>
  <c r="BT136" i="50"/>
  <c r="BT134" i="50"/>
  <c r="CB142" i="50"/>
  <c r="CC139" i="50"/>
  <c r="BV36" i="50"/>
  <c r="BW33" i="50"/>
  <c r="BW34" i="50"/>
  <c r="BW30" i="50"/>
  <c r="BW31" i="50"/>
  <c r="BW32" i="50"/>
  <c r="BT47" i="31"/>
  <c r="BT49" i="31" s="1"/>
  <c r="BU52" i="31"/>
  <c r="BU54" i="31" s="1"/>
  <c r="BU134" i="50"/>
  <c r="BU136" i="50"/>
  <c r="BU155" i="50"/>
  <c r="BV144" i="50" l="1"/>
  <c r="BV156" i="50" s="1"/>
  <c r="BV104" i="50"/>
  <c r="BV105" i="50"/>
  <c r="BV106" i="50"/>
  <c r="BV109" i="50"/>
  <c r="BV108" i="50"/>
  <c r="BV112" i="50"/>
  <c r="BV103" i="50"/>
  <c r="BV110" i="50"/>
  <c r="BV107" i="50"/>
  <c r="BV111" i="50"/>
  <c r="BV113" i="50"/>
  <c r="BV116" i="50"/>
  <c r="BV119" i="50"/>
  <c r="BV122" i="50"/>
  <c r="BV86" i="50"/>
  <c r="BV114" i="50"/>
  <c r="BV118" i="50"/>
  <c r="BV120" i="50"/>
  <c r="BV121" i="50"/>
  <c r="BV89" i="50"/>
  <c r="BV90" i="50"/>
  <c r="BV117" i="50"/>
  <c r="BV93" i="50"/>
  <c r="BV94" i="50"/>
  <c r="BV115" i="50"/>
  <c r="BV95" i="50"/>
  <c r="BV88" i="50"/>
  <c r="BV92" i="50"/>
  <c r="BV87" i="50"/>
  <c r="BV97" i="50"/>
  <c r="BV91" i="50"/>
  <c r="BV96" i="50"/>
  <c r="BU99" i="50"/>
  <c r="BU123" i="50"/>
  <c r="BX59" i="50"/>
  <c r="BX68" i="50" s="1"/>
  <c r="BX63" i="50"/>
  <c r="BX61" i="50"/>
  <c r="BX70" i="50" s="1"/>
  <c r="BX65" i="50"/>
  <c r="BZ21" i="50"/>
  <c r="BZ26" i="50" s="1"/>
  <c r="BZ161" i="50"/>
  <c r="BX86" i="19"/>
  <c r="BX88" i="19"/>
  <c r="BX83" i="19"/>
  <c r="BX87" i="19"/>
  <c r="BW51" i="50"/>
  <c r="BX82" i="19"/>
  <c r="BX44" i="50"/>
  <c r="BX45" i="50"/>
  <c r="BX46" i="50"/>
  <c r="BX49" i="50"/>
  <c r="BX47" i="50"/>
  <c r="BX56" i="50"/>
  <c r="BX48" i="50"/>
  <c r="BX50" i="50"/>
  <c r="BX55" i="50"/>
  <c r="BX85" i="19"/>
  <c r="BX84" i="19"/>
  <c r="BU55" i="31"/>
  <c r="BX81" i="19"/>
  <c r="BY22" i="50"/>
  <c r="BY23" i="50"/>
  <c r="BY98" i="50" s="1"/>
  <c r="BZ149" i="50"/>
  <c r="BU165" i="50"/>
  <c r="BU166" i="50" s="1"/>
  <c r="BV76" i="50"/>
  <c r="BV77" i="50" s="1"/>
  <c r="BV78" i="50" s="1"/>
  <c r="BV81" i="50" s="1"/>
  <c r="CA42" i="31"/>
  <c r="CA6" i="28"/>
  <c r="CA6" i="50"/>
  <c r="BV146" i="50"/>
  <c r="BV158" i="50" s="1"/>
  <c r="BW74" i="50"/>
  <c r="BW72" i="50"/>
  <c r="BV132" i="50"/>
  <c r="BV133" i="50" s="1"/>
  <c r="BV155" i="50" s="1"/>
  <c r="BV162" i="50"/>
  <c r="BV145" i="50"/>
  <c r="BV157" i="50" s="1"/>
  <c r="CA41" i="31"/>
  <c r="CA5" i="28"/>
  <c r="CA5" i="50"/>
  <c r="BW128" i="50"/>
  <c r="BW130" i="50" s="1"/>
  <c r="ED73" i="50"/>
  <c r="CD139" i="50"/>
  <c r="CC142" i="50"/>
  <c r="BW36" i="50"/>
  <c r="BX34" i="50"/>
  <c r="BX30" i="50"/>
  <c r="BX31" i="50"/>
  <c r="BX32" i="50"/>
  <c r="BX33" i="50"/>
  <c r="BV165" i="50" l="1"/>
  <c r="BV166" i="50" s="1"/>
  <c r="BW145" i="50"/>
  <c r="BW157" i="50" s="1"/>
  <c r="BW104" i="50"/>
  <c r="BW105" i="50"/>
  <c r="BW106" i="50"/>
  <c r="BW103" i="50"/>
  <c r="BW107" i="50"/>
  <c r="BW109" i="50"/>
  <c r="BW112" i="50"/>
  <c r="BW111" i="50"/>
  <c r="BW108" i="50"/>
  <c r="BW110" i="50"/>
  <c r="BW113" i="50"/>
  <c r="BW116" i="50"/>
  <c r="BW119" i="50"/>
  <c r="BW117" i="50"/>
  <c r="BW122" i="50"/>
  <c r="BW115" i="50"/>
  <c r="BW91" i="50"/>
  <c r="BW86" i="50"/>
  <c r="BW114" i="50"/>
  <c r="BW118" i="50"/>
  <c r="BW120" i="50"/>
  <c r="BW121" i="50"/>
  <c r="BW87" i="50"/>
  <c r="BW96" i="50"/>
  <c r="BW93" i="50"/>
  <c r="BW88" i="50"/>
  <c r="BW92" i="50"/>
  <c r="BW89" i="50"/>
  <c r="BW90" i="50"/>
  <c r="BW94" i="50"/>
  <c r="BW97" i="50"/>
  <c r="BW95" i="50"/>
  <c r="BY61" i="50"/>
  <c r="BY70" i="50" s="1"/>
  <c r="BY59" i="50"/>
  <c r="BY68" i="50" s="1"/>
  <c r="BY65" i="50"/>
  <c r="BY63" i="50"/>
  <c r="BV123" i="50"/>
  <c r="BV99" i="50"/>
  <c r="CA21" i="50"/>
  <c r="CA26" i="50" s="1"/>
  <c r="CA161" i="50"/>
  <c r="BX51" i="50"/>
  <c r="BY85" i="19"/>
  <c r="BY82" i="19"/>
  <c r="BY44" i="50"/>
  <c r="BY45" i="50"/>
  <c r="BY46" i="50"/>
  <c r="BY47" i="50"/>
  <c r="BY48" i="50"/>
  <c r="BY49" i="50"/>
  <c r="BY56" i="50"/>
  <c r="BY50" i="50"/>
  <c r="BY55" i="50"/>
  <c r="BY87" i="19"/>
  <c r="BY83" i="19"/>
  <c r="BY88" i="19"/>
  <c r="BY84" i="19"/>
  <c r="BY86" i="19"/>
  <c r="BU47" i="31"/>
  <c r="BU49" i="31" s="1"/>
  <c r="BY81" i="19"/>
  <c r="BZ22" i="50"/>
  <c r="BZ23" i="50"/>
  <c r="BZ98" i="50" s="1"/>
  <c r="CA149" i="50"/>
  <c r="CB6" i="50"/>
  <c r="CB6" i="28"/>
  <c r="CB42" i="31"/>
  <c r="BV134" i="50"/>
  <c r="BV52" i="31"/>
  <c r="BV54" i="31" s="1"/>
  <c r="BV55" i="31" s="1"/>
  <c r="BV136" i="50"/>
  <c r="BW144" i="50"/>
  <c r="BW156" i="50" s="1"/>
  <c r="BW76" i="50"/>
  <c r="BW77" i="50" s="1"/>
  <c r="BW78" i="50" s="1"/>
  <c r="BW81" i="50" s="1"/>
  <c r="CB41" i="31"/>
  <c r="CB5" i="50"/>
  <c r="CB5" i="28"/>
  <c r="BW132" i="50"/>
  <c r="BW133" i="50" s="1"/>
  <c r="BW134" i="50" s="1"/>
  <c r="BW162" i="50"/>
  <c r="BW146" i="50"/>
  <c r="BW158" i="50" s="1"/>
  <c r="EE73" i="50"/>
  <c r="BY128" i="50"/>
  <c r="BY130" i="50" s="1"/>
  <c r="CE139" i="50"/>
  <c r="CD142" i="50"/>
  <c r="BX72" i="50"/>
  <c r="BX74" i="50"/>
  <c r="BX128" i="50"/>
  <c r="BX130" i="50" s="1"/>
  <c r="BX36" i="50"/>
  <c r="BY34" i="50"/>
  <c r="BY30" i="50"/>
  <c r="BY31" i="50"/>
  <c r="BY32" i="50"/>
  <c r="BY33" i="50"/>
  <c r="BV47" i="31" l="1"/>
  <c r="BV49" i="31" s="1"/>
  <c r="BX162" i="50"/>
  <c r="BX104" i="50"/>
  <c r="BX103" i="50"/>
  <c r="BX107" i="50"/>
  <c r="BX108" i="50"/>
  <c r="BX105" i="50"/>
  <c r="BX106" i="50"/>
  <c r="BX109" i="50"/>
  <c r="BX112" i="50"/>
  <c r="BX110" i="50"/>
  <c r="BX113" i="50"/>
  <c r="BX118" i="50"/>
  <c r="BX114" i="50"/>
  <c r="BX115" i="50"/>
  <c r="BX120" i="50"/>
  <c r="BX88" i="50"/>
  <c r="BX111" i="50"/>
  <c r="BX91" i="50"/>
  <c r="BX117" i="50"/>
  <c r="BX92" i="50"/>
  <c r="BX121" i="50"/>
  <c r="BX96" i="50"/>
  <c r="BX116" i="50"/>
  <c r="BX122" i="50"/>
  <c r="BX86" i="50"/>
  <c r="BX87" i="50"/>
  <c r="BX89" i="50"/>
  <c r="BX90" i="50"/>
  <c r="BX97" i="50"/>
  <c r="BX119" i="50"/>
  <c r="BX93" i="50"/>
  <c r="BX94" i="50"/>
  <c r="BX95" i="50"/>
  <c r="BY103" i="50"/>
  <c r="BY104" i="50"/>
  <c r="BY107" i="50"/>
  <c r="BY105" i="50"/>
  <c r="BY108" i="50"/>
  <c r="BY111" i="50"/>
  <c r="BY110" i="50"/>
  <c r="BY109" i="50"/>
  <c r="BY115" i="50"/>
  <c r="BY112" i="50"/>
  <c r="BY113" i="50"/>
  <c r="BY118" i="50"/>
  <c r="BY121" i="50"/>
  <c r="BY106" i="50"/>
  <c r="BY114" i="50"/>
  <c r="BY116" i="50"/>
  <c r="BY117" i="50"/>
  <c r="BY119" i="50"/>
  <c r="BY88" i="50"/>
  <c r="BY89" i="50"/>
  <c r="BY120" i="50"/>
  <c r="BY122" i="50"/>
  <c r="BY86" i="50"/>
  <c r="BY87" i="50"/>
  <c r="BY90" i="50"/>
  <c r="BY92" i="50"/>
  <c r="BY91" i="50"/>
  <c r="BY93" i="50"/>
  <c r="BY94" i="50"/>
  <c r="BY95" i="50"/>
  <c r="BY96" i="50"/>
  <c r="BY97" i="50"/>
  <c r="BW99" i="50"/>
  <c r="BZ61" i="50"/>
  <c r="BZ70" i="50" s="1"/>
  <c r="BZ65" i="50"/>
  <c r="BZ63" i="50"/>
  <c r="BZ72" i="50" s="1"/>
  <c r="BZ59" i="50"/>
  <c r="BZ68" i="50" s="1"/>
  <c r="BW123" i="50"/>
  <c r="CB21" i="50"/>
  <c r="CB26" i="50" s="1"/>
  <c r="CB161" i="50"/>
  <c r="BZ84" i="19"/>
  <c r="BZ86" i="19"/>
  <c r="BZ88" i="19"/>
  <c r="BZ46" i="50"/>
  <c r="BZ44" i="50"/>
  <c r="BZ47" i="50"/>
  <c r="BZ48" i="50"/>
  <c r="BZ55" i="50"/>
  <c r="BZ56" i="50"/>
  <c r="BZ45" i="50"/>
  <c r="BZ50" i="50"/>
  <c r="BZ49" i="50"/>
  <c r="BZ83" i="19"/>
  <c r="BZ87" i="19"/>
  <c r="BY51" i="50"/>
  <c r="BZ82" i="19"/>
  <c r="BZ85" i="19"/>
  <c r="BZ81" i="19"/>
  <c r="CA22" i="50"/>
  <c r="CA23" i="50"/>
  <c r="CA98" i="50" s="1"/>
  <c r="CB149" i="50"/>
  <c r="CC42" i="31"/>
  <c r="CC6" i="50"/>
  <c r="CC6" i="28"/>
  <c r="BW165" i="50"/>
  <c r="BW155" i="50"/>
  <c r="BW52" i="31"/>
  <c r="BW54" i="31" s="1"/>
  <c r="BW55" i="31" s="1"/>
  <c r="BY74" i="50"/>
  <c r="BW136" i="50"/>
  <c r="BY72" i="50"/>
  <c r="CC5" i="28"/>
  <c r="CC41" i="31"/>
  <c r="CC5" i="50"/>
  <c r="EF73" i="50"/>
  <c r="BX145" i="50"/>
  <c r="BX157" i="50" s="1"/>
  <c r="BX132" i="50"/>
  <c r="BX133" i="50" s="1"/>
  <c r="BX155" i="50" s="1"/>
  <c r="BX146" i="50"/>
  <c r="BX158" i="50" s="1"/>
  <c r="BX144" i="50"/>
  <c r="BX165" i="50" s="1"/>
  <c r="BX166" i="50" s="1"/>
  <c r="CF139" i="50"/>
  <c r="CE142" i="50"/>
  <c r="BX76" i="50"/>
  <c r="BX77" i="50" s="1"/>
  <c r="BX78" i="50" s="1"/>
  <c r="BX81" i="50" s="1"/>
  <c r="BY36" i="50"/>
  <c r="BZ30" i="50"/>
  <c r="BZ31" i="50"/>
  <c r="BZ32" i="50"/>
  <c r="BZ33" i="50"/>
  <c r="BZ34" i="50"/>
  <c r="BY132" i="50"/>
  <c r="BY133" i="50" s="1"/>
  <c r="BY144" i="50"/>
  <c r="BY145" i="50"/>
  <c r="BY157" i="50" s="1"/>
  <c r="BY146" i="50"/>
  <c r="BY158" i="50" s="1"/>
  <c r="BY162" i="50"/>
  <c r="BW47" i="31" l="1"/>
  <c r="BW49" i="31" s="1"/>
  <c r="BW166" i="50"/>
  <c r="BX123" i="50"/>
  <c r="BX99" i="50"/>
  <c r="CA59" i="50"/>
  <c r="CA68" i="50" s="1"/>
  <c r="CA61" i="50"/>
  <c r="CA70" i="50" s="1"/>
  <c r="CA63" i="50"/>
  <c r="CA72" i="50" s="1"/>
  <c r="CA65" i="50"/>
  <c r="BY123" i="50"/>
  <c r="BY99" i="50"/>
  <c r="CC21" i="50"/>
  <c r="CC26" i="50" s="1"/>
  <c r="CC161" i="50"/>
  <c r="BZ51" i="50"/>
  <c r="CA82" i="19"/>
  <c r="CA87" i="19"/>
  <c r="CA46" i="50"/>
  <c r="CA44" i="50"/>
  <c r="CA47" i="50"/>
  <c r="CA45" i="50"/>
  <c r="CA48" i="50"/>
  <c r="CA55" i="50"/>
  <c r="CA56" i="50"/>
  <c r="CA49" i="50"/>
  <c r="CA50" i="50"/>
  <c r="CA84" i="19"/>
  <c r="CA83" i="19"/>
  <c r="CA88" i="19"/>
  <c r="CA85" i="19"/>
  <c r="CA86" i="19"/>
  <c r="BX156" i="50"/>
  <c r="CA81" i="19"/>
  <c r="CB22" i="50"/>
  <c r="CB23" i="50"/>
  <c r="CB98" i="50" s="1"/>
  <c r="CC149" i="50"/>
  <c r="CD42" i="31"/>
  <c r="CD6" i="50"/>
  <c r="CD6" i="28"/>
  <c r="BY76" i="50"/>
  <c r="BY77" i="50" s="1"/>
  <c r="BY78" i="50" s="1"/>
  <c r="BY81" i="50" s="1"/>
  <c r="CD41" i="31"/>
  <c r="CD5" i="28"/>
  <c r="CD5" i="50"/>
  <c r="BZ128" i="50"/>
  <c r="BZ130" i="50" s="1"/>
  <c r="BZ74" i="50"/>
  <c r="BX136" i="50"/>
  <c r="EG73" i="50"/>
  <c r="BX134" i="50"/>
  <c r="I49" i="4"/>
  <c r="BX52" i="31"/>
  <c r="BX54" i="31" s="1"/>
  <c r="BX55" i="31" s="1"/>
  <c r="I50" i="4"/>
  <c r="I55" i="4" s="1"/>
  <c r="CG139" i="50"/>
  <c r="CF142" i="50"/>
  <c r="I51" i="4"/>
  <c r="I56" i="4" s="1"/>
  <c r="BZ36" i="50"/>
  <c r="I52" i="4"/>
  <c r="I57" i="4" s="1"/>
  <c r="CA34" i="50"/>
  <c r="CA30" i="50"/>
  <c r="CA31" i="50"/>
  <c r="CA32" i="50"/>
  <c r="CA33" i="50"/>
  <c r="BX47" i="31"/>
  <c r="BX49" i="31" s="1"/>
  <c r="BY156" i="50"/>
  <c r="BY165" i="50"/>
  <c r="BY166" i="50" s="1"/>
  <c r="BY52" i="31"/>
  <c r="BY54" i="31" s="1"/>
  <c r="BY134" i="50"/>
  <c r="BY136" i="50"/>
  <c r="BY155" i="50"/>
  <c r="CB83" i="19" l="1"/>
  <c r="CB84" i="19"/>
  <c r="BZ103" i="50"/>
  <c r="BZ106" i="50"/>
  <c r="BZ104" i="50"/>
  <c r="BZ105" i="50"/>
  <c r="BZ110" i="50"/>
  <c r="BZ107" i="50"/>
  <c r="BZ108" i="50"/>
  <c r="BZ111" i="50"/>
  <c r="BZ109" i="50"/>
  <c r="BZ112" i="50"/>
  <c r="BZ113" i="50"/>
  <c r="BZ115" i="50"/>
  <c r="BZ116" i="50"/>
  <c r="BZ119" i="50"/>
  <c r="BZ121" i="50"/>
  <c r="BZ118" i="50"/>
  <c r="BZ122" i="50"/>
  <c r="BZ117" i="50"/>
  <c r="BZ90" i="50"/>
  <c r="BZ93" i="50"/>
  <c r="BZ120" i="50"/>
  <c r="BZ86" i="50"/>
  <c r="BZ88" i="50"/>
  <c r="BZ89" i="50"/>
  <c r="BZ91" i="50"/>
  <c r="BZ87" i="50"/>
  <c r="BZ114" i="50"/>
  <c r="BZ95" i="50"/>
  <c r="BZ94" i="50"/>
  <c r="BZ96" i="50"/>
  <c r="BZ97" i="50"/>
  <c r="BZ92" i="50"/>
  <c r="CB59" i="50"/>
  <c r="CB68" i="50" s="1"/>
  <c r="CB63" i="50"/>
  <c r="CB61" i="50"/>
  <c r="CB70" i="50" s="1"/>
  <c r="CB65" i="50"/>
  <c r="CD21" i="50"/>
  <c r="CD26" i="50" s="1"/>
  <c r="CD161" i="50"/>
  <c r="CB85" i="19"/>
  <c r="CB88" i="19"/>
  <c r="CB87" i="19"/>
  <c r="CB86" i="19"/>
  <c r="CB44" i="50"/>
  <c r="CB45" i="50"/>
  <c r="CB46" i="50"/>
  <c r="CB47" i="50"/>
  <c r="CB48" i="50"/>
  <c r="CB49" i="50"/>
  <c r="CB55" i="50"/>
  <c r="CB56" i="50"/>
  <c r="CB50" i="50"/>
  <c r="CA51" i="50"/>
  <c r="CB82" i="19"/>
  <c r="CB81" i="19"/>
  <c r="CC22" i="50"/>
  <c r="CC23" i="50"/>
  <c r="CC98" i="50" s="1"/>
  <c r="CD149" i="50"/>
  <c r="BZ162" i="50"/>
  <c r="BZ146" i="50"/>
  <c r="BZ158" i="50" s="1"/>
  <c r="BZ144" i="50"/>
  <c r="BZ165" i="50" s="1"/>
  <c r="BZ166" i="50" s="1"/>
  <c r="BY55" i="31"/>
  <c r="BZ145" i="50"/>
  <c r="BZ157" i="50" s="1"/>
  <c r="BZ132" i="50"/>
  <c r="BZ133" i="50" s="1"/>
  <c r="BZ52" i="31" s="1"/>
  <c r="BZ54" i="31" s="1"/>
  <c r="CE42" i="31"/>
  <c r="CE6" i="28"/>
  <c r="CE6" i="50"/>
  <c r="BZ76" i="50"/>
  <c r="BZ77" i="50" s="1"/>
  <c r="BZ78" i="50" s="1"/>
  <c r="BZ81" i="50" s="1"/>
  <c r="CE41" i="31"/>
  <c r="CE5" i="28"/>
  <c r="CE5" i="50"/>
  <c r="CA128" i="50"/>
  <c r="CA130" i="50" s="1"/>
  <c r="CA74" i="50"/>
  <c r="EH73" i="50"/>
  <c r="CG142" i="50"/>
  <c r="CH139" i="50"/>
  <c r="CA36" i="50"/>
  <c r="CB30" i="50"/>
  <c r="CB31" i="50"/>
  <c r="CB32" i="50"/>
  <c r="CB33" i="50"/>
  <c r="CB34" i="50"/>
  <c r="BY47" i="31"/>
  <c r="BY49" i="31" s="1"/>
  <c r="CA105" i="50" l="1"/>
  <c r="CA103" i="50"/>
  <c r="CA104" i="50"/>
  <c r="CA107" i="50"/>
  <c r="CA110" i="50"/>
  <c r="CA106" i="50"/>
  <c r="CA109" i="50"/>
  <c r="CA111" i="50"/>
  <c r="CA112" i="50"/>
  <c r="CA117" i="50"/>
  <c r="CA119" i="50"/>
  <c r="CA120" i="50"/>
  <c r="CA87" i="50"/>
  <c r="CA115" i="50"/>
  <c r="CA90" i="50"/>
  <c r="CA108" i="50"/>
  <c r="CA114" i="50"/>
  <c r="CA121" i="50"/>
  <c r="CA122" i="50"/>
  <c r="CA91" i="50"/>
  <c r="CA116" i="50"/>
  <c r="CA93" i="50"/>
  <c r="CA113" i="50"/>
  <c r="CA86" i="50"/>
  <c r="CA88" i="50"/>
  <c r="CA118" i="50"/>
  <c r="CA95" i="50"/>
  <c r="CA96" i="50"/>
  <c r="CA94" i="50"/>
  <c r="CA97" i="50"/>
  <c r="CA92" i="50"/>
  <c r="CA89" i="50"/>
  <c r="BZ123" i="50"/>
  <c r="BZ99" i="50"/>
  <c r="CC61" i="50"/>
  <c r="CC70" i="50" s="1"/>
  <c r="CC59" i="50"/>
  <c r="CC68" i="50" s="1"/>
  <c r="CC65" i="50"/>
  <c r="CC63" i="50"/>
  <c r="CE21" i="50"/>
  <c r="CE26" i="50" s="1"/>
  <c r="CE161" i="50"/>
  <c r="CC87" i="19"/>
  <c r="CC84" i="19"/>
  <c r="CC45" i="50"/>
  <c r="CC46" i="50"/>
  <c r="CC47" i="50"/>
  <c r="CC44" i="50"/>
  <c r="CC49" i="50"/>
  <c r="CC50" i="50"/>
  <c r="CC48" i="50"/>
  <c r="CC55" i="50"/>
  <c r="CC56" i="50"/>
  <c r="CC83" i="19"/>
  <c r="CB51" i="50"/>
  <c r="CC85" i="19"/>
  <c r="CC88" i="19"/>
  <c r="CC82" i="19"/>
  <c r="CC86" i="19"/>
  <c r="BZ155" i="50"/>
  <c r="CC81" i="19"/>
  <c r="CD22" i="50"/>
  <c r="CD23" i="50"/>
  <c r="CD98" i="50" s="1"/>
  <c r="CE149" i="50"/>
  <c r="BZ156" i="50"/>
  <c r="BZ136" i="50"/>
  <c r="BZ134" i="50"/>
  <c r="BZ55" i="31"/>
  <c r="CF42" i="31"/>
  <c r="CF6" i="28"/>
  <c r="CF6" i="50"/>
  <c r="CA132" i="50"/>
  <c r="CA133" i="50" s="1"/>
  <c r="CA52" i="31" s="1"/>
  <c r="CA54" i="31" s="1"/>
  <c r="CA146" i="50"/>
  <c r="CA158" i="50" s="1"/>
  <c r="CA162" i="50"/>
  <c r="CA145" i="50"/>
  <c r="CA157" i="50" s="1"/>
  <c r="CA144" i="50"/>
  <c r="CA156" i="50" s="1"/>
  <c r="CA76" i="50"/>
  <c r="CA77" i="50" s="1"/>
  <c r="CA78" i="50" s="1"/>
  <c r="CA81" i="50" s="1"/>
  <c r="CF41" i="31"/>
  <c r="CF5" i="28"/>
  <c r="CF5" i="50"/>
  <c r="EI73" i="50"/>
  <c r="CB72" i="50"/>
  <c r="CC128" i="50"/>
  <c r="CC130" i="50" s="1"/>
  <c r="CB74" i="50"/>
  <c r="CI139" i="50"/>
  <c r="CH142" i="50"/>
  <c r="CB128" i="50"/>
  <c r="CB130" i="50" s="1"/>
  <c r="CB36" i="50"/>
  <c r="CC33" i="50"/>
  <c r="CC34" i="50"/>
  <c r="CC30" i="50"/>
  <c r="CC31" i="50"/>
  <c r="CC32" i="50"/>
  <c r="BZ47" i="31"/>
  <c r="BZ49" i="31" s="1"/>
  <c r="CB105" i="50" l="1"/>
  <c r="CB103" i="50"/>
  <c r="CB106" i="50"/>
  <c r="CB104" i="50"/>
  <c r="CB108" i="50"/>
  <c r="CB107" i="50"/>
  <c r="CB113" i="50"/>
  <c r="CB111" i="50"/>
  <c r="CB114" i="50"/>
  <c r="CB109" i="50"/>
  <c r="CB110" i="50"/>
  <c r="CB117" i="50"/>
  <c r="CB118" i="50"/>
  <c r="CB120" i="50"/>
  <c r="CB116" i="50"/>
  <c r="CB119" i="50"/>
  <c r="CB87" i="50"/>
  <c r="CB112" i="50"/>
  <c r="CB115" i="50"/>
  <c r="CB88" i="50"/>
  <c r="CB122" i="50"/>
  <c r="CB86" i="50"/>
  <c r="CB121" i="50"/>
  <c r="CB92" i="50"/>
  <c r="CB95" i="50"/>
  <c r="CB96" i="50"/>
  <c r="CB94" i="50"/>
  <c r="CB97" i="50"/>
  <c r="CB89" i="50"/>
  <c r="CB93" i="50"/>
  <c r="CB90" i="50"/>
  <c r="CB91" i="50"/>
  <c r="CC105" i="50"/>
  <c r="CC103" i="50"/>
  <c r="CC104" i="50"/>
  <c r="CC108" i="50"/>
  <c r="CC109" i="50"/>
  <c r="CC107" i="50"/>
  <c r="CC111" i="50"/>
  <c r="CC106" i="50"/>
  <c r="CC110" i="50"/>
  <c r="CC112" i="50"/>
  <c r="CC113" i="50"/>
  <c r="CC114" i="50"/>
  <c r="CC115" i="50"/>
  <c r="CC120" i="50"/>
  <c r="CC121" i="50"/>
  <c r="CC89" i="50"/>
  <c r="CC116" i="50"/>
  <c r="CC92" i="50"/>
  <c r="CC119" i="50"/>
  <c r="CC118" i="50"/>
  <c r="CC93" i="50"/>
  <c r="CC117" i="50"/>
  <c r="CC122" i="50"/>
  <c r="CC87" i="50"/>
  <c r="CC88" i="50"/>
  <c r="CC86" i="50"/>
  <c r="CC94" i="50"/>
  <c r="CC97" i="50"/>
  <c r="CC91" i="50"/>
  <c r="CC95" i="50"/>
  <c r="CC96" i="50"/>
  <c r="CC90" i="50"/>
  <c r="CA99" i="50"/>
  <c r="CD61" i="50"/>
  <c r="CD70" i="50" s="1"/>
  <c r="CD59" i="50"/>
  <c r="CD68" i="50" s="1"/>
  <c r="CD65" i="50"/>
  <c r="CD63" i="50"/>
  <c r="CA123" i="50"/>
  <c r="CF21" i="50"/>
  <c r="CF26" i="50" s="1"/>
  <c r="CF161" i="50"/>
  <c r="CD88" i="19"/>
  <c r="CD82" i="19"/>
  <c r="CD45" i="50"/>
  <c r="CD46" i="50"/>
  <c r="CD47" i="50"/>
  <c r="CD49" i="50"/>
  <c r="CD50" i="50"/>
  <c r="CD44" i="50"/>
  <c r="CD48" i="50"/>
  <c r="CD55" i="50"/>
  <c r="CD56" i="50"/>
  <c r="CD85" i="19"/>
  <c r="CC51" i="50"/>
  <c r="CD83" i="19"/>
  <c r="CD84" i="19"/>
  <c r="CD86" i="19"/>
  <c r="CD87" i="19"/>
  <c r="CD81" i="19"/>
  <c r="CE22" i="50"/>
  <c r="CE23" i="50"/>
  <c r="CE98" i="50" s="1"/>
  <c r="CF149" i="50"/>
  <c r="CA55" i="31"/>
  <c r="CA155" i="50"/>
  <c r="CA136" i="50"/>
  <c r="CA134" i="50"/>
  <c r="CG42" i="31"/>
  <c r="CG6" i="28"/>
  <c r="CG6" i="50"/>
  <c r="CA165" i="50"/>
  <c r="CA166" i="50" s="1"/>
  <c r="CC74" i="50"/>
  <c r="CG41" i="31"/>
  <c r="CG5" i="28"/>
  <c r="CG5" i="50"/>
  <c r="EJ73" i="50"/>
  <c r="CC72" i="50"/>
  <c r="CB76" i="50"/>
  <c r="CB77" i="50" s="1"/>
  <c r="CB78" i="50" s="1"/>
  <c r="CB81" i="50" s="1"/>
  <c r="CB162" i="50"/>
  <c r="CB146" i="50"/>
  <c r="CB158" i="50" s="1"/>
  <c r="CB144" i="50"/>
  <c r="CB156" i="50" s="1"/>
  <c r="CB145" i="50"/>
  <c r="CB157" i="50" s="1"/>
  <c r="CB132" i="50"/>
  <c r="CB133" i="50" s="1"/>
  <c r="CB136" i="50" s="1"/>
  <c r="CJ139" i="50"/>
  <c r="CI142" i="50"/>
  <c r="CC36" i="50"/>
  <c r="CD34" i="50"/>
  <c r="CD30" i="50"/>
  <c r="CD31" i="50"/>
  <c r="CD32" i="50"/>
  <c r="CD33" i="50"/>
  <c r="CC132" i="50"/>
  <c r="CC133" i="50" s="1"/>
  <c r="CC144" i="50"/>
  <c r="CC145" i="50"/>
  <c r="CC157" i="50" s="1"/>
  <c r="CC146" i="50"/>
  <c r="CC158" i="50" s="1"/>
  <c r="CC162" i="50"/>
  <c r="CC99" i="50" l="1"/>
  <c r="CE63" i="50"/>
  <c r="CE61" i="50"/>
  <c r="CE70" i="50" s="1"/>
  <c r="CE59" i="50"/>
  <c r="CE68" i="50" s="1"/>
  <c r="CE65" i="50"/>
  <c r="CB99" i="50"/>
  <c r="CC123" i="50"/>
  <c r="CB123" i="50"/>
  <c r="CG21" i="50"/>
  <c r="CG26" i="50" s="1"/>
  <c r="CG161" i="50"/>
  <c r="CE86" i="19"/>
  <c r="CA47" i="31"/>
  <c r="CA49" i="31" s="1"/>
  <c r="CD51" i="50"/>
  <c r="CE84" i="19"/>
  <c r="CE83" i="19"/>
  <c r="CE47" i="50"/>
  <c r="CE45" i="50"/>
  <c r="CE44" i="50"/>
  <c r="CE46" i="50"/>
  <c r="CE48" i="50"/>
  <c r="CE49" i="50"/>
  <c r="CE50" i="50"/>
  <c r="CE55" i="50"/>
  <c r="CE56" i="50"/>
  <c r="CE85" i="19"/>
  <c r="CE88" i="19"/>
  <c r="CE87" i="19"/>
  <c r="CE82" i="19"/>
  <c r="CE81" i="19"/>
  <c r="CF22" i="50"/>
  <c r="CF23" i="50"/>
  <c r="CF98" i="50" s="1"/>
  <c r="CG149" i="50"/>
  <c r="CH42" i="31"/>
  <c r="CH6" i="50"/>
  <c r="CH6" i="28"/>
  <c r="CB52" i="31"/>
  <c r="CB54" i="31" s="1"/>
  <c r="CB55" i="31" s="1"/>
  <c r="CB134" i="50"/>
  <c r="CH41" i="31"/>
  <c r="CH5" i="28"/>
  <c r="CH5" i="50"/>
  <c r="CC76" i="50"/>
  <c r="CC77" i="50" s="1"/>
  <c r="CC78" i="50" s="1"/>
  <c r="CC81" i="50" s="1"/>
  <c r="EK73" i="50"/>
  <c r="CB165" i="50"/>
  <c r="CB155" i="50"/>
  <c r="CK139" i="50"/>
  <c r="CJ142" i="50"/>
  <c r="CD74" i="50"/>
  <c r="CD128" i="50"/>
  <c r="CD130" i="50" s="1"/>
  <c r="CD72" i="50"/>
  <c r="CD36" i="50"/>
  <c r="CE33" i="50"/>
  <c r="CE34" i="50"/>
  <c r="CE30" i="50"/>
  <c r="CE31" i="50"/>
  <c r="CE32" i="50"/>
  <c r="CC156" i="50"/>
  <c r="CC165" i="50"/>
  <c r="CC166" i="50" s="1"/>
  <c r="CC52" i="31"/>
  <c r="CC54" i="31" s="1"/>
  <c r="CC134" i="50"/>
  <c r="CC136" i="50"/>
  <c r="CC155" i="50"/>
  <c r="CD162" i="50" l="1"/>
  <c r="CD104" i="50"/>
  <c r="CD105" i="50"/>
  <c r="CD106" i="50"/>
  <c r="CD108" i="50"/>
  <c r="CD109" i="50"/>
  <c r="CD112" i="50"/>
  <c r="CD111" i="50"/>
  <c r="CD103" i="50"/>
  <c r="CD107" i="50"/>
  <c r="CD113" i="50"/>
  <c r="CD116" i="50"/>
  <c r="CD119" i="50"/>
  <c r="CD122" i="50"/>
  <c r="CD114" i="50"/>
  <c r="CD118" i="50"/>
  <c r="CD86" i="50"/>
  <c r="CD89" i="50"/>
  <c r="CD110" i="50"/>
  <c r="CD90" i="50"/>
  <c r="CD120" i="50"/>
  <c r="CD117" i="50"/>
  <c r="CD87" i="50"/>
  <c r="CD88" i="50"/>
  <c r="CD91" i="50"/>
  <c r="CD121" i="50"/>
  <c r="CD92" i="50"/>
  <c r="CD94" i="50"/>
  <c r="CD95" i="50"/>
  <c r="CD96" i="50"/>
  <c r="CD97" i="50"/>
  <c r="CD115" i="50"/>
  <c r="CD93" i="50"/>
  <c r="CB47" i="31"/>
  <c r="CB49" i="31" s="1"/>
  <c r="CB166" i="50"/>
  <c r="CF59" i="50"/>
  <c r="CF68" i="50" s="1"/>
  <c r="CF63" i="50"/>
  <c r="CF72" i="50" s="1"/>
  <c r="CF61" i="50"/>
  <c r="CF70" i="50" s="1"/>
  <c r="CF65" i="50"/>
  <c r="CH21" i="50"/>
  <c r="CH26" i="50" s="1"/>
  <c r="CH161" i="50"/>
  <c r="CF82" i="19"/>
  <c r="CF87" i="19"/>
  <c r="CF88" i="19"/>
  <c r="CE51" i="50"/>
  <c r="CF85" i="19"/>
  <c r="CF44" i="50"/>
  <c r="CF45" i="50"/>
  <c r="CF49" i="50"/>
  <c r="CF46" i="50"/>
  <c r="CF47" i="50"/>
  <c r="CF56" i="50"/>
  <c r="CF50" i="50"/>
  <c r="CF48" i="50"/>
  <c r="CF55" i="50"/>
  <c r="CF83" i="19"/>
  <c r="CF84" i="19"/>
  <c r="CF86" i="19"/>
  <c r="CF81" i="19"/>
  <c r="CG22" i="50"/>
  <c r="CG23" i="50"/>
  <c r="CG98" i="50" s="1"/>
  <c r="CH149" i="50"/>
  <c r="CC55" i="31"/>
  <c r="CI6" i="28"/>
  <c r="CI42" i="31"/>
  <c r="CI6" i="50"/>
  <c r="CD144" i="50"/>
  <c r="CD156" i="50" s="1"/>
  <c r="CI41" i="31"/>
  <c r="CI5" i="28"/>
  <c r="CI5" i="50"/>
  <c r="CE128" i="50"/>
  <c r="CE130" i="50" s="1"/>
  <c r="CE74" i="50"/>
  <c r="EL73" i="50"/>
  <c r="CE72" i="50"/>
  <c r="CD145" i="50"/>
  <c r="CD157" i="50" s="1"/>
  <c r="CD146" i="50"/>
  <c r="CD158" i="50" s="1"/>
  <c r="CL139" i="50"/>
  <c r="CK142" i="50"/>
  <c r="CD132" i="50"/>
  <c r="CD133" i="50" s="1"/>
  <c r="CD52" i="31" s="1"/>
  <c r="CD54" i="31" s="1"/>
  <c r="CD76" i="50"/>
  <c r="CD77" i="50" s="1"/>
  <c r="CD78" i="50" s="1"/>
  <c r="CD81" i="50" s="1"/>
  <c r="CE36" i="50"/>
  <c r="CF30" i="50"/>
  <c r="CF31" i="50"/>
  <c r="CF32" i="50"/>
  <c r="CF33" i="50"/>
  <c r="CF34" i="50"/>
  <c r="CC47" i="31"/>
  <c r="CC49" i="31" s="1"/>
  <c r="CE104" i="50" l="1"/>
  <c r="CE105" i="50"/>
  <c r="CE106" i="50"/>
  <c r="CE103" i="50"/>
  <c r="CE108" i="50"/>
  <c r="CE109" i="50"/>
  <c r="CE107" i="50"/>
  <c r="CE110" i="50"/>
  <c r="CE112" i="50"/>
  <c r="CE111" i="50"/>
  <c r="CE116" i="50"/>
  <c r="CE119" i="50"/>
  <c r="CE117" i="50"/>
  <c r="CE113" i="50"/>
  <c r="CE114" i="50"/>
  <c r="CE115" i="50"/>
  <c r="CE118" i="50"/>
  <c r="CE122" i="50"/>
  <c r="CE91" i="50"/>
  <c r="CE86" i="50"/>
  <c r="CE87" i="50"/>
  <c r="CE120" i="50"/>
  <c r="CE89" i="50"/>
  <c r="CE90" i="50"/>
  <c r="CE93" i="50"/>
  <c r="CE96" i="50"/>
  <c r="CE88" i="50"/>
  <c r="CE121" i="50"/>
  <c r="CE92" i="50"/>
  <c r="CE94" i="50"/>
  <c r="CE95" i="50"/>
  <c r="CE97" i="50"/>
  <c r="CD99" i="50"/>
  <c r="CG61" i="50"/>
  <c r="CG70" i="50" s="1"/>
  <c r="CG59" i="50"/>
  <c r="CG68" i="50" s="1"/>
  <c r="CG63" i="50"/>
  <c r="CG65" i="50"/>
  <c r="CD123" i="50"/>
  <c r="CI21" i="50"/>
  <c r="CI26" i="50" s="1"/>
  <c r="CI161" i="50"/>
  <c r="CG84" i="19"/>
  <c r="CG83" i="19"/>
  <c r="CG85" i="19"/>
  <c r="CF51" i="50"/>
  <c r="CG44" i="50"/>
  <c r="CG45" i="50"/>
  <c r="CG46" i="50"/>
  <c r="CG48" i="50"/>
  <c r="CG49" i="50"/>
  <c r="CG47" i="50"/>
  <c r="CG56" i="50"/>
  <c r="CG50" i="50"/>
  <c r="CG55" i="50"/>
  <c r="CG88" i="19"/>
  <c r="CG87" i="19"/>
  <c r="CG86" i="19"/>
  <c r="CG82" i="19"/>
  <c r="CG81" i="19"/>
  <c r="CH22" i="50"/>
  <c r="CH23" i="50"/>
  <c r="CH98" i="50" s="1"/>
  <c r="CI149" i="50"/>
  <c r="CD55" i="31"/>
  <c r="CJ42" i="31"/>
  <c r="CJ6" i="28"/>
  <c r="CJ6" i="50"/>
  <c r="CD165" i="50"/>
  <c r="CD166" i="50" s="1"/>
  <c r="CF128" i="50"/>
  <c r="CF130" i="50" s="1"/>
  <c r="CF74" i="50"/>
  <c r="CE162" i="50"/>
  <c r="CE146" i="50"/>
  <c r="CE158" i="50" s="1"/>
  <c r="CJ41" i="31"/>
  <c r="CJ5" i="28"/>
  <c r="CJ5" i="50"/>
  <c r="CE145" i="50"/>
  <c r="CE157" i="50" s="1"/>
  <c r="CE144" i="50"/>
  <c r="CE156" i="50" s="1"/>
  <c r="CE132" i="50"/>
  <c r="CE133" i="50" s="1"/>
  <c r="CE134" i="50" s="1"/>
  <c r="CD134" i="50"/>
  <c r="EM73" i="50"/>
  <c r="CE76" i="50"/>
  <c r="CE77" i="50" s="1"/>
  <c r="CE78" i="50" s="1"/>
  <c r="CE81" i="50" s="1"/>
  <c r="CD136" i="50"/>
  <c r="CM139" i="50"/>
  <c r="CL142" i="50"/>
  <c r="CD155" i="50"/>
  <c r="CF36" i="50"/>
  <c r="CG34" i="50"/>
  <c r="CG30" i="50"/>
  <c r="CG31" i="50"/>
  <c r="CG32" i="50"/>
  <c r="CG33" i="50"/>
  <c r="CF104" i="50" l="1"/>
  <c r="CF103" i="50"/>
  <c r="CF105" i="50"/>
  <c r="CF107" i="50"/>
  <c r="CF106" i="50"/>
  <c r="CF108" i="50"/>
  <c r="CF109" i="50"/>
  <c r="CF110" i="50"/>
  <c r="CF111" i="50"/>
  <c r="CF113" i="50"/>
  <c r="CF118" i="50"/>
  <c r="CF114" i="50"/>
  <c r="CF112" i="50"/>
  <c r="CF116" i="50"/>
  <c r="CF117" i="50"/>
  <c r="CF115" i="50"/>
  <c r="CF120" i="50"/>
  <c r="CF121" i="50"/>
  <c r="CF88" i="50"/>
  <c r="CF91" i="50"/>
  <c r="CF92" i="50"/>
  <c r="CF122" i="50"/>
  <c r="CF86" i="50"/>
  <c r="CF87" i="50"/>
  <c r="CF89" i="50"/>
  <c r="CF90" i="50"/>
  <c r="CF93" i="50"/>
  <c r="CF96" i="50"/>
  <c r="CF119" i="50"/>
  <c r="CF97" i="50"/>
  <c r="CF94" i="50"/>
  <c r="CF95" i="50"/>
  <c r="CE123" i="50"/>
  <c r="CH61" i="50"/>
  <c r="CH70" i="50" s="1"/>
  <c r="CH65" i="50"/>
  <c r="CH63" i="50"/>
  <c r="CH72" i="50" s="1"/>
  <c r="CH59" i="50"/>
  <c r="CH68" i="50" s="1"/>
  <c r="CE99" i="50"/>
  <c r="CJ21" i="50"/>
  <c r="CJ26" i="50" s="1"/>
  <c r="CJ161" i="50"/>
  <c r="CH87" i="19"/>
  <c r="CH88" i="19"/>
  <c r="CH85" i="19"/>
  <c r="CH82" i="19"/>
  <c r="CH46" i="50"/>
  <c r="CH44" i="50"/>
  <c r="CH47" i="50"/>
  <c r="CH45" i="50"/>
  <c r="CH48" i="50"/>
  <c r="CH55" i="50"/>
  <c r="CH49" i="50"/>
  <c r="CH56" i="50"/>
  <c r="CH50" i="50"/>
  <c r="CG51" i="50"/>
  <c r="CH83" i="19"/>
  <c r="CH86" i="19"/>
  <c r="CH84" i="19"/>
  <c r="CH81" i="19"/>
  <c r="CF76" i="50"/>
  <c r="CF77" i="50" s="1"/>
  <c r="CF78" i="50" s="1"/>
  <c r="CF81" i="50" s="1"/>
  <c r="CI22" i="50"/>
  <c r="CI23" i="50"/>
  <c r="CI98" i="50" s="1"/>
  <c r="CJ149" i="50"/>
  <c r="CD47" i="31"/>
  <c r="CD49" i="31" s="1"/>
  <c r="CK6" i="28"/>
  <c r="CK42" i="31"/>
  <c r="CK6" i="50"/>
  <c r="CF162" i="50"/>
  <c r="CF146" i="50"/>
  <c r="CF158" i="50" s="1"/>
  <c r="CF145" i="50"/>
  <c r="CF157" i="50" s="1"/>
  <c r="CF144" i="50"/>
  <c r="CF165" i="50" s="1"/>
  <c r="CF166" i="50" s="1"/>
  <c r="CF132" i="50"/>
  <c r="CF133" i="50" s="1"/>
  <c r="CF52" i="31" s="1"/>
  <c r="CF54" i="31" s="1"/>
  <c r="CG74" i="50"/>
  <c r="CE52" i="31"/>
  <c r="CE54" i="31" s="1"/>
  <c r="CE55" i="31" s="1"/>
  <c r="CG128" i="50"/>
  <c r="CG130" i="50" s="1"/>
  <c r="CG72" i="50"/>
  <c r="CE165" i="50"/>
  <c r="CE155" i="50"/>
  <c r="CE136" i="50"/>
  <c r="CK5" i="28"/>
  <c r="CK41" i="31"/>
  <c r="CK5" i="50"/>
  <c r="EN73" i="50"/>
  <c r="CN139" i="50"/>
  <c r="CM142" i="50"/>
  <c r="CG36" i="50"/>
  <c r="CH30" i="50"/>
  <c r="CH31" i="50"/>
  <c r="CH32" i="50"/>
  <c r="CH33" i="50"/>
  <c r="CH34" i="50"/>
  <c r="CG144" i="50" l="1"/>
  <c r="CG165" i="50" s="1"/>
  <c r="CG166" i="50" s="1"/>
  <c r="CG103" i="50"/>
  <c r="CG104" i="50"/>
  <c r="CG105" i="50"/>
  <c r="CG107" i="50"/>
  <c r="CG106" i="50"/>
  <c r="CG108" i="50"/>
  <c r="CG111" i="50"/>
  <c r="CG109" i="50"/>
  <c r="CG110" i="50"/>
  <c r="CG112" i="50"/>
  <c r="CG115" i="50"/>
  <c r="CG118" i="50"/>
  <c r="CG113" i="50"/>
  <c r="CG119" i="50"/>
  <c r="CG121" i="50"/>
  <c r="CG114" i="50"/>
  <c r="CG116" i="50"/>
  <c r="CG117" i="50"/>
  <c r="CG120" i="50"/>
  <c r="CG122" i="50"/>
  <c r="CG88" i="50"/>
  <c r="CG89" i="50"/>
  <c r="CG91" i="50"/>
  <c r="CG86" i="50"/>
  <c r="CG87" i="50"/>
  <c r="CG90" i="50"/>
  <c r="CG93" i="50"/>
  <c r="CG94" i="50"/>
  <c r="CG92" i="50"/>
  <c r="CG96" i="50"/>
  <c r="CG95" i="50"/>
  <c r="CG97" i="50"/>
  <c r="CE47" i="31"/>
  <c r="CE49" i="31" s="1"/>
  <c r="CE166" i="50"/>
  <c r="CF123" i="50"/>
  <c r="CI59" i="50"/>
  <c r="CI68" i="50" s="1"/>
  <c r="CI61" i="50"/>
  <c r="CI70" i="50" s="1"/>
  <c r="CI63" i="50"/>
  <c r="CI65" i="50"/>
  <c r="CF99" i="50"/>
  <c r="CK21" i="50"/>
  <c r="CK26" i="50" s="1"/>
  <c r="CK161" i="50"/>
  <c r="CI86" i="19"/>
  <c r="CI83" i="19"/>
  <c r="CI46" i="50"/>
  <c r="CI44" i="50"/>
  <c r="CI47" i="50"/>
  <c r="CI45" i="50"/>
  <c r="CI48" i="50"/>
  <c r="CI55" i="50"/>
  <c r="CI49" i="50"/>
  <c r="CI56" i="50"/>
  <c r="CI50" i="50"/>
  <c r="CI82" i="19"/>
  <c r="CI87" i="19"/>
  <c r="CI85" i="19"/>
  <c r="CI88" i="19"/>
  <c r="CH51" i="50"/>
  <c r="CI84" i="19"/>
  <c r="CF134" i="50"/>
  <c r="CF156" i="50"/>
  <c r="CI81" i="19"/>
  <c r="CJ23" i="50"/>
  <c r="CJ98" i="50" s="1"/>
  <c r="CJ22" i="50"/>
  <c r="CK149" i="50"/>
  <c r="CL6" i="28"/>
  <c r="CL42" i="31"/>
  <c r="CL6" i="50"/>
  <c r="CG132" i="50"/>
  <c r="CG133" i="50" s="1"/>
  <c r="CG52" i="31" s="1"/>
  <c r="CG54" i="31" s="1"/>
  <c r="CG162" i="50"/>
  <c r="CG146" i="50"/>
  <c r="CG158" i="50" s="1"/>
  <c r="CG145" i="50"/>
  <c r="CG157" i="50" s="1"/>
  <c r="CF155" i="50"/>
  <c r="CF136" i="50"/>
  <c r="CF55" i="31"/>
  <c r="CG76" i="50"/>
  <c r="CG77" i="50" s="1"/>
  <c r="CG78" i="50" s="1"/>
  <c r="CG81" i="50" s="1"/>
  <c r="CL41" i="31"/>
  <c r="CL5" i="28"/>
  <c r="CL5" i="50"/>
  <c r="EO73" i="50"/>
  <c r="CH128" i="50"/>
  <c r="CH130" i="50" s="1"/>
  <c r="CH74" i="50"/>
  <c r="CO139" i="50"/>
  <c r="CN142" i="50"/>
  <c r="CH36" i="50"/>
  <c r="CI33" i="50"/>
  <c r="CI34" i="50"/>
  <c r="CI30" i="50"/>
  <c r="CI31" i="50"/>
  <c r="CI32" i="50"/>
  <c r="CF47" i="31"/>
  <c r="CF49" i="31" s="1"/>
  <c r="CG156" i="50" l="1"/>
  <c r="CG155" i="50"/>
  <c r="CH103" i="50"/>
  <c r="CH106" i="50"/>
  <c r="CH104" i="50"/>
  <c r="CH105" i="50"/>
  <c r="CH110" i="50"/>
  <c r="CH109" i="50"/>
  <c r="CH107" i="50"/>
  <c r="CH111" i="50"/>
  <c r="CH112" i="50"/>
  <c r="CH108" i="50"/>
  <c r="CH113" i="50"/>
  <c r="CH115" i="50"/>
  <c r="CH116" i="50"/>
  <c r="CH119" i="50"/>
  <c r="CH118" i="50"/>
  <c r="CH121" i="50"/>
  <c r="CH122" i="50"/>
  <c r="CH117" i="50"/>
  <c r="CH90" i="50"/>
  <c r="CH120" i="50"/>
  <c r="CH93" i="50"/>
  <c r="CH86" i="50"/>
  <c r="CH95" i="50"/>
  <c r="CH114" i="50"/>
  <c r="CH88" i="50"/>
  <c r="CH89" i="50"/>
  <c r="CH91" i="50"/>
  <c r="CH92" i="50"/>
  <c r="CH87" i="50"/>
  <c r="CH94" i="50"/>
  <c r="CH96" i="50"/>
  <c r="CH97" i="50"/>
  <c r="CG123" i="50"/>
  <c r="CJ59" i="50"/>
  <c r="CJ68" i="50" s="1"/>
  <c r="CJ65" i="50"/>
  <c r="CJ61" i="50"/>
  <c r="CJ70" i="50" s="1"/>
  <c r="CJ63" i="50"/>
  <c r="CJ72" i="50" s="1"/>
  <c r="CG99" i="50"/>
  <c r="CL21" i="50"/>
  <c r="CL26" i="50" s="1"/>
  <c r="CL161" i="50"/>
  <c r="CJ88" i="19"/>
  <c r="CJ85" i="19"/>
  <c r="CJ87" i="19"/>
  <c r="CJ44" i="50"/>
  <c r="CJ45" i="50"/>
  <c r="CJ48" i="50"/>
  <c r="CJ49" i="50"/>
  <c r="CJ55" i="50"/>
  <c r="CJ47" i="50"/>
  <c r="CJ56" i="50"/>
  <c r="CJ46" i="50"/>
  <c r="CJ50" i="50"/>
  <c r="CJ82" i="19"/>
  <c r="CI51" i="50"/>
  <c r="CJ83" i="19"/>
  <c r="CJ84" i="19"/>
  <c r="CJ86" i="19"/>
  <c r="CJ81" i="19"/>
  <c r="CK22" i="50"/>
  <c r="CK23" i="50"/>
  <c r="CK98" i="50" s="1"/>
  <c r="CL149" i="50"/>
  <c r="CM42" i="31"/>
  <c r="CM6" i="28"/>
  <c r="CM6" i="50"/>
  <c r="CG136" i="50"/>
  <c r="CG134" i="50"/>
  <c r="CG55" i="31"/>
  <c r="CH132" i="50"/>
  <c r="CH133" i="50" s="1"/>
  <c r="CH136" i="50" s="1"/>
  <c r="CH162" i="50"/>
  <c r="CH146" i="50"/>
  <c r="CH158" i="50" s="1"/>
  <c r="CH145" i="50"/>
  <c r="CH157" i="50" s="1"/>
  <c r="CI128" i="50"/>
  <c r="CI130" i="50" s="1"/>
  <c r="CI74" i="50"/>
  <c r="CH144" i="50"/>
  <c r="CH156" i="50" s="1"/>
  <c r="CI72" i="50"/>
  <c r="CM41" i="31"/>
  <c r="CM5" i="28"/>
  <c r="CM5" i="50"/>
  <c r="EP73" i="50"/>
  <c r="CH76" i="50"/>
  <c r="CH77" i="50" s="1"/>
  <c r="CH78" i="50" s="1"/>
  <c r="CH81" i="50" s="1"/>
  <c r="CP139" i="50"/>
  <c r="CO142" i="50"/>
  <c r="CI36" i="50"/>
  <c r="CJ30" i="50"/>
  <c r="CJ31" i="50"/>
  <c r="CJ32" i="50"/>
  <c r="CJ33" i="50"/>
  <c r="CJ34" i="50"/>
  <c r="CG47" i="31"/>
  <c r="CG49" i="31" s="1"/>
  <c r="CI162" i="50" l="1"/>
  <c r="CI105" i="50"/>
  <c r="CI103" i="50"/>
  <c r="CI107" i="50"/>
  <c r="CI104" i="50"/>
  <c r="CI110" i="50"/>
  <c r="CI109" i="50"/>
  <c r="CI108" i="50"/>
  <c r="CI111" i="50"/>
  <c r="CI112" i="50"/>
  <c r="CI106" i="50"/>
  <c r="CI117" i="50"/>
  <c r="CI113" i="50"/>
  <c r="CI119" i="50"/>
  <c r="CI87" i="50"/>
  <c r="CI121" i="50"/>
  <c r="CI122" i="50"/>
  <c r="CI90" i="50"/>
  <c r="CI116" i="50"/>
  <c r="CI120" i="50"/>
  <c r="CI115" i="50"/>
  <c r="CI91" i="50"/>
  <c r="CI92" i="50"/>
  <c r="CI95" i="50"/>
  <c r="CI114" i="50"/>
  <c r="CI118" i="50"/>
  <c r="CI96" i="50"/>
  <c r="CI88" i="50"/>
  <c r="CI86" i="50"/>
  <c r="CI89" i="50"/>
  <c r="CI97" i="50"/>
  <c r="CI93" i="50"/>
  <c r="CI94" i="50"/>
  <c r="CH99" i="50"/>
  <c r="CK61" i="50"/>
  <c r="CK70" i="50" s="1"/>
  <c r="CK59" i="50"/>
  <c r="CK68" i="50" s="1"/>
  <c r="CK65" i="50"/>
  <c r="CK63" i="50"/>
  <c r="CH123" i="50"/>
  <c r="CM21" i="50"/>
  <c r="CM26" i="50" s="1"/>
  <c r="CM161" i="50"/>
  <c r="CK84" i="19"/>
  <c r="CK83" i="19"/>
  <c r="CK45" i="50"/>
  <c r="CK46" i="50"/>
  <c r="CK47" i="50"/>
  <c r="CK50" i="50"/>
  <c r="CK55" i="50"/>
  <c r="CK44" i="50"/>
  <c r="CK49" i="50"/>
  <c r="CK56" i="50"/>
  <c r="CK48" i="50"/>
  <c r="CK82" i="19"/>
  <c r="CK87" i="19"/>
  <c r="CK85" i="19"/>
  <c r="CJ51" i="50"/>
  <c r="CK86" i="19"/>
  <c r="CK88" i="19"/>
  <c r="CK81" i="19"/>
  <c r="CL22" i="50"/>
  <c r="CL23" i="50"/>
  <c r="CL98" i="50" s="1"/>
  <c r="CM149" i="50"/>
  <c r="CH134" i="50"/>
  <c r="CH52" i="31"/>
  <c r="CH54" i="31" s="1"/>
  <c r="CH55" i="31" s="1"/>
  <c r="CN42" i="31"/>
  <c r="CN6" i="28"/>
  <c r="CN6" i="50"/>
  <c r="CH155" i="50"/>
  <c r="CH165" i="50"/>
  <c r="CH166" i="50" s="1"/>
  <c r="CI146" i="50"/>
  <c r="CI158" i="50" s="1"/>
  <c r="CI145" i="50"/>
  <c r="CI157" i="50" s="1"/>
  <c r="CI144" i="50"/>
  <c r="CI156" i="50" s="1"/>
  <c r="CI132" i="50"/>
  <c r="CI133" i="50" s="1"/>
  <c r="CI136" i="50" s="1"/>
  <c r="CI76" i="50"/>
  <c r="CI77" i="50" s="1"/>
  <c r="CI78" i="50" s="1"/>
  <c r="CI81" i="50" s="1"/>
  <c r="CN41" i="31"/>
  <c r="CN5" i="28"/>
  <c r="CN5" i="50"/>
  <c r="CJ74" i="50"/>
  <c r="EQ73" i="50"/>
  <c r="CQ139" i="50"/>
  <c r="CP142" i="50"/>
  <c r="CJ128" i="50"/>
  <c r="CJ130" i="50" s="1"/>
  <c r="CK33" i="50"/>
  <c r="CK34" i="50"/>
  <c r="CK30" i="50"/>
  <c r="CK31" i="50"/>
  <c r="CK32" i="50"/>
  <c r="CJ36" i="50"/>
  <c r="CJ144" i="50" l="1"/>
  <c r="CJ156" i="50" s="1"/>
  <c r="CJ105" i="50"/>
  <c r="CJ103" i="50"/>
  <c r="CJ106" i="50"/>
  <c r="CJ104" i="50"/>
  <c r="CJ113" i="50"/>
  <c r="CJ110" i="50"/>
  <c r="CJ107" i="50"/>
  <c r="CJ111" i="50"/>
  <c r="CJ112" i="50"/>
  <c r="CJ108" i="50"/>
  <c r="CJ114" i="50"/>
  <c r="CJ117" i="50"/>
  <c r="CJ118" i="50"/>
  <c r="CJ120" i="50"/>
  <c r="CJ115" i="50"/>
  <c r="CJ109" i="50"/>
  <c r="CJ87" i="50"/>
  <c r="CJ119" i="50"/>
  <c r="CJ88" i="50"/>
  <c r="CJ116" i="50"/>
  <c r="CJ122" i="50"/>
  <c r="CJ86" i="50"/>
  <c r="CJ89" i="50"/>
  <c r="CJ93" i="50"/>
  <c r="CJ97" i="50"/>
  <c r="CJ91" i="50"/>
  <c r="CJ121" i="50"/>
  <c r="CJ92" i="50"/>
  <c r="CJ90" i="50"/>
  <c r="CJ94" i="50"/>
  <c r="CJ95" i="50"/>
  <c r="CJ96" i="50"/>
  <c r="CI123" i="50"/>
  <c r="CI99" i="50"/>
  <c r="CL61" i="50"/>
  <c r="CL70" i="50" s="1"/>
  <c r="CL59" i="50"/>
  <c r="CL68" i="50" s="1"/>
  <c r="CL65" i="50"/>
  <c r="CL74" i="50" s="1"/>
  <c r="CL63" i="50"/>
  <c r="CN21" i="50"/>
  <c r="CN26" i="50" s="1"/>
  <c r="CN161" i="50"/>
  <c r="CL86" i="19"/>
  <c r="CK51" i="50"/>
  <c r="CL87" i="19"/>
  <c r="CL85" i="19"/>
  <c r="CL45" i="50"/>
  <c r="CL46" i="50"/>
  <c r="CL47" i="50"/>
  <c r="CL49" i="50"/>
  <c r="CL44" i="50"/>
  <c r="CL50" i="50"/>
  <c r="CL55" i="50"/>
  <c r="CL48" i="50"/>
  <c r="CL56" i="50"/>
  <c r="CL82" i="19"/>
  <c r="CL83" i="19"/>
  <c r="CL88" i="19"/>
  <c r="CL84" i="19"/>
  <c r="CL81" i="19"/>
  <c r="CH47" i="31"/>
  <c r="CH49" i="31" s="1"/>
  <c r="CM22" i="50"/>
  <c r="CM23" i="50"/>
  <c r="CM98" i="50" s="1"/>
  <c r="CN149" i="50"/>
  <c r="CO42" i="31"/>
  <c r="CO6" i="28"/>
  <c r="CO6" i="50"/>
  <c r="CI165" i="50"/>
  <c r="CI166" i="50" s="1"/>
  <c r="CI134" i="50"/>
  <c r="CI52" i="31"/>
  <c r="CI54" i="31" s="1"/>
  <c r="CI55" i="31" s="1"/>
  <c r="CI155" i="50"/>
  <c r="CJ76" i="50"/>
  <c r="CJ77" i="50" s="1"/>
  <c r="CJ78" i="50" s="1"/>
  <c r="CJ81" i="50" s="1"/>
  <c r="CO41" i="31"/>
  <c r="CO5" i="28"/>
  <c r="CO5" i="50"/>
  <c r="CJ162" i="50"/>
  <c r="CJ146" i="50"/>
  <c r="CJ158" i="50" s="1"/>
  <c r="CJ145" i="50"/>
  <c r="CJ157" i="50" s="1"/>
  <c r="CJ132" i="50"/>
  <c r="CJ133" i="50" s="1"/>
  <c r="CJ52" i="31" s="1"/>
  <c r="CJ54" i="31" s="1"/>
  <c r="ER73" i="50"/>
  <c r="CR139" i="50"/>
  <c r="CQ142" i="50"/>
  <c r="CK72" i="50"/>
  <c r="CK128" i="50"/>
  <c r="CK130" i="50" s="1"/>
  <c r="CK74" i="50"/>
  <c r="CK36" i="50"/>
  <c r="CL30" i="50"/>
  <c r="CL31" i="50"/>
  <c r="CL32" i="50"/>
  <c r="CL33" i="50"/>
  <c r="CL34" i="50"/>
  <c r="CJ165" i="50" l="1"/>
  <c r="CJ166" i="50" s="1"/>
  <c r="CK162" i="50"/>
  <c r="CK105" i="50"/>
  <c r="CK103" i="50"/>
  <c r="CK104" i="50"/>
  <c r="CK108" i="50"/>
  <c r="CK106" i="50"/>
  <c r="CK107" i="50"/>
  <c r="CK109" i="50"/>
  <c r="CK110" i="50"/>
  <c r="CK111" i="50"/>
  <c r="CK113" i="50"/>
  <c r="CK114" i="50"/>
  <c r="CK112" i="50"/>
  <c r="CK115" i="50"/>
  <c r="CK120" i="50"/>
  <c r="CK116" i="50"/>
  <c r="CK121" i="50"/>
  <c r="CK119" i="50"/>
  <c r="CK89" i="50"/>
  <c r="CK117" i="50"/>
  <c r="CK92" i="50"/>
  <c r="CK93" i="50"/>
  <c r="CK86" i="50"/>
  <c r="CK94" i="50"/>
  <c r="CK97" i="50"/>
  <c r="CK122" i="50"/>
  <c r="CK87" i="50"/>
  <c r="CK88" i="50"/>
  <c r="CK90" i="50"/>
  <c r="CK91" i="50"/>
  <c r="CK118" i="50"/>
  <c r="CK95" i="50"/>
  <c r="CK96" i="50"/>
  <c r="CJ123" i="50"/>
  <c r="CM63" i="50"/>
  <c r="CM61" i="50"/>
  <c r="CM70" i="50" s="1"/>
  <c r="CM59" i="50"/>
  <c r="CM68" i="50" s="1"/>
  <c r="CM65" i="50"/>
  <c r="CM74" i="50" s="1"/>
  <c r="CJ99" i="50"/>
  <c r="CO21" i="50"/>
  <c r="CO26" i="50" s="1"/>
  <c r="CO161" i="50"/>
  <c r="CM84" i="19"/>
  <c r="CM88" i="19"/>
  <c r="CL51" i="50"/>
  <c r="CM83" i="19"/>
  <c r="CM47" i="50"/>
  <c r="CM45" i="50"/>
  <c r="CM44" i="50"/>
  <c r="CM48" i="50"/>
  <c r="CM46" i="50"/>
  <c r="CM50" i="50"/>
  <c r="CM49" i="50"/>
  <c r="CM55" i="50"/>
  <c r="CM56" i="50"/>
  <c r="CM87" i="19"/>
  <c r="CM82" i="19"/>
  <c r="CM85" i="19"/>
  <c r="CM86" i="19"/>
  <c r="CM81" i="19"/>
  <c r="CN22" i="50"/>
  <c r="CN23" i="50"/>
  <c r="CN98" i="50" s="1"/>
  <c r="CO149" i="50"/>
  <c r="CI47" i="31"/>
  <c r="CI49" i="31" s="1"/>
  <c r="CP42" i="31"/>
  <c r="CP6" i="50"/>
  <c r="CP6" i="28"/>
  <c r="CJ55" i="31"/>
  <c r="CJ134" i="50"/>
  <c r="CJ136" i="50"/>
  <c r="CP41" i="31"/>
  <c r="CP5" i="28"/>
  <c r="CP5" i="50"/>
  <c r="CK144" i="50"/>
  <c r="J50" i="4" s="1"/>
  <c r="J55" i="4" s="1"/>
  <c r="CJ155" i="50"/>
  <c r="CK132" i="50"/>
  <c r="CK133" i="50" s="1"/>
  <c r="J49" i="4" s="1"/>
  <c r="ES73" i="50"/>
  <c r="CL72" i="50"/>
  <c r="CL128" i="50"/>
  <c r="CL130" i="50" s="1"/>
  <c r="CS139" i="50"/>
  <c r="CR142" i="50"/>
  <c r="CK76" i="50"/>
  <c r="CK77" i="50" s="1"/>
  <c r="CK78" i="50" s="1"/>
  <c r="CK81" i="50" s="1"/>
  <c r="CK145" i="50"/>
  <c r="CK157" i="50" s="1"/>
  <c r="CK146" i="50"/>
  <c r="CK158" i="50" s="1"/>
  <c r="CL36" i="50"/>
  <c r="CM34" i="50"/>
  <c r="CM30" i="50"/>
  <c r="CM31" i="50"/>
  <c r="CM32" i="50"/>
  <c r="CM33" i="50"/>
  <c r="CJ47" i="31" l="1"/>
  <c r="CJ49" i="31" s="1"/>
  <c r="CN87" i="19"/>
  <c r="CL104" i="50"/>
  <c r="CL105" i="50"/>
  <c r="CL103" i="50"/>
  <c r="CL106" i="50"/>
  <c r="CL107" i="50"/>
  <c r="CL109" i="50"/>
  <c r="CL112" i="50"/>
  <c r="CL108" i="50"/>
  <c r="CL110" i="50"/>
  <c r="CL113" i="50"/>
  <c r="CL116" i="50"/>
  <c r="CL119" i="50"/>
  <c r="CL122" i="50"/>
  <c r="CL114" i="50"/>
  <c r="CL115" i="50"/>
  <c r="CL117" i="50"/>
  <c r="CL118" i="50"/>
  <c r="CL86" i="50"/>
  <c r="CL89" i="50"/>
  <c r="CL111" i="50"/>
  <c r="CL90" i="50"/>
  <c r="CL87" i="50"/>
  <c r="CL88" i="50"/>
  <c r="CL91" i="50"/>
  <c r="CL93" i="50"/>
  <c r="CL120" i="50"/>
  <c r="CL94" i="50"/>
  <c r="CL121" i="50"/>
  <c r="CL95" i="50"/>
  <c r="CL96" i="50"/>
  <c r="CL97" i="50"/>
  <c r="CL92" i="50"/>
  <c r="CN59" i="50"/>
  <c r="CN68" i="50" s="1"/>
  <c r="CN63" i="50"/>
  <c r="CN61" i="50"/>
  <c r="CN70" i="50" s="1"/>
  <c r="CN65" i="50"/>
  <c r="CK123" i="50"/>
  <c r="CK99" i="50"/>
  <c r="CP21" i="50"/>
  <c r="CP26" i="50" s="1"/>
  <c r="CP161" i="50"/>
  <c r="CN85" i="19"/>
  <c r="CN82" i="19"/>
  <c r="CN86" i="19"/>
  <c r="CN83" i="19"/>
  <c r="CN88" i="19"/>
  <c r="CM51" i="50"/>
  <c r="CN44" i="50"/>
  <c r="CN45" i="50"/>
  <c r="CN49" i="50"/>
  <c r="CN46" i="50"/>
  <c r="CN48" i="50"/>
  <c r="CN50" i="50"/>
  <c r="CN47" i="50"/>
  <c r="CN56" i="50"/>
  <c r="CN55" i="50"/>
  <c r="CN84" i="19"/>
  <c r="CN81" i="19"/>
  <c r="CO22" i="50"/>
  <c r="CO23" i="50"/>
  <c r="CO98" i="50" s="1"/>
  <c r="CP149" i="50"/>
  <c r="CQ42" i="31"/>
  <c r="CQ6" i="28"/>
  <c r="CQ6" i="50"/>
  <c r="CK134" i="50"/>
  <c r="CK52" i="31"/>
  <c r="CK54" i="31" s="1"/>
  <c r="CK55" i="31" s="1"/>
  <c r="CK136" i="50"/>
  <c r="J52" i="4"/>
  <c r="J57" i="4" s="1"/>
  <c r="CM128" i="50"/>
  <c r="CM130" i="50" s="1"/>
  <c r="CM72" i="50"/>
  <c r="CL76" i="50"/>
  <c r="CL77" i="50" s="1"/>
  <c r="CL78" i="50" s="1"/>
  <c r="CL81" i="50" s="1"/>
  <c r="CK156" i="50"/>
  <c r="CK165" i="50"/>
  <c r="CL145" i="50"/>
  <c r="CL157" i="50" s="1"/>
  <c r="CL144" i="50"/>
  <c r="CL156" i="50" s="1"/>
  <c r="CQ41" i="31"/>
  <c r="CQ5" i="28"/>
  <c r="CQ5" i="50"/>
  <c r="CK155" i="50"/>
  <c r="CL132" i="50"/>
  <c r="CL133" i="50" s="1"/>
  <c r="CL155" i="50" s="1"/>
  <c r="CL162" i="50"/>
  <c r="CL146" i="50"/>
  <c r="CL158" i="50" s="1"/>
  <c r="ET73" i="50"/>
  <c r="CT139" i="50"/>
  <c r="CS142" i="50"/>
  <c r="J51" i="4"/>
  <c r="J56" i="4" s="1"/>
  <c r="CM36" i="50"/>
  <c r="CN30" i="50"/>
  <c r="CN31" i="50"/>
  <c r="CN32" i="50"/>
  <c r="CN33" i="50"/>
  <c r="CN34" i="50"/>
  <c r="CM104" i="50" l="1"/>
  <c r="CM105" i="50"/>
  <c r="CM103" i="50"/>
  <c r="CM108" i="50"/>
  <c r="CM106" i="50"/>
  <c r="CM107" i="50"/>
  <c r="CM109" i="50"/>
  <c r="CM112" i="50"/>
  <c r="CM111" i="50"/>
  <c r="CM116" i="50"/>
  <c r="CM119" i="50"/>
  <c r="CM117" i="50"/>
  <c r="CM122" i="50"/>
  <c r="CM114" i="50"/>
  <c r="CM118" i="50"/>
  <c r="CM91" i="50"/>
  <c r="CM86" i="50"/>
  <c r="CM113" i="50"/>
  <c r="CM120" i="50"/>
  <c r="CM121" i="50"/>
  <c r="CM87" i="50"/>
  <c r="CM89" i="50"/>
  <c r="CM90" i="50"/>
  <c r="CM88" i="50"/>
  <c r="CM92" i="50"/>
  <c r="CM96" i="50"/>
  <c r="CM110" i="50"/>
  <c r="CM115" i="50"/>
  <c r="CM94" i="50"/>
  <c r="CM95" i="50"/>
  <c r="CM97" i="50"/>
  <c r="CM93" i="50"/>
  <c r="CK47" i="31"/>
  <c r="CK49" i="31" s="1"/>
  <c r="CK166" i="50"/>
  <c r="CL123" i="50"/>
  <c r="CL99" i="50"/>
  <c r="CO61" i="50"/>
  <c r="CO70" i="50" s="1"/>
  <c r="CO63" i="50"/>
  <c r="CO65" i="50"/>
  <c r="CO59" i="50"/>
  <c r="CO68" i="50" s="1"/>
  <c r="CQ21" i="50"/>
  <c r="CQ26" i="50" s="1"/>
  <c r="CQ161" i="50"/>
  <c r="CO86" i="19"/>
  <c r="CO88" i="19"/>
  <c r="CO83" i="19"/>
  <c r="CO44" i="50"/>
  <c r="CO45" i="50"/>
  <c r="CO46" i="50"/>
  <c r="CO47" i="50"/>
  <c r="CO48" i="50"/>
  <c r="CO49" i="50"/>
  <c r="CO50" i="50"/>
  <c r="CO55" i="50"/>
  <c r="CO56" i="50"/>
  <c r="CN51" i="50"/>
  <c r="CO87" i="19"/>
  <c r="CO82" i="19"/>
  <c r="CO84" i="19"/>
  <c r="CO85" i="19"/>
  <c r="CO81" i="19"/>
  <c r="CM144" i="50"/>
  <c r="CM156" i="50" s="1"/>
  <c r="CM132" i="50"/>
  <c r="CM133" i="50" s="1"/>
  <c r="CM134" i="50" s="1"/>
  <c r="CM146" i="50"/>
  <c r="CM158" i="50" s="1"/>
  <c r="CP22" i="50"/>
  <c r="CM162" i="50"/>
  <c r="CM145" i="50"/>
  <c r="CM157" i="50" s="1"/>
  <c r="CP23" i="50"/>
  <c r="CP98" i="50" s="1"/>
  <c r="CQ149" i="50"/>
  <c r="CM76" i="50"/>
  <c r="CM77" i="50" s="1"/>
  <c r="CM78" i="50" s="1"/>
  <c r="CM81" i="50" s="1"/>
  <c r="CL136" i="50"/>
  <c r="CR6" i="50"/>
  <c r="CR42" i="31"/>
  <c r="CR6" i="28"/>
  <c r="CL165" i="50"/>
  <c r="CL166" i="50" s="1"/>
  <c r="CL52" i="31"/>
  <c r="CL54" i="31" s="1"/>
  <c r="CL55" i="31" s="1"/>
  <c r="CL134" i="50"/>
  <c r="CR41" i="31"/>
  <c r="CR5" i="28"/>
  <c r="CR5" i="50"/>
  <c r="EU73" i="50"/>
  <c r="CU139" i="50"/>
  <c r="CT142" i="50"/>
  <c r="CN128" i="50"/>
  <c r="CN130" i="50" s="1"/>
  <c r="CN74" i="50"/>
  <c r="CN72" i="50"/>
  <c r="CN36" i="50"/>
  <c r="CO33" i="50"/>
  <c r="CO34" i="50"/>
  <c r="CO30" i="50"/>
  <c r="CO31" i="50"/>
  <c r="CO32" i="50"/>
  <c r="CN132" i="50" l="1"/>
  <c r="CN133" i="50" s="1"/>
  <c r="CN104" i="50"/>
  <c r="CN103" i="50"/>
  <c r="CN106" i="50"/>
  <c r="CN107" i="50"/>
  <c r="CN105" i="50"/>
  <c r="CN108" i="50"/>
  <c r="CN109" i="50"/>
  <c r="CN110" i="50"/>
  <c r="CN112" i="50"/>
  <c r="CN113" i="50"/>
  <c r="CN118" i="50"/>
  <c r="CN114" i="50"/>
  <c r="CN119" i="50"/>
  <c r="CN120" i="50"/>
  <c r="CN88" i="50"/>
  <c r="CN91" i="50"/>
  <c r="CN117" i="50"/>
  <c r="CN116" i="50"/>
  <c r="CN122" i="50"/>
  <c r="CN92" i="50"/>
  <c r="CN115" i="50"/>
  <c r="CN121" i="50"/>
  <c r="CN86" i="50"/>
  <c r="CN87" i="50"/>
  <c r="CN111" i="50"/>
  <c r="CN96" i="50"/>
  <c r="CN97" i="50"/>
  <c r="CN90" i="50"/>
  <c r="CN93" i="50"/>
  <c r="CN94" i="50"/>
  <c r="CN95" i="50"/>
  <c r="CN89" i="50"/>
  <c r="CP61" i="50"/>
  <c r="CP70" i="50" s="1"/>
  <c r="CP65" i="50"/>
  <c r="CP63" i="50"/>
  <c r="CP59" i="50"/>
  <c r="CP68" i="50" s="1"/>
  <c r="CM99" i="50"/>
  <c r="CM123" i="50"/>
  <c r="CR21" i="50"/>
  <c r="CR26" i="50" s="1"/>
  <c r="CR161" i="50"/>
  <c r="CL47" i="31"/>
  <c r="CL49" i="31" s="1"/>
  <c r="CP86" i="19"/>
  <c r="CP82" i="19"/>
  <c r="CP87" i="19"/>
  <c r="CP84" i="19"/>
  <c r="CO51" i="50"/>
  <c r="CP83" i="19"/>
  <c r="CP46" i="50"/>
  <c r="CP44" i="50"/>
  <c r="CP47" i="50"/>
  <c r="CP48" i="50"/>
  <c r="CP45" i="50"/>
  <c r="CP55" i="50"/>
  <c r="CP50" i="50"/>
  <c r="CP49" i="50"/>
  <c r="CP56" i="50"/>
  <c r="CP85" i="19"/>
  <c r="CP88" i="19"/>
  <c r="CM155" i="50"/>
  <c r="CM52" i="31"/>
  <c r="CM54" i="31" s="1"/>
  <c r="CM55" i="31" s="1"/>
  <c r="CM136" i="50"/>
  <c r="CP81" i="19"/>
  <c r="CM165" i="50"/>
  <c r="CQ22" i="50"/>
  <c r="CQ23" i="50"/>
  <c r="CQ98" i="50" s="1"/>
  <c r="CR149" i="50"/>
  <c r="CN146" i="50"/>
  <c r="CN158" i="50" s="1"/>
  <c r="CS6" i="28"/>
  <c r="CS42" i="31"/>
  <c r="CS6" i="50"/>
  <c r="CO72" i="50"/>
  <c r="CO128" i="50"/>
  <c r="CO130" i="50" s="1"/>
  <c r="CO74" i="50"/>
  <c r="CS5" i="28"/>
  <c r="CS41" i="31"/>
  <c r="CS5" i="50"/>
  <c r="CN162" i="50"/>
  <c r="CN144" i="50"/>
  <c r="CN156" i="50" s="1"/>
  <c r="EV73" i="50"/>
  <c r="CN145" i="50"/>
  <c r="CN157" i="50" s="1"/>
  <c r="CN76" i="50"/>
  <c r="CN77" i="50" s="1"/>
  <c r="CN78" i="50" s="1"/>
  <c r="CN81" i="50" s="1"/>
  <c r="CV139" i="50"/>
  <c r="CU142" i="50"/>
  <c r="CO36" i="50"/>
  <c r="CP34" i="50"/>
  <c r="CP30" i="50"/>
  <c r="CP31" i="50"/>
  <c r="CP32" i="50"/>
  <c r="CP33" i="50"/>
  <c r="CN52" i="31"/>
  <c r="CN54" i="31" s="1"/>
  <c r="CN134" i="50"/>
  <c r="CN136" i="50"/>
  <c r="CN155" i="50"/>
  <c r="CO103" i="50" l="1"/>
  <c r="CO104" i="50"/>
  <c r="CO106" i="50"/>
  <c r="CO107" i="50"/>
  <c r="CO105" i="50"/>
  <c r="CO108" i="50"/>
  <c r="CO110" i="50"/>
  <c r="CO111" i="50"/>
  <c r="CO109" i="50"/>
  <c r="CO115" i="50"/>
  <c r="CO118" i="50"/>
  <c r="CO121" i="50"/>
  <c r="CO112" i="50"/>
  <c r="CO113" i="50"/>
  <c r="CO116" i="50"/>
  <c r="CO120" i="50"/>
  <c r="CO114" i="50"/>
  <c r="CO88" i="50"/>
  <c r="CO89" i="50"/>
  <c r="CO119" i="50"/>
  <c r="CO86" i="50"/>
  <c r="CO87" i="50"/>
  <c r="CO93" i="50"/>
  <c r="CO117" i="50"/>
  <c r="CO92" i="50"/>
  <c r="CO94" i="50"/>
  <c r="CO90" i="50"/>
  <c r="CO96" i="50"/>
  <c r="CO97" i="50"/>
  <c r="CO91" i="50"/>
  <c r="CO95" i="50"/>
  <c r="CO122" i="50"/>
  <c r="CM47" i="31"/>
  <c r="CM49" i="31" s="1"/>
  <c r="CM166" i="50"/>
  <c r="CN123" i="50"/>
  <c r="CN99" i="50"/>
  <c r="CQ59" i="50"/>
  <c r="CQ68" i="50" s="1"/>
  <c r="CQ61" i="50"/>
  <c r="CQ70" i="50" s="1"/>
  <c r="CQ65" i="50"/>
  <c r="CQ74" i="50" s="1"/>
  <c r="CQ63" i="50"/>
  <c r="CS21" i="50"/>
  <c r="CS26" i="50" s="1"/>
  <c r="CS161" i="50"/>
  <c r="CQ85" i="19"/>
  <c r="CQ83" i="19"/>
  <c r="CQ86" i="19"/>
  <c r="CP51" i="50"/>
  <c r="CQ46" i="50"/>
  <c r="CQ44" i="50"/>
  <c r="CQ47" i="50"/>
  <c r="CQ48" i="50"/>
  <c r="CQ55" i="50"/>
  <c r="CQ56" i="50"/>
  <c r="CQ45" i="50"/>
  <c r="CQ49" i="50"/>
  <c r="CQ50" i="50"/>
  <c r="CQ87" i="19"/>
  <c r="CQ82" i="19"/>
  <c r="CQ88" i="19"/>
  <c r="CQ84" i="19"/>
  <c r="CQ81" i="19"/>
  <c r="CR23" i="50"/>
  <c r="CR98" i="50" s="1"/>
  <c r="CR22" i="50"/>
  <c r="CS149" i="50"/>
  <c r="CT6" i="28"/>
  <c r="CT42" i="31"/>
  <c r="CT6" i="50"/>
  <c r="CN55" i="31"/>
  <c r="CO76" i="50"/>
  <c r="CO77" i="50" s="1"/>
  <c r="CO78" i="50" s="1"/>
  <c r="CO81" i="50" s="1"/>
  <c r="CO146" i="50"/>
  <c r="CO158" i="50" s="1"/>
  <c r="CO162" i="50"/>
  <c r="CO145" i="50"/>
  <c r="CO157" i="50" s="1"/>
  <c r="CO144" i="50"/>
  <c r="CO156" i="50" s="1"/>
  <c r="CO132" i="50"/>
  <c r="CO133" i="50" s="1"/>
  <c r="CO52" i="31" s="1"/>
  <c r="CO54" i="31" s="1"/>
  <c r="CN165" i="50"/>
  <c r="CT41" i="31"/>
  <c r="CT5" i="28"/>
  <c r="CT5" i="50"/>
  <c r="EW73" i="50"/>
  <c r="CW139" i="50"/>
  <c r="CV142" i="50"/>
  <c r="CP74" i="50"/>
  <c r="CP128" i="50"/>
  <c r="CP130" i="50" s="1"/>
  <c r="CP72" i="50"/>
  <c r="CP36" i="50"/>
  <c r="CQ34" i="50"/>
  <c r="CQ30" i="50"/>
  <c r="CQ31" i="50"/>
  <c r="CQ32" i="50"/>
  <c r="CQ33" i="50"/>
  <c r="CP103" i="50" l="1"/>
  <c r="CP106" i="50"/>
  <c r="CP104" i="50"/>
  <c r="CP105" i="50"/>
  <c r="CP110" i="50"/>
  <c r="CP108" i="50"/>
  <c r="CP107" i="50"/>
  <c r="CP111" i="50"/>
  <c r="CP109" i="50"/>
  <c r="CP112" i="50"/>
  <c r="CP113" i="50"/>
  <c r="CP115" i="50"/>
  <c r="CP116" i="50"/>
  <c r="CP119" i="50"/>
  <c r="CP121" i="50"/>
  <c r="CP122" i="50"/>
  <c r="CP90" i="50"/>
  <c r="CP118" i="50"/>
  <c r="CP93" i="50"/>
  <c r="CP114" i="50"/>
  <c r="CP117" i="50"/>
  <c r="CP86" i="50"/>
  <c r="CP88" i="50"/>
  <c r="CP87" i="50"/>
  <c r="CP95" i="50"/>
  <c r="CP120" i="50"/>
  <c r="CP92" i="50"/>
  <c r="CP94" i="50"/>
  <c r="CP96" i="50"/>
  <c r="CP91" i="50"/>
  <c r="CP97" i="50"/>
  <c r="CP89" i="50"/>
  <c r="CN47" i="31"/>
  <c r="CN49" i="31" s="1"/>
  <c r="CN166" i="50"/>
  <c r="CO123" i="50"/>
  <c r="CR59" i="50"/>
  <c r="CR68" i="50" s="1"/>
  <c r="CR63" i="50"/>
  <c r="CR61" i="50"/>
  <c r="CR70" i="50" s="1"/>
  <c r="CR65" i="50"/>
  <c r="CO99" i="50"/>
  <c r="CT21" i="50"/>
  <c r="CT26" i="50" s="1"/>
  <c r="CT161" i="50"/>
  <c r="CR88" i="19"/>
  <c r="CR82" i="19"/>
  <c r="CR87" i="19"/>
  <c r="CR86" i="19"/>
  <c r="CQ51" i="50"/>
  <c r="CR44" i="50"/>
  <c r="CR45" i="50"/>
  <c r="CR47" i="50"/>
  <c r="CR48" i="50"/>
  <c r="CR49" i="50"/>
  <c r="CR46" i="50"/>
  <c r="CR55" i="50"/>
  <c r="CR50" i="50"/>
  <c r="CR56" i="50"/>
  <c r="CR83" i="19"/>
  <c r="CR84" i="19"/>
  <c r="CR85" i="19"/>
  <c r="CR81" i="19"/>
  <c r="CS22" i="50"/>
  <c r="CS23" i="50"/>
  <c r="CS98" i="50" s="1"/>
  <c r="CT149" i="50"/>
  <c r="CO55" i="31"/>
  <c r="CU42" i="31"/>
  <c r="CU6" i="28"/>
  <c r="CU6" i="50"/>
  <c r="CO165" i="50"/>
  <c r="CO155" i="50"/>
  <c r="CO136" i="50"/>
  <c r="CO134" i="50"/>
  <c r="CQ72" i="50"/>
  <c r="CQ128" i="50"/>
  <c r="CQ130" i="50" s="1"/>
  <c r="CU41" i="31"/>
  <c r="CU5" i="28"/>
  <c r="CU5" i="50"/>
  <c r="EX73" i="50"/>
  <c r="CP162" i="50"/>
  <c r="CP146" i="50"/>
  <c r="CP158" i="50" s="1"/>
  <c r="CP145" i="50"/>
  <c r="CP157" i="50" s="1"/>
  <c r="CP132" i="50"/>
  <c r="CP133" i="50" s="1"/>
  <c r="CP52" i="31" s="1"/>
  <c r="CP54" i="31" s="1"/>
  <c r="CP144" i="50"/>
  <c r="CP156" i="50" s="1"/>
  <c r="CW142" i="50"/>
  <c r="CX139" i="50"/>
  <c r="CP76" i="50"/>
  <c r="CP77" i="50" s="1"/>
  <c r="CQ36" i="50"/>
  <c r="CR30" i="50"/>
  <c r="CR31" i="50"/>
  <c r="CR32" i="50"/>
  <c r="CR33" i="50"/>
  <c r="CR34" i="50"/>
  <c r="CQ145" i="50" l="1"/>
  <c r="CQ157" i="50" s="1"/>
  <c r="CQ105" i="50"/>
  <c r="CQ103" i="50"/>
  <c r="CQ106" i="50"/>
  <c r="CQ107" i="50"/>
  <c r="CQ104" i="50"/>
  <c r="CQ110" i="50"/>
  <c r="CQ108" i="50"/>
  <c r="CQ111" i="50"/>
  <c r="CQ112" i="50"/>
  <c r="CQ109" i="50"/>
  <c r="CQ113" i="50"/>
  <c r="CQ117" i="50"/>
  <c r="CQ114" i="50"/>
  <c r="CQ115" i="50"/>
  <c r="CQ87" i="50"/>
  <c r="CQ90" i="50"/>
  <c r="CQ118" i="50"/>
  <c r="CQ91" i="50"/>
  <c r="CQ119" i="50"/>
  <c r="CQ121" i="50"/>
  <c r="CQ116" i="50"/>
  <c r="CQ86" i="50"/>
  <c r="CQ88" i="50"/>
  <c r="CQ89" i="50"/>
  <c r="CQ93" i="50"/>
  <c r="CQ95" i="50"/>
  <c r="CQ120" i="50"/>
  <c r="CQ122" i="50"/>
  <c r="CQ96" i="50"/>
  <c r="CQ94" i="50"/>
  <c r="CQ97" i="50"/>
  <c r="CQ92" i="50"/>
  <c r="CO47" i="31"/>
  <c r="CO49" i="31" s="1"/>
  <c r="CO166" i="50"/>
  <c r="CP99" i="50"/>
  <c r="CP123" i="50"/>
  <c r="CS61" i="50"/>
  <c r="CS70" i="50" s="1"/>
  <c r="CS59" i="50"/>
  <c r="CS68" i="50" s="1"/>
  <c r="CS63" i="50"/>
  <c r="CS65" i="50"/>
  <c r="CU21" i="50"/>
  <c r="CU26" i="50" s="1"/>
  <c r="CU161" i="50"/>
  <c r="CS84" i="19"/>
  <c r="CS83" i="19"/>
  <c r="CS45" i="50"/>
  <c r="CS46" i="50"/>
  <c r="CS47" i="50"/>
  <c r="CS49" i="50"/>
  <c r="CS50" i="50"/>
  <c r="CS48" i="50"/>
  <c r="CS55" i="50"/>
  <c r="CS44" i="50"/>
  <c r="CS56" i="50"/>
  <c r="CR51" i="50"/>
  <c r="CS86" i="19"/>
  <c r="CS87" i="19"/>
  <c r="CS82" i="19"/>
  <c r="CS85" i="19"/>
  <c r="CS88" i="19"/>
  <c r="CS81" i="19"/>
  <c r="CT23" i="50"/>
  <c r="CT98" i="50" s="1"/>
  <c r="CT22" i="50"/>
  <c r="CU149" i="50"/>
  <c r="CP55" i="31"/>
  <c r="CQ144" i="50"/>
  <c r="CQ156" i="50" s="1"/>
  <c r="CQ132" i="50"/>
  <c r="CQ133" i="50" s="1"/>
  <c r="CQ136" i="50" s="1"/>
  <c r="CV6" i="50"/>
  <c r="CV42" i="31"/>
  <c r="CV6" i="28"/>
  <c r="CR128" i="50"/>
  <c r="CR130" i="50" s="1"/>
  <c r="CQ76" i="50"/>
  <c r="CQ77" i="50" s="1"/>
  <c r="CQ78" i="50" s="1"/>
  <c r="CQ81" i="50" s="1"/>
  <c r="CR74" i="50"/>
  <c r="CR72" i="50"/>
  <c r="CQ162" i="50"/>
  <c r="CQ146" i="50"/>
  <c r="CQ158" i="50" s="1"/>
  <c r="CV41" i="31"/>
  <c r="CV5" i="28"/>
  <c r="CV5" i="50"/>
  <c r="EY73" i="50"/>
  <c r="CP155" i="50"/>
  <c r="CP136" i="50"/>
  <c r="CP165" i="50"/>
  <c r="CP134" i="50"/>
  <c r="CY139" i="50"/>
  <c r="CX142" i="50"/>
  <c r="CP78" i="50"/>
  <c r="CP81" i="50" s="1"/>
  <c r="CR36" i="50"/>
  <c r="CS33" i="50"/>
  <c r="CS34" i="50"/>
  <c r="CS30" i="50"/>
  <c r="CS31" i="50"/>
  <c r="CS32" i="50"/>
  <c r="CR105" i="50" l="1"/>
  <c r="CR103" i="50"/>
  <c r="CR106" i="50"/>
  <c r="CR104" i="50"/>
  <c r="CR110" i="50"/>
  <c r="CR113" i="50"/>
  <c r="CR108" i="50"/>
  <c r="CR109" i="50"/>
  <c r="CR114" i="50"/>
  <c r="CR117" i="50"/>
  <c r="CR111" i="50"/>
  <c r="CR118" i="50"/>
  <c r="CR115" i="50"/>
  <c r="CR116" i="50"/>
  <c r="CR120" i="50"/>
  <c r="CR119" i="50"/>
  <c r="CR87" i="50"/>
  <c r="CR107" i="50"/>
  <c r="CR88" i="50"/>
  <c r="CR112" i="50"/>
  <c r="CR122" i="50"/>
  <c r="CR121" i="50"/>
  <c r="CR90" i="50"/>
  <c r="CR91" i="50"/>
  <c r="CR86" i="50"/>
  <c r="CR89" i="50"/>
  <c r="CR93" i="50"/>
  <c r="CR92" i="50"/>
  <c r="CR96" i="50"/>
  <c r="CR95" i="50"/>
  <c r="CR94" i="50"/>
  <c r="CR97" i="50"/>
  <c r="CP47" i="31"/>
  <c r="CP49" i="31" s="1"/>
  <c r="CP166" i="50"/>
  <c r="CQ123" i="50"/>
  <c r="CQ99" i="50"/>
  <c r="CT61" i="50"/>
  <c r="CT70" i="50" s="1"/>
  <c r="CT59" i="50"/>
  <c r="CT68" i="50" s="1"/>
  <c r="CT63" i="50"/>
  <c r="CT65" i="50"/>
  <c r="CV21" i="50"/>
  <c r="CV26" i="50" s="1"/>
  <c r="CV161" i="50"/>
  <c r="CT85" i="19"/>
  <c r="CT87" i="19"/>
  <c r="CT86" i="19"/>
  <c r="CT82" i="19"/>
  <c r="CT45" i="50"/>
  <c r="CT46" i="50"/>
  <c r="CT47" i="50"/>
  <c r="CT44" i="50"/>
  <c r="CT49" i="50"/>
  <c r="CT50" i="50"/>
  <c r="CT48" i="50"/>
  <c r="CT55" i="50"/>
  <c r="CT56" i="50"/>
  <c r="CS51" i="50"/>
  <c r="CT84" i="19"/>
  <c r="CT88" i="19"/>
  <c r="CT83" i="19"/>
  <c r="CR132" i="50"/>
  <c r="CR133" i="50" s="1"/>
  <c r="CR136" i="50" s="1"/>
  <c r="CQ155" i="50"/>
  <c r="CR146" i="50"/>
  <c r="CR158" i="50" s="1"/>
  <c r="CT81" i="19"/>
  <c r="CR162" i="50"/>
  <c r="CR144" i="50"/>
  <c r="CR156" i="50" s="1"/>
  <c r="CR145" i="50"/>
  <c r="CR157" i="50" s="1"/>
  <c r="CU22" i="50"/>
  <c r="CU23" i="50"/>
  <c r="CU98" i="50" s="1"/>
  <c r="CV149" i="50"/>
  <c r="CQ52" i="31"/>
  <c r="CQ54" i="31" s="1"/>
  <c r="CQ55" i="31" s="1"/>
  <c r="CQ134" i="50"/>
  <c r="CQ165" i="50"/>
  <c r="CQ166" i="50" s="1"/>
  <c r="CS128" i="50"/>
  <c r="CS130" i="50" s="1"/>
  <c r="CS74" i="50"/>
  <c r="CS72" i="50"/>
  <c r="CW42" i="31"/>
  <c r="CW6" i="28"/>
  <c r="CW6" i="50"/>
  <c r="CR76" i="50"/>
  <c r="CR77" i="50" s="1"/>
  <c r="CR78" i="50" s="1"/>
  <c r="CR81" i="50" s="1"/>
  <c r="CW41" i="31"/>
  <c r="CW5" i="28"/>
  <c r="CW5" i="50"/>
  <c r="EZ73" i="50"/>
  <c r="CZ139" i="50"/>
  <c r="CY142" i="50"/>
  <c r="CS36" i="50"/>
  <c r="CT30" i="50"/>
  <c r="CT31" i="50"/>
  <c r="CT32" i="50"/>
  <c r="CT33" i="50"/>
  <c r="CT34" i="50"/>
  <c r="CR134" i="50"/>
  <c r="CS105" i="50" l="1"/>
  <c r="CS103" i="50"/>
  <c r="CS104" i="50"/>
  <c r="CS108" i="50"/>
  <c r="CS106" i="50"/>
  <c r="CS109" i="50"/>
  <c r="CS107" i="50"/>
  <c r="CS111" i="50"/>
  <c r="CS112" i="50"/>
  <c r="CS113" i="50"/>
  <c r="CS114" i="50"/>
  <c r="CS110" i="50"/>
  <c r="CS115" i="50"/>
  <c r="CS117" i="50"/>
  <c r="CS118" i="50"/>
  <c r="CS119" i="50"/>
  <c r="CS116" i="50"/>
  <c r="CS120" i="50"/>
  <c r="CS121" i="50"/>
  <c r="CS122" i="50"/>
  <c r="CS89" i="50"/>
  <c r="CS92" i="50"/>
  <c r="CS93" i="50"/>
  <c r="CS94" i="50"/>
  <c r="CS87" i="50"/>
  <c r="CS88" i="50"/>
  <c r="CS90" i="50"/>
  <c r="CS91" i="50"/>
  <c r="CS97" i="50"/>
  <c r="CS86" i="50"/>
  <c r="CS95" i="50"/>
  <c r="CS96" i="50"/>
  <c r="CR99" i="50"/>
  <c r="CU63" i="50"/>
  <c r="CU61" i="50"/>
  <c r="CU70" i="50" s="1"/>
  <c r="CU59" i="50"/>
  <c r="CU68" i="50" s="1"/>
  <c r="CU65" i="50"/>
  <c r="CR123" i="50"/>
  <c r="CW21" i="50"/>
  <c r="CW26" i="50" s="1"/>
  <c r="CW161" i="50"/>
  <c r="CU88" i="19"/>
  <c r="CU86" i="19"/>
  <c r="CU84" i="19"/>
  <c r="CT51" i="50"/>
  <c r="CU85" i="19"/>
  <c r="CU47" i="50"/>
  <c r="CU45" i="50"/>
  <c r="CU44" i="50"/>
  <c r="CU46" i="50"/>
  <c r="CU48" i="50"/>
  <c r="CU49" i="50"/>
  <c r="CU50" i="50"/>
  <c r="CU55" i="50"/>
  <c r="CU56" i="50"/>
  <c r="CU87" i="19"/>
  <c r="CU83" i="19"/>
  <c r="CU82" i="19"/>
  <c r="CR52" i="31"/>
  <c r="CR54" i="31" s="1"/>
  <c r="CR55" i="31" s="1"/>
  <c r="CR155" i="50"/>
  <c r="CR165" i="50"/>
  <c r="CU81" i="19"/>
  <c r="CQ47" i="31"/>
  <c r="CQ49" i="31" s="1"/>
  <c r="CS162" i="50"/>
  <c r="CS76" i="50"/>
  <c r="CS77" i="50" s="1"/>
  <c r="CS78" i="50" s="1"/>
  <c r="CS81" i="50" s="1"/>
  <c r="CV22" i="50"/>
  <c r="CS144" i="50"/>
  <c r="CS156" i="50" s="1"/>
  <c r="CS132" i="50"/>
  <c r="CS133" i="50" s="1"/>
  <c r="CS52" i="31" s="1"/>
  <c r="CS54" i="31" s="1"/>
  <c r="CS146" i="50"/>
  <c r="CS158" i="50" s="1"/>
  <c r="CS145" i="50"/>
  <c r="CS157" i="50" s="1"/>
  <c r="CV23" i="50"/>
  <c r="CV98" i="50" s="1"/>
  <c r="CW149" i="50"/>
  <c r="CX42" i="31"/>
  <c r="CX6" i="28"/>
  <c r="CX6" i="50"/>
  <c r="CX41" i="31"/>
  <c r="CX5" i="28"/>
  <c r="CX5" i="50"/>
  <c r="FA73" i="50"/>
  <c r="CT74" i="50"/>
  <c r="CT72" i="50"/>
  <c r="CT128" i="50"/>
  <c r="CT130" i="50" s="1"/>
  <c r="DA139" i="50"/>
  <c r="CZ142" i="50"/>
  <c r="CT36" i="50"/>
  <c r="CU33" i="50"/>
  <c r="CU34" i="50"/>
  <c r="CU30" i="50"/>
  <c r="CU31" i="50"/>
  <c r="CU32" i="50"/>
  <c r="CT104" i="50" l="1"/>
  <c r="CT105" i="50"/>
  <c r="CT103" i="50"/>
  <c r="CT109" i="50"/>
  <c r="CT106" i="50"/>
  <c r="CT108" i="50"/>
  <c r="CT112" i="50"/>
  <c r="CT110" i="50"/>
  <c r="CT111" i="50"/>
  <c r="CT113" i="50"/>
  <c r="CT107" i="50"/>
  <c r="CT116" i="50"/>
  <c r="CT122" i="50"/>
  <c r="CT114" i="50"/>
  <c r="CT115" i="50"/>
  <c r="CT117" i="50"/>
  <c r="CT118" i="50"/>
  <c r="CT119" i="50"/>
  <c r="CT120" i="50"/>
  <c r="CT121" i="50"/>
  <c r="CT86" i="50"/>
  <c r="CT89" i="50"/>
  <c r="CT90" i="50"/>
  <c r="CT92" i="50"/>
  <c r="CT94" i="50"/>
  <c r="CT87" i="50"/>
  <c r="CT88" i="50"/>
  <c r="CT91" i="50"/>
  <c r="CT95" i="50"/>
  <c r="CT93" i="50"/>
  <c r="CT96" i="50"/>
  <c r="CT97" i="50"/>
  <c r="CR47" i="31"/>
  <c r="CR49" i="31" s="1"/>
  <c r="CR166" i="50"/>
  <c r="CS123" i="50"/>
  <c r="CV59" i="50"/>
  <c r="CV68" i="50" s="1"/>
  <c r="CV63" i="50"/>
  <c r="CV61" i="50"/>
  <c r="CV70" i="50" s="1"/>
  <c r="CV65" i="50"/>
  <c r="CS99" i="50"/>
  <c r="CX21" i="50"/>
  <c r="CX26" i="50" s="1"/>
  <c r="CX161" i="50"/>
  <c r="CV83" i="19"/>
  <c r="CV87" i="19"/>
  <c r="CU51" i="50"/>
  <c r="CV85" i="19"/>
  <c r="CV84" i="19"/>
  <c r="CV44" i="50"/>
  <c r="CV45" i="50"/>
  <c r="CV46" i="50"/>
  <c r="CV49" i="50"/>
  <c r="CV47" i="50"/>
  <c r="CV48" i="50"/>
  <c r="CV50" i="50"/>
  <c r="CV55" i="50"/>
  <c r="CV56" i="50"/>
  <c r="CV86" i="19"/>
  <c r="CV82" i="19"/>
  <c r="CV88" i="19"/>
  <c r="CS55" i="31"/>
  <c r="CV81" i="19"/>
  <c r="CS165" i="50"/>
  <c r="CS166" i="50" s="1"/>
  <c r="CS155" i="50"/>
  <c r="CS136" i="50"/>
  <c r="CS134" i="50"/>
  <c r="CW22" i="50"/>
  <c r="CW23" i="50"/>
  <c r="CW98" i="50" s="1"/>
  <c r="CX149" i="50"/>
  <c r="CU128" i="50"/>
  <c r="CU130" i="50" s="1"/>
  <c r="CU74" i="50"/>
  <c r="CY42" i="31"/>
  <c r="CY6" i="28"/>
  <c r="CY6" i="50"/>
  <c r="CT76" i="50"/>
  <c r="CT77" i="50" s="1"/>
  <c r="CT78" i="50" s="1"/>
  <c r="CT81" i="50" s="1"/>
  <c r="CY41" i="31"/>
  <c r="CY5" i="28"/>
  <c r="CY5" i="50"/>
  <c r="FB73" i="50"/>
  <c r="CU72" i="50"/>
  <c r="CT162" i="50"/>
  <c r="CT146" i="50"/>
  <c r="CT158" i="50" s="1"/>
  <c r="CT144" i="50"/>
  <c r="CT165" i="50" s="1"/>
  <c r="CT166" i="50" s="1"/>
  <c r="CT145" i="50"/>
  <c r="CT157" i="50" s="1"/>
  <c r="CT132" i="50"/>
  <c r="CT133" i="50" s="1"/>
  <c r="CT134" i="50" s="1"/>
  <c r="DB139" i="50"/>
  <c r="DA142" i="50"/>
  <c r="CU36" i="50"/>
  <c r="CV30" i="50"/>
  <c r="CV31" i="50"/>
  <c r="CV32" i="50"/>
  <c r="CV33" i="50"/>
  <c r="CV34" i="50"/>
  <c r="CU132" i="50" l="1"/>
  <c r="CU133" i="50" s="1"/>
  <c r="CU104" i="50"/>
  <c r="CU105" i="50"/>
  <c r="CU103" i="50"/>
  <c r="CU109" i="50"/>
  <c r="CU108" i="50"/>
  <c r="CU112" i="50"/>
  <c r="CU110" i="50"/>
  <c r="CU106" i="50"/>
  <c r="CU111" i="50"/>
  <c r="CU113" i="50"/>
  <c r="CU116" i="50"/>
  <c r="CU119" i="50"/>
  <c r="CU117" i="50"/>
  <c r="CU122" i="50"/>
  <c r="CU107" i="50"/>
  <c r="CU91" i="50"/>
  <c r="CU115" i="50"/>
  <c r="CU120" i="50"/>
  <c r="CU121" i="50"/>
  <c r="CU86" i="50"/>
  <c r="CU87" i="50"/>
  <c r="CU96" i="50"/>
  <c r="CU89" i="50"/>
  <c r="CU90" i="50"/>
  <c r="CU118" i="50"/>
  <c r="CU93" i="50"/>
  <c r="CU114" i="50"/>
  <c r="CU97" i="50"/>
  <c r="CU88" i="50"/>
  <c r="CU94" i="50"/>
  <c r="CU95" i="50"/>
  <c r="CU92" i="50"/>
  <c r="CW61" i="50"/>
  <c r="CW70" i="50" s="1"/>
  <c r="CW59" i="50"/>
  <c r="CW68" i="50" s="1"/>
  <c r="CW65" i="50"/>
  <c r="CW63" i="50"/>
  <c r="CT123" i="50"/>
  <c r="CT99" i="50"/>
  <c r="CY21" i="50"/>
  <c r="CY26" i="50" s="1"/>
  <c r="CY161" i="50"/>
  <c r="CW88" i="19"/>
  <c r="CW86" i="19"/>
  <c r="CW87" i="19"/>
  <c r="CV51" i="50"/>
  <c r="CW44" i="50"/>
  <c r="CW45" i="50"/>
  <c r="CW46" i="50"/>
  <c r="CW48" i="50"/>
  <c r="CW49" i="50"/>
  <c r="CW50" i="50"/>
  <c r="CW47" i="50"/>
  <c r="CW55" i="50"/>
  <c r="CW56" i="50"/>
  <c r="CW83" i="19"/>
  <c r="CW84" i="19"/>
  <c r="CW82" i="19"/>
  <c r="CW85" i="19"/>
  <c r="CS47" i="31"/>
  <c r="CS49" i="31" s="1"/>
  <c r="CW81" i="19"/>
  <c r="CU162" i="50"/>
  <c r="CU146" i="50"/>
  <c r="CU158" i="50" s="1"/>
  <c r="CU145" i="50"/>
  <c r="CU157" i="50" s="1"/>
  <c r="CU144" i="50"/>
  <c r="CU156" i="50" s="1"/>
  <c r="CX22" i="50"/>
  <c r="CX23" i="50"/>
  <c r="CX98" i="50" s="1"/>
  <c r="CY149" i="50"/>
  <c r="CZ42" i="31"/>
  <c r="CZ6" i="28"/>
  <c r="CZ6" i="50"/>
  <c r="CU76" i="50"/>
  <c r="CU77" i="50" s="1"/>
  <c r="CU78" i="50" s="1"/>
  <c r="CU81" i="50" s="1"/>
  <c r="CW128" i="50"/>
  <c r="CW130" i="50" s="1"/>
  <c r="CZ41" i="31"/>
  <c r="CZ5" i="28"/>
  <c r="CZ5" i="50"/>
  <c r="CV128" i="50"/>
  <c r="CV130" i="50" s="1"/>
  <c r="CT156" i="50"/>
  <c r="FC73" i="50"/>
  <c r="CV74" i="50"/>
  <c r="CT155" i="50"/>
  <c r="CT136" i="50"/>
  <c r="CT52" i="31"/>
  <c r="CT54" i="31" s="1"/>
  <c r="CT55" i="31" s="1"/>
  <c r="CV72" i="50"/>
  <c r="DC139" i="50"/>
  <c r="DB142" i="50"/>
  <c r="CV36" i="50"/>
  <c r="CW33" i="50"/>
  <c r="CW34" i="50"/>
  <c r="CW30" i="50"/>
  <c r="CW31" i="50"/>
  <c r="CW32" i="50"/>
  <c r="CT47" i="31"/>
  <c r="CT49" i="31" s="1"/>
  <c r="CU52" i="31"/>
  <c r="CU54" i="31" s="1"/>
  <c r="CU134" i="50"/>
  <c r="CU136" i="50"/>
  <c r="CU155" i="50"/>
  <c r="CV104" i="50" l="1"/>
  <c r="CV103" i="50"/>
  <c r="CV107" i="50"/>
  <c r="CV108" i="50"/>
  <c r="CV105" i="50"/>
  <c r="CV109" i="50"/>
  <c r="CV106" i="50"/>
  <c r="CV112" i="50"/>
  <c r="CV111" i="50"/>
  <c r="CV113" i="50"/>
  <c r="CV118" i="50"/>
  <c r="CV114" i="50"/>
  <c r="CV120" i="50"/>
  <c r="CV117" i="50"/>
  <c r="CV88" i="50"/>
  <c r="CV119" i="50"/>
  <c r="CV122" i="50"/>
  <c r="CV91" i="50"/>
  <c r="CV115" i="50"/>
  <c r="CV110" i="50"/>
  <c r="CV92" i="50"/>
  <c r="CV93" i="50"/>
  <c r="CV116" i="50"/>
  <c r="CV121" i="50"/>
  <c r="CV96" i="50"/>
  <c r="CV97" i="50"/>
  <c r="CV89" i="50"/>
  <c r="CV90" i="50"/>
  <c r="CV87" i="50"/>
  <c r="CV86" i="50"/>
  <c r="CV94" i="50"/>
  <c r="CV95" i="50"/>
  <c r="CW103" i="50"/>
  <c r="CW104" i="50"/>
  <c r="CW107" i="50"/>
  <c r="CW105" i="50"/>
  <c r="CW111" i="50"/>
  <c r="CW106" i="50"/>
  <c r="CW110" i="50"/>
  <c r="CW108" i="50"/>
  <c r="CW112" i="50"/>
  <c r="CW115" i="50"/>
  <c r="CW118" i="50"/>
  <c r="CW121" i="50"/>
  <c r="CW113" i="50"/>
  <c r="CW116" i="50"/>
  <c r="CW88" i="50"/>
  <c r="CW109" i="50"/>
  <c r="CW119" i="50"/>
  <c r="CW120" i="50"/>
  <c r="CW114" i="50"/>
  <c r="CW89" i="50"/>
  <c r="CW122" i="50"/>
  <c r="CW117" i="50"/>
  <c r="CW86" i="50"/>
  <c r="CW87" i="50"/>
  <c r="CW90" i="50"/>
  <c r="CW94" i="50"/>
  <c r="CW92" i="50"/>
  <c r="CW97" i="50"/>
  <c r="CW93" i="50"/>
  <c r="CW91" i="50"/>
  <c r="CW95" i="50"/>
  <c r="CW96" i="50"/>
  <c r="CU123" i="50"/>
  <c r="CX61" i="50"/>
  <c r="CX70" i="50" s="1"/>
  <c r="CX65" i="50"/>
  <c r="CX63" i="50"/>
  <c r="CX59" i="50"/>
  <c r="CX68" i="50" s="1"/>
  <c r="CU99" i="50"/>
  <c r="CZ21" i="50"/>
  <c r="CZ26" i="50" s="1"/>
  <c r="CZ161" i="50"/>
  <c r="CX82" i="19"/>
  <c r="CX84" i="19"/>
  <c r="CX83" i="19"/>
  <c r="CW51" i="50"/>
  <c r="CX87" i="19"/>
  <c r="CX46" i="50"/>
  <c r="CX44" i="50"/>
  <c r="CX47" i="50"/>
  <c r="CX48" i="50"/>
  <c r="CX55" i="50"/>
  <c r="CX49" i="50"/>
  <c r="CX50" i="50"/>
  <c r="CX45" i="50"/>
  <c r="CX56" i="50"/>
  <c r="CX86" i="19"/>
  <c r="CX85" i="19"/>
  <c r="CX88" i="19"/>
  <c r="CU165" i="50"/>
  <c r="CX81" i="19"/>
  <c r="CY22" i="50"/>
  <c r="CY23" i="50"/>
  <c r="CY98" i="50" s="1"/>
  <c r="CZ149" i="50"/>
  <c r="CW74" i="50"/>
  <c r="DA6" i="28"/>
  <c r="DA42" i="31"/>
  <c r="DA6" i="50"/>
  <c r="CV146" i="50"/>
  <c r="CV158" i="50" s="1"/>
  <c r="CV145" i="50"/>
  <c r="CV157" i="50" s="1"/>
  <c r="CV144" i="50"/>
  <c r="CV156" i="50" s="1"/>
  <c r="CV132" i="50"/>
  <c r="CV133" i="50" s="1"/>
  <c r="CV52" i="31" s="1"/>
  <c r="CV54" i="31" s="1"/>
  <c r="CV162" i="50"/>
  <c r="CU55" i="31"/>
  <c r="CW72" i="50"/>
  <c r="DA5" i="28"/>
  <c r="DA5" i="50"/>
  <c r="DA41" i="31"/>
  <c r="FD73" i="50"/>
  <c r="CV76" i="50"/>
  <c r="CV77" i="50" s="1"/>
  <c r="CV78" i="50" s="1"/>
  <c r="CV81" i="50" s="1"/>
  <c r="DD139" i="50"/>
  <c r="DC142" i="50"/>
  <c r="CW36" i="50"/>
  <c r="CX30" i="50"/>
  <c r="CX31" i="50"/>
  <c r="CX32" i="50"/>
  <c r="CX33" i="50"/>
  <c r="CX34" i="50"/>
  <c r="CW132" i="50"/>
  <c r="CW133" i="50" s="1"/>
  <c r="CW144" i="50"/>
  <c r="CW145" i="50"/>
  <c r="CW157" i="50" s="1"/>
  <c r="CW146" i="50"/>
  <c r="CW158" i="50" s="1"/>
  <c r="CW162" i="50"/>
  <c r="CU47" i="31" l="1"/>
  <c r="CU49" i="31" s="1"/>
  <c r="CU166" i="50"/>
  <c r="CY59" i="50"/>
  <c r="CY68" i="50" s="1"/>
  <c r="CY65" i="50"/>
  <c r="CY63" i="50"/>
  <c r="CY72" i="50" s="1"/>
  <c r="CY61" i="50"/>
  <c r="CY70" i="50" s="1"/>
  <c r="CV99" i="50"/>
  <c r="CV123" i="50"/>
  <c r="CW99" i="50"/>
  <c r="CW123" i="50"/>
  <c r="DA21" i="50"/>
  <c r="DA26" i="50" s="1"/>
  <c r="DA161" i="50"/>
  <c r="CY85" i="19"/>
  <c r="CY87" i="19"/>
  <c r="CY86" i="19"/>
  <c r="CX51" i="50"/>
  <c r="CY46" i="50"/>
  <c r="CY44" i="50"/>
  <c r="CY47" i="50"/>
  <c r="CY48" i="50"/>
  <c r="CY45" i="50"/>
  <c r="CY55" i="50"/>
  <c r="CY49" i="50"/>
  <c r="CY56" i="50"/>
  <c r="CY50" i="50"/>
  <c r="CY83" i="19"/>
  <c r="CY82" i="19"/>
  <c r="CY88" i="19"/>
  <c r="CY84" i="19"/>
  <c r="CY81" i="19"/>
  <c r="CZ22" i="50"/>
  <c r="CZ23" i="50"/>
  <c r="CZ98" i="50" s="1"/>
  <c r="DA149" i="50"/>
  <c r="DB6" i="28"/>
  <c r="DB42" i="31"/>
  <c r="DB6" i="50"/>
  <c r="K50" i="4"/>
  <c r="K55" i="4" s="1"/>
  <c r="CV165" i="50"/>
  <c r="CV55" i="31"/>
  <c r="CV155" i="50"/>
  <c r="CV136" i="50"/>
  <c r="CV134" i="50"/>
  <c r="K49" i="4"/>
  <c r="CW76" i="50"/>
  <c r="CW77" i="50" s="1"/>
  <c r="CW78" i="50" s="1"/>
  <c r="CW81" i="50" s="1"/>
  <c r="DB41" i="31"/>
  <c r="DB5" i="28"/>
  <c r="DB5" i="50"/>
  <c r="FE73" i="50"/>
  <c r="CX128" i="50"/>
  <c r="CX130" i="50" s="1"/>
  <c r="CX74" i="50"/>
  <c r="CX72" i="50"/>
  <c r="K51" i="4"/>
  <c r="K56" i="4" s="1"/>
  <c r="DE139" i="50"/>
  <c r="DD142" i="50"/>
  <c r="CX36" i="50"/>
  <c r="K52" i="4"/>
  <c r="K57" i="4" s="1"/>
  <c r="CY34" i="50"/>
  <c r="CY30" i="50"/>
  <c r="CY31" i="50"/>
  <c r="CY32" i="50"/>
  <c r="CY33" i="50"/>
  <c r="CW156" i="50"/>
  <c r="CW165" i="50"/>
  <c r="CW166" i="50" s="1"/>
  <c r="CW52" i="31"/>
  <c r="CW54" i="31" s="1"/>
  <c r="CW134" i="50"/>
  <c r="CW136" i="50"/>
  <c r="CW155" i="50"/>
  <c r="CX132" i="50" l="1"/>
  <c r="CX133" i="50" s="1"/>
  <c r="CX103" i="50"/>
  <c r="CX106" i="50"/>
  <c r="CX104" i="50"/>
  <c r="CX105" i="50"/>
  <c r="CX107" i="50"/>
  <c r="CX108" i="50"/>
  <c r="CX110" i="50"/>
  <c r="CX109" i="50"/>
  <c r="CX111" i="50"/>
  <c r="CX113" i="50"/>
  <c r="CX115" i="50"/>
  <c r="CX116" i="50"/>
  <c r="CX119" i="50"/>
  <c r="CX121" i="50"/>
  <c r="CX114" i="50"/>
  <c r="CX117" i="50"/>
  <c r="CX122" i="50"/>
  <c r="CX90" i="50"/>
  <c r="CX93" i="50"/>
  <c r="CX112" i="50"/>
  <c r="CX118" i="50"/>
  <c r="CX86" i="50"/>
  <c r="CX87" i="50"/>
  <c r="CX92" i="50"/>
  <c r="CX95" i="50"/>
  <c r="CX88" i="50"/>
  <c r="CX89" i="50"/>
  <c r="CX91" i="50"/>
  <c r="CX97" i="50"/>
  <c r="CX120" i="50"/>
  <c r="CX94" i="50"/>
  <c r="CX96" i="50"/>
  <c r="CV47" i="31"/>
  <c r="CV49" i="31" s="1"/>
  <c r="CV166" i="50"/>
  <c r="CZ59" i="50"/>
  <c r="CZ68" i="50" s="1"/>
  <c r="CZ61" i="50"/>
  <c r="CZ70" i="50" s="1"/>
  <c r="CZ65" i="50"/>
  <c r="CZ63" i="50"/>
  <c r="DB21" i="50"/>
  <c r="DB26" i="50" s="1"/>
  <c r="DB161" i="50"/>
  <c r="CZ88" i="19"/>
  <c r="CZ83" i="19"/>
  <c r="CZ82" i="19"/>
  <c r="CZ44" i="50"/>
  <c r="CZ45" i="50"/>
  <c r="CZ46" i="50"/>
  <c r="CZ48" i="50"/>
  <c r="CZ49" i="50"/>
  <c r="CZ55" i="50"/>
  <c r="CZ50" i="50"/>
  <c r="CZ47" i="50"/>
  <c r="CZ56" i="50"/>
  <c r="CZ87" i="19"/>
  <c r="CZ85" i="19"/>
  <c r="CY51" i="50"/>
  <c r="CZ84" i="19"/>
  <c r="CZ86" i="19"/>
  <c r="CZ81" i="19"/>
  <c r="DA22" i="50"/>
  <c r="DA23" i="50"/>
  <c r="DA98" i="50" s="1"/>
  <c r="DB149" i="50"/>
  <c r="CX162" i="50"/>
  <c r="CX146" i="50"/>
  <c r="CX158" i="50" s="1"/>
  <c r="CW55" i="31"/>
  <c r="DC42" i="31"/>
  <c r="DC6" i="28"/>
  <c r="DC6" i="50"/>
  <c r="CX145" i="50"/>
  <c r="CX157" i="50" s="1"/>
  <c r="CX144" i="50"/>
  <c r="CX156" i="50" s="1"/>
  <c r="CX76" i="50"/>
  <c r="CX77" i="50" s="1"/>
  <c r="CX78" i="50" s="1"/>
  <c r="CX81" i="50" s="1"/>
  <c r="DC41" i="31"/>
  <c r="DC5" i="28"/>
  <c r="DC5" i="50"/>
  <c r="CY128" i="50"/>
  <c r="CY130" i="50" s="1"/>
  <c r="CY74" i="50"/>
  <c r="FF73" i="50"/>
  <c r="DF139" i="50"/>
  <c r="DE142" i="50"/>
  <c r="CY36" i="50"/>
  <c r="CZ30" i="50"/>
  <c r="CZ31" i="50"/>
  <c r="CZ32" i="50"/>
  <c r="CZ33" i="50"/>
  <c r="CZ34" i="50"/>
  <c r="CW47" i="31"/>
  <c r="CW49" i="31" s="1"/>
  <c r="CX52" i="31"/>
  <c r="CX54" i="31" s="1"/>
  <c r="CX134" i="50"/>
  <c r="CX136" i="50"/>
  <c r="CX155" i="50"/>
  <c r="CY144" i="50" l="1"/>
  <c r="CY156" i="50" s="1"/>
  <c r="CY105" i="50"/>
  <c r="CY103" i="50"/>
  <c r="CY104" i="50"/>
  <c r="CY106" i="50"/>
  <c r="CY107" i="50"/>
  <c r="CY108" i="50"/>
  <c r="CY110" i="50"/>
  <c r="CY109" i="50"/>
  <c r="CY112" i="50"/>
  <c r="CY117" i="50"/>
  <c r="CY111" i="50"/>
  <c r="CY115" i="50"/>
  <c r="CY116" i="50"/>
  <c r="CY118" i="50"/>
  <c r="CY119" i="50"/>
  <c r="CY114" i="50"/>
  <c r="CY87" i="50"/>
  <c r="CY90" i="50"/>
  <c r="CY120" i="50"/>
  <c r="CY91" i="50"/>
  <c r="CY86" i="50"/>
  <c r="CY88" i="50"/>
  <c r="CY89" i="50"/>
  <c r="CY113" i="50"/>
  <c r="CY122" i="50"/>
  <c r="CY121" i="50"/>
  <c r="CY92" i="50"/>
  <c r="CY95" i="50"/>
  <c r="CY96" i="50"/>
  <c r="CY94" i="50"/>
  <c r="CY97" i="50"/>
  <c r="CY93" i="50"/>
  <c r="CX123" i="50"/>
  <c r="DA61" i="50"/>
  <c r="DA70" i="50" s="1"/>
  <c r="DA59" i="50"/>
  <c r="DA68" i="50" s="1"/>
  <c r="DA63" i="50"/>
  <c r="DA65" i="50"/>
  <c r="CX99" i="50"/>
  <c r="DC21" i="50"/>
  <c r="DC26" i="50" s="1"/>
  <c r="DC161" i="50"/>
  <c r="DA84" i="19"/>
  <c r="DA85" i="19"/>
  <c r="DA82" i="19"/>
  <c r="DA87" i="19"/>
  <c r="DA83" i="19"/>
  <c r="CZ51" i="50"/>
  <c r="DA45" i="50"/>
  <c r="DA46" i="50"/>
  <c r="DA44" i="50"/>
  <c r="DA47" i="50"/>
  <c r="DA50" i="50"/>
  <c r="DA55" i="50"/>
  <c r="DA48" i="50"/>
  <c r="DA49" i="50"/>
  <c r="DA56" i="50"/>
  <c r="DA86" i="19"/>
  <c r="DA88" i="19"/>
  <c r="DA81" i="19"/>
  <c r="CY132" i="50"/>
  <c r="CY133" i="50" s="1"/>
  <c r="CY134" i="50" s="1"/>
  <c r="CX55" i="31"/>
  <c r="DB23" i="50"/>
  <c r="DB98" i="50" s="1"/>
  <c r="DB22" i="50"/>
  <c r="DC149" i="50"/>
  <c r="CY162" i="50"/>
  <c r="CY146" i="50"/>
  <c r="CY158" i="50" s="1"/>
  <c r="CY145" i="50"/>
  <c r="CY157" i="50" s="1"/>
  <c r="DD42" i="31"/>
  <c r="DD6" i="28"/>
  <c r="DD6" i="50"/>
  <c r="CY76" i="50"/>
  <c r="CY77" i="50" s="1"/>
  <c r="CY78" i="50" s="1"/>
  <c r="CY81" i="50" s="1"/>
  <c r="CX165" i="50"/>
  <c r="DD41" i="31"/>
  <c r="DD5" i="28"/>
  <c r="DD5" i="50"/>
  <c r="FG73" i="50"/>
  <c r="CZ72" i="50"/>
  <c r="CZ128" i="50"/>
  <c r="CZ130" i="50" s="1"/>
  <c r="CZ74" i="50"/>
  <c r="DG139" i="50"/>
  <c r="DF142" i="50"/>
  <c r="CZ36" i="50"/>
  <c r="DA33" i="50"/>
  <c r="DA34" i="50"/>
  <c r="DA30" i="50"/>
  <c r="DA31" i="50"/>
  <c r="DA32" i="50"/>
  <c r="CY165" i="50" l="1"/>
  <c r="CY166" i="50" s="1"/>
  <c r="CZ105" i="50"/>
  <c r="CZ103" i="50"/>
  <c r="CZ106" i="50"/>
  <c r="CZ104" i="50"/>
  <c r="CZ107" i="50"/>
  <c r="CZ108" i="50"/>
  <c r="CZ113" i="50"/>
  <c r="CZ110" i="50"/>
  <c r="CZ109" i="50"/>
  <c r="CZ111" i="50"/>
  <c r="CZ112" i="50"/>
  <c r="CZ114" i="50"/>
  <c r="CZ117" i="50"/>
  <c r="CZ118" i="50"/>
  <c r="CZ120" i="50"/>
  <c r="CZ116" i="50"/>
  <c r="CZ87" i="50"/>
  <c r="CZ121" i="50"/>
  <c r="CZ122" i="50"/>
  <c r="CZ88" i="50"/>
  <c r="CZ90" i="50"/>
  <c r="CZ91" i="50"/>
  <c r="CZ115" i="50"/>
  <c r="CZ86" i="50"/>
  <c r="CZ119" i="50"/>
  <c r="CZ93" i="50"/>
  <c r="CZ92" i="50"/>
  <c r="CZ95" i="50"/>
  <c r="CZ96" i="50"/>
  <c r="CZ89" i="50"/>
  <c r="CZ94" i="50"/>
  <c r="CZ97" i="50"/>
  <c r="CX47" i="31"/>
  <c r="CX49" i="31" s="1"/>
  <c r="CX166" i="50"/>
  <c r="DB61" i="50"/>
  <c r="DB70" i="50" s="1"/>
  <c r="DB59" i="50"/>
  <c r="DB68" i="50" s="1"/>
  <c r="DB63" i="50"/>
  <c r="DB65" i="50"/>
  <c r="CY123" i="50"/>
  <c r="CY99" i="50"/>
  <c r="DD21" i="50"/>
  <c r="DD26" i="50" s="1"/>
  <c r="DD161" i="50"/>
  <c r="CY155" i="50"/>
  <c r="CY136" i="50"/>
  <c r="CY52" i="31"/>
  <c r="CY54" i="31" s="1"/>
  <c r="CY55" i="31" s="1"/>
  <c r="DB86" i="19"/>
  <c r="DB83" i="19"/>
  <c r="DB45" i="50"/>
  <c r="DB46" i="50"/>
  <c r="DB47" i="50"/>
  <c r="DB49" i="50"/>
  <c r="DB44" i="50"/>
  <c r="DB50" i="50"/>
  <c r="DB55" i="50"/>
  <c r="DB48" i="50"/>
  <c r="DB56" i="50"/>
  <c r="DB85" i="19"/>
  <c r="DB84" i="19"/>
  <c r="DB87" i="19"/>
  <c r="DB88" i="19"/>
  <c r="DA51" i="50"/>
  <c r="DB82" i="19"/>
  <c r="DB81" i="19"/>
  <c r="DC22" i="50"/>
  <c r="DC23" i="50"/>
  <c r="DC98" i="50" s="1"/>
  <c r="DD149" i="50"/>
  <c r="DE6" i="28"/>
  <c r="DE6" i="50"/>
  <c r="DE42" i="31"/>
  <c r="CZ132" i="50"/>
  <c r="CZ133" i="50" s="1"/>
  <c r="CZ136" i="50" s="1"/>
  <c r="DA72" i="50"/>
  <c r="DA128" i="50"/>
  <c r="DA130" i="50" s="1"/>
  <c r="DA74" i="50"/>
  <c r="CZ162" i="50"/>
  <c r="CZ76" i="50"/>
  <c r="CZ77" i="50" s="1"/>
  <c r="CZ78" i="50" s="1"/>
  <c r="CZ81" i="50" s="1"/>
  <c r="DE41" i="31"/>
  <c r="DE5" i="28"/>
  <c r="DE5" i="50"/>
  <c r="FH73" i="50"/>
  <c r="CZ146" i="50"/>
  <c r="CZ158" i="50" s="1"/>
  <c r="CZ145" i="50"/>
  <c r="CZ157" i="50" s="1"/>
  <c r="CZ144" i="50"/>
  <c r="CZ156" i="50" s="1"/>
  <c r="DH139" i="50"/>
  <c r="DG142" i="50"/>
  <c r="DA36" i="50"/>
  <c r="DB34" i="50"/>
  <c r="DB30" i="50"/>
  <c r="DB31" i="50"/>
  <c r="DB32" i="50"/>
  <c r="DB33" i="50"/>
  <c r="CY47" i="31" l="1"/>
  <c r="CY49" i="31" s="1"/>
  <c r="DA132" i="50"/>
  <c r="DA133" i="50" s="1"/>
  <c r="DA52" i="31" s="1"/>
  <c r="DA54" i="31" s="1"/>
  <c r="DA105" i="50"/>
  <c r="DA103" i="50"/>
  <c r="DA104" i="50"/>
  <c r="DA108" i="50"/>
  <c r="DA106" i="50"/>
  <c r="DA109" i="50"/>
  <c r="DA107" i="50"/>
  <c r="DA110" i="50"/>
  <c r="DA111" i="50"/>
  <c r="DA112" i="50"/>
  <c r="DA113" i="50"/>
  <c r="DA114" i="50"/>
  <c r="DA115" i="50"/>
  <c r="DA120" i="50"/>
  <c r="DA121" i="50"/>
  <c r="DA118" i="50"/>
  <c r="DA89" i="50"/>
  <c r="DA92" i="50"/>
  <c r="DA116" i="50"/>
  <c r="DA119" i="50"/>
  <c r="DA93" i="50"/>
  <c r="DA87" i="50"/>
  <c r="DA88" i="50"/>
  <c r="DA86" i="50"/>
  <c r="DA122" i="50"/>
  <c r="DA94" i="50"/>
  <c r="DA97" i="50"/>
  <c r="DA95" i="50"/>
  <c r="DA96" i="50"/>
  <c r="DA117" i="50"/>
  <c r="DA90" i="50"/>
  <c r="DA91" i="50"/>
  <c r="CZ123" i="50"/>
  <c r="CZ99" i="50"/>
  <c r="DC63" i="50"/>
  <c r="DC61" i="50"/>
  <c r="DC70" i="50" s="1"/>
  <c r="DC59" i="50"/>
  <c r="DC68" i="50" s="1"/>
  <c r="DC65" i="50"/>
  <c r="DE21" i="50"/>
  <c r="DE26" i="50" s="1"/>
  <c r="DE161" i="50"/>
  <c r="DC88" i="19"/>
  <c r="DC87" i="19"/>
  <c r="DC84" i="19"/>
  <c r="DC47" i="50"/>
  <c r="DC45" i="50"/>
  <c r="DC44" i="50"/>
  <c r="DC46" i="50"/>
  <c r="DC48" i="50"/>
  <c r="DC50" i="50"/>
  <c r="DC49" i="50"/>
  <c r="DC55" i="50"/>
  <c r="DC56" i="50"/>
  <c r="DB51" i="50"/>
  <c r="DC85" i="19"/>
  <c r="DC83" i="19"/>
  <c r="DC82" i="19"/>
  <c r="DC86" i="19"/>
  <c r="DC81" i="19"/>
  <c r="DA145" i="50"/>
  <c r="DA157" i="50" s="1"/>
  <c r="DD22" i="50"/>
  <c r="DD23" i="50"/>
  <c r="DD98" i="50" s="1"/>
  <c r="DE149" i="50"/>
  <c r="CZ155" i="50"/>
  <c r="DA146" i="50"/>
  <c r="DA158" i="50" s="1"/>
  <c r="DF42" i="31"/>
  <c r="DF6" i="28"/>
  <c r="DF6" i="50"/>
  <c r="DA162" i="50"/>
  <c r="DA144" i="50"/>
  <c r="DA156" i="50" s="1"/>
  <c r="CZ134" i="50"/>
  <c r="CZ52" i="31"/>
  <c r="CZ54" i="31" s="1"/>
  <c r="CZ55" i="31" s="1"/>
  <c r="DA76" i="50"/>
  <c r="DA77" i="50" s="1"/>
  <c r="DA78" i="50" s="1"/>
  <c r="DA81" i="50" s="1"/>
  <c r="CZ165" i="50"/>
  <c r="CZ166" i="50" s="1"/>
  <c r="DF41" i="31"/>
  <c r="DF5" i="28"/>
  <c r="DF5" i="50"/>
  <c r="FI73" i="50"/>
  <c r="DI139" i="50"/>
  <c r="DH142" i="50"/>
  <c r="DB128" i="50"/>
  <c r="DB130" i="50" s="1"/>
  <c r="DB72" i="50"/>
  <c r="DB74" i="50"/>
  <c r="DB36" i="50"/>
  <c r="DC34" i="50"/>
  <c r="DC30" i="50"/>
  <c r="DC31" i="50"/>
  <c r="DC32" i="50"/>
  <c r="DC33" i="50"/>
  <c r="DA136" i="50" l="1"/>
  <c r="DA155" i="50"/>
  <c r="DA134" i="50"/>
  <c r="DB104" i="50"/>
  <c r="DB105" i="50"/>
  <c r="DB106" i="50"/>
  <c r="DB103" i="50"/>
  <c r="DB109" i="50"/>
  <c r="DB107" i="50"/>
  <c r="DB108" i="50"/>
  <c r="DB110" i="50"/>
  <c r="DB113" i="50"/>
  <c r="DB116" i="50"/>
  <c r="DB112" i="50"/>
  <c r="DB122" i="50"/>
  <c r="DB111" i="50"/>
  <c r="DB119" i="50"/>
  <c r="DB120" i="50"/>
  <c r="DB117" i="50"/>
  <c r="DB86" i="50"/>
  <c r="DB89" i="50"/>
  <c r="DB115" i="50"/>
  <c r="DB90" i="50"/>
  <c r="DB118" i="50"/>
  <c r="DB87" i="50"/>
  <c r="DB88" i="50"/>
  <c r="DB93" i="50"/>
  <c r="DB94" i="50"/>
  <c r="DB121" i="50"/>
  <c r="DB114" i="50"/>
  <c r="DB95" i="50"/>
  <c r="DB92" i="50"/>
  <c r="DB96" i="50"/>
  <c r="DB97" i="50"/>
  <c r="DB91" i="50"/>
  <c r="DA99" i="50"/>
  <c r="DA123" i="50"/>
  <c r="DD59" i="50"/>
  <c r="DD68" i="50" s="1"/>
  <c r="DD63" i="50"/>
  <c r="DD61" i="50"/>
  <c r="DD70" i="50" s="1"/>
  <c r="DD65" i="50"/>
  <c r="DF21" i="50"/>
  <c r="DF26" i="50" s="1"/>
  <c r="DF161" i="50"/>
  <c r="DD82" i="19"/>
  <c r="DD84" i="19"/>
  <c r="DD83" i="19"/>
  <c r="DD85" i="19"/>
  <c r="DD87" i="19"/>
  <c r="DD44" i="50"/>
  <c r="DD45" i="50"/>
  <c r="DD49" i="50"/>
  <c r="DD46" i="50"/>
  <c r="DD50" i="50"/>
  <c r="DD47" i="50"/>
  <c r="DD48" i="50"/>
  <c r="DD55" i="50"/>
  <c r="DD56" i="50"/>
  <c r="DC51" i="50"/>
  <c r="DD86" i="19"/>
  <c r="DD88" i="19"/>
  <c r="DD81" i="19"/>
  <c r="DE22" i="50"/>
  <c r="DE23" i="50"/>
  <c r="DE98" i="50" s="1"/>
  <c r="DF149" i="50"/>
  <c r="DA55" i="31"/>
  <c r="DA165" i="50"/>
  <c r="DG42" i="31"/>
  <c r="DG6" i="28"/>
  <c r="DG6" i="50"/>
  <c r="CZ47" i="31"/>
  <c r="CZ49" i="31" s="1"/>
  <c r="DC128" i="50"/>
  <c r="DC130" i="50" s="1"/>
  <c r="DC74" i="50"/>
  <c r="DC72" i="50"/>
  <c r="DG41" i="31"/>
  <c r="DG5" i="28"/>
  <c r="DG5" i="50"/>
  <c r="DB144" i="50"/>
  <c r="DB156" i="50" s="1"/>
  <c r="FJ73" i="50"/>
  <c r="DB132" i="50"/>
  <c r="DB133" i="50" s="1"/>
  <c r="DB136" i="50" s="1"/>
  <c r="DB162" i="50"/>
  <c r="DB146" i="50"/>
  <c r="DB158" i="50" s="1"/>
  <c r="DB145" i="50"/>
  <c r="DB157" i="50" s="1"/>
  <c r="DJ139" i="50"/>
  <c r="DI142" i="50"/>
  <c r="DB76" i="50"/>
  <c r="DB77" i="50" s="1"/>
  <c r="DB78" i="50" s="1"/>
  <c r="DB81" i="50" s="1"/>
  <c r="DC36" i="50"/>
  <c r="DD30" i="50"/>
  <c r="DD31" i="50"/>
  <c r="DD32" i="50"/>
  <c r="DD33" i="50"/>
  <c r="DD34" i="50"/>
  <c r="DC144" i="50" l="1"/>
  <c r="DC156" i="50" s="1"/>
  <c r="DC104" i="50"/>
  <c r="DC105" i="50"/>
  <c r="DC106" i="50"/>
  <c r="DC103" i="50"/>
  <c r="DC109" i="50"/>
  <c r="DC107" i="50"/>
  <c r="DC111" i="50"/>
  <c r="DC112" i="50"/>
  <c r="DC110" i="50"/>
  <c r="DC108" i="50"/>
  <c r="DC116" i="50"/>
  <c r="DC119" i="50"/>
  <c r="DC113" i="50"/>
  <c r="DC117" i="50"/>
  <c r="DC122" i="50"/>
  <c r="DC115" i="50"/>
  <c r="DC91" i="50"/>
  <c r="DC86" i="50"/>
  <c r="DC87" i="50"/>
  <c r="DC114" i="50"/>
  <c r="DC118" i="50"/>
  <c r="DC88" i="50"/>
  <c r="DC96" i="50"/>
  <c r="DC93" i="50"/>
  <c r="DC120" i="50"/>
  <c r="DC92" i="50"/>
  <c r="DC89" i="50"/>
  <c r="DC94" i="50"/>
  <c r="DC95" i="50"/>
  <c r="DC121" i="50"/>
  <c r="DC90" i="50"/>
  <c r="DC97" i="50"/>
  <c r="DA47" i="31"/>
  <c r="DA49" i="31" s="1"/>
  <c r="DA166" i="50"/>
  <c r="DB123" i="50"/>
  <c r="DE61" i="50"/>
  <c r="DE70" i="50" s="1"/>
  <c r="DE59" i="50"/>
  <c r="DE68" i="50" s="1"/>
  <c r="DE65" i="50"/>
  <c r="DE63" i="50"/>
  <c r="DE72" i="50" s="1"/>
  <c r="DB99" i="50"/>
  <c r="DG21" i="50"/>
  <c r="DG26" i="50" s="1"/>
  <c r="DG161" i="50"/>
  <c r="DE84" i="19"/>
  <c r="DE86" i="19"/>
  <c r="DE44" i="50"/>
  <c r="DE45" i="50"/>
  <c r="DE46" i="50"/>
  <c r="DE47" i="50"/>
  <c r="DE48" i="50"/>
  <c r="DE49" i="50"/>
  <c r="DE50" i="50"/>
  <c r="DE55" i="50"/>
  <c r="DE56" i="50"/>
  <c r="DD51" i="50"/>
  <c r="DE87" i="19"/>
  <c r="DE85" i="19"/>
  <c r="DE83" i="19"/>
  <c r="DE88" i="19"/>
  <c r="DE82" i="19"/>
  <c r="DE81" i="19"/>
  <c r="DC132" i="50"/>
  <c r="DC133" i="50" s="1"/>
  <c r="DC52" i="31" s="1"/>
  <c r="DC54" i="31" s="1"/>
  <c r="DF22" i="50"/>
  <c r="DF23" i="50"/>
  <c r="DF98" i="50" s="1"/>
  <c r="DG149" i="50"/>
  <c r="DH6" i="28"/>
  <c r="DH42" i="31"/>
  <c r="DH6" i="50"/>
  <c r="DB165" i="50"/>
  <c r="DC162" i="50"/>
  <c r="DC146" i="50"/>
  <c r="DC158" i="50" s="1"/>
  <c r="DC145" i="50"/>
  <c r="DC157" i="50" s="1"/>
  <c r="DD128" i="50"/>
  <c r="DD130" i="50" s="1"/>
  <c r="DD74" i="50"/>
  <c r="DD72" i="50"/>
  <c r="DC76" i="50"/>
  <c r="DC77" i="50" s="1"/>
  <c r="DC78" i="50" s="1"/>
  <c r="DC81" i="50" s="1"/>
  <c r="DH41" i="31"/>
  <c r="DH5" i="50"/>
  <c r="DH5" i="28"/>
  <c r="DB134" i="50"/>
  <c r="DB52" i="31"/>
  <c r="DB54" i="31" s="1"/>
  <c r="DB55" i="31" s="1"/>
  <c r="DB155" i="50"/>
  <c r="FK73" i="50"/>
  <c r="DK139" i="50"/>
  <c r="DJ142" i="50"/>
  <c r="DE34" i="50"/>
  <c r="DE30" i="50"/>
  <c r="DE31" i="50"/>
  <c r="DE32" i="50"/>
  <c r="DE33" i="50"/>
  <c r="DD36" i="50"/>
  <c r="DC165" i="50"/>
  <c r="DC166" i="50" s="1"/>
  <c r="DD132" i="50" l="1"/>
  <c r="DD133" i="50" s="1"/>
  <c r="DD104" i="50"/>
  <c r="DD103" i="50"/>
  <c r="DD107" i="50"/>
  <c r="DD108" i="50"/>
  <c r="DD105" i="50"/>
  <c r="DD109" i="50"/>
  <c r="DD106" i="50"/>
  <c r="DD112" i="50"/>
  <c r="DD113" i="50"/>
  <c r="DD118" i="50"/>
  <c r="DD114" i="50"/>
  <c r="DD110" i="50"/>
  <c r="DD115" i="50"/>
  <c r="DD119" i="50"/>
  <c r="DD120" i="50"/>
  <c r="DD88" i="50"/>
  <c r="DD117" i="50"/>
  <c r="DD91" i="50"/>
  <c r="DD111" i="50"/>
  <c r="DD92" i="50"/>
  <c r="DD86" i="50"/>
  <c r="DD87" i="50"/>
  <c r="DD89" i="50"/>
  <c r="DD90" i="50"/>
  <c r="DD116" i="50"/>
  <c r="DD122" i="50"/>
  <c r="DD96" i="50"/>
  <c r="DD121" i="50"/>
  <c r="DD97" i="50"/>
  <c r="DD94" i="50"/>
  <c r="DD95" i="50"/>
  <c r="DD93" i="50"/>
  <c r="DB47" i="31"/>
  <c r="DB49" i="31" s="1"/>
  <c r="DB166" i="50"/>
  <c r="DC123" i="50"/>
  <c r="DF61" i="50"/>
  <c r="DF70" i="50" s="1"/>
  <c r="DF65" i="50"/>
  <c r="DF63" i="50"/>
  <c r="DF59" i="50"/>
  <c r="DF68" i="50" s="1"/>
  <c r="DC99" i="50"/>
  <c r="DH21" i="50"/>
  <c r="DH26" i="50" s="1"/>
  <c r="DH161" i="50"/>
  <c r="DF88" i="19"/>
  <c r="DF46" i="50"/>
  <c r="DF44" i="50"/>
  <c r="DF47" i="50"/>
  <c r="DF48" i="50"/>
  <c r="DF55" i="50"/>
  <c r="DF50" i="50"/>
  <c r="DF45" i="50"/>
  <c r="DF49" i="50"/>
  <c r="DF56" i="50"/>
  <c r="DF83" i="19"/>
  <c r="DF85" i="19"/>
  <c r="DF84" i="19"/>
  <c r="DF87" i="19"/>
  <c r="DF86" i="19"/>
  <c r="DF82" i="19"/>
  <c r="DE51" i="50"/>
  <c r="DC155" i="50"/>
  <c r="DC136" i="50"/>
  <c r="DC134" i="50"/>
  <c r="DF81" i="19"/>
  <c r="DG22" i="50"/>
  <c r="DD162" i="50"/>
  <c r="DG23" i="50"/>
  <c r="DG98" i="50" s="1"/>
  <c r="DH149" i="50"/>
  <c r="DI42" i="31"/>
  <c r="DI6" i="50"/>
  <c r="DI6" i="28"/>
  <c r="DD146" i="50"/>
  <c r="DD158" i="50" s="1"/>
  <c r="DD145" i="50"/>
  <c r="DD157" i="50" s="1"/>
  <c r="DD144" i="50"/>
  <c r="DD156" i="50" s="1"/>
  <c r="DD76" i="50"/>
  <c r="DD77" i="50" s="1"/>
  <c r="DD78" i="50" s="1"/>
  <c r="DD81" i="50" s="1"/>
  <c r="DC55" i="31"/>
  <c r="DI5" i="28"/>
  <c r="DI41" i="31"/>
  <c r="DI5" i="50"/>
  <c r="FL73" i="50"/>
  <c r="DE128" i="50"/>
  <c r="DE130" i="50" s="1"/>
  <c r="DE74" i="50"/>
  <c r="DL139" i="50"/>
  <c r="DK142" i="50"/>
  <c r="DE36" i="50"/>
  <c r="DF30" i="50"/>
  <c r="DF31" i="50"/>
  <c r="DF32" i="50"/>
  <c r="DF33" i="50"/>
  <c r="DF34" i="50"/>
  <c r="DC47" i="31"/>
  <c r="DC49" i="31" s="1"/>
  <c r="DD52" i="31"/>
  <c r="DD54" i="31" s="1"/>
  <c r="DD134" i="50"/>
  <c r="DD136" i="50"/>
  <c r="DD155" i="50"/>
  <c r="DE103" i="50" l="1"/>
  <c r="DE104" i="50"/>
  <c r="DE107" i="50"/>
  <c r="DE106" i="50"/>
  <c r="DE111" i="50"/>
  <c r="DE108" i="50"/>
  <c r="DE110" i="50"/>
  <c r="DE112" i="50"/>
  <c r="DE115" i="50"/>
  <c r="DE118" i="50"/>
  <c r="DE109" i="50"/>
  <c r="DE114" i="50"/>
  <c r="DE116" i="50"/>
  <c r="DE117" i="50"/>
  <c r="DE121" i="50"/>
  <c r="DE105" i="50"/>
  <c r="DE119" i="50"/>
  <c r="DE88" i="50"/>
  <c r="DE89" i="50"/>
  <c r="DE120" i="50"/>
  <c r="DE92" i="50"/>
  <c r="DE113" i="50"/>
  <c r="DE91" i="50"/>
  <c r="DE86" i="50"/>
  <c r="DE87" i="50"/>
  <c r="DE90" i="50"/>
  <c r="DE122" i="50"/>
  <c r="DE93" i="50"/>
  <c r="DE94" i="50"/>
  <c r="DE96" i="50"/>
  <c r="DE95" i="50"/>
  <c r="DE97" i="50"/>
  <c r="DG59" i="50"/>
  <c r="DG68" i="50" s="1"/>
  <c r="DG61" i="50"/>
  <c r="DG70" i="50" s="1"/>
  <c r="DG63" i="50"/>
  <c r="DG65" i="50"/>
  <c r="DD123" i="50"/>
  <c r="DG87" i="19"/>
  <c r="DD99" i="50"/>
  <c r="DI21" i="50"/>
  <c r="DI26" i="50" s="1"/>
  <c r="DI161" i="50"/>
  <c r="DG82" i="19"/>
  <c r="DG86" i="19"/>
  <c r="DG84" i="19"/>
  <c r="DG85" i="19"/>
  <c r="DG83" i="19"/>
  <c r="DF51" i="50"/>
  <c r="DG46" i="50"/>
  <c r="DG44" i="50"/>
  <c r="DG47" i="50"/>
  <c r="DG45" i="50"/>
  <c r="DG48" i="50"/>
  <c r="DG55" i="50"/>
  <c r="DG56" i="50"/>
  <c r="DG49" i="50"/>
  <c r="DG50" i="50"/>
  <c r="DG88" i="19"/>
  <c r="DG81" i="19"/>
  <c r="DH23" i="50"/>
  <c r="DH98" i="50" s="1"/>
  <c r="DH22" i="50"/>
  <c r="DI149" i="50"/>
  <c r="DD165" i="50"/>
  <c r="DD166" i="50" s="1"/>
  <c r="DJ6" i="28"/>
  <c r="DJ42" i="31"/>
  <c r="DJ6" i="50"/>
  <c r="DD55" i="31"/>
  <c r="DF128" i="50"/>
  <c r="DF130" i="50" s="1"/>
  <c r="DF74" i="50"/>
  <c r="DF72" i="50"/>
  <c r="DE162" i="50"/>
  <c r="DJ41" i="31"/>
  <c r="DJ5" i="28"/>
  <c r="DJ5" i="50"/>
  <c r="DE146" i="50"/>
  <c r="DE158" i="50" s="1"/>
  <c r="DE145" i="50"/>
  <c r="DE157" i="50" s="1"/>
  <c r="DE76" i="50"/>
  <c r="DE77" i="50" s="1"/>
  <c r="DE78" i="50" s="1"/>
  <c r="DE81" i="50" s="1"/>
  <c r="FM73" i="50"/>
  <c r="DE144" i="50"/>
  <c r="DE156" i="50" s="1"/>
  <c r="DE132" i="50"/>
  <c r="DE133" i="50" s="1"/>
  <c r="DE52" i="31" s="1"/>
  <c r="DE54" i="31" s="1"/>
  <c r="DL142" i="50"/>
  <c r="DM139" i="50"/>
  <c r="DF36" i="50"/>
  <c r="DG34" i="50"/>
  <c r="DG30" i="50"/>
  <c r="DG31" i="50"/>
  <c r="DG32" i="50"/>
  <c r="DG33" i="50"/>
  <c r="DF145" i="50" l="1"/>
  <c r="DF103" i="50"/>
  <c r="DF106" i="50"/>
  <c r="DF104" i="50"/>
  <c r="DF105" i="50"/>
  <c r="DF110" i="50"/>
  <c r="DF107" i="50"/>
  <c r="DF111" i="50"/>
  <c r="DF109" i="50"/>
  <c r="DF113" i="50"/>
  <c r="DF108" i="50"/>
  <c r="DF115" i="50"/>
  <c r="DF116" i="50"/>
  <c r="DF119" i="50"/>
  <c r="DF118" i="50"/>
  <c r="DF114" i="50"/>
  <c r="DF117" i="50"/>
  <c r="DF121" i="50"/>
  <c r="DF112" i="50"/>
  <c r="DF122" i="50"/>
  <c r="DF120" i="50"/>
  <c r="DF90" i="50"/>
  <c r="DF86" i="50"/>
  <c r="DF93" i="50"/>
  <c r="DF95" i="50"/>
  <c r="DF88" i="50"/>
  <c r="DF89" i="50"/>
  <c r="DF91" i="50"/>
  <c r="DF87" i="50"/>
  <c r="DF97" i="50"/>
  <c r="DF92" i="50"/>
  <c r="DF94" i="50"/>
  <c r="DF96" i="50"/>
  <c r="DE123" i="50"/>
  <c r="DH59" i="50"/>
  <c r="DH68" i="50" s="1"/>
  <c r="DH61" i="50"/>
  <c r="DH70" i="50" s="1"/>
  <c r="DH65" i="50"/>
  <c r="DH63" i="50"/>
  <c r="DE99" i="50"/>
  <c r="DJ21" i="50"/>
  <c r="DJ26" i="50" s="1"/>
  <c r="DJ161" i="50"/>
  <c r="DH88" i="19"/>
  <c r="DH83" i="19"/>
  <c r="DH85" i="19"/>
  <c r="DH84" i="19"/>
  <c r="DH44" i="50"/>
  <c r="DH45" i="50"/>
  <c r="DH47" i="50"/>
  <c r="DH48" i="50"/>
  <c r="DH49" i="50"/>
  <c r="DH55" i="50"/>
  <c r="DH46" i="50"/>
  <c r="DH50" i="50"/>
  <c r="DH56" i="50"/>
  <c r="DH87" i="19"/>
  <c r="DH86" i="19"/>
  <c r="DG51" i="50"/>
  <c r="DH82" i="19"/>
  <c r="DH81" i="19"/>
  <c r="DD47" i="31"/>
  <c r="DD49" i="31" s="1"/>
  <c r="DI22" i="50"/>
  <c r="DF144" i="50"/>
  <c r="DF156" i="50" s="1"/>
  <c r="DI23" i="50"/>
  <c r="DI98" i="50" s="1"/>
  <c r="DJ149" i="50"/>
  <c r="DF132" i="50"/>
  <c r="DF133" i="50" s="1"/>
  <c r="DF134" i="50" s="1"/>
  <c r="DK42" i="31"/>
  <c r="DK6" i="28"/>
  <c r="DK6" i="50"/>
  <c r="DE55" i="31"/>
  <c r="DF162" i="50"/>
  <c r="DF146" i="50"/>
  <c r="DF158" i="50" s="1"/>
  <c r="DE155" i="50"/>
  <c r="DK41" i="31"/>
  <c r="DK5" i="28"/>
  <c r="DK5" i="50"/>
  <c r="FN73" i="50"/>
  <c r="DE134" i="50"/>
  <c r="DE136" i="50"/>
  <c r="DF76" i="50"/>
  <c r="DF77" i="50" s="1"/>
  <c r="DF78" i="50" s="1"/>
  <c r="DF81" i="50" s="1"/>
  <c r="DE165" i="50"/>
  <c r="DN139" i="50"/>
  <c r="DM142" i="50"/>
  <c r="DH72" i="50"/>
  <c r="DG128" i="50"/>
  <c r="DG130" i="50" s="1"/>
  <c r="DG74" i="50"/>
  <c r="DG72" i="50"/>
  <c r="DG36" i="50"/>
  <c r="DH30" i="50"/>
  <c r="DH31" i="50"/>
  <c r="DH32" i="50"/>
  <c r="DH33" i="50"/>
  <c r="DH34" i="50"/>
  <c r="DF157" i="50"/>
  <c r="DG162" i="50" l="1"/>
  <c r="DG105" i="50"/>
  <c r="DG103" i="50"/>
  <c r="DG104" i="50"/>
  <c r="DG107" i="50"/>
  <c r="DG106" i="50"/>
  <c r="DG110" i="50"/>
  <c r="DG109" i="50"/>
  <c r="DG111" i="50"/>
  <c r="DG112" i="50"/>
  <c r="DG117" i="50"/>
  <c r="DG115" i="50"/>
  <c r="DG116" i="50"/>
  <c r="DG118" i="50"/>
  <c r="DG108" i="50"/>
  <c r="DG113" i="50"/>
  <c r="DG114" i="50"/>
  <c r="DG121" i="50"/>
  <c r="DG122" i="50"/>
  <c r="DG87" i="50"/>
  <c r="DG120" i="50"/>
  <c r="DG90" i="50"/>
  <c r="DG91" i="50"/>
  <c r="DG119" i="50"/>
  <c r="DG95" i="50"/>
  <c r="DG86" i="50"/>
  <c r="DG88" i="50"/>
  <c r="DG89" i="50"/>
  <c r="DG96" i="50"/>
  <c r="DG97" i="50"/>
  <c r="DG92" i="50"/>
  <c r="DG93" i="50"/>
  <c r="DG94" i="50"/>
  <c r="DE47" i="31"/>
  <c r="DE49" i="31" s="1"/>
  <c r="DE166" i="50"/>
  <c r="DF99" i="50"/>
  <c r="DF123" i="50"/>
  <c r="DI61" i="50"/>
  <c r="DI70" i="50" s="1"/>
  <c r="DI59" i="50"/>
  <c r="DI68" i="50" s="1"/>
  <c r="DI65" i="50"/>
  <c r="DI63" i="50"/>
  <c r="DI72" i="50" s="1"/>
  <c r="DK21" i="50"/>
  <c r="DK26" i="50" s="1"/>
  <c r="DK161" i="50"/>
  <c r="DI88" i="19"/>
  <c r="DI87" i="19"/>
  <c r="DI86" i="19"/>
  <c r="DI85" i="19"/>
  <c r="DI45" i="50"/>
  <c r="DI46" i="50"/>
  <c r="DI47" i="50"/>
  <c r="DI44" i="50"/>
  <c r="DI49" i="50"/>
  <c r="DI50" i="50"/>
  <c r="DI55" i="50"/>
  <c r="DI48" i="50"/>
  <c r="DI56" i="50"/>
  <c r="DH51" i="50"/>
  <c r="DI83" i="19"/>
  <c r="DI82" i="19"/>
  <c r="DI84" i="19"/>
  <c r="DF52" i="31"/>
  <c r="DF54" i="31" s="1"/>
  <c r="DF55" i="31" s="1"/>
  <c r="DF165" i="50"/>
  <c r="DI81" i="19"/>
  <c r="DF155" i="50"/>
  <c r="DF136" i="50"/>
  <c r="DJ22" i="50"/>
  <c r="DJ23" i="50"/>
  <c r="DJ98" i="50" s="1"/>
  <c r="DK149" i="50"/>
  <c r="DL42" i="31"/>
  <c r="DL6" i="28"/>
  <c r="DL6" i="50"/>
  <c r="DH128" i="50"/>
  <c r="DH130" i="50" s="1"/>
  <c r="DH74" i="50"/>
  <c r="DG146" i="50"/>
  <c r="DG158" i="50" s="1"/>
  <c r="DG132" i="50"/>
  <c r="DG133" i="50" s="1"/>
  <c r="DG52" i="31" s="1"/>
  <c r="DG54" i="31" s="1"/>
  <c r="DG145" i="50"/>
  <c r="DG157" i="50" s="1"/>
  <c r="DL41" i="31"/>
  <c r="DL5" i="28"/>
  <c r="DL5" i="50"/>
  <c r="FO73" i="50"/>
  <c r="DG144" i="50"/>
  <c r="DG165" i="50" s="1"/>
  <c r="DG166" i="50" s="1"/>
  <c r="DN142" i="50"/>
  <c r="DO139" i="50"/>
  <c r="DG76" i="50"/>
  <c r="DG77" i="50" s="1"/>
  <c r="DG78" i="50" s="1"/>
  <c r="DG81" i="50" s="1"/>
  <c r="DH36" i="50"/>
  <c r="DI33" i="50"/>
  <c r="DI34" i="50"/>
  <c r="DI30" i="50"/>
  <c r="DI31" i="50"/>
  <c r="DI32" i="50"/>
  <c r="DH144" i="50" l="1"/>
  <c r="DH156" i="50" s="1"/>
  <c r="DH105" i="50"/>
  <c r="DH103" i="50"/>
  <c r="DH106" i="50"/>
  <c r="DH104" i="50"/>
  <c r="DH108" i="50"/>
  <c r="DH107" i="50"/>
  <c r="DH113" i="50"/>
  <c r="DH111" i="50"/>
  <c r="DH110" i="50"/>
  <c r="DH114" i="50"/>
  <c r="DH117" i="50"/>
  <c r="DH118" i="50"/>
  <c r="DH109" i="50"/>
  <c r="DH120" i="50"/>
  <c r="DH112" i="50"/>
  <c r="DH121" i="50"/>
  <c r="DH122" i="50"/>
  <c r="DH87" i="50"/>
  <c r="DH116" i="50"/>
  <c r="DH88" i="50"/>
  <c r="DH115" i="50"/>
  <c r="DH92" i="50"/>
  <c r="DH119" i="50"/>
  <c r="DH90" i="50"/>
  <c r="DH91" i="50"/>
  <c r="DH97" i="50"/>
  <c r="DH89" i="50"/>
  <c r="DH95" i="50"/>
  <c r="DH96" i="50"/>
  <c r="DH86" i="50"/>
  <c r="DH94" i="50"/>
  <c r="DH93" i="50"/>
  <c r="DF47" i="31"/>
  <c r="DF49" i="31" s="1"/>
  <c r="DF166" i="50"/>
  <c r="DG99" i="50"/>
  <c r="DG123" i="50"/>
  <c r="DJ61" i="50"/>
  <c r="DJ70" i="50" s="1"/>
  <c r="DJ59" i="50"/>
  <c r="DJ68" i="50" s="1"/>
  <c r="DJ63" i="50"/>
  <c r="DJ65" i="50"/>
  <c r="DL21" i="50"/>
  <c r="DL26" i="50" s="1"/>
  <c r="DL161" i="50"/>
  <c r="DI51" i="50"/>
  <c r="DJ82" i="19"/>
  <c r="DJ83" i="19"/>
  <c r="DJ87" i="19"/>
  <c r="DJ85" i="19"/>
  <c r="DJ88" i="19"/>
  <c r="DJ45" i="50"/>
  <c r="DJ46" i="50"/>
  <c r="DJ47" i="50"/>
  <c r="DJ49" i="50"/>
  <c r="DJ48" i="50"/>
  <c r="DJ50" i="50"/>
  <c r="DJ55" i="50"/>
  <c r="DJ56" i="50"/>
  <c r="DJ44" i="50"/>
  <c r="DJ84" i="19"/>
  <c r="DJ86" i="19"/>
  <c r="DJ81" i="19"/>
  <c r="DK22" i="50"/>
  <c r="DG55" i="31"/>
  <c r="DK23" i="50"/>
  <c r="DK98" i="50" s="1"/>
  <c r="DL149" i="50"/>
  <c r="DH132" i="50"/>
  <c r="DH133" i="50" s="1"/>
  <c r="DH155" i="50" s="1"/>
  <c r="DH145" i="50"/>
  <c r="DH157" i="50" s="1"/>
  <c r="DH162" i="50"/>
  <c r="DH146" i="50"/>
  <c r="DH158" i="50" s="1"/>
  <c r="DM42" i="31"/>
  <c r="DM6" i="28"/>
  <c r="DM6" i="50"/>
  <c r="DG155" i="50"/>
  <c r="DG136" i="50"/>
  <c r="DG134" i="50"/>
  <c r="DH76" i="50"/>
  <c r="DH77" i="50" s="1"/>
  <c r="DH78" i="50" s="1"/>
  <c r="DH81" i="50" s="1"/>
  <c r="DI128" i="50"/>
  <c r="DI130" i="50" s="1"/>
  <c r="DI74" i="50"/>
  <c r="DM41" i="31"/>
  <c r="DM5" i="28"/>
  <c r="DM5" i="50"/>
  <c r="FP73" i="50"/>
  <c r="DG156" i="50"/>
  <c r="DP139" i="50"/>
  <c r="DO142" i="50"/>
  <c r="DI36" i="50"/>
  <c r="DJ30" i="50"/>
  <c r="DJ31" i="50"/>
  <c r="DJ32" i="50"/>
  <c r="DJ33" i="50"/>
  <c r="DJ34" i="50"/>
  <c r="DG47" i="31"/>
  <c r="DG49" i="31" s="1"/>
  <c r="DH165" i="50" l="1"/>
  <c r="DH166" i="50" s="1"/>
  <c r="DI105" i="50"/>
  <c r="DI103" i="50"/>
  <c r="DI104" i="50"/>
  <c r="DI108" i="50"/>
  <c r="DI109" i="50"/>
  <c r="DI106" i="50"/>
  <c r="DI111" i="50"/>
  <c r="DI112" i="50"/>
  <c r="DI113" i="50"/>
  <c r="DI114" i="50"/>
  <c r="DI107" i="50"/>
  <c r="DI115" i="50"/>
  <c r="DI110" i="50"/>
  <c r="DI120" i="50"/>
  <c r="DI119" i="50"/>
  <c r="DI121" i="50"/>
  <c r="DI116" i="50"/>
  <c r="DI118" i="50"/>
  <c r="DI89" i="50"/>
  <c r="DI92" i="50"/>
  <c r="DI117" i="50"/>
  <c r="DI93" i="50"/>
  <c r="DI94" i="50"/>
  <c r="DI97" i="50"/>
  <c r="DI86" i="50"/>
  <c r="DI88" i="50"/>
  <c r="DI122" i="50"/>
  <c r="DI87" i="50"/>
  <c r="DI90" i="50"/>
  <c r="DI91" i="50"/>
  <c r="DI96" i="50"/>
  <c r="DI95" i="50"/>
  <c r="DH123" i="50"/>
  <c r="DK63" i="50"/>
  <c r="DK61" i="50"/>
  <c r="DK70" i="50" s="1"/>
  <c r="DK59" i="50"/>
  <c r="DK68" i="50" s="1"/>
  <c r="DK65" i="50"/>
  <c r="DH99" i="50"/>
  <c r="DM21" i="50"/>
  <c r="DM26" i="50" s="1"/>
  <c r="DM161" i="50"/>
  <c r="DK86" i="19"/>
  <c r="DK84" i="19"/>
  <c r="DJ51" i="50"/>
  <c r="DK88" i="19"/>
  <c r="DK85" i="19"/>
  <c r="DK82" i="19"/>
  <c r="DK87" i="19"/>
  <c r="DK47" i="50"/>
  <c r="DK45" i="50"/>
  <c r="DK44" i="50"/>
  <c r="DK46" i="50"/>
  <c r="DK48" i="50"/>
  <c r="DK49" i="50"/>
  <c r="DK50" i="50"/>
  <c r="DK55" i="50"/>
  <c r="DK56" i="50"/>
  <c r="DK83" i="19"/>
  <c r="DH136" i="50"/>
  <c r="DH134" i="50"/>
  <c r="DH52" i="31"/>
  <c r="DH54" i="31" s="1"/>
  <c r="DH55" i="31" s="1"/>
  <c r="DK81" i="19"/>
  <c r="DL22" i="50"/>
  <c r="DL23" i="50"/>
  <c r="DL98" i="50" s="1"/>
  <c r="DM149" i="50"/>
  <c r="DN42" i="31"/>
  <c r="DN6" i="50"/>
  <c r="DN6" i="28"/>
  <c r="DI162" i="50"/>
  <c r="DI146" i="50"/>
  <c r="DI158" i="50" s="1"/>
  <c r="DI145" i="50"/>
  <c r="DI157" i="50" s="1"/>
  <c r="DI144" i="50"/>
  <c r="L50" i="4" s="1"/>
  <c r="L55" i="4" s="1"/>
  <c r="DI132" i="50"/>
  <c r="DI133" i="50" s="1"/>
  <c r="L49" i="4" s="1"/>
  <c r="DI76" i="50"/>
  <c r="DI77" i="50" s="1"/>
  <c r="DI78" i="50" s="1"/>
  <c r="DI81" i="50" s="1"/>
  <c r="DN41" i="31"/>
  <c r="DN5" i="28"/>
  <c r="DN5" i="50"/>
  <c r="DJ128" i="50"/>
  <c r="DJ130" i="50" s="1"/>
  <c r="DJ74" i="50"/>
  <c r="DJ72" i="50"/>
  <c r="FQ73" i="50"/>
  <c r="DQ139" i="50"/>
  <c r="DP142" i="50"/>
  <c r="DJ36" i="50"/>
  <c r="DK32" i="50"/>
  <c r="DK33" i="50"/>
  <c r="DK34" i="50"/>
  <c r="DK30" i="50"/>
  <c r="DK31" i="50"/>
  <c r="DH47" i="31" l="1"/>
  <c r="DH49" i="31" s="1"/>
  <c r="DJ145" i="50"/>
  <c r="DJ157" i="50" s="1"/>
  <c r="DJ104" i="50"/>
  <c r="DJ105" i="50"/>
  <c r="DJ106" i="50"/>
  <c r="DJ107" i="50"/>
  <c r="DJ108" i="50"/>
  <c r="DJ109" i="50"/>
  <c r="DJ103" i="50"/>
  <c r="DJ110" i="50"/>
  <c r="DJ111" i="50"/>
  <c r="DJ113" i="50"/>
  <c r="DJ116" i="50"/>
  <c r="DJ112" i="50"/>
  <c r="DJ122" i="50"/>
  <c r="DJ119" i="50"/>
  <c r="DJ86" i="50"/>
  <c r="DJ114" i="50"/>
  <c r="DJ118" i="50"/>
  <c r="DJ89" i="50"/>
  <c r="DJ120" i="50"/>
  <c r="DJ90" i="50"/>
  <c r="DJ121" i="50"/>
  <c r="DJ115" i="50"/>
  <c r="DJ93" i="50"/>
  <c r="DJ92" i="50"/>
  <c r="DJ94" i="50"/>
  <c r="DJ117" i="50"/>
  <c r="DJ87" i="50"/>
  <c r="DJ88" i="50"/>
  <c r="DJ91" i="50"/>
  <c r="DJ95" i="50"/>
  <c r="DJ97" i="50"/>
  <c r="DJ96" i="50"/>
  <c r="DI99" i="50"/>
  <c r="DL59" i="50"/>
  <c r="DL68" i="50" s="1"/>
  <c r="DL63" i="50"/>
  <c r="DL61" i="50"/>
  <c r="DL70" i="50" s="1"/>
  <c r="DL65" i="50"/>
  <c r="DI123" i="50"/>
  <c r="DN21" i="50"/>
  <c r="DN26" i="50" s="1"/>
  <c r="DN161" i="50"/>
  <c r="DL87" i="19"/>
  <c r="DL44" i="50"/>
  <c r="DL45" i="50"/>
  <c r="DL49" i="50"/>
  <c r="DL47" i="50"/>
  <c r="DL48" i="50"/>
  <c r="DL50" i="50"/>
  <c r="DL46" i="50"/>
  <c r="DL55" i="50"/>
  <c r="DL56" i="50"/>
  <c r="DL82" i="19"/>
  <c r="DL85" i="19"/>
  <c r="DL88" i="19"/>
  <c r="DK51" i="50"/>
  <c r="DL84" i="19"/>
  <c r="DL83" i="19"/>
  <c r="DL86" i="19"/>
  <c r="DL81" i="19"/>
  <c r="DM22" i="50"/>
  <c r="DI165" i="50"/>
  <c r="DI166" i="50" s="1"/>
  <c r="DI156" i="50"/>
  <c r="DM23" i="50"/>
  <c r="DM98" i="50" s="1"/>
  <c r="DN149" i="50"/>
  <c r="L52" i="4"/>
  <c r="L57" i="4" s="1"/>
  <c r="DI52" i="31"/>
  <c r="DI54" i="31" s="1"/>
  <c r="DI55" i="31" s="1"/>
  <c r="L51" i="4"/>
  <c r="L56" i="4" s="1"/>
  <c r="DO6" i="28"/>
  <c r="DO42" i="31"/>
  <c r="DO6" i="50"/>
  <c r="DI155" i="50"/>
  <c r="DI136" i="50"/>
  <c r="DI134" i="50"/>
  <c r="DJ162" i="50"/>
  <c r="DJ132" i="50"/>
  <c r="DJ133" i="50" s="1"/>
  <c r="DJ136" i="50" s="1"/>
  <c r="DJ144" i="50"/>
  <c r="DJ156" i="50" s="1"/>
  <c r="DJ146" i="50"/>
  <c r="DJ158" i="50" s="1"/>
  <c r="DO41" i="31"/>
  <c r="DO5" i="28"/>
  <c r="DO5" i="50"/>
  <c r="DK128" i="50"/>
  <c r="DK130" i="50" s="1"/>
  <c r="DK74" i="50"/>
  <c r="DK72" i="50"/>
  <c r="DJ76" i="50"/>
  <c r="DJ77" i="50" s="1"/>
  <c r="DJ78" i="50" s="1"/>
  <c r="DJ81" i="50" s="1"/>
  <c r="FR73" i="50"/>
  <c r="DR139" i="50"/>
  <c r="DQ142" i="50"/>
  <c r="DL30" i="50"/>
  <c r="DL31" i="50"/>
  <c r="DL32" i="50"/>
  <c r="DL33" i="50"/>
  <c r="DL34" i="50"/>
  <c r="DK36" i="50"/>
  <c r="DK132" i="50" l="1"/>
  <c r="DK133" i="50" s="1"/>
  <c r="DK104" i="50"/>
  <c r="DK105" i="50"/>
  <c r="DK106" i="50"/>
  <c r="DK107" i="50"/>
  <c r="DK108" i="50"/>
  <c r="DK109" i="50"/>
  <c r="DK103" i="50"/>
  <c r="DK110" i="50"/>
  <c r="DK112" i="50"/>
  <c r="DK111" i="50"/>
  <c r="DK116" i="50"/>
  <c r="DK119" i="50"/>
  <c r="DK117" i="50"/>
  <c r="DK113" i="50"/>
  <c r="DK122" i="50"/>
  <c r="DK114" i="50"/>
  <c r="DK115" i="50"/>
  <c r="DK118" i="50"/>
  <c r="DK91" i="50"/>
  <c r="DK86" i="50"/>
  <c r="DK87" i="50"/>
  <c r="DK88" i="50"/>
  <c r="DK120" i="50"/>
  <c r="DK121" i="50"/>
  <c r="DK96" i="50"/>
  <c r="DK93" i="50"/>
  <c r="DK92" i="50"/>
  <c r="DK89" i="50"/>
  <c r="DK90" i="50"/>
  <c r="DK97" i="50"/>
  <c r="DK94" i="50"/>
  <c r="DK95" i="50"/>
  <c r="DJ99" i="50"/>
  <c r="DM61" i="50"/>
  <c r="DM70" i="50" s="1"/>
  <c r="DM59" i="50"/>
  <c r="DM68" i="50" s="1"/>
  <c r="DM65" i="50"/>
  <c r="DM63" i="50"/>
  <c r="DJ123" i="50"/>
  <c r="DO21" i="50"/>
  <c r="DO26" i="50" s="1"/>
  <c r="DO161" i="50"/>
  <c r="DI47" i="31"/>
  <c r="DI49" i="31" s="1"/>
  <c r="DM83" i="19"/>
  <c r="DM44" i="50"/>
  <c r="DM45" i="50"/>
  <c r="DM46" i="50"/>
  <c r="DM48" i="50"/>
  <c r="DM49" i="50"/>
  <c r="DM47" i="50"/>
  <c r="DM50" i="50"/>
  <c r="DM55" i="50"/>
  <c r="DM56" i="50"/>
  <c r="DM84" i="19"/>
  <c r="DM88" i="19"/>
  <c r="DM85" i="19"/>
  <c r="DM82" i="19"/>
  <c r="DL51" i="50"/>
  <c r="DM86" i="19"/>
  <c r="DM87" i="19"/>
  <c r="DJ52" i="31"/>
  <c r="DJ54" i="31" s="1"/>
  <c r="DJ55" i="31" s="1"/>
  <c r="DM81" i="19"/>
  <c r="DN22" i="50"/>
  <c r="DN23" i="50"/>
  <c r="DN98" i="50" s="1"/>
  <c r="DO149" i="50"/>
  <c r="DJ134" i="50"/>
  <c r="DJ155" i="50"/>
  <c r="DP42" i="31"/>
  <c r="DP6" i="28"/>
  <c r="DP6" i="50"/>
  <c r="DJ165" i="50"/>
  <c r="DK146" i="50"/>
  <c r="DK158" i="50" s="1"/>
  <c r="DK145" i="50"/>
  <c r="DK157" i="50" s="1"/>
  <c r="DK144" i="50"/>
  <c r="DK156" i="50" s="1"/>
  <c r="DK76" i="50"/>
  <c r="DK77" i="50" s="1"/>
  <c r="DK78" i="50" s="1"/>
  <c r="DK81" i="50" s="1"/>
  <c r="DK162" i="50"/>
  <c r="DP41" i="31"/>
  <c r="DP5" i="28"/>
  <c r="DP5" i="50"/>
  <c r="FS73" i="50"/>
  <c r="DL72" i="50"/>
  <c r="DL128" i="50"/>
  <c r="DL130" i="50" s="1"/>
  <c r="DS139" i="50"/>
  <c r="DR142" i="50"/>
  <c r="DL74" i="50"/>
  <c r="DL36" i="50"/>
  <c r="DM34" i="50"/>
  <c r="DM30" i="50"/>
  <c r="DM31" i="50"/>
  <c r="DM32" i="50"/>
  <c r="DM33" i="50"/>
  <c r="DK52" i="31"/>
  <c r="DK54" i="31" s="1"/>
  <c r="DK134" i="50"/>
  <c r="DK136" i="50"/>
  <c r="DK155" i="50"/>
  <c r="DL104" i="50" l="1"/>
  <c r="DL103" i="50"/>
  <c r="DL105" i="50"/>
  <c r="DL107" i="50"/>
  <c r="DL106" i="50"/>
  <c r="DL108" i="50"/>
  <c r="DL109" i="50"/>
  <c r="DL110" i="50"/>
  <c r="DL112" i="50"/>
  <c r="DL111" i="50"/>
  <c r="DL113" i="50"/>
  <c r="DL118" i="50"/>
  <c r="DL114" i="50"/>
  <c r="DL116" i="50"/>
  <c r="DL117" i="50"/>
  <c r="DL120" i="50"/>
  <c r="DL115" i="50"/>
  <c r="DL88" i="50"/>
  <c r="DL119" i="50"/>
  <c r="DL91" i="50"/>
  <c r="DL121" i="50"/>
  <c r="DL92" i="50"/>
  <c r="DL86" i="50"/>
  <c r="DL87" i="50"/>
  <c r="DL89" i="50"/>
  <c r="DL90" i="50"/>
  <c r="DL96" i="50"/>
  <c r="DL93" i="50"/>
  <c r="DL122" i="50"/>
  <c r="DL97" i="50"/>
  <c r="DL94" i="50"/>
  <c r="DL95" i="50"/>
  <c r="DJ47" i="31"/>
  <c r="DJ49" i="31" s="1"/>
  <c r="DJ166" i="50"/>
  <c r="DN61" i="50"/>
  <c r="DN70" i="50" s="1"/>
  <c r="DN65" i="50"/>
  <c r="DN63" i="50"/>
  <c r="DN59" i="50"/>
  <c r="DN68" i="50" s="1"/>
  <c r="DK123" i="50"/>
  <c r="DK99" i="50"/>
  <c r="DP21" i="50"/>
  <c r="DP26" i="50" s="1"/>
  <c r="DP161" i="50"/>
  <c r="DN86" i="19"/>
  <c r="DN88" i="19"/>
  <c r="DN46" i="50"/>
  <c r="DN44" i="50"/>
  <c r="DN45" i="50"/>
  <c r="DN48" i="50"/>
  <c r="DN55" i="50"/>
  <c r="DN47" i="50"/>
  <c r="DN49" i="50"/>
  <c r="DN50" i="50"/>
  <c r="DN56" i="50"/>
  <c r="DN82" i="19"/>
  <c r="DN85" i="19"/>
  <c r="DN83" i="19"/>
  <c r="DN84" i="19"/>
  <c r="DN87" i="19"/>
  <c r="DM51" i="50"/>
  <c r="DK55" i="31"/>
  <c r="DN81" i="19"/>
  <c r="DO22" i="50"/>
  <c r="DO23" i="50"/>
  <c r="DO98" i="50" s="1"/>
  <c r="DP149" i="50"/>
  <c r="DQ6" i="50"/>
  <c r="DQ6" i="28"/>
  <c r="DQ42" i="31"/>
  <c r="DK165" i="50"/>
  <c r="DL162" i="50"/>
  <c r="DL146" i="50"/>
  <c r="DL158" i="50" s="1"/>
  <c r="DL145" i="50"/>
  <c r="DL157" i="50" s="1"/>
  <c r="DQ41" i="31"/>
  <c r="DQ5" i="28"/>
  <c r="DQ5" i="50"/>
  <c r="DL144" i="50"/>
  <c r="DL156" i="50" s="1"/>
  <c r="DM74" i="50"/>
  <c r="DM72" i="50"/>
  <c r="DL132" i="50"/>
  <c r="DL133" i="50" s="1"/>
  <c r="DL155" i="50" s="1"/>
  <c r="FT73" i="50"/>
  <c r="DM128" i="50"/>
  <c r="DM130" i="50" s="1"/>
  <c r="DL76" i="50"/>
  <c r="DL77" i="50" s="1"/>
  <c r="DL78" i="50" s="1"/>
  <c r="DL81" i="50" s="1"/>
  <c r="DS142" i="50"/>
  <c r="DT139" i="50"/>
  <c r="DM36" i="50"/>
  <c r="DN30" i="50"/>
  <c r="DN31" i="50"/>
  <c r="DN32" i="50"/>
  <c r="DN33" i="50"/>
  <c r="DN34" i="50"/>
  <c r="DM103" i="50" l="1"/>
  <c r="DM104" i="50"/>
  <c r="DM105" i="50"/>
  <c r="DM107" i="50"/>
  <c r="DM106" i="50"/>
  <c r="DM108" i="50"/>
  <c r="DM111" i="50"/>
  <c r="DM109" i="50"/>
  <c r="DM112" i="50"/>
  <c r="DM110" i="50"/>
  <c r="DM113" i="50"/>
  <c r="DM115" i="50"/>
  <c r="DM118" i="50"/>
  <c r="DM121" i="50"/>
  <c r="DM88" i="50"/>
  <c r="DM114" i="50"/>
  <c r="DM119" i="50"/>
  <c r="DM117" i="50"/>
  <c r="DM120" i="50"/>
  <c r="DM122" i="50"/>
  <c r="DM89" i="50"/>
  <c r="DM91" i="50"/>
  <c r="DM86" i="50"/>
  <c r="DM87" i="50"/>
  <c r="DM116" i="50"/>
  <c r="DM94" i="50"/>
  <c r="DM96" i="50"/>
  <c r="DM95" i="50"/>
  <c r="DM92" i="50"/>
  <c r="DM97" i="50"/>
  <c r="DM90" i="50"/>
  <c r="DM93" i="50"/>
  <c r="DK47" i="31"/>
  <c r="DK49" i="31" s="1"/>
  <c r="DK166" i="50"/>
  <c r="DO59" i="50"/>
  <c r="DO68" i="50" s="1"/>
  <c r="DO63" i="50"/>
  <c r="DO65" i="50"/>
  <c r="DO61" i="50"/>
  <c r="DO70" i="50" s="1"/>
  <c r="DL99" i="50"/>
  <c r="DL123" i="50"/>
  <c r="DQ21" i="50"/>
  <c r="DQ26" i="50" s="1"/>
  <c r="DQ161" i="50"/>
  <c r="DO84" i="19"/>
  <c r="DO87" i="19"/>
  <c r="DO46" i="50"/>
  <c r="DO44" i="50"/>
  <c r="DO47" i="50"/>
  <c r="DO45" i="50"/>
  <c r="DO48" i="50"/>
  <c r="DO55" i="50"/>
  <c r="DO49" i="50"/>
  <c r="DO56" i="50"/>
  <c r="DO50" i="50"/>
  <c r="DO88" i="19"/>
  <c r="DO83" i="19"/>
  <c r="DO85" i="19"/>
  <c r="DO82" i="19"/>
  <c r="DN51" i="50"/>
  <c r="DO86" i="19"/>
  <c r="DO81" i="19"/>
  <c r="DP22" i="50"/>
  <c r="DP23" i="50"/>
  <c r="DP98" i="50" s="1"/>
  <c r="DQ149" i="50"/>
  <c r="DM144" i="50"/>
  <c r="DM156" i="50" s="1"/>
  <c r="DR6" i="28"/>
  <c r="DR42" i="31"/>
  <c r="DR6" i="50"/>
  <c r="DM162" i="50"/>
  <c r="DL165" i="50"/>
  <c r="DL52" i="31"/>
  <c r="DL54" i="31" s="1"/>
  <c r="DL55" i="31" s="1"/>
  <c r="DM146" i="50"/>
  <c r="DM158" i="50" s="1"/>
  <c r="DM145" i="50"/>
  <c r="DM157" i="50" s="1"/>
  <c r="DR41" i="31"/>
  <c r="DR5" i="28"/>
  <c r="DR5" i="50"/>
  <c r="DM132" i="50"/>
  <c r="DM133" i="50" s="1"/>
  <c r="DM52" i="31" s="1"/>
  <c r="DM54" i="31" s="1"/>
  <c r="DM76" i="50"/>
  <c r="DM77" i="50" s="1"/>
  <c r="DM78" i="50" s="1"/>
  <c r="DM81" i="50" s="1"/>
  <c r="DL136" i="50"/>
  <c r="DL134" i="50"/>
  <c r="FU73" i="50"/>
  <c r="DN74" i="50"/>
  <c r="DN72" i="50"/>
  <c r="DU139" i="50"/>
  <c r="DT142" i="50"/>
  <c r="DN128" i="50"/>
  <c r="DN130" i="50" s="1"/>
  <c r="DN36" i="50"/>
  <c r="DO33" i="50"/>
  <c r="DO34" i="50"/>
  <c r="DO30" i="50"/>
  <c r="DO31" i="50"/>
  <c r="DO32" i="50"/>
  <c r="DN145" i="50" l="1"/>
  <c r="DN157" i="50" s="1"/>
  <c r="DN103" i="50"/>
  <c r="DN106" i="50"/>
  <c r="DN104" i="50"/>
  <c r="DN105" i="50"/>
  <c r="DN110" i="50"/>
  <c r="DN107" i="50"/>
  <c r="DN109" i="50"/>
  <c r="DN111" i="50"/>
  <c r="DN108" i="50"/>
  <c r="DN113" i="50"/>
  <c r="DN115" i="50"/>
  <c r="DN116" i="50"/>
  <c r="DN119" i="50"/>
  <c r="DN121" i="50"/>
  <c r="DN122" i="50"/>
  <c r="DN117" i="50"/>
  <c r="DN120" i="50"/>
  <c r="DN90" i="50"/>
  <c r="DN118" i="50"/>
  <c r="DN86" i="50"/>
  <c r="DN112" i="50"/>
  <c r="DN114" i="50"/>
  <c r="DN88" i="50"/>
  <c r="DN87" i="50"/>
  <c r="DN95" i="50"/>
  <c r="DN92" i="50"/>
  <c r="DN93" i="50"/>
  <c r="DN91" i="50"/>
  <c r="DN94" i="50"/>
  <c r="DN96" i="50"/>
  <c r="DN89" i="50"/>
  <c r="DN97" i="50"/>
  <c r="DL47" i="31"/>
  <c r="DL49" i="31" s="1"/>
  <c r="DL166" i="50"/>
  <c r="DP59" i="50"/>
  <c r="DP68" i="50" s="1"/>
  <c r="DP65" i="50"/>
  <c r="DP61" i="50"/>
  <c r="DP70" i="50" s="1"/>
  <c r="DP63" i="50"/>
  <c r="DM99" i="50"/>
  <c r="DM123" i="50"/>
  <c r="DR21" i="50"/>
  <c r="DR26" i="50" s="1"/>
  <c r="DR161" i="50"/>
  <c r="DP44" i="50"/>
  <c r="DP45" i="50"/>
  <c r="DP46" i="50"/>
  <c r="DP48" i="50"/>
  <c r="DP47" i="50"/>
  <c r="DP49" i="50"/>
  <c r="DP55" i="50"/>
  <c r="DP50" i="50"/>
  <c r="DP56" i="50"/>
  <c r="DP83" i="19"/>
  <c r="DP88" i="19"/>
  <c r="DO51" i="50"/>
  <c r="DP87" i="19"/>
  <c r="DP82" i="19"/>
  <c r="DP85" i="19"/>
  <c r="DP86" i="19"/>
  <c r="DP84" i="19"/>
  <c r="DP81" i="19"/>
  <c r="DM165" i="50"/>
  <c r="DQ23" i="50"/>
  <c r="DQ98" i="50" s="1"/>
  <c r="DQ22" i="50"/>
  <c r="DR149" i="50"/>
  <c r="DS42" i="31"/>
  <c r="DS6" i="28"/>
  <c r="DS6" i="50"/>
  <c r="DM55" i="31"/>
  <c r="DM155" i="50"/>
  <c r="DM136" i="50"/>
  <c r="DM134" i="50"/>
  <c r="DS41" i="31"/>
  <c r="DS5" i="28"/>
  <c r="DS5" i="50"/>
  <c r="DO128" i="50"/>
  <c r="DO130" i="50" s="1"/>
  <c r="DO74" i="50"/>
  <c r="DO72" i="50"/>
  <c r="FV73" i="50"/>
  <c r="DN76" i="50"/>
  <c r="DN77" i="50" s="1"/>
  <c r="DN78" i="50" s="1"/>
  <c r="DN81" i="50" s="1"/>
  <c r="DN162" i="50"/>
  <c r="DN144" i="50"/>
  <c r="DN165" i="50" s="1"/>
  <c r="DN166" i="50" s="1"/>
  <c r="DV139" i="50"/>
  <c r="DU142" i="50"/>
  <c r="DN132" i="50"/>
  <c r="DN133" i="50" s="1"/>
  <c r="DN155" i="50" s="1"/>
  <c r="DN146" i="50"/>
  <c r="DN158" i="50" s="1"/>
  <c r="DO36" i="50"/>
  <c r="DP30" i="50"/>
  <c r="DP31" i="50"/>
  <c r="DP32" i="50"/>
  <c r="DP33" i="50"/>
  <c r="DP34" i="50"/>
  <c r="DO132" i="50" l="1"/>
  <c r="DO133" i="50" s="1"/>
  <c r="DO105" i="50"/>
  <c r="DO103" i="50"/>
  <c r="DO107" i="50"/>
  <c r="DO110" i="50"/>
  <c r="DO104" i="50"/>
  <c r="DO106" i="50"/>
  <c r="DO108" i="50"/>
  <c r="DO109" i="50"/>
  <c r="DO112" i="50"/>
  <c r="DO117" i="50"/>
  <c r="DO111" i="50"/>
  <c r="DO113" i="50"/>
  <c r="DO119" i="50"/>
  <c r="DO87" i="50"/>
  <c r="DO115" i="50"/>
  <c r="DO90" i="50"/>
  <c r="DO114" i="50"/>
  <c r="DO91" i="50"/>
  <c r="DO122" i="50"/>
  <c r="DO92" i="50"/>
  <c r="DO93" i="50"/>
  <c r="DO118" i="50"/>
  <c r="DO120" i="50"/>
  <c r="DO121" i="50"/>
  <c r="DO86" i="50"/>
  <c r="DO88" i="50"/>
  <c r="DO95" i="50"/>
  <c r="DO96" i="50"/>
  <c r="DO94" i="50"/>
  <c r="DO89" i="50"/>
  <c r="DO116" i="50"/>
  <c r="DO97" i="50"/>
  <c r="DM47" i="31"/>
  <c r="DM49" i="31" s="1"/>
  <c r="DM166" i="50"/>
  <c r="DN99" i="50"/>
  <c r="DN123" i="50"/>
  <c r="DQ61" i="50"/>
  <c r="DQ70" i="50" s="1"/>
  <c r="DQ59" i="50"/>
  <c r="DQ68" i="50" s="1"/>
  <c r="DQ63" i="50"/>
  <c r="DQ72" i="50" s="1"/>
  <c r="DQ65" i="50"/>
  <c r="DS21" i="50"/>
  <c r="DS26" i="50" s="1"/>
  <c r="DS161" i="50"/>
  <c r="DQ85" i="19"/>
  <c r="DQ86" i="19"/>
  <c r="DQ87" i="19"/>
  <c r="DQ82" i="19"/>
  <c r="DQ45" i="50"/>
  <c r="DQ46" i="50"/>
  <c r="DQ50" i="50"/>
  <c r="DQ47" i="50"/>
  <c r="DQ48" i="50"/>
  <c r="DQ55" i="50"/>
  <c r="DQ49" i="50"/>
  <c r="DQ44" i="50"/>
  <c r="DQ56" i="50"/>
  <c r="DQ88" i="19"/>
  <c r="DQ83" i="19"/>
  <c r="DQ84" i="19"/>
  <c r="DP51" i="50"/>
  <c r="DQ81" i="19"/>
  <c r="DN156" i="50"/>
  <c r="DR22" i="50"/>
  <c r="DR23" i="50"/>
  <c r="DR98" i="50" s="1"/>
  <c r="DS149" i="50"/>
  <c r="DT42" i="31"/>
  <c r="DT6" i="28"/>
  <c r="DT6" i="50"/>
  <c r="DO162" i="50"/>
  <c r="DO146" i="50"/>
  <c r="DO158" i="50" s="1"/>
  <c r="DO76" i="50"/>
  <c r="DO77" i="50" s="1"/>
  <c r="DO78" i="50" s="1"/>
  <c r="DO81" i="50" s="1"/>
  <c r="DN134" i="50"/>
  <c r="DO145" i="50"/>
  <c r="DO157" i="50" s="1"/>
  <c r="DN52" i="31"/>
  <c r="DN54" i="31" s="1"/>
  <c r="DN55" i="31" s="1"/>
  <c r="DO144" i="50"/>
  <c r="DO156" i="50" s="1"/>
  <c r="DT41" i="31"/>
  <c r="DT5" i="28"/>
  <c r="DT5" i="50"/>
  <c r="FW73" i="50"/>
  <c r="DN136" i="50"/>
  <c r="DP74" i="50"/>
  <c r="DP72" i="50"/>
  <c r="DW139" i="50"/>
  <c r="DV142" i="50"/>
  <c r="DP128" i="50"/>
  <c r="DP130" i="50" s="1"/>
  <c r="DP36" i="50"/>
  <c r="DQ33" i="50"/>
  <c r="DQ34" i="50"/>
  <c r="DQ30" i="50"/>
  <c r="DQ31" i="50"/>
  <c r="DQ32" i="50"/>
  <c r="DN47" i="31"/>
  <c r="DN49" i="31" s="1"/>
  <c r="DO52" i="31"/>
  <c r="DO54" i="31" s="1"/>
  <c r="DO134" i="50"/>
  <c r="DO136" i="50"/>
  <c r="DO155" i="50"/>
  <c r="DP105" i="50" l="1"/>
  <c r="DP103" i="50"/>
  <c r="DP106" i="50"/>
  <c r="DP104" i="50"/>
  <c r="DP107" i="50"/>
  <c r="DP108" i="50"/>
  <c r="DP111" i="50"/>
  <c r="DP110" i="50"/>
  <c r="DP113" i="50"/>
  <c r="DP109" i="50"/>
  <c r="DP114" i="50"/>
  <c r="DP117" i="50"/>
  <c r="DP118" i="50"/>
  <c r="DP120" i="50"/>
  <c r="DP119" i="50"/>
  <c r="DP116" i="50"/>
  <c r="DP87" i="50"/>
  <c r="DP115" i="50"/>
  <c r="DP88" i="50"/>
  <c r="DP122" i="50"/>
  <c r="DP112" i="50"/>
  <c r="DP121" i="50"/>
  <c r="DP86" i="50"/>
  <c r="DP89" i="50"/>
  <c r="DP93" i="50"/>
  <c r="DP97" i="50"/>
  <c r="DP91" i="50"/>
  <c r="DP95" i="50"/>
  <c r="DP96" i="50"/>
  <c r="DP94" i="50"/>
  <c r="DP92" i="50"/>
  <c r="DP90" i="50"/>
  <c r="DR61" i="50"/>
  <c r="DR70" i="50" s="1"/>
  <c r="DR59" i="50"/>
  <c r="DR68" i="50" s="1"/>
  <c r="DR63" i="50"/>
  <c r="DR65" i="50"/>
  <c r="DO123" i="50"/>
  <c r="DO99" i="50"/>
  <c r="DT21" i="50"/>
  <c r="DT26" i="50" s="1"/>
  <c r="DT161" i="50"/>
  <c r="DR84" i="19"/>
  <c r="DR45" i="50"/>
  <c r="DR46" i="50"/>
  <c r="DR47" i="50"/>
  <c r="DR49" i="50"/>
  <c r="DR44" i="50"/>
  <c r="DR50" i="50"/>
  <c r="DR48" i="50"/>
  <c r="DR55" i="50"/>
  <c r="DR56" i="50"/>
  <c r="DR86" i="19"/>
  <c r="DR83" i="19"/>
  <c r="DR88" i="19"/>
  <c r="DR87" i="19"/>
  <c r="DR85" i="19"/>
  <c r="DQ51" i="50"/>
  <c r="DR82" i="19"/>
  <c r="DR81" i="19"/>
  <c r="DS22" i="50"/>
  <c r="DS23" i="50"/>
  <c r="DS98" i="50" s="1"/>
  <c r="DT149" i="50"/>
  <c r="DU42" i="31"/>
  <c r="DU6" i="28"/>
  <c r="DU6" i="50"/>
  <c r="DO55" i="31"/>
  <c r="DO165" i="50"/>
  <c r="DO166" i="50" s="1"/>
  <c r="DQ74" i="50"/>
  <c r="DU41" i="31"/>
  <c r="DU5" i="28"/>
  <c r="DU5" i="50"/>
  <c r="FX73" i="50"/>
  <c r="DQ128" i="50"/>
  <c r="DQ130" i="50" s="1"/>
  <c r="DP76" i="50"/>
  <c r="DP77" i="50" s="1"/>
  <c r="DP78" i="50" s="1"/>
  <c r="DP81" i="50" s="1"/>
  <c r="DP162" i="50"/>
  <c r="DP146" i="50"/>
  <c r="DP158" i="50" s="1"/>
  <c r="DP145" i="50"/>
  <c r="DP157" i="50" s="1"/>
  <c r="DP144" i="50"/>
  <c r="DP156" i="50" s="1"/>
  <c r="DP132" i="50"/>
  <c r="DP133" i="50" s="1"/>
  <c r="DP155" i="50" s="1"/>
  <c r="DW142" i="50"/>
  <c r="DX139" i="50"/>
  <c r="DQ36" i="50"/>
  <c r="DR30" i="50"/>
  <c r="DR31" i="50"/>
  <c r="DR32" i="50"/>
  <c r="DR33" i="50"/>
  <c r="DR34" i="50"/>
  <c r="DQ105" i="50" l="1"/>
  <c r="DQ103" i="50"/>
  <c r="DQ104" i="50"/>
  <c r="DQ108" i="50"/>
  <c r="DQ109" i="50"/>
  <c r="DQ110" i="50"/>
  <c r="DQ111" i="50"/>
  <c r="DQ112" i="50"/>
  <c r="DQ107" i="50"/>
  <c r="DQ106" i="50"/>
  <c r="DQ114" i="50"/>
  <c r="DQ115" i="50"/>
  <c r="DQ116" i="50"/>
  <c r="DQ113" i="50"/>
  <c r="DQ120" i="50"/>
  <c r="DQ121" i="50"/>
  <c r="DQ89" i="50"/>
  <c r="DQ92" i="50"/>
  <c r="DQ118" i="50"/>
  <c r="DQ93" i="50"/>
  <c r="DQ117" i="50"/>
  <c r="DQ122" i="50"/>
  <c r="DQ87" i="50"/>
  <c r="DQ88" i="50"/>
  <c r="DQ90" i="50"/>
  <c r="DQ91" i="50"/>
  <c r="DQ94" i="50"/>
  <c r="DQ86" i="50"/>
  <c r="DQ97" i="50"/>
  <c r="DQ119" i="50"/>
  <c r="DQ96" i="50"/>
  <c r="DQ95" i="50"/>
  <c r="DP123" i="50"/>
  <c r="DS63" i="50"/>
  <c r="DS61" i="50"/>
  <c r="DS70" i="50" s="1"/>
  <c r="DS59" i="50"/>
  <c r="DS68" i="50" s="1"/>
  <c r="DS65" i="50"/>
  <c r="DP99" i="50"/>
  <c r="DU21" i="50"/>
  <c r="DU26" i="50" s="1"/>
  <c r="DU161" i="50"/>
  <c r="DR51" i="50"/>
  <c r="DS85" i="19"/>
  <c r="DS84" i="19"/>
  <c r="DS87" i="19"/>
  <c r="DS88" i="19"/>
  <c r="DS83" i="19"/>
  <c r="DS47" i="50"/>
  <c r="DS45" i="50"/>
  <c r="DS44" i="50"/>
  <c r="DS46" i="50"/>
  <c r="DS48" i="50"/>
  <c r="DS50" i="50"/>
  <c r="DS49" i="50"/>
  <c r="DS55" i="50"/>
  <c r="DS56" i="50"/>
  <c r="DS86" i="19"/>
  <c r="DS82" i="19"/>
  <c r="DS81" i="19"/>
  <c r="DT22" i="50"/>
  <c r="DT23" i="50"/>
  <c r="DT98" i="50" s="1"/>
  <c r="DU149" i="50"/>
  <c r="DV42" i="31"/>
  <c r="DV6" i="50"/>
  <c r="DV6" i="28"/>
  <c r="DQ162" i="50"/>
  <c r="DQ146" i="50"/>
  <c r="DQ158" i="50" s="1"/>
  <c r="DO47" i="31"/>
  <c r="DO49" i="31" s="1"/>
  <c r="DQ145" i="50"/>
  <c r="DQ157" i="50" s="1"/>
  <c r="DP134" i="50"/>
  <c r="DQ144" i="50"/>
  <c r="DQ156" i="50" s="1"/>
  <c r="DQ76" i="50"/>
  <c r="DQ77" i="50" s="1"/>
  <c r="DQ78" i="50" s="1"/>
  <c r="DQ81" i="50" s="1"/>
  <c r="DQ132" i="50"/>
  <c r="DQ133" i="50" s="1"/>
  <c r="DQ52" i="31" s="1"/>
  <c r="DQ54" i="31" s="1"/>
  <c r="DP136" i="50"/>
  <c r="DP52" i="31"/>
  <c r="DP54" i="31" s="1"/>
  <c r="DP55" i="31" s="1"/>
  <c r="DV41" i="31"/>
  <c r="DV5" i="28"/>
  <c r="DV5" i="50"/>
  <c r="FY73" i="50"/>
  <c r="DS72" i="50"/>
  <c r="DP165" i="50"/>
  <c r="DR74" i="50"/>
  <c r="DR72" i="50"/>
  <c r="DY139" i="50"/>
  <c r="DX142" i="50"/>
  <c r="DR128" i="50"/>
  <c r="DR130" i="50" s="1"/>
  <c r="DR36" i="50"/>
  <c r="DS34" i="50"/>
  <c r="DS30" i="50"/>
  <c r="DS31" i="50"/>
  <c r="DS32" i="50"/>
  <c r="DS33" i="50"/>
  <c r="DR104" i="50" l="1"/>
  <c r="DR105" i="50"/>
  <c r="DR103" i="50"/>
  <c r="DR109" i="50"/>
  <c r="DR106" i="50"/>
  <c r="DR107" i="50"/>
  <c r="DR110" i="50"/>
  <c r="DR113" i="50"/>
  <c r="DR116" i="50"/>
  <c r="DR112" i="50"/>
  <c r="DR114" i="50"/>
  <c r="DR115" i="50"/>
  <c r="DR117" i="50"/>
  <c r="DR118" i="50"/>
  <c r="DR122" i="50"/>
  <c r="DR111" i="50"/>
  <c r="DR86" i="50"/>
  <c r="DR89" i="50"/>
  <c r="DR119" i="50"/>
  <c r="DR90" i="50"/>
  <c r="DR120" i="50"/>
  <c r="DR121" i="50"/>
  <c r="DR87" i="50"/>
  <c r="DR88" i="50"/>
  <c r="DR91" i="50"/>
  <c r="DR94" i="50"/>
  <c r="DR95" i="50"/>
  <c r="DR93" i="50"/>
  <c r="DR97" i="50"/>
  <c r="DR108" i="50"/>
  <c r="DR96" i="50"/>
  <c r="DR92" i="50"/>
  <c r="DP47" i="31"/>
  <c r="DP49" i="31" s="1"/>
  <c r="DP166" i="50"/>
  <c r="DQ99" i="50"/>
  <c r="DT59" i="50"/>
  <c r="DT68" i="50" s="1"/>
  <c r="DT63" i="50"/>
  <c r="DT61" i="50"/>
  <c r="DT70" i="50" s="1"/>
  <c r="DT65" i="50"/>
  <c r="DQ123" i="50"/>
  <c r="DV21" i="50"/>
  <c r="DV26" i="50" s="1"/>
  <c r="DV161" i="50"/>
  <c r="DT83" i="19"/>
  <c r="DT82" i="19"/>
  <c r="DS51" i="50"/>
  <c r="DT86" i="19"/>
  <c r="DT44" i="50"/>
  <c r="DT45" i="50"/>
  <c r="DT47" i="50"/>
  <c r="DT46" i="50"/>
  <c r="DT49" i="50"/>
  <c r="DT50" i="50"/>
  <c r="DT48" i="50"/>
  <c r="DT55" i="50"/>
  <c r="DT56" i="50"/>
  <c r="DT87" i="19"/>
  <c r="DT88" i="19"/>
  <c r="DT84" i="19"/>
  <c r="DT85" i="19"/>
  <c r="DT81" i="19"/>
  <c r="DU23" i="50"/>
  <c r="DU98" i="50" s="1"/>
  <c r="DU22" i="50"/>
  <c r="DV149" i="50"/>
  <c r="DW42" i="31"/>
  <c r="DW6" i="28"/>
  <c r="DW6" i="50"/>
  <c r="DQ155" i="50"/>
  <c r="DQ165" i="50"/>
  <c r="DQ134" i="50"/>
  <c r="DQ136" i="50"/>
  <c r="DQ55" i="31"/>
  <c r="DS128" i="50"/>
  <c r="DS130" i="50" s="1"/>
  <c r="DR162" i="50"/>
  <c r="DS74" i="50"/>
  <c r="DR132" i="50"/>
  <c r="DR133" i="50" s="1"/>
  <c r="DR52" i="31" s="1"/>
  <c r="DR54" i="31" s="1"/>
  <c r="DR146" i="50"/>
  <c r="DR158" i="50" s="1"/>
  <c r="DR145" i="50"/>
  <c r="DR157" i="50" s="1"/>
  <c r="DR144" i="50"/>
  <c r="DR156" i="50" s="1"/>
  <c r="DW41" i="31"/>
  <c r="DW5" i="28"/>
  <c r="DW5" i="50"/>
  <c r="FZ73" i="50"/>
  <c r="DR76" i="50"/>
  <c r="DR77" i="50" s="1"/>
  <c r="DR78" i="50" s="1"/>
  <c r="DR81" i="50" s="1"/>
  <c r="DY142" i="50"/>
  <c r="DZ139" i="50"/>
  <c r="DS36" i="50"/>
  <c r="DT30" i="50"/>
  <c r="DT31" i="50"/>
  <c r="DT32" i="50"/>
  <c r="DT33" i="50"/>
  <c r="DT34" i="50"/>
  <c r="DS104" i="50" l="1"/>
  <c r="DS105" i="50"/>
  <c r="DS103" i="50"/>
  <c r="DS108" i="50"/>
  <c r="DS109" i="50"/>
  <c r="DS111" i="50"/>
  <c r="DS112" i="50"/>
  <c r="DS107" i="50"/>
  <c r="DS110" i="50"/>
  <c r="DS106" i="50"/>
  <c r="DS116" i="50"/>
  <c r="DS119" i="50"/>
  <c r="DS117" i="50"/>
  <c r="DS114" i="50"/>
  <c r="DS115" i="50"/>
  <c r="DS118" i="50"/>
  <c r="DS122" i="50"/>
  <c r="DS120" i="50"/>
  <c r="DS121" i="50"/>
  <c r="DS91" i="50"/>
  <c r="DS113" i="50"/>
  <c r="DS86" i="50"/>
  <c r="DS87" i="50"/>
  <c r="DS92" i="50"/>
  <c r="DS93" i="50"/>
  <c r="DS96" i="50"/>
  <c r="DS89" i="50"/>
  <c r="DS90" i="50"/>
  <c r="DS88" i="50"/>
  <c r="DS97" i="50"/>
  <c r="DS94" i="50"/>
  <c r="DS95" i="50"/>
  <c r="DQ47" i="31"/>
  <c r="DQ49" i="31" s="1"/>
  <c r="DQ166" i="50"/>
  <c r="DR123" i="50"/>
  <c r="DR99" i="50"/>
  <c r="DU61" i="50"/>
  <c r="DU70" i="50" s="1"/>
  <c r="DU65" i="50"/>
  <c r="DU63" i="50"/>
  <c r="DU59" i="50"/>
  <c r="DU68" i="50" s="1"/>
  <c r="DW21" i="50"/>
  <c r="DW26" i="50" s="1"/>
  <c r="DW161" i="50"/>
  <c r="DU84" i="19"/>
  <c r="DU88" i="19"/>
  <c r="DU87" i="19"/>
  <c r="DT51" i="50"/>
  <c r="DU44" i="50"/>
  <c r="DU45" i="50"/>
  <c r="DU46" i="50"/>
  <c r="DU48" i="50"/>
  <c r="DU47" i="50"/>
  <c r="DU49" i="50"/>
  <c r="DU50" i="50"/>
  <c r="DU55" i="50"/>
  <c r="DU56" i="50"/>
  <c r="DU86" i="19"/>
  <c r="DU82" i="19"/>
  <c r="DU85" i="19"/>
  <c r="DU83" i="19"/>
  <c r="DU81" i="19"/>
  <c r="DV22" i="50"/>
  <c r="DV23" i="50"/>
  <c r="DV98" i="50" s="1"/>
  <c r="DW149" i="50"/>
  <c r="DX42" i="31"/>
  <c r="DX6" i="50"/>
  <c r="DX6" i="28"/>
  <c r="DR55" i="31"/>
  <c r="DS162" i="50"/>
  <c r="DR155" i="50"/>
  <c r="DR165" i="50"/>
  <c r="DS145" i="50"/>
  <c r="DS157" i="50" s="1"/>
  <c r="DS144" i="50"/>
  <c r="DS156" i="50" s="1"/>
  <c r="DS132" i="50"/>
  <c r="DS133" i="50" s="1"/>
  <c r="DS52" i="31" s="1"/>
  <c r="DS54" i="31" s="1"/>
  <c r="DS146" i="50"/>
  <c r="DS158" i="50" s="1"/>
  <c r="DR136" i="50"/>
  <c r="DR134" i="50"/>
  <c r="DX41" i="31"/>
  <c r="DX5" i="28"/>
  <c r="DX5" i="50"/>
  <c r="DS76" i="50"/>
  <c r="DS77" i="50" s="1"/>
  <c r="DS78" i="50" s="1"/>
  <c r="DS81" i="50" s="1"/>
  <c r="GA73" i="50"/>
  <c r="DT128" i="50"/>
  <c r="DT130" i="50" s="1"/>
  <c r="DT74" i="50"/>
  <c r="DT72" i="50"/>
  <c r="EA139" i="50"/>
  <c r="DZ142" i="50"/>
  <c r="DT36" i="50"/>
  <c r="DU33" i="50"/>
  <c r="DU34" i="50"/>
  <c r="DU30" i="50"/>
  <c r="DU31" i="50"/>
  <c r="DU32" i="50"/>
  <c r="DT104" i="50" l="1"/>
  <c r="DT103" i="50"/>
  <c r="DT106" i="50"/>
  <c r="DT107" i="50"/>
  <c r="DT105" i="50"/>
  <c r="DT108" i="50"/>
  <c r="DT109" i="50"/>
  <c r="DT111" i="50"/>
  <c r="DT112" i="50"/>
  <c r="DT113" i="50"/>
  <c r="DT118" i="50"/>
  <c r="DT110" i="50"/>
  <c r="DT114" i="50"/>
  <c r="DT116" i="50"/>
  <c r="DT117" i="50"/>
  <c r="DT119" i="50"/>
  <c r="DT120" i="50"/>
  <c r="DT122" i="50"/>
  <c r="DT88" i="50"/>
  <c r="DT121" i="50"/>
  <c r="DT91" i="50"/>
  <c r="DT92" i="50"/>
  <c r="DT115" i="50"/>
  <c r="DT93" i="50"/>
  <c r="DT96" i="50"/>
  <c r="DT86" i="50"/>
  <c r="DT87" i="50"/>
  <c r="DT89" i="50"/>
  <c r="DT90" i="50"/>
  <c r="DT97" i="50"/>
  <c r="DT94" i="50"/>
  <c r="DT95" i="50"/>
  <c r="DR47" i="31"/>
  <c r="DR49" i="31" s="1"/>
  <c r="DR166" i="50"/>
  <c r="DS123" i="50"/>
  <c r="DV61" i="50"/>
  <c r="DV70" i="50" s="1"/>
  <c r="DV65" i="50"/>
  <c r="DV63" i="50"/>
  <c r="DV59" i="50"/>
  <c r="DV68" i="50" s="1"/>
  <c r="DS99" i="50"/>
  <c r="DX21" i="50"/>
  <c r="DX26" i="50" s="1"/>
  <c r="DX161" i="50"/>
  <c r="DV82" i="19"/>
  <c r="DV86" i="19"/>
  <c r="DV46" i="50"/>
  <c r="DV44" i="50"/>
  <c r="DV48" i="50"/>
  <c r="DV47" i="50"/>
  <c r="DV45" i="50"/>
  <c r="DV55" i="50"/>
  <c r="DV50" i="50"/>
  <c r="DV49" i="50"/>
  <c r="DV56" i="50"/>
  <c r="DV87" i="19"/>
  <c r="DV88" i="19"/>
  <c r="DV85" i="19"/>
  <c r="DU51" i="50"/>
  <c r="DV83" i="19"/>
  <c r="DV84" i="19"/>
  <c r="DV81" i="19"/>
  <c r="DW23" i="50"/>
  <c r="DW98" i="50" s="1"/>
  <c r="DW22" i="50"/>
  <c r="DX149" i="50"/>
  <c r="DS55" i="31"/>
  <c r="DY6" i="28"/>
  <c r="DY42" i="31"/>
  <c r="DY6" i="50"/>
  <c r="DS155" i="50"/>
  <c r="DS136" i="50"/>
  <c r="DS165" i="50"/>
  <c r="DU128" i="50"/>
  <c r="DU130" i="50" s="1"/>
  <c r="DU74" i="50"/>
  <c r="DT146" i="50"/>
  <c r="DT158" i="50" s="1"/>
  <c r="DS134" i="50"/>
  <c r="DU72" i="50"/>
  <c r="DT145" i="50"/>
  <c r="DT157" i="50" s="1"/>
  <c r="DT144" i="50"/>
  <c r="DT156" i="50" s="1"/>
  <c r="DT132" i="50"/>
  <c r="DT133" i="50" s="1"/>
  <c r="DT136" i="50" s="1"/>
  <c r="DT162" i="50"/>
  <c r="DY41" i="31"/>
  <c r="DY5" i="28"/>
  <c r="DY5" i="50"/>
  <c r="GC73" i="50"/>
  <c r="GB73" i="50"/>
  <c r="DT76" i="50"/>
  <c r="DT77" i="50" s="1"/>
  <c r="DT78" i="50" s="1"/>
  <c r="DT81" i="50" s="1"/>
  <c r="EB139" i="50"/>
  <c r="EA142" i="50"/>
  <c r="DU36" i="50"/>
  <c r="DV30" i="50"/>
  <c r="DV31" i="50"/>
  <c r="DV32" i="50"/>
  <c r="DV33" i="50"/>
  <c r="DV34" i="50"/>
  <c r="DU103" i="50" l="1"/>
  <c r="DU104" i="50"/>
  <c r="DU106" i="50"/>
  <c r="DU107" i="50"/>
  <c r="DU105" i="50"/>
  <c r="DU108" i="50"/>
  <c r="DU110" i="50"/>
  <c r="DU111" i="50"/>
  <c r="DU109" i="50"/>
  <c r="DU112" i="50"/>
  <c r="DU115" i="50"/>
  <c r="DU118" i="50"/>
  <c r="DU113" i="50"/>
  <c r="DU121" i="50"/>
  <c r="DU114" i="50"/>
  <c r="DU119" i="50"/>
  <c r="DU116" i="50"/>
  <c r="DU120" i="50"/>
  <c r="DU122" i="50"/>
  <c r="DU88" i="50"/>
  <c r="DU89" i="50"/>
  <c r="DU117" i="50"/>
  <c r="DU92" i="50"/>
  <c r="DU91" i="50"/>
  <c r="DU93" i="50"/>
  <c r="DU94" i="50"/>
  <c r="DU86" i="50"/>
  <c r="DU90" i="50"/>
  <c r="DU97" i="50"/>
  <c r="DU96" i="50"/>
  <c r="DU87" i="50"/>
  <c r="DU95" i="50"/>
  <c r="DS47" i="31"/>
  <c r="DS49" i="31" s="1"/>
  <c r="DS166" i="50"/>
  <c r="DT123" i="50"/>
  <c r="DW59" i="50"/>
  <c r="DW68" i="50" s="1"/>
  <c r="DW61" i="50"/>
  <c r="DW70" i="50" s="1"/>
  <c r="DW63" i="50"/>
  <c r="DW65" i="50"/>
  <c r="DT99" i="50"/>
  <c r="DY21" i="50"/>
  <c r="DY26" i="50" s="1"/>
  <c r="DY161" i="50"/>
  <c r="DW83" i="19"/>
  <c r="DW88" i="19"/>
  <c r="DW85" i="19"/>
  <c r="DW87" i="19"/>
  <c r="DV51" i="50"/>
  <c r="DW86" i="19"/>
  <c r="DW46" i="50"/>
  <c r="DW44" i="50"/>
  <c r="DW47" i="50"/>
  <c r="DW48" i="50"/>
  <c r="DW45" i="50"/>
  <c r="DW55" i="50"/>
  <c r="DW56" i="50"/>
  <c r="DW49" i="50"/>
  <c r="DW50" i="50"/>
  <c r="DW84" i="19"/>
  <c r="DW82" i="19"/>
  <c r="DW81" i="19"/>
  <c r="DX22" i="50"/>
  <c r="DX23" i="50"/>
  <c r="DX98" i="50" s="1"/>
  <c r="DY149" i="50"/>
  <c r="DT134" i="50"/>
  <c r="DT52" i="31"/>
  <c r="DT54" i="31" s="1"/>
  <c r="DT55" i="31" s="1"/>
  <c r="DZ6" i="28"/>
  <c r="DZ42" i="31"/>
  <c r="DZ6" i="50"/>
  <c r="DU162" i="50"/>
  <c r="DU146" i="50"/>
  <c r="DU158" i="50" s="1"/>
  <c r="DU145" i="50"/>
  <c r="DU157" i="50" s="1"/>
  <c r="DU132" i="50"/>
  <c r="DU133" i="50" s="1"/>
  <c r="M49" i="4" s="1"/>
  <c r="DU144" i="50"/>
  <c r="M50" i="4" s="1"/>
  <c r="M55" i="4" s="1"/>
  <c r="DU76" i="50"/>
  <c r="DU77" i="50" s="1"/>
  <c r="DU78" i="50" s="1"/>
  <c r="DU81" i="50" s="1"/>
  <c r="DT155" i="50"/>
  <c r="DT165" i="50"/>
  <c r="DT166" i="50" s="1"/>
  <c r="DZ41" i="31"/>
  <c r="DZ5" i="28"/>
  <c r="DZ5" i="50"/>
  <c r="DV128" i="50"/>
  <c r="DV130" i="50" s="1"/>
  <c r="DV74" i="50"/>
  <c r="EC139" i="50"/>
  <c r="EB142" i="50"/>
  <c r="DV72" i="50"/>
  <c r="DV36" i="50"/>
  <c r="DW30" i="50"/>
  <c r="DW31" i="50"/>
  <c r="DW32" i="50"/>
  <c r="DW33" i="50"/>
  <c r="DW34" i="50"/>
  <c r="DV103" i="50" l="1"/>
  <c r="DV106" i="50"/>
  <c r="DV104" i="50"/>
  <c r="DV105" i="50"/>
  <c r="DV110" i="50"/>
  <c r="DV108" i="50"/>
  <c r="DV111" i="50"/>
  <c r="DV109" i="50"/>
  <c r="DV113" i="50"/>
  <c r="DV107" i="50"/>
  <c r="DV112" i="50"/>
  <c r="DV115" i="50"/>
  <c r="DV116" i="50"/>
  <c r="DV119" i="50"/>
  <c r="DV121" i="50"/>
  <c r="DV122" i="50"/>
  <c r="DV118" i="50"/>
  <c r="DV117" i="50"/>
  <c r="DV90" i="50"/>
  <c r="DV120" i="50"/>
  <c r="DV86" i="50"/>
  <c r="DV114" i="50"/>
  <c r="DV95" i="50"/>
  <c r="DV92" i="50"/>
  <c r="DV87" i="50"/>
  <c r="DV91" i="50"/>
  <c r="DV93" i="50"/>
  <c r="DV88" i="50"/>
  <c r="DV97" i="50"/>
  <c r="DV89" i="50"/>
  <c r="DV94" i="50"/>
  <c r="DV96" i="50"/>
  <c r="DX59" i="50"/>
  <c r="DX68" i="50" s="1"/>
  <c r="DX65" i="50"/>
  <c r="DX61" i="50"/>
  <c r="DX70" i="50" s="1"/>
  <c r="DX63" i="50"/>
  <c r="DU123" i="50"/>
  <c r="DU99" i="50"/>
  <c r="DZ21" i="50"/>
  <c r="DZ26" i="50" s="1"/>
  <c r="DZ161" i="50"/>
  <c r="DX84" i="19"/>
  <c r="DW51" i="50"/>
  <c r="DX88" i="19"/>
  <c r="DX44" i="50"/>
  <c r="DX45" i="50"/>
  <c r="DX46" i="50"/>
  <c r="DX47" i="50"/>
  <c r="DX48" i="50"/>
  <c r="DX49" i="50"/>
  <c r="DX55" i="50"/>
  <c r="DX50" i="50"/>
  <c r="DX56" i="50"/>
  <c r="DX86" i="19"/>
  <c r="DX87" i="19"/>
  <c r="DX83" i="19"/>
  <c r="DX82" i="19"/>
  <c r="DX85" i="19"/>
  <c r="DX81" i="19"/>
  <c r="DY22" i="50"/>
  <c r="DY23" i="50"/>
  <c r="DY98" i="50" s="1"/>
  <c r="DZ149" i="50"/>
  <c r="EA42" i="31"/>
  <c r="EA6" i="28"/>
  <c r="EA6" i="50"/>
  <c r="M51" i="4"/>
  <c r="M56" i="4" s="1"/>
  <c r="M52" i="4"/>
  <c r="M57" i="4" s="1"/>
  <c r="DU134" i="50"/>
  <c r="DU165" i="50"/>
  <c r="DT47" i="31"/>
  <c r="DT49" i="31" s="1"/>
  <c r="DU52" i="31"/>
  <c r="DU54" i="31" s="1"/>
  <c r="DU55" i="31" s="1"/>
  <c r="DU156" i="50"/>
  <c r="DU155" i="50"/>
  <c r="DU136" i="50"/>
  <c r="DW74" i="50"/>
  <c r="DW128" i="50"/>
  <c r="DW130" i="50" s="1"/>
  <c r="EA41" i="31"/>
  <c r="EA5" i="28"/>
  <c r="EA5" i="50"/>
  <c r="DW72" i="50"/>
  <c r="DV146" i="50"/>
  <c r="DV158" i="50" s="1"/>
  <c r="DV145" i="50"/>
  <c r="DV157" i="50" s="1"/>
  <c r="DV144" i="50"/>
  <c r="DV156" i="50" s="1"/>
  <c r="DV162" i="50"/>
  <c r="DV132" i="50"/>
  <c r="DV133" i="50" s="1"/>
  <c r="DV155" i="50" s="1"/>
  <c r="ED139" i="50"/>
  <c r="EC142" i="50"/>
  <c r="DV76" i="50"/>
  <c r="DV77" i="50" s="1"/>
  <c r="DV78" i="50" s="1"/>
  <c r="DV81" i="50" s="1"/>
  <c r="DW36" i="50"/>
  <c r="DX30" i="50"/>
  <c r="DX31" i="50"/>
  <c r="DX32" i="50"/>
  <c r="DX33" i="50"/>
  <c r="DX34" i="50"/>
  <c r="DW105" i="50" l="1"/>
  <c r="DW103" i="50"/>
  <c r="DW106" i="50"/>
  <c r="DW107" i="50"/>
  <c r="DW108" i="50"/>
  <c r="DW110" i="50"/>
  <c r="DW104" i="50"/>
  <c r="DW111" i="50"/>
  <c r="DW112" i="50"/>
  <c r="DW117" i="50"/>
  <c r="DW109" i="50"/>
  <c r="DW114" i="50"/>
  <c r="DW87" i="50"/>
  <c r="DW90" i="50"/>
  <c r="DW113" i="50"/>
  <c r="DW116" i="50"/>
  <c r="DW115" i="50"/>
  <c r="DW91" i="50"/>
  <c r="DW118" i="50"/>
  <c r="DW122" i="50"/>
  <c r="DW120" i="50"/>
  <c r="DW95" i="50"/>
  <c r="DW121" i="50"/>
  <c r="DW86" i="50"/>
  <c r="DW88" i="50"/>
  <c r="DW89" i="50"/>
  <c r="DW93" i="50"/>
  <c r="DW96" i="50"/>
  <c r="DW119" i="50"/>
  <c r="DW97" i="50"/>
  <c r="DW92" i="50"/>
  <c r="DW94" i="50"/>
  <c r="DU47" i="31"/>
  <c r="DU49" i="31" s="1"/>
  <c r="DU166" i="50"/>
  <c r="DV99" i="50"/>
  <c r="DY61" i="50"/>
  <c r="DY70" i="50" s="1"/>
  <c r="DY59" i="50"/>
  <c r="DY68" i="50" s="1"/>
  <c r="DY65" i="50"/>
  <c r="DY74" i="50" s="1"/>
  <c r="DY63" i="50"/>
  <c r="DV123" i="50"/>
  <c r="EA21" i="50"/>
  <c r="EA26" i="50" s="1"/>
  <c r="EA161" i="50"/>
  <c r="DY85" i="19"/>
  <c r="DY83" i="19"/>
  <c r="DY82" i="19"/>
  <c r="DY87" i="19"/>
  <c r="DY45" i="50"/>
  <c r="DY46" i="50"/>
  <c r="DY44" i="50"/>
  <c r="DY49" i="50"/>
  <c r="DY50" i="50"/>
  <c r="DY47" i="50"/>
  <c r="DY55" i="50"/>
  <c r="DY48" i="50"/>
  <c r="DY56" i="50"/>
  <c r="DY86" i="19"/>
  <c r="DX51" i="50"/>
  <c r="DY88" i="19"/>
  <c r="DY84" i="19"/>
  <c r="DY81" i="19"/>
  <c r="DW144" i="50"/>
  <c r="DW165" i="50" s="1"/>
  <c r="DW166" i="50" s="1"/>
  <c r="DW132" i="50"/>
  <c r="DW133" i="50" s="1"/>
  <c r="DW136" i="50" s="1"/>
  <c r="DW145" i="50"/>
  <c r="DW157" i="50" s="1"/>
  <c r="DZ23" i="50"/>
  <c r="DZ98" i="50" s="1"/>
  <c r="DZ22" i="50"/>
  <c r="EA149" i="50"/>
  <c r="DW162" i="50"/>
  <c r="DW146" i="50"/>
  <c r="DW158" i="50" s="1"/>
  <c r="EB42" i="31"/>
  <c r="EB6" i="28"/>
  <c r="EB6" i="50"/>
  <c r="DV52" i="31"/>
  <c r="DV54" i="31" s="1"/>
  <c r="DV55" i="31" s="1"/>
  <c r="DV134" i="50"/>
  <c r="DV136" i="50"/>
  <c r="EB41" i="31"/>
  <c r="EB5" i="28"/>
  <c r="EB5" i="50"/>
  <c r="DW76" i="50"/>
  <c r="DW77" i="50" s="1"/>
  <c r="DW78" i="50" s="1"/>
  <c r="DW81" i="50" s="1"/>
  <c r="DV165" i="50"/>
  <c r="DX128" i="50"/>
  <c r="DX130" i="50" s="1"/>
  <c r="DX74" i="50"/>
  <c r="DX72" i="50"/>
  <c r="EE139" i="50"/>
  <c r="ED142" i="50"/>
  <c r="DX36" i="50"/>
  <c r="DY30" i="50"/>
  <c r="DY31" i="50"/>
  <c r="DY32" i="50"/>
  <c r="DY33" i="50"/>
  <c r="DY34" i="50"/>
  <c r="DX105" i="50" l="1"/>
  <c r="DX103" i="50"/>
  <c r="DX106" i="50"/>
  <c r="DX107" i="50"/>
  <c r="DX104" i="50"/>
  <c r="DX108" i="50"/>
  <c r="DX109" i="50"/>
  <c r="DX110" i="50"/>
  <c r="DX114" i="50"/>
  <c r="DX112" i="50"/>
  <c r="DX117" i="50"/>
  <c r="DX118" i="50"/>
  <c r="DX120" i="50"/>
  <c r="DX111" i="50"/>
  <c r="DX113" i="50"/>
  <c r="DX115" i="50"/>
  <c r="DX116" i="50"/>
  <c r="DX87" i="50"/>
  <c r="DX88" i="50"/>
  <c r="DX86" i="50"/>
  <c r="DX89" i="50"/>
  <c r="DX93" i="50"/>
  <c r="DX122" i="50"/>
  <c r="DX119" i="50"/>
  <c r="DX90" i="50"/>
  <c r="DX91" i="50"/>
  <c r="DX92" i="50"/>
  <c r="DX94" i="50"/>
  <c r="DX121" i="50"/>
  <c r="DX95" i="50"/>
  <c r="DX96" i="50"/>
  <c r="DX97" i="50"/>
  <c r="DV47" i="31"/>
  <c r="DV49" i="31" s="1"/>
  <c r="DV166" i="50"/>
  <c r="DW99" i="50"/>
  <c r="DZ61" i="50"/>
  <c r="DZ70" i="50" s="1"/>
  <c r="DZ59" i="50"/>
  <c r="DZ68" i="50" s="1"/>
  <c r="DZ63" i="50"/>
  <c r="DZ65" i="50"/>
  <c r="DW123" i="50"/>
  <c r="EB21" i="50"/>
  <c r="EB26" i="50" s="1"/>
  <c r="EB161" i="50"/>
  <c r="DZ88" i="19"/>
  <c r="DY51" i="50"/>
  <c r="DZ86" i="19"/>
  <c r="DZ45" i="50"/>
  <c r="DZ46" i="50"/>
  <c r="DZ47" i="50"/>
  <c r="DZ44" i="50"/>
  <c r="DZ49" i="50"/>
  <c r="DZ50" i="50"/>
  <c r="DZ55" i="50"/>
  <c r="DZ56" i="50"/>
  <c r="DZ48" i="50"/>
  <c r="DZ87" i="19"/>
  <c r="DZ83" i="19"/>
  <c r="DZ82" i="19"/>
  <c r="DZ84" i="19"/>
  <c r="DZ85" i="19"/>
  <c r="DW155" i="50"/>
  <c r="DW52" i="31"/>
  <c r="DW54" i="31" s="1"/>
  <c r="DW55" i="31" s="1"/>
  <c r="DW156" i="50"/>
  <c r="DW134" i="50"/>
  <c r="DZ81" i="19"/>
  <c r="EA22" i="50"/>
  <c r="EA23" i="50"/>
  <c r="EA98" i="50" s="1"/>
  <c r="EB149" i="50"/>
  <c r="EC42" i="31"/>
  <c r="EC6" i="28"/>
  <c r="EC6" i="50"/>
  <c r="DX162" i="50"/>
  <c r="DX76" i="50"/>
  <c r="DX77" i="50" s="1"/>
  <c r="DX78" i="50" s="1"/>
  <c r="DX81" i="50" s="1"/>
  <c r="DX146" i="50"/>
  <c r="DX158" i="50" s="1"/>
  <c r="DX144" i="50"/>
  <c r="DX156" i="50" s="1"/>
  <c r="EC41" i="31"/>
  <c r="EC5" i="28"/>
  <c r="EC5" i="50"/>
  <c r="DY128" i="50"/>
  <c r="DY130" i="50" s="1"/>
  <c r="DY72" i="50"/>
  <c r="DX132" i="50"/>
  <c r="DX133" i="50" s="1"/>
  <c r="DX52" i="31" s="1"/>
  <c r="DX54" i="31" s="1"/>
  <c r="DX145" i="50"/>
  <c r="DX157" i="50" s="1"/>
  <c r="EF139" i="50"/>
  <c r="EE142" i="50"/>
  <c r="DY36" i="50"/>
  <c r="DZ34" i="50"/>
  <c r="DZ30" i="50"/>
  <c r="DZ31" i="50"/>
  <c r="DZ32" i="50"/>
  <c r="DZ33" i="50"/>
  <c r="DW47" i="31"/>
  <c r="DW49" i="31" s="1"/>
  <c r="DY145" i="50" l="1"/>
  <c r="DY157" i="50" s="1"/>
  <c r="DY105" i="50"/>
  <c r="DY103" i="50"/>
  <c r="DY104" i="50"/>
  <c r="DY108" i="50"/>
  <c r="DY106" i="50"/>
  <c r="DY109" i="50"/>
  <c r="DY107" i="50"/>
  <c r="DY111" i="50"/>
  <c r="DY112" i="50"/>
  <c r="DY114" i="50"/>
  <c r="DY115" i="50"/>
  <c r="DY119" i="50"/>
  <c r="DY120" i="50"/>
  <c r="DY117" i="50"/>
  <c r="DY118" i="50"/>
  <c r="DY121" i="50"/>
  <c r="DY110" i="50"/>
  <c r="DY89" i="50"/>
  <c r="DY92" i="50"/>
  <c r="DY122" i="50"/>
  <c r="DY93" i="50"/>
  <c r="DY87" i="50"/>
  <c r="DY88" i="50"/>
  <c r="DY90" i="50"/>
  <c r="DY91" i="50"/>
  <c r="DY86" i="50"/>
  <c r="DY94" i="50"/>
  <c r="DY113" i="50"/>
  <c r="DY97" i="50"/>
  <c r="DY116" i="50"/>
  <c r="DY95" i="50"/>
  <c r="DY96" i="50"/>
  <c r="EA63" i="50"/>
  <c r="EA61" i="50"/>
  <c r="EA70" i="50" s="1"/>
  <c r="EA59" i="50"/>
  <c r="EA68" i="50" s="1"/>
  <c r="EA65" i="50"/>
  <c r="DX123" i="50"/>
  <c r="DX99" i="50"/>
  <c r="EC21" i="50"/>
  <c r="EC26" i="50" s="1"/>
  <c r="EC161" i="50"/>
  <c r="EA84" i="19"/>
  <c r="EA82" i="19"/>
  <c r="EA83" i="19"/>
  <c r="EA87" i="19"/>
  <c r="EA86" i="19"/>
  <c r="DZ51" i="50"/>
  <c r="EA88" i="19"/>
  <c r="EA45" i="50"/>
  <c r="EA44" i="50"/>
  <c r="EA48" i="50"/>
  <c r="EA49" i="50"/>
  <c r="EA50" i="50"/>
  <c r="EA47" i="50"/>
  <c r="EA46" i="50"/>
  <c r="EA55" i="50"/>
  <c r="EA56" i="50"/>
  <c r="EA85" i="19"/>
  <c r="EA81" i="19"/>
  <c r="EB22" i="50"/>
  <c r="EB23" i="50"/>
  <c r="EB98" i="50" s="1"/>
  <c r="EC149" i="50"/>
  <c r="DX55" i="31"/>
  <c r="ED42" i="31"/>
  <c r="ED6" i="28"/>
  <c r="ED6" i="50"/>
  <c r="DX165" i="50"/>
  <c r="DY76" i="50"/>
  <c r="DY77" i="50" s="1"/>
  <c r="DY78" i="50" s="1"/>
  <c r="DY81" i="50" s="1"/>
  <c r="DX155" i="50"/>
  <c r="DX136" i="50"/>
  <c r="DX134" i="50"/>
  <c r="DY162" i="50"/>
  <c r="DY144" i="50"/>
  <c r="DY156" i="50" s="1"/>
  <c r="DY132" i="50"/>
  <c r="DY133" i="50" s="1"/>
  <c r="DY52" i="31" s="1"/>
  <c r="DY54" i="31" s="1"/>
  <c r="DY146" i="50"/>
  <c r="DY158" i="50" s="1"/>
  <c r="ED41" i="31"/>
  <c r="ED5" i="28"/>
  <c r="ED5" i="50"/>
  <c r="EA128" i="50"/>
  <c r="EA130" i="50" s="1"/>
  <c r="EF142" i="50"/>
  <c r="EG139" i="50"/>
  <c r="DZ128" i="50"/>
  <c r="DZ130" i="50" s="1"/>
  <c r="DZ74" i="50"/>
  <c r="DZ72" i="50"/>
  <c r="DZ36" i="50"/>
  <c r="EA30" i="50"/>
  <c r="EA31" i="50"/>
  <c r="EA32" i="50"/>
  <c r="EA33" i="50"/>
  <c r="EA34" i="50"/>
  <c r="DZ104" i="50" l="1"/>
  <c r="DZ105" i="50"/>
  <c r="DZ103" i="50"/>
  <c r="DZ109" i="50"/>
  <c r="DZ107" i="50"/>
  <c r="DZ108" i="50"/>
  <c r="DZ110" i="50"/>
  <c r="DZ113" i="50"/>
  <c r="DZ106" i="50"/>
  <c r="DZ111" i="50"/>
  <c r="DZ116" i="50"/>
  <c r="DZ122" i="50"/>
  <c r="DZ112" i="50"/>
  <c r="DZ119" i="50"/>
  <c r="DZ115" i="50"/>
  <c r="DZ86" i="50"/>
  <c r="DZ117" i="50"/>
  <c r="DZ89" i="50"/>
  <c r="DZ120" i="50"/>
  <c r="DZ121" i="50"/>
  <c r="DZ90" i="50"/>
  <c r="DZ92" i="50"/>
  <c r="DZ87" i="50"/>
  <c r="DZ88" i="50"/>
  <c r="DZ114" i="50"/>
  <c r="DZ118" i="50"/>
  <c r="DZ94" i="50"/>
  <c r="DZ95" i="50"/>
  <c r="DZ96" i="50"/>
  <c r="DZ91" i="50"/>
  <c r="DZ93" i="50"/>
  <c r="DZ97" i="50"/>
  <c r="DY55" i="31"/>
  <c r="EA104" i="50"/>
  <c r="EA105" i="50"/>
  <c r="EA103" i="50"/>
  <c r="EA106" i="50"/>
  <c r="EA109" i="50"/>
  <c r="EA107" i="50"/>
  <c r="EA110" i="50"/>
  <c r="EA112" i="50"/>
  <c r="EA108" i="50"/>
  <c r="EA113" i="50"/>
  <c r="EA116" i="50"/>
  <c r="EA119" i="50"/>
  <c r="EA111" i="50"/>
  <c r="EA117" i="50"/>
  <c r="EA122" i="50"/>
  <c r="EA120" i="50"/>
  <c r="EA114" i="50"/>
  <c r="EA118" i="50"/>
  <c r="EA91" i="50"/>
  <c r="EA86" i="50"/>
  <c r="EA87" i="50"/>
  <c r="EA88" i="50"/>
  <c r="EA96" i="50"/>
  <c r="EA115" i="50"/>
  <c r="EA121" i="50"/>
  <c r="EA92" i="50"/>
  <c r="EA97" i="50"/>
  <c r="EA90" i="50"/>
  <c r="EA94" i="50"/>
  <c r="EA95" i="50"/>
  <c r="EA93" i="50"/>
  <c r="EA89" i="50"/>
  <c r="DX47" i="31"/>
  <c r="DX49" i="31" s="1"/>
  <c r="DX166" i="50"/>
  <c r="EB59" i="50"/>
  <c r="EB68" i="50" s="1"/>
  <c r="EB63" i="50"/>
  <c r="EB61" i="50"/>
  <c r="EB70" i="50" s="1"/>
  <c r="EB65" i="50"/>
  <c r="EB74" i="50" s="1"/>
  <c r="DY99" i="50"/>
  <c r="DY123" i="50"/>
  <c r="ED21" i="50"/>
  <c r="ED26" i="50" s="1"/>
  <c r="ED161" i="50"/>
  <c r="EB86" i="19"/>
  <c r="EB88" i="19"/>
  <c r="EB44" i="50"/>
  <c r="EB45" i="50"/>
  <c r="EB49" i="50"/>
  <c r="EB47" i="50"/>
  <c r="EB50" i="50"/>
  <c r="EB48" i="50"/>
  <c r="EB56" i="50"/>
  <c r="EB55" i="50"/>
  <c r="EB46" i="50"/>
  <c r="EB87" i="19"/>
  <c r="EB83" i="19"/>
  <c r="EB82" i="19"/>
  <c r="EB85" i="19"/>
  <c r="EA51" i="50"/>
  <c r="EB84" i="19"/>
  <c r="EB81" i="19"/>
  <c r="EC23" i="50"/>
  <c r="EC98" i="50" s="1"/>
  <c r="EC22" i="50"/>
  <c r="ED149" i="50"/>
  <c r="EE42" i="31"/>
  <c r="EE6" i="28"/>
  <c r="EE6" i="50"/>
  <c r="DY155" i="50"/>
  <c r="DY136" i="50"/>
  <c r="DY134" i="50"/>
  <c r="EA74" i="50"/>
  <c r="EA72" i="50"/>
  <c r="DY165" i="50"/>
  <c r="DY166" i="50" s="1"/>
  <c r="DZ162" i="50"/>
  <c r="EE41" i="31"/>
  <c r="EE5" i="28"/>
  <c r="EE5" i="50"/>
  <c r="DZ146" i="50"/>
  <c r="DZ158" i="50" s="1"/>
  <c r="DZ145" i="50"/>
  <c r="DZ157" i="50" s="1"/>
  <c r="DZ144" i="50"/>
  <c r="DZ165" i="50" s="1"/>
  <c r="DZ166" i="50" s="1"/>
  <c r="DZ132" i="50"/>
  <c r="DZ133" i="50" s="1"/>
  <c r="DZ136" i="50" s="1"/>
  <c r="EH139" i="50"/>
  <c r="EG142" i="50"/>
  <c r="DZ76" i="50"/>
  <c r="DZ77" i="50" s="1"/>
  <c r="DZ78" i="50" s="1"/>
  <c r="DZ81" i="50" s="1"/>
  <c r="EA36" i="50"/>
  <c r="EB30" i="50"/>
  <c r="EB31" i="50"/>
  <c r="EB32" i="50"/>
  <c r="EB33" i="50"/>
  <c r="EB34" i="50"/>
  <c r="EA132" i="50"/>
  <c r="EA133" i="50" s="1"/>
  <c r="EA144" i="50"/>
  <c r="EA145" i="50"/>
  <c r="EA157" i="50" s="1"/>
  <c r="EA146" i="50"/>
  <c r="EA158" i="50" s="1"/>
  <c r="EA162" i="50"/>
  <c r="DZ99" i="50" l="1"/>
  <c r="DZ123" i="50"/>
  <c r="EC61" i="50"/>
  <c r="EC70" i="50" s="1"/>
  <c r="EC65" i="50"/>
  <c r="EC59" i="50"/>
  <c r="EC68" i="50" s="1"/>
  <c r="EC63" i="50"/>
  <c r="EA123" i="50"/>
  <c r="EA99" i="50"/>
  <c r="EE21" i="50"/>
  <c r="EE26" i="50" s="1"/>
  <c r="EE161" i="50"/>
  <c r="EC85" i="19"/>
  <c r="EC82" i="19"/>
  <c r="EC44" i="50"/>
  <c r="EC45" i="50"/>
  <c r="EC46" i="50"/>
  <c r="EC48" i="50"/>
  <c r="EC49" i="50"/>
  <c r="EC50" i="50"/>
  <c r="EC47" i="50"/>
  <c r="EC55" i="50"/>
  <c r="EC56" i="50"/>
  <c r="EC83" i="19"/>
  <c r="EC87" i="19"/>
  <c r="EB51" i="50"/>
  <c r="EC88" i="19"/>
  <c r="EC84" i="19"/>
  <c r="EC86" i="19"/>
  <c r="DZ134" i="50"/>
  <c r="DZ52" i="31"/>
  <c r="DZ54" i="31" s="1"/>
  <c r="DZ55" i="31" s="1"/>
  <c r="DY47" i="31"/>
  <c r="DY49" i="31" s="1"/>
  <c r="EC81" i="19"/>
  <c r="ED22" i="50"/>
  <c r="ED23" i="50"/>
  <c r="ED98" i="50" s="1"/>
  <c r="EE149" i="50"/>
  <c r="EF42" i="31"/>
  <c r="EF6" i="28"/>
  <c r="EF6" i="50"/>
  <c r="DZ155" i="50"/>
  <c r="EA76" i="50"/>
  <c r="EA77" i="50" s="1"/>
  <c r="EA78" i="50" s="1"/>
  <c r="EA81" i="50" s="1"/>
  <c r="DZ156" i="50"/>
  <c r="EF41" i="31"/>
  <c r="EF5" i="50"/>
  <c r="EF5" i="28"/>
  <c r="EB72" i="50"/>
  <c r="EB128" i="50"/>
  <c r="EB130" i="50" s="1"/>
  <c r="EI139" i="50"/>
  <c r="EH142" i="50"/>
  <c r="EB36" i="50"/>
  <c r="EC30" i="50"/>
  <c r="EC31" i="50"/>
  <c r="EC32" i="50"/>
  <c r="EC33" i="50"/>
  <c r="EC34" i="50"/>
  <c r="DZ47" i="31"/>
  <c r="DZ49" i="31" s="1"/>
  <c r="EA156" i="50"/>
  <c r="EA165" i="50"/>
  <c r="EA166" i="50" s="1"/>
  <c r="EA52" i="31"/>
  <c r="EA54" i="31" s="1"/>
  <c r="EA134" i="50"/>
  <c r="EA136" i="50"/>
  <c r="EA155" i="50"/>
  <c r="EB104" i="50" l="1"/>
  <c r="EB103" i="50"/>
  <c r="EB107" i="50"/>
  <c r="EB108" i="50"/>
  <c r="EB106" i="50"/>
  <c r="EB109" i="50"/>
  <c r="EB105" i="50"/>
  <c r="EB111" i="50"/>
  <c r="EB112" i="50"/>
  <c r="EB113" i="50"/>
  <c r="EB118" i="50"/>
  <c r="EB114" i="50"/>
  <c r="EB120" i="50"/>
  <c r="EB119" i="50"/>
  <c r="EB88" i="50"/>
  <c r="EB91" i="50"/>
  <c r="EB117" i="50"/>
  <c r="EB116" i="50"/>
  <c r="EB92" i="50"/>
  <c r="EB121" i="50"/>
  <c r="EB86" i="50"/>
  <c r="EB87" i="50"/>
  <c r="EB93" i="50"/>
  <c r="EB96" i="50"/>
  <c r="EB110" i="50"/>
  <c r="EB122" i="50"/>
  <c r="EB97" i="50"/>
  <c r="EB89" i="50"/>
  <c r="EB90" i="50"/>
  <c r="EB94" i="50"/>
  <c r="EB95" i="50"/>
  <c r="EB115" i="50"/>
  <c r="ED61" i="50"/>
  <c r="ED70" i="50" s="1"/>
  <c r="ED65" i="50"/>
  <c r="ED63" i="50"/>
  <c r="ED59" i="50"/>
  <c r="ED68" i="50" s="1"/>
  <c r="EF21" i="50"/>
  <c r="EF26" i="50" s="1"/>
  <c r="EF161" i="50"/>
  <c r="ED84" i="19"/>
  <c r="ED88" i="19"/>
  <c r="EA55" i="31"/>
  <c r="ED46" i="50"/>
  <c r="ED44" i="50"/>
  <c r="ED47" i="50"/>
  <c r="ED48" i="50"/>
  <c r="ED55" i="50"/>
  <c r="ED45" i="50"/>
  <c r="ED49" i="50"/>
  <c r="ED50" i="50"/>
  <c r="ED56" i="50"/>
  <c r="ED87" i="19"/>
  <c r="ED83" i="19"/>
  <c r="EC51" i="50"/>
  <c r="ED82" i="19"/>
  <c r="ED86" i="19"/>
  <c r="ED85" i="19"/>
  <c r="ED81" i="19"/>
  <c r="EE22" i="50"/>
  <c r="EE23" i="50"/>
  <c r="EE98" i="50" s="1"/>
  <c r="EF149" i="50"/>
  <c r="EG6" i="28"/>
  <c r="EG42" i="31"/>
  <c r="EG6" i="50"/>
  <c r="EG41" i="31"/>
  <c r="EG5" i="50"/>
  <c r="EG5" i="28"/>
  <c r="EB145" i="50"/>
  <c r="EB157" i="50" s="1"/>
  <c r="EB146" i="50"/>
  <c r="EB158" i="50" s="1"/>
  <c r="EB144" i="50"/>
  <c r="EB156" i="50" s="1"/>
  <c r="EB76" i="50"/>
  <c r="EB77" i="50" s="1"/>
  <c r="EB78" i="50" s="1"/>
  <c r="EB81" i="50" s="1"/>
  <c r="EB132" i="50"/>
  <c r="EB133" i="50" s="1"/>
  <c r="EB155" i="50" s="1"/>
  <c r="EB162" i="50"/>
  <c r="EC128" i="50"/>
  <c r="EC130" i="50" s="1"/>
  <c r="EC74" i="50"/>
  <c r="EC72" i="50"/>
  <c r="EJ139" i="50"/>
  <c r="EI142" i="50"/>
  <c r="EC36" i="50"/>
  <c r="ED30" i="50"/>
  <c r="ED31" i="50"/>
  <c r="ED32" i="50"/>
  <c r="ED33" i="50"/>
  <c r="ED34" i="50"/>
  <c r="EA47" i="31"/>
  <c r="EA49" i="31" s="1"/>
  <c r="EC144" i="50" l="1"/>
  <c r="EC156" i="50" s="1"/>
  <c r="EC103" i="50"/>
  <c r="EC104" i="50"/>
  <c r="EC107" i="50"/>
  <c r="EC105" i="50"/>
  <c r="EC106" i="50"/>
  <c r="EC111" i="50"/>
  <c r="EC110" i="50"/>
  <c r="EC108" i="50"/>
  <c r="EC112" i="50"/>
  <c r="EC115" i="50"/>
  <c r="EC113" i="50"/>
  <c r="EC118" i="50"/>
  <c r="EC121" i="50"/>
  <c r="EC116" i="50"/>
  <c r="EC114" i="50"/>
  <c r="EC119" i="50"/>
  <c r="EC88" i="50"/>
  <c r="EC89" i="50"/>
  <c r="EC109" i="50"/>
  <c r="EC117" i="50"/>
  <c r="EC86" i="50"/>
  <c r="EC87" i="50"/>
  <c r="EC90" i="50"/>
  <c r="EC93" i="50"/>
  <c r="EC120" i="50"/>
  <c r="EC94" i="50"/>
  <c r="EC92" i="50"/>
  <c r="EC97" i="50"/>
  <c r="EC96" i="50"/>
  <c r="EC91" i="50"/>
  <c r="EC122" i="50"/>
  <c r="EC95" i="50"/>
  <c r="EB99" i="50"/>
  <c r="EE59" i="50"/>
  <c r="EE68" i="50" s="1"/>
  <c r="EE63" i="50"/>
  <c r="EE72" i="50" s="1"/>
  <c r="EE65" i="50"/>
  <c r="EE61" i="50"/>
  <c r="EE70" i="50" s="1"/>
  <c r="EB123" i="50"/>
  <c r="EG21" i="50"/>
  <c r="EG26" i="50" s="1"/>
  <c r="EG161" i="50"/>
  <c r="EE82" i="19"/>
  <c r="EE86" i="19"/>
  <c r="EE87" i="19"/>
  <c r="EE46" i="50"/>
  <c r="EE44" i="50"/>
  <c r="EE47" i="50"/>
  <c r="EE48" i="50"/>
  <c r="EE45" i="50"/>
  <c r="EE55" i="50"/>
  <c r="EE49" i="50"/>
  <c r="EE56" i="50"/>
  <c r="EE50" i="50"/>
  <c r="EE84" i="19"/>
  <c r="EE83" i="19"/>
  <c r="ED51" i="50"/>
  <c r="EE85" i="19"/>
  <c r="EE88" i="19"/>
  <c r="EE81" i="19"/>
  <c r="EF23" i="50"/>
  <c r="EF98" i="50" s="1"/>
  <c r="EB52" i="31"/>
  <c r="EB54" i="31" s="1"/>
  <c r="EB55" i="31" s="1"/>
  <c r="EF22" i="50"/>
  <c r="EG149" i="50"/>
  <c r="EB136" i="50"/>
  <c r="EB134" i="50"/>
  <c r="EH6" i="28"/>
  <c r="EH42" i="31"/>
  <c r="EH6" i="50"/>
  <c r="ED74" i="50"/>
  <c r="EB165" i="50"/>
  <c r="EH41" i="31"/>
  <c r="EH5" i="28"/>
  <c r="EH5" i="50"/>
  <c r="ED128" i="50"/>
  <c r="ED130" i="50" s="1"/>
  <c r="EC132" i="50"/>
  <c r="EC133" i="50" s="1"/>
  <c r="EC155" i="50" s="1"/>
  <c r="ED72" i="50"/>
  <c r="EC145" i="50"/>
  <c r="EC157" i="50" s="1"/>
  <c r="EC162" i="50"/>
  <c r="EC146" i="50"/>
  <c r="EC158" i="50" s="1"/>
  <c r="EC76" i="50"/>
  <c r="EC77" i="50" s="1"/>
  <c r="EC78" i="50" s="1"/>
  <c r="EC81" i="50" s="1"/>
  <c r="EK139" i="50"/>
  <c r="EJ142" i="50"/>
  <c r="ED36" i="50"/>
  <c r="EE30" i="50"/>
  <c r="EE31" i="50"/>
  <c r="EE32" i="50"/>
  <c r="EE33" i="50"/>
  <c r="EE34" i="50"/>
  <c r="EC165" i="50" l="1"/>
  <c r="EC166" i="50" s="1"/>
  <c r="ED103" i="50"/>
  <c r="ED104" i="50"/>
  <c r="ED105" i="50"/>
  <c r="ED106" i="50"/>
  <c r="ED108" i="50"/>
  <c r="ED110" i="50"/>
  <c r="ED109" i="50"/>
  <c r="ED111" i="50"/>
  <c r="ED113" i="50"/>
  <c r="ED115" i="50"/>
  <c r="ED116" i="50"/>
  <c r="ED119" i="50"/>
  <c r="ED114" i="50"/>
  <c r="ED117" i="50"/>
  <c r="ED121" i="50"/>
  <c r="ED107" i="50"/>
  <c r="ED122" i="50"/>
  <c r="ED112" i="50"/>
  <c r="ED90" i="50"/>
  <c r="ED118" i="50"/>
  <c r="ED86" i="50"/>
  <c r="ED88" i="50"/>
  <c r="ED89" i="50"/>
  <c r="ED91" i="50"/>
  <c r="ED92" i="50"/>
  <c r="ED95" i="50"/>
  <c r="ED87" i="50"/>
  <c r="ED93" i="50"/>
  <c r="ED96" i="50"/>
  <c r="ED97" i="50"/>
  <c r="ED94" i="50"/>
  <c r="ED120" i="50"/>
  <c r="EB47" i="31"/>
  <c r="EB49" i="31" s="1"/>
  <c r="EB166" i="50"/>
  <c r="EC123" i="50"/>
  <c r="EF59" i="50"/>
  <c r="EF68" i="50" s="1"/>
  <c r="EF61" i="50"/>
  <c r="EF70" i="50" s="1"/>
  <c r="EF63" i="50"/>
  <c r="EF65" i="50"/>
  <c r="EC99" i="50"/>
  <c r="EH21" i="50"/>
  <c r="EH26" i="50" s="1"/>
  <c r="EH161" i="50"/>
  <c r="EF85" i="19"/>
  <c r="EF87" i="19"/>
  <c r="EF83" i="19"/>
  <c r="EF44" i="50"/>
  <c r="EF45" i="50"/>
  <c r="EF47" i="50"/>
  <c r="EF48" i="50"/>
  <c r="EF46" i="50"/>
  <c r="EF49" i="50"/>
  <c r="EF55" i="50"/>
  <c r="EF50" i="50"/>
  <c r="EF56" i="50"/>
  <c r="EF84" i="19"/>
  <c r="EE51" i="50"/>
  <c r="EF82" i="19"/>
  <c r="EF88" i="19"/>
  <c r="EF86" i="19"/>
  <c r="EF81" i="19"/>
  <c r="EC136" i="50"/>
  <c r="EG22" i="50"/>
  <c r="EC134" i="50"/>
  <c r="EC52" i="31"/>
  <c r="EC54" i="31" s="1"/>
  <c r="EC55" i="31" s="1"/>
  <c r="EG23" i="50"/>
  <c r="EG98" i="50" s="1"/>
  <c r="EH149" i="50"/>
  <c r="EI42" i="31"/>
  <c r="EI6" i="28"/>
  <c r="EI6" i="50"/>
  <c r="ED76" i="50"/>
  <c r="ED77" i="50" s="1"/>
  <c r="ED78" i="50" s="1"/>
  <c r="ED81" i="50" s="1"/>
  <c r="ED162" i="50"/>
  <c r="EI41" i="31"/>
  <c r="EI5" i="28"/>
  <c r="EI5" i="50"/>
  <c r="ED146" i="50"/>
  <c r="ED158" i="50" s="1"/>
  <c r="ED145" i="50"/>
  <c r="ED157" i="50" s="1"/>
  <c r="ED144" i="50"/>
  <c r="ED156" i="50" s="1"/>
  <c r="ED132" i="50"/>
  <c r="ED133" i="50" s="1"/>
  <c r="ED136" i="50" s="1"/>
  <c r="EE128" i="50"/>
  <c r="EE130" i="50" s="1"/>
  <c r="EE74" i="50"/>
  <c r="EK142" i="50"/>
  <c r="EL139" i="50"/>
  <c r="EE36" i="50"/>
  <c r="EF30" i="50"/>
  <c r="EF31" i="50"/>
  <c r="EF32" i="50"/>
  <c r="EF33" i="50"/>
  <c r="EF34" i="50"/>
  <c r="EC47" i="31" l="1"/>
  <c r="EC49" i="31" s="1"/>
  <c r="EE162" i="50"/>
  <c r="EE103" i="50"/>
  <c r="EE104" i="50"/>
  <c r="EE106" i="50"/>
  <c r="EE107" i="50"/>
  <c r="EE108" i="50"/>
  <c r="EE110" i="50"/>
  <c r="EE109" i="50"/>
  <c r="EE105" i="50"/>
  <c r="EE112" i="50"/>
  <c r="EE117" i="50"/>
  <c r="EE115" i="50"/>
  <c r="EE116" i="50"/>
  <c r="EE118" i="50"/>
  <c r="EE114" i="50"/>
  <c r="EE119" i="50"/>
  <c r="EE120" i="50"/>
  <c r="EE87" i="50"/>
  <c r="EE90" i="50"/>
  <c r="EE113" i="50"/>
  <c r="EE91" i="50"/>
  <c r="EE121" i="50"/>
  <c r="EE111" i="50"/>
  <c r="EE86" i="50"/>
  <c r="EE88" i="50"/>
  <c r="EE89" i="50"/>
  <c r="EE92" i="50"/>
  <c r="EE95" i="50"/>
  <c r="EE122" i="50"/>
  <c r="EE96" i="50"/>
  <c r="EE97" i="50"/>
  <c r="EE94" i="50"/>
  <c r="EE93" i="50"/>
  <c r="EG61" i="50"/>
  <c r="EG70" i="50" s="1"/>
  <c r="EG59" i="50"/>
  <c r="EG68" i="50" s="1"/>
  <c r="EG65" i="50"/>
  <c r="EG63" i="50"/>
  <c r="ED123" i="50"/>
  <c r="ED99" i="50"/>
  <c r="EI21" i="50"/>
  <c r="EI26" i="50" s="1"/>
  <c r="EI161" i="50"/>
  <c r="EG88" i="19"/>
  <c r="EG45" i="50"/>
  <c r="EG46" i="50"/>
  <c r="EG44" i="50"/>
  <c r="EG47" i="50"/>
  <c r="EG48" i="50"/>
  <c r="EG50" i="50"/>
  <c r="EG55" i="50"/>
  <c r="EG49" i="50"/>
  <c r="EG56" i="50"/>
  <c r="EG82" i="19"/>
  <c r="EG84" i="19"/>
  <c r="EF51" i="50"/>
  <c r="EG83" i="19"/>
  <c r="EG87" i="19"/>
  <c r="EG86" i="19"/>
  <c r="EG85" i="19"/>
  <c r="EG81" i="19"/>
  <c r="EH23" i="50"/>
  <c r="EH98" i="50" s="1"/>
  <c r="EH22" i="50"/>
  <c r="EI149" i="50"/>
  <c r="EE132" i="50"/>
  <c r="EE133" i="50" s="1"/>
  <c r="EE52" i="31" s="1"/>
  <c r="EE54" i="31" s="1"/>
  <c r="EE144" i="50"/>
  <c r="EE165" i="50" s="1"/>
  <c r="EE166" i="50" s="1"/>
  <c r="EE146" i="50"/>
  <c r="EE158" i="50" s="1"/>
  <c r="EE145" i="50"/>
  <c r="EE157" i="50" s="1"/>
  <c r="EJ42" i="31"/>
  <c r="EJ6" i="28"/>
  <c r="EJ6" i="50"/>
  <c r="ED52" i="31"/>
  <c r="ED54" i="31" s="1"/>
  <c r="ED55" i="31" s="1"/>
  <c r="ED134" i="50"/>
  <c r="EF128" i="50"/>
  <c r="EF130" i="50" s="1"/>
  <c r="ED155" i="50"/>
  <c r="EF74" i="50"/>
  <c r="EF72" i="50"/>
  <c r="EE76" i="50"/>
  <c r="EE77" i="50" s="1"/>
  <c r="EE78" i="50" s="1"/>
  <c r="EE81" i="50" s="1"/>
  <c r="ED165" i="50"/>
  <c r="ED166" i="50" s="1"/>
  <c r="EJ41" i="31"/>
  <c r="EJ5" i="28"/>
  <c r="EJ5" i="50"/>
  <c r="EM139" i="50"/>
  <c r="EL142" i="50"/>
  <c r="EF36" i="50"/>
  <c r="EG30" i="50"/>
  <c r="EG31" i="50"/>
  <c r="EG32" i="50"/>
  <c r="EG33" i="50"/>
  <c r="EG34" i="50"/>
  <c r="EF145" i="50" l="1"/>
  <c r="EF103" i="50"/>
  <c r="EF106" i="50"/>
  <c r="EF104" i="50"/>
  <c r="EF108" i="50"/>
  <c r="EF107" i="50"/>
  <c r="EF110" i="50"/>
  <c r="EF109" i="50"/>
  <c r="EF111" i="50"/>
  <c r="EF114" i="50"/>
  <c r="EF117" i="50"/>
  <c r="EF105" i="50"/>
  <c r="EF112" i="50"/>
  <c r="EF118" i="50"/>
  <c r="EF120" i="50"/>
  <c r="EF115" i="50"/>
  <c r="EF116" i="50"/>
  <c r="EF113" i="50"/>
  <c r="EF121" i="50"/>
  <c r="EF122" i="50"/>
  <c r="EF87" i="50"/>
  <c r="EF119" i="50"/>
  <c r="EF88" i="50"/>
  <c r="EF90" i="50"/>
  <c r="EF91" i="50"/>
  <c r="EF86" i="50"/>
  <c r="EF89" i="50"/>
  <c r="EF92" i="50"/>
  <c r="EF93" i="50"/>
  <c r="EF95" i="50"/>
  <c r="EF96" i="50"/>
  <c r="EF97" i="50"/>
  <c r="EF94" i="50"/>
  <c r="EE123" i="50"/>
  <c r="EH61" i="50"/>
  <c r="EH70" i="50" s="1"/>
  <c r="EH59" i="50"/>
  <c r="EH68" i="50" s="1"/>
  <c r="EH65" i="50"/>
  <c r="EH63" i="50"/>
  <c r="EH83" i="19"/>
  <c r="EE99" i="50"/>
  <c r="EJ21" i="50"/>
  <c r="EJ26" i="50" s="1"/>
  <c r="EJ161" i="50"/>
  <c r="EH86" i="19"/>
  <c r="EH87" i="19"/>
  <c r="EH88" i="19"/>
  <c r="EH84" i="19"/>
  <c r="EH45" i="50"/>
  <c r="EH46" i="50"/>
  <c r="EH47" i="50"/>
  <c r="EH49" i="50"/>
  <c r="EH44" i="50"/>
  <c r="EH48" i="50"/>
  <c r="EH50" i="50"/>
  <c r="EH55" i="50"/>
  <c r="EH56" i="50"/>
  <c r="EG51" i="50"/>
  <c r="EH82" i="19"/>
  <c r="EH85" i="19"/>
  <c r="EH81" i="19"/>
  <c r="EE155" i="50"/>
  <c r="EE134" i="50"/>
  <c r="EE136" i="50"/>
  <c r="EE156" i="50"/>
  <c r="EI22" i="50"/>
  <c r="EI23" i="50"/>
  <c r="EI98" i="50" s="1"/>
  <c r="EJ149" i="50"/>
  <c r="EE55" i="31"/>
  <c r="EK42" i="31"/>
  <c r="EK6" i="28"/>
  <c r="EK6" i="50"/>
  <c r="EF162" i="50"/>
  <c r="EF146" i="50"/>
  <c r="EF158" i="50" s="1"/>
  <c r="EF144" i="50"/>
  <c r="EF156" i="50" s="1"/>
  <c r="EF76" i="50"/>
  <c r="EF77" i="50" s="1"/>
  <c r="EF78" i="50" s="1"/>
  <c r="EF81" i="50" s="1"/>
  <c r="EF132" i="50"/>
  <c r="EF133" i="50" s="1"/>
  <c r="EF134" i="50" s="1"/>
  <c r="ED47" i="31"/>
  <c r="ED49" i="31" s="1"/>
  <c r="EG74" i="50"/>
  <c r="EK41" i="31"/>
  <c r="EK5" i="28"/>
  <c r="EK5" i="50"/>
  <c r="EG72" i="50"/>
  <c r="EG128" i="50"/>
  <c r="EG130" i="50" s="1"/>
  <c r="EN139" i="50"/>
  <c r="EM142" i="50"/>
  <c r="EG36" i="50"/>
  <c r="EH30" i="50"/>
  <c r="EH31" i="50"/>
  <c r="EH32" i="50"/>
  <c r="EH33" i="50"/>
  <c r="EH34" i="50"/>
  <c r="EE47" i="31"/>
  <c r="EE49" i="31" s="1"/>
  <c r="EF157" i="50"/>
  <c r="EG132" i="50" l="1"/>
  <c r="EG133" i="50" s="1"/>
  <c r="EG52" i="31" s="1"/>
  <c r="EG54" i="31" s="1"/>
  <c r="EG105" i="50"/>
  <c r="EG103" i="50"/>
  <c r="EG104" i="50"/>
  <c r="EG108" i="50"/>
  <c r="EG106" i="50"/>
  <c r="EG109" i="50"/>
  <c r="EG107" i="50"/>
  <c r="EG111" i="50"/>
  <c r="EG112" i="50"/>
  <c r="EG110" i="50"/>
  <c r="EG114" i="50"/>
  <c r="EG113" i="50"/>
  <c r="EG115" i="50"/>
  <c r="EG117" i="50"/>
  <c r="EG118" i="50"/>
  <c r="EG120" i="50"/>
  <c r="EG121" i="50"/>
  <c r="EG89" i="50"/>
  <c r="EG122" i="50"/>
  <c r="EG92" i="50"/>
  <c r="EG116" i="50"/>
  <c r="EG119" i="50"/>
  <c r="EG93" i="50"/>
  <c r="EG94" i="50"/>
  <c r="EG97" i="50"/>
  <c r="EG87" i="50"/>
  <c r="EG88" i="50"/>
  <c r="EG90" i="50"/>
  <c r="EG91" i="50"/>
  <c r="EG86" i="50"/>
  <c r="EG95" i="50"/>
  <c r="EG96" i="50"/>
  <c r="EI63" i="50"/>
  <c r="EI61" i="50"/>
  <c r="EI70" i="50" s="1"/>
  <c r="EI59" i="50"/>
  <c r="EI68" i="50" s="1"/>
  <c r="EI65" i="50"/>
  <c r="EF123" i="50"/>
  <c r="EF99" i="50"/>
  <c r="EK21" i="50"/>
  <c r="EK26" i="50" s="1"/>
  <c r="EK161" i="50"/>
  <c r="EI82" i="19"/>
  <c r="EI84" i="19"/>
  <c r="EH51" i="50"/>
  <c r="EI83" i="19"/>
  <c r="EI87" i="19"/>
  <c r="EI88" i="19"/>
  <c r="EI45" i="50"/>
  <c r="EI44" i="50"/>
  <c r="EI47" i="50"/>
  <c r="EI48" i="50"/>
  <c r="EI50" i="50"/>
  <c r="EI49" i="50"/>
  <c r="EI55" i="50"/>
  <c r="EI46" i="50"/>
  <c r="EI56" i="50"/>
  <c r="EI85" i="19"/>
  <c r="EI86" i="19"/>
  <c r="EI81" i="19"/>
  <c r="EJ22" i="50"/>
  <c r="EJ23" i="50"/>
  <c r="EJ98" i="50" s="1"/>
  <c r="EK149" i="50"/>
  <c r="EL42" i="31"/>
  <c r="EL6" i="50"/>
  <c r="EL6" i="28"/>
  <c r="EF165" i="50"/>
  <c r="EF155" i="50"/>
  <c r="EF136" i="50"/>
  <c r="EF52" i="31"/>
  <c r="EF54" i="31" s="1"/>
  <c r="EF55" i="31" s="1"/>
  <c r="EG76" i="50"/>
  <c r="EG77" i="50" s="1"/>
  <c r="EG78" i="50" s="1"/>
  <c r="EG81" i="50" s="1"/>
  <c r="EG146" i="50"/>
  <c r="EG158" i="50" s="1"/>
  <c r="EG145" i="50"/>
  <c r="EG157" i="50" s="1"/>
  <c r="EG144" i="50"/>
  <c r="N50" i="4" s="1"/>
  <c r="N55" i="4" s="1"/>
  <c r="EH128" i="50"/>
  <c r="EH130" i="50" s="1"/>
  <c r="EH74" i="50"/>
  <c r="EH72" i="50"/>
  <c r="EL41" i="31"/>
  <c r="EL5" i="28"/>
  <c r="EL5" i="50"/>
  <c r="EG162" i="50"/>
  <c r="EO139" i="50"/>
  <c r="EN142" i="50"/>
  <c r="EH36" i="50"/>
  <c r="EI30" i="50"/>
  <c r="EI31" i="50"/>
  <c r="EI32" i="50"/>
  <c r="EI33" i="50"/>
  <c r="EI34" i="50"/>
  <c r="EG134" i="50"/>
  <c r="N49" i="4" l="1"/>
  <c r="EG155" i="50"/>
  <c r="EG136" i="50"/>
  <c r="EH104" i="50"/>
  <c r="EH105" i="50"/>
  <c r="EH106" i="50"/>
  <c r="EH109" i="50"/>
  <c r="EH108" i="50"/>
  <c r="EH103" i="50"/>
  <c r="EH111" i="50"/>
  <c r="EH110" i="50"/>
  <c r="EH113" i="50"/>
  <c r="EH107" i="50"/>
  <c r="EH116" i="50"/>
  <c r="EH122" i="50"/>
  <c r="EH115" i="50"/>
  <c r="EH86" i="50"/>
  <c r="EH112" i="50"/>
  <c r="EH120" i="50"/>
  <c r="EH121" i="50"/>
  <c r="EH89" i="50"/>
  <c r="EH114" i="50"/>
  <c r="EH118" i="50"/>
  <c r="EH117" i="50"/>
  <c r="EH119" i="50"/>
  <c r="EH90" i="50"/>
  <c r="EH94" i="50"/>
  <c r="EH95" i="50"/>
  <c r="EH92" i="50"/>
  <c r="EH88" i="50"/>
  <c r="EH91" i="50"/>
  <c r="EH97" i="50"/>
  <c r="EH87" i="50"/>
  <c r="EH93" i="50"/>
  <c r="EH96" i="50"/>
  <c r="EF47" i="31"/>
  <c r="EF49" i="31" s="1"/>
  <c r="EF166" i="50"/>
  <c r="EG123" i="50"/>
  <c r="EJ59" i="50"/>
  <c r="EJ68" i="50" s="1"/>
  <c r="EJ63" i="50"/>
  <c r="EJ61" i="50"/>
  <c r="EJ70" i="50" s="1"/>
  <c r="EJ65" i="50"/>
  <c r="EG99" i="50"/>
  <c r="EL21" i="50"/>
  <c r="EL26" i="50" s="1"/>
  <c r="EL161" i="50"/>
  <c r="EJ85" i="19"/>
  <c r="EI51" i="50"/>
  <c r="EJ82" i="19"/>
  <c r="EJ44" i="50"/>
  <c r="EJ45" i="50"/>
  <c r="EJ46" i="50"/>
  <c r="EJ49" i="50"/>
  <c r="EJ48" i="50"/>
  <c r="EJ50" i="50"/>
  <c r="EJ47" i="50"/>
  <c r="EJ55" i="50"/>
  <c r="EJ56" i="50"/>
  <c r="EJ88" i="19"/>
  <c r="EJ87" i="19"/>
  <c r="EJ83" i="19"/>
  <c r="EJ86" i="19"/>
  <c r="EJ84" i="19"/>
  <c r="EJ81" i="19"/>
  <c r="EK23" i="50"/>
  <c r="EK98" i="50" s="1"/>
  <c r="EK22" i="50"/>
  <c r="EL149" i="50"/>
  <c r="EG165" i="50"/>
  <c r="EM6" i="50"/>
  <c r="EM6" i="28"/>
  <c r="EM42" i="31"/>
  <c r="EH145" i="50"/>
  <c r="EH157" i="50" s="1"/>
  <c r="EG55" i="31"/>
  <c r="EH162" i="50"/>
  <c r="EH146" i="50"/>
  <c r="EH158" i="50" s="1"/>
  <c r="N51" i="4"/>
  <c r="N56" i="4" s="1"/>
  <c r="EG156" i="50"/>
  <c r="EH144" i="50"/>
  <c r="EH165" i="50" s="1"/>
  <c r="EH166" i="50" s="1"/>
  <c r="EH132" i="50"/>
  <c r="EH133" i="50" s="1"/>
  <c r="EH52" i="31" s="1"/>
  <c r="EH54" i="31" s="1"/>
  <c r="N52" i="4"/>
  <c r="N57" i="4" s="1"/>
  <c r="EH76" i="50"/>
  <c r="EH77" i="50" s="1"/>
  <c r="EH78" i="50" s="1"/>
  <c r="EH81" i="50" s="1"/>
  <c r="EM41" i="31"/>
  <c r="EM5" i="28"/>
  <c r="EM5" i="50"/>
  <c r="EJ128" i="50"/>
  <c r="EJ130" i="50" s="1"/>
  <c r="EP139" i="50"/>
  <c r="EO142" i="50"/>
  <c r="EI128" i="50"/>
  <c r="EI130" i="50" s="1"/>
  <c r="EI74" i="50"/>
  <c r="EI72" i="50"/>
  <c r="EI36" i="50"/>
  <c r="EJ30" i="50"/>
  <c r="EJ31" i="50"/>
  <c r="EJ32" i="50"/>
  <c r="EJ33" i="50"/>
  <c r="EJ34" i="50"/>
  <c r="EI104" i="50" l="1"/>
  <c r="EI105" i="50"/>
  <c r="EI103" i="50"/>
  <c r="EI107" i="50"/>
  <c r="EI109" i="50"/>
  <c r="EI106" i="50"/>
  <c r="EI110" i="50"/>
  <c r="EI112" i="50"/>
  <c r="EI111" i="50"/>
  <c r="EI116" i="50"/>
  <c r="EI119" i="50"/>
  <c r="EI108" i="50"/>
  <c r="EI117" i="50"/>
  <c r="EI113" i="50"/>
  <c r="EI122" i="50"/>
  <c r="EI91" i="50"/>
  <c r="EI115" i="50"/>
  <c r="EI86" i="50"/>
  <c r="EI120" i="50"/>
  <c r="EI87" i="50"/>
  <c r="EI121" i="50"/>
  <c r="EI96" i="50"/>
  <c r="EI114" i="50"/>
  <c r="EI118" i="50"/>
  <c r="EI88" i="50"/>
  <c r="EI92" i="50"/>
  <c r="EI89" i="50"/>
  <c r="EI90" i="50"/>
  <c r="EI93" i="50"/>
  <c r="EI97" i="50"/>
  <c r="EI95" i="50"/>
  <c r="EI94" i="50"/>
  <c r="EJ104" i="50"/>
  <c r="EJ103" i="50"/>
  <c r="EJ105" i="50"/>
  <c r="EJ107" i="50"/>
  <c r="EJ108" i="50"/>
  <c r="EJ109" i="50"/>
  <c r="EJ112" i="50"/>
  <c r="EJ113" i="50"/>
  <c r="EJ118" i="50"/>
  <c r="EJ110" i="50"/>
  <c r="EJ114" i="50"/>
  <c r="EJ119" i="50"/>
  <c r="EJ115" i="50"/>
  <c r="EJ120" i="50"/>
  <c r="EJ117" i="50"/>
  <c r="EJ88" i="50"/>
  <c r="EJ106" i="50"/>
  <c r="EJ91" i="50"/>
  <c r="EJ92" i="50"/>
  <c r="EJ122" i="50"/>
  <c r="EJ116" i="50"/>
  <c r="EJ121" i="50"/>
  <c r="EJ93" i="50"/>
  <c r="EJ111" i="50"/>
  <c r="EJ96" i="50"/>
  <c r="EJ86" i="50"/>
  <c r="EJ87" i="50"/>
  <c r="EJ89" i="50"/>
  <c r="EJ90" i="50"/>
  <c r="EJ97" i="50"/>
  <c r="EJ94" i="50"/>
  <c r="EJ95" i="50"/>
  <c r="EG47" i="31"/>
  <c r="EG49" i="31" s="1"/>
  <c r="EG166" i="50"/>
  <c r="EH123" i="50"/>
  <c r="EK61" i="50"/>
  <c r="EK70" i="50" s="1"/>
  <c r="EK59" i="50"/>
  <c r="EK68" i="50" s="1"/>
  <c r="EK65" i="50"/>
  <c r="EK63" i="50"/>
  <c r="EH99" i="50"/>
  <c r="EM21" i="50"/>
  <c r="EM26" i="50" s="1"/>
  <c r="EM161" i="50"/>
  <c r="EK86" i="19"/>
  <c r="EK84" i="19"/>
  <c r="EK83" i="19"/>
  <c r="EK87" i="19"/>
  <c r="EK88" i="19"/>
  <c r="EK82" i="19"/>
  <c r="EK44" i="50"/>
  <c r="EK45" i="50"/>
  <c r="EK46" i="50"/>
  <c r="EK48" i="50"/>
  <c r="EK49" i="50"/>
  <c r="EK50" i="50"/>
  <c r="EK47" i="50"/>
  <c r="EK55" i="50"/>
  <c r="EK56" i="50"/>
  <c r="EJ51" i="50"/>
  <c r="EK85" i="19"/>
  <c r="EK81" i="19"/>
  <c r="EH155" i="50"/>
  <c r="EH136" i="50"/>
  <c r="EH134" i="50"/>
  <c r="EL22" i="50"/>
  <c r="EL23" i="50"/>
  <c r="EL98" i="50" s="1"/>
  <c r="EM149" i="50"/>
  <c r="EH55" i="31"/>
  <c r="EN6" i="28"/>
  <c r="EN6" i="50"/>
  <c r="EN42" i="31"/>
  <c r="EH156" i="50"/>
  <c r="EJ74" i="50"/>
  <c r="EJ72" i="50"/>
  <c r="EN41" i="31"/>
  <c r="EN5" i="50"/>
  <c r="EN5" i="28"/>
  <c r="EI162" i="50"/>
  <c r="EI146" i="50"/>
  <c r="EI158" i="50" s="1"/>
  <c r="EI145" i="50"/>
  <c r="EI157" i="50" s="1"/>
  <c r="EI144" i="50"/>
  <c r="EI156" i="50" s="1"/>
  <c r="EI132" i="50"/>
  <c r="EI133" i="50" s="1"/>
  <c r="EI134" i="50" s="1"/>
  <c r="EI76" i="50"/>
  <c r="EI77" i="50" s="1"/>
  <c r="EI78" i="50" s="1"/>
  <c r="EI81" i="50" s="1"/>
  <c r="EQ139" i="50"/>
  <c r="EP142" i="50"/>
  <c r="EJ36" i="50"/>
  <c r="EK30" i="50"/>
  <c r="EK31" i="50"/>
  <c r="EK32" i="50"/>
  <c r="EK33" i="50"/>
  <c r="EK34" i="50"/>
  <c r="EH47" i="31"/>
  <c r="EH49" i="31" s="1"/>
  <c r="EJ132" i="50"/>
  <c r="EJ133" i="50" s="1"/>
  <c r="EJ144" i="50"/>
  <c r="EJ145" i="50"/>
  <c r="EJ146" i="50"/>
  <c r="EJ162" i="50"/>
  <c r="EJ99" i="50" l="1"/>
  <c r="EJ123" i="50"/>
  <c r="EI123" i="50"/>
  <c r="EI99" i="50"/>
  <c r="EL61" i="50"/>
  <c r="EL70" i="50" s="1"/>
  <c r="EL65" i="50"/>
  <c r="EL63" i="50"/>
  <c r="EL59" i="50"/>
  <c r="EL68" i="50" s="1"/>
  <c r="EN21" i="50"/>
  <c r="EN26" i="50" s="1"/>
  <c r="EN161" i="50"/>
  <c r="EK51" i="50"/>
  <c r="EL87" i="19"/>
  <c r="EL83" i="19"/>
  <c r="EL86" i="19"/>
  <c r="EL82" i="19"/>
  <c r="EL88" i="19"/>
  <c r="EL46" i="50"/>
  <c r="EL44" i="50"/>
  <c r="EL48" i="50"/>
  <c r="EL47" i="50"/>
  <c r="EL55" i="50"/>
  <c r="EL45" i="50"/>
  <c r="EL50" i="50"/>
  <c r="EL56" i="50"/>
  <c r="EL49" i="50"/>
  <c r="EL85" i="19"/>
  <c r="EL84" i="19"/>
  <c r="EL81" i="19"/>
  <c r="EM23" i="50"/>
  <c r="EM98" i="50" s="1"/>
  <c r="EM22" i="50"/>
  <c r="EN149" i="50"/>
  <c r="EI155" i="50"/>
  <c r="EO6" i="28"/>
  <c r="EO42" i="31"/>
  <c r="EO6" i="50"/>
  <c r="EJ76" i="50"/>
  <c r="EJ77" i="50" s="1"/>
  <c r="EJ78" i="50" s="1"/>
  <c r="EJ81" i="50" s="1"/>
  <c r="EO5" i="28"/>
  <c r="EO41" i="31"/>
  <c r="EO5" i="50"/>
  <c r="EI136" i="50"/>
  <c r="EI52" i="31"/>
  <c r="EI54" i="31" s="1"/>
  <c r="EI55" i="31" s="1"/>
  <c r="EI165" i="50"/>
  <c r="EK128" i="50"/>
  <c r="EK130" i="50" s="1"/>
  <c r="EK74" i="50"/>
  <c r="EK72" i="50"/>
  <c r="ER139" i="50"/>
  <c r="EQ142" i="50"/>
  <c r="EK36" i="50"/>
  <c r="EL30" i="50"/>
  <c r="EL31" i="50"/>
  <c r="EL32" i="50"/>
  <c r="EL33" i="50"/>
  <c r="EL34" i="50"/>
  <c r="EJ158" i="50"/>
  <c r="EJ157" i="50"/>
  <c r="EJ156" i="50"/>
  <c r="EJ165" i="50"/>
  <c r="EJ166" i="50" s="1"/>
  <c r="EJ52" i="31"/>
  <c r="EJ54" i="31" s="1"/>
  <c r="EJ134" i="50"/>
  <c r="EJ136" i="50"/>
  <c r="EJ155" i="50"/>
  <c r="EK144" i="50" l="1"/>
  <c r="EK165" i="50" s="1"/>
  <c r="EK166" i="50" s="1"/>
  <c r="EK103" i="50"/>
  <c r="EK104" i="50"/>
  <c r="EK105" i="50"/>
  <c r="EK107" i="50"/>
  <c r="EK106" i="50"/>
  <c r="EK108" i="50"/>
  <c r="EK111" i="50"/>
  <c r="EK112" i="50"/>
  <c r="EK110" i="50"/>
  <c r="EK109" i="50"/>
  <c r="EK115" i="50"/>
  <c r="EK118" i="50"/>
  <c r="EK121" i="50"/>
  <c r="EK113" i="50"/>
  <c r="EK119" i="50"/>
  <c r="EK114" i="50"/>
  <c r="EK116" i="50"/>
  <c r="EK117" i="50"/>
  <c r="EK88" i="50"/>
  <c r="EK89" i="50"/>
  <c r="EK86" i="50"/>
  <c r="EK87" i="50"/>
  <c r="EK90" i="50"/>
  <c r="EK92" i="50"/>
  <c r="EK122" i="50"/>
  <c r="EK93" i="50"/>
  <c r="EK120" i="50"/>
  <c r="EK91" i="50"/>
  <c r="EK94" i="50"/>
  <c r="EK95" i="50"/>
  <c r="EK96" i="50"/>
  <c r="EK97" i="50"/>
  <c r="EI47" i="31"/>
  <c r="EI49" i="31" s="1"/>
  <c r="EI166" i="50"/>
  <c r="EM59" i="50"/>
  <c r="EM68" i="50" s="1"/>
  <c r="EM63" i="50"/>
  <c r="EM61" i="50"/>
  <c r="EM70" i="50" s="1"/>
  <c r="EM65" i="50"/>
  <c r="EO21" i="50"/>
  <c r="EO26" i="50" s="1"/>
  <c r="EO161" i="50"/>
  <c r="EM85" i="19"/>
  <c r="EM82" i="19"/>
  <c r="EL51" i="50"/>
  <c r="EM88" i="19"/>
  <c r="EM46" i="50"/>
  <c r="EM44" i="50"/>
  <c r="EM45" i="50"/>
  <c r="EM48" i="50"/>
  <c r="EM47" i="50"/>
  <c r="EM55" i="50"/>
  <c r="EM56" i="50"/>
  <c r="EM49" i="50"/>
  <c r="EM50" i="50"/>
  <c r="EM86" i="19"/>
  <c r="EM83" i="19"/>
  <c r="EM87" i="19"/>
  <c r="EM84" i="19"/>
  <c r="EM81" i="19"/>
  <c r="EN22" i="50"/>
  <c r="EN23" i="50"/>
  <c r="EN98" i="50" s="1"/>
  <c r="EO149" i="50"/>
  <c r="EL128" i="50"/>
  <c r="EL130" i="50" s="1"/>
  <c r="EL74" i="50"/>
  <c r="EL72" i="50"/>
  <c r="EP42" i="31"/>
  <c r="EP6" i="50"/>
  <c r="EP6" i="28"/>
  <c r="EJ55" i="31"/>
  <c r="EP41" i="31"/>
  <c r="EP5" i="28"/>
  <c r="EP5" i="50"/>
  <c r="EK145" i="50"/>
  <c r="EK157" i="50" s="1"/>
  <c r="EK132" i="50"/>
  <c r="EK133" i="50" s="1"/>
  <c r="EK155" i="50" s="1"/>
  <c r="EK76" i="50"/>
  <c r="EK77" i="50" s="1"/>
  <c r="EK78" i="50" s="1"/>
  <c r="EK81" i="50" s="1"/>
  <c r="EK162" i="50"/>
  <c r="EK146" i="50"/>
  <c r="EK158" i="50" s="1"/>
  <c r="ES139" i="50"/>
  <c r="ER142" i="50"/>
  <c r="EL36" i="50"/>
  <c r="EM30" i="50"/>
  <c r="EM31" i="50"/>
  <c r="EM32" i="50"/>
  <c r="EM33" i="50"/>
  <c r="EM34" i="50"/>
  <c r="EJ47" i="31"/>
  <c r="EJ49" i="31" s="1"/>
  <c r="EK156" i="50"/>
  <c r="EL132" i="50" l="1"/>
  <c r="EL133" i="50" s="1"/>
  <c r="EL103" i="50"/>
  <c r="EL104" i="50"/>
  <c r="EL105" i="50"/>
  <c r="EL110" i="50"/>
  <c r="EL107" i="50"/>
  <c r="EL106" i="50"/>
  <c r="EL108" i="50"/>
  <c r="EL111" i="50"/>
  <c r="EL109" i="50"/>
  <c r="EL113" i="50"/>
  <c r="EL115" i="50"/>
  <c r="EL116" i="50"/>
  <c r="EL119" i="50"/>
  <c r="EL121" i="50"/>
  <c r="EL112" i="50"/>
  <c r="EL118" i="50"/>
  <c r="EL122" i="50"/>
  <c r="EL90" i="50"/>
  <c r="EL114" i="50"/>
  <c r="EL120" i="50"/>
  <c r="EL86" i="50"/>
  <c r="EL88" i="50"/>
  <c r="EL89" i="50"/>
  <c r="EL91" i="50"/>
  <c r="EL87" i="50"/>
  <c r="EL117" i="50"/>
  <c r="EL95" i="50"/>
  <c r="EL93" i="50"/>
  <c r="EL94" i="50"/>
  <c r="EL96" i="50"/>
  <c r="EL97" i="50"/>
  <c r="EL92" i="50"/>
  <c r="EK99" i="50"/>
  <c r="EK123" i="50"/>
  <c r="EN59" i="50"/>
  <c r="EN68" i="50" s="1"/>
  <c r="EN63" i="50"/>
  <c r="EN72" i="50" s="1"/>
  <c r="EN61" i="50"/>
  <c r="EN70" i="50" s="1"/>
  <c r="EN65" i="50"/>
  <c r="EP21" i="50"/>
  <c r="EP26" i="50" s="1"/>
  <c r="EP161" i="50"/>
  <c r="EN87" i="19"/>
  <c r="EN83" i="19"/>
  <c r="EN86" i="19"/>
  <c r="EM51" i="50"/>
  <c r="EN44" i="50"/>
  <c r="EN45" i="50"/>
  <c r="EN47" i="50"/>
  <c r="EN46" i="50"/>
  <c r="EN48" i="50"/>
  <c r="EN49" i="50"/>
  <c r="EN55" i="50"/>
  <c r="EN50" i="50"/>
  <c r="EN56" i="50"/>
  <c r="EN82" i="19"/>
  <c r="EN88" i="19"/>
  <c r="EN84" i="19"/>
  <c r="EN85" i="19"/>
  <c r="EN81" i="19"/>
  <c r="EL162" i="50"/>
  <c r="EL146" i="50"/>
  <c r="EL158" i="50" s="1"/>
  <c r="EL145" i="50"/>
  <c r="EL157" i="50" s="1"/>
  <c r="EL144" i="50"/>
  <c r="EL165" i="50" s="1"/>
  <c r="EL166" i="50" s="1"/>
  <c r="EK136" i="50"/>
  <c r="EK134" i="50"/>
  <c r="EO22" i="50"/>
  <c r="EO23" i="50"/>
  <c r="EO98" i="50" s="1"/>
  <c r="EP149" i="50"/>
  <c r="EK52" i="31"/>
  <c r="EK54" i="31" s="1"/>
  <c r="EK55" i="31" s="1"/>
  <c r="EL76" i="50"/>
  <c r="EL77" i="50" s="1"/>
  <c r="EL78" i="50" s="1"/>
  <c r="EL81" i="50" s="1"/>
  <c r="EQ6" i="28"/>
  <c r="EQ6" i="50"/>
  <c r="EQ42" i="31"/>
  <c r="EQ41" i="31"/>
  <c r="EQ5" i="28"/>
  <c r="EQ5" i="50"/>
  <c r="EM128" i="50"/>
  <c r="EM130" i="50" s="1"/>
  <c r="EM74" i="50"/>
  <c r="EM72" i="50"/>
  <c r="ET139" i="50"/>
  <c r="ES142" i="50"/>
  <c r="EM36" i="50"/>
  <c r="EN30" i="50"/>
  <c r="EN31" i="50"/>
  <c r="EN32" i="50"/>
  <c r="EN33" i="50"/>
  <c r="EN34" i="50"/>
  <c r="EK47" i="31"/>
  <c r="EK49" i="31" s="1"/>
  <c r="EL52" i="31"/>
  <c r="EL54" i="31" s="1"/>
  <c r="EL134" i="50"/>
  <c r="EL136" i="50"/>
  <c r="EL155" i="50"/>
  <c r="EM103" i="50" l="1"/>
  <c r="EM106" i="50"/>
  <c r="EM104" i="50"/>
  <c r="EM105" i="50"/>
  <c r="EM107" i="50"/>
  <c r="EM109" i="50"/>
  <c r="EM108" i="50"/>
  <c r="EM111" i="50"/>
  <c r="EM112" i="50"/>
  <c r="EM117" i="50"/>
  <c r="EM110" i="50"/>
  <c r="EM114" i="50"/>
  <c r="EM119" i="50"/>
  <c r="EM120" i="50"/>
  <c r="EM116" i="50"/>
  <c r="EM87" i="50"/>
  <c r="EM90" i="50"/>
  <c r="EM115" i="50"/>
  <c r="EM118" i="50"/>
  <c r="EM121" i="50"/>
  <c r="EM122" i="50"/>
  <c r="EM91" i="50"/>
  <c r="EM86" i="50"/>
  <c r="EM88" i="50"/>
  <c r="EM95" i="50"/>
  <c r="EM113" i="50"/>
  <c r="EM96" i="50"/>
  <c r="EM93" i="50"/>
  <c r="EM94" i="50"/>
  <c r="EM97" i="50"/>
  <c r="EM89" i="50"/>
  <c r="EM92" i="50"/>
  <c r="EL99" i="50"/>
  <c r="EL123" i="50"/>
  <c r="EO61" i="50"/>
  <c r="EO70" i="50" s="1"/>
  <c r="EO59" i="50"/>
  <c r="EO68" i="50" s="1"/>
  <c r="EO65" i="50"/>
  <c r="EO63" i="50"/>
  <c r="EQ21" i="50"/>
  <c r="EQ26" i="50" s="1"/>
  <c r="EQ161" i="50"/>
  <c r="EO84" i="19"/>
  <c r="EO87" i="19"/>
  <c r="EO88" i="19"/>
  <c r="EO83" i="19"/>
  <c r="EO82" i="19"/>
  <c r="EO45" i="50"/>
  <c r="EO46" i="50"/>
  <c r="EO47" i="50"/>
  <c r="EO44" i="50"/>
  <c r="EO49" i="50"/>
  <c r="EO50" i="50"/>
  <c r="EO48" i="50"/>
  <c r="EO55" i="50"/>
  <c r="EO56" i="50"/>
  <c r="EN51" i="50"/>
  <c r="EO85" i="19"/>
  <c r="EO86" i="19"/>
  <c r="EL156" i="50"/>
  <c r="EO81" i="19"/>
  <c r="EL55" i="31"/>
  <c r="EP23" i="50"/>
  <c r="EP98" i="50" s="1"/>
  <c r="EP22" i="50"/>
  <c r="EQ149" i="50"/>
  <c r="ER42" i="31"/>
  <c r="ER6" i="28"/>
  <c r="ER6" i="50"/>
  <c r="EN128" i="50"/>
  <c r="EN130" i="50" s="1"/>
  <c r="EN74" i="50"/>
  <c r="ER41" i="31"/>
  <c r="ER5" i="28"/>
  <c r="ER5" i="50"/>
  <c r="EM144" i="50"/>
  <c r="EM156" i="50" s="1"/>
  <c r="EM132" i="50"/>
  <c r="EM133" i="50" s="1"/>
  <c r="EM134" i="50" s="1"/>
  <c r="EM145" i="50"/>
  <c r="EM157" i="50" s="1"/>
  <c r="EM76" i="50"/>
  <c r="EM77" i="50" s="1"/>
  <c r="EM78" i="50" s="1"/>
  <c r="EM81" i="50" s="1"/>
  <c r="EM162" i="50"/>
  <c r="EM146" i="50"/>
  <c r="EM158" i="50" s="1"/>
  <c r="EU139" i="50"/>
  <c r="ET142" i="50"/>
  <c r="EN36" i="50"/>
  <c r="EO30" i="50"/>
  <c r="EO31" i="50"/>
  <c r="EO32" i="50"/>
  <c r="EO33" i="50"/>
  <c r="EO34" i="50"/>
  <c r="EL47" i="31"/>
  <c r="EL49" i="31" s="1"/>
  <c r="EN103" i="50" l="1"/>
  <c r="EN106" i="50"/>
  <c r="EN104" i="50"/>
  <c r="EN105" i="50"/>
  <c r="EN108" i="50"/>
  <c r="EN107" i="50"/>
  <c r="EN110" i="50"/>
  <c r="EN109" i="50"/>
  <c r="EN113" i="50"/>
  <c r="EN114" i="50"/>
  <c r="EN117" i="50"/>
  <c r="EN118" i="50"/>
  <c r="EN120" i="50"/>
  <c r="EN111" i="50"/>
  <c r="EN116" i="50"/>
  <c r="EN87" i="50"/>
  <c r="EN112" i="50"/>
  <c r="EN88" i="50"/>
  <c r="EN119" i="50"/>
  <c r="EN122" i="50"/>
  <c r="EN86" i="50"/>
  <c r="EN92" i="50"/>
  <c r="EN121" i="50"/>
  <c r="EN115" i="50"/>
  <c r="EN93" i="50"/>
  <c r="EN95" i="50"/>
  <c r="EN96" i="50"/>
  <c r="EN94" i="50"/>
  <c r="EN97" i="50"/>
  <c r="EN89" i="50"/>
  <c r="EN90" i="50"/>
  <c r="EN91" i="50"/>
  <c r="EP61" i="50"/>
  <c r="EP70" i="50" s="1"/>
  <c r="EP59" i="50"/>
  <c r="EP68" i="50" s="1"/>
  <c r="EP65" i="50"/>
  <c r="EP63" i="50"/>
  <c r="EM123" i="50"/>
  <c r="EM99" i="50"/>
  <c r="ER21" i="50"/>
  <c r="ER26" i="50" s="1"/>
  <c r="ER161" i="50"/>
  <c r="EP84" i="19"/>
  <c r="EP85" i="19"/>
  <c r="EO51" i="50"/>
  <c r="EP82" i="19"/>
  <c r="EP45" i="50"/>
  <c r="EP46" i="50"/>
  <c r="EP49" i="50"/>
  <c r="EP47" i="50"/>
  <c r="EP44" i="50"/>
  <c r="EP50" i="50"/>
  <c r="EP48" i="50"/>
  <c r="EP55" i="50"/>
  <c r="EP56" i="50"/>
  <c r="EP83" i="19"/>
  <c r="EP88" i="19"/>
  <c r="EP86" i="19"/>
  <c r="EP87" i="19"/>
  <c r="EP81" i="19"/>
  <c r="EN162" i="50"/>
  <c r="EN146" i="50"/>
  <c r="EN158" i="50" s="1"/>
  <c r="EN145" i="50"/>
  <c r="EN157" i="50" s="1"/>
  <c r="EQ22" i="50"/>
  <c r="EQ23" i="50"/>
  <c r="EQ98" i="50" s="1"/>
  <c r="ER149" i="50"/>
  <c r="EM136" i="50"/>
  <c r="EM52" i="31"/>
  <c r="EM54" i="31" s="1"/>
  <c r="EM55" i="31" s="1"/>
  <c r="EM155" i="50"/>
  <c r="ES42" i="31"/>
  <c r="ES6" i="28"/>
  <c r="ES6" i="50"/>
  <c r="EO74" i="50"/>
  <c r="EO128" i="50"/>
  <c r="EO130" i="50" s="1"/>
  <c r="EN144" i="50"/>
  <c r="EN156" i="50" s="1"/>
  <c r="EN132" i="50"/>
  <c r="EN133" i="50" s="1"/>
  <c r="EN52" i="31" s="1"/>
  <c r="EN54" i="31" s="1"/>
  <c r="EO72" i="50"/>
  <c r="EN76" i="50"/>
  <c r="EN77" i="50" s="1"/>
  <c r="EN78" i="50" s="1"/>
  <c r="EN81" i="50" s="1"/>
  <c r="EM165" i="50"/>
  <c r="ES41" i="31"/>
  <c r="ES5" i="28"/>
  <c r="ES5" i="50"/>
  <c r="EP128" i="50"/>
  <c r="EP130" i="50" s="1"/>
  <c r="EU142" i="50"/>
  <c r="EV139" i="50"/>
  <c r="EO36" i="50"/>
  <c r="EP30" i="50"/>
  <c r="EP31" i="50"/>
  <c r="EP32" i="50"/>
  <c r="EP33" i="50"/>
  <c r="EP34" i="50"/>
  <c r="EP104" i="50" l="1"/>
  <c r="EP105" i="50"/>
  <c r="EP106" i="50"/>
  <c r="EP108" i="50"/>
  <c r="EP109" i="50"/>
  <c r="EP103" i="50"/>
  <c r="EP110" i="50"/>
  <c r="EP111" i="50"/>
  <c r="EP113" i="50"/>
  <c r="EP112" i="50"/>
  <c r="EP116" i="50"/>
  <c r="EP122" i="50"/>
  <c r="EP117" i="50"/>
  <c r="EP86" i="50"/>
  <c r="EP89" i="50"/>
  <c r="EP115" i="50"/>
  <c r="EP90" i="50"/>
  <c r="EP120" i="50"/>
  <c r="EP119" i="50"/>
  <c r="EP87" i="50"/>
  <c r="EP88" i="50"/>
  <c r="EP91" i="50"/>
  <c r="EP107" i="50"/>
  <c r="EP92" i="50"/>
  <c r="EP94" i="50"/>
  <c r="EP114" i="50"/>
  <c r="EP121" i="50"/>
  <c r="EP95" i="50"/>
  <c r="EP97" i="50"/>
  <c r="EP93" i="50"/>
  <c r="EP96" i="50"/>
  <c r="EP118" i="50"/>
  <c r="EO105" i="50"/>
  <c r="EO103" i="50"/>
  <c r="EO104" i="50"/>
  <c r="EO108" i="50"/>
  <c r="EO106" i="50"/>
  <c r="EO109" i="50"/>
  <c r="EO107" i="50"/>
  <c r="EO110" i="50"/>
  <c r="EO111" i="50"/>
  <c r="EO112" i="50"/>
  <c r="EO113" i="50"/>
  <c r="EO114" i="50"/>
  <c r="EO115" i="50"/>
  <c r="EO120" i="50"/>
  <c r="EO119" i="50"/>
  <c r="EO121" i="50"/>
  <c r="EO118" i="50"/>
  <c r="EO89" i="50"/>
  <c r="EO92" i="50"/>
  <c r="EO116" i="50"/>
  <c r="EO93" i="50"/>
  <c r="EO87" i="50"/>
  <c r="EO88" i="50"/>
  <c r="EO122" i="50"/>
  <c r="EO86" i="50"/>
  <c r="EO94" i="50"/>
  <c r="EO117" i="50"/>
  <c r="EO97" i="50"/>
  <c r="EO95" i="50"/>
  <c r="EO96" i="50"/>
  <c r="EO90" i="50"/>
  <c r="EO91" i="50"/>
  <c r="EM47" i="31"/>
  <c r="EM49" i="31" s="1"/>
  <c r="EM166" i="50"/>
  <c r="EN99" i="50"/>
  <c r="EQ63" i="50"/>
  <c r="EQ72" i="50" s="1"/>
  <c r="EQ61" i="50"/>
  <c r="EQ70" i="50" s="1"/>
  <c r="EQ59" i="50"/>
  <c r="EQ68" i="50" s="1"/>
  <c r="EQ65" i="50"/>
  <c r="EQ74" i="50" s="1"/>
  <c r="EN123" i="50"/>
  <c r="EQ83" i="19"/>
  <c r="ES21" i="50"/>
  <c r="ES26" i="50" s="1"/>
  <c r="ES161" i="50"/>
  <c r="EQ86" i="19"/>
  <c r="EQ87" i="19"/>
  <c r="EQ88" i="19"/>
  <c r="EP51" i="50"/>
  <c r="EQ82" i="19"/>
  <c r="EQ45" i="50"/>
  <c r="EQ44" i="50"/>
  <c r="EQ46" i="50"/>
  <c r="EQ47" i="50"/>
  <c r="EQ48" i="50"/>
  <c r="EQ49" i="50"/>
  <c r="EQ50" i="50"/>
  <c r="EQ55" i="50"/>
  <c r="EQ56" i="50"/>
  <c r="EQ84" i="19"/>
  <c r="EQ85" i="19"/>
  <c r="EQ81" i="19"/>
  <c r="EN155" i="50"/>
  <c r="ER23" i="50"/>
  <c r="ER98" i="50" s="1"/>
  <c r="ER22" i="50"/>
  <c r="EN55" i="31"/>
  <c r="EN165" i="50"/>
  <c r="ES149" i="50"/>
  <c r="EN136" i="50"/>
  <c r="EN134" i="50"/>
  <c r="EO76" i="50"/>
  <c r="EO77" i="50" s="1"/>
  <c r="EO78" i="50" s="1"/>
  <c r="EO81" i="50" s="1"/>
  <c r="ET42" i="31"/>
  <c r="ET6" i="50"/>
  <c r="ET6" i="28"/>
  <c r="EO162" i="50"/>
  <c r="EO146" i="50"/>
  <c r="EO158" i="50" s="1"/>
  <c r="EO145" i="50"/>
  <c r="EO157" i="50" s="1"/>
  <c r="EO132" i="50"/>
  <c r="EO133" i="50" s="1"/>
  <c r="EO52" i="31" s="1"/>
  <c r="EO54" i="31" s="1"/>
  <c r="EO144" i="50"/>
  <c r="EO156" i="50" s="1"/>
  <c r="EP74" i="50"/>
  <c r="EP72" i="50"/>
  <c r="ET41" i="31"/>
  <c r="ET5" i="28"/>
  <c r="ET5" i="50"/>
  <c r="EW139" i="50"/>
  <c r="EV142" i="50"/>
  <c r="EP36" i="50"/>
  <c r="EQ30" i="50"/>
  <c r="EQ31" i="50"/>
  <c r="EQ32" i="50"/>
  <c r="EQ33" i="50"/>
  <c r="EQ34" i="50"/>
  <c r="EP132" i="50"/>
  <c r="EP133" i="50" s="1"/>
  <c r="EP144" i="50"/>
  <c r="EP145" i="50"/>
  <c r="EP146" i="50"/>
  <c r="EP162" i="50"/>
  <c r="EQ128" i="50"/>
  <c r="EQ130" i="50" s="1"/>
  <c r="EQ104" i="50" l="1"/>
  <c r="EQ105" i="50"/>
  <c r="EQ108" i="50"/>
  <c r="EQ109" i="50"/>
  <c r="EQ107" i="50"/>
  <c r="EQ106" i="50"/>
  <c r="EQ112" i="50"/>
  <c r="EQ103" i="50"/>
  <c r="EQ111" i="50"/>
  <c r="EQ116" i="50"/>
  <c r="EQ119" i="50"/>
  <c r="EQ117" i="50"/>
  <c r="EQ114" i="50"/>
  <c r="EQ115" i="50"/>
  <c r="EQ118" i="50"/>
  <c r="EQ122" i="50"/>
  <c r="EQ91" i="50"/>
  <c r="EQ86" i="50"/>
  <c r="EQ87" i="50"/>
  <c r="EQ120" i="50"/>
  <c r="EQ89" i="50"/>
  <c r="EQ90" i="50"/>
  <c r="EQ96" i="50"/>
  <c r="EQ88" i="50"/>
  <c r="EQ92" i="50"/>
  <c r="EQ95" i="50"/>
  <c r="EQ93" i="50"/>
  <c r="EQ110" i="50"/>
  <c r="EQ94" i="50"/>
  <c r="EQ97" i="50"/>
  <c r="EQ121" i="50"/>
  <c r="EQ113" i="50"/>
  <c r="EN47" i="31"/>
  <c r="EN49" i="31" s="1"/>
  <c r="EN166" i="50"/>
  <c r="ER59" i="50"/>
  <c r="ER68" i="50" s="1"/>
  <c r="ER63" i="50"/>
  <c r="ER61" i="50"/>
  <c r="ER70" i="50" s="1"/>
  <c r="ER65" i="50"/>
  <c r="ER74" i="50" s="1"/>
  <c r="EP99" i="50"/>
  <c r="EO99" i="50"/>
  <c r="EP123" i="50"/>
  <c r="EO123" i="50"/>
  <c r="ET21" i="50"/>
  <c r="ET26" i="50" s="1"/>
  <c r="ET161" i="50"/>
  <c r="ER84" i="19"/>
  <c r="EQ51" i="50"/>
  <c r="ER82" i="19"/>
  <c r="ER83" i="19"/>
  <c r="ER88" i="19"/>
  <c r="ER44" i="50"/>
  <c r="ER45" i="50"/>
  <c r="ER49" i="50"/>
  <c r="ER46" i="50"/>
  <c r="ER47" i="50"/>
  <c r="ER50" i="50"/>
  <c r="ER48" i="50"/>
  <c r="ER56" i="50"/>
  <c r="ER55" i="50"/>
  <c r="ER86" i="19"/>
  <c r="ER85" i="19"/>
  <c r="ER87" i="19"/>
  <c r="ER81" i="19"/>
  <c r="EO55" i="31"/>
  <c r="EO165" i="50"/>
  <c r="ES22" i="50"/>
  <c r="ES23" i="50"/>
  <c r="ES98" i="50" s="1"/>
  <c r="ET149" i="50"/>
  <c r="EO136" i="50"/>
  <c r="EO134" i="50"/>
  <c r="EO155" i="50"/>
  <c r="EP76" i="50"/>
  <c r="EP77" i="50" s="1"/>
  <c r="EP78" i="50" s="1"/>
  <c r="EP81" i="50" s="1"/>
  <c r="EU6" i="28"/>
  <c r="EU42" i="31"/>
  <c r="EU6" i="50"/>
  <c r="EU41" i="31"/>
  <c r="EU5" i="28"/>
  <c r="EU5" i="50"/>
  <c r="EX139" i="50"/>
  <c r="EW142" i="50"/>
  <c r="EQ36" i="50"/>
  <c r="ER30" i="50"/>
  <c r="ER31" i="50"/>
  <c r="ER32" i="50"/>
  <c r="ER33" i="50"/>
  <c r="ER34" i="50"/>
  <c r="EQ132" i="50"/>
  <c r="EQ133" i="50" s="1"/>
  <c r="EQ144" i="50"/>
  <c r="EQ145" i="50"/>
  <c r="EQ157" i="50" s="1"/>
  <c r="EQ146" i="50"/>
  <c r="EQ158" i="50" s="1"/>
  <c r="EQ162" i="50"/>
  <c r="EP158" i="50"/>
  <c r="EP157" i="50"/>
  <c r="EP156" i="50"/>
  <c r="EP165" i="50"/>
  <c r="EP166" i="50" s="1"/>
  <c r="EP52" i="31"/>
  <c r="EP54" i="31" s="1"/>
  <c r="EP134" i="50"/>
  <c r="EP136" i="50"/>
  <c r="EP155" i="50"/>
  <c r="EO47" i="31" l="1"/>
  <c r="EO49" i="31" s="1"/>
  <c r="EO166" i="50"/>
  <c r="EQ99" i="50"/>
  <c r="EP55" i="31"/>
  <c r="ES61" i="50"/>
  <c r="ES70" i="50" s="1"/>
  <c r="ES59" i="50"/>
  <c r="ES68" i="50" s="1"/>
  <c r="ES63" i="50"/>
  <c r="ES72" i="50" s="1"/>
  <c r="ES65" i="50"/>
  <c r="EQ123" i="50"/>
  <c r="EU21" i="50"/>
  <c r="EU26" i="50" s="1"/>
  <c r="EU161" i="50"/>
  <c r="ES87" i="19"/>
  <c r="ES84" i="19"/>
  <c r="ES86" i="19"/>
  <c r="ER51" i="50"/>
  <c r="ES88" i="19"/>
  <c r="ES44" i="50"/>
  <c r="ES45" i="50"/>
  <c r="ES46" i="50"/>
  <c r="ES48" i="50"/>
  <c r="ES49" i="50"/>
  <c r="ES47" i="50"/>
  <c r="ES50" i="50"/>
  <c r="ES55" i="50"/>
  <c r="ES56" i="50"/>
  <c r="ES85" i="19"/>
  <c r="ES83" i="19"/>
  <c r="ES82" i="19"/>
  <c r="ES81" i="19"/>
  <c r="EQ76" i="50"/>
  <c r="EQ77" i="50" s="1"/>
  <c r="EQ78" i="50" s="1"/>
  <c r="EQ81" i="50" s="1"/>
  <c r="ET22" i="50"/>
  <c r="ET23" i="50"/>
  <c r="ET98" i="50" s="1"/>
  <c r="EU149" i="50"/>
  <c r="EV42" i="31"/>
  <c r="EV6" i="28"/>
  <c r="EV6" i="50"/>
  <c r="EV41" i="31"/>
  <c r="EV5" i="28"/>
  <c r="EV5" i="50"/>
  <c r="ER72" i="50"/>
  <c r="ER128" i="50"/>
  <c r="ER130" i="50" s="1"/>
  <c r="EY139" i="50"/>
  <c r="EX142" i="50"/>
  <c r="ER36" i="50"/>
  <c r="ES30" i="50"/>
  <c r="ES31" i="50"/>
  <c r="ES32" i="50"/>
  <c r="ES33" i="50"/>
  <c r="ES34" i="50"/>
  <c r="EP47" i="31"/>
  <c r="EP49" i="31" s="1"/>
  <c r="EQ156" i="50"/>
  <c r="EQ165" i="50"/>
  <c r="EQ166" i="50" s="1"/>
  <c r="EQ52" i="31"/>
  <c r="EQ54" i="31" s="1"/>
  <c r="EQ55" i="31" s="1"/>
  <c r="EQ134" i="50"/>
  <c r="EQ136" i="50"/>
  <c r="EQ155" i="50"/>
  <c r="ER104" i="50" l="1"/>
  <c r="ER103" i="50"/>
  <c r="ER107" i="50"/>
  <c r="ER108" i="50"/>
  <c r="ER105" i="50"/>
  <c r="ER106" i="50"/>
  <c r="ER109" i="50"/>
  <c r="ER110" i="50"/>
  <c r="ER111" i="50"/>
  <c r="ER112" i="50"/>
  <c r="ER113" i="50"/>
  <c r="ER118" i="50"/>
  <c r="ER114" i="50"/>
  <c r="ER116" i="50"/>
  <c r="ER117" i="50"/>
  <c r="ER115" i="50"/>
  <c r="ER120" i="50"/>
  <c r="ER119" i="50"/>
  <c r="ER121" i="50"/>
  <c r="ER88" i="50"/>
  <c r="ER91" i="50"/>
  <c r="ER92" i="50"/>
  <c r="ER93" i="50"/>
  <c r="ER122" i="50"/>
  <c r="ER86" i="50"/>
  <c r="ER87" i="50"/>
  <c r="ER89" i="50"/>
  <c r="ER90" i="50"/>
  <c r="ER96" i="50"/>
  <c r="ER97" i="50"/>
  <c r="ER94" i="50"/>
  <c r="ER95" i="50"/>
  <c r="ET61" i="50"/>
  <c r="ET70" i="50" s="1"/>
  <c r="ET65" i="50"/>
  <c r="ET63" i="50"/>
  <c r="ET59" i="50"/>
  <c r="ET68" i="50" s="1"/>
  <c r="EV21" i="50"/>
  <c r="EV26" i="50" s="1"/>
  <c r="EV161" i="50"/>
  <c r="ET83" i="19"/>
  <c r="ET88" i="19"/>
  <c r="ET46" i="50"/>
  <c r="ET44" i="50"/>
  <c r="ET45" i="50"/>
  <c r="ET48" i="50"/>
  <c r="ET47" i="50"/>
  <c r="ET55" i="50"/>
  <c r="ET49" i="50"/>
  <c r="ET50" i="50"/>
  <c r="ET56" i="50"/>
  <c r="ET85" i="19"/>
  <c r="ES51" i="50"/>
  <c r="ET86" i="19"/>
  <c r="ET84" i="19"/>
  <c r="ET82" i="19"/>
  <c r="ET87" i="19"/>
  <c r="ET81" i="19"/>
  <c r="EU23" i="50"/>
  <c r="EU98" i="50" s="1"/>
  <c r="EU22" i="50"/>
  <c r="EV149" i="50"/>
  <c r="EW6" i="28"/>
  <c r="EW42" i="31"/>
  <c r="EW6" i="50"/>
  <c r="ER76" i="50"/>
  <c r="ER77" i="50" s="1"/>
  <c r="ER78" i="50" s="1"/>
  <c r="ER81" i="50" s="1"/>
  <c r="ER162" i="50"/>
  <c r="EW5" i="28"/>
  <c r="EW5" i="50"/>
  <c r="EW41" i="31"/>
  <c r="ER146" i="50"/>
  <c r="ER158" i="50" s="1"/>
  <c r="ER145" i="50"/>
  <c r="ER157" i="50" s="1"/>
  <c r="ER144" i="50"/>
  <c r="ER165" i="50" s="1"/>
  <c r="ER166" i="50" s="1"/>
  <c r="ER132" i="50"/>
  <c r="ER133" i="50" s="1"/>
  <c r="ER134" i="50" s="1"/>
  <c r="ET128" i="50"/>
  <c r="ET130" i="50" s="1"/>
  <c r="ES74" i="50"/>
  <c r="ES128" i="50"/>
  <c r="ES130" i="50" s="1"/>
  <c r="EY142" i="50"/>
  <c r="EZ139" i="50"/>
  <c r="ES36" i="50"/>
  <c r="ET30" i="50"/>
  <c r="ET31" i="50"/>
  <c r="ET32" i="50"/>
  <c r="ET33" i="50"/>
  <c r="ET34" i="50"/>
  <c r="EQ47" i="31"/>
  <c r="EQ49" i="31" s="1"/>
  <c r="ES103" i="50" l="1"/>
  <c r="ES104" i="50"/>
  <c r="ES107" i="50"/>
  <c r="ES105" i="50"/>
  <c r="ES106" i="50"/>
  <c r="ES108" i="50"/>
  <c r="ES111" i="50"/>
  <c r="ES110" i="50"/>
  <c r="ES109" i="50"/>
  <c r="ES112" i="50"/>
  <c r="ES115" i="50"/>
  <c r="ES118" i="50"/>
  <c r="ES121" i="50"/>
  <c r="ES114" i="50"/>
  <c r="ES116" i="50"/>
  <c r="ES117" i="50"/>
  <c r="ES113" i="50"/>
  <c r="ES120" i="50"/>
  <c r="ES122" i="50"/>
  <c r="ES119" i="50"/>
  <c r="ES88" i="50"/>
  <c r="ES89" i="50"/>
  <c r="ES91" i="50"/>
  <c r="ES93" i="50"/>
  <c r="ES86" i="50"/>
  <c r="ES87" i="50"/>
  <c r="ES90" i="50"/>
  <c r="ES94" i="50"/>
  <c r="ES96" i="50"/>
  <c r="ES92" i="50"/>
  <c r="ES95" i="50"/>
  <c r="ES97" i="50"/>
  <c r="ET103" i="50"/>
  <c r="ET104" i="50"/>
  <c r="ET105" i="50"/>
  <c r="ET106" i="50"/>
  <c r="ET109" i="50"/>
  <c r="ET111" i="50"/>
  <c r="ET107" i="50"/>
  <c r="ET113" i="50"/>
  <c r="ET110" i="50"/>
  <c r="ET112" i="50"/>
  <c r="ET115" i="50"/>
  <c r="ET116" i="50"/>
  <c r="ET119" i="50"/>
  <c r="ET118" i="50"/>
  <c r="ET121" i="50"/>
  <c r="ET122" i="50"/>
  <c r="ET90" i="50"/>
  <c r="ET117" i="50"/>
  <c r="ET120" i="50"/>
  <c r="ET108" i="50"/>
  <c r="ET86" i="50"/>
  <c r="ET95" i="50"/>
  <c r="ET88" i="50"/>
  <c r="ET89" i="50"/>
  <c r="ET91" i="50"/>
  <c r="ET93" i="50"/>
  <c r="ET92" i="50"/>
  <c r="ET87" i="50"/>
  <c r="ET114" i="50"/>
  <c r="ET94" i="50"/>
  <c r="ET96" i="50"/>
  <c r="ET97" i="50"/>
  <c r="ER123" i="50"/>
  <c r="ER99" i="50"/>
  <c r="EU59" i="50"/>
  <c r="EU68" i="50" s="1"/>
  <c r="EU61" i="50"/>
  <c r="EU70" i="50" s="1"/>
  <c r="EU63" i="50"/>
  <c r="EU65" i="50"/>
  <c r="EW21" i="50"/>
  <c r="EW26" i="50" s="1"/>
  <c r="EW161" i="50"/>
  <c r="EU82" i="19"/>
  <c r="EU86" i="19"/>
  <c r="EU87" i="19"/>
  <c r="EU84" i="19"/>
  <c r="EU88" i="19"/>
  <c r="EU46" i="50"/>
  <c r="EU44" i="50"/>
  <c r="EU45" i="50"/>
  <c r="EU48" i="50"/>
  <c r="EU55" i="50"/>
  <c r="EU47" i="50"/>
  <c r="EU49" i="50"/>
  <c r="EU56" i="50"/>
  <c r="EU50" i="50"/>
  <c r="EU85" i="19"/>
  <c r="ET51" i="50"/>
  <c r="EU83" i="19"/>
  <c r="EU81" i="19"/>
  <c r="EV22" i="50"/>
  <c r="EV23" i="50"/>
  <c r="EV98" i="50" s="1"/>
  <c r="EW149" i="50"/>
  <c r="EX6" i="28"/>
  <c r="EX42" i="31"/>
  <c r="EX6" i="50"/>
  <c r="ER136" i="50"/>
  <c r="ER52" i="31"/>
  <c r="ER54" i="31" s="1"/>
  <c r="ER55" i="31" s="1"/>
  <c r="ER156" i="50"/>
  <c r="ER155" i="50"/>
  <c r="ET72" i="50"/>
  <c r="ET74" i="50"/>
  <c r="ES162" i="50"/>
  <c r="ES146" i="50"/>
  <c r="ES158" i="50" s="1"/>
  <c r="EX41" i="31"/>
  <c r="EX5" i="28"/>
  <c r="EX5" i="50"/>
  <c r="ES145" i="50"/>
  <c r="ES157" i="50" s="1"/>
  <c r="ES132" i="50"/>
  <c r="ES133" i="50" s="1"/>
  <c r="O49" i="4" s="1"/>
  <c r="ES144" i="50"/>
  <c r="O50" i="4" s="1"/>
  <c r="O55" i="4" s="1"/>
  <c r="ES76" i="50"/>
  <c r="ES77" i="50" s="1"/>
  <c r="ES78" i="50" s="1"/>
  <c r="ES81" i="50" s="1"/>
  <c r="FA139" i="50"/>
  <c r="EZ142" i="50"/>
  <c r="ET36" i="50"/>
  <c r="EU30" i="50"/>
  <c r="EU31" i="50"/>
  <c r="EU32" i="50"/>
  <c r="EU33" i="50"/>
  <c r="EU34" i="50"/>
  <c r="EU128" i="50"/>
  <c r="EU130" i="50" s="1"/>
  <c r="ER47" i="31"/>
  <c r="ER49" i="31" s="1"/>
  <c r="ET132" i="50"/>
  <c r="ET133" i="50" s="1"/>
  <c r="ET144" i="50"/>
  <c r="ET145" i="50"/>
  <c r="ET146" i="50"/>
  <c r="ET162" i="50"/>
  <c r="EU103" i="50" l="1"/>
  <c r="EU106" i="50"/>
  <c r="EU107" i="50"/>
  <c r="EU105" i="50"/>
  <c r="EU109" i="50"/>
  <c r="EU108" i="50"/>
  <c r="EU111" i="50"/>
  <c r="EU110" i="50"/>
  <c r="EU112" i="50"/>
  <c r="EU117" i="50"/>
  <c r="EU113" i="50"/>
  <c r="EU104" i="50"/>
  <c r="EU119" i="50"/>
  <c r="EU115" i="50"/>
  <c r="EU114" i="50"/>
  <c r="EU87" i="50"/>
  <c r="EU121" i="50"/>
  <c r="EU122" i="50"/>
  <c r="EU90" i="50"/>
  <c r="EU120" i="50"/>
  <c r="EU91" i="50"/>
  <c r="EU92" i="50"/>
  <c r="EU116" i="50"/>
  <c r="EU95" i="50"/>
  <c r="EU118" i="50"/>
  <c r="EU96" i="50"/>
  <c r="EU86" i="50"/>
  <c r="EU93" i="50"/>
  <c r="EU89" i="50"/>
  <c r="EU88" i="50"/>
  <c r="EU97" i="50"/>
  <c r="EU94" i="50"/>
  <c r="ES99" i="50"/>
  <c r="ET123" i="50"/>
  <c r="ES123" i="50"/>
  <c r="EV59" i="50"/>
  <c r="EV68" i="50" s="1"/>
  <c r="EV61" i="50"/>
  <c r="EV70" i="50" s="1"/>
  <c r="EV65" i="50"/>
  <c r="EV63" i="50"/>
  <c r="ET99" i="50"/>
  <c r="ES165" i="50"/>
  <c r="ES166" i="50" s="1"/>
  <c r="EX21" i="50"/>
  <c r="EX26" i="50" s="1"/>
  <c r="EX161" i="50"/>
  <c r="EV82" i="19"/>
  <c r="EV85" i="19"/>
  <c r="EV87" i="19"/>
  <c r="EV86" i="19"/>
  <c r="EU51" i="50"/>
  <c r="EV44" i="50"/>
  <c r="EV45" i="50"/>
  <c r="EV47" i="50"/>
  <c r="EV48" i="50"/>
  <c r="EV49" i="50"/>
  <c r="EV46" i="50"/>
  <c r="EV55" i="50"/>
  <c r="EV50" i="50"/>
  <c r="EV56" i="50"/>
  <c r="EV88" i="19"/>
  <c r="EV83" i="19"/>
  <c r="EV84" i="19"/>
  <c r="EV81" i="19"/>
  <c r="ES156" i="50"/>
  <c r="EW22" i="50"/>
  <c r="EW23" i="50"/>
  <c r="EW98" i="50" s="1"/>
  <c r="EX149" i="50"/>
  <c r="ES134" i="50"/>
  <c r="ES136" i="50"/>
  <c r="EY6" i="28"/>
  <c r="EY6" i="50"/>
  <c r="EY42" i="31"/>
  <c r="ET76" i="50"/>
  <c r="ET77" i="50" s="1"/>
  <c r="ET78" i="50" s="1"/>
  <c r="ET81" i="50" s="1"/>
  <c r="ES52" i="31"/>
  <c r="ES54" i="31" s="1"/>
  <c r="ES55" i="31" s="1"/>
  <c r="O51" i="4"/>
  <c r="O56" i="4" s="1"/>
  <c r="ES155" i="50"/>
  <c r="O52" i="4"/>
  <c r="O57" i="4" s="1"/>
  <c r="EY41" i="31"/>
  <c r="EY5" i="28"/>
  <c r="EY5" i="50"/>
  <c r="EU74" i="50"/>
  <c r="EU72" i="50"/>
  <c r="FB139" i="50"/>
  <c r="FA142" i="50"/>
  <c r="EU36" i="50"/>
  <c r="EV30" i="50"/>
  <c r="EV31" i="50"/>
  <c r="EV32" i="50"/>
  <c r="EV33" i="50"/>
  <c r="EV34" i="50"/>
  <c r="EU132" i="50"/>
  <c r="EU133" i="50" s="1"/>
  <c r="EU144" i="50"/>
  <c r="EU145" i="50"/>
  <c r="EU157" i="50" s="1"/>
  <c r="EU146" i="50"/>
  <c r="EU158" i="50" s="1"/>
  <c r="EU162" i="50"/>
  <c r="ET158" i="50"/>
  <c r="ET157" i="50"/>
  <c r="ET156" i="50"/>
  <c r="ET165" i="50"/>
  <c r="ET166" i="50" s="1"/>
  <c r="ET52" i="31"/>
  <c r="ET54" i="31" s="1"/>
  <c r="ET134" i="50"/>
  <c r="ET136" i="50"/>
  <c r="ET155" i="50"/>
  <c r="EU99" i="50" l="1"/>
  <c r="ES47" i="31"/>
  <c r="ES49" i="31" s="1"/>
  <c r="EW61" i="50"/>
  <c r="EW70" i="50" s="1"/>
  <c r="EW59" i="50"/>
  <c r="EW68" i="50" s="1"/>
  <c r="EW63" i="50"/>
  <c r="EW65" i="50"/>
  <c r="EU123" i="50"/>
  <c r="EY21" i="50"/>
  <c r="EY26" i="50" s="1"/>
  <c r="EY161" i="50"/>
  <c r="EW83" i="19"/>
  <c r="EW88" i="19"/>
  <c r="EW45" i="50"/>
  <c r="EW46" i="50"/>
  <c r="EW47" i="50"/>
  <c r="EW50" i="50"/>
  <c r="EW44" i="50"/>
  <c r="EW55" i="50"/>
  <c r="EW49" i="50"/>
  <c r="EW56" i="50"/>
  <c r="EW48" i="50"/>
  <c r="EV51" i="50"/>
  <c r="EW85" i="19"/>
  <c r="EW87" i="19"/>
  <c r="EW82" i="19"/>
  <c r="EW84" i="19"/>
  <c r="EW86" i="19"/>
  <c r="EW81" i="19"/>
  <c r="EX23" i="50"/>
  <c r="EX98" i="50" s="1"/>
  <c r="EX22" i="50"/>
  <c r="EY149" i="50"/>
  <c r="EZ42" i="31"/>
  <c r="EZ6" i="28"/>
  <c r="EZ6" i="50"/>
  <c r="ET55" i="31"/>
  <c r="EZ41" i="31"/>
  <c r="EZ5" i="28"/>
  <c r="EZ5" i="50"/>
  <c r="EU76" i="50"/>
  <c r="EU77" i="50" s="1"/>
  <c r="EU78" i="50" s="1"/>
  <c r="EU81" i="50" s="1"/>
  <c r="EV74" i="50"/>
  <c r="EV128" i="50"/>
  <c r="EV130" i="50" s="1"/>
  <c r="EV72" i="50"/>
  <c r="FC139" i="50"/>
  <c r="FB142" i="50"/>
  <c r="EV36" i="50"/>
  <c r="EW30" i="50"/>
  <c r="EW31" i="50"/>
  <c r="EW32" i="50"/>
  <c r="EW33" i="50"/>
  <c r="EW34" i="50"/>
  <c r="ET47" i="31"/>
  <c r="ET49" i="31" s="1"/>
  <c r="EU156" i="50"/>
  <c r="EU165" i="50"/>
  <c r="EU166" i="50" s="1"/>
  <c r="EU52" i="31"/>
  <c r="EU54" i="31" s="1"/>
  <c r="EU134" i="50"/>
  <c r="EU136" i="50"/>
  <c r="EU155" i="50"/>
  <c r="EV162" i="50" l="1"/>
  <c r="EV103" i="50"/>
  <c r="EV106" i="50"/>
  <c r="EV104" i="50"/>
  <c r="EV105" i="50"/>
  <c r="EV110" i="50"/>
  <c r="EV108" i="50"/>
  <c r="EV111" i="50"/>
  <c r="EV114" i="50"/>
  <c r="EV109" i="50"/>
  <c r="EV117" i="50"/>
  <c r="EV118" i="50"/>
  <c r="EV120" i="50"/>
  <c r="EV119" i="50"/>
  <c r="EV113" i="50"/>
  <c r="EV87" i="50"/>
  <c r="EV116" i="50"/>
  <c r="EV88" i="50"/>
  <c r="EV115" i="50"/>
  <c r="EV112" i="50"/>
  <c r="EV107" i="50"/>
  <c r="EV122" i="50"/>
  <c r="EV121" i="50"/>
  <c r="EV86" i="50"/>
  <c r="EV89" i="50"/>
  <c r="EV93" i="50"/>
  <c r="EV91" i="50"/>
  <c r="EV97" i="50"/>
  <c r="EV90" i="50"/>
  <c r="EV94" i="50"/>
  <c r="EV96" i="50"/>
  <c r="EV92" i="50"/>
  <c r="EV95" i="50"/>
  <c r="EX61" i="50"/>
  <c r="EX70" i="50" s="1"/>
  <c r="EX59" i="50"/>
  <c r="EX68" i="50" s="1"/>
  <c r="EX63" i="50"/>
  <c r="EX65" i="50"/>
  <c r="EZ21" i="50"/>
  <c r="EZ26" i="50" s="1"/>
  <c r="EZ161" i="50"/>
  <c r="EX84" i="19"/>
  <c r="EX83" i="19"/>
  <c r="EX82" i="19"/>
  <c r="EW51" i="50"/>
  <c r="EX87" i="19"/>
  <c r="EX45" i="50"/>
  <c r="EX46" i="50"/>
  <c r="EX49" i="50"/>
  <c r="EX47" i="50"/>
  <c r="EX44" i="50"/>
  <c r="EX50" i="50"/>
  <c r="EX55" i="50"/>
  <c r="EX48" i="50"/>
  <c r="EX56" i="50"/>
  <c r="EX85" i="19"/>
  <c r="EX86" i="19"/>
  <c r="EX88" i="19"/>
  <c r="EX81" i="19"/>
  <c r="EY22" i="50"/>
  <c r="EY23" i="50"/>
  <c r="EY98" i="50" s="1"/>
  <c r="EZ149" i="50"/>
  <c r="EU55" i="31"/>
  <c r="FA6" i="50"/>
  <c r="FA42" i="31"/>
  <c r="FA6" i="28"/>
  <c r="EV145" i="50"/>
  <c r="EV157" i="50" s="1"/>
  <c r="EV144" i="50"/>
  <c r="EV156" i="50" s="1"/>
  <c r="EV132" i="50"/>
  <c r="EV133" i="50" s="1"/>
  <c r="EV136" i="50" s="1"/>
  <c r="EV146" i="50"/>
  <c r="EV158" i="50" s="1"/>
  <c r="FA41" i="31"/>
  <c r="FA5" i="28"/>
  <c r="FA5" i="50"/>
  <c r="EW128" i="50"/>
  <c r="EW130" i="50" s="1"/>
  <c r="EW74" i="50"/>
  <c r="EV76" i="50"/>
  <c r="EV77" i="50" s="1"/>
  <c r="EV78" i="50" s="1"/>
  <c r="EV81" i="50" s="1"/>
  <c r="EW72" i="50"/>
  <c r="FD139" i="50"/>
  <c r="FC142" i="50"/>
  <c r="EW36" i="50"/>
  <c r="EX30" i="50"/>
  <c r="EX31" i="50"/>
  <c r="EX32" i="50"/>
  <c r="EX33" i="50"/>
  <c r="EX34" i="50"/>
  <c r="EU47" i="31"/>
  <c r="EU49" i="31" s="1"/>
  <c r="EW145" i="50" l="1"/>
  <c r="EW157" i="50" s="1"/>
  <c r="EW105" i="50"/>
  <c r="EW103" i="50"/>
  <c r="EW104" i="50"/>
  <c r="EW108" i="50"/>
  <c r="EW106" i="50"/>
  <c r="EW107" i="50"/>
  <c r="EW109" i="50"/>
  <c r="EW110" i="50"/>
  <c r="EW111" i="50"/>
  <c r="EW112" i="50"/>
  <c r="EW114" i="50"/>
  <c r="EW115" i="50"/>
  <c r="EW120" i="50"/>
  <c r="EW116" i="50"/>
  <c r="EW121" i="50"/>
  <c r="EW118" i="50"/>
  <c r="EW89" i="50"/>
  <c r="EW113" i="50"/>
  <c r="EW92" i="50"/>
  <c r="EW117" i="50"/>
  <c r="EW119" i="50"/>
  <c r="EW86" i="50"/>
  <c r="EW93" i="50"/>
  <c r="EW94" i="50"/>
  <c r="EW97" i="50"/>
  <c r="EW87" i="50"/>
  <c r="EW88" i="50"/>
  <c r="EW90" i="50"/>
  <c r="EW91" i="50"/>
  <c r="EW122" i="50"/>
  <c r="EW95" i="50"/>
  <c r="EW96" i="50"/>
  <c r="EV123" i="50"/>
  <c r="EV99" i="50"/>
  <c r="EY63" i="50"/>
  <c r="EY61" i="50"/>
  <c r="EY70" i="50" s="1"/>
  <c r="EY59" i="50"/>
  <c r="EY68" i="50" s="1"/>
  <c r="EY65" i="50"/>
  <c r="FA21" i="50"/>
  <c r="FA26" i="50" s="1"/>
  <c r="FA161" i="50"/>
  <c r="EY86" i="19"/>
  <c r="EY85" i="19"/>
  <c r="EY87" i="19"/>
  <c r="EY45" i="50"/>
  <c r="EY44" i="50"/>
  <c r="EY47" i="50"/>
  <c r="EY48" i="50"/>
  <c r="EY46" i="50"/>
  <c r="EY50" i="50"/>
  <c r="EY49" i="50"/>
  <c r="EY55" i="50"/>
  <c r="EY56" i="50"/>
  <c r="EY82" i="19"/>
  <c r="EX51" i="50"/>
  <c r="EY83" i="19"/>
  <c r="EY88" i="19"/>
  <c r="EY84" i="19"/>
  <c r="EY81" i="19"/>
  <c r="EZ23" i="50"/>
  <c r="EZ98" i="50" s="1"/>
  <c r="EZ22" i="50"/>
  <c r="EV165" i="50"/>
  <c r="FA149" i="50"/>
  <c r="EV134" i="50"/>
  <c r="EW144" i="50"/>
  <c r="EW165" i="50" s="1"/>
  <c r="EW166" i="50" s="1"/>
  <c r="EW132" i="50"/>
  <c r="EW133" i="50" s="1"/>
  <c r="EW155" i="50" s="1"/>
  <c r="EV52" i="31"/>
  <c r="EV54" i="31" s="1"/>
  <c r="EV55" i="31" s="1"/>
  <c r="FB42" i="31"/>
  <c r="FB6" i="50"/>
  <c r="FB6" i="28"/>
  <c r="EV155" i="50"/>
  <c r="EX72" i="50"/>
  <c r="EX74" i="50"/>
  <c r="EX128" i="50"/>
  <c r="EX130" i="50" s="1"/>
  <c r="EW162" i="50"/>
  <c r="EW146" i="50"/>
  <c r="EW158" i="50" s="1"/>
  <c r="FB41" i="31"/>
  <c r="FB5" i="28"/>
  <c r="FB5" i="50"/>
  <c r="EW76" i="50"/>
  <c r="EW77" i="50" s="1"/>
  <c r="EW78" i="50" s="1"/>
  <c r="EW81" i="50" s="1"/>
  <c r="FE139" i="50"/>
  <c r="FD142" i="50"/>
  <c r="EX36" i="50"/>
  <c r="EY30" i="50"/>
  <c r="EY31" i="50"/>
  <c r="EY32" i="50"/>
  <c r="EY33" i="50"/>
  <c r="EY34" i="50"/>
  <c r="EX144" i="50" l="1"/>
  <c r="EX156" i="50" s="1"/>
  <c r="EX104" i="50"/>
  <c r="EX105" i="50"/>
  <c r="EX103" i="50"/>
  <c r="EX106" i="50"/>
  <c r="EX107" i="50"/>
  <c r="EX109" i="50"/>
  <c r="EX113" i="50"/>
  <c r="EX116" i="50"/>
  <c r="EX111" i="50"/>
  <c r="EX122" i="50"/>
  <c r="EX114" i="50"/>
  <c r="EX115" i="50"/>
  <c r="EX117" i="50"/>
  <c r="EX118" i="50"/>
  <c r="EX108" i="50"/>
  <c r="EX110" i="50"/>
  <c r="EX86" i="50"/>
  <c r="EX89" i="50"/>
  <c r="EX112" i="50"/>
  <c r="EX90" i="50"/>
  <c r="EX121" i="50"/>
  <c r="EX87" i="50"/>
  <c r="EX88" i="50"/>
  <c r="EX91" i="50"/>
  <c r="EX120" i="50"/>
  <c r="EX119" i="50"/>
  <c r="EX94" i="50"/>
  <c r="EX95" i="50"/>
  <c r="EX96" i="50"/>
  <c r="EX97" i="50"/>
  <c r="EX93" i="50"/>
  <c r="EX92" i="50"/>
  <c r="EV47" i="31"/>
  <c r="EV49" i="31" s="1"/>
  <c r="EV166" i="50"/>
  <c r="EW123" i="50"/>
  <c r="EW99" i="50"/>
  <c r="EZ59" i="50"/>
  <c r="EZ68" i="50" s="1"/>
  <c r="EZ63" i="50"/>
  <c r="EZ61" i="50"/>
  <c r="EZ70" i="50" s="1"/>
  <c r="EZ65" i="50"/>
  <c r="EZ74" i="50" s="1"/>
  <c r="FB21" i="50"/>
  <c r="FB26" i="50" s="1"/>
  <c r="FB161" i="50"/>
  <c r="EZ88" i="19"/>
  <c r="EZ83" i="19"/>
  <c r="EZ82" i="19"/>
  <c r="EY51" i="50"/>
  <c r="EZ44" i="50"/>
  <c r="EZ45" i="50"/>
  <c r="EZ49" i="50"/>
  <c r="EZ46" i="50"/>
  <c r="EZ48" i="50"/>
  <c r="EZ50" i="50"/>
  <c r="EZ47" i="50"/>
  <c r="EZ56" i="50"/>
  <c r="EZ55" i="50"/>
  <c r="EZ86" i="19"/>
  <c r="EZ87" i="19"/>
  <c r="EZ84" i="19"/>
  <c r="EZ85" i="19"/>
  <c r="EZ81" i="19"/>
  <c r="EW136" i="50"/>
  <c r="EW134" i="50"/>
  <c r="EW52" i="31"/>
  <c r="EW54" i="31" s="1"/>
  <c r="EW55" i="31" s="1"/>
  <c r="EW156" i="50"/>
  <c r="FA22" i="50"/>
  <c r="FA23" i="50"/>
  <c r="FA98" i="50" s="1"/>
  <c r="FB149" i="50"/>
  <c r="EX132" i="50"/>
  <c r="EX133" i="50" s="1"/>
  <c r="EX136" i="50" s="1"/>
  <c r="EX76" i="50"/>
  <c r="EX77" i="50" s="1"/>
  <c r="EX78" i="50" s="1"/>
  <c r="EX81" i="50" s="1"/>
  <c r="FC42" i="31"/>
  <c r="FC6" i="28"/>
  <c r="FC6" i="50"/>
  <c r="EX162" i="50"/>
  <c r="EX146" i="50"/>
  <c r="EX158" i="50" s="1"/>
  <c r="EX145" i="50"/>
  <c r="EX157" i="50" s="1"/>
  <c r="FC41" i="31"/>
  <c r="FC5" i="28"/>
  <c r="FC5" i="50"/>
  <c r="EY128" i="50"/>
  <c r="EY130" i="50" s="1"/>
  <c r="EY72" i="50"/>
  <c r="EY74" i="50"/>
  <c r="FF139" i="50"/>
  <c r="FE142" i="50"/>
  <c r="EY36" i="50"/>
  <c r="EZ30" i="50"/>
  <c r="EZ31" i="50"/>
  <c r="EZ32" i="50"/>
  <c r="EZ33" i="50"/>
  <c r="EZ34" i="50"/>
  <c r="EW47" i="31"/>
  <c r="EW49" i="31" s="1"/>
  <c r="EX165" i="50" l="1"/>
  <c r="EX166" i="50" s="1"/>
  <c r="EY104" i="50"/>
  <c r="EY105" i="50"/>
  <c r="EY103" i="50"/>
  <c r="EY108" i="50"/>
  <c r="EY107" i="50"/>
  <c r="EY109" i="50"/>
  <c r="EY106" i="50"/>
  <c r="EY112" i="50"/>
  <c r="EY110" i="50"/>
  <c r="EY111" i="50"/>
  <c r="EY116" i="50"/>
  <c r="EY119" i="50"/>
  <c r="EY117" i="50"/>
  <c r="EY122" i="50"/>
  <c r="EY91" i="50"/>
  <c r="EY114" i="50"/>
  <c r="EY118" i="50"/>
  <c r="EY86" i="50"/>
  <c r="EY113" i="50"/>
  <c r="EY120" i="50"/>
  <c r="EY121" i="50"/>
  <c r="EY87" i="50"/>
  <c r="EY89" i="50"/>
  <c r="EY90" i="50"/>
  <c r="EY115" i="50"/>
  <c r="EY88" i="50"/>
  <c r="EY92" i="50"/>
  <c r="EY96" i="50"/>
  <c r="EY94" i="50"/>
  <c r="EY95" i="50"/>
  <c r="EY97" i="50"/>
  <c r="EY93" i="50"/>
  <c r="EX123" i="50"/>
  <c r="EX99" i="50"/>
  <c r="FA61" i="50"/>
  <c r="FA70" i="50" s="1"/>
  <c r="FA63" i="50"/>
  <c r="FA72" i="50" s="1"/>
  <c r="FA65" i="50"/>
  <c r="FA59" i="50"/>
  <c r="FA68" i="50" s="1"/>
  <c r="FC21" i="50"/>
  <c r="FC26" i="50" s="1"/>
  <c r="FC161" i="50"/>
  <c r="EX52" i="31"/>
  <c r="EX54" i="31" s="1"/>
  <c r="EX55" i="31" s="1"/>
  <c r="EX134" i="50"/>
  <c r="EX155" i="50"/>
  <c r="FA84" i="19"/>
  <c r="FA87" i="19"/>
  <c r="FA86" i="19"/>
  <c r="FA82" i="19"/>
  <c r="FA44" i="50"/>
  <c r="FA45" i="50"/>
  <c r="FA46" i="50"/>
  <c r="FA48" i="50"/>
  <c r="FA49" i="50"/>
  <c r="FA50" i="50"/>
  <c r="FA47" i="50"/>
  <c r="FA55" i="50"/>
  <c r="FA56" i="50"/>
  <c r="FA83" i="19"/>
  <c r="EZ51" i="50"/>
  <c r="FA85" i="19"/>
  <c r="FA88" i="19"/>
  <c r="FA81" i="19"/>
  <c r="FB23" i="50"/>
  <c r="FB98" i="50" s="1"/>
  <c r="FB22" i="50"/>
  <c r="FC149" i="50"/>
  <c r="FD42" i="31"/>
  <c r="FD6" i="28"/>
  <c r="FD6" i="50"/>
  <c r="EY162" i="50"/>
  <c r="EY146" i="50"/>
  <c r="EY158" i="50" s="1"/>
  <c r="EZ72" i="50"/>
  <c r="EY145" i="50"/>
  <c r="EY157" i="50" s="1"/>
  <c r="EY144" i="50"/>
  <c r="EY156" i="50" s="1"/>
  <c r="EY132" i="50"/>
  <c r="EY133" i="50" s="1"/>
  <c r="EY134" i="50" s="1"/>
  <c r="EY76" i="50"/>
  <c r="EY77" i="50" s="1"/>
  <c r="EY78" i="50" s="1"/>
  <c r="EY81" i="50" s="1"/>
  <c r="EZ128" i="50"/>
  <c r="EZ130" i="50" s="1"/>
  <c r="FD41" i="31"/>
  <c r="FD5" i="28"/>
  <c r="FD5" i="50"/>
  <c r="FG139" i="50"/>
  <c r="FF142" i="50"/>
  <c r="EZ36" i="50"/>
  <c r="FA30" i="50"/>
  <c r="FA31" i="50"/>
  <c r="FA32" i="50"/>
  <c r="FA33" i="50"/>
  <c r="FA34" i="50"/>
  <c r="EX47" i="31"/>
  <c r="EX49" i="31" s="1"/>
  <c r="EZ162" i="50" l="1"/>
  <c r="EZ104" i="50"/>
  <c r="EZ103" i="50"/>
  <c r="EZ105" i="50"/>
  <c r="EZ107" i="50"/>
  <c r="EZ108" i="50"/>
  <c r="EZ109" i="50"/>
  <c r="EZ110" i="50"/>
  <c r="EZ112" i="50"/>
  <c r="EZ113" i="50"/>
  <c r="EZ118" i="50"/>
  <c r="EZ114" i="50"/>
  <c r="EZ111" i="50"/>
  <c r="EZ119" i="50"/>
  <c r="EZ120" i="50"/>
  <c r="EZ116" i="50"/>
  <c r="EZ115" i="50"/>
  <c r="EZ88" i="50"/>
  <c r="EZ91" i="50"/>
  <c r="EZ106" i="50"/>
  <c r="EZ122" i="50"/>
  <c r="EZ92" i="50"/>
  <c r="EZ121" i="50"/>
  <c r="EZ86" i="50"/>
  <c r="EZ87" i="50"/>
  <c r="EZ93" i="50"/>
  <c r="EZ96" i="50"/>
  <c r="EZ117" i="50"/>
  <c r="EZ97" i="50"/>
  <c r="EZ94" i="50"/>
  <c r="EZ95" i="50"/>
  <c r="EZ89" i="50"/>
  <c r="EZ90" i="50"/>
  <c r="EY99" i="50"/>
  <c r="FB61" i="50"/>
  <c r="FB70" i="50" s="1"/>
  <c r="FB63" i="50"/>
  <c r="FB59" i="50"/>
  <c r="FB68" i="50" s="1"/>
  <c r="FB65" i="50"/>
  <c r="EY123" i="50"/>
  <c r="FD21" i="50"/>
  <c r="FD26" i="50" s="1"/>
  <c r="FD161" i="50"/>
  <c r="FB85" i="19"/>
  <c r="FB83" i="19"/>
  <c r="FB46" i="50"/>
  <c r="FB44" i="50"/>
  <c r="FB48" i="50"/>
  <c r="FB45" i="50"/>
  <c r="FB47" i="50"/>
  <c r="FB55" i="50"/>
  <c r="FB50" i="50"/>
  <c r="FB49" i="50"/>
  <c r="FB56" i="50"/>
  <c r="FB84" i="19"/>
  <c r="FA51" i="50"/>
  <c r="FB82" i="19"/>
  <c r="FB87" i="19"/>
  <c r="FB88" i="19"/>
  <c r="FB86" i="19"/>
  <c r="FB81" i="19"/>
  <c r="FC22" i="50"/>
  <c r="FC23" i="50"/>
  <c r="FC98" i="50" s="1"/>
  <c r="FD149" i="50"/>
  <c r="FE6" i="28"/>
  <c r="FE42" i="31"/>
  <c r="FE6" i="50"/>
  <c r="EY155" i="50"/>
  <c r="EY136" i="50"/>
  <c r="EY52" i="31"/>
  <c r="EY54" i="31" s="1"/>
  <c r="EY55" i="31" s="1"/>
  <c r="EY165" i="50"/>
  <c r="EY166" i="50" s="1"/>
  <c r="EZ146" i="50"/>
  <c r="EZ158" i="50" s="1"/>
  <c r="EZ76" i="50"/>
  <c r="EZ77" i="50" s="1"/>
  <c r="EZ78" i="50" s="1"/>
  <c r="EZ81" i="50" s="1"/>
  <c r="EZ145" i="50"/>
  <c r="EZ157" i="50" s="1"/>
  <c r="FA128" i="50"/>
  <c r="FA130" i="50" s="1"/>
  <c r="FA74" i="50"/>
  <c r="EZ144" i="50"/>
  <c r="EZ165" i="50" s="1"/>
  <c r="EZ166" i="50" s="1"/>
  <c r="EZ132" i="50"/>
  <c r="EZ133" i="50" s="1"/>
  <c r="EZ136" i="50" s="1"/>
  <c r="FE5" i="28"/>
  <c r="FE41" i="31"/>
  <c r="FE5" i="50"/>
  <c r="FH139" i="50"/>
  <c r="FG142" i="50"/>
  <c r="FA36" i="50"/>
  <c r="FB30" i="50"/>
  <c r="FB31" i="50"/>
  <c r="FB32" i="50"/>
  <c r="FB33" i="50"/>
  <c r="FB34" i="50"/>
  <c r="FA103" i="50" l="1"/>
  <c r="FA104" i="50"/>
  <c r="FA105" i="50"/>
  <c r="FA107" i="50"/>
  <c r="FA108" i="50"/>
  <c r="FA111" i="50"/>
  <c r="FA106" i="50"/>
  <c r="FA112" i="50"/>
  <c r="FA109" i="50"/>
  <c r="FA110" i="50"/>
  <c r="FA113" i="50"/>
  <c r="FA115" i="50"/>
  <c r="FA118" i="50"/>
  <c r="FA121" i="50"/>
  <c r="FA120" i="50"/>
  <c r="FA88" i="50"/>
  <c r="FA114" i="50"/>
  <c r="FA117" i="50"/>
  <c r="FA119" i="50"/>
  <c r="FA89" i="50"/>
  <c r="FA86" i="50"/>
  <c r="FA87" i="50"/>
  <c r="FA116" i="50"/>
  <c r="FA92" i="50"/>
  <c r="FA93" i="50"/>
  <c r="FA122" i="50"/>
  <c r="FA94" i="50"/>
  <c r="FA90" i="50"/>
  <c r="FA91" i="50"/>
  <c r="FA96" i="50"/>
  <c r="FA95" i="50"/>
  <c r="FA97" i="50"/>
  <c r="FC59" i="50"/>
  <c r="FC68" i="50" s="1"/>
  <c r="FC61" i="50"/>
  <c r="FC70" i="50" s="1"/>
  <c r="FC65" i="50"/>
  <c r="FC63" i="50"/>
  <c r="EZ99" i="50"/>
  <c r="EZ123" i="50"/>
  <c r="FE21" i="50"/>
  <c r="FE26" i="50" s="1"/>
  <c r="FE161" i="50"/>
  <c r="FC88" i="19"/>
  <c r="FC46" i="50"/>
  <c r="FC44" i="50"/>
  <c r="FC48" i="50"/>
  <c r="FC55" i="50"/>
  <c r="FC45" i="50"/>
  <c r="FC56" i="50"/>
  <c r="FC49" i="50"/>
  <c r="FC47" i="50"/>
  <c r="FC50" i="50"/>
  <c r="FC87" i="19"/>
  <c r="FC82" i="19"/>
  <c r="FC84" i="19"/>
  <c r="FB51" i="50"/>
  <c r="FC83" i="19"/>
  <c r="FC86" i="19"/>
  <c r="FC85" i="19"/>
  <c r="FC81" i="19"/>
  <c r="EY47" i="31"/>
  <c r="EY49" i="31" s="1"/>
  <c r="FD22" i="50"/>
  <c r="FD23" i="50"/>
  <c r="FD98" i="50" s="1"/>
  <c r="FE149" i="50"/>
  <c r="FF6" i="28"/>
  <c r="FF42" i="31"/>
  <c r="FF6" i="50"/>
  <c r="EZ134" i="50"/>
  <c r="EZ52" i="31"/>
  <c r="EZ54" i="31" s="1"/>
  <c r="EZ55" i="31" s="1"/>
  <c r="EZ155" i="50"/>
  <c r="FA162" i="50"/>
  <c r="FA146" i="50"/>
  <c r="FA158" i="50" s="1"/>
  <c r="FA144" i="50"/>
  <c r="FA165" i="50" s="1"/>
  <c r="FA166" i="50" s="1"/>
  <c r="FA132" i="50"/>
  <c r="FA133" i="50" s="1"/>
  <c r="FA52" i="31" s="1"/>
  <c r="FA54" i="31" s="1"/>
  <c r="FA145" i="50"/>
  <c r="FA157" i="50" s="1"/>
  <c r="EZ156" i="50"/>
  <c r="FA76" i="50"/>
  <c r="FA77" i="50" s="1"/>
  <c r="FA78" i="50" s="1"/>
  <c r="FA81" i="50" s="1"/>
  <c r="FF41" i="31"/>
  <c r="FF5" i="28"/>
  <c r="FF5" i="50"/>
  <c r="FC74" i="50"/>
  <c r="FB128" i="50"/>
  <c r="FB130" i="50" s="1"/>
  <c r="FB72" i="50"/>
  <c r="FB74" i="50"/>
  <c r="FI139" i="50"/>
  <c r="FH142" i="50"/>
  <c r="FB36" i="50"/>
  <c r="FC30" i="50"/>
  <c r="FC31" i="50"/>
  <c r="FC32" i="50"/>
  <c r="FC33" i="50"/>
  <c r="FC34" i="50"/>
  <c r="EZ47" i="31"/>
  <c r="EZ49" i="31" s="1"/>
  <c r="FB132" i="50" l="1"/>
  <c r="FB133" i="50" s="1"/>
  <c r="FB103" i="50"/>
  <c r="FB104" i="50"/>
  <c r="FB105" i="50"/>
  <c r="FB108" i="50"/>
  <c r="FB107" i="50"/>
  <c r="FB111" i="50"/>
  <c r="FB109" i="50"/>
  <c r="FB110" i="50"/>
  <c r="FB113" i="50"/>
  <c r="FB106" i="50"/>
  <c r="FB115" i="50"/>
  <c r="FB112" i="50"/>
  <c r="FB116" i="50"/>
  <c r="FB119" i="50"/>
  <c r="FB121" i="50"/>
  <c r="FB122" i="50"/>
  <c r="FB117" i="50"/>
  <c r="FB90" i="50"/>
  <c r="FB118" i="50"/>
  <c r="FB86" i="50"/>
  <c r="FB88" i="50"/>
  <c r="FB120" i="50"/>
  <c r="FB87" i="50"/>
  <c r="FB95" i="50"/>
  <c r="FB92" i="50"/>
  <c r="FB93" i="50"/>
  <c r="FB114" i="50"/>
  <c r="FB91" i="50"/>
  <c r="FB94" i="50"/>
  <c r="FB96" i="50"/>
  <c r="FB97" i="50"/>
  <c r="FB89" i="50"/>
  <c r="FA99" i="50"/>
  <c r="FD59" i="50"/>
  <c r="FD68" i="50" s="1"/>
  <c r="FD63" i="50"/>
  <c r="FD65" i="50"/>
  <c r="FD61" i="50"/>
  <c r="FD70" i="50" s="1"/>
  <c r="FD84" i="19"/>
  <c r="FD82" i="19"/>
  <c r="FA123" i="50"/>
  <c r="FF21" i="50"/>
  <c r="FF26" i="50" s="1"/>
  <c r="FF161" i="50"/>
  <c r="FD85" i="19"/>
  <c r="FD86" i="19"/>
  <c r="FD83" i="19"/>
  <c r="FD87" i="19"/>
  <c r="FD44" i="50"/>
  <c r="FD45" i="50"/>
  <c r="FD47" i="50"/>
  <c r="FD48" i="50"/>
  <c r="FD49" i="50"/>
  <c r="FD46" i="50"/>
  <c r="FD55" i="50"/>
  <c r="FD50" i="50"/>
  <c r="FD56" i="50"/>
  <c r="FC51" i="50"/>
  <c r="FD88" i="19"/>
  <c r="FD81" i="19"/>
  <c r="FA134" i="50"/>
  <c r="FE23" i="50"/>
  <c r="FE98" i="50" s="1"/>
  <c r="FE22" i="50"/>
  <c r="FF149" i="50"/>
  <c r="FA55" i="31"/>
  <c r="FG42" i="31"/>
  <c r="FG6" i="28"/>
  <c r="FG6" i="50"/>
  <c r="FA156" i="50"/>
  <c r="FA155" i="50"/>
  <c r="FA136" i="50"/>
  <c r="FC72" i="50"/>
  <c r="FB145" i="50"/>
  <c r="FB157" i="50" s="1"/>
  <c r="FB144" i="50"/>
  <c r="FB156" i="50" s="1"/>
  <c r="FB162" i="50"/>
  <c r="FB146" i="50"/>
  <c r="FB158" i="50" s="1"/>
  <c r="FG41" i="31"/>
  <c r="FG5" i="28"/>
  <c r="FG5" i="50"/>
  <c r="FC128" i="50"/>
  <c r="FC130" i="50" s="1"/>
  <c r="FB76" i="50"/>
  <c r="FB77" i="50" s="1"/>
  <c r="FB78" i="50" s="1"/>
  <c r="FB81" i="50" s="1"/>
  <c r="FJ139" i="50"/>
  <c r="FI142" i="50"/>
  <c r="FC36" i="50"/>
  <c r="FD30" i="50"/>
  <c r="FD31" i="50"/>
  <c r="FD32" i="50"/>
  <c r="FD33" i="50"/>
  <c r="FD34" i="50"/>
  <c r="FD128" i="50"/>
  <c r="FD130" i="50" s="1"/>
  <c r="FA47" i="31"/>
  <c r="FA49" i="31" s="1"/>
  <c r="FB52" i="31"/>
  <c r="FB54" i="31" s="1"/>
  <c r="FB134" i="50"/>
  <c r="FB136" i="50"/>
  <c r="FB155" i="50"/>
  <c r="FD103" i="50" l="1"/>
  <c r="FD106" i="50"/>
  <c r="FD105" i="50"/>
  <c r="FD104" i="50"/>
  <c r="FD110" i="50"/>
  <c r="FD109" i="50"/>
  <c r="FD107" i="50"/>
  <c r="FD108" i="50"/>
  <c r="FD114" i="50"/>
  <c r="FD117" i="50"/>
  <c r="FD118" i="50"/>
  <c r="FD112" i="50"/>
  <c r="FD113" i="50"/>
  <c r="FD115" i="50"/>
  <c r="FD116" i="50"/>
  <c r="FD120" i="50"/>
  <c r="FD111" i="50"/>
  <c r="FD87" i="50"/>
  <c r="FD88" i="50"/>
  <c r="FD122" i="50"/>
  <c r="FD121" i="50"/>
  <c r="FD90" i="50"/>
  <c r="FD91" i="50"/>
  <c r="FD119" i="50"/>
  <c r="FD86" i="50"/>
  <c r="FD89" i="50"/>
  <c r="FD92" i="50"/>
  <c r="FD93" i="50"/>
  <c r="FD96" i="50"/>
  <c r="FD95" i="50"/>
  <c r="FD94" i="50"/>
  <c r="FD97" i="50"/>
  <c r="FC132" i="50"/>
  <c r="FC133" i="50" s="1"/>
  <c r="FC155" i="50" s="1"/>
  <c r="FC103" i="50"/>
  <c r="FC106" i="50"/>
  <c r="FC105" i="50"/>
  <c r="FC107" i="50"/>
  <c r="FC108" i="50"/>
  <c r="FC111" i="50"/>
  <c r="FC104" i="50"/>
  <c r="FC112" i="50"/>
  <c r="FC117" i="50"/>
  <c r="FC110" i="50"/>
  <c r="FC113" i="50"/>
  <c r="FC114" i="50"/>
  <c r="FC119" i="50"/>
  <c r="FC87" i="50"/>
  <c r="FC115" i="50"/>
  <c r="FC90" i="50"/>
  <c r="FC109" i="50"/>
  <c r="FC91" i="50"/>
  <c r="FC118" i="50"/>
  <c r="FC122" i="50"/>
  <c r="FC121" i="50"/>
  <c r="FC86" i="50"/>
  <c r="FC88" i="50"/>
  <c r="FC89" i="50"/>
  <c r="FC116" i="50"/>
  <c r="FC120" i="50"/>
  <c r="FC95" i="50"/>
  <c r="FC96" i="50"/>
  <c r="FC92" i="50"/>
  <c r="FC94" i="50"/>
  <c r="FC97" i="50"/>
  <c r="FC93" i="50"/>
  <c r="FE61" i="50"/>
  <c r="FE70" i="50" s="1"/>
  <c r="FE59" i="50"/>
  <c r="FE68" i="50" s="1"/>
  <c r="FE63" i="50"/>
  <c r="FE65" i="50"/>
  <c r="FB99" i="50"/>
  <c r="FB123" i="50"/>
  <c r="FG21" i="50"/>
  <c r="FG26" i="50" s="1"/>
  <c r="FG161" i="50"/>
  <c r="FE85" i="19"/>
  <c r="FE87" i="19"/>
  <c r="FE83" i="19"/>
  <c r="FE82" i="19"/>
  <c r="FE84" i="19"/>
  <c r="FD51" i="50"/>
  <c r="FE45" i="50"/>
  <c r="FE46" i="50"/>
  <c r="FE47" i="50"/>
  <c r="FE49" i="50"/>
  <c r="FE50" i="50"/>
  <c r="FE48" i="50"/>
  <c r="FE44" i="50"/>
  <c r="FE55" i="50"/>
  <c r="FE56" i="50"/>
  <c r="FE88" i="19"/>
  <c r="FE86" i="19"/>
  <c r="FE81" i="19"/>
  <c r="FB55" i="31"/>
  <c r="FF23" i="50"/>
  <c r="FF98" i="50" s="1"/>
  <c r="FF22" i="50"/>
  <c r="FG149" i="50"/>
  <c r="FH42" i="31"/>
  <c r="FH6" i="28"/>
  <c r="FH6" i="50"/>
  <c r="FC76" i="50"/>
  <c r="FC77" i="50" s="1"/>
  <c r="FC78" i="50" s="1"/>
  <c r="FC81" i="50" s="1"/>
  <c r="FB165" i="50"/>
  <c r="FB166" i="50" s="1"/>
  <c r="FC162" i="50"/>
  <c r="FC146" i="50"/>
  <c r="FC158" i="50" s="1"/>
  <c r="FD74" i="50"/>
  <c r="FC145" i="50"/>
  <c r="FC157" i="50" s="1"/>
  <c r="FC144" i="50"/>
  <c r="FC156" i="50" s="1"/>
  <c r="FD72" i="50"/>
  <c r="FH41" i="31"/>
  <c r="FH5" i="28"/>
  <c r="FH5" i="50"/>
  <c r="FK139" i="50"/>
  <c r="FJ142" i="50"/>
  <c r="FE30" i="50"/>
  <c r="FE31" i="50"/>
  <c r="FE32" i="50"/>
  <c r="FE34" i="50"/>
  <c r="FE33" i="50"/>
  <c r="FD36" i="50"/>
  <c r="FE128" i="50"/>
  <c r="FE130" i="50" s="1"/>
  <c r="FD132" i="50"/>
  <c r="FD133" i="50" s="1"/>
  <c r="FD144" i="50"/>
  <c r="FD145" i="50"/>
  <c r="FD146" i="50"/>
  <c r="FD162" i="50"/>
  <c r="FC52" i="31"/>
  <c r="FC54" i="31" s="1"/>
  <c r="FC134" i="50"/>
  <c r="FC136" i="50"/>
  <c r="FE105" i="50" l="1"/>
  <c r="FE103" i="50"/>
  <c r="FE104" i="50"/>
  <c r="FE106" i="50"/>
  <c r="FE109" i="50"/>
  <c r="FE107" i="50"/>
  <c r="FE108" i="50"/>
  <c r="FE110" i="50"/>
  <c r="FE111" i="50"/>
  <c r="FE112" i="50"/>
  <c r="FE114" i="50"/>
  <c r="FE115" i="50"/>
  <c r="FE117" i="50"/>
  <c r="FE118" i="50"/>
  <c r="FE119" i="50"/>
  <c r="FE113" i="50"/>
  <c r="FE116" i="50"/>
  <c r="FE120" i="50"/>
  <c r="FE121" i="50"/>
  <c r="FE122" i="50"/>
  <c r="FE89" i="50"/>
  <c r="FE92" i="50"/>
  <c r="FE93" i="50"/>
  <c r="FE94" i="50"/>
  <c r="FE87" i="50"/>
  <c r="FE88" i="50"/>
  <c r="FE90" i="50"/>
  <c r="FE91" i="50"/>
  <c r="FE97" i="50"/>
  <c r="FE86" i="50"/>
  <c r="FE95" i="50"/>
  <c r="FE96" i="50"/>
  <c r="FD99" i="50"/>
  <c r="FC99" i="50"/>
  <c r="FF61" i="50"/>
  <c r="FF70" i="50" s="1"/>
  <c r="FF59" i="50"/>
  <c r="FF68" i="50" s="1"/>
  <c r="FF65" i="50"/>
  <c r="FF63" i="50"/>
  <c r="FD123" i="50"/>
  <c r="FC123" i="50"/>
  <c r="FB47" i="31"/>
  <c r="FB49" i="31" s="1"/>
  <c r="FH21" i="50"/>
  <c r="FH26" i="50" s="1"/>
  <c r="FH161" i="50"/>
  <c r="FF88" i="19"/>
  <c r="FF45" i="50"/>
  <c r="FF46" i="50"/>
  <c r="FF44" i="50"/>
  <c r="FF49" i="50"/>
  <c r="FF47" i="50"/>
  <c r="FF50" i="50"/>
  <c r="FF48" i="50"/>
  <c r="FF55" i="50"/>
  <c r="FF56" i="50"/>
  <c r="FE51" i="50"/>
  <c r="FF83" i="19"/>
  <c r="FF84" i="19"/>
  <c r="FF82" i="19"/>
  <c r="FF87" i="19"/>
  <c r="FF86" i="19"/>
  <c r="FF85" i="19"/>
  <c r="FC55" i="31"/>
  <c r="FF81" i="19"/>
  <c r="FG22" i="50"/>
  <c r="FG23" i="50"/>
  <c r="FG98" i="50" s="1"/>
  <c r="FH149" i="50"/>
  <c r="FI42" i="31"/>
  <c r="FI6" i="28"/>
  <c r="FI6" i="50"/>
  <c r="FC165" i="50"/>
  <c r="FC166" i="50" s="1"/>
  <c r="FD76" i="50"/>
  <c r="FD77" i="50" s="1"/>
  <c r="FD78" i="50" s="1"/>
  <c r="FD81" i="50" s="1"/>
  <c r="FE74" i="50"/>
  <c r="FE72" i="50"/>
  <c r="FI41" i="31"/>
  <c r="FI5" i="28"/>
  <c r="FI5" i="50"/>
  <c r="FL139" i="50"/>
  <c r="FK142" i="50"/>
  <c r="FF30" i="50"/>
  <c r="FF31" i="50"/>
  <c r="FF32" i="50"/>
  <c r="FF33" i="50"/>
  <c r="FF34" i="50"/>
  <c r="FE36" i="50"/>
  <c r="FF128" i="50"/>
  <c r="FF130" i="50" s="1"/>
  <c r="FE132" i="50"/>
  <c r="FE133" i="50" s="1"/>
  <c r="P49" i="4" s="1"/>
  <c r="FE144" i="50"/>
  <c r="P50" i="4" s="1"/>
  <c r="P55" i="4" s="1"/>
  <c r="FE145" i="50"/>
  <c r="FE157" i="50" s="1"/>
  <c r="FE146" i="50"/>
  <c r="FE158" i="50" s="1"/>
  <c r="FE162" i="50"/>
  <c r="FD158" i="50"/>
  <c r="FD157" i="50"/>
  <c r="FD156" i="50"/>
  <c r="FD165" i="50"/>
  <c r="FD166" i="50" s="1"/>
  <c r="FD52" i="31"/>
  <c r="FD54" i="31" s="1"/>
  <c r="FD55" i="31" s="1"/>
  <c r="FD134" i="50"/>
  <c r="FD136" i="50"/>
  <c r="FD155" i="50"/>
  <c r="FF104" i="50" l="1"/>
  <c r="FF105" i="50"/>
  <c r="FF103" i="50"/>
  <c r="FF106" i="50"/>
  <c r="FF109" i="50"/>
  <c r="FF107" i="50"/>
  <c r="FF108" i="50"/>
  <c r="FF110" i="50"/>
  <c r="FF111" i="50"/>
  <c r="FF113" i="50"/>
  <c r="FF116" i="50"/>
  <c r="FF112" i="50"/>
  <c r="FF114" i="50"/>
  <c r="FF115" i="50"/>
  <c r="FF117" i="50"/>
  <c r="FF118" i="50"/>
  <c r="FF119" i="50"/>
  <c r="FF120" i="50"/>
  <c r="FF121" i="50"/>
  <c r="FF86" i="50"/>
  <c r="FF122" i="50"/>
  <c r="FF89" i="50"/>
  <c r="FF90" i="50"/>
  <c r="FF92" i="50"/>
  <c r="FF94" i="50"/>
  <c r="FF87" i="50"/>
  <c r="FF88" i="50"/>
  <c r="FF91" i="50"/>
  <c r="FF95" i="50"/>
  <c r="FF96" i="50"/>
  <c r="FF93" i="50"/>
  <c r="FF97" i="50"/>
  <c r="FE99" i="50"/>
  <c r="FE123" i="50"/>
  <c r="FG63" i="50"/>
  <c r="FG61" i="50"/>
  <c r="FG70" i="50" s="1"/>
  <c r="FG59" i="50"/>
  <c r="FG68" i="50" s="1"/>
  <c r="FG65" i="50"/>
  <c r="FI21" i="50"/>
  <c r="FI26" i="50" s="1"/>
  <c r="FI161" i="50"/>
  <c r="FG86" i="19"/>
  <c r="FG87" i="19"/>
  <c r="FG45" i="50"/>
  <c r="FG44" i="50"/>
  <c r="FG46" i="50"/>
  <c r="FG47" i="50"/>
  <c r="FG48" i="50"/>
  <c r="FG49" i="50"/>
  <c r="FG50" i="50"/>
  <c r="FG55" i="50"/>
  <c r="FG56" i="50"/>
  <c r="FG82" i="19"/>
  <c r="FG84" i="19"/>
  <c r="FG83" i="19"/>
  <c r="FF51" i="50"/>
  <c r="FG85" i="19"/>
  <c r="FG88" i="19"/>
  <c r="FG81" i="19"/>
  <c r="FH22" i="50"/>
  <c r="FH23" i="50"/>
  <c r="FH98" i="50" s="1"/>
  <c r="FC47" i="31"/>
  <c r="FC49" i="31" s="1"/>
  <c r="FI149" i="50"/>
  <c r="FJ42" i="31"/>
  <c r="FJ6" i="28"/>
  <c r="FJ6" i="50"/>
  <c r="FE76" i="50"/>
  <c r="FE77" i="50" s="1"/>
  <c r="FE78" i="50" s="1"/>
  <c r="FE81" i="50" s="1"/>
  <c r="FF74" i="50"/>
  <c r="FF72" i="50"/>
  <c r="FJ41" i="31"/>
  <c r="FJ5" i="28"/>
  <c r="FJ5" i="50"/>
  <c r="FL142" i="50"/>
  <c r="FM139" i="50"/>
  <c r="P51" i="4"/>
  <c r="P56" i="4" s="1"/>
  <c r="FF36" i="50"/>
  <c r="P52" i="4"/>
  <c r="P57" i="4" s="1"/>
  <c r="FG30" i="50"/>
  <c r="FG31" i="50"/>
  <c r="FG32" i="50"/>
  <c r="FG33" i="50"/>
  <c r="FG34" i="50"/>
  <c r="FD47" i="31"/>
  <c r="FD49" i="31" s="1"/>
  <c r="FF132" i="50"/>
  <c r="FF133" i="50" s="1"/>
  <c r="FF144" i="50"/>
  <c r="FF145" i="50"/>
  <c r="FF146" i="50"/>
  <c r="FF162" i="50"/>
  <c r="FE156" i="50"/>
  <c r="FE165" i="50"/>
  <c r="FE166" i="50" s="1"/>
  <c r="FE52" i="31"/>
  <c r="FE54" i="31" s="1"/>
  <c r="FE55" i="31" s="1"/>
  <c r="FE134" i="50"/>
  <c r="FE136" i="50"/>
  <c r="FE155" i="50"/>
  <c r="FF99" i="50" l="1"/>
  <c r="FF123" i="50"/>
  <c r="FH59" i="50"/>
  <c r="FH68" i="50" s="1"/>
  <c r="FH63" i="50"/>
  <c r="FH61" i="50"/>
  <c r="FH70" i="50" s="1"/>
  <c r="FH65" i="50"/>
  <c r="FJ21" i="50"/>
  <c r="FJ26" i="50" s="1"/>
  <c r="FJ161" i="50"/>
  <c r="FH83" i="19"/>
  <c r="FH84" i="19"/>
  <c r="FH85" i="19"/>
  <c r="FH44" i="50"/>
  <c r="FH45" i="50"/>
  <c r="FH46" i="50"/>
  <c r="FH49" i="50"/>
  <c r="FH48" i="50"/>
  <c r="FH50" i="50"/>
  <c r="FH47" i="50"/>
  <c r="FH55" i="50"/>
  <c r="FH56" i="50"/>
  <c r="FH82" i="19"/>
  <c r="FG51" i="50"/>
  <c r="FH87" i="19"/>
  <c r="FH88" i="19"/>
  <c r="FH86" i="19"/>
  <c r="FH81" i="19"/>
  <c r="FI23" i="50"/>
  <c r="FI98" i="50" s="1"/>
  <c r="FI22" i="50"/>
  <c r="FJ149" i="50"/>
  <c r="FF76" i="50"/>
  <c r="FF77" i="50" s="1"/>
  <c r="FF78" i="50" s="1"/>
  <c r="FF81" i="50" s="1"/>
  <c r="FK42" i="31"/>
  <c r="FK6" i="28"/>
  <c r="FK6" i="50"/>
  <c r="FG128" i="50"/>
  <c r="FG130" i="50" s="1"/>
  <c r="FG74" i="50"/>
  <c r="FG72" i="50"/>
  <c r="FK41" i="31"/>
  <c r="FK5" i="28"/>
  <c r="FK5" i="50"/>
  <c r="FM142" i="50"/>
  <c r="FN139" i="50"/>
  <c r="FG36" i="50"/>
  <c r="FH30" i="50"/>
  <c r="FH31" i="50"/>
  <c r="FH32" i="50"/>
  <c r="FH33" i="50"/>
  <c r="FH34" i="50"/>
  <c r="FE47" i="31"/>
  <c r="FE49" i="31" s="1"/>
  <c r="FF158" i="50"/>
  <c r="FF157" i="50"/>
  <c r="FF156" i="50"/>
  <c r="FF165" i="50"/>
  <c r="FF166" i="50" s="1"/>
  <c r="FF52" i="31"/>
  <c r="FF54" i="31" s="1"/>
  <c r="FF55" i="31" s="1"/>
  <c r="FF134" i="50"/>
  <c r="FF136" i="50"/>
  <c r="FF155" i="50"/>
  <c r="FG132" i="50" l="1"/>
  <c r="FG133" i="50" s="1"/>
  <c r="FG104" i="50"/>
  <c r="FG105" i="50"/>
  <c r="FG103" i="50"/>
  <c r="FG109" i="50"/>
  <c r="FG112" i="50"/>
  <c r="FG106" i="50"/>
  <c r="FG107" i="50"/>
  <c r="FG108" i="50"/>
  <c r="FG110" i="50"/>
  <c r="FG111" i="50"/>
  <c r="FG116" i="50"/>
  <c r="FG119" i="50"/>
  <c r="FG113" i="50"/>
  <c r="FG117" i="50"/>
  <c r="FG122" i="50"/>
  <c r="FG91" i="50"/>
  <c r="FG120" i="50"/>
  <c r="FG121" i="50"/>
  <c r="FG86" i="50"/>
  <c r="FG115" i="50"/>
  <c r="FG114" i="50"/>
  <c r="FG118" i="50"/>
  <c r="FG87" i="50"/>
  <c r="FG96" i="50"/>
  <c r="FG89" i="50"/>
  <c r="FG90" i="50"/>
  <c r="FG93" i="50"/>
  <c r="FG97" i="50"/>
  <c r="FG92" i="50"/>
  <c r="FG94" i="50"/>
  <c r="FG95" i="50"/>
  <c r="FG88" i="50"/>
  <c r="FI61" i="50"/>
  <c r="FI70" i="50" s="1"/>
  <c r="FI65" i="50"/>
  <c r="FI59" i="50"/>
  <c r="FI68" i="50" s="1"/>
  <c r="FI63" i="50"/>
  <c r="FK21" i="50"/>
  <c r="FK26" i="50" s="1"/>
  <c r="FK161" i="50"/>
  <c r="FI88" i="19"/>
  <c r="FI87" i="19"/>
  <c r="FI82" i="19"/>
  <c r="FI84" i="19"/>
  <c r="FI86" i="19"/>
  <c r="FI44" i="50"/>
  <c r="FI45" i="50"/>
  <c r="FI46" i="50"/>
  <c r="FI48" i="50"/>
  <c r="FI49" i="50"/>
  <c r="FI47" i="50"/>
  <c r="FI50" i="50"/>
  <c r="FI55" i="50"/>
  <c r="FI56" i="50"/>
  <c r="FH51" i="50"/>
  <c r="FI83" i="19"/>
  <c r="FI85" i="19"/>
  <c r="FG162" i="50"/>
  <c r="FG146" i="50"/>
  <c r="FG158" i="50" s="1"/>
  <c r="FG145" i="50"/>
  <c r="FG157" i="50" s="1"/>
  <c r="FI81" i="19"/>
  <c r="FG144" i="50"/>
  <c r="FG156" i="50" s="1"/>
  <c r="FJ22" i="50"/>
  <c r="FJ23" i="50"/>
  <c r="FJ98" i="50" s="1"/>
  <c r="FK149" i="50"/>
  <c r="FL42" i="31"/>
  <c r="FL6" i="28"/>
  <c r="FL6" i="50"/>
  <c r="FG76" i="50"/>
  <c r="FG77" i="50" s="1"/>
  <c r="FG78" i="50" s="1"/>
  <c r="FG81" i="50" s="1"/>
  <c r="FL41" i="31"/>
  <c r="FL5" i="50"/>
  <c r="FL5" i="28"/>
  <c r="FO139" i="50"/>
  <c r="FN142" i="50"/>
  <c r="FH128" i="50"/>
  <c r="FH130" i="50" s="1"/>
  <c r="FH74" i="50"/>
  <c r="FH72" i="50"/>
  <c r="FH36" i="50"/>
  <c r="FI30" i="50"/>
  <c r="FI31" i="50"/>
  <c r="FI32" i="50"/>
  <c r="FI33" i="50"/>
  <c r="FI34" i="50"/>
  <c r="FF47" i="31"/>
  <c r="FF49" i="31" s="1"/>
  <c r="FG52" i="31"/>
  <c r="FG54" i="31" s="1"/>
  <c r="FG55" i="31" s="1"/>
  <c r="FG134" i="50"/>
  <c r="FG136" i="50"/>
  <c r="FG155" i="50"/>
  <c r="FH104" i="50" l="1"/>
  <c r="FH103" i="50"/>
  <c r="FH107" i="50"/>
  <c r="FH108" i="50"/>
  <c r="FH106" i="50"/>
  <c r="FH105" i="50"/>
  <c r="FH109" i="50"/>
  <c r="FH110" i="50"/>
  <c r="FH112" i="50"/>
  <c r="FH111" i="50"/>
  <c r="FH113" i="50"/>
  <c r="FH118" i="50"/>
  <c r="FH114" i="50"/>
  <c r="FH120" i="50"/>
  <c r="FH116" i="50"/>
  <c r="FH88" i="50"/>
  <c r="FH91" i="50"/>
  <c r="FH92" i="50"/>
  <c r="FH115" i="50"/>
  <c r="FH122" i="50"/>
  <c r="FH93" i="50"/>
  <c r="FH121" i="50"/>
  <c r="FH96" i="50"/>
  <c r="FH119" i="50"/>
  <c r="FH97" i="50"/>
  <c r="FH87" i="50"/>
  <c r="FH90" i="50"/>
  <c r="FH117" i="50"/>
  <c r="FH86" i="50"/>
  <c r="FH89" i="50"/>
  <c r="FH94" i="50"/>
  <c r="FH95" i="50"/>
  <c r="FG123" i="50"/>
  <c r="FJ61" i="50"/>
  <c r="FJ70" i="50" s="1"/>
  <c r="FJ63" i="50"/>
  <c r="FJ65" i="50"/>
  <c r="FJ59" i="50"/>
  <c r="FJ68" i="50" s="1"/>
  <c r="FG99" i="50"/>
  <c r="FL21" i="50"/>
  <c r="FL26" i="50" s="1"/>
  <c r="FL161" i="50"/>
  <c r="FJ83" i="19"/>
  <c r="FJ86" i="19"/>
  <c r="FJ46" i="50"/>
  <c r="FJ44" i="50"/>
  <c r="FJ48" i="50"/>
  <c r="FJ47" i="50"/>
  <c r="FJ55" i="50"/>
  <c r="FJ49" i="50"/>
  <c r="FJ45" i="50"/>
  <c r="FJ50" i="50"/>
  <c r="FJ56" i="50"/>
  <c r="FJ84" i="19"/>
  <c r="FI51" i="50"/>
  <c r="FJ82" i="19"/>
  <c r="FJ87" i="19"/>
  <c r="FJ85" i="19"/>
  <c r="FJ88" i="19"/>
  <c r="FG165" i="50"/>
  <c r="FJ81" i="19"/>
  <c r="FK22" i="50"/>
  <c r="FK23" i="50"/>
  <c r="FK98" i="50" s="1"/>
  <c r="FL149" i="50"/>
  <c r="FM6" i="28"/>
  <c r="FM6" i="50"/>
  <c r="FM42" i="31"/>
  <c r="FH162" i="50"/>
  <c r="FH146" i="50"/>
  <c r="FH158" i="50" s="1"/>
  <c r="FH145" i="50"/>
  <c r="FH157" i="50" s="1"/>
  <c r="FH144" i="50"/>
  <c r="FH156" i="50" s="1"/>
  <c r="FI128" i="50"/>
  <c r="FI130" i="50" s="1"/>
  <c r="FI74" i="50"/>
  <c r="FM5" i="50"/>
  <c r="FM41" i="31"/>
  <c r="FM5" i="28"/>
  <c r="FI72" i="50"/>
  <c r="FH132" i="50"/>
  <c r="FH133" i="50" s="1"/>
  <c r="FH136" i="50" s="1"/>
  <c r="FH76" i="50"/>
  <c r="FH77" i="50" s="1"/>
  <c r="FH78" i="50" s="1"/>
  <c r="FH81" i="50" s="1"/>
  <c r="FO142" i="50"/>
  <c r="FP139" i="50"/>
  <c r="FI36" i="50"/>
  <c r="FJ34" i="50"/>
  <c r="FJ30" i="50"/>
  <c r="FJ31" i="50"/>
  <c r="FJ32" i="50"/>
  <c r="FJ33" i="50"/>
  <c r="FI103" i="50" l="1"/>
  <c r="FI104" i="50"/>
  <c r="FI107" i="50"/>
  <c r="FI108" i="50"/>
  <c r="FI106" i="50"/>
  <c r="FI111" i="50"/>
  <c r="FI105" i="50"/>
  <c r="FI110" i="50"/>
  <c r="FI112" i="50"/>
  <c r="FI115" i="50"/>
  <c r="FI118" i="50"/>
  <c r="FI121" i="50"/>
  <c r="FI109" i="50"/>
  <c r="FI114" i="50"/>
  <c r="FI119" i="50"/>
  <c r="FI116" i="50"/>
  <c r="FI88" i="50"/>
  <c r="FI120" i="50"/>
  <c r="FI89" i="50"/>
  <c r="FI122" i="50"/>
  <c r="FI93" i="50"/>
  <c r="FI113" i="50"/>
  <c r="FI117" i="50"/>
  <c r="FI86" i="50"/>
  <c r="FI87" i="50"/>
  <c r="FI90" i="50"/>
  <c r="FI94" i="50"/>
  <c r="FI97" i="50"/>
  <c r="FI92" i="50"/>
  <c r="FI91" i="50"/>
  <c r="FI95" i="50"/>
  <c r="FI96" i="50"/>
  <c r="FG47" i="31"/>
  <c r="FG49" i="31" s="1"/>
  <c r="FG166" i="50"/>
  <c r="FH123" i="50"/>
  <c r="FK59" i="50"/>
  <c r="FK68" i="50" s="1"/>
  <c r="FK63" i="50"/>
  <c r="FK72" i="50" s="1"/>
  <c r="FK65" i="50"/>
  <c r="FK61" i="50"/>
  <c r="FK70" i="50" s="1"/>
  <c r="FK82" i="19"/>
  <c r="FH99" i="50"/>
  <c r="FM21" i="50"/>
  <c r="FM26" i="50" s="1"/>
  <c r="FM161" i="50"/>
  <c r="FK85" i="19"/>
  <c r="FK87" i="19"/>
  <c r="FK46" i="50"/>
  <c r="FK44" i="50"/>
  <c r="FK48" i="50"/>
  <c r="FK45" i="50"/>
  <c r="FK47" i="50"/>
  <c r="FK55" i="50"/>
  <c r="FK49" i="50"/>
  <c r="FK56" i="50"/>
  <c r="FK50" i="50"/>
  <c r="FK84" i="19"/>
  <c r="FK83" i="19"/>
  <c r="FJ51" i="50"/>
  <c r="FK88" i="19"/>
  <c r="FK86" i="19"/>
  <c r="FK81" i="19"/>
  <c r="FL23" i="50"/>
  <c r="FL98" i="50" s="1"/>
  <c r="FL22" i="50"/>
  <c r="FM149" i="50"/>
  <c r="FH52" i="31"/>
  <c r="FH54" i="31" s="1"/>
  <c r="FH55" i="31" s="1"/>
  <c r="FN6" i="28"/>
  <c r="FN42" i="31"/>
  <c r="FN6" i="50"/>
  <c r="FI76" i="50"/>
  <c r="FI77" i="50" s="1"/>
  <c r="FI78" i="50" s="1"/>
  <c r="FI81" i="50" s="1"/>
  <c r="FI162" i="50"/>
  <c r="FI146" i="50"/>
  <c r="FI158" i="50" s="1"/>
  <c r="FI145" i="50"/>
  <c r="FI157" i="50" s="1"/>
  <c r="FI144" i="50"/>
  <c r="FI156" i="50" s="1"/>
  <c r="FI132" i="50"/>
  <c r="FI133" i="50" s="1"/>
  <c r="FI134" i="50" s="1"/>
  <c r="FH134" i="50"/>
  <c r="FH165" i="50"/>
  <c r="FH155" i="50"/>
  <c r="FN41" i="31"/>
  <c r="FN5" i="28"/>
  <c r="FN5" i="50"/>
  <c r="FP142" i="50"/>
  <c r="FQ139" i="50"/>
  <c r="FJ74" i="50"/>
  <c r="FJ128" i="50"/>
  <c r="FJ130" i="50" s="1"/>
  <c r="FJ72" i="50"/>
  <c r="FJ36" i="50"/>
  <c r="FK30" i="50"/>
  <c r="FK31" i="50"/>
  <c r="FK32" i="50"/>
  <c r="FK33" i="50"/>
  <c r="FK34" i="50"/>
  <c r="FJ162" i="50" l="1"/>
  <c r="FJ103" i="50"/>
  <c r="FJ104" i="50"/>
  <c r="FJ105" i="50"/>
  <c r="FJ107" i="50"/>
  <c r="FJ108" i="50"/>
  <c r="FJ106" i="50"/>
  <c r="FJ109" i="50"/>
  <c r="FJ111" i="50"/>
  <c r="FJ113" i="50"/>
  <c r="FJ115" i="50"/>
  <c r="FJ116" i="50"/>
  <c r="FJ119" i="50"/>
  <c r="FJ121" i="50"/>
  <c r="FJ114" i="50"/>
  <c r="FJ117" i="50"/>
  <c r="FJ122" i="50"/>
  <c r="FJ112" i="50"/>
  <c r="FJ118" i="50"/>
  <c r="FJ90" i="50"/>
  <c r="FJ110" i="50"/>
  <c r="FJ86" i="50"/>
  <c r="FJ87" i="50"/>
  <c r="FJ92" i="50"/>
  <c r="FJ95" i="50"/>
  <c r="FJ120" i="50"/>
  <c r="FJ93" i="50"/>
  <c r="FJ88" i="50"/>
  <c r="FJ89" i="50"/>
  <c r="FJ91" i="50"/>
  <c r="FJ97" i="50"/>
  <c r="FJ94" i="50"/>
  <c r="FJ96" i="50"/>
  <c r="FH47" i="31"/>
  <c r="FH49" i="31" s="1"/>
  <c r="FH166" i="50"/>
  <c r="FI123" i="50"/>
  <c r="FI99" i="50"/>
  <c r="FL59" i="50"/>
  <c r="FL68" i="50" s="1"/>
  <c r="FL61" i="50"/>
  <c r="FL70" i="50" s="1"/>
  <c r="FL65" i="50"/>
  <c r="FL63" i="50"/>
  <c r="FN21" i="50"/>
  <c r="FN26" i="50" s="1"/>
  <c r="FN161" i="50"/>
  <c r="FL83" i="19"/>
  <c r="FL44" i="50"/>
  <c r="FL45" i="50"/>
  <c r="FL47" i="50"/>
  <c r="FL46" i="50"/>
  <c r="FL48" i="50"/>
  <c r="FL49" i="50"/>
  <c r="FL55" i="50"/>
  <c r="FL50" i="50"/>
  <c r="FL56" i="50"/>
  <c r="FL84" i="19"/>
  <c r="FK51" i="50"/>
  <c r="FL87" i="19"/>
  <c r="FL82" i="19"/>
  <c r="FL88" i="19"/>
  <c r="FL86" i="19"/>
  <c r="FL85" i="19"/>
  <c r="FL81" i="19"/>
  <c r="FM22" i="50"/>
  <c r="FM23" i="50"/>
  <c r="FM98" i="50" s="1"/>
  <c r="FN149" i="50"/>
  <c r="FO6" i="28"/>
  <c r="FO6" i="50"/>
  <c r="FO42" i="31"/>
  <c r="FI165" i="50"/>
  <c r="FI166" i="50" s="1"/>
  <c r="FI155" i="50"/>
  <c r="FI52" i="31"/>
  <c r="FI54" i="31" s="1"/>
  <c r="FI55" i="31" s="1"/>
  <c r="FI136" i="50"/>
  <c r="FO41" i="31"/>
  <c r="FO5" i="28"/>
  <c r="FO5" i="50"/>
  <c r="FJ144" i="50"/>
  <c r="FJ156" i="50" s="1"/>
  <c r="FJ146" i="50"/>
  <c r="FJ158" i="50" s="1"/>
  <c r="FJ132" i="50"/>
  <c r="FJ133" i="50" s="1"/>
  <c r="FJ52" i="31" s="1"/>
  <c r="FJ54" i="31" s="1"/>
  <c r="FJ145" i="50"/>
  <c r="FJ157" i="50" s="1"/>
  <c r="FJ76" i="50"/>
  <c r="FJ77" i="50" s="1"/>
  <c r="FJ78" i="50" s="1"/>
  <c r="FJ81" i="50" s="1"/>
  <c r="FK74" i="50"/>
  <c r="FK128" i="50"/>
  <c r="FK130" i="50" s="1"/>
  <c r="FQ142" i="50"/>
  <c r="FR139" i="50"/>
  <c r="FK36" i="50"/>
  <c r="FL30" i="50"/>
  <c r="FL31" i="50"/>
  <c r="FL32" i="50"/>
  <c r="FL33" i="50"/>
  <c r="FL34" i="50"/>
  <c r="FK103" i="50" l="1"/>
  <c r="FK104" i="50"/>
  <c r="FK106" i="50"/>
  <c r="FK107" i="50"/>
  <c r="FK108" i="50"/>
  <c r="FK105" i="50"/>
  <c r="FK109" i="50"/>
  <c r="FK110" i="50"/>
  <c r="FK112" i="50"/>
  <c r="FK117" i="50"/>
  <c r="FK111" i="50"/>
  <c r="FK115" i="50"/>
  <c r="FK116" i="50"/>
  <c r="FK118" i="50"/>
  <c r="FK119" i="50"/>
  <c r="FK87" i="50"/>
  <c r="FK90" i="50"/>
  <c r="FK113" i="50"/>
  <c r="FK120" i="50"/>
  <c r="FK122" i="50"/>
  <c r="FK91" i="50"/>
  <c r="FK114" i="50"/>
  <c r="FK86" i="50"/>
  <c r="FK88" i="50"/>
  <c r="FK89" i="50"/>
  <c r="FK92" i="50"/>
  <c r="FK95" i="50"/>
  <c r="FK121" i="50"/>
  <c r="FK96" i="50"/>
  <c r="FK94" i="50"/>
  <c r="FK93" i="50"/>
  <c r="FK97" i="50"/>
  <c r="FJ123" i="50"/>
  <c r="FM61" i="50"/>
  <c r="FM70" i="50" s="1"/>
  <c r="FM59" i="50"/>
  <c r="FM68" i="50" s="1"/>
  <c r="FM63" i="50"/>
  <c r="FM65" i="50"/>
  <c r="FJ99" i="50"/>
  <c r="FO21" i="50"/>
  <c r="FO26" i="50" s="1"/>
  <c r="FO161" i="50"/>
  <c r="FM86" i="19"/>
  <c r="FM88" i="19"/>
  <c r="FM82" i="19"/>
  <c r="FM45" i="50"/>
  <c r="FM46" i="50"/>
  <c r="FM44" i="50"/>
  <c r="FM47" i="50"/>
  <c r="FM50" i="50"/>
  <c r="FM55" i="50"/>
  <c r="FM48" i="50"/>
  <c r="FM49" i="50"/>
  <c r="FM56" i="50"/>
  <c r="FM87" i="19"/>
  <c r="FM84" i="19"/>
  <c r="FL51" i="50"/>
  <c r="FM85" i="19"/>
  <c r="FM83" i="19"/>
  <c r="FM81" i="19"/>
  <c r="FI47" i="31"/>
  <c r="FI49" i="31" s="1"/>
  <c r="FN23" i="50"/>
  <c r="FN98" i="50" s="1"/>
  <c r="FN22" i="50"/>
  <c r="FO149" i="50"/>
  <c r="FP6" i="50"/>
  <c r="FP42" i="31"/>
  <c r="FP6" i="28"/>
  <c r="FJ55" i="31"/>
  <c r="FJ155" i="50"/>
  <c r="FJ165" i="50"/>
  <c r="FJ136" i="50"/>
  <c r="FJ134" i="50"/>
  <c r="FK76" i="50"/>
  <c r="FK77" i="50" s="1"/>
  <c r="FK78" i="50" s="1"/>
  <c r="FK81" i="50" s="1"/>
  <c r="FP41" i="31"/>
  <c r="FP5" i="28"/>
  <c r="FP5" i="50"/>
  <c r="FK162" i="50"/>
  <c r="FK146" i="50"/>
  <c r="FK158" i="50" s="1"/>
  <c r="FK144" i="50"/>
  <c r="FK156" i="50" s="1"/>
  <c r="FK132" i="50"/>
  <c r="FK133" i="50" s="1"/>
  <c r="FK136" i="50" s="1"/>
  <c r="FK145" i="50"/>
  <c r="FK157" i="50" s="1"/>
  <c r="FL128" i="50"/>
  <c r="FL130" i="50" s="1"/>
  <c r="FL74" i="50"/>
  <c r="FL72" i="50"/>
  <c r="FR142" i="50"/>
  <c r="FS139" i="50"/>
  <c r="FL36" i="50"/>
  <c r="FM30" i="50"/>
  <c r="FM31" i="50"/>
  <c r="FM32" i="50"/>
  <c r="FM33" i="50"/>
  <c r="FM34" i="50"/>
  <c r="FL132" i="50" l="1"/>
  <c r="FL133" i="50" s="1"/>
  <c r="FL103" i="50"/>
  <c r="FL104" i="50"/>
  <c r="FL106" i="50"/>
  <c r="FL107" i="50"/>
  <c r="FL108" i="50"/>
  <c r="FL110" i="50"/>
  <c r="FL105" i="50"/>
  <c r="FL109" i="50"/>
  <c r="FL111" i="50"/>
  <c r="FL112" i="50"/>
  <c r="FL114" i="50"/>
  <c r="FL117" i="50"/>
  <c r="FL118" i="50"/>
  <c r="FL120" i="50"/>
  <c r="FL113" i="50"/>
  <c r="FL119" i="50"/>
  <c r="FL87" i="50"/>
  <c r="FL116" i="50"/>
  <c r="FL115" i="50"/>
  <c r="FL121" i="50"/>
  <c r="FL88" i="50"/>
  <c r="FL90" i="50"/>
  <c r="FL91" i="50"/>
  <c r="FL86" i="50"/>
  <c r="FL122" i="50"/>
  <c r="FL92" i="50"/>
  <c r="FL93" i="50"/>
  <c r="FL89" i="50"/>
  <c r="FL95" i="50"/>
  <c r="FL96" i="50"/>
  <c r="FL94" i="50"/>
  <c r="FL97" i="50"/>
  <c r="FJ47" i="31"/>
  <c r="FJ49" i="31" s="1"/>
  <c r="FJ166" i="50"/>
  <c r="FK99" i="50"/>
  <c r="FN61" i="50"/>
  <c r="FN70" i="50" s="1"/>
  <c r="FN59" i="50"/>
  <c r="FN68" i="50" s="1"/>
  <c r="FN63" i="50"/>
  <c r="FN72" i="50" s="1"/>
  <c r="FN65" i="50"/>
  <c r="FK123" i="50"/>
  <c r="FP21" i="50"/>
  <c r="FP26" i="50" s="1"/>
  <c r="FP161" i="50"/>
  <c r="FN85" i="19"/>
  <c r="FN84" i="19"/>
  <c r="FM51" i="50"/>
  <c r="FN87" i="19"/>
  <c r="FN82" i="19"/>
  <c r="FN88" i="19"/>
  <c r="FN45" i="50"/>
  <c r="FN46" i="50"/>
  <c r="FN49" i="50"/>
  <c r="FN44" i="50"/>
  <c r="FN47" i="50"/>
  <c r="FN50" i="50"/>
  <c r="FN55" i="50"/>
  <c r="FN48" i="50"/>
  <c r="FN56" i="50"/>
  <c r="FN83" i="19"/>
  <c r="FN86" i="19"/>
  <c r="FN81" i="19"/>
  <c r="FO22" i="50"/>
  <c r="FO23" i="50"/>
  <c r="FO98" i="50" s="1"/>
  <c r="FP149" i="50"/>
  <c r="FK134" i="50"/>
  <c r="FK52" i="31"/>
  <c r="FK54" i="31" s="1"/>
  <c r="FK55" i="31" s="1"/>
  <c r="FQ42" i="31"/>
  <c r="FQ6" i="50"/>
  <c r="FQ6" i="28"/>
  <c r="FQ41" i="31"/>
  <c r="FQ5" i="28"/>
  <c r="FQ5" i="50"/>
  <c r="FK165" i="50"/>
  <c r="FK166" i="50" s="1"/>
  <c r="FL162" i="50"/>
  <c r="FL146" i="50"/>
  <c r="FL158" i="50" s="1"/>
  <c r="FK155" i="50"/>
  <c r="FL145" i="50"/>
  <c r="FL157" i="50" s="1"/>
  <c r="FL144" i="50"/>
  <c r="FL156" i="50" s="1"/>
  <c r="FL76" i="50"/>
  <c r="FL77" i="50" s="1"/>
  <c r="FL78" i="50" s="1"/>
  <c r="FL81" i="50" s="1"/>
  <c r="FM128" i="50"/>
  <c r="FM130" i="50" s="1"/>
  <c r="FS142" i="50"/>
  <c r="FT139" i="50"/>
  <c r="FM74" i="50"/>
  <c r="FM72" i="50"/>
  <c r="FM36" i="50"/>
  <c r="FN30" i="50"/>
  <c r="FN31" i="50"/>
  <c r="FN32" i="50"/>
  <c r="FN33" i="50"/>
  <c r="FN34" i="50"/>
  <c r="FL52" i="31"/>
  <c r="FL54" i="31" s="1"/>
  <c r="FL134" i="50"/>
  <c r="FL136" i="50"/>
  <c r="FL155" i="50"/>
  <c r="FM105" i="50" l="1"/>
  <c r="FM103" i="50"/>
  <c r="FM104" i="50"/>
  <c r="FM106" i="50"/>
  <c r="FM109" i="50"/>
  <c r="FM107" i="50"/>
  <c r="FM110" i="50"/>
  <c r="FM111" i="50"/>
  <c r="FM112" i="50"/>
  <c r="FM108" i="50"/>
  <c r="FM113" i="50"/>
  <c r="FM114" i="50"/>
  <c r="FM115" i="50"/>
  <c r="FM120" i="50"/>
  <c r="FM121" i="50"/>
  <c r="FM117" i="50"/>
  <c r="FM89" i="50"/>
  <c r="FM92" i="50"/>
  <c r="FM119" i="50"/>
  <c r="FM93" i="50"/>
  <c r="FM118" i="50"/>
  <c r="FM87" i="50"/>
  <c r="FM88" i="50"/>
  <c r="FM86" i="50"/>
  <c r="FM94" i="50"/>
  <c r="FM97" i="50"/>
  <c r="FM116" i="50"/>
  <c r="FM122" i="50"/>
  <c r="FM95" i="50"/>
  <c r="FM96" i="50"/>
  <c r="FM90" i="50"/>
  <c r="FM91" i="50"/>
  <c r="FO88" i="19"/>
  <c r="FO87" i="19"/>
  <c r="FL123" i="50"/>
  <c r="FO63" i="50"/>
  <c r="FO61" i="50"/>
  <c r="FO70" i="50" s="1"/>
  <c r="FO59" i="50"/>
  <c r="FO68" i="50" s="1"/>
  <c r="FO65" i="50"/>
  <c r="FL99" i="50"/>
  <c r="FO82" i="19"/>
  <c r="FQ21" i="50"/>
  <c r="FQ26" i="50" s="1"/>
  <c r="FQ161" i="50"/>
  <c r="FO83" i="19"/>
  <c r="FO45" i="50"/>
  <c r="FO44" i="50"/>
  <c r="FO46" i="50"/>
  <c r="FO47" i="50"/>
  <c r="FO48" i="50"/>
  <c r="FO50" i="50"/>
  <c r="FO49" i="50"/>
  <c r="FO55" i="50"/>
  <c r="FO56" i="50"/>
  <c r="FN51" i="50"/>
  <c r="FO84" i="19"/>
  <c r="FO86" i="19"/>
  <c r="FO85" i="19"/>
  <c r="FO81" i="19"/>
  <c r="FL55" i="31"/>
  <c r="FP23" i="50"/>
  <c r="FP98" i="50" s="1"/>
  <c r="FP22" i="50"/>
  <c r="FQ149" i="50"/>
  <c r="FR6" i="28"/>
  <c r="FR42" i="31"/>
  <c r="FR6" i="50"/>
  <c r="FL165" i="50"/>
  <c r="FK47" i="31"/>
  <c r="FK49" i="31" s="1"/>
  <c r="FR41" i="31"/>
  <c r="FR5" i="28"/>
  <c r="FR5" i="50"/>
  <c r="FN128" i="50"/>
  <c r="FN130" i="50" s="1"/>
  <c r="FN74" i="50"/>
  <c r="FM145" i="50"/>
  <c r="FM157" i="50" s="1"/>
  <c r="FM162" i="50"/>
  <c r="FM146" i="50"/>
  <c r="FM158" i="50" s="1"/>
  <c r="FM132" i="50"/>
  <c r="FM133" i="50" s="1"/>
  <c r="FM136" i="50" s="1"/>
  <c r="FM144" i="50"/>
  <c r="FM165" i="50" s="1"/>
  <c r="FM166" i="50" s="1"/>
  <c r="FM76" i="50"/>
  <c r="FM77" i="50" s="1"/>
  <c r="FM78" i="50" s="1"/>
  <c r="FM81" i="50" s="1"/>
  <c r="FU139" i="50"/>
  <c r="FT142" i="50"/>
  <c r="FN36" i="50"/>
  <c r="FO30" i="50"/>
  <c r="FO31" i="50"/>
  <c r="FO32" i="50"/>
  <c r="FO33" i="50"/>
  <c r="FO34" i="50"/>
  <c r="FN104" i="50" l="1"/>
  <c r="FN105" i="50"/>
  <c r="FN106" i="50"/>
  <c r="FN109" i="50"/>
  <c r="FN107" i="50"/>
  <c r="FN108" i="50"/>
  <c r="FN113" i="50"/>
  <c r="FN103" i="50"/>
  <c r="FN116" i="50"/>
  <c r="FN112" i="50"/>
  <c r="FN110" i="50"/>
  <c r="FN115" i="50"/>
  <c r="FN120" i="50"/>
  <c r="FN86" i="50"/>
  <c r="FN111" i="50"/>
  <c r="FN117" i="50"/>
  <c r="FN89" i="50"/>
  <c r="FN90" i="50"/>
  <c r="FN114" i="50"/>
  <c r="FN118" i="50"/>
  <c r="FN87" i="50"/>
  <c r="FN88" i="50"/>
  <c r="FN94" i="50"/>
  <c r="FN95" i="50"/>
  <c r="FN119" i="50"/>
  <c r="FN93" i="50"/>
  <c r="FN96" i="50"/>
  <c r="FN92" i="50"/>
  <c r="FN91" i="50"/>
  <c r="FN97" i="50"/>
  <c r="FN121" i="50"/>
  <c r="FN122" i="50"/>
  <c r="FL47" i="31"/>
  <c r="FL49" i="31" s="1"/>
  <c r="FL166" i="50"/>
  <c r="FM99" i="50"/>
  <c r="FM123" i="50"/>
  <c r="FP59" i="50"/>
  <c r="FP68" i="50" s="1"/>
  <c r="FP63" i="50"/>
  <c r="FP61" i="50"/>
  <c r="FP70" i="50" s="1"/>
  <c r="FP65" i="50"/>
  <c r="FR21" i="50"/>
  <c r="FR26" i="50" s="1"/>
  <c r="FR161" i="50"/>
  <c r="FP86" i="19"/>
  <c r="FP84" i="19"/>
  <c r="FP87" i="19"/>
  <c r="FP82" i="19"/>
  <c r="FP88" i="19"/>
  <c r="FP44" i="50"/>
  <c r="FP45" i="50"/>
  <c r="FP49" i="50"/>
  <c r="FP47" i="50"/>
  <c r="FP46" i="50"/>
  <c r="FP50" i="50"/>
  <c r="FP55" i="50"/>
  <c r="FP48" i="50"/>
  <c r="FP56" i="50"/>
  <c r="FO51" i="50"/>
  <c r="FP85" i="19"/>
  <c r="FP83" i="19"/>
  <c r="FP81" i="19"/>
  <c r="FQ22" i="50"/>
  <c r="FQ23" i="50"/>
  <c r="FQ98" i="50" s="1"/>
  <c r="FR149" i="50"/>
  <c r="FM156" i="50"/>
  <c r="FS42" i="31"/>
  <c r="FS6" i="50"/>
  <c r="FS6" i="28"/>
  <c r="FN145" i="50"/>
  <c r="FN157" i="50" s="1"/>
  <c r="FN76" i="50"/>
  <c r="FN77" i="50" s="1"/>
  <c r="FN78" i="50" s="1"/>
  <c r="FN81" i="50" s="1"/>
  <c r="FN144" i="50"/>
  <c r="FN156" i="50" s="1"/>
  <c r="FN162" i="50"/>
  <c r="FN146" i="50"/>
  <c r="FN158" i="50" s="1"/>
  <c r="FN132" i="50"/>
  <c r="FN133" i="50" s="1"/>
  <c r="FN136" i="50" s="1"/>
  <c r="FS41" i="31"/>
  <c r="FS5" i="28"/>
  <c r="FS5" i="50"/>
  <c r="FM52" i="31"/>
  <c r="FM54" i="31" s="1"/>
  <c r="FM55" i="31" s="1"/>
  <c r="FM134" i="50"/>
  <c r="FM155" i="50"/>
  <c r="FO74" i="50"/>
  <c r="FO72" i="50"/>
  <c r="FV139" i="50"/>
  <c r="FU142" i="50"/>
  <c r="FO128" i="50"/>
  <c r="FO130" i="50" s="1"/>
  <c r="FO36" i="50"/>
  <c r="FP30" i="50"/>
  <c r="FP31" i="50"/>
  <c r="FP32" i="50"/>
  <c r="FP33" i="50"/>
  <c r="FP34" i="50"/>
  <c r="FM47" i="31"/>
  <c r="FM49" i="31" s="1"/>
  <c r="FO104" i="50" l="1"/>
  <c r="FO105" i="50"/>
  <c r="FO103" i="50"/>
  <c r="FO109" i="50"/>
  <c r="FO106" i="50"/>
  <c r="FO110" i="50"/>
  <c r="FO111" i="50"/>
  <c r="FO112" i="50"/>
  <c r="FO107" i="50"/>
  <c r="FO113" i="50"/>
  <c r="FO116" i="50"/>
  <c r="FO119" i="50"/>
  <c r="FO117" i="50"/>
  <c r="FO108" i="50"/>
  <c r="FO122" i="50"/>
  <c r="FO114" i="50"/>
  <c r="FO118" i="50"/>
  <c r="FO91" i="50"/>
  <c r="FO86" i="50"/>
  <c r="FO87" i="50"/>
  <c r="FO115" i="50"/>
  <c r="FO88" i="50"/>
  <c r="FO96" i="50"/>
  <c r="FO121" i="50"/>
  <c r="FO92" i="50"/>
  <c r="FO89" i="50"/>
  <c r="FO94" i="50"/>
  <c r="FO95" i="50"/>
  <c r="FO90" i="50"/>
  <c r="FO93" i="50"/>
  <c r="FO120" i="50"/>
  <c r="FO97" i="50"/>
  <c r="FN99" i="50"/>
  <c r="FN123" i="50"/>
  <c r="FQ61" i="50"/>
  <c r="FQ70" i="50" s="1"/>
  <c r="FQ59" i="50"/>
  <c r="FQ68" i="50" s="1"/>
  <c r="FQ63" i="50"/>
  <c r="FQ65" i="50"/>
  <c r="FS21" i="50"/>
  <c r="FS26" i="50" s="1"/>
  <c r="FS161" i="50"/>
  <c r="FQ85" i="19"/>
  <c r="FQ88" i="19"/>
  <c r="FQ44" i="50"/>
  <c r="FQ45" i="50"/>
  <c r="FQ46" i="50"/>
  <c r="FQ48" i="50"/>
  <c r="FQ49" i="50"/>
  <c r="FQ47" i="50"/>
  <c r="FQ50" i="50"/>
  <c r="FQ55" i="50"/>
  <c r="FQ56" i="50"/>
  <c r="FQ82" i="19"/>
  <c r="FQ87" i="19"/>
  <c r="FP51" i="50"/>
  <c r="FQ84" i="19"/>
  <c r="FQ83" i="19"/>
  <c r="FQ86" i="19"/>
  <c r="FQ81" i="19"/>
  <c r="FR22" i="50"/>
  <c r="FR23" i="50"/>
  <c r="FR98" i="50" s="1"/>
  <c r="FS149" i="50"/>
  <c r="FT42" i="31"/>
  <c r="FT6" i="28"/>
  <c r="FT6" i="50"/>
  <c r="FN165" i="50"/>
  <c r="FN52" i="31"/>
  <c r="FN54" i="31" s="1"/>
  <c r="FN55" i="31" s="1"/>
  <c r="FN134" i="50"/>
  <c r="FN155" i="50"/>
  <c r="FT41" i="31"/>
  <c r="FT5" i="28"/>
  <c r="FT5" i="50"/>
  <c r="FO76" i="50"/>
  <c r="FO77" i="50" s="1"/>
  <c r="FO78" i="50" s="1"/>
  <c r="FO81" i="50" s="1"/>
  <c r="FP128" i="50"/>
  <c r="FP130" i="50" s="1"/>
  <c r="FP74" i="50"/>
  <c r="FP72" i="50"/>
  <c r="FO162" i="50"/>
  <c r="FO146" i="50"/>
  <c r="FO158" i="50" s="1"/>
  <c r="FO145" i="50"/>
  <c r="FO157" i="50" s="1"/>
  <c r="FO144" i="50"/>
  <c r="FO156" i="50" s="1"/>
  <c r="FO132" i="50"/>
  <c r="FO133" i="50" s="1"/>
  <c r="FO134" i="50" s="1"/>
  <c r="FV142" i="50"/>
  <c r="FW139" i="50"/>
  <c r="FP36" i="50"/>
  <c r="FQ30" i="50"/>
  <c r="FQ31" i="50"/>
  <c r="FQ32" i="50"/>
  <c r="FQ33" i="50"/>
  <c r="FQ34" i="50"/>
  <c r="FP145" i="50" l="1"/>
  <c r="FP157" i="50" s="1"/>
  <c r="FP104" i="50"/>
  <c r="FP103" i="50"/>
  <c r="FP105" i="50"/>
  <c r="FP107" i="50"/>
  <c r="FP108" i="50"/>
  <c r="FP109" i="50"/>
  <c r="FP110" i="50"/>
  <c r="FP112" i="50"/>
  <c r="FP106" i="50"/>
  <c r="FP113" i="50"/>
  <c r="FP118" i="50"/>
  <c r="FP114" i="50"/>
  <c r="FP115" i="50"/>
  <c r="FP119" i="50"/>
  <c r="FP120" i="50"/>
  <c r="FP122" i="50"/>
  <c r="FP88" i="50"/>
  <c r="FP91" i="50"/>
  <c r="FP111" i="50"/>
  <c r="FP117" i="50"/>
  <c r="FP116" i="50"/>
  <c r="FP92" i="50"/>
  <c r="FP121" i="50"/>
  <c r="FP86" i="50"/>
  <c r="FP87" i="50"/>
  <c r="FP89" i="50"/>
  <c r="FP90" i="50"/>
  <c r="FP93" i="50"/>
  <c r="FP96" i="50"/>
  <c r="FP97" i="50"/>
  <c r="FP95" i="50"/>
  <c r="FP94" i="50"/>
  <c r="FN47" i="31"/>
  <c r="FN49" i="31" s="1"/>
  <c r="FN166" i="50"/>
  <c r="FO123" i="50"/>
  <c r="FO99" i="50"/>
  <c r="FR61" i="50"/>
  <c r="FR70" i="50" s="1"/>
  <c r="FR63" i="50"/>
  <c r="FR72" i="50" s="1"/>
  <c r="FR59" i="50"/>
  <c r="FR68" i="50" s="1"/>
  <c r="FR65" i="50"/>
  <c r="FT21" i="50"/>
  <c r="FT26" i="50" s="1"/>
  <c r="FT161" i="50"/>
  <c r="FR83" i="19"/>
  <c r="FR84" i="19"/>
  <c r="FR46" i="50"/>
  <c r="FR44" i="50"/>
  <c r="FR48" i="50"/>
  <c r="FR47" i="50"/>
  <c r="FR55" i="50"/>
  <c r="FR45" i="50"/>
  <c r="FR50" i="50"/>
  <c r="FR56" i="50"/>
  <c r="FR49" i="50"/>
  <c r="FR87" i="19"/>
  <c r="FR85" i="19"/>
  <c r="FR82" i="19"/>
  <c r="FQ51" i="50"/>
  <c r="FR86" i="19"/>
  <c r="FR88" i="19"/>
  <c r="FR81" i="19"/>
  <c r="FS23" i="50"/>
  <c r="FS98" i="50" s="1"/>
  <c r="FS22" i="50"/>
  <c r="FT149" i="50"/>
  <c r="FU42" i="31"/>
  <c r="FU6" i="50"/>
  <c r="FU6" i="28"/>
  <c r="FP162" i="50"/>
  <c r="FP146" i="50"/>
  <c r="FP158" i="50" s="1"/>
  <c r="FO136" i="50"/>
  <c r="FP144" i="50"/>
  <c r="FP156" i="50" s="1"/>
  <c r="FU5" i="28"/>
  <c r="FU5" i="50"/>
  <c r="FU41" i="31"/>
  <c r="FP132" i="50"/>
  <c r="FP133" i="50" s="1"/>
  <c r="FP155" i="50" s="1"/>
  <c r="FP76" i="50"/>
  <c r="FP77" i="50" s="1"/>
  <c r="FP78" i="50" s="1"/>
  <c r="FP81" i="50" s="1"/>
  <c r="FO155" i="50"/>
  <c r="FO165" i="50"/>
  <c r="FO166" i="50" s="1"/>
  <c r="FO52" i="31"/>
  <c r="FO54" i="31" s="1"/>
  <c r="FO55" i="31" s="1"/>
  <c r="FQ128" i="50"/>
  <c r="FQ130" i="50" s="1"/>
  <c r="FQ74" i="50"/>
  <c r="FQ72" i="50"/>
  <c r="FW142" i="50"/>
  <c r="FX139" i="50"/>
  <c r="FQ36" i="50"/>
  <c r="FR30" i="50"/>
  <c r="FR31" i="50"/>
  <c r="FR32" i="50"/>
  <c r="FR33" i="50"/>
  <c r="FR34" i="50"/>
  <c r="FQ103" i="50" l="1"/>
  <c r="FQ104" i="50"/>
  <c r="FQ105" i="50"/>
  <c r="FQ107" i="50"/>
  <c r="FQ106" i="50"/>
  <c r="FQ111" i="50"/>
  <c r="FQ109" i="50"/>
  <c r="FQ112" i="50"/>
  <c r="FQ108" i="50"/>
  <c r="FQ115" i="50"/>
  <c r="FQ118" i="50"/>
  <c r="FQ110" i="50"/>
  <c r="FQ114" i="50"/>
  <c r="FQ116" i="50"/>
  <c r="FQ117" i="50"/>
  <c r="FQ121" i="50"/>
  <c r="FQ119" i="50"/>
  <c r="FQ113" i="50"/>
  <c r="FQ122" i="50"/>
  <c r="FQ88" i="50"/>
  <c r="FQ89" i="50"/>
  <c r="FQ92" i="50"/>
  <c r="FQ91" i="50"/>
  <c r="FQ86" i="50"/>
  <c r="FQ87" i="50"/>
  <c r="FQ90" i="50"/>
  <c r="FQ93" i="50"/>
  <c r="FQ120" i="50"/>
  <c r="FQ94" i="50"/>
  <c r="FQ96" i="50"/>
  <c r="FQ95" i="50"/>
  <c r="FQ97" i="50"/>
  <c r="FP99" i="50"/>
  <c r="FP123" i="50"/>
  <c r="FS59" i="50"/>
  <c r="FS68" i="50" s="1"/>
  <c r="FS63" i="50"/>
  <c r="FS65" i="50"/>
  <c r="FS61" i="50"/>
  <c r="FS70" i="50" s="1"/>
  <c r="FU21" i="50"/>
  <c r="FU26" i="50" s="1"/>
  <c r="FU161" i="50"/>
  <c r="FS86" i="19"/>
  <c r="FS82" i="19"/>
  <c r="FS85" i="19"/>
  <c r="FS87" i="19"/>
  <c r="FR51" i="50"/>
  <c r="FS46" i="50"/>
  <c r="FS44" i="50"/>
  <c r="FS45" i="50"/>
  <c r="FS48" i="50"/>
  <c r="FS55" i="50"/>
  <c r="FS47" i="50"/>
  <c r="FS56" i="50"/>
  <c r="FS49" i="50"/>
  <c r="FS50" i="50"/>
  <c r="FS84" i="19"/>
  <c r="FS88" i="19"/>
  <c r="FS83" i="19"/>
  <c r="FS81" i="19"/>
  <c r="FT22" i="50"/>
  <c r="FT23" i="50"/>
  <c r="FT98" i="50" s="1"/>
  <c r="FU149" i="50"/>
  <c r="FV6" i="50"/>
  <c r="FV42" i="31"/>
  <c r="FV6" i="28"/>
  <c r="FP52" i="31"/>
  <c r="FP54" i="31" s="1"/>
  <c r="FP55" i="31" s="1"/>
  <c r="FP136" i="50"/>
  <c r="FP134" i="50"/>
  <c r="FP165" i="50"/>
  <c r="FV41" i="31"/>
  <c r="FV5" i="28"/>
  <c r="FV5" i="50"/>
  <c r="FO47" i="31"/>
  <c r="FO49" i="31" s="1"/>
  <c r="FQ162" i="50"/>
  <c r="FQ146" i="50"/>
  <c r="FQ158" i="50" s="1"/>
  <c r="FQ145" i="50"/>
  <c r="FQ157" i="50" s="1"/>
  <c r="FR128" i="50"/>
  <c r="FR130" i="50" s="1"/>
  <c r="FQ144" i="50"/>
  <c r="Q50" i="4" s="1"/>
  <c r="Q55" i="4" s="1"/>
  <c r="FR74" i="50"/>
  <c r="FQ132" i="50"/>
  <c r="FQ133" i="50" s="1"/>
  <c r="Q49" i="4" s="1"/>
  <c r="FQ76" i="50"/>
  <c r="FQ77" i="50" s="1"/>
  <c r="FQ78" i="50" s="1"/>
  <c r="FQ81" i="50" s="1"/>
  <c r="FY139" i="50"/>
  <c r="FX142" i="50"/>
  <c r="FR36" i="50"/>
  <c r="FS30" i="50"/>
  <c r="FS31" i="50"/>
  <c r="FS32" i="50"/>
  <c r="FS33" i="50"/>
  <c r="FS34" i="50"/>
  <c r="FR144" i="50" l="1"/>
  <c r="FR103" i="50"/>
  <c r="FR104" i="50"/>
  <c r="FR105" i="50"/>
  <c r="FR108" i="50"/>
  <c r="FR106" i="50"/>
  <c r="FR111" i="50"/>
  <c r="FR107" i="50"/>
  <c r="FR109" i="50"/>
  <c r="FR113" i="50"/>
  <c r="FR110" i="50"/>
  <c r="FR115" i="50"/>
  <c r="FR116" i="50"/>
  <c r="FR119" i="50"/>
  <c r="FR118" i="50"/>
  <c r="FR114" i="50"/>
  <c r="FR117" i="50"/>
  <c r="FR121" i="50"/>
  <c r="FR122" i="50"/>
  <c r="FR120" i="50"/>
  <c r="FR90" i="50"/>
  <c r="FR86" i="50"/>
  <c r="FR95" i="50"/>
  <c r="FR112" i="50"/>
  <c r="FR88" i="50"/>
  <c r="FR89" i="50"/>
  <c r="FR91" i="50"/>
  <c r="FR87" i="50"/>
  <c r="FR93" i="50"/>
  <c r="FR97" i="50"/>
  <c r="FR92" i="50"/>
  <c r="FR94" i="50"/>
  <c r="FR96" i="50"/>
  <c r="FP47" i="31"/>
  <c r="FP49" i="31" s="1"/>
  <c r="FP166" i="50"/>
  <c r="FQ123" i="50"/>
  <c r="FQ99" i="50"/>
  <c r="FT59" i="50"/>
  <c r="FT68" i="50" s="1"/>
  <c r="FT61" i="50"/>
  <c r="FT70" i="50" s="1"/>
  <c r="FT65" i="50"/>
  <c r="FT63" i="50"/>
  <c r="FV21" i="50"/>
  <c r="FV26" i="50" s="1"/>
  <c r="FV161" i="50"/>
  <c r="FT88" i="19"/>
  <c r="FT84" i="19"/>
  <c r="FS51" i="50"/>
  <c r="FT44" i="50"/>
  <c r="FT45" i="50"/>
  <c r="FT47" i="50"/>
  <c r="FT48" i="50"/>
  <c r="FT49" i="50"/>
  <c r="FT55" i="50"/>
  <c r="FT46" i="50"/>
  <c r="FT50" i="50"/>
  <c r="FT56" i="50"/>
  <c r="FT86" i="19"/>
  <c r="FT87" i="19"/>
  <c r="FT85" i="19"/>
  <c r="FT83" i="19"/>
  <c r="FT82" i="19"/>
  <c r="FT81" i="19"/>
  <c r="FU22" i="50"/>
  <c r="FU23" i="50"/>
  <c r="FU98" i="50" s="1"/>
  <c r="FV149" i="50"/>
  <c r="FW42" i="31"/>
  <c r="FW6" i="28"/>
  <c r="FW6" i="50"/>
  <c r="FR132" i="50"/>
  <c r="FR133" i="50" s="1"/>
  <c r="FR134" i="50" s="1"/>
  <c r="FW41" i="31"/>
  <c r="FW5" i="28"/>
  <c r="FW5" i="50"/>
  <c r="FQ134" i="50"/>
  <c r="FQ52" i="31"/>
  <c r="FQ54" i="31" s="1"/>
  <c r="FQ55" i="31" s="1"/>
  <c r="FQ136" i="50"/>
  <c r="Q52" i="4"/>
  <c r="Q57" i="4" s="1"/>
  <c r="FQ155" i="50"/>
  <c r="FQ165" i="50"/>
  <c r="FQ166" i="50" s="1"/>
  <c r="FQ156" i="50"/>
  <c r="FR76" i="50"/>
  <c r="FR77" i="50" s="1"/>
  <c r="FR78" i="50" s="1"/>
  <c r="FR81" i="50" s="1"/>
  <c r="FR146" i="50"/>
  <c r="FR158" i="50" s="1"/>
  <c r="Q51" i="4"/>
  <c r="Q56" i="4" s="1"/>
  <c r="FR145" i="50"/>
  <c r="FR157" i="50" s="1"/>
  <c r="FR162" i="50"/>
  <c r="FT72" i="50"/>
  <c r="FS74" i="50"/>
  <c r="FS128" i="50"/>
  <c r="FS130" i="50" s="1"/>
  <c r="FZ139" i="50"/>
  <c r="FY142" i="50"/>
  <c r="FS72" i="50"/>
  <c r="FS36" i="50"/>
  <c r="FT30" i="50"/>
  <c r="FT31" i="50"/>
  <c r="FT32" i="50"/>
  <c r="FT33" i="50"/>
  <c r="FT34" i="50"/>
  <c r="FR156" i="50"/>
  <c r="FR165" i="50"/>
  <c r="FR166" i="50" s="1"/>
  <c r="FS103" i="50" l="1"/>
  <c r="FS106" i="50"/>
  <c r="FS104" i="50"/>
  <c r="FS105" i="50"/>
  <c r="FS107" i="50"/>
  <c r="FS108" i="50"/>
  <c r="FS111" i="50"/>
  <c r="FS110" i="50"/>
  <c r="FS109" i="50"/>
  <c r="FS112" i="50"/>
  <c r="FS117" i="50"/>
  <c r="FS115" i="50"/>
  <c r="FS116" i="50"/>
  <c r="FS118" i="50"/>
  <c r="FS121" i="50"/>
  <c r="FS87" i="50"/>
  <c r="FS114" i="50"/>
  <c r="FS120" i="50"/>
  <c r="FS90" i="50"/>
  <c r="FS119" i="50"/>
  <c r="FS91" i="50"/>
  <c r="FS113" i="50"/>
  <c r="FS95" i="50"/>
  <c r="FS86" i="50"/>
  <c r="FS88" i="50"/>
  <c r="FS89" i="50"/>
  <c r="FS122" i="50"/>
  <c r="FS96" i="50"/>
  <c r="FS97" i="50"/>
  <c r="FS93" i="50"/>
  <c r="FS92" i="50"/>
  <c r="FS94" i="50"/>
  <c r="FR99" i="50"/>
  <c r="FU61" i="50"/>
  <c r="FU70" i="50" s="1"/>
  <c r="FU59" i="50"/>
  <c r="FU68" i="50" s="1"/>
  <c r="FU63" i="50"/>
  <c r="FU65" i="50"/>
  <c r="FR123" i="50"/>
  <c r="FW21" i="50"/>
  <c r="FW26" i="50" s="1"/>
  <c r="FW161" i="50"/>
  <c r="FU82" i="19"/>
  <c r="FU83" i="19"/>
  <c r="FU85" i="19"/>
  <c r="FU87" i="19"/>
  <c r="FU45" i="50"/>
  <c r="FU46" i="50"/>
  <c r="FU47" i="50"/>
  <c r="FU44" i="50"/>
  <c r="FU49" i="50"/>
  <c r="FU50" i="50"/>
  <c r="FU55" i="50"/>
  <c r="FU48" i="50"/>
  <c r="FU56" i="50"/>
  <c r="FU84" i="19"/>
  <c r="FU86" i="19"/>
  <c r="FT51" i="50"/>
  <c r="FU88" i="19"/>
  <c r="FR155" i="50"/>
  <c r="FR52" i="31"/>
  <c r="FR54" i="31" s="1"/>
  <c r="FR55" i="31" s="1"/>
  <c r="FU81" i="19"/>
  <c r="FQ47" i="31"/>
  <c r="FQ49" i="31" s="1"/>
  <c r="FR136" i="50"/>
  <c r="FV23" i="50"/>
  <c r="FV98" i="50" s="1"/>
  <c r="FV22" i="50"/>
  <c r="FW149" i="50"/>
  <c r="FX42" i="31"/>
  <c r="FX6" i="28"/>
  <c r="FX6" i="50"/>
  <c r="FX41" i="31"/>
  <c r="FX5" i="50"/>
  <c r="FX5" i="28"/>
  <c r="FT128" i="50"/>
  <c r="FT130" i="50" s="1"/>
  <c r="FS162" i="50"/>
  <c r="FS146" i="50"/>
  <c r="FS158" i="50" s="1"/>
  <c r="FS145" i="50"/>
  <c r="FS157" i="50" s="1"/>
  <c r="FS144" i="50"/>
  <c r="FS165" i="50" s="1"/>
  <c r="FS166" i="50" s="1"/>
  <c r="FS132" i="50"/>
  <c r="FS133" i="50" s="1"/>
  <c r="FS136" i="50" s="1"/>
  <c r="FT74" i="50"/>
  <c r="FS76" i="50"/>
  <c r="FS77" i="50" s="1"/>
  <c r="FS78" i="50" s="1"/>
  <c r="FS81" i="50" s="1"/>
  <c r="GA139" i="50"/>
  <c r="FZ142" i="50"/>
  <c r="FT36" i="50"/>
  <c r="FU30" i="50"/>
  <c r="FU34" i="50"/>
  <c r="FU31" i="50"/>
  <c r="FU32" i="50"/>
  <c r="FU33" i="50"/>
  <c r="FR47" i="31"/>
  <c r="FR49" i="31" s="1"/>
  <c r="FT132" i="50" l="1"/>
  <c r="FT133" i="50" s="1"/>
  <c r="FT103" i="50"/>
  <c r="FT106" i="50"/>
  <c r="FT104" i="50"/>
  <c r="FT105" i="50"/>
  <c r="FT108" i="50"/>
  <c r="FT110" i="50"/>
  <c r="FT111" i="50"/>
  <c r="FT107" i="50"/>
  <c r="FT114" i="50"/>
  <c r="FT117" i="50"/>
  <c r="FT109" i="50"/>
  <c r="FT113" i="50"/>
  <c r="FT118" i="50"/>
  <c r="FT120" i="50"/>
  <c r="FT112" i="50"/>
  <c r="FT116" i="50"/>
  <c r="FT119" i="50"/>
  <c r="FT121" i="50"/>
  <c r="FT87" i="50"/>
  <c r="FT88" i="50"/>
  <c r="FT122" i="50"/>
  <c r="FT92" i="50"/>
  <c r="FT115" i="50"/>
  <c r="FT90" i="50"/>
  <c r="FT91" i="50"/>
  <c r="FT93" i="50"/>
  <c r="FT89" i="50"/>
  <c r="FT97" i="50"/>
  <c r="FT86" i="50"/>
  <c r="FT95" i="50"/>
  <c r="FT96" i="50"/>
  <c r="FT94" i="50"/>
  <c r="FS99" i="50"/>
  <c r="FV61" i="50"/>
  <c r="FV70" i="50" s="1"/>
  <c r="FV59" i="50"/>
  <c r="FV68" i="50" s="1"/>
  <c r="FV65" i="50"/>
  <c r="FV63" i="50"/>
  <c r="FS123" i="50"/>
  <c r="FX21" i="50"/>
  <c r="FX26" i="50" s="1"/>
  <c r="FX161" i="50"/>
  <c r="FV86" i="19"/>
  <c r="FV45" i="50"/>
  <c r="FV46" i="50"/>
  <c r="FV49" i="50"/>
  <c r="FV47" i="50"/>
  <c r="FV48" i="50"/>
  <c r="FV50" i="50"/>
  <c r="FV44" i="50"/>
  <c r="FV55" i="50"/>
  <c r="FV56" i="50"/>
  <c r="FU51" i="50"/>
  <c r="FV84" i="19"/>
  <c r="FV87" i="19"/>
  <c r="FV82" i="19"/>
  <c r="FV85" i="19"/>
  <c r="FV88" i="19"/>
  <c r="FV83" i="19"/>
  <c r="FV81" i="19"/>
  <c r="FW22" i="50"/>
  <c r="FW23" i="50"/>
  <c r="FW98" i="50" s="1"/>
  <c r="FX149" i="50"/>
  <c r="FY6" i="50"/>
  <c r="FY42" i="31"/>
  <c r="FY6" i="28"/>
  <c r="FS156" i="50"/>
  <c r="FY5" i="28"/>
  <c r="FY41" i="31"/>
  <c r="FY5" i="50"/>
  <c r="FT162" i="50"/>
  <c r="FT146" i="50"/>
  <c r="FT158" i="50" s="1"/>
  <c r="FT145" i="50"/>
  <c r="FT157" i="50" s="1"/>
  <c r="FT144" i="50"/>
  <c r="FT165" i="50" s="1"/>
  <c r="FT166" i="50" s="1"/>
  <c r="FS134" i="50"/>
  <c r="FS52" i="31"/>
  <c r="FS54" i="31" s="1"/>
  <c r="FS55" i="31" s="1"/>
  <c r="FS155" i="50"/>
  <c r="FU72" i="50"/>
  <c r="FT76" i="50"/>
  <c r="FT77" i="50" s="1"/>
  <c r="FT78" i="50" s="1"/>
  <c r="FT81" i="50" s="1"/>
  <c r="FU128" i="50"/>
  <c r="FU130" i="50" s="1"/>
  <c r="GA142" i="50"/>
  <c r="GB139" i="50"/>
  <c r="FU74" i="50"/>
  <c r="FU36" i="50"/>
  <c r="FV34" i="50"/>
  <c r="FV30" i="50"/>
  <c r="FV32" i="50"/>
  <c r="FV31" i="50"/>
  <c r="FV33" i="50"/>
  <c r="FS47" i="31"/>
  <c r="FS49" i="31" s="1"/>
  <c r="FT52" i="31"/>
  <c r="FT54" i="31" s="1"/>
  <c r="FT134" i="50"/>
  <c r="FT136" i="50"/>
  <c r="FT155" i="50"/>
  <c r="FU146" i="50" l="1"/>
  <c r="FU158" i="50" s="1"/>
  <c r="FU105" i="50"/>
  <c r="FU103" i="50"/>
  <c r="FU104" i="50"/>
  <c r="FU106" i="50"/>
  <c r="FU109" i="50"/>
  <c r="FU108" i="50"/>
  <c r="FU110" i="50"/>
  <c r="FU111" i="50"/>
  <c r="FU112" i="50"/>
  <c r="FU107" i="50"/>
  <c r="FU114" i="50"/>
  <c r="FU115" i="50"/>
  <c r="FU120" i="50"/>
  <c r="FU119" i="50"/>
  <c r="FU121" i="50"/>
  <c r="FU89" i="50"/>
  <c r="FU118" i="50"/>
  <c r="FU92" i="50"/>
  <c r="FU122" i="50"/>
  <c r="FU117" i="50"/>
  <c r="FU93" i="50"/>
  <c r="FU113" i="50"/>
  <c r="FU94" i="50"/>
  <c r="FU86" i="50"/>
  <c r="FU116" i="50"/>
  <c r="FU88" i="50"/>
  <c r="FU87" i="50"/>
  <c r="FU97" i="50"/>
  <c r="FU90" i="50"/>
  <c r="FU95" i="50"/>
  <c r="FU96" i="50"/>
  <c r="FU91" i="50"/>
  <c r="FW63" i="50"/>
  <c r="FW61" i="50"/>
  <c r="FW70" i="50" s="1"/>
  <c r="FW59" i="50"/>
  <c r="FW68" i="50" s="1"/>
  <c r="FW65" i="50"/>
  <c r="FT123" i="50"/>
  <c r="FT99" i="50"/>
  <c r="FY21" i="50"/>
  <c r="FY26" i="50" s="1"/>
  <c r="FY161" i="50"/>
  <c r="FV51" i="50"/>
  <c r="FW85" i="19"/>
  <c r="FW88" i="19"/>
  <c r="FW82" i="19"/>
  <c r="FW45" i="50"/>
  <c r="FW44" i="50"/>
  <c r="FW47" i="50"/>
  <c r="FW46" i="50"/>
  <c r="FW48" i="50"/>
  <c r="FW49" i="50"/>
  <c r="FW50" i="50"/>
  <c r="FW55" i="50"/>
  <c r="FW56" i="50"/>
  <c r="FW87" i="19"/>
  <c r="FW84" i="19"/>
  <c r="FW86" i="19"/>
  <c r="FW83" i="19"/>
  <c r="FW81" i="19"/>
  <c r="FX23" i="50"/>
  <c r="FX98" i="50" s="1"/>
  <c r="FX22" i="50"/>
  <c r="FY149" i="50"/>
  <c r="FZ6" i="50"/>
  <c r="FZ42" i="31"/>
  <c r="FZ6" i="28"/>
  <c r="FU144" i="50"/>
  <c r="FU165" i="50" s="1"/>
  <c r="FU166" i="50" s="1"/>
  <c r="FV128" i="50"/>
  <c r="FV130" i="50" s="1"/>
  <c r="FV74" i="50"/>
  <c r="FV72" i="50"/>
  <c r="FZ5" i="28"/>
  <c r="FZ41" i="31"/>
  <c r="FZ5" i="50"/>
  <c r="FU145" i="50"/>
  <c r="FU157" i="50" s="1"/>
  <c r="FT156" i="50"/>
  <c r="FT55" i="31"/>
  <c r="FU132" i="50"/>
  <c r="FU133" i="50" s="1"/>
  <c r="FU52" i="31" s="1"/>
  <c r="FU54" i="31" s="1"/>
  <c r="FU76" i="50"/>
  <c r="FU77" i="50" s="1"/>
  <c r="FU78" i="50" s="1"/>
  <c r="FU81" i="50" s="1"/>
  <c r="FU162" i="50"/>
  <c r="GC139" i="50"/>
  <c r="GC142" i="50" s="1"/>
  <c r="GB142" i="50"/>
  <c r="FV36" i="50"/>
  <c r="FW34" i="50"/>
  <c r="FW30" i="50"/>
  <c r="FW31" i="50"/>
  <c r="FW32" i="50"/>
  <c r="FW33" i="50"/>
  <c r="FT47" i="31"/>
  <c r="FT49" i="31" s="1"/>
  <c r="FV132" i="50" l="1"/>
  <c r="FV133" i="50" s="1"/>
  <c r="FV104" i="50"/>
  <c r="FV105" i="50"/>
  <c r="FV106" i="50"/>
  <c r="FV103" i="50"/>
  <c r="FV107" i="50"/>
  <c r="FV109" i="50"/>
  <c r="FV110" i="50"/>
  <c r="FV111" i="50"/>
  <c r="FV108" i="50"/>
  <c r="FV116" i="50"/>
  <c r="FV112" i="50"/>
  <c r="FV113" i="50"/>
  <c r="FV115" i="50"/>
  <c r="FV86" i="50"/>
  <c r="FV89" i="50"/>
  <c r="FV114" i="50"/>
  <c r="FV118" i="50"/>
  <c r="FV120" i="50"/>
  <c r="FV117" i="50"/>
  <c r="FV90" i="50"/>
  <c r="FV121" i="50"/>
  <c r="FV122" i="50"/>
  <c r="FV92" i="50"/>
  <c r="FV94" i="50"/>
  <c r="FV119" i="50"/>
  <c r="FV87" i="50"/>
  <c r="FV88" i="50"/>
  <c r="FV91" i="50"/>
  <c r="FV95" i="50"/>
  <c r="FV97" i="50"/>
  <c r="FV93" i="50"/>
  <c r="FV96" i="50"/>
  <c r="FX59" i="50"/>
  <c r="FX68" i="50" s="1"/>
  <c r="FX63" i="50"/>
  <c r="FX61" i="50"/>
  <c r="FX70" i="50" s="1"/>
  <c r="FX65" i="50"/>
  <c r="FU99" i="50"/>
  <c r="FU123" i="50"/>
  <c r="FZ21" i="50"/>
  <c r="FZ26" i="50" s="1"/>
  <c r="FZ161" i="50"/>
  <c r="FX83" i="19"/>
  <c r="FX84" i="19"/>
  <c r="FX87" i="19"/>
  <c r="FX82" i="19"/>
  <c r="FX86" i="19"/>
  <c r="FW51" i="50"/>
  <c r="FX44" i="50"/>
  <c r="FX45" i="50"/>
  <c r="FX49" i="50"/>
  <c r="FX48" i="50"/>
  <c r="FX50" i="50"/>
  <c r="FX46" i="50"/>
  <c r="FX47" i="50"/>
  <c r="FX55" i="50"/>
  <c r="FX56" i="50"/>
  <c r="FX85" i="19"/>
  <c r="FX88" i="19"/>
  <c r="FX81" i="19"/>
  <c r="FV162" i="50"/>
  <c r="FY22" i="50"/>
  <c r="FY23" i="50"/>
  <c r="FY98" i="50" s="1"/>
  <c r="FZ149" i="50"/>
  <c r="FU156" i="50"/>
  <c r="FV146" i="50"/>
  <c r="FV158" i="50" s="1"/>
  <c r="FV145" i="50"/>
  <c r="FV157" i="50" s="1"/>
  <c r="FV144" i="50"/>
  <c r="FV156" i="50" s="1"/>
  <c r="GA6" i="28"/>
  <c r="GA42" i="31"/>
  <c r="GA6" i="50"/>
  <c r="FV76" i="50"/>
  <c r="FV77" i="50" s="1"/>
  <c r="FV78" i="50" s="1"/>
  <c r="FV81" i="50" s="1"/>
  <c r="GA5" i="28"/>
  <c r="GA41" i="31"/>
  <c r="GA5" i="50"/>
  <c r="FU55" i="31"/>
  <c r="FU155" i="50"/>
  <c r="FU136" i="50"/>
  <c r="FU134" i="50"/>
  <c r="FW74" i="50"/>
  <c r="FW72" i="50"/>
  <c r="FW128" i="50"/>
  <c r="FW130" i="50" s="1"/>
  <c r="FW36" i="50"/>
  <c r="FX30" i="50"/>
  <c r="FX31" i="50"/>
  <c r="FX32" i="50"/>
  <c r="FX33" i="50"/>
  <c r="FX34" i="50"/>
  <c r="FU47" i="31"/>
  <c r="FU49" i="31" s="1"/>
  <c r="FV52" i="31"/>
  <c r="FV54" i="31" s="1"/>
  <c r="FV134" i="50"/>
  <c r="FV136" i="50"/>
  <c r="FV155" i="50"/>
  <c r="FW104" i="50" l="1"/>
  <c r="FW105" i="50"/>
  <c r="FW103" i="50"/>
  <c r="FW107" i="50"/>
  <c r="FW109" i="50"/>
  <c r="FW108" i="50"/>
  <c r="FW112" i="50"/>
  <c r="FW116" i="50"/>
  <c r="FW119" i="50"/>
  <c r="FW106" i="50"/>
  <c r="FW117" i="50"/>
  <c r="FW110" i="50"/>
  <c r="FW113" i="50"/>
  <c r="FW122" i="50"/>
  <c r="FW111" i="50"/>
  <c r="FW114" i="50"/>
  <c r="FW115" i="50"/>
  <c r="FW118" i="50"/>
  <c r="FW91" i="50"/>
  <c r="FW86" i="50"/>
  <c r="FW87" i="50"/>
  <c r="FW120" i="50"/>
  <c r="FW88" i="50"/>
  <c r="FW121" i="50"/>
  <c r="FW96" i="50"/>
  <c r="FW92" i="50"/>
  <c r="FW89" i="50"/>
  <c r="FW90" i="50"/>
  <c r="FW97" i="50"/>
  <c r="FW94" i="50"/>
  <c r="FW95" i="50"/>
  <c r="FW93" i="50"/>
  <c r="FV99" i="50"/>
  <c r="FY59" i="50"/>
  <c r="FY68" i="50" s="1"/>
  <c r="FY65" i="50"/>
  <c r="FY61" i="50"/>
  <c r="FY70" i="50" s="1"/>
  <c r="FY63" i="50"/>
  <c r="FV123" i="50"/>
  <c r="GA21" i="50"/>
  <c r="GA26" i="50" s="1"/>
  <c r="GA161" i="50"/>
  <c r="FY85" i="19"/>
  <c r="FY82" i="19"/>
  <c r="FX51" i="50"/>
  <c r="FY83" i="19"/>
  <c r="FY44" i="50"/>
  <c r="FY45" i="50"/>
  <c r="FY46" i="50"/>
  <c r="FY48" i="50"/>
  <c r="FY49" i="50"/>
  <c r="FY50" i="50"/>
  <c r="FY55" i="50"/>
  <c r="FY47" i="50"/>
  <c r="FY56" i="50"/>
  <c r="FY87" i="19"/>
  <c r="FY84" i="19"/>
  <c r="FY88" i="19"/>
  <c r="FY86" i="19"/>
  <c r="FY81" i="19"/>
  <c r="FV165" i="50"/>
  <c r="FZ22" i="50"/>
  <c r="FZ23" i="50"/>
  <c r="FZ98" i="50" s="1"/>
  <c r="GA149" i="50"/>
  <c r="GB6" i="28"/>
  <c r="GB42" i="31"/>
  <c r="GB6" i="50"/>
  <c r="FX128" i="50"/>
  <c r="FX130" i="50" s="1"/>
  <c r="FX74" i="50"/>
  <c r="FX72" i="50"/>
  <c r="GB5" i="28"/>
  <c r="GB41" i="31"/>
  <c r="GB5" i="50"/>
  <c r="FV55" i="31"/>
  <c r="FW76" i="50"/>
  <c r="FW77" i="50" s="1"/>
  <c r="FW78" i="50" s="1"/>
  <c r="FW81" i="50" s="1"/>
  <c r="FW162" i="50"/>
  <c r="FW146" i="50"/>
  <c r="FW158" i="50" s="1"/>
  <c r="FW145" i="50"/>
  <c r="FW157" i="50" s="1"/>
  <c r="FW144" i="50"/>
  <c r="FW156" i="50" s="1"/>
  <c r="FW132" i="50"/>
  <c r="FW133" i="50" s="1"/>
  <c r="FW52" i="31" s="1"/>
  <c r="FW54" i="31" s="1"/>
  <c r="FX36" i="50"/>
  <c r="FY30" i="50"/>
  <c r="FY31" i="50"/>
  <c r="FY32" i="50"/>
  <c r="FY33" i="50"/>
  <c r="FY34" i="50"/>
  <c r="FX144" i="50" l="1"/>
  <c r="FX104" i="50"/>
  <c r="FX103" i="50"/>
  <c r="FX107" i="50"/>
  <c r="FX108" i="50"/>
  <c r="FX106" i="50"/>
  <c r="FX109" i="50"/>
  <c r="FX110" i="50"/>
  <c r="FX112" i="50"/>
  <c r="FX111" i="50"/>
  <c r="FX113" i="50"/>
  <c r="FX118" i="50"/>
  <c r="FX114" i="50"/>
  <c r="FX105" i="50"/>
  <c r="FX116" i="50"/>
  <c r="FX117" i="50"/>
  <c r="FX120" i="50"/>
  <c r="FX88" i="50"/>
  <c r="FX115" i="50"/>
  <c r="FX91" i="50"/>
  <c r="FX121" i="50"/>
  <c r="FX92" i="50"/>
  <c r="FX119" i="50"/>
  <c r="FX86" i="50"/>
  <c r="FX87" i="50"/>
  <c r="FX89" i="50"/>
  <c r="FX90" i="50"/>
  <c r="FX122" i="50"/>
  <c r="FX93" i="50"/>
  <c r="FX96" i="50"/>
  <c r="FX94" i="50"/>
  <c r="FX95" i="50"/>
  <c r="FX97" i="50"/>
  <c r="FV47" i="31"/>
  <c r="FV49" i="31" s="1"/>
  <c r="FV166" i="50"/>
  <c r="FW99" i="50"/>
  <c r="FZ63" i="50"/>
  <c r="FZ59" i="50"/>
  <c r="FZ68" i="50" s="1"/>
  <c r="FZ65" i="50"/>
  <c r="FZ61" i="50"/>
  <c r="FZ70" i="50" s="1"/>
  <c r="FW123" i="50"/>
  <c r="GB21" i="50"/>
  <c r="GB26" i="50" s="1"/>
  <c r="GB161" i="50"/>
  <c r="FZ88" i="19"/>
  <c r="FZ84" i="19"/>
  <c r="FZ46" i="50"/>
  <c r="FZ44" i="50"/>
  <c r="FZ45" i="50"/>
  <c r="FZ48" i="50"/>
  <c r="FZ47" i="50"/>
  <c r="FZ55" i="50"/>
  <c r="FZ49" i="50"/>
  <c r="FZ50" i="50"/>
  <c r="FZ56" i="50"/>
  <c r="FZ87" i="19"/>
  <c r="FZ83" i="19"/>
  <c r="FY51" i="50"/>
  <c r="FZ82" i="19"/>
  <c r="FZ86" i="19"/>
  <c r="FZ85" i="19"/>
  <c r="FZ81" i="19"/>
  <c r="FX162" i="50"/>
  <c r="FX146" i="50"/>
  <c r="FX158" i="50" s="1"/>
  <c r="FX145" i="50"/>
  <c r="FX157" i="50" s="1"/>
  <c r="FX132" i="50"/>
  <c r="FX133" i="50" s="1"/>
  <c r="FX136" i="50" s="1"/>
  <c r="GA23" i="50"/>
  <c r="GA98" i="50" s="1"/>
  <c r="GA22" i="50"/>
  <c r="GB149" i="50"/>
  <c r="GC42" i="31"/>
  <c r="GC6" i="50"/>
  <c r="GC6" i="28"/>
  <c r="FX76" i="50"/>
  <c r="FX77" i="50" s="1"/>
  <c r="FX78" i="50" s="1"/>
  <c r="FX81" i="50" s="1"/>
  <c r="FW55" i="31"/>
  <c r="FY72" i="50"/>
  <c r="FY128" i="50"/>
  <c r="FY130" i="50" s="1"/>
  <c r="FY74" i="50"/>
  <c r="GC5" i="28"/>
  <c r="GC41" i="31"/>
  <c r="GC5" i="50"/>
  <c r="GC161" i="50" s="1"/>
  <c r="FW165" i="50"/>
  <c r="FW136" i="50"/>
  <c r="FW155" i="50"/>
  <c r="FW134" i="50"/>
  <c r="FZ33" i="50"/>
  <c r="FZ30" i="50"/>
  <c r="FZ31" i="50"/>
  <c r="FZ34" i="50"/>
  <c r="FZ32" i="50"/>
  <c r="FY36" i="50"/>
  <c r="FX156" i="50"/>
  <c r="FX165" i="50"/>
  <c r="FX166" i="50" s="1"/>
  <c r="FY132" i="50" l="1"/>
  <c r="FY133" i="50" s="1"/>
  <c r="FY52" i="31" s="1"/>
  <c r="FY54" i="31" s="1"/>
  <c r="FY103" i="50"/>
  <c r="FY104" i="50"/>
  <c r="FY107" i="50"/>
  <c r="FY105" i="50"/>
  <c r="FY106" i="50"/>
  <c r="FY111" i="50"/>
  <c r="FY108" i="50"/>
  <c r="FY112" i="50"/>
  <c r="FY109" i="50"/>
  <c r="FY110" i="50"/>
  <c r="FY113" i="50"/>
  <c r="FY115" i="50"/>
  <c r="FY118" i="50"/>
  <c r="FY121" i="50"/>
  <c r="FY117" i="50"/>
  <c r="FY119" i="50"/>
  <c r="FY88" i="50"/>
  <c r="FY120" i="50"/>
  <c r="FY89" i="50"/>
  <c r="FY91" i="50"/>
  <c r="FY86" i="50"/>
  <c r="FY87" i="50"/>
  <c r="FY114" i="50"/>
  <c r="FY122" i="50"/>
  <c r="FY93" i="50"/>
  <c r="FY116" i="50"/>
  <c r="FY94" i="50"/>
  <c r="FY96" i="50"/>
  <c r="FY95" i="50"/>
  <c r="FY90" i="50"/>
  <c r="FY97" i="50"/>
  <c r="FY92" i="50"/>
  <c r="FW47" i="31"/>
  <c r="FW49" i="31" s="1"/>
  <c r="FW166" i="50"/>
  <c r="FX134" i="50"/>
  <c r="FX123" i="50"/>
  <c r="GA59" i="50"/>
  <c r="GA68" i="50" s="1"/>
  <c r="GA63" i="50"/>
  <c r="GA61" i="50"/>
  <c r="GA70" i="50" s="1"/>
  <c r="GA65" i="50"/>
  <c r="FX99" i="50"/>
  <c r="GA86" i="19"/>
  <c r="GC21" i="50"/>
  <c r="GA82" i="19"/>
  <c r="GA46" i="50"/>
  <c r="GA44" i="50"/>
  <c r="GA45" i="50"/>
  <c r="GA48" i="50"/>
  <c r="GA55" i="50"/>
  <c r="GA49" i="50"/>
  <c r="GA56" i="50"/>
  <c r="GA47" i="50"/>
  <c r="GA50" i="50"/>
  <c r="GA87" i="19"/>
  <c r="FZ51" i="50"/>
  <c r="GA83" i="19"/>
  <c r="GA84" i="19"/>
  <c r="GA85" i="19"/>
  <c r="GA88" i="19"/>
  <c r="FX52" i="31"/>
  <c r="FX54" i="31" s="1"/>
  <c r="FX55" i="31" s="1"/>
  <c r="FX155" i="50"/>
  <c r="GA81" i="19"/>
  <c r="GB22" i="50"/>
  <c r="GB23" i="50"/>
  <c r="GB98" i="50" s="1"/>
  <c r="GC149" i="50"/>
  <c r="FY146" i="50"/>
  <c r="FY158" i="50" s="1"/>
  <c r="FY162" i="50"/>
  <c r="FY145" i="50"/>
  <c r="FY157" i="50" s="1"/>
  <c r="FY144" i="50"/>
  <c r="FY156" i="50" s="1"/>
  <c r="FY76" i="50"/>
  <c r="FY77" i="50" s="1"/>
  <c r="FY78" i="50" s="1"/>
  <c r="FY81" i="50" s="1"/>
  <c r="FZ128" i="50"/>
  <c r="FZ130" i="50" s="1"/>
  <c r="FZ74" i="50"/>
  <c r="FZ72" i="50"/>
  <c r="FZ36" i="50"/>
  <c r="GA34" i="50"/>
  <c r="GA30" i="50"/>
  <c r="GA33" i="50"/>
  <c r="GA31" i="50"/>
  <c r="GA32" i="50"/>
  <c r="FX47" i="31"/>
  <c r="FX49" i="31" s="1"/>
  <c r="FY155" i="50" l="1"/>
  <c r="FY134" i="50"/>
  <c r="FY136" i="50"/>
  <c r="FZ103" i="50"/>
  <c r="FZ104" i="50"/>
  <c r="FZ105" i="50"/>
  <c r="FZ106" i="50"/>
  <c r="FZ107" i="50"/>
  <c r="FZ109" i="50"/>
  <c r="FZ111" i="50"/>
  <c r="FZ108" i="50"/>
  <c r="FZ113" i="50"/>
  <c r="FZ115" i="50"/>
  <c r="FZ116" i="50"/>
  <c r="FZ119" i="50"/>
  <c r="FZ121" i="50"/>
  <c r="FZ122" i="50"/>
  <c r="FZ120" i="50"/>
  <c r="FZ90" i="50"/>
  <c r="FZ110" i="50"/>
  <c r="FZ114" i="50"/>
  <c r="FZ86" i="50"/>
  <c r="FZ117" i="50"/>
  <c r="FZ87" i="50"/>
  <c r="FZ118" i="50"/>
  <c r="FZ95" i="50"/>
  <c r="FZ112" i="50"/>
  <c r="FZ93" i="50"/>
  <c r="FZ92" i="50"/>
  <c r="FZ97" i="50"/>
  <c r="FZ88" i="50"/>
  <c r="FZ94" i="50"/>
  <c r="FZ96" i="50"/>
  <c r="FZ89" i="50"/>
  <c r="FZ91" i="50"/>
  <c r="GC26" i="50"/>
  <c r="E26" i="50" s="1"/>
  <c r="GB59" i="50"/>
  <c r="GB68" i="50" s="1"/>
  <c r="GB63" i="50"/>
  <c r="GB65" i="50"/>
  <c r="GB61" i="50"/>
  <c r="GB70" i="50" s="1"/>
  <c r="FY99" i="50"/>
  <c r="FY123" i="50"/>
  <c r="GA51" i="50"/>
  <c r="GB44" i="50"/>
  <c r="GB45" i="50"/>
  <c r="GB46" i="50"/>
  <c r="GB47" i="50"/>
  <c r="GB48" i="50"/>
  <c r="GB49" i="50"/>
  <c r="GB55" i="50"/>
  <c r="GB50" i="50"/>
  <c r="GB56" i="50"/>
  <c r="FY55" i="31"/>
  <c r="GC23" i="50"/>
  <c r="GC98" i="50" s="1"/>
  <c r="E98" i="50" s="1"/>
  <c r="GC22" i="50"/>
  <c r="FY165" i="50"/>
  <c r="FZ162" i="50"/>
  <c r="FZ144" i="50"/>
  <c r="FZ156" i="50" s="1"/>
  <c r="FZ132" i="50"/>
  <c r="FZ133" i="50" s="1"/>
  <c r="FZ52" i="31" s="1"/>
  <c r="FZ54" i="31" s="1"/>
  <c r="FZ146" i="50"/>
  <c r="FZ158" i="50" s="1"/>
  <c r="FZ145" i="50"/>
  <c r="FZ157" i="50" s="1"/>
  <c r="FZ76" i="50"/>
  <c r="FZ77" i="50" s="1"/>
  <c r="FZ78" i="50" s="1"/>
  <c r="FZ81" i="50" s="1"/>
  <c r="GA128" i="50"/>
  <c r="GA130" i="50" s="1"/>
  <c r="GA72" i="50"/>
  <c r="GA74" i="50"/>
  <c r="GA36" i="50"/>
  <c r="GB33" i="50"/>
  <c r="GB31" i="50"/>
  <c r="GB30" i="50"/>
  <c r="GB34" i="50"/>
  <c r="GB32" i="50"/>
  <c r="FZ55" i="31" l="1"/>
  <c r="GA145" i="50"/>
  <c r="GA157" i="50" s="1"/>
  <c r="GA103" i="50"/>
  <c r="GA106" i="50"/>
  <c r="GA107" i="50"/>
  <c r="GA108" i="50"/>
  <c r="GA104" i="50"/>
  <c r="GA105" i="50"/>
  <c r="GA109" i="50"/>
  <c r="GA110" i="50"/>
  <c r="GA112" i="50"/>
  <c r="GA111" i="50"/>
  <c r="GA117" i="50"/>
  <c r="GA119" i="50"/>
  <c r="GA114" i="50"/>
  <c r="GA113" i="50"/>
  <c r="GA116" i="50"/>
  <c r="GA122" i="50"/>
  <c r="GA87" i="50"/>
  <c r="GA90" i="50"/>
  <c r="GA115" i="50"/>
  <c r="GA118" i="50"/>
  <c r="GA91" i="50"/>
  <c r="GA92" i="50"/>
  <c r="GA120" i="50"/>
  <c r="GA86" i="50"/>
  <c r="GA121" i="50"/>
  <c r="GA95" i="50"/>
  <c r="GA96" i="50"/>
  <c r="GA97" i="50"/>
  <c r="GA88" i="50"/>
  <c r="GA94" i="50"/>
  <c r="GA89" i="50"/>
  <c r="GA93" i="50"/>
  <c r="FY47" i="31"/>
  <c r="FY49" i="31" s="1"/>
  <c r="FY166" i="50"/>
  <c r="FZ123" i="50"/>
  <c r="FZ99" i="50"/>
  <c r="GC61" i="50"/>
  <c r="GC70" i="50" s="1"/>
  <c r="GC59" i="50"/>
  <c r="GC68" i="50" s="1"/>
  <c r="GC63" i="50"/>
  <c r="GC72" i="50" s="1"/>
  <c r="GC65" i="50"/>
  <c r="GC74" i="50" s="1"/>
  <c r="I40" i="50"/>
  <c r="J40" i="50"/>
  <c r="K40" i="50"/>
  <c r="M40" i="50"/>
  <c r="G40" i="50"/>
  <c r="F40" i="50"/>
  <c r="L40" i="50"/>
  <c r="H40" i="50"/>
  <c r="GC45" i="50"/>
  <c r="E45" i="50" s="1"/>
  <c r="GC46" i="50"/>
  <c r="E46" i="50" s="1"/>
  <c r="GC47" i="50"/>
  <c r="E47" i="50" s="1"/>
  <c r="GC50" i="50"/>
  <c r="E50" i="50" s="1"/>
  <c r="GC48" i="50"/>
  <c r="E48" i="50" s="1"/>
  <c r="GC55" i="50"/>
  <c r="GC49" i="50"/>
  <c r="E49" i="50" s="1"/>
  <c r="GC44" i="50"/>
  <c r="E44" i="50" s="1"/>
  <c r="GC56" i="50"/>
  <c r="GB51" i="50"/>
  <c r="FZ165" i="50"/>
  <c r="FZ166" i="50" s="1"/>
  <c r="FZ134" i="50"/>
  <c r="FZ155" i="50"/>
  <c r="FZ136" i="50"/>
  <c r="GA144" i="50"/>
  <c r="GA156" i="50" s="1"/>
  <c r="GA76" i="50"/>
  <c r="GA77" i="50" s="1"/>
  <c r="GA78" i="50" s="1"/>
  <c r="GA81" i="50" s="1"/>
  <c r="GA132" i="50"/>
  <c r="GA133" i="50" s="1"/>
  <c r="GA52" i="31" s="1"/>
  <c r="GA54" i="31" s="1"/>
  <c r="GA55" i="31" s="1"/>
  <c r="GA162" i="50"/>
  <c r="GA146" i="50"/>
  <c r="GA158" i="50" s="1"/>
  <c r="GB128" i="50"/>
  <c r="GB130" i="50" s="1"/>
  <c r="GB74" i="50"/>
  <c r="GB72" i="50"/>
  <c r="GB36" i="50"/>
  <c r="AC39" i="50"/>
  <c r="EK39" i="50"/>
  <c r="ER39" i="50"/>
  <c r="FH39" i="50"/>
  <c r="AN39" i="50"/>
  <c r="FL39" i="50"/>
  <c r="AP39" i="50"/>
  <c r="CE39" i="50"/>
  <c r="CJ39" i="50"/>
  <c r="FF39" i="50"/>
  <c r="BG39" i="50"/>
  <c r="FW39" i="50"/>
  <c r="AI39" i="50"/>
  <c r="H39" i="50"/>
  <c r="CV39" i="50"/>
  <c r="BP39" i="50"/>
  <c r="EJ39" i="50"/>
  <c r="W39" i="50"/>
  <c r="CY39" i="50"/>
  <c r="EQ39" i="50"/>
  <c r="DZ39" i="50"/>
  <c r="DF39" i="50"/>
  <c r="BC39" i="50"/>
  <c r="AT39" i="50"/>
  <c r="FN39" i="50"/>
  <c r="CR39" i="50"/>
  <c r="DJ39" i="50"/>
  <c r="CS39" i="50"/>
  <c r="Q39" i="50"/>
  <c r="CP39" i="50"/>
  <c r="FR39" i="50"/>
  <c r="S39" i="50"/>
  <c r="AM39" i="50"/>
  <c r="I39" i="50"/>
  <c r="BL39" i="50"/>
  <c r="CQ39" i="50"/>
  <c r="CH39" i="50"/>
  <c r="DK39" i="50"/>
  <c r="EU39" i="50"/>
  <c r="DX39" i="50"/>
  <c r="BE39" i="50"/>
  <c r="CO39" i="50"/>
  <c r="EA39" i="50"/>
  <c r="BU39" i="50"/>
  <c r="V39" i="50"/>
  <c r="BO39" i="50"/>
  <c r="BH39" i="50"/>
  <c r="L39" i="50"/>
  <c r="DB39" i="50"/>
  <c r="FP39" i="50"/>
  <c r="FK39" i="50"/>
  <c r="DU39" i="50"/>
  <c r="CM39" i="50"/>
  <c r="EV39" i="50"/>
  <c r="AO39" i="50"/>
  <c r="DI39" i="50"/>
  <c r="CW39" i="50"/>
  <c r="EH39" i="50"/>
  <c r="ET39" i="50"/>
  <c r="BR39" i="50"/>
  <c r="FU39" i="50"/>
  <c r="AV39" i="50"/>
  <c r="FC39" i="50"/>
  <c r="K39" i="50"/>
  <c r="AQ39" i="50"/>
  <c r="AY39" i="50"/>
  <c r="M39" i="50"/>
  <c r="DA39" i="50"/>
  <c r="Y39" i="50"/>
  <c r="DO39" i="50"/>
  <c r="EX39" i="50"/>
  <c r="CL39" i="50"/>
  <c r="AJ39" i="50"/>
  <c r="EL39" i="50"/>
  <c r="AX39" i="50"/>
  <c r="AB39" i="50"/>
  <c r="CF39" i="50"/>
  <c r="BI39" i="50"/>
  <c r="AW39" i="50"/>
  <c r="CT39" i="50"/>
  <c r="DD39" i="50"/>
  <c r="CD39" i="50"/>
  <c r="FV39" i="50"/>
  <c r="DH39" i="50"/>
  <c r="FT39" i="50"/>
  <c r="EM39" i="50"/>
  <c r="Z39" i="50"/>
  <c r="EC39" i="50"/>
  <c r="AE39" i="50"/>
  <c r="AD39" i="50"/>
  <c r="BN39" i="50"/>
  <c r="AG39" i="50"/>
  <c r="CU39" i="50"/>
  <c r="DS39" i="50"/>
  <c r="ES39" i="50"/>
  <c r="AH39" i="50"/>
  <c r="GA39" i="50"/>
  <c r="BX39" i="50"/>
  <c r="DC39" i="50"/>
  <c r="BY39" i="50"/>
  <c r="FM39" i="50"/>
  <c r="FI39" i="50"/>
  <c r="AL39" i="50"/>
  <c r="FG39" i="50"/>
  <c r="FA39" i="50"/>
  <c r="BA39" i="50"/>
  <c r="FX39" i="50"/>
  <c r="AU39" i="50"/>
  <c r="BF39" i="50"/>
  <c r="BZ39" i="50"/>
  <c r="FO39" i="50"/>
  <c r="R39" i="50"/>
  <c r="CA39" i="50"/>
  <c r="CG39" i="50"/>
  <c r="EI39" i="50"/>
  <c r="X39" i="50"/>
  <c r="N39" i="50"/>
  <c r="DQ39" i="50"/>
  <c r="DN39" i="50"/>
  <c r="EB39" i="50"/>
  <c r="EY39" i="50"/>
  <c r="EP39" i="50"/>
  <c r="BK39" i="50"/>
  <c r="O39" i="50"/>
  <c r="AR39" i="50"/>
  <c r="U39" i="50"/>
  <c r="FZ39" i="50"/>
  <c r="EG39" i="50"/>
  <c r="BT39" i="50"/>
  <c r="FD39" i="50"/>
  <c r="DP39" i="50"/>
  <c r="ED39" i="50"/>
  <c r="CN39" i="50"/>
  <c r="FJ39" i="50"/>
  <c r="BB39" i="50"/>
  <c r="CK39" i="50"/>
  <c r="GB39" i="50"/>
  <c r="DY39" i="50"/>
  <c r="FY39" i="50"/>
  <c r="J39" i="50"/>
  <c r="DV39" i="50"/>
  <c r="P39" i="50"/>
  <c r="BV39" i="50"/>
  <c r="FB39" i="50"/>
  <c r="DR39" i="50"/>
  <c r="CX39" i="50"/>
  <c r="AS39" i="50"/>
  <c r="DW39" i="50"/>
  <c r="BS39" i="50"/>
  <c r="BJ39" i="50"/>
  <c r="DL39" i="50"/>
  <c r="AF39" i="50"/>
  <c r="BW39" i="50"/>
  <c r="G39" i="50"/>
  <c r="T39" i="50"/>
  <c r="DT39" i="50"/>
  <c r="BD39" i="50"/>
  <c r="EE39" i="50"/>
  <c r="AA39" i="50"/>
  <c r="CZ39" i="50"/>
  <c r="BM39" i="50"/>
  <c r="DM39" i="50"/>
  <c r="EN39" i="50"/>
  <c r="BQ39" i="50"/>
  <c r="EF39" i="50"/>
  <c r="CI39" i="50"/>
  <c r="F39" i="50"/>
  <c r="AZ39" i="50"/>
  <c r="DG39" i="50"/>
  <c r="FQ39" i="50"/>
  <c r="EW39" i="50"/>
  <c r="FE39" i="50"/>
  <c r="GC39" i="50"/>
  <c r="DE39" i="50"/>
  <c r="EO39" i="50"/>
  <c r="FS39" i="50"/>
  <c r="AK39" i="50"/>
  <c r="EZ39" i="50"/>
  <c r="CC39" i="50"/>
  <c r="CB39" i="50"/>
  <c r="GC34" i="50"/>
  <c r="E34" i="50" s="1"/>
  <c r="GC30" i="50"/>
  <c r="E30" i="50" s="1"/>
  <c r="GC31" i="50"/>
  <c r="E31" i="50" s="1"/>
  <c r="GC32" i="50"/>
  <c r="E32" i="50" s="1"/>
  <c r="GC33" i="50"/>
  <c r="E33" i="50" s="1"/>
  <c r="GC128" i="50"/>
  <c r="GC130" i="50" s="1"/>
  <c r="GC105" i="50" l="1"/>
  <c r="GC103" i="50"/>
  <c r="GC104" i="50"/>
  <c r="GC106" i="50"/>
  <c r="GC109" i="50"/>
  <c r="GC108" i="50"/>
  <c r="GC110" i="50"/>
  <c r="GC111" i="50"/>
  <c r="GC112" i="50"/>
  <c r="GC107" i="50"/>
  <c r="GC114" i="50"/>
  <c r="GC113" i="50"/>
  <c r="GC115" i="50"/>
  <c r="GC116" i="50"/>
  <c r="GC120" i="50"/>
  <c r="GC121" i="50"/>
  <c r="GC118" i="50"/>
  <c r="GC89" i="50"/>
  <c r="GC119" i="50"/>
  <c r="GC92" i="50"/>
  <c r="GC93" i="50"/>
  <c r="GC117" i="50"/>
  <c r="GC87" i="50"/>
  <c r="GC88" i="50"/>
  <c r="GC90" i="50"/>
  <c r="GC91" i="50"/>
  <c r="GC94" i="50"/>
  <c r="GC122" i="50"/>
  <c r="GC86" i="50"/>
  <c r="GC97" i="50"/>
  <c r="GC96" i="50"/>
  <c r="GC95" i="50"/>
  <c r="GB146" i="50"/>
  <c r="GB103" i="50"/>
  <c r="GB106" i="50"/>
  <c r="GB104" i="50"/>
  <c r="GB108" i="50"/>
  <c r="GB105" i="50"/>
  <c r="GB107" i="50"/>
  <c r="E107" i="50" s="1"/>
  <c r="GB110" i="50"/>
  <c r="GB111" i="50"/>
  <c r="GB114" i="50"/>
  <c r="GB117" i="50"/>
  <c r="GB118" i="50"/>
  <c r="GB120" i="50"/>
  <c r="GB119" i="50"/>
  <c r="GB109" i="50"/>
  <c r="E109" i="50" s="1"/>
  <c r="GB112" i="50"/>
  <c r="GB113" i="50"/>
  <c r="GB116" i="50"/>
  <c r="E116" i="50" s="1"/>
  <c r="GB122" i="50"/>
  <c r="GB87" i="50"/>
  <c r="GB88" i="50"/>
  <c r="GB86" i="50"/>
  <c r="GB89" i="50"/>
  <c r="E89" i="50" s="1"/>
  <c r="GB121" i="50"/>
  <c r="E121" i="50" s="1"/>
  <c r="GB115" i="50"/>
  <c r="GB93" i="50"/>
  <c r="GB91" i="50"/>
  <c r="GB95" i="50"/>
  <c r="GB96" i="50"/>
  <c r="GB97" i="50"/>
  <c r="GB94" i="50"/>
  <c r="GB90" i="50"/>
  <c r="GB92" i="50"/>
  <c r="FZ47" i="31"/>
  <c r="FZ49" i="31" s="1"/>
  <c r="GA123" i="50"/>
  <c r="GA99" i="50"/>
  <c r="GC51" i="50"/>
  <c r="E51" i="50" s="1"/>
  <c r="GB132" i="50"/>
  <c r="GB133" i="50" s="1"/>
  <c r="GB155" i="50" s="1"/>
  <c r="GB145" i="50"/>
  <c r="GB157" i="50" s="1"/>
  <c r="GB144" i="50"/>
  <c r="GB156" i="50" s="1"/>
  <c r="GA155" i="50"/>
  <c r="GB162" i="50"/>
  <c r="GA165" i="50"/>
  <c r="GA136" i="50"/>
  <c r="GA134" i="50"/>
  <c r="GB76" i="50"/>
  <c r="GB77" i="50" s="1"/>
  <c r="GB78" i="50" s="1"/>
  <c r="GB81" i="50" s="1"/>
  <c r="F41" i="50"/>
  <c r="F11" i="50" s="1" a="1"/>
  <c r="F11" i="50" s="1"/>
  <c r="H41" i="50"/>
  <c r="H11" i="50" s="1" a="1"/>
  <c r="H11" i="50" s="1"/>
  <c r="J41" i="50"/>
  <c r="J10" i="50" s="1" a="1"/>
  <c r="J10" i="50" s="1"/>
  <c r="M41" i="50"/>
  <c r="M13" i="50" s="1" a="1"/>
  <c r="M13" i="50" s="1"/>
  <c r="G41" i="50"/>
  <c r="G9" i="50" s="1" a="1"/>
  <c r="G9" i="50" s="1"/>
  <c r="I41" i="50"/>
  <c r="I9" i="50" s="1" a="1"/>
  <c r="I9" i="50" s="1"/>
  <c r="GC36" i="50"/>
  <c r="E36" i="50" s="1"/>
  <c r="K41" i="50"/>
  <c r="K14" i="50" s="1" a="1"/>
  <c r="K14" i="50" s="1"/>
  <c r="L41" i="50"/>
  <c r="L9" i="50" s="1" a="1"/>
  <c r="L9" i="50" s="1"/>
  <c r="GC132" i="50"/>
  <c r="GC133" i="50" s="1"/>
  <c r="GC144" i="50"/>
  <c r="GC145" i="50"/>
  <c r="GC146" i="50"/>
  <c r="GC162" i="50"/>
  <c r="E162" i="50" s="1"/>
  <c r="E92" i="50"/>
  <c r="E97" i="50"/>
  <c r="E104" i="50"/>
  <c r="E106" i="50"/>
  <c r="E114" i="50"/>
  <c r="E118" i="50"/>
  <c r="GC76" i="50"/>
  <c r="GB158" i="50"/>
  <c r="E91" i="50" l="1"/>
  <c r="E117" i="50"/>
  <c r="E119" i="50"/>
  <c r="E87" i="50"/>
  <c r="E94" i="50"/>
  <c r="E112" i="50"/>
  <c r="E133" i="50"/>
  <c r="E96" i="50"/>
  <c r="E90" i="50"/>
  <c r="E111" i="50"/>
  <c r="E120" i="50"/>
  <c r="E108" i="50"/>
  <c r="E110" i="50"/>
  <c r="E88" i="50"/>
  <c r="GA47" i="31"/>
  <c r="GA49" i="31" s="1"/>
  <c r="GA166" i="50"/>
  <c r="E93" i="50"/>
  <c r="E95" i="50"/>
  <c r="E115" i="50"/>
  <c r="E122" i="50"/>
  <c r="E113" i="50"/>
  <c r="E105" i="50"/>
  <c r="GC99" i="50"/>
  <c r="E86" i="50"/>
  <c r="GC158" i="50"/>
  <c r="E158" i="50" s="1"/>
  <c r="E146" i="50"/>
  <c r="GC123" i="50"/>
  <c r="E103" i="50"/>
  <c r="BH40" i="50"/>
  <c r="BH41" i="50" s="1"/>
  <c r="BH9" i="50" s="1" a="1"/>
  <c r="BH9" i="50" s="1"/>
  <c r="BH59" i="31" s="1"/>
  <c r="BW40" i="50"/>
  <c r="BW41" i="50" s="1"/>
  <c r="BW15" i="50" s="1" a="1"/>
  <c r="BW15" i="50" s="1"/>
  <c r="BW30" i="28" s="1"/>
  <c r="DM40" i="50"/>
  <c r="DM41" i="50" s="1"/>
  <c r="DM9" i="50" s="1" a="1"/>
  <c r="DM9" i="50" s="1"/>
  <c r="DM59" i="31" s="1"/>
  <c r="CZ40" i="50"/>
  <c r="CZ41" i="50" s="1"/>
  <c r="CZ15" i="50" s="1" a="1"/>
  <c r="CZ15" i="50" s="1"/>
  <c r="CZ65" i="31" s="1"/>
  <c r="AR40" i="50"/>
  <c r="AR41" i="50" s="1"/>
  <c r="AR14" i="50" s="1" a="1"/>
  <c r="AR14" i="50" s="1"/>
  <c r="AR29" i="28" s="1"/>
  <c r="FZ40" i="50"/>
  <c r="FZ41" i="50" s="1"/>
  <c r="FZ11" i="50" s="1" a="1"/>
  <c r="FZ11" i="50" s="1"/>
  <c r="FZ61" i="31" s="1"/>
  <c r="FR40" i="50"/>
  <c r="FR41" i="50" s="1"/>
  <c r="FR9" i="50" s="1" a="1"/>
  <c r="FR9" i="50" s="1"/>
  <c r="FR24" i="28" s="1"/>
  <c r="CV40" i="50"/>
  <c r="CV41" i="50" s="1"/>
  <c r="CV13" i="50" s="1" a="1"/>
  <c r="CV13" i="50" s="1"/>
  <c r="CV28" i="28" s="1"/>
  <c r="FS40" i="50"/>
  <c r="FS41" i="50" s="1"/>
  <c r="FS15" i="50" s="1" a="1"/>
  <c r="FS15" i="50" s="1"/>
  <c r="FS65" i="31" s="1"/>
  <c r="DW40" i="50"/>
  <c r="DW41" i="50" s="1"/>
  <c r="DW11" i="50" s="1" a="1"/>
  <c r="DW11" i="50" s="1"/>
  <c r="DW61" i="31" s="1"/>
  <c r="CQ40" i="50"/>
  <c r="CQ41" i="50" s="1"/>
  <c r="CQ12" i="50" s="1" a="1"/>
  <c r="CQ12" i="50" s="1"/>
  <c r="CQ62" i="31" s="1"/>
  <c r="BP40" i="50"/>
  <c r="BP41" i="50" s="1"/>
  <c r="BP14" i="50" s="1" a="1"/>
  <c r="BP14" i="50" s="1"/>
  <c r="BP64" i="31" s="1"/>
  <c r="DA40" i="50"/>
  <c r="DA41" i="50" s="1"/>
  <c r="DA11" i="50" s="1" a="1"/>
  <c r="DA11" i="50" s="1"/>
  <c r="DA61" i="31" s="1"/>
  <c r="W40" i="50"/>
  <c r="W41" i="50" s="1"/>
  <c r="CW40" i="50"/>
  <c r="CW41" i="50" s="1"/>
  <c r="CW11" i="50" s="1" a="1"/>
  <c r="CW11" i="50" s="1"/>
  <c r="CW26" i="28" s="1"/>
  <c r="EA40" i="50"/>
  <c r="EA41" i="50" s="1"/>
  <c r="EA9" i="50" s="1" a="1"/>
  <c r="EA9" i="50" s="1"/>
  <c r="EA24" i="28" s="1"/>
  <c r="Z40" i="50"/>
  <c r="Z41" i="50" s="1"/>
  <c r="Z14" i="50" s="1" a="1"/>
  <c r="Z14" i="50" s="1"/>
  <c r="Z29" i="28" s="1"/>
  <c r="GA40" i="50"/>
  <c r="GA41" i="50" s="1"/>
  <c r="EZ40" i="50"/>
  <c r="EZ41" i="50" s="1"/>
  <c r="EZ9" i="50" s="1" a="1"/>
  <c r="EZ9" i="50" s="1"/>
  <c r="EZ24" i="28" s="1"/>
  <c r="AJ40" i="50"/>
  <c r="AJ41" i="50" s="1"/>
  <c r="AJ13" i="50" s="1" a="1"/>
  <c r="AJ13" i="50" s="1"/>
  <c r="AJ63" i="31" s="1"/>
  <c r="BK40" i="50"/>
  <c r="BK41" i="50" s="1"/>
  <c r="BK9" i="50" s="1" a="1"/>
  <c r="BK9" i="50" s="1"/>
  <c r="BK59" i="31" s="1"/>
  <c r="DS40" i="50"/>
  <c r="DS41" i="50" s="1"/>
  <c r="DS9" i="50" s="1" a="1"/>
  <c r="DS9" i="50" s="1"/>
  <c r="DS59" i="31" s="1"/>
  <c r="EG40" i="50"/>
  <c r="EG41" i="50" s="1"/>
  <c r="EG15" i="50" s="1" a="1"/>
  <c r="EG15" i="50" s="1"/>
  <c r="EG65" i="31" s="1"/>
  <c r="DF40" i="50"/>
  <c r="DF41" i="50" s="1"/>
  <c r="DF14" i="50" s="1" a="1"/>
  <c r="DF14" i="50" s="1"/>
  <c r="DF29" i="28" s="1"/>
  <c r="EL40" i="50"/>
  <c r="EL41" i="50" s="1"/>
  <c r="EL13" i="50" s="1" a="1"/>
  <c r="EL13" i="50" s="1"/>
  <c r="EL28" i="28" s="1"/>
  <c r="BS40" i="50"/>
  <c r="BS41" i="50" s="1"/>
  <c r="BS9" i="50" s="1" a="1"/>
  <c r="BS9" i="50" s="1"/>
  <c r="BS59" i="31" s="1"/>
  <c r="AO40" i="50"/>
  <c r="AO41" i="50" s="1"/>
  <c r="AO12" i="50" s="1" a="1"/>
  <c r="AO12" i="50" s="1"/>
  <c r="AO27" i="28" s="1"/>
  <c r="CC40" i="50"/>
  <c r="CC41" i="50" s="1"/>
  <c r="CC13" i="50" s="1" a="1"/>
  <c r="CC13" i="50" s="1"/>
  <c r="CC63" i="31" s="1"/>
  <c r="CL40" i="50"/>
  <c r="CL41" i="50" s="1"/>
  <c r="CL13" i="50" s="1" a="1"/>
  <c r="CL13" i="50" s="1"/>
  <c r="CL28" i="28" s="1"/>
  <c r="FN40" i="50"/>
  <c r="FN41" i="50" s="1"/>
  <c r="FN9" i="50" s="1" a="1"/>
  <c r="FN9" i="50" s="1"/>
  <c r="FN59" i="31" s="1"/>
  <c r="BN40" i="50"/>
  <c r="BN41" i="50" s="1"/>
  <c r="BN14" i="50" s="1" a="1"/>
  <c r="BN14" i="50" s="1"/>
  <c r="BN64" i="31" s="1"/>
  <c r="AU40" i="50"/>
  <c r="AU41" i="50" s="1"/>
  <c r="AU9" i="50" s="1" a="1"/>
  <c r="AU9" i="50" s="1"/>
  <c r="AU24" i="28" s="1"/>
  <c r="V40" i="50"/>
  <c r="V41" i="50" s="1"/>
  <c r="AZ40" i="50"/>
  <c r="AZ41" i="50" s="1"/>
  <c r="AZ10" i="50" s="1" a="1"/>
  <c r="AZ10" i="50" s="1"/>
  <c r="AZ25" i="28" s="1"/>
  <c r="CJ40" i="50"/>
  <c r="CJ41" i="50" s="1"/>
  <c r="CJ13" i="50" s="1" a="1"/>
  <c r="CJ13" i="50" s="1"/>
  <c r="CJ63" i="31" s="1"/>
  <c r="CF40" i="50"/>
  <c r="CF41" i="50" s="1"/>
  <c r="CF13" i="50" s="1" a="1"/>
  <c r="CF13" i="50" s="1"/>
  <c r="CF28" i="28" s="1"/>
  <c r="FC40" i="50"/>
  <c r="FC41" i="50" s="1"/>
  <c r="FC9" i="50" s="1" a="1"/>
  <c r="FC9" i="50" s="1"/>
  <c r="FC24" i="28" s="1"/>
  <c r="AC40" i="50"/>
  <c r="AC41" i="50" s="1"/>
  <c r="AC11" i="50" s="1" a="1"/>
  <c r="AC11" i="50" s="1"/>
  <c r="AC26" i="28" s="1"/>
  <c r="FW40" i="50"/>
  <c r="FW41" i="50" s="1"/>
  <c r="FW14" i="50" s="1" a="1"/>
  <c r="FW14" i="50" s="1"/>
  <c r="FW29" i="28" s="1"/>
  <c r="CG40" i="50"/>
  <c r="CG41" i="50" s="1"/>
  <c r="CG10" i="50" s="1" a="1"/>
  <c r="CG10" i="50" s="1"/>
  <c r="CG60" i="31" s="1"/>
  <c r="ES40" i="50"/>
  <c r="ES41" i="50" s="1"/>
  <c r="ES9" i="50" s="1" a="1"/>
  <c r="ES9" i="50" s="1"/>
  <c r="ES59" i="31" s="1"/>
  <c r="CP40" i="50"/>
  <c r="CP41" i="50" s="1"/>
  <c r="CP13" i="50" s="1" a="1"/>
  <c r="CP13" i="50" s="1"/>
  <c r="CP63" i="31" s="1"/>
  <c r="EY40" i="50"/>
  <c r="EY41" i="50" s="1"/>
  <c r="EY10" i="50" s="1" a="1"/>
  <c r="EY10" i="50" s="1"/>
  <c r="EY60" i="31" s="1"/>
  <c r="O40" i="50"/>
  <c r="O41" i="50" s="1"/>
  <c r="O13" i="50" s="1" a="1"/>
  <c r="O13" i="50" s="1"/>
  <c r="O28" i="28" s="1"/>
  <c r="DE40" i="50"/>
  <c r="DE41" i="50" s="1"/>
  <c r="DE14" i="50" s="1" a="1"/>
  <c r="DE14" i="50" s="1"/>
  <c r="DE64" i="31" s="1"/>
  <c r="CS40" i="50"/>
  <c r="CS41" i="50" s="1"/>
  <c r="CS14" i="50" s="1" a="1"/>
  <c r="CS14" i="50" s="1"/>
  <c r="CS64" i="31" s="1"/>
  <c r="FJ40" i="50"/>
  <c r="FJ41" i="50" s="1"/>
  <c r="FJ13" i="50" s="1" a="1"/>
  <c r="FJ13" i="50" s="1"/>
  <c r="FJ28" i="28" s="1"/>
  <c r="X40" i="50"/>
  <c r="X41" i="50" s="1"/>
  <c r="X13" i="50" s="1" a="1"/>
  <c r="X13" i="50" s="1"/>
  <c r="X28" i="28" s="1"/>
  <c r="FH40" i="50"/>
  <c r="FH41" i="50" s="1"/>
  <c r="FH14" i="50" s="1" a="1"/>
  <c r="FH14" i="50" s="1"/>
  <c r="FH64" i="31" s="1"/>
  <c r="CY40" i="50"/>
  <c r="CY41" i="50" s="1"/>
  <c r="CY9" i="50" s="1" a="1"/>
  <c r="CY9" i="50" s="1"/>
  <c r="CY24" i="28" s="1"/>
  <c r="EI40" i="50"/>
  <c r="EI41" i="50" s="1"/>
  <c r="EI13" i="50" s="1" a="1"/>
  <c r="EI13" i="50" s="1"/>
  <c r="EI28" i="28" s="1"/>
  <c r="S40" i="50"/>
  <c r="S41" i="50" s="1"/>
  <c r="S13" i="50" s="1" a="1"/>
  <c r="S13" i="50" s="1"/>
  <c r="S28" i="28" s="1"/>
  <c r="BG40" i="50"/>
  <c r="BG41" i="50" s="1"/>
  <c r="BG14" i="50" s="1" a="1"/>
  <c r="BG14" i="50" s="1"/>
  <c r="BG64" i="31" s="1"/>
  <c r="AL40" i="50"/>
  <c r="AL41" i="50" s="1"/>
  <c r="AL9" i="50" s="1" a="1"/>
  <c r="AL9" i="50" s="1"/>
  <c r="AL24" i="28" s="1"/>
  <c r="AB40" i="50"/>
  <c r="AB41" i="50" s="1"/>
  <c r="AB9" i="50" s="1" a="1"/>
  <c r="AB9" i="50" s="1"/>
  <c r="AB59" i="31" s="1"/>
  <c r="GB40" i="50"/>
  <c r="GB41" i="50" s="1"/>
  <c r="DJ40" i="50"/>
  <c r="DJ41" i="50" s="1"/>
  <c r="DJ14" i="50" s="1" a="1"/>
  <c r="DJ14" i="50" s="1"/>
  <c r="DJ64" i="31" s="1"/>
  <c r="ET40" i="50"/>
  <c r="ET41" i="50" s="1"/>
  <c r="ET9" i="50" s="1" a="1"/>
  <c r="ET9" i="50" s="1"/>
  <c r="ET24" i="28" s="1"/>
  <c r="BO40" i="50"/>
  <c r="BO41" i="50" s="1"/>
  <c r="BO10" i="50" s="1" a="1"/>
  <c r="BO10" i="50" s="1"/>
  <c r="BO60" i="31" s="1"/>
  <c r="EN40" i="50"/>
  <c r="EN41" i="50" s="1"/>
  <c r="EN14" i="50" s="1" a="1"/>
  <c r="EN14" i="50" s="1"/>
  <c r="EN64" i="31" s="1"/>
  <c r="FM40" i="50"/>
  <c r="FM41" i="50" s="1"/>
  <c r="FM9" i="50" s="1" a="1"/>
  <c r="FM9" i="50" s="1"/>
  <c r="FM24" i="28" s="1"/>
  <c r="EB40" i="50"/>
  <c r="EB41" i="50" s="1"/>
  <c r="EB15" i="50" s="1" a="1"/>
  <c r="EB15" i="50" s="1"/>
  <c r="EB65" i="31" s="1"/>
  <c r="EV40" i="50"/>
  <c r="EV41" i="50" s="1"/>
  <c r="EV10" i="50" s="1" a="1"/>
  <c r="EV10" i="50" s="1"/>
  <c r="EV60" i="31" s="1"/>
  <c r="BM40" i="50"/>
  <c r="BM41" i="50" s="1"/>
  <c r="BM12" i="50" s="1" a="1"/>
  <c r="BM12" i="50" s="1"/>
  <c r="BM27" i="28" s="1"/>
  <c r="AP40" i="50"/>
  <c r="AP41" i="50" s="1"/>
  <c r="AP9" i="50" s="1" a="1"/>
  <c r="AP9" i="50" s="1"/>
  <c r="AP24" i="28" s="1"/>
  <c r="FO40" i="50"/>
  <c r="FO41" i="50" s="1"/>
  <c r="FO9" i="50" s="1" a="1"/>
  <c r="FO9" i="50" s="1"/>
  <c r="FO59" i="31" s="1"/>
  <c r="EJ40" i="50"/>
  <c r="EJ41" i="50" s="1"/>
  <c r="EJ10" i="50" s="1" a="1"/>
  <c r="EJ10" i="50" s="1"/>
  <c r="EJ25" i="28" s="1"/>
  <c r="FX40" i="50"/>
  <c r="FX41" i="50" s="1"/>
  <c r="FX9" i="50" s="1" a="1"/>
  <c r="FX9" i="50" s="1"/>
  <c r="FX59" i="31" s="1"/>
  <c r="EM40" i="50"/>
  <c r="EM41" i="50" s="1"/>
  <c r="EM10" i="50" s="1" a="1"/>
  <c r="EM10" i="50" s="1"/>
  <c r="EM25" i="28" s="1"/>
  <c r="BA40" i="50"/>
  <c r="BA41" i="50" s="1"/>
  <c r="BA9" i="50" s="1" a="1"/>
  <c r="BA9" i="50" s="1"/>
  <c r="BA59" i="31" s="1"/>
  <c r="CT40" i="50"/>
  <c r="CT41" i="50" s="1"/>
  <c r="CT13" i="50" s="1" a="1"/>
  <c r="CT13" i="50" s="1"/>
  <c r="CT28" i="28" s="1"/>
  <c r="FA40" i="50"/>
  <c r="FA41" i="50" s="1"/>
  <c r="FA10" i="50" s="1" a="1"/>
  <c r="FA10" i="50" s="1"/>
  <c r="FA25" i="28" s="1"/>
  <c r="FT40" i="50"/>
  <c r="FT41" i="50" s="1"/>
  <c r="FT10" i="50" s="1" a="1"/>
  <c r="FT10" i="50" s="1"/>
  <c r="FT25" i="28" s="1"/>
  <c r="FE40" i="50"/>
  <c r="FE41" i="50" s="1"/>
  <c r="FE10" i="50" s="1" a="1"/>
  <c r="FE10" i="50" s="1"/>
  <c r="FE60" i="31" s="1"/>
  <c r="DH40" i="50"/>
  <c r="DH41" i="50" s="1"/>
  <c r="DH9" i="50" s="1" a="1"/>
  <c r="DH9" i="50" s="1"/>
  <c r="DH59" i="31" s="1"/>
  <c r="AN40" i="50"/>
  <c r="AN41" i="50" s="1"/>
  <c r="AN10" i="50" s="1" a="1"/>
  <c r="AN10" i="50" s="1"/>
  <c r="AN60" i="31" s="1"/>
  <c r="AS40" i="50"/>
  <c r="AS41" i="50" s="1"/>
  <c r="AS11" i="50" s="1" a="1"/>
  <c r="AS11" i="50" s="1"/>
  <c r="AS61" i="31" s="1"/>
  <c r="CH40" i="50"/>
  <c r="CH41" i="50" s="1"/>
  <c r="CH14" i="50" s="1" a="1"/>
  <c r="CH14" i="50" s="1"/>
  <c r="CH29" i="28" s="1"/>
  <c r="AE40" i="50"/>
  <c r="AE41" i="50" s="1"/>
  <c r="AE10" i="50" s="1" a="1"/>
  <c r="AE10" i="50" s="1"/>
  <c r="AE25" i="28" s="1"/>
  <c r="BC40" i="50"/>
  <c r="BC41" i="50" s="1"/>
  <c r="BC11" i="50" s="1" a="1"/>
  <c r="BC11" i="50" s="1"/>
  <c r="BC61" i="31" s="1"/>
  <c r="AY40" i="50"/>
  <c r="AY41" i="50" s="1"/>
  <c r="AY10" i="50" s="1" a="1"/>
  <c r="AY10" i="50" s="1"/>
  <c r="AY25" i="28" s="1"/>
  <c r="BY40" i="50"/>
  <c r="BY41" i="50" s="1"/>
  <c r="BY11" i="50" s="1" a="1"/>
  <c r="BY11" i="50" s="1"/>
  <c r="BY61" i="31" s="1"/>
  <c r="BX40" i="50"/>
  <c r="BX41" i="50" s="1"/>
  <c r="BX13" i="50" s="1" a="1"/>
  <c r="BX13" i="50" s="1"/>
  <c r="BX28" i="28" s="1"/>
  <c r="BT40" i="50"/>
  <c r="BT41" i="50" s="1"/>
  <c r="BT14" i="50" s="1" a="1"/>
  <c r="BT14" i="50" s="1"/>
  <c r="BT64" i="31" s="1"/>
  <c r="FU40" i="50"/>
  <c r="FU41" i="50" s="1"/>
  <c r="FU9" i="50" s="1" a="1"/>
  <c r="FU9" i="50" s="1"/>
  <c r="FU59" i="31" s="1"/>
  <c r="CB40" i="50"/>
  <c r="CB41" i="50" s="1"/>
  <c r="CB9" i="50" s="1" a="1"/>
  <c r="CB9" i="50" s="1"/>
  <c r="CB24" i="28" s="1"/>
  <c r="DT40" i="50"/>
  <c r="DT41" i="50" s="1"/>
  <c r="DT10" i="50" s="1" a="1"/>
  <c r="DT10" i="50" s="1"/>
  <c r="DT60" i="31" s="1"/>
  <c r="BV40" i="50"/>
  <c r="BV41" i="50" s="1"/>
  <c r="BV14" i="50" s="1" a="1"/>
  <c r="BV14" i="50" s="1"/>
  <c r="BV64" i="31" s="1"/>
  <c r="EO40" i="50"/>
  <c r="EO41" i="50" s="1"/>
  <c r="EO10" i="50" s="1" a="1"/>
  <c r="EO10" i="50" s="1"/>
  <c r="EO60" i="31" s="1"/>
  <c r="AW40" i="50"/>
  <c r="AW41" i="50" s="1"/>
  <c r="AW9" i="50" s="1" a="1"/>
  <c r="AW9" i="50" s="1"/>
  <c r="AW59" i="31" s="1"/>
  <c r="BB40" i="50"/>
  <c r="BB41" i="50" s="1"/>
  <c r="BB13" i="50" s="1" a="1"/>
  <c r="BB13" i="50" s="1"/>
  <c r="BB63" i="31" s="1"/>
  <c r="FF40" i="50"/>
  <c r="FF41" i="50" s="1"/>
  <c r="FF9" i="50" s="1" a="1"/>
  <c r="FF9" i="50" s="1"/>
  <c r="FF24" i="28" s="1"/>
  <c r="DN40" i="50"/>
  <c r="DN41" i="50" s="1"/>
  <c r="DN11" i="50" s="1" a="1"/>
  <c r="DN11" i="50" s="1"/>
  <c r="DN61" i="31" s="1"/>
  <c r="EH40" i="50"/>
  <c r="EH41" i="50" s="1"/>
  <c r="EH9" i="50" s="1" a="1"/>
  <c r="EH9" i="50" s="1"/>
  <c r="EH24" i="28" s="1"/>
  <c r="AF40" i="50"/>
  <c r="AF41" i="50" s="1"/>
  <c r="AF15" i="50" s="1" a="1"/>
  <c r="AF15" i="50" s="1"/>
  <c r="AF30" i="28" s="1"/>
  <c r="T40" i="50"/>
  <c r="T41" i="50" s="1"/>
  <c r="ER40" i="50"/>
  <c r="ER41" i="50" s="1"/>
  <c r="ER9" i="50" s="1" a="1"/>
  <c r="ER9" i="50" s="1"/>
  <c r="ER59" i="31" s="1"/>
  <c r="CN40" i="50"/>
  <c r="CN41" i="50" s="1"/>
  <c r="CN9" i="50" s="1" a="1"/>
  <c r="CN9" i="50" s="1"/>
  <c r="CN59" i="31" s="1"/>
  <c r="FY40" i="50"/>
  <c r="FY41" i="50" s="1"/>
  <c r="FY11" i="50" s="1" a="1"/>
  <c r="FY11" i="50" s="1"/>
  <c r="FY26" i="28" s="1"/>
  <c r="P40" i="50"/>
  <c r="P41" i="50" s="1"/>
  <c r="P9" i="50" s="1" a="1"/>
  <c r="P9" i="50" s="1"/>
  <c r="P59" i="31" s="1"/>
  <c r="CI40" i="50"/>
  <c r="CI41" i="50" s="1"/>
  <c r="CI15" i="50" s="1" a="1"/>
  <c r="CI15" i="50" s="1"/>
  <c r="CI30" i="28" s="1"/>
  <c r="FB40" i="50"/>
  <c r="FB41" i="50" s="1"/>
  <c r="FB15" i="50" s="1" a="1"/>
  <c r="FB15" i="50" s="1"/>
  <c r="FB65" i="31" s="1"/>
  <c r="AM40" i="50"/>
  <c r="AM41" i="50" s="1"/>
  <c r="AM11" i="50" s="1" a="1"/>
  <c r="AM11" i="50" s="1"/>
  <c r="AM61" i="31" s="1"/>
  <c r="DQ40" i="50"/>
  <c r="DQ41" i="50" s="1"/>
  <c r="DQ10" i="50" s="1" a="1"/>
  <c r="DQ10" i="50" s="1"/>
  <c r="DQ60" i="31" s="1"/>
  <c r="AK40" i="50"/>
  <c r="AK41" i="50" s="1"/>
  <c r="AK11" i="50" s="1" a="1"/>
  <c r="AK11" i="50" s="1"/>
  <c r="AK61" i="31" s="1"/>
  <c r="FL40" i="50"/>
  <c r="FL41" i="50" s="1"/>
  <c r="FL15" i="50" s="1" a="1"/>
  <c r="FL15" i="50" s="1"/>
  <c r="FL65" i="31" s="1"/>
  <c r="DU40" i="50"/>
  <c r="DU41" i="50" s="1"/>
  <c r="DU10" i="50" s="1" a="1"/>
  <c r="DU10" i="50" s="1"/>
  <c r="DU60" i="31" s="1"/>
  <c r="CD40" i="50"/>
  <c r="CD41" i="50" s="1"/>
  <c r="CD12" i="50" s="1" a="1"/>
  <c r="CD12" i="50" s="1"/>
  <c r="CD62" i="31" s="1"/>
  <c r="BZ40" i="50"/>
  <c r="BZ41" i="50" s="1"/>
  <c r="BZ14" i="50" s="1" a="1"/>
  <c r="BZ14" i="50" s="1"/>
  <c r="BZ64" i="31" s="1"/>
  <c r="U40" i="50"/>
  <c r="U41" i="50" s="1"/>
  <c r="DO40" i="50"/>
  <c r="DO41" i="50" s="1"/>
  <c r="DO9" i="50" s="1" a="1"/>
  <c r="DO9" i="50" s="1"/>
  <c r="DO59" i="31" s="1"/>
  <c r="FG40" i="50"/>
  <c r="FG41" i="50" s="1"/>
  <c r="FG14" i="50" s="1" a="1"/>
  <c r="FG14" i="50" s="1"/>
  <c r="FG64" i="31" s="1"/>
  <c r="BE40" i="50"/>
  <c r="BE41" i="50" s="1"/>
  <c r="BE9" i="50" s="1" a="1"/>
  <c r="BE9" i="50" s="1"/>
  <c r="BE59" i="31" s="1"/>
  <c r="DD40" i="50"/>
  <c r="DD41" i="50" s="1"/>
  <c r="DD14" i="50" s="1" a="1"/>
  <c r="DD14" i="50" s="1"/>
  <c r="DD29" i="28" s="1"/>
  <c r="AT40" i="50"/>
  <c r="AT41" i="50" s="1"/>
  <c r="AT10" i="50" s="1" a="1"/>
  <c r="AT10" i="50" s="1"/>
  <c r="AT25" i="28" s="1"/>
  <c r="CU40" i="50"/>
  <c r="CU41" i="50" s="1"/>
  <c r="CU15" i="50" s="1" a="1"/>
  <c r="CU15" i="50" s="1"/>
  <c r="CU65" i="31" s="1"/>
  <c r="EC40" i="50"/>
  <c r="EC41" i="50" s="1"/>
  <c r="EC15" i="50" s="1" a="1"/>
  <c r="EC15" i="50" s="1"/>
  <c r="EC30" i="28" s="1"/>
  <c r="EK40" i="50"/>
  <c r="EK41" i="50" s="1"/>
  <c r="EK10" i="50" s="1" a="1"/>
  <c r="EK10" i="50" s="1"/>
  <c r="EK25" i="28" s="1"/>
  <c r="BJ40" i="50"/>
  <c r="BJ41" i="50" s="1"/>
  <c r="BJ14" i="50" s="1" a="1"/>
  <c r="BJ14" i="50" s="1"/>
  <c r="BJ29" i="28" s="1"/>
  <c r="BF40" i="50"/>
  <c r="BF41" i="50" s="1"/>
  <c r="BF9" i="50" s="1" a="1"/>
  <c r="BF9" i="50" s="1"/>
  <c r="BF24" i="28" s="1"/>
  <c r="DP40" i="50"/>
  <c r="DP41" i="50" s="1"/>
  <c r="DP9" i="50" s="1" a="1"/>
  <c r="DP9" i="50" s="1"/>
  <c r="DP24" i="28" s="1"/>
  <c r="R40" i="50"/>
  <c r="R41" i="50" s="1"/>
  <c r="R14" i="50" s="1" a="1"/>
  <c r="R14" i="50" s="1"/>
  <c r="R64" i="31" s="1"/>
  <c r="AG40" i="50"/>
  <c r="AG41" i="50" s="1"/>
  <c r="AG15" i="50" s="1" a="1"/>
  <c r="AG15" i="50" s="1"/>
  <c r="AG65" i="31" s="1"/>
  <c r="EW40" i="50"/>
  <c r="EW41" i="50" s="1"/>
  <c r="EW14" i="50" s="1" a="1"/>
  <c r="EW14" i="50" s="1"/>
  <c r="EW29" i="28" s="1"/>
  <c r="BI40" i="50"/>
  <c r="BI41" i="50" s="1"/>
  <c r="BI13" i="50" s="1" a="1"/>
  <c r="BI13" i="50" s="1"/>
  <c r="BI28" i="28" s="1"/>
  <c r="DG40" i="50"/>
  <c r="DG41" i="50" s="1"/>
  <c r="DG9" i="50" s="1" a="1"/>
  <c r="DG9" i="50" s="1"/>
  <c r="DG59" i="31" s="1"/>
  <c r="DI40" i="50"/>
  <c r="DI41" i="50" s="1"/>
  <c r="DI14" i="50" s="1" a="1"/>
  <c r="DI14" i="50" s="1"/>
  <c r="DI64" i="31" s="1"/>
  <c r="DB40" i="50"/>
  <c r="DB41" i="50" s="1"/>
  <c r="DB11" i="50" s="1" a="1"/>
  <c r="DB11" i="50" s="1"/>
  <c r="DB26" i="28" s="1"/>
  <c r="AV40" i="50"/>
  <c r="AV41" i="50" s="1"/>
  <c r="AV15" i="50" s="1" a="1"/>
  <c r="AV15" i="50" s="1"/>
  <c r="AV30" i="28" s="1"/>
  <c r="EQ40" i="50"/>
  <c r="EQ41" i="50" s="1"/>
  <c r="EQ14" i="50" s="1" a="1"/>
  <c r="EQ14" i="50" s="1"/>
  <c r="EQ64" i="31" s="1"/>
  <c r="EE40" i="50"/>
  <c r="EE41" i="50" s="1"/>
  <c r="EE9" i="50" s="1" a="1"/>
  <c r="EE9" i="50" s="1"/>
  <c r="EE59" i="31" s="1"/>
  <c r="ED40" i="50"/>
  <c r="ED41" i="50" s="1"/>
  <c r="ED11" i="50" s="1" a="1"/>
  <c r="ED11" i="50" s="1"/>
  <c r="ED61" i="31" s="1"/>
  <c r="DR40" i="50"/>
  <c r="DR41" i="50" s="1"/>
  <c r="DR9" i="50" s="1" a="1"/>
  <c r="DR9" i="50" s="1"/>
  <c r="DR59" i="31" s="1"/>
  <c r="DX40" i="50"/>
  <c r="DX41" i="50" s="1"/>
  <c r="DX9" i="50" s="1" a="1"/>
  <c r="DX9" i="50" s="1"/>
  <c r="DX59" i="31" s="1"/>
  <c r="EF40" i="50"/>
  <c r="EF41" i="50" s="1"/>
  <c r="EF9" i="50" s="1" a="1"/>
  <c r="EF9" i="50" s="1"/>
  <c r="EF59" i="31" s="1"/>
  <c r="FK40" i="50"/>
  <c r="FK41" i="50" s="1"/>
  <c r="FK9" i="50" s="1" a="1"/>
  <c r="FK9" i="50" s="1"/>
  <c r="FK24" i="28" s="1"/>
  <c r="CR40" i="50"/>
  <c r="CR41" i="50" s="1"/>
  <c r="CR14" i="50" s="1" a="1"/>
  <c r="CR14" i="50" s="1"/>
  <c r="CR29" i="28" s="1"/>
  <c r="GC40" i="50"/>
  <c r="GC41" i="50" s="1"/>
  <c r="CM40" i="50"/>
  <c r="CM41" i="50" s="1"/>
  <c r="CM15" i="50" s="1" a="1"/>
  <c r="CM15" i="50" s="1"/>
  <c r="CM65" i="31" s="1"/>
  <c r="DL40" i="50"/>
  <c r="DL41" i="50" s="1"/>
  <c r="DL9" i="50" s="1" a="1"/>
  <c r="DL9" i="50" s="1"/>
  <c r="DL59" i="31" s="1"/>
  <c r="N40" i="50"/>
  <c r="N41" i="50" s="1"/>
  <c r="N13" i="50" s="1" a="1"/>
  <c r="N13" i="50" s="1"/>
  <c r="N28" i="28" s="1"/>
  <c r="BL40" i="50"/>
  <c r="BL41" i="50" s="1"/>
  <c r="BL13" i="50" s="1" a="1"/>
  <c r="BL13" i="50" s="1"/>
  <c r="BL63" i="31" s="1"/>
  <c r="BU40" i="50"/>
  <c r="BU41" i="50" s="1"/>
  <c r="BU14" i="50" s="1" a="1"/>
  <c r="BU14" i="50" s="1"/>
  <c r="BU64" i="31" s="1"/>
  <c r="FQ40" i="50"/>
  <c r="FQ41" i="50" s="1"/>
  <c r="FQ9" i="50" s="1" a="1"/>
  <c r="FQ9" i="50" s="1"/>
  <c r="FQ24" i="28" s="1"/>
  <c r="AH40" i="50"/>
  <c r="AH41" i="50" s="1"/>
  <c r="AH9" i="50" s="1" a="1"/>
  <c r="AH9" i="50" s="1"/>
  <c r="AH24" i="28" s="1"/>
  <c r="EX40" i="50"/>
  <c r="EX41" i="50" s="1"/>
  <c r="EX14" i="50" s="1" a="1"/>
  <c r="EX14" i="50" s="1"/>
  <c r="EX64" i="31" s="1"/>
  <c r="CA40" i="50"/>
  <c r="CA41" i="50" s="1"/>
  <c r="CA9" i="50" s="1" a="1"/>
  <c r="CA9" i="50" s="1"/>
  <c r="CA59" i="31" s="1"/>
  <c r="DK40" i="50"/>
  <c r="DK41" i="50" s="1"/>
  <c r="DK15" i="50" s="1" a="1"/>
  <c r="DK15" i="50" s="1"/>
  <c r="DK30" i="28" s="1"/>
  <c r="AX40" i="50"/>
  <c r="AX41" i="50" s="1"/>
  <c r="AX15" i="50" s="1" a="1"/>
  <c r="AX15" i="50" s="1"/>
  <c r="AX30" i="28" s="1"/>
  <c r="BD40" i="50"/>
  <c r="BD41" i="50" s="1"/>
  <c r="BD14" i="50" s="1" a="1"/>
  <c r="BD14" i="50" s="1"/>
  <c r="BD64" i="31" s="1"/>
  <c r="AA40" i="50"/>
  <c r="AA41" i="50" s="1"/>
  <c r="AA10" i="50" s="1" a="1"/>
  <c r="AA10" i="50" s="1"/>
  <c r="AA25" i="28" s="1"/>
  <c r="CX40" i="50"/>
  <c r="CX41" i="50" s="1"/>
  <c r="CX15" i="50" s="1" a="1"/>
  <c r="CX15" i="50" s="1"/>
  <c r="CX30" i="28" s="1"/>
  <c r="BQ40" i="50"/>
  <c r="BQ41" i="50" s="1"/>
  <c r="BQ10" i="50" s="1" a="1"/>
  <c r="BQ10" i="50" s="1"/>
  <c r="BQ25" i="28" s="1"/>
  <c r="DC40" i="50"/>
  <c r="DC41" i="50" s="1"/>
  <c r="DC12" i="50" s="1" a="1"/>
  <c r="DC12" i="50" s="1"/>
  <c r="DC62" i="31" s="1"/>
  <c r="DY40" i="50"/>
  <c r="DY41" i="50" s="1"/>
  <c r="DY9" i="50" s="1" a="1"/>
  <c r="DY9" i="50" s="1"/>
  <c r="DY24" i="28" s="1"/>
  <c r="DV40" i="50"/>
  <c r="DV41" i="50" s="1"/>
  <c r="DV9" i="50" s="1" a="1"/>
  <c r="DV9" i="50" s="1"/>
  <c r="DV59" i="31" s="1"/>
  <c r="Q40" i="50"/>
  <c r="Q41" i="50" s="1"/>
  <c r="Q15" i="50" s="1" a="1"/>
  <c r="Q15" i="50" s="1"/>
  <c r="Q30" i="28" s="1"/>
  <c r="FI40" i="50"/>
  <c r="FI41" i="50" s="1"/>
  <c r="FI9" i="50" s="1" a="1"/>
  <c r="FI9" i="50" s="1"/>
  <c r="FI24" i="28" s="1"/>
  <c r="EP40" i="50"/>
  <c r="EP41" i="50" s="1"/>
  <c r="EP9" i="50" s="1" a="1"/>
  <c r="EP9" i="50" s="1"/>
  <c r="EP24" i="28" s="1"/>
  <c r="DZ40" i="50"/>
  <c r="DZ41" i="50" s="1"/>
  <c r="DZ13" i="50" s="1" a="1"/>
  <c r="DZ13" i="50" s="1"/>
  <c r="DZ63" i="31" s="1"/>
  <c r="CO40" i="50"/>
  <c r="CO41" i="50" s="1"/>
  <c r="CO15" i="50" s="1" a="1"/>
  <c r="CO15" i="50" s="1"/>
  <c r="CO65" i="31" s="1"/>
  <c r="FP40" i="50"/>
  <c r="FP41" i="50" s="1"/>
  <c r="FP15" i="50" s="1" a="1"/>
  <c r="FP15" i="50" s="1"/>
  <c r="FP65" i="31" s="1"/>
  <c r="BR40" i="50"/>
  <c r="BR41" i="50" s="1"/>
  <c r="BR9" i="50" s="1" a="1"/>
  <c r="BR9" i="50" s="1"/>
  <c r="BR59" i="31" s="1"/>
  <c r="AI40" i="50"/>
  <c r="AI41" i="50" s="1"/>
  <c r="AI10" i="50" s="1" a="1"/>
  <c r="AI10" i="50" s="1"/>
  <c r="AI25" i="28" s="1"/>
  <c r="CK40" i="50"/>
  <c r="CK41" i="50" s="1"/>
  <c r="CK15" i="50" s="1" a="1"/>
  <c r="CK15" i="50" s="1"/>
  <c r="CK65" i="31" s="1"/>
  <c r="FD40" i="50"/>
  <c r="FD41" i="50" s="1"/>
  <c r="FD15" i="50" s="1" a="1"/>
  <c r="FD15" i="50" s="1"/>
  <c r="FD30" i="28" s="1"/>
  <c r="FV40" i="50"/>
  <c r="FV41" i="50" s="1"/>
  <c r="FV13" i="50" s="1" a="1"/>
  <c r="FV13" i="50" s="1"/>
  <c r="FV63" i="31" s="1"/>
  <c r="AD40" i="50"/>
  <c r="AD41" i="50" s="1"/>
  <c r="AD9" i="50" s="1" a="1"/>
  <c r="AD9" i="50" s="1"/>
  <c r="AD24" i="28" s="1"/>
  <c r="CE40" i="50"/>
  <c r="CE41" i="50" s="1"/>
  <c r="CE14" i="50" s="1" a="1"/>
  <c r="CE14" i="50" s="1"/>
  <c r="CE29" i="28" s="1"/>
  <c r="EU40" i="50"/>
  <c r="EU41" i="50" s="1"/>
  <c r="EU10" i="50" s="1" a="1"/>
  <c r="EU10" i="50" s="1"/>
  <c r="EU60" i="31" s="1"/>
  <c r="AQ40" i="50"/>
  <c r="AQ41" i="50" s="1"/>
  <c r="AQ11" i="50" s="1" a="1"/>
  <c r="AQ11" i="50" s="1"/>
  <c r="AQ61" i="31" s="1"/>
  <c r="Y40" i="50"/>
  <c r="Y41" i="50" s="1"/>
  <c r="Y9" i="50" s="1" a="1"/>
  <c r="Y9" i="50" s="1"/>
  <c r="Y59" i="31" s="1"/>
  <c r="GB99" i="50"/>
  <c r="GB123" i="50"/>
  <c r="E144" i="50"/>
  <c r="GC157" i="50"/>
  <c r="E157" i="50" s="1"/>
  <c r="E145" i="50"/>
  <c r="GB165" i="50"/>
  <c r="GB166" i="50" s="1"/>
  <c r="R50" i="4"/>
  <c r="T50" i="4" s="1"/>
  <c r="GB52" i="31"/>
  <c r="GB54" i="31" s="1"/>
  <c r="GB55" i="31" s="1"/>
  <c r="R49" i="4"/>
  <c r="T49" i="4" s="1"/>
  <c r="GB136" i="50"/>
  <c r="GB134" i="50"/>
  <c r="GA14" i="50" a="1"/>
  <c r="GA14" i="50" s="1"/>
  <c r="GA29" i="28" s="1"/>
  <c r="FX10" i="50" a="1"/>
  <c r="FX10" i="50" s="1"/>
  <c r="FX60" i="31" s="1"/>
  <c r="BN9" i="50" a="1"/>
  <c r="BN9" i="50" s="1"/>
  <c r="BN24" i="28" s="1"/>
  <c r="FX14" i="50" a="1"/>
  <c r="FX14" i="50" s="1"/>
  <c r="DB10" i="50" a="1"/>
  <c r="DB10" i="50" s="1"/>
  <c r="DB25" i="28" s="1"/>
  <c r="FA9" i="50" a="1"/>
  <c r="FA9" i="50" s="1"/>
  <c r="FA59" i="31" s="1"/>
  <c r="BM13" i="50" a="1"/>
  <c r="BM13" i="50" s="1"/>
  <c r="BM63" i="31" s="1"/>
  <c r="I11" i="50" a="1"/>
  <c r="I11" i="50" s="1"/>
  <c r="I61" i="31" s="1"/>
  <c r="AD12" i="50" a="1"/>
  <c r="AD12" i="50" s="1"/>
  <c r="AD27" i="28" s="1"/>
  <c r="CG15" i="50" a="1"/>
  <c r="CG15" i="50" s="1"/>
  <c r="CG30" i="28" s="1"/>
  <c r="CX14" i="50" a="1"/>
  <c r="CX14" i="50" s="1"/>
  <c r="CX64" i="31" s="1"/>
  <c r="G10" i="50" a="1"/>
  <c r="G10" i="50" s="1"/>
  <c r="G60" i="31" s="1"/>
  <c r="FQ15" i="50" a="1"/>
  <c r="FQ15" i="50" s="1"/>
  <c r="FQ65" i="31" s="1"/>
  <c r="EA15" i="50" a="1"/>
  <c r="EA15" i="50" s="1"/>
  <c r="EA65" i="31" s="1"/>
  <c r="FK15" i="50" a="1"/>
  <c r="FK15" i="50" s="1"/>
  <c r="FK30" i="28" s="1"/>
  <c r="M14" i="50" a="1"/>
  <c r="M14" i="50" s="1"/>
  <c r="M29" i="28" s="1"/>
  <c r="FA15" i="50" a="1"/>
  <c r="FA15" i="50" s="1"/>
  <c r="FA30" i="28" s="1"/>
  <c r="BM14" i="50" a="1"/>
  <c r="BM14" i="50" s="1"/>
  <c r="BM64" i="31" s="1"/>
  <c r="I12" i="50" a="1"/>
  <c r="I12" i="50" s="1"/>
  <c r="I27" i="28" s="1"/>
  <c r="CG14" i="50" a="1"/>
  <c r="CG14" i="50" s="1"/>
  <c r="CG64" i="31" s="1"/>
  <c r="CX13" i="50" a="1"/>
  <c r="CX13" i="50" s="1"/>
  <c r="CX63" i="31" s="1"/>
  <c r="G11" i="50" a="1"/>
  <c r="G11" i="50" s="1"/>
  <c r="G26" i="28" s="1"/>
  <c r="FQ14" i="50" a="1"/>
  <c r="FQ14" i="50" s="1"/>
  <c r="FQ64" i="31" s="1"/>
  <c r="EA14" i="50" a="1"/>
  <c r="EA14" i="50" s="1"/>
  <c r="EA64" i="31" s="1"/>
  <c r="FK14" i="50" a="1"/>
  <c r="FK14" i="50" s="1"/>
  <c r="FK29" i="28" s="1"/>
  <c r="M9" i="50" a="1"/>
  <c r="M9" i="50" s="1"/>
  <c r="M59" i="31" s="1"/>
  <c r="DB15" i="50" a="1"/>
  <c r="DB15" i="50" s="1"/>
  <c r="DB30" i="28" s="1"/>
  <c r="FA14" i="50" a="1"/>
  <c r="FA14" i="50" s="1"/>
  <c r="FA64" i="31" s="1"/>
  <c r="BM15" i="50" a="1"/>
  <c r="BM15" i="50" s="1"/>
  <c r="BM30" i="28" s="1"/>
  <c r="I13" i="50" a="1"/>
  <c r="I13" i="50" s="1"/>
  <c r="I28" i="28" s="1"/>
  <c r="AD11" i="50" a="1"/>
  <c r="AD11" i="50" s="1"/>
  <c r="AD61" i="31" s="1"/>
  <c r="CG13" i="50" a="1"/>
  <c r="CG13" i="50" s="1"/>
  <c r="CG28" i="28" s="1"/>
  <c r="CX12" i="50" a="1"/>
  <c r="CX12" i="50" s="1"/>
  <c r="CX62" i="31" s="1"/>
  <c r="G12" i="50" a="1"/>
  <c r="G12" i="50" s="1"/>
  <c r="G62" i="31" s="1"/>
  <c r="FQ13" i="50" a="1"/>
  <c r="FQ13" i="50" s="1"/>
  <c r="FQ63" i="31" s="1"/>
  <c r="ER13" i="50" a="1"/>
  <c r="ER13" i="50" s="1"/>
  <c r="ER63" i="31" s="1"/>
  <c r="EA13" i="50" a="1"/>
  <c r="EA13" i="50" s="1"/>
  <c r="EA63" i="31" s="1"/>
  <c r="FK13" i="50" a="1"/>
  <c r="FK13" i="50" s="1"/>
  <c r="FK63" i="31" s="1"/>
  <c r="ET13" i="50" a="1"/>
  <c r="ET13" i="50" s="1"/>
  <c r="ET63" i="31" s="1"/>
  <c r="M15" i="50" a="1"/>
  <c r="M15" i="50" s="1"/>
  <c r="M30" i="28" s="1"/>
  <c r="DB14" i="50" a="1"/>
  <c r="DB14" i="50" s="1"/>
  <c r="DB29" i="28" s="1"/>
  <c r="FA13" i="50" a="1"/>
  <c r="FA13" i="50" s="1"/>
  <c r="FA63" i="31" s="1"/>
  <c r="BM9" i="50" a="1"/>
  <c r="BM9" i="50" s="1"/>
  <c r="BM24" i="28" s="1"/>
  <c r="I10" i="50" a="1"/>
  <c r="I10" i="50" s="1"/>
  <c r="AD13" i="50" a="1"/>
  <c r="AD13" i="50" s="1"/>
  <c r="AD28" i="28" s="1"/>
  <c r="CG12" i="50" a="1"/>
  <c r="CG12" i="50" s="1"/>
  <c r="CG27" i="28" s="1"/>
  <c r="CX11" i="50" a="1"/>
  <c r="CX11" i="50" s="1"/>
  <c r="CX61" i="31" s="1"/>
  <c r="G13" i="50" a="1"/>
  <c r="G13" i="50" s="1"/>
  <c r="G28" i="28" s="1"/>
  <c r="FQ12" i="50" a="1"/>
  <c r="FQ12" i="50" s="1"/>
  <c r="FQ27" i="28" s="1"/>
  <c r="EA12" i="50" a="1"/>
  <c r="EA12" i="50" s="1"/>
  <c r="EA62" i="31" s="1"/>
  <c r="FK12" i="50" a="1"/>
  <c r="FK12" i="50" s="1"/>
  <c r="FK27" i="28" s="1"/>
  <c r="M10" i="50" a="1"/>
  <c r="M10" i="50" s="1"/>
  <c r="M60" i="31" s="1"/>
  <c r="DB13" i="50" a="1"/>
  <c r="DB13" i="50" s="1"/>
  <c r="DB28" i="28" s="1"/>
  <c r="FA12" i="50" a="1"/>
  <c r="FA12" i="50" s="1"/>
  <c r="FA27" i="28" s="1"/>
  <c r="BM10" i="50" a="1"/>
  <c r="BM10" i="50" s="1"/>
  <c r="BM60" i="31" s="1"/>
  <c r="I14" i="50" a="1"/>
  <c r="I14" i="50" s="1"/>
  <c r="I29" i="28" s="1"/>
  <c r="CG11" i="50" a="1"/>
  <c r="CG11" i="50" s="1"/>
  <c r="CG26" i="28" s="1"/>
  <c r="CX10" i="50" a="1"/>
  <c r="CX10" i="50" s="1"/>
  <c r="CX25" i="28" s="1"/>
  <c r="G14" i="50" a="1"/>
  <c r="G14" i="50" s="1"/>
  <c r="G64" i="31" s="1"/>
  <c r="FQ11" i="50" a="1"/>
  <c r="FQ11" i="50" s="1"/>
  <c r="FQ26" i="28" s="1"/>
  <c r="CY11" i="50" a="1"/>
  <c r="CY11" i="50" s="1"/>
  <c r="CY26" i="28" s="1"/>
  <c r="EA11" i="50" a="1"/>
  <c r="EA11" i="50" s="1"/>
  <c r="EA26" i="28" s="1"/>
  <c r="FK11" i="50" a="1"/>
  <c r="FK11" i="50" s="1"/>
  <c r="FK61" i="31" s="1"/>
  <c r="M11" i="50" a="1"/>
  <c r="M11" i="50" s="1"/>
  <c r="M61" i="31" s="1"/>
  <c r="BE15" i="50" a="1"/>
  <c r="BE15" i="50" s="1"/>
  <c r="BE30" i="28" s="1"/>
  <c r="CW9" i="50" a="1"/>
  <c r="CW9" i="50" s="1"/>
  <c r="CW59" i="31" s="1"/>
  <c r="FA11" i="50" a="1"/>
  <c r="FA11" i="50" s="1"/>
  <c r="BT15" i="50" a="1"/>
  <c r="BT15" i="50" s="1"/>
  <c r="BT65" i="31" s="1"/>
  <c r="BW9" i="50" a="1"/>
  <c r="BW9" i="50" s="1"/>
  <c r="BW59" i="31" s="1"/>
  <c r="BM11" i="50" a="1"/>
  <c r="BM11" i="50" s="1"/>
  <c r="BM61" i="31" s="1"/>
  <c r="I15" i="50" a="1"/>
  <c r="I15" i="50" s="1"/>
  <c r="I30" i="28" s="1"/>
  <c r="AD15" i="50" a="1"/>
  <c r="AD15" i="50" s="1"/>
  <c r="AD30" i="28" s="1"/>
  <c r="CG9" i="50" a="1"/>
  <c r="CG9" i="50" s="1"/>
  <c r="CG24" i="28" s="1"/>
  <c r="CX9" i="50" a="1"/>
  <c r="CX9" i="50" s="1"/>
  <c r="CX24" i="28" s="1"/>
  <c r="G15" i="50" a="1"/>
  <c r="G15" i="50" s="1"/>
  <c r="G30" i="28" s="1"/>
  <c r="FQ10" i="50" a="1"/>
  <c r="FQ10" i="50" s="1"/>
  <c r="EA10" i="50" a="1"/>
  <c r="EA10" i="50" s="1"/>
  <c r="EA60" i="31" s="1"/>
  <c r="FK10" i="50" a="1"/>
  <c r="FK10" i="50" s="1"/>
  <c r="FK25" i="28" s="1"/>
  <c r="M12" i="50" a="1"/>
  <c r="M12" i="50" s="1"/>
  <c r="M62" i="31" s="1"/>
  <c r="DB12" i="50" a="1"/>
  <c r="DB12" i="50" s="1"/>
  <c r="DB62" i="31" s="1"/>
  <c r="CC10" i="50" a="1"/>
  <c r="CC10" i="50" s="1"/>
  <c r="CC25" i="28" s="1"/>
  <c r="FW12" i="50" a="1"/>
  <c r="FW12" i="50" s="1"/>
  <c r="FW27" i="28" s="1"/>
  <c r="CC15" i="50" a="1"/>
  <c r="CC15" i="50" s="1"/>
  <c r="CC30" i="28" s="1"/>
  <c r="FH10" i="50" a="1"/>
  <c r="FH10" i="50" s="1"/>
  <c r="FH25" i="28" s="1"/>
  <c r="BU10" i="50" a="1"/>
  <c r="BU10" i="50" s="1"/>
  <c r="BU60" i="31" s="1"/>
  <c r="AU11" i="50" a="1"/>
  <c r="AU11" i="50" s="1"/>
  <c r="AU26" i="28" s="1"/>
  <c r="J9" i="50" a="1"/>
  <c r="J9" i="50" s="1"/>
  <c r="X15" i="50" a="1"/>
  <c r="X15" i="50" s="1"/>
  <c r="X30" i="28" s="1"/>
  <c r="DW9" i="50" a="1"/>
  <c r="DW9" i="50" s="1"/>
  <c r="DW24" i="28" s="1"/>
  <c r="AU10" i="50" a="1"/>
  <c r="AU10" i="50" s="1"/>
  <c r="AU60" i="31" s="1"/>
  <c r="X14" i="50" a="1"/>
  <c r="X14" i="50" s="1"/>
  <c r="X64" i="31" s="1"/>
  <c r="J15" i="50" a="1"/>
  <c r="J15" i="50" s="1"/>
  <c r="J30" i="28" s="1"/>
  <c r="BJ15" i="50" a="1"/>
  <c r="BJ15" i="50" s="1"/>
  <c r="BJ65" i="31" s="1"/>
  <c r="AG11" i="50" a="1"/>
  <c r="AG11" i="50" s="1"/>
  <c r="AG61" i="31" s="1"/>
  <c r="AU12" i="50" a="1"/>
  <c r="AU12" i="50" s="1"/>
  <c r="AU27" i="28" s="1"/>
  <c r="X10" i="50" a="1"/>
  <c r="X10" i="50" s="1"/>
  <c r="X25" i="28" s="1"/>
  <c r="J11" i="50" a="1"/>
  <c r="J11" i="50" s="1"/>
  <c r="J26" i="28" s="1"/>
  <c r="BY13" i="50" a="1"/>
  <c r="BY13" i="50" s="1"/>
  <c r="BY28" i="28" s="1"/>
  <c r="AU13" i="50" a="1"/>
  <c r="AU13" i="50" s="1"/>
  <c r="AU28" i="28" s="1"/>
  <c r="X9" i="50" a="1"/>
  <c r="X9" i="50" s="1"/>
  <c r="X24" i="28" s="1"/>
  <c r="J12" i="50" a="1"/>
  <c r="J12" i="50" s="1"/>
  <c r="J27" i="28" s="1"/>
  <c r="AG13" i="50" a="1"/>
  <c r="AG13" i="50" s="1"/>
  <c r="AG28" i="28" s="1"/>
  <c r="AU14" i="50" a="1"/>
  <c r="AU14" i="50" s="1"/>
  <c r="AU29" i="28" s="1"/>
  <c r="X11" i="50" a="1"/>
  <c r="X11" i="50" s="1"/>
  <c r="X61" i="31" s="1"/>
  <c r="O10" i="50" a="1"/>
  <c r="O10" i="50" s="1"/>
  <c r="O25" i="28" s="1"/>
  <c r="J13" i="50" a="1"/>
  <c r="J13" i="50" s="1"/>
  <c r="J28" i="28" s="1"/>
  <c r="DW13" i="50" a="1"/>
  <c r="DW13" i="50" s="1"/>
  <c r="DW28" i="28" s="1"/>
  <c r="AU15" i="50" a="1"/>
  <c r="AU15" i="50" s="1"/>
  <c r="AU65" i="31" s="1"/>
  <c r="X12" i="50" a="1"/>
  <c r="X12" i="50" s="1"/>
  <c r="X62" i="31" s="1"/>
  <c r="J14" i="50" a="1"/>
  <c r="J14" i="50" s="1"/>
  <c r="J64" i="31" s="1"/>
  <c r="DT11" i="50" a="1"/>
  <c r="DT11" i="50" s="1"/>
  <c r="DT26" i="28" s="1"/>
  <c r="AI11" i="50" a="1"/>
  <c r="AI11" i="50" s="1"/>
  <c r="AI26" i="28" s="1"/>
  <c r="DZ12" i="50" a="1"/>
  <c r="DZ12" i="50" s="1"/>
  <c r="DZ62" i="31" s="1"/>
  <c r="CU14" i="50" a="1"/>
  <c r="CU14" i="50" s="1"/>
  <c r="BF10" i="50" a="1"/>
  <c r="BF10" i="50" s="1"/>
  <c r="BF25" i="28" s="1"/>
  <c r="EF15" i="50" a="1"/>
  <c r="EF15" i="50" s="1"/>
  <c r="EF30" i="28" s="1"/>
  <c r="H12" i="50" a="1"/>
  <c r="H12" i="50" s="1"/>
  <c r="H27" i="28" s="1"/>
  <c r="DF12" i="50" a="1"/>
  <c r="DF12" i="50" s="1"/>
  <c r="DF27" i="28" s="1"/>
  <c r="AN13" i="50" a="1"/>
  <c r="AN13" i="50" s="1"/>
  <c r="AN63" i="31" s="1"/>
  <c r="AI12" i="50" a="1"/>
  <c r="AI12" i="50" s="1"/>
  <c r="AI62" i="31" s="1"/>
  <c r="CF11" i="50" a="1"/>
  <c r="CF11" i="50" s="1"/>
  <c r="CF26" i="28" s="1"/>
  <c r="FT14" i="50" a="1"/>
  <c r="FT14" i="50" s="1"/>
  <c r="FT64" i="31" s="1"/>
  <c r="BF11" i="50" a="1"/>
  <c r="BF11" i="50" s="1"/>
  <c r="BF61" i="31" s="1"/>
  <c r="DV14" i="50" a="1"/>
  <c r="DV14" i="50" s="1"/>
  <c r="DV29" i="28" s="1"/>
  <c r="H14" i="50" a="1"/>
  <c r="H14" i="50" s="1"/>
  <c r="H29" i="28" s="1"/>
  <c r="DF13" i="50" a="1"/>
  <c r="DF13" i="50" s="1"/>
  <c r="DF63" i="31" s="1"/>
  <c r="AN14" i="50" a="1"/>
  <c r="AN14" i="50" s="1"/>
  <c r="AN29" i="28" s="1"/>
  <c r="CH11" i="50" a="1"/>
  <c r="CH11" i="50" s="1"/>
  <c r="CH61" i="31" s="1"/>
  <c r="Y10" i="50" a="1"/>
  <c r="Y10" i="50" s="1"/>
  <c r="Y60" i="31" s="1"/>
  <c r="CF10" i="50" a="1"/>
  <c r="CF10" i="50" s="1"/>
  <c r="CF25" i="28" s="1"/>
  <c r="BF12" i="50" a="1"/>
  <c r="BF12" i="50" s="1"/>
  <c r="BF62" i="31" s="1"/>
  <c r="DV13" i="50" a="1"/>
  <c r="DV13" i="50" s="1"/>
  <c r="DV28" i="28" s="1"/>
  <c r="H15" i="50" a="1"/>
  <c r="H15" i="50" s="1"/>
  <c r="H65" i="31" s="1"/>
  <c r="DF11" i="50" a="1"/>
  <c r="DF11" i="50" s="1"/>
  <c r="DF26" i="28" s="1"/>
  <c r="AN15" i="50" a="1"/>
  <c r="AN15" i="50" s="1"/>
  <c r="AN30" i="28" s="1"/>
  <c r="DZ9" i="50" a="1"/>
  <c r="DZ9" i="50" s="1"/>
  <c r="DZ59" i="31" s="1"/>
  <c r="Y13" i="50" a="1"/>
  <c r="Y13" i="50" s="1"/>
  <c r="Y63" i="31" s="1"/>
  <c r="CF9" i="50" a="1"/>
  <c r="CF9" i="50" s="1"/>
  <c r="CF24" i="28" s="1"/>
  <c r="BF13" i="50" a="1"/>
  <c r="BF13" i="50" s="1"/>
  <c r="BF28" i="28" s="1"/>
  <c r="DV12" i="50" a="1"/>
  <c r="DV12" i="50" s="1"/>
  <c r="DV62" i="31" s="1"/>
  <c r="H13" i="50" a="1"/>
  <c r="H13" i="50" s="1"/>
  <c r="H63" i="31" s="1"/>
  <c r="DF10" i="50" a="1"/>
  <c r="DF10" i="50" s="1"/>
  <c r="DF60" i="31" s="1"/>
  <c r="AI15" i="50" a="1"/>
  <c r="AI15" i="50" s="1"/>
  <c r="AI30" i="28" s="1"/>
  <c r="DZ15" i="50" a="1"/>
  <c r="DZ15" i="50" s="1"/>
  <c r="DZ65" i="31" s="1"/>
  <c r="CU10" i="50" a="1"/>
  <c r="CU10" i="50" s="1"/>
  <c r="CU60" i="31" s="1"/>
  <c r="BF14" i="50" a="1"/>
  <c r="BF14" i="50" s="1"/>
  <c r="BF29" i="28" s="1"/>
  <c r="H9" i="50" a="1"/>
  <c r="H9" i="50" s="1"/>
  <c r="H59" i="31" s="1"/>
  <c r="DF9" i="50" a="1"/>
  <c r="DF9" i="50" s="1"/>
  <c r="DF24" i="28" s="1"/>
  <c r="AN11" i="50" a="1"/>
  <c r="AN11" i="50" s="1"/>
  <c r="AN61" i="31" s="1"/>
  <c r="AI9" i="50" a="1"/>
  <c r="AI9" i="50" s="1"/>
  <c r="AI24" i="28" s="1"/>
  <c r="DZ14" i="50" a="1"/>
  <c r="DZ14" i="50" s="1"/>
  <c r="DZ64" i="31" s="1"/>
  <c r="CM9" i="50" a="1"/>
  <c r="CM9" i="50" s="1"/>
  <c r="CM24" i="28" s="1"/>
  <c r="CF14" i="50" a="1"/>
  <c r="CF14" i="50" s="1"/>
  <c r="CF64" i="31" s="1"/>
  <c r="BF15" i="50" a="1"/>
  <c r="BF15" i="50" s="1"/>
  <c r="BF30" i="28" s="1"/>
  <c r="DV10" i="50" a="1"/>
  <c r="DV10" i="50" s="1"/>
  <c r="DV60" i="31" s="1"/>
  <c r="EF10" i="50" a="1"/>
  <c r="EF10" i="50" s="1"/>
  <c r="EF60" i="31" s="1"/>
  <c r="FL9" i="50" a="1"/>
  <c r="FL9" i="50" s="1"/>
  <c r="FL24" i="28" s="1"/>
  <c r="H10" i="50" a="1"/>
  <c r="H10" i="50" s="1"/>
  <c r="H60" i="31" s="1"/>
  <c r="DF15" i="50" a="1"/>
  <c r="DF15" i="50" s="1"/>
  <c r="DF65" i="31" s="1"/>
  <c r="BO13" i="50" a="1"/>
  <c r="BO13" i="50" s="1"/>
  <c r="BO28" i="28" s="1"/>
  <c r="CV12" i="50" a="1"/>
  <c r="CV12" i="50" s="1"/>
  <c r="CV27" i="28" s="1"/>
  <c r="CP11" i="50" a="1"/>
  <c r="CP11" i="50" s="1"/>
  <c r="CP26" i="28" s="1"/>
  <c r="BV13" i="50" a="1"/>
  <c r="BV13" i="50" s="1"/>
  <c r="BV63" i="31" s="1"/>
  <c r="DQ9" i="50" a="1"/>
  <c r="DQ9" i="50" s="1"/>
  <c r="DQ24" i="28" s="1"/>
  <c r="BH10" i="50" a="1"/>
  <c r="BH10" i="50" s="1"/>
  <c r="BH25" i="28" s="1"/>
  <c r="AZ14" i="50" a="1"/>
  <c r="AZ14" i="50" s="1"/>
  <c r="AZ29" i="28" s="1"/>
  <c r="DO13" i="50" a="1"/>
  <c r="DO13" i="50" s="1"/>
  <c r="DO63" i="31" s="1"/>
  <c r="AV11" i="50" a="1"/>
  <c r="AV11" i="50" s="1"/>
  <c r="AV26" i="28" s="1"/>
  <c r="EV15" i="50" a="1"/>
  <c r="EV15" i="50" s="1"/>
  <c r="EV65" i="31" s="1"/>
  <c r="DL14" i="50" a="1"/>
  <c r="DL14" i="50" s="1"/>
  <c r="DL64" i="31" s="1"/>
  <c r="DO14" i="50" a="1"/>
  <c r="DO14" i="50" s="1"/>
  <c r="DO64" i="31" s="1"/>
  <c r="BC12" i="50" a="1"/>
  <c r="BC12" i="50" s="1"/>
  <c r="Z15" i="50" a="1"/>
  <c r="Z15" i="50" s="1"/>
  <c r="F12" i="50" a="1"/>
  <c r="F12" i="50" s="1"/>
  <c r="F62" i="31" s="1"/>
  <c r="DQ15" i="50" a="1"/>
  <c r="DQ15" i="50" s="1"/>
  <c r="DQ30" i="28" s="1"/>
  <c r="CV11" i="50" a="1"/>
  <c r="CV11" i="50" s="1"/>
  <c r="CV61" i="31" s="1"/>
  <c r="BC13" i="50" a="1"/>
  <c r="BC13" i="50" s="1"/>
  <c r="BC28" i="28" s="1"/>
  <c r="BH11" i="50" a="1"/>
  <c r="BH11" i="50" s="1"/>
  <c r="BH26" i="28" s="1"/>
  <c r="Z9" i="50" a="1"/>
  <c r="Z9" i="50" s="1"/>
  <c r="BV12" i="50" a="1"/>
  <c r="BV12" i="50" s="1"/>
  <c r="BV27" i="28" s="1"/>
  <c r="DL13" i="50" a="1"/>
  <c r="DL13" i="50" s="1"/>
  <c r="DL28" i="28" s="1"/>
  <c r="F13" i="50" a="1"/>
  <c r="F13" i="50" s="1"/>
  <c r="F63" i="31" s="1"/>
  <c r="DQ14" i="50" a="1"/>
  <c r="DQ14" i="50" s="1"/>
  <c r="DQ29" i="28" s="1"/>
  <c r="CV10" i="50" a="1"/>
  <c r="CV10" i="50" s="1"/>
  <c r="CV25" i="28" s="1"/>
  <c r="BC14" i="50" a="1"/>
  <c r="BC14" i="50" s="1"/>
  <c r="BC29" i="28" s="1"/>
  <c r="BH12" i="50" a="1"/>
  <c r="BH12" i="50" s="1"/>
  <c r="BH27" i="28" s="1"/>
  <c r="Z10" i="50" a="1"/>
  <c r="Z10" i="50" s="1"/>
  <c r="BV11" i="50" a="1"/>
  <c r="BV11" i="50" s="1"/>
  <c r="BV61" i="31" s="1"/>
  <c r="DL15" i="50" a="1"/>
  <c r="DL15" i="50" s="1"/>
  <c r="DL30" i="28" s="1"/>
  <c r="F14" i="50" a="1"/>
  <c r="F14" i="50" s="1"/>
  <c r="F29" i="28" s="1"/>
  <c r="DQ13" i="50" a="1"/>
  <c r="DQ13" i="50" s="1"/>
  <c r="DQ63" i="31" s="1"/>
  <c r="CV9" i="50" a="1"/>
  <c r="CV9" i="50" s="1"/>
  <c r="CV59" i="31" s="1"/>
  <c r="BC15" i="50" a="1"/>
  <c r="BC15" i="50" s="1"/>
  <c r="BC30" i="28" s="1"/>
  <c r="BH13" i="50" a="1"/>
  <c r="BH13" i="50" s="1"/>
  <c r="BH28" i="28" s="1"/>
  <c r="Z11" i="50" a="1"/>
  <c r="Z11" i="50" s="1"/>
  <c r="Z26" i="28" s="1"/>
  <c r="BV10" i="50" a="1"/>
  <c r="BV10" i="50" s="1"/>
  <c r="BV60" i="31" s="1"/>
  <c r="DL12" i="50" a="1"/>
  <c r="DL12" i="50" s="1"/>
  <c r="DL62" i="31" s="1"/>
  <c r="F15" i="50" a="1"/>
  <c r="F15" i="50" s="1"/>
  <c r="F30" i="28" s="1"/>
  <c r="DQ12" i="50" a="1"/>
  <c r="DQ12" i="50" s="1"/>
  <c r="DQ27" i="28" s="1"/>
  <c r="BJ12" i="50" a="1"/>
  <c r="BJ12" i="50" s="1"/>
  <c r="CV15" i="50" a="1"/>
  <c r="CV15" i="50" s="1"/>
  <c r="CV65" i="31" s="1"/>
  <c r="BC10" i="50" a="1"/>
  <c r="BC10" i="50" s="1"/>
  <c r="BC25" i="28" s="1"/>
  <c r="BH14" i="50" a="1"/>
  <c r="BH14" i="50" s="1"/>
  <c r="BH64" i="31" s="1"/>
  <c r="Z12" i="50" a="1"/>
  <c r="Z12" i="50" s="1"/>
  <c r="Z62" i="31" s="1"/>
  <c r="FO11" i="50" a="1"/>
  <c r="FO11" i="50" s="1"/>
  <c r="FO61" i="31" s="1"/>
  <c r="BV9" i="50" a="1"/>
  <c r="BV9" i="50" s="1"/>
  <c r="BV59" i="31" s="1"/>
  <c r="AA15" i="50" a="1"/>
  <c r="AA15" i="50" s="1"/>
  <c r="AA30" i="28" s="1"/>
  <c r="F9" i="50" a="1"/>
  <c r="F9" i="50" s="1"/>
  <c r="F59" i="31" s="1"/>
  <c r="DQ11" i="50" a="1"/>
  <c r="DQ11" i="50" s="1"/>
  <c r="DQ61" i="31" s="1"/>
  <c r="FJ14" i="50" a="1"/>
  <c r="FJ14" i="50" s="1"/>
  <c r="FJ64" i="31" s="1"/>
  <c r="CV14" i="50" a="1"/>
  <c r="CV14" i="50" s="1"/>
  <c r="CV64" i="31" s="1"/>
  <c r="BC9" i="50" a="1"/>
  <c r="BC9" i="50" s="1"/>
  <c r="BC24" i="28" s="1"/>
  <c r="BH15" i="50" a="1"/>
  <c r="BH15" i="50" s="1"/>
  <c r="BH65" i="31" s="1"/>
  <c r="Z13" i="50" a="1"/>
  <c r="Z13" i="50" s="1"/>
  <c r="Z28" i="28" s="1"/>
  <c r="BV15" i="50" a="1"/>
  <c r="BV15" i="50" s="1"/>
  <c r="BV30" i="28" s="1"/>
  <c r="F10" i="50" a="1"/>
  <c r="F10" i="50" s="1"/>
  <c r="AZ11" i="50" a="1"/>
  <c r="AZ11" i="50" s="1"/>
  <c r="AZ26" i="28" s="1"/>
  <c r="R52" i="4"/>
  <c r="R57" i="4" s="1"/>
  <c r="T57" i="4" s="1"/>
  <c r="FS10" i="50" a="1"/>
  <c r="FS10" i="50" s="1"/>
  <c r="FS60" i="31" s="1"/>
  <c r="FS14" i="50" a="1"/>
  <c r="FS14" i="50" s="1"/>
  <c r="FS64" i="31" s="1"/>
  <c r="FS13" i="50" a="1"/>
  <c r="FS13" i="50" s="1"/>
  <c r="FS63" i="31" s="1"/>
  <c r="EO15" i="50" a="1"/>
  <c r="EO15" i="50" s="1"/>
  <c r="FS9" i="50" a="1"/>
  <c r="FS9" i="50" s="1"/>
  <c r="FS59" i="31" s="1"/>
  <c r="FS12" i="50" a="1"/>
  <c r="FS12" i="50" s="1"/>
  <c r="FS27" i="28" s="1"/>
  <c r="FS11" i="50" a="1"/>
  <c r="FS11" i="50" s="1"/>
  <c r="EG11" i="50" a="1"/>
  <c r="EG11" i="50" s="1"/>
  <c r="EG61" i="31" s="1"/>
  <c r="FG12" i="50" a="1"/>
  <c r="FG12" i="50" s="1"/>
  <c r="FG62" i="31" s="1"/>
  <c r="FG11" i="50" a="1"/>
  <c r="FG11" i="50" s="1"/>
  <c r="FG61" i="31" s="1"/>
  <c r="FG10" i="50" a="1"/>
  <c r="FG10" i="50" s="1"/>
  <c r="FG25" i="28" s="1"/>
  <c r="FG9" i="50" a="1"/>
  <c r="FG9" i="50" s="1"/>
  <c r="FG59" i="31" s="1"/>
  <c r="K13" i="50" a="1"/>
  <c r="K13" i="50" s="1"/>
  <c r="K63" i="31" s="1"/>
  <c r="K11" i="50" a="1"/>
  <c r="K11" i="50" s="1"/>
  <c r="K61" i="31" s="1"/>
  <c r="K12" i="50" a="1"/>
  <c r="K12" i="50" s="1"/>
  <c r="K27" i="28" s="1"/>
  <c r="BP9" i="50" a="1"/>
  <c r="BP9" i="50" s="1"/>
  <c r="BP59" i="31" s="1"/>
  <c r="L10" i="50" a="1"/>
  <c r="L10" i="50" s="1"/>
  <c r="L60" i="31" s="1"/>
  <c r="L11" i="50" a="1"/>
  <c r="L11" i="50" s="1"/>
  <c r="L61" i="31" s="1"/>
  <c r="L12" i="50" a="1"/>
  <c r="L12" i="50" s="1"/>
  <c r="L62" i="31" s="1"/>
  <c r="FG15" i="50" a="1"/>
  <c r="FG15" i="50" s="1"/>
  <c r="FG65" i="31" s="1"/>
  <c r="L13" i="50" a="1"/>
  <c r="L13" i="50" s="1"/>
  <c r="L28" i="28" s="1"/>
  <c r="L14" i="50" a="1"/>
  <c r="L14" i="50" s="1"/>
  <c r="L29" i="28" s="1"/>
  <c r="L15" i="50" a="1"/>
  <c r="L15" i="50" s="1"/>
  <c r="L30" i="28" s="1"/>
  <c r="K10" i="50" a="1"/>
  <c r="K10" i="50" s="1"/>
  <c r="K25" i="28" s="1"/>
  <c r="FG13" i="50" a="1"/>
  <c r="FG13" i="50" s="1"/>
  <c r="FG63" i="31" s="1"/>
  <c r="S14" i="50" a="1"/>
  <c r="S14" i="50" s="1"/>
  <c r="S29" i="28" s="1"/>
  <c r="CT11" i="50" a="1"/>
  <c r="CT11" i="50" s="1"/>
  <c r="CT61" i="31" s="1"/>
  <c r="AH11" i="50" a="1"/>
  <c r="AH11" i="50" s="1"/>
  <c r="AH61" i="31" s="1"/>
  <c r="S10" i="50" a="1"/>
  <c r="S10" i="50" s="1"/>
  <c r="S60" i="31" s="1"/>
  <c r="CZ13" i="50" a="1"/>
  <c r="CZ13" i="50" s="1"/>
  <c r="CZ28" i="28" s="1"/>
  <c r="K9" i="50" a="1"/>
  <c r="K9" i="50" s="1"/>
  <c r="K24" i="28" s="1"/>
  <c r="S11" i="50" a="1"/>
  <c r="S11" i="50" s="1"/>
  <c r="S26" i="28" s="1"/>
  <c r="K15" i="50" a="1"/>
  <c r="K15" i="50" s="1"/>
  <c r="K65" i="31" s="1"/>
  <c r="K29" i="28"/>
  <c r="K64" i="31"/>
  <c r="L59" i="31"/>
  <c r="L24" i="28"/>
  <c r="AU59" i="31"/>
  <c r="J25" i="28"/>
  <c r="J60" i="31"/>
  <c r="R51" i="4"/>
  <c r="I59" i="31"/>
  <c r="I24" i="28"/>
  <c r="EA59" i="31"/>
  <c r="F26" i="28"/>
  <c r="F61" i="31"/>
  <c r="G59" i="31"/>
  <c r="G24" i="28"/>
  <c r="M28" i="28"/>
  <c r="M63" i="31"/>
  <c r="H26" i="28"/>
  <c r="H61" i="31"/>
  <c r="GC77" i="50"/>
  <c r="GC78" i="50" s="1"/>
  <c r="GC81" i="50" s="1"/>
  <c r="GC156" i="50"/>
  <c r="E156" i="50" s="1"/>
  <c r="GC165" i="50"/>
  <c r="GC166" i="50" s="1"/>
  <c r="GC52" i="31"/>
  <c r="GC134" i="50"/>
  <c r="GC136" i="50"/>
  <c r="GC155" i="50"/>
  <c r="E155" i="50" s="1"/>
  <c r="CT63" i="31" l="1"/>
  <c r="FR59" i="31"/>
  <c r="AB24" i="28"/>
  <c r="DI29" i="28"/>
  <c r="DZ11" i="50" a="1"/>
  <c r="DZ11" i="50" s="1"/>
  <c r="DZ26" i="28" s="1"/>
  <c r="AD10" i="50" a="1"/>
  <c r="AD10" i="50" s="1"/>
  <c r="AD25" i="28" s="1"/>
  <c r="CR13" i="50" a="1"/>
  <c r="CR13" i="50" s="1"/>
  <c r="CR28" i="28" s="1"/>
  <c r="DZ10" i="50" a="1"/>
  <c r="DZ10" i="50" s="1"/>
  <c r="DZ60" i="31" s="1"/>
  <c r="AD14" i="50" a="1"/>
  <c r="AD14" i="50" s="1"/>
  <c r="AD64" i="31" s="1"/>
  <c r="DB9" i="50" a="1"/>
  <c r="DB9" i="50" s="1"/>
  <c r="DB59" i="31" s="1"/>
  <c r="CL12" i="50" a="1"/>
  <c r="CL12" i="50" s="1"/>
  <c r="CL62" i="31" s="1"/>
  <c r="BK10" i="50" a="1"/>
  <c r="BK10" i="50" s="1"/>
  <c r="FM11" i="50" a="1"/>
  <c r="FM11" i="50" s="1"/>
  <c r="FM61" i="31" s="1"/>
  <c r="AM26" i="28"/>
  <c r="DT25" i="28"/>
  <c r="FA60" i="31"/>
  <c r="FK59" i="31"/>
  <c r="BJ64" i="31"/>
  <c r="GC54" i="31"/>
  <c r="E54" i="31" s="1"/>
  <c r="E52" i="31"/>
  <c r="BR11" i="50" a="1"/>
  <c r="BR11" i="50" s="1"/>
  <c r="BR61" i="31" s="1"/>
  <c r="FB14" i="50" a="1"/>
  <c r="FB14" i="50" s="1"/>
  <c r="FB29" i="28" s="1"/>
  <c r="CH9" i="50" a="1"/>
  <c r="CH9" i="50" s="1"/>
  <c r="CH59" i="31" s="1"/>
  <c r="AO10" i="50" a="1"/>
  <c r="AO10" i="50" s="1"/>
  <c r="AO25" i="28" s="1"/>
  <c r="CB10" i="50" a="1"/>
  <c r="CB10" i="50" s="1"/>
  <c r="CB60" i="31" s="1"/>
  <c r="CH13" i="50" a="1"/>
  <c r="CH13" i="50" s="1"/>
  <c r="CH28" i="28" s="1"/>
  <c r="DU13" i="50" a="1"/>
  <c r="DU13" i="50" s="1"/>
  <c r="DU63" i="31" s="1"/>
  <c r="DM10" i="50" a="1"/>
  <c r="DM10" i="50" s="1"/>
  <c r="DM60" i="31" s="1"/>
  <c r="EZ11" i="50" a="1"/>
  <c r="EZ11" i="50" s="1"/>
  <c r="EZ61" i="31" s="1"/>
  <c r="CE13" i="50" a="1"/>
  <c r="CE13" i="50" s="1"/>
  <c r="CE28" i="28" s="1"/>
  <c r="AP11" i="50" a="1"/>
  <c r="AP11" i="50" s="1"/>
  <c r="AP61" i="31" s="1"/>
  <c r="BQ11" i="50" a="1"/>
  <c r="BQ11" i="50" s="1"/>
  <c r="BQ61" i="31" s="1"/>
  <c r="DP12" i="50" a="1"/>
  <c r="DP12" i="50" s="1"/>
  <c r="DP27" i="28" s="1"/>
  <c r="ER12" i="50" a="1"/>
  <c r="ER12" i="50" s="1"/>
  <c r="ER27" i="28" s="1"/>
  <c r="CO11" i="50" a="1"/>
  <c r="CO11" i="50" s="1"/>
  <c r="CO26" i="28" s="1"/>
  <c r="ER14" i="50" a="1"/>
  <c r="ER14" i="50" s="1"/>
  <c r="ER64" i="31" s="1"/>
  <c r="CO13" i="50" a="1"/>
  <c r="CO13" i="50" s="1"/>
  <c r="CO63" i="31" s="1"/>
  <c r="CE9" i="50" a="1"/>
  <c r="CE9" i="50" s="1"/>
  <c r="CE59" i="31" s="1"/>
  <c r="EO13" i="50" a="1"/>
  <c r="EO13" i="50" s="1"/>
  <c r="EO28" i="28" s="1"/>
  <c r="EO11" i="50" a="1"/>
  <c r="EO11" i="50" s="1"/>
  <c r="EO26" i="28" s="1"/>
  <c r="AP14" i="50" a="1"/>
  <c r="AP14" i="50" s="1"/>
  <c r="AP29" i="28" s="1"/>
  <c r="ES13" i="50" a="1"/>
  <c r="ES13" i="50" s="1"/>
  <c r="ES28" i="28" s="1"/>
  <c r="AV10" i="50" a="1"/>
  <c r="AV10" i="50" s="1"/>
  <c r="AV25" i="28" s="1"/>
  <c r="FH12" i="50" a="1"/>
  <c r="FH12" i="50" s="1"/>
  <c r="FH27" i="28" s="1"/>
  <c r="FH15" i="50" a="1"/>
  <c r="FH15" i="50" s="1"/>
  <c r="FH30" i="28" s="1"/>
  <c r="DJ9" i="50" a="1"/>
  <c r="DJ9" i="50" s="1"/>
  <c r="DJ59" i="31" s="1"/>
  <c r="AH13" i="50" a="1"/>
  <c r="AH13" i="50" s="1"/>
  <c r="AH63" i="31" s="1"/>
  <c r="AV12" i="50" a="1"/>
  <c r="AV12" i="50" s="1"/>
  <c r="AV27" i="28" s="1"/>
  <c r="FT12" i="50" a="1"/>
  <c r="FT12" i="50" s="1"/>
  <c r="FT27" i="28" s="1"/>
  <c r="FT15" i="50" a="1"/>
  <c r="FT15" i="50" s="1"/>
  <c r="FT30" i="28" s="1"/>
  <c r="BQ9" i="50" a="1"/>
  <c r="BQ9" i="50" s="1"/>
  <c r="BQ24" i="28" s="1"/>
  <c r="FH13" i="50" a="1"/>
  <c r="FH13" i="50" s="1"/>
  <c r="FH63" i="31" s="1"/>
  <c r="DP14" i="50" a="1"/>
  <c r="DP14" i="50" s="1"/>
  <c r="DP64" i="31" s="1"/>
  <c r="DJ15" i="50" a="1"/>
  <c r="DJ15" i="50" s="1"/>
  <c r="DJ65" i="31" s="1"/>
  <c r="EL14" i="50" a="1"/>
  <c r="EL14" i="50" s="1"/>
  <c r="EL64" i="31" s="1"/>
  <c r="EL15" i="50" a="1"/>
  <c r="EL15" i="50" s="1"/>
  <c r="EL30" i="28" s="1"/>
  <c r="CR10" i="50" a="1"/>
  <c r="CR10" i="50" s="1"/>
  <c r="CR25" i="28" s="1"/>
  <c r="CR12" i="50" a="1"/>
  <c r="CR12" i="50" s="1"/>
  <c r="CR62" i="31" s="1"/>
  <c r="EL12" i="50" a="1"/>
  <c r="EL12" i="50" s="1"/>
  <c r="EL62" i="31" s="1"/>
  <c r="BE10" i="50" a="1"/>
  <c r="BE10" i="50" s="1"/>
  <c r="BE25" i="28" s="1"/>
  <c r="CE10" i="50" a="1"/>
  <c r="CE10" i="50" s="1"/>
  <c r="CE60" i="31" s="1"/>
  <c r="EO14" i="50" a="1"/>
  <c r="EO14" i="50" s="1"/>
  <c r="EO64" i="31" s="1"/>
  <c r="ES11" i="50" a="1"/>
  <c r="ES11" i="50" s="1"/>
  <c r="ES61" i="31" s="1"/>
  <c r="ES14" i="50" a="1"/>
  <c r="ES14" i="50" s="1"/>
  <c r="ES29" i="28" s="1"/>
  <c r="ES15" i="50" a="1"/>
  <c r="ES15" i="50" s="1"/>
  <c r="ES65" i="31" s="1"/>
  <c r="AV9" i="50" a="1"/>
  <c r="AV9" i="50" s="1"/>
  <c r="AV59" i="31" s="1"/>
  <c r="FT13" i="50" a="1"/>
  <c r="FT13" i="50" s="1"/>
  <c r="FT28" i="28" s="1"/>
  <c r="BQ13" i="50" a="1"/>
  <c r="BQ13" i="50" s="1"/>
  <c r="BQ63" i="31" s="1"/>
  <c r="FH9" i="50" a="1"/>
  <c r="FH9" i="50" s="1"/>
  <c r="FH24" i="28" s="1"/>
  <c r="DP15" i="50" a="1"/>
  <c r="DP15" i="50" s="1"/>
  <c r="DP30" i="28" s="1"/>
  <c r="ER10" i="50" a="1"/>
  <c r="ER10" i="50" s="1"/>
  <c r="ER25" i="28" s="1"/>
  <c r="AY9" i="50" a="1"/>
  <c r="AY9" i="50" s="1"/>
  <c r="AY24" i="28" s="1"/>
  <c r="ER11" i="50" a="1"/>
  <c r="ER11" i="50" s="1"/>
  <c r="ER26" i="28" s="1"/>
  <c r="AY15" i="50" a="1"/>
  <c r="AY15" i="50" s="1"/>
  <c r="AY30" i="28" s="1"/>
  <c r="BE14" i="50" a="1"/>
  <c r="BE14" i="50" s="1"/>
  <c r="BE29" i="28" s="1"/>
  <c r="AK15" i="50" a="1"/>
  <c r="AK15" i="50" s="1"/>
  <c r="AK65" i="31" s="1"/>
  <c r="EL10" i="50" a="1"/>
  <c r="EL10" i="50" s="1"/>
  <c r="EL60" i="31" s="1"/>
  <c r="BE12" i="50" a="1"/>
  <c r="BE12" i="50" s="1"/>
  <c r="BE27" i="28" s="1"/>
  <c r="AK13" i="50" a="1"/>
  <c r="AK13" i="50" s="1"/>
  <c r="AK28" i="28" s="1"/>
  <c r="DJ13" i="50" a="1"/>
  <c r="DJ13" i="50" s="1"/>
  <c r="DJ28" i="28" s="1"/>
  <c r="AY11" i="50" a="1"/>
  <c r="AY11" i="50" s="1"/>
  <c r="AY26" i="28" s="1"/>
  <c r="AH15" i="50" a="1"/>
  <c r="AH15" i="50" s="1"/>
  <c r="AH30" i="28" s="1"/>
  <c r="AH14" i="50" a="1"/>
  <c r="AH14" i="50" s="1"/>
  <c r="AH64" i="31" s="1"/>
  <c r="AH12" i="50" a="1"/>
  <c r="AH12" i="50" s="1"/>
  <c r="AH62" i="31" s="1"/>
  <c r="AP15" i="50" a="1"/>
  <c r="AP15" i="50" s="1"/>
  <c r="AP65" i="31" s="1"/>
  <c r="AP13" i="50" a="1"/>
  <c r="AP13" i="50" s="1"/>
  <c r="AP28" i="28" s="1"/>
  <c r="AV14" i="50" a="1"/>
  <c r="AV14" i="50" s="1"/>
  <c r="AV29" i="28" s="1"/>
  <c r="AP10" i="50" a="1"/>
  <c r="AP10" i="50" s="1"/>
  <c r="AP60" i="31" s="1"/>
  <c r="BQ14" i="50" a="1"/>
  <c r="BQ14" i="50" s="1"/>
  <c r="BQ64" i="31" s="1"/>
  <c r="BQ15" i="50" a="1"/>
  <c r="BQ15" i="50" s="1"/>
  <c r="BQ65" i="31" s="1"/>
  <c r="DP13" i="50" a="1"/>
  <c r="DP13" i="50" s="1"/>
  <c r="DP63" i="31" s="1"/>
  <c r="CO9" i="50" a="1"/>
  <c r="CO9" i="50" s="1"/>
  <c r="CO59" i="31" s="1"/>
  <c r="CO10" i="50" a="1"/>
  <c r="CO10" i="50" s="1"/>
  <c r="CO60" i="31" s="1"/>
  <c r="DJ11" i="50" a="1"/>
  <c r="DJ11" i="50" s="1"/>
  <c r="DJ26" i="28" s="1"/>
  <c r="AY13" i="50" a="1"/>
  <c r="AY13" i="50" s="1"/>
  <c r="AY28" i="28" s="1"/>
  <c r="ER15" i="50" a="1"/>
  <c r="ER15" i="50" s="1"/>
  <c r="ER30" i="28" s="1"/>
  <c r="CE11" i="50" a="1"/>
  <c r="CE11" i="50" s="1"/>
  <c r="CE26" i="28" s="1"/>
  <c r="AP12" i="50" a="1"/>
  <c r="AP12" i="50" s="1"/>
  <c r="AP62" i="31" s="1"/>
  <c r="FT11" i="50" a="1"/>
  <c r="FT11" i="50" s="1"/>
  <c r="FT26" i="28" s="1"/>
  <c r="DP10" i="50" a="1"/>
  <c r="DP10" i="50" s="1"/>
  <c r="DP25" i="28" s="1"/>
  <c r="CR15" i="50" a="1"/>
  <c r="CR15" i="50" s="1"/>
  <c r="CR30" i="28" s="1"/>
  <c r="CR9" i="50" a="1"/>
  <c r="CR9" i="50" s="1"/>
  <c r="CR59" i="31" s="1"/>
  <c r="EL9" i="50" a="1"/>
  <c r="EL9" i="50" s="1"/>
  <c r="EL59" i="31" s="1"/>
  <c r="CR11" i="50" a="1"/>
  <c r="CR11" i="50" s="1"/>
  <c r="CR26" i="28" s="1"/>
  <c r="EL11" i="50" a="1"/>
  <c r="EL11" i="50" s="1"/>
  <c r="EL26" i="28" s="1"/>
  <c r="AK12" i="50" a="1"/>
  <c r="AK12" i="50" s="1"/>
  <c r="AK62" i="31" s="1"/>
  <c r="CE12" i="50" a="1"/>
  <c r="CE12" i="50" s="1"/>
  <c r="CE62" i="31" s="1"/>
  <c r="AH10" i="50" a="1"/>
  <c r="AH10" i="50" s="1"/>
  <c r="AH25" i="28" s="1"/>
  <c r="CE15" i="50" a="1"/>
  <c r="CE15" i="50" s="1"/>
  <c r="CE65" i="31" s="1"/>
  <c r="EO12" i="50" a="1"/>
  <c r="EO12" i="50" s="1"/>
  <c r="EO62" i="31" s="1"/>
  <c r="EO9" i="50" a="1"/>
  <c r="EO9" i="50" s="1"/>
  <c r="EO24" i="28" s="1"/>
  <c r="ES10" i="50" a="1"/>
  <c r="ES10" i="50" s="1"/>
  <c r="ES25" i="28" s="1"/>
  <c r="ES12" i="50" a="1"/>
  <c r="ES12" i="50" s="1"/>
  <c r="ES62" i="31" s="1"/>
  <c r="AV13" i="50" a="1"/>
  <c r="AV13" i="50" s="1"/>
  <c r="AV28" i="28" s="1"/>
  <c r="FT9" i="50" a="1"/>
  <c r="FT9" i="50" s="1"/>
  <c r="FT59" i="31" s="1"/>
  <c r="BQ12" i="50" a="1"/>
  <c r="BQ12" i="50" s="1"/>
  <c r="BQ27" i="28" s="1"/>
  <c r="FH11" i="50" a="1"/>
  <c r="FH11" i="50" s="1"/>
  <c r="FH61" i="31" s="1"/>
  <c r="DP11" i="50" a="1"/>
  <c r="DP11" i="50" s="1"/>
  <c r="DP61" i="31" s="1"/>
  <c r="AK9" i="50" a="1"/>
  <c r="AK9" i="50" s="1"/>
  <c r="AK59" i="31" s="1"/>
  <c r="AK10" i="50" a="1"/>
  <c r="AK10" i="50" s="1"/>
  <c r="AK25" i="28" s="1"/>
  <c r="DJ10" i="50" a="1"/>
  <c r="DJ10" i="50" s="1"/>
  <c r="DJ25" i="28" s="1"/>
  <c r="AY14" i="50" a="1"/>
  <c r="AY14" i="50" s="1"/>
  <c r="AY29" i="28" s="1"/>
  <c r="BE13" i="50" a="1"/>
  <c r="BE13" i="50" s="1"/>
  <c r="BE28" i="28" s="1"/>
  <c r="AK14" i="50" a="1"/>
  <c r="AK14" i="50" s="1"/>
  <c r="AK29" i="28" s="1"/>
  <c r="DJ12" i="50" a="1"/>
  <c r="DJ12" i="50" s="1"/>
  <c r="DJ62" i="31" s="1"/>
  <c r="AY12" i="50" a="1"/>
  <c r="AY12" i="50" s="1"/>
  <c r="AY62" i="31" s="1"/>
  <c r="BE11" i="50" a="1"/>
  <c r="BE11" i="50" s="1"/>
  <c r="BE26" i="28" s="1"/>
  <c r="CK11" i="50" a="1"/>
  <c r="CK11" i="50" s="1"/>
  <c r="CK61" i="31" s="1"/>
  <c r="FP13" i="50" a="1"/>
  <c r="FP13" i="50" s="1"/>
  <c r="FP28" i="28" s="1"/>
  <c r="DR15" i="50" a="1"/>
  <c r="DR15" i="50" s="1"/>
  <c r="DR65" i="31" s="1"/>
  <c r="BI14" i="50" a="1"/>
  <c r="BI14" i="50" s="1"/>
  <c r="BI29" i="28" s="1"/>
  <c r="AS10" i="50" a="1"/>
  <c r="AS10" i="50" s="1"/>
  <c r="AS25" i="28" s="1"/>
  <c r="FM13" i="50" a="1"/>
  <c r="FM13" i="50" s="1"/>
  <c r="FM63" i="31" s="1"/>
  <c r="DD12" i="50" a="1"/>
  <c r="DD12" i="50" s="1"/>
  <c r="DD27" i="28" s="1"/>
  <c r="CI12" i="50" a="1"/>
  <c r="CI12" i="50" s="1"/>
  <c r="CI62" i="31" s="1"/>
  <c r="DR11" i="50" a="1"/>
  <c r="DR11" i="50" s="1"/>
  <c r="DR61" i="31" s="1"/>
  <c r="EC12" i="50" a="1"/>
  <c r="EC12" i="50" s="1"/>
  <c r="EC62" i="31" s="1"/>
  <c r="N14" i="50" a="1"/>
  <c r="N14" i="50" s="1"/>
  <c r="N29" i="28" s="1"/>
  <c r="CO12" i="50" a="1"/>
  <c r="CO12" i="50" s="1"/>
  <c r="CO62" i="31" s="1"/>
  <c r="CO14" i="50" a="1"/>
  <c r="CO14" i="50" s="1"/>
  <c r="CO64" i="31" s="1"/>
  <c r="EK14" i="50" a="1"/>
  <c r="EK14" i="50" s="1"/>
  <c r="EK29" i="28" s="1"/>
  <c r="FI13" i="50" a="1"/>
  <c r="FI13" i="50" s="1"/>
  <c r="FI28" i="28" s="1"/>
  <c r="FB12" i="50" a="1"/>
  <c r="FB12" i="50" s="1"/>
  <c r="FB27" i="28" s="1"/>
  <c r="DS13" i="50" a="1"/>
  <c r="DS13" i="50" s="1"/>
  <c r="DS63" i="31" s="1"/>
  <c r="BD10" i="50" a="1"/>
  <c r="BD10" i="50" s="1"/>
  <c r="BD60" i="31" s="1"/>
  <c r="FD9" i="50" a="1"/>
  <c r="FD9" i="50" s="1"/>
  <c r="FD24" i="28" s="1"/>
  <c r="BA14" i="50" a="1"/>
  <c r="BA14" i="50" s="1"/>
  <c r="BA64" i="31" s="1"/>
  <c r="EK12" i="50" a="1"/>
  <c r="EK12" i="50" s="1"/>
  <c r="EK62" i="31" s="1"/>
  <c r="FN11" i="50" a="1"/>
  <c r="FN11" i="50" s="1"/>
  <c r="FN26" i="28" s="1"/>
  <c r="EH12" i="50" a="1"/>
  <c r="EH12" i="50" s="1"/>
  <c r="EH27" i="28" s="1"/>
  <c r="BA12" i="50" a="1"/>
  <c r="BA12" i="50" s="1"/>
  <c r="BA62" i="31" s="1"/>
  <c r="BA11" i="50" a="1"/>
  <c r="BA11" i="50" s="1"/>
  <c r="BA61" i="31" s="1"/>
  <c r="EK15" i="50" a="1"/>
  <c r="EK15" i="50" s="1"/>
  <c r="EK65" i="31" s="1"/>
  <c r="FN14" i="50" a="1"/>
  <c r="FN14" i="50" s="1"/>
  <c r="FN64" i="31" s="1"/>
  <c r="DX15" i="50" a="1"/>
  <c r="DX15" i="50" s="1"/>
  <c r="DX30" i="28" s="1"/>
  <c r="FB9" i="50" a="1"/>
  <c r="FB9" i="50" s="1"/>
  <c r="FB59" i="31" s="1"/>
  <c r="AL14" i="50" a="1"/>
  <c r="AL14" i="50" s="1"/>
  <c r="AL29" i="28" s="1"/>
  <c r="FI12" i="50" a="1"/>
  <c r="FI12" i="50" s="1"/>
  <c r="FI62" i="31" s="1"/>
  <c r="DS11" i="50" a="1"/>
  <c r="DS11" i="50" s="1"/>
  <c r="DS61" i="31" s="1"/>
  <c r="CS10" i="50" a="1"/>
  <c r="CS10" i="50" s="1"/>
  <c r="CS60" i="31" s="1"/>
  <c r="BL12" i="50" a="1"/>
  <c r="BL12" i="50" s="1"/>
  <c r="BL62" i="31" s="1"/>
  <c r="AC12" i="50" a="1"/>
  <c r="AC12" i="50" s="1"/>
  <c r="AC27" i="28" s="1"/>
  <c r="BL9" i="50" a="1"/>
  <c r="BL9" i="50" s="1"/>
  <c r="BL59" i="31" s="1"/>
  <c r="DG13" i="50" a="1"/>
  <c r="DG13" i="50" s="1"/>
  <c r="DG28" i="28" s="1"/>
  <c r="FB11" i="50" a="1"/>
  <c r="FB11" i="50" s="1"/>
  <c r="FB61" i="31" s="1"/>
  <c r="EB10" i="50" a="1"/>
  <c r="EB10" i="50" s="1"/>
  <c r="EB25" i="28" s="1"/>
  <c r="EB11" i="50" a="1"/>
  <c r="EB11" i="50" s="1"/>
  <c r="EB26" i="28" s="1"/>
  <c r="EB13" i="50" a="1"/>
  <c r="EB13" i="50" s="1"/>
  <c r="EB28" i="28" s="1"/>
  <c r="DS12" i="50" a="1"/>
  <c r="DS12" i="50" s="1"/>
  <c r="DS62" i="31" s="1"/>
  <c r="BD12" i="50" a="1"/>
  <c r="BD12" i="50" s="1"/>
  <c r="BD62" i="31" s="1"/>
  <c r="CH10" i="50" a="1"/>
  <c r="CH10" i="50" s="1"/>
  <c r="CH25" i="28" s="1"/>
  <c r="CB13" i="50" a="1"/>
  <c r="CB13" i="50" s="1"/>
  <c r="CB63" i="31" s="1"/>
  <c r="CH12" i="50" a="1"/>
  <c r="CH12" i="50" s="1"/>
  <c r="CH27" i="28" s="1"/>
  <c r="BD15" i="50" a="1"/>
  <c r="BD15" i="50" s="1"/>
  <c r="BD30" i="28" s="1"/>
  <c r="CB15" i="50" a="1"/>
  <c r="CB15" i="50" s="1"/>
  <c r="CB65" i="31" s="1"/>
  <c r="CS13" i="50" a="1"/>
  <c r="CS13" i="50" s="1"/>
  <c r="CS28" i="28" s="1"/>
  <c r="BA15" i="50" a="1"/>
  <c r="BA15" i="50" s="1"/>
  <c r="BA65" i="31" s="1"/>
  <c r="DG10" i="50" a="1"/>
  <c r="DG10" i="50" s="1"/>
  <c r="DG25" i="28" s="1"/>
  <c r="AC14" i="50" a="1"/>
  <c r="AC14" i="50" s="1"/>
  <c r="AC29" i="28" s="1"/>
  <c r="BA10" i="50" a="1"/>
  <c r="BA10" i="50" s="1"/>
  <c r="BA60" i="31" s="1"/>
  <c r="EK9" i="50" a="1"/>
  <c r="EK9" i="50" s="1"/>
  <c r="EK24" i="28" s="1"/>
  <c r="EB14" i="50" a="1"/>
  <c r="EB14" i="50" s="1"/>
  <c r="EB29" i="28" s="1"/>
  <c r="DX14" i="50" a="1"/>
  <c r="DX14" i="50" s="1"/>
  <c r="DX64" i="31" s="1"/>
  <c r="FB10" i="50" a="1"/>
  <c r="FB10" i="50" s="1"/>
  <c r="FB60" i="31" s="1"/>
  <c r="AL11" i="50" a="1"/>
  <c r="AL11" i="50" s="1"/>
  <c r="AL61" i="31" s="1"/>
  <c r="FI15" i="50" a="1"/>
  <c r="FI15" i="50" s="1"/>
  <c r="FI30" i="28" s="1"/>
  <c r="CH15" i="50" a="1"/>
  <c r="CH15" i="50" s="1"/>
  <c r="CH65" i="31" s="1"/>
  <c r="CB11" i="50" a="1"/>
  <c r="CB11" i="50" s="1"/>
  <c r="CB61" i="31" s="1"/>
  <c r="CS11" i="50" a="1"/>
  <c r="CS11" i="50" s="1"/>
  <c r="CS26" i="28" s="1"/>
  <c r="EK11" i="50" a="1"/>
  <c r="EK11" i="50" s="1"/>
  <c r="EK26" i="28" s="1"/>
  <c r="FN12" i="50" a="1"/>
  <c r="FN12" i="50" s="1"/>
  <c r="FN62" i="31" s="1"/>
  <c r="FB13" i="50" a="1"/>
  <c r="FB13" i="50" s="1"/>
  <c r="FB28" i="28" s="1"/>
  <c r="DX12" i="50" a="1"/>
  <c r="DX12" i="50" s="1"/>
  <c r="DX27" i="28" s="1"/>
  <c r="EB9" i="50" a="1"/>
  <c r="EB9" i="50" s="1"/>
  <c r="EB59" i="31" s="1"/>
  <c r="AL15" i="50" a="1"/>
  <c r="AL15" i="50" s="1"/>
  <c r="AL65" i="31" s="1"/>
  <c r="AL12" i="50" a="1"/>
  <c r="AL12" i="50" s="1"/>
  <c r="AL62" i="31" s="1"/>
  <c r="FI14" i="50" a="1"/>
  <c r="FI14" i="50" s="1"/>
  <c r="FI29" i="28" s="1"/>
  <c r="BD11" i="50" a="1"/>
  <c r="BD11" i="50" s="1"/>
  <c r="BD26" i="28" s="1"/>
  <c r="FN10" i="50" a="1"/>
  <c r="FN10" i="50" s="1"/>
  <c r="FN25" i="28" s="1"/>
  <c r="EH11" i="50" a="1"/>
  <c r="EH11" i="50" s="1"/>
  <c r="EH26" i="28" s="1"/>
  <c r="BA13" i="50" a="1"/>
  <c r="BA13" i="50" s="1"/>
  <c r="BA28" i="28" s="1"/>
  <c r="EK13" i="50" a="1"/>
  <c r="EK13" i="50" s="1"/>
  <c r="EK28" i="28" s="1"/>
  <c r="AC9" i="50" a="1"/>
  <c r="AC9" i="50" s="1"/>
  <c r="AC59" i="31" s="1"/>
  <c r="EH14" i="50" a="1"/>
  <c r="EH14" i="50" s="1"/>
  <c r="EH29" i="28" s="1"/>
  <c r="FZ10" i="50" a="1"/>
  <c r="FZ10" i="50" s="1"/>
  <c r="FZ60" i="31" s="1"/>
  <c r="EB12" i="50" a="1"/>
  <c r="EB12" i="50" s="1"/>
  <c r="EB27" i="28" s="1"/>
  <c r="DX10" i="50" a="1"/>
  <c r="DX10" i="50" s="1"/>
  <c r="DX25" i="28" s="1"/>
  <c r="FI10" i="50" a="1"/>
  <c r="FI10" i="50" s="1"/>
  <c r="FI60" i="31" s="1"/>
  <c r="FI11" i="50" a="1"/>
  <c r="FI11" i="50" s="1"/>
  <c r="FI26" i="28" s="1"/>
  <c r="DS14" i="50" a="1"/>
  <c r="DS14" i="50" s="1"/>
  <c r="DS64" i="31" s="1"/>
  <c r="DS15" i="50" a="1"/>
  <c r="DS15" i="50" s="1"/>
  <c r="DS30" i="28" s="1"/>
  <c r="AL10" i="50" a="1"/>
  <c r="AL10" i="50" s="1"/>
  <c r="AL25" i="28" s="1"/>
  <c r="BD13" i="50" a="1"/>
  <c r="BD13" i="50" s="1"/>
  <c r="BD63" i="31" s="1"/>
  <c r="CB12" i="50" a="1"/>
  <c r="CB12" i="50" s="1"/>
  <c r="CB27" i="28" s="1"/>
  <c r="BD9" i="50" a="1"/>
  <c r="BD9" i="50" s="1"/>
  <c r="BD59" i="31" s="1"/>
  <c r="DG11" i="50" a="1"/>
  <c r="DG11" i="50" s="1"/>
  <c r="DG26" i="28" s="1"/>
  <c r="FZ9" i="50" a="1"/>
  <c r="FZ9" i="50" s="1"/>
  <c r="FZ59" i="31" s="1"/>
  <c r="DX11" i="50" a="1"/>
  <c r="DX11" i="50" s="1"/>
  <c r="DX61" i="31" s="1"/>
  <c r="DX13" i="50" a="1"/>
  <c r="DX13" i="50" s="1"/>
  <c r="DX63" i="31" s="1"/>
  <c r="DS10" i="50" a="1"/>
  <c r="DS10" i="50" s="1"/>
  <c r="DS60" i="31" s="1"/>
  <c r="AL13" i="50" a="1"/>
  <c r="AL13" i="50" s="1"/>
  <c r="AL28" i="28" s="1"/>
  <c r="CB14" i="50" a="1"/>
  <c r="CB14" i="50" s="1"/>
  <c r="CB29" i="28" s="1"/>
  <c r="CS9" i="50" a="1"/>
  <c r="CS9" i="50" s="1"/>
  <c r="CS24" i="28" s="1"/>
  <c r="CS12" i="50" a="1"/>
  <c r="CS12" i="50" s="1"/>
  <c r="CS62" i="31" s="1"/>
  <c r="EH10" i="50" a="1"/>
  <c r="EH10" i="50" s="1"/>
  <c r="EH60" i="31" s="1"/>
  <c r="DG12" i="50" a="1"/>
  <c r="DG12" i="50" s="1"/>
  <c r="DG27" i="28" s="1"/>
  <c r="FN13" i="50" a="1"/>
  <c r="FN13" i="50" s="1"/>
  <c r="FN28" i="28" s="1"/>
  <c r="EH15" i="50" a="1"/>
  <c r="EH15" i="50" s="1"/>
  <c r="EH65" i="31" s="1"/>
  <c r="AL59" i="31"/>
  <c r="BF59" i="31"/>
  <c r="BF69" i="31" s="1"/>
  <c r="FB30" i="28"/>
  <c r="DS24" i="28"/>
  <c r="CB59" i="31"/>
  <c r="BA24" i="28"/>
  <c r="DG24" i="28"/>
  <c r="DX24" i="28"/>
  <c r="CH64" i="31"/>
  <c r="EH59" i="31"/>
  <c r="FN24" i="28"/>
  <c r="FI59" i="31"/>
  <c r="FD65" i="31"/>
  <c r="DE11" i="50" a="1"/>
  <c r="DE11" i="50" s="1"/>
  <c r="DE61" i="31" s="1"/>
  <c r="EM9" i="50" a="1"/>
  <c r="EM9" i="50" s="1"/>
  <c r="EM24" i="28" s="1"/>
  <c r="BI11" i="50" a="1"/>
  <c r="BI11" i="50" s="1"/>
  <c r="BI26" i="28" s="1"/>
  <c r="FM10" i="50" a="1"/>
  <c r="FM10" i="50" s="1"/>
  <c r="FM25" i="28" s="1"/>
  <c r="FM12" i="50" a="1"/>
  <c r="FM12" i="50" s="1"/>
  <c r="FM62" i="31" s="1"/>
  <c r="N15" i="50" a="1"/>
  <c r="N15" i="50" s="1"/>
  <c r="N30" i="28" s="1"/>
  <c r="AR15" i="50" a="1"/>
  <c r="AR15" i="50" s="1"/>
  <c r="AR30" i="28" s="1"/>
  <c r="Q9" i="50" a="1"/>
  <c r="Q9" i="50" s="1"/>
  <c r="Q59" i="31" s="1"/>
  <c r="DA14" i="50" a="1"/>
  <c r="DA14" i="50" s="1"/>
  <c r="DA29" i="28" s="1"/>
  <c r="AS9" i="50" a="1"/>
  <c r="AS9" i="50" s="1"/>
  <c r="AS59" i="31" s="1"/>
  <c r="AX13" i="50" a="1"/>
  <c r="AX13" i="50" s="1"/>
  <c r="AX63" i="31" s="1"/>
  <c r="AX12" i="50" a="1"/>
  <c r="AX12" i="50" s="1"/>
  <c r="AX27" i="28" s="1"/>
  <c r="BG9" i="50" a="1"/>
  <c r="BG9" i="50" s="1"/>
  <c r="BG24" i="28" s="1"/>
  <c r="CK9" i="50" a="1"/>
  <c r="CK9" i="50" s="1"/>
  <c r="CK24" i="28" s="1"/>
  <c r="DN12" i="50" a="1"/>
  <c r="DN12" i="50" s="1"/>
  <c r="DN62" i="31" s="1"/>
  <c r="EM11" i="50" a="1"/>
  <c r="EM11" i="50" s="1"/>
  <c r="EM61" i="31" s="1"/>
  <c r="DE10" i="50" a="1"/>
  <c r="DE10" i="50" s="1"/>
  <c r="DE25" i="28" s="1"/>
  <c r="EM13" i="50" a="1"/>
  <c r="EM13" i="50" s="1"/>
  <c r="EM63" i="31" s="1"/>
  <c r="DN10" i="50" a="1"/>
  <c r="DN10" i="50" s="1"/>
  <c r="DN60" i="31" s="1"/>
  <c r="BI15" i="50" a="1"/>
  <c r="BI15" i="50" s="1"/>
  <c r="BI30" i="28" s="1"/>
  <c r="FM14" i="50" a="1"/>
  <c r="FM14" i="50" s="1"/>
  <c r="FM64" i="31" s="1"/>
  <c r="DA12" i="50" a="1"/>
  <c r="DA12" i="50" s="1"/>
  <c r="DA62" i="31" s="1"/>
  <c r="DA13" i="50" a="1"/>
  <c r="DA13" i="50" s="1"/>
  <c r="DA63" i="31" s="1"/>
  <c r="DA9" i="50" a="1"/>
  <c r="DA9" i="50" s="1"/>
  <c r="DA24" i="28" s="1"/>
  <c r="BK15" i="50" a="1"/>
  <c r="BK15" i="50" s="1"/>
  <c r="BK30" i="28" s="1"/>
  <c r="DR10" i="50" a="1"/>
  <c r="DR10" i="50" s="1"/>
  <c r="DR60" i="31" s="1"/>
  <c r="CK12" i="50" a="1"/>
  <c r="CK12" i="50" s="1"/>
  <c r="CK62" i="31" s="1"/>
  <c r="CK13" i="50" a="1"/>
  <c r="CK13" i="50" s="1"/>
  <c r="CK63" i="31" s="1"/>
  <c r="EC13" i="50" a="1"/>
  <c r="EC13" i="50" s="1"/>
  <c r="EC63" i="31" s="1"/>
  <c r="CK14" i="50" a="1"/>
  <c r="CK14" i="50" s="1"/>
  <c r="CK64" i="31" s="1"/>
  <c r="CL15" i="50" a="1"/>
  <c r="CL15" i="50" s="1"/>
  <c r="CL30" i="28" s="1"/>
  <c r="DE15" i="50" a="1"/>
  <c r="DE15" i="50" s="1"/>
  <c r="DE65" i="31" s="1"/>
  <c r="BI12" i="50" a="1"/>
  <c r="BI12" i="50" s="1"/>
  <c r="BI62" i="31" s="1"/>
  <c r="CI10" i="50" a="1"/>
  <c r="CI10" i="50" s="1"/>
  <c r="CI60" i="31" s="1"/>
  <c r="DN14" i="50" a="1"/>
  <c r="DN14" i="50" s="1"/>
  <c r="DN64" i="31" s="1"/>
  <c r="BI10" i="50" a="1"/>
  <c r="BI10" i="50" s="1"/>
  <c r="BI25" i="28" s="1"/>
  <c r="FC13" i="50" a="1"/>
  <c r="FC13" i="50" s="1"/>
  <c r="FC28" i="28" s="1"/>
  <c r="BZ11" i="50" a="1"/>
  <c r="BZ11" i="50" s="1"/>
  <c r="BZ61" i="31" s="1"/>
  <c r="DN9" i="50" a="1"/>
  <c r="DN9" i="50" s="1"/>
  <c r="DN59" i="31" s="1"/>
  <c r="FU10" i="50" a="1"/>
  <c r="FU10" i="50" s="1"/>
  <c r="FU60" i="31" s="1"/>
  <c r="FM15" i="50" a="1"/>
  <c r="FM15" i="50" s="1"/>
  <c r="FM65" i="31" s="1"/>
  <c r="AS15" i="50" a="1"/>
  <c r="AS15" i="50" s="1"/>
  <c r="AS30" i="28" s="1"/>
  <c r="BK13" i="50" a="1"/>
  <c r="BK13" i="50" s="1"/>
  <c r="BK63" i="31" s="1"/>
  <c r="AX10" i="50" a="1"/>
  <c r="AX10" i="50" s="1"/>
  <c r="AX25" i="28" s="1"/>
  <c r="CK10" i="50" a="1"/>
  <c r="CK10" i="50" s="1"/>
  <c r="CK25" i="28" s="1"/>
  <c r="CI9" i="50" a="1"/>
  <c r="CI9" i="50" s="1"/>
  <c r="CI24" i="28" s="1"/>
  <c r="FC11" i="50" a="1"/>
  <c r="FC11" i="50" s="1"/>
  <c r="FC26" i="28" s="1"/>
  <c r="DE9" i="50" a="1"/>
  <c r="DE9" i="50" s="1"/>
  <c r="DE59" i="31" s="1"/>
  <c r="DE12" i="50" a="1"/>
  <c r="DE12" i="50" s="1"/>
  <c r="DE62" i="31" s="1"/>
  <c r="FC15" i="50" a="1"/>
  <c r="FC15" i="50" s="1"/>
  <c r="FC65" i="31" s="1"/>
  <c r="FU11" i="50" a="1"/>
  <c r="FU11" i="50" s="1"/>
  <c r="FU26" i="28" s="1"/>
  <c r="FU12" i="50" a="1"/>
  <c r="FU12" i="50" s="1"/>
  <c r="FU62" i="31" s="1"/>
  <c r="DA10" i="50" a="1"/>
  <c r="DA10" i="50" s="1"/>
  <c r="DA25" i="28" s="1"/>
  <c r="BK12" i="50" a="1"/>
  <c r="BK12" i="50" s="1"/>
  <c r="BK27" i="28" s="1"/>
  <c r="BK11" i="50" a="1"/>
  <c r="BK11" i="50" s="1"/>
  <c r="BK26" i="28" s="1"/>
  <c r="BG13" i="50" a="1"/>
  <c r="BG13" i="50" s="1"/>
  <c r="BG63" i="31" s="1"/>
  <c r="BG15" i="50" a="1"/>
  <c r="BG15" i="50" s="1"/>
  <c r="BG65" i="31" s="1"/>
  <c r="EC10" i="50" a="1"/>
  <c r="EC10" i="50" s="1"/>
  <c r="EC60" i="31" s="1"/>
  <c r="CL11" i="50" a="1"/>
  <c r="CL11" i="50" s="1"/>
  <c r="CL61" i="31" s="1"/>
  <c r="EC14" i="50" a="1"/>
  <c r="EC14" i="50" s="1"/>
  <c r="EC64" i="31" s="1"/>
  <c r="EC9" i="50" a="1"/>
  <c r="EC9" i="50" s="1"/>
  <c r="EC59" i="31" s="1"/>
  <c r="CI11" i="50" a="1"/>
  <c r="CI11" i="50" s="1"/>
  <c r="CI61" i="31" s="1"/>
  <c r="CI13" i="50" a="1"/>
  <c r="CI13" i="50" s="1"/>
  <c r="CI63" i="31" s="1"/>
  <c r="DE13" i="50" a="1"/>
  <c r="DE13" i="50" s="1"/>
  <c r="DE63" i="31" s="1"/>
  <c r="CI14" i="50" a="1"/>
  <c r="CI14" i="50" s="1"/>
  <c r="CI64" i="31" s="1"/>
  <c r="EM12" i="50" a="1"/>
  <c r="EM12" i="50" s="1"/>
  <c r="EM27" i="28" s="1"/>
  <c r="AR13" i="50" a="1"/>
  <c r="AR13" i="50" s="1"/>
  <c r="AR63" i="31" s="1"/>
  <c r="AR11" i="50" a="1"/>
  <c r="AR11" i="50" s="1"/>
  <c r="AR26" i="28" s="1"/>
  <c r="FU15" i="50" a="1"/>
  <c r="FU15" i="50" s="1"/>
  <c r="FU30" i="28" s="1"/>
  <c r="FU13" i="50" a="1"/>
  <c r="FU13" i="50" s="1"/>
  <c r="FU28" i="28" s="1"/>
  <c r="AS12" i="50" a="1"/>
  <c r="AS12" i="50" s="1"/>
  <c r="AS62" i="31" s="1"/>
  <c r="BG11" i="50" a="1"/>
  <c r="BG11" i="50" s="1"/>
  <c r="BG26" i="28" s="1"/>
  <c r="AS13" i="50" a="1"/>
  <c r="AS13" i="50" s="1"/>
  <c r="AS28" i="28" s="1"/>
  <c r="BG10" i="50" a="1"/>
  <c r="BG10" i="50" s="1"/>
  <c r="BG25" i="28" s="1"/>
  <c r="DR14" i="50" a="1"/>
  <c r="DR14" i="50" s="1"/>
  <c r="DR29" i="28" s="1"/>
  <c r="EM60" i="31"/>
  <c r="EC11" i="50" a="1"/>
  <c r="EC11" i="50" s="1"/>
  <c r="EC26" i="28" s="1"/>
  <c r="CL10" i="50" a="1"/>
  <c r="CL10" i="50" s="1"/>
  <c r="CL25" i="28" s="1"/>
  <c r="CL9" i="50" a="1"/>
  <c r="CL9" i="50" s="1"/>
  <c r="CL24" i="28" s="1"/>
  <c r="FC10" i="50" a="1"/>
  <c r="FC10" i="50" s="1"/>
  <c r="FC60" i="31" s="1"/>
  <c r="BZ9" i="50" a="1"/>
  <c r="BZ9" i="50" s="1"/>
  <c r="BZ59" i="31" s="1"/>
  <c r="EM14" i="50" a="1"/>
  <c r="EM14" i="50" s="1"/>
  <c r="EM64" i="31" s="1"/>
  <c r="BZ13" i="50" a="1"/>
  <c r="BZ13" i="50" s="1"/>
  <c r="BZ63" i="31" s="1"/>
  <c r="N12" i="50" a="1"/>
  <c r="N12" i="50" s="1"/>
  <c r="N27" i="28" s="1"/>
  <c r="Q14" i="50" a="1"/>
  <c r="Q14" i="50" s="1"/>
  <c r="Q64" i="31" s="1"/>
  <c r="AR12" i="50" a="1"/>
  <c r="AR12" i="50" s="1"/>
  <c r="AR27" i="28" s="1"/>
  <c r="Q13" i="50" a="1"/>
  <c r="Q13" i="50" s="1"/>
  <c r="Q28" i="28" s="1"/>
  <c r="N10" i="50" a="1"/>
  <c r="N10" i="50" s="1"/>
  <c r="N60" i="31" s="1"/>
  <c r="Q12" i="50" a="1"/>
  <c r="Q12" i="50" s="1"/>
  <c r="Q62" i="31" s="1"/>
  <c r="AR10" i="50" a="1"/>
  <c r="AR10" i="50" s="1"/>
  <c r="AR25" i="28" s="1"/>
  <c r="FU14" i="50" a="1"/>
  <c r="FU14" i="50" s="1"/>
  <c r="FU29" i="28" s="1"/>
  <c r="DA15" i="50" a="1"/>
  <c r="DA15" i="50" s="1"/>
  <c r="DA65" i="31" s="1"/>
  <c r="BK14" i="50" a="1"/>
  <c r="BK14" i="50" s="1"/>
  <c r="BK29" i="28" s="1"/>
  <c r="AX14" i="50" a="1"/>
  <c r="AX14" i="50" s="1"/>
  <c r="AX29" i="28" s="1"/>
  <c r="BG12" i="50" a="1"/>
  <c r="BG12" i="50" s="1"/>
  <c r="BG27" i="28" s="1"/>
  <c r="AX11" i="50" a="1"/>
  <c r="AX11" i="50" s="1"/>
  <c r="AX61" i="31" s="1"/>
  <c r="DR13" i="50" a="1"/>
  <c r="DR13" i="50" s="1"/>
  <c r="DR63" i="31" s="1"/>
  <c r="FC59" i="31"/>
  <c r="AS26" i="28"/>
  <c r="CL14" i="50" a="1"/>
  <c r="CL14" i="50" s="1"/>
  <c r="CL64" i="31" s="1"/>
  <c r="BZ15" i="50" a="1"/>
  <c r="BZ15" i="50" s="1"/>
  <c r="BZ30" i="28" s="1"/>
  <c r="DN13" i="50" a="1"/>
  <c r="DN13" i="50" s="1"/>
  <c r="DN63" i="31" s="1"/>
  <c r="FC12" i="50" a="1"/>
  <c r="FC12" i="50" s="1"/>
  <c r="FC62" i="31" s="1"/>
  <c r="BZ10" i="50" a="1"/>
  <c r="BZ10" i="50" s="1"/>
  <c r="BZ60" i="31" s="1"/>
  <c r="DN15" i="50" a="1"/>
  <c r="DN15" i="50" s="1"/>
  <c r="DN65" i="31" s="1"/>
  <c r="BI9" i="50" a="1"/>
  <c r="BI9" i="50" s="1"/>
  <c r="BI24" i="28" s="1"/>
  <c r="FC14" i="50" a="1"/>
  <c r="FC14" i="50" s="1"/>
  <c r="FC29" i="28" s="1"/>
  <c r="BZ12" i="50" a="1"/>
  <c r="BZ12" i="50" s="1"/>
  <c r="BZ62" i="31" s="1"/>
  <c r="EM15" i="50" a="1"/>
  <c r="EM15" i="50" s="1"/>
  <c r="EM30" i="28" s="1"/>
  <c r="N11" i="50" a="1"/>
  <c r="N11" i="50" s="1"/>
  <c r="N26" i="28" s="1"/>
  <c r="N9" i="50" a="1"/>
  <c r="N9" i="50" s="1"/>
  <c r="N59" i="31" s="1"/>
  <c r="Q11" i="50" a="1"/>
  <c r="Q11" i="50" s="1"/>
  <c r="Q26" i="28" s="1"/>
  <c r="AR9" i="50" a="1"/>
  <c r="AR9" i="50" s="1"/>
  <c r="AR59" i="31" s="1"/>
  <c r="Q10" i="50" a="1"/>
  <c r="Q10" i="50" s="1"/>
  <c r="Q60" i="31" s="1"/>
  <c r="AS14" i="50" a="1"/>
  <c r="AS14" i="50" s="1"/>
  <c r="AS29" i="28" s="1"/>
  <c r="DR12" i="50" a="1"/>
  <c r="DR12" i="50" s="1"/>
  <c r="DR27" i="28" s="1"/>
  <c r="AX9" i="50" a="1"/>
  <c r="AX9" i="50" s="1"/>
  <c r="AX59" i="31" s="1"/>
  <c r="EB30" i="28"/>
  <c r="BL28" i="28"/>
  <c r="AC61" i="31"/>
  <c r="CS29" i="28"/>
  <c r="BD29" i="28"/>
  <c r="EK60" i="31"/>
  <c r="FZ26" i="28"/>
  <c r="AC15" i="50" a="1"/>
  <c r="AC15" i="50" s="1"/>
  <c r="AC30" i="28" s="1"/>
  <c r="DG14" i="50" a="1"/>
  <c r="DG14" i="50" s="1"/>
  <c r="DG64" i="31" s="1"/>
  <c r="AC13" i="50" a="1"/>
  <c r="AC13" i="50" s="1"/>
  <c r="AC28" i="28" s="1"/>
  <c r="DG15" i="50" a="1"/>
  <c r="DG15" i="50" s="1"/>
  <c r="DG30" i="28" s="1"/>
  <c r="FN15" i="50" a="1"/>
  <c r="FN15" i="50" s="1"/>
  <c r="FN30" i="28" s="1"/>
  <c r="FZ12" i="50" a="1"/>
  <c r="FZ12" i="50" s="1"/>
  <c r="FZ27" i="28" s="1"/>
  <c r="BL11" i="50" a="1"/>
  <c r="BL11" i="50" s="1"/>
  <c r="BL61" i="31" s="1"/>
  <c r="EH13" i="50" a="1"/>
  <c r="EH13" i="50" s="1"/>
  <c r="EH63" i="31" s="1"/>
  <c r="BT13" i="50" a="1"/>
  <c r="BT13" i="50" s="1"/>
  <c r="BT63" i="31" s="1"/>
  <c r="CS15" i="50" a="1"/>
  <c r="CS15" i="50" s="1"/>
  <c r="CS65" i="31" s="1"/>
  <c r="FZ15" i="50" a="1"/>
  <c r="FZ15" i="50" s="1"/>
  <c r="FZ30" i="28" s="1"/>
  <c r="FD10" i="50" a="1"/>
  <c r="FD10" i="50" s="1"/>
  <c r="FD25" i="28" s="1"/>
  <c r="FD11" i="50" a="1"/>
  <c r="FD11" i="50" s="1"/>
  <c r="FD61" i="31" s="1"/>
  <c r="FD13" i="50" a="1"/>
  <c r="FD13" i="50" s="1"/>
  <c r="FD63" i="31" s="1"/>
  <c r="FD14" i="50" a="1"/>
  <c r="FD14" i="50" s="1"/>
  <c r="FD64" i="31" s="1"/>
  <c r="FZ14" i="50" a="1"/>
  <c r="FZ14" i="50" s="1"/>
  <c r="FZ29" i="28" s="1"/>
  <c r="BL10" i="50" a="1"/>
  <c r="BL10" i="50" s="1"/>
  <c r="BL60" i="31" s="1"/>
  <c r="FD12" i="50" a="1"/>
  <c r="FD12" i="50" s="1"/>
  <c r="FD27" i="28" s="1"/>
  <c r="BL15" i="50" a="1"/>
  <c r="BL15" i="50" s="1"/>
  <c r="BL30" i="28" s="1"/>
  <c r="BL14" i="50" a="1"/>
  <c r="BL14" i="50" s="1"/>
  <c r="BL29" i="28" s="1"/>
  <c r="AE11" i="50" a="1"/>
  <c r="AE11" i="50" s="1"/>
  <c r="AE61" i="31" s="1"/>
  <c r="AC10" i="50" a="1"/>
  <c r="AC10" i="50" s="1"/>
  <c r="AC60" i="31" s="1"/>
  <c r="FZ13" i="50" a="1"/>
  <c r="FZ13" i="50" s="1"/>
  <c r="FZ28" i="28" s="1"/>
  <c r="AD59" i="31"/>
  <c r="DB61" i="31"/>
  <c r="DB69" i="31" s="1"/>
  <c r="DF64" i="31"/>
  <c r="CX65" i="31"/>
  <c r="DZ28" i="28"/>
  <c r="FQ59" i="31"/>
  <c r="BM62" i="31"/>
  <c r="BC26" i="28"/>
  <c r="CG25" i="28"/>
  <c r="X63" i="31"/>
  <c r="FG29" i="28"/>
  <c r="DQ25" i="28"/>
  <c r="BV29" i="28"/>
  <c r="CV63" i="31"/>
  <c r="EP59" i="31"/>
  <c r="EG9" i="50" a="1"/>
  <c r="EG9" i="50" s="1"/>
  <c r="EG24" i="28" s="1"/>
  <c r="AA60" i="31"/>
  <c r="FV28" i="28"/>
  <c r="DO24" i="28"/>
  <c r="FW64" i="31"/>
  <c r="DI13" i="50" a="1"/>
  <c r="DI13" i="50" s="1"/>
  <c r="DI63" i="31" s="1"/>
  <c r="CW61" i="31"/>
  <c r="EG13" i="50" a="1"/>
  <c r="EG13" i="50" s="1"/>
  <c r="EG28" i="28" s="1"/>
  <c r="DI12" i="50" a="1"/>
  <c r="DI12" i="50" s="1"/>
  <c r="DI27" i="28" s="1"/>
  <c r="EG12" i="50" a="1"/>
  <c r="EG12" i="50" s="1"/>
  <c r="EG62" i="31" s="1"/>
  <c r="BJ13" i="50" a="1"/>
  <c r="BJ13" i="50" s="1"/>
  <c r="BJ28" i="28" s="1"/>
  <c r="FR12" i="50" a="1"/>
  <c r="FR12" i="50" s="1"/>
  <c r="FR62" i="31" s="1"/>
  <c r="FR13" i="50" a="1"/>
  <c r="FR13" i="50" s="1"/>
  <c r="FR63" i="31" s="1"/>
  <c r="FR14" i="50" a="1"/>
  <c r="FR14" i="50" s="1"/>
  <c r="FR64" i="31" s="1"/>
  <c r="DO12" i="50" a="1"/>
  <c r="DO12" i="50" s="1"/>
  <c r="DO27" i="28" s="1"/>
  <c r="DT12" i="50" a="1"/>
  <c r="DT12" i="50" s="1"/>
  <c r="DT62" i="31" s="1"/>
  <c r="BU9" i="50" a="1"/>
  <c r="BU9" i="50" s="1"/>
  <c r="BU24" i="28" s="1"/>
  <c r="FV14" i="50" a="1"/>
  <c r="FV14" i="50" s="1"/>
  <c r="FV64" i="31" s="1"/>
  <c r="CW12" i="50" a="1"/>
  <c r="CW12" i="50" s="1"/>
  <c r="CW62" i="31" s="1"/>
  <c r="BU29" i="28"/>
  <c r="AF11" i="50" a="1"/>
  <c r="AF11" i="50" s="1"/>
  <c r="AF61" i="31" s="1"/>
  <c r="DI15" i="50" a="1"/>
  <c r="DI15" i="50" s="1"/>
  <c r="DI65" i="31" s="1"/>
  <c r="CT15" i="50" a="1"/>
  <c r="CT15" i="50" s="1"/>
  <c r="CT65" i="31" s="1"/>
  <c r="AA9" i="50" a="1"/>
  <c r="AA9" i="50" s="1"/>
  <c r="AA59" i="31" s="1"/>
  <c r="FR10" i="50" a="1"/>
  <c r="FR10" i="50" s="1"/>
  <c r="FR60" i="31" s="1"/>
  <c r="FJ15" i="50" a="1"/>
  <c r="FJ15" i="50" s="1"/>
  <c r="FJ30" i="28" s="1"/>
  <c r="EV9" i="50" a="1"/>
  <c r="EV9" i="50" s="1"/>
  <c r="EV24" i="28" s="1"/>
  <c r="DT13" i="50" a="1"/>
  <c r="DT13" i="50" s="1"/>
  <c r="DT63" i="31" s="1"/>
  <c r="DT14" i="50" a="1"/>
  <c r="DT14" i="50" s="1"/>
  <c r="DT64" i="31" s="1"/>
  <c r="BU11" i="50" a="1"/>
  <c r="BU11" i="50" s="1"/>
  <c r="BU26" i="28" s="1"/>
  <c r="FW15" i="50" a="1"/>
  <c r="FW15" i="50" s="1"/>
  <c r="FW30" i="28" s="1"/>
  <c r="AM15" i="50" a="1"/>
  <c r="AM15" i="50" s="1"/>
  <c r="AM65" i="31" s="1"/>
  <c r="CW15" i="50" a="1"/>
  <c r="CW15" i="50" s="1"/>
  <c r="CW65" i="31" s="1"/>
  <c r="FR11" i="50" a="1"/>
  <c r="FR11" i="50" s="1"/>
  <c r="FR61" i="31" s="1"/>
  <c r="AF14" i="50" a="1"/>
  <c r="AF14" i="50" s="1"/>
  <c r="AF29" i="28" s="1"/>
  <c r="EF12" i="50" a="1"/>
  <c r="EF12" i="50" s="1"/>
  <c r="EF62" i="31" s="1"/>
  <c r="DT9" i="50" a="1"/>
  <c r="DT9" i="50" s="1"/>
  <c r="DT59" i="31" s="1"/>
  <c r="BU12" i="50" a="1"/>
  <c r="BU12" i="50" s="1"/>
  <c r="BU62" i="31" s="1"/>
  <c r="EP11" i="50" a="1"/>
  <c r="EP11" i="50" s="1"/>
  <c r="EP61" i="31" s="1"/>
  <c r="AE9" i="50" a="1"/>
  <c r="AE9" i="50" s="1"/>
  <c r="AE24" i="28" s="1"/>
  <c r="FV15" i="50" a="1"/>
  <c r="FV15" i="50" s="1"/>
  <c r="FV65" i="31" s="1"/>
  <c r="AM13" i="50" a="1"/>
  <c r="AM13" i="50" s="1"/>
  <c r="AM28" i="28" s="1"/>
  <c r="AE13" i="50" a="1"/>
  <c r="AE13" i="50" s="1"/>
  <c r="AE28" i="28" s="1"/>
  <c r="AF65" i="31"/>
  <c r="CT12" i="50" a="1"/>
  <c r="CT12" i="50" s="1"/>
  <c r="CT27" i="28" s="1"/>
  <c r="CT9" i="50" a="1"/>
  <c r="CT9" i="50" s="1"/>
  <c r="CT59" i="31" s="1"/>
  <c r="DI9" i="50" a="1"/>
  <c r="DI9" i="50" s="1"/>
  <c r="DI59" i="31" s="1"/>
  <c r="FJ12" i="50" a="1"/>
  <c r="FJ12" i="50" s="1"/>
  <c r="FJ27" i="28" s="1"/>
  <c r="EV11" i="50" a="1"/>
  <c r="EV11" i="50" s="1"/>
  <c r="EV61" i="31" s="1"/>
  <c r="EF11" i="50" a="1"/>
  <c r="EF11" i="50" s="1"/>
  <c r="EF61" i="31" s="1"/>
  <c r="BU13" i="50" a="1"/>
  <c r="BU13" i="50" s="1"/>
  <c r="BU63" i="31" s="1"/>
  <c r="FW11" i="50" a="1"/>
  <c r="FW11" i="50" s="1"/>
  <c r="FW26" i="28" s="1"/>
  <c r="FV11" i="50" a="1"/>
  <c r="FV11" i="50" s="1"/>
  <c r="FV61" i="31" s="1"/>
  <c r="CW10" i="50" a="1"/>
  <c r="CW10" i="50" s="1"/>
  <c r="CW60" i="31" s="1"/>
  <c r="CW13" i="50" a="1"/>
  <c r="CW13" i="50" s="1"/>
  <c r="CW28" i="28" s="1"/>
  <c r="BN15" i="50" a="1"/>
  <c r="BN15" i="50" s="1"/>
  <c r="BN65" i="31" s="1"/>
  <c r="FJ63" i="31"/>
  <c r="AE60" i="31"/>
  <c r="AF13" i="50" a="1"/>
  <c r="AF13" i="50" s="1"/>
  <c r="AF63" i="31" s="1"/>
  <c r="CT10" i="50" a="1"/>
  <c r="CT10" i="50" s="1"/>
  <c r="CT60" i="31" s="1"/>
  <c r="AF9" i="50" a="1"/>
  <c r="AF9" i="50" s="1"/>
  <c r="AF24" i="28" s="1"/>
  <c r="EG10" i="50" a="1"/>
  <c r="EG10" i="50" s="1"/>
  <c r="EG60" i="31" s="1"/>
  <c r="DO10" i="50" a="1"/>
  <c r="DO10" i="50" s="1"/>
  <c r="DO60" i="31" s="1"/>
  <c r="DO15" i="50" a="1"/>
  <c r="DO15" i="50" s="1"/>
  <c r="DO30" i="28" s="1"/>
  <c r="EV12" i="50" a="1"/>
  <c r="EV12" i="50" s="1"/>
  <c r="EV62" i="31" s="1"/>
  <c r="EF13" i="50" a="1"/>
  <c r="EF13" i="50" s="1"/>
  <c r="EF63" i="31" s="1"/>
  <c r="AB13" i="50" a="1"/>
  <c r="AB13" i="50" s="1"/>
  <c r="AB63" i="31" s="1"/>
  <c r="AB15" i="50" a="1"/>
  <c r="AB15" i="50" s="1"/>
  <c r="AB65" i="31" s="1"/>
  <c r="BU15" i="50" a="1"/>
  <c r="BU15" i="50" s="1"/>
  <c r="BU65" i="31" s="1"/>
  <c r="FW9" i="50" a="1"/>
  <c r="FW9" i="50" s="1"/>
  <c r="FW59" i="31" s="1"/>
  <c r="AE14" i="50" a="1"/>
  <c r="AE14" i="50" s="1"/>
  <c r="AE64" i="31" s="1"/>
  <c r="AE12" i="50" a="1"/>
  <c r="AE12" i="50" s="1"/>
  <c r="AE27" i="28" s="1"/>
  <c r="AM12" i="50" a="1"/>
  <c r="AM12" i="50" s="1"/>
  <c r="AM62" i="31" s="1"/>
  <c r="BN10" i="50" a="1"/>
  <c r="BN10" i="50" s="1"/>
  <c r="BN25" i="28" s="1"/>
  <c r="EG30" i="28"/>
  <c r="EV25" i="28"/>
  <c r="BN29" i="28"/>
  <c r="EF24" i="28"/>
  <c r="AF12" i="50" a="1"/>
  <c r="AF12" i="50" s="1"/>
  <c r="AF62" i="31" s="1"/>
  <c r="DI10" i="50" a="1"/>
  <c r="DI10" i="50" s="1"/>
  <c r="DI25" i="28" s="1"/>
  <c r="BJ11" i="50" a="1"/>
  <c r="BJ11" i="50" s="1"/>
  <c r="BJ26" i="28" s="1"/>
  <c r="BJ10" i="50" a="1"/>
  <c r="BJ10" i="50" s="1"/>
  <c r="BJ25" i="28" s="1"/>
  <c r="BJ9" i="50" a="1"/>
  <c r="BJ9" i="50" s="1"/>
  <c r="BJ24" i="28" s="1"/>
  <c r="DO11" i="50" a="1"/>
  <c r="DO11" i="50" s="1"/>
  <c r="DO61" i="31" s="1"/>
  <c r="FW13" i="50" a="1"/>
  <c r="FW13" i="50" s="1"/>
  <c r="FW63" i="31" s="1"/>
  <c r="EP10" i="50" a="1"/>
  <c r="EP10" i="50" s="1"/>
  <c r="EP60" i="31" s="1"/>
  <c r="BN11" i="50" a="1"/>
  <c r="BN11" i="50" s="1"/>
  <c r="BN26" i="28" s="1"/>
  <c r="AF10" i="50" a="1"/>
  <c r="AF10" i="50" s="1"/>
  <c r="AF25" i="28" s="1"/>
  <c r="EG14" i="50" a="1"/>
  <c r="EG14" i="50" s="1"/>
  <c r="EG29" i="28" s="1"/>
  <c r="DI11" i="50" a="1"/>
  <c r="DI11" i="50" s="1"/>
  <c r="DI26" i="28" s="1"/>
  <c r="CT14" i="50" a="1"/>
  <c r="CT14" i="50" s="1"/>
  <c r="CT64" i="31" s="1"/>
  <c r="AA14" i="50" a="1"/>
  <c r="AA14" i="50" s="1"/>
  <c r="AA29" i="28" s="1"/>
  <c r="FJ9" i="50" a="1"/>
  <c r="FJ9" i="50" s="1"/>
  <c r="FJ24" i="28" s="1"/>
  <c r="AA13" i="50" a="1"/>
  <c r="AA13" i="50" s="1"/>
  <c r="AA28" i="28" s="1"/>
  <c r="FJ10" i="50" a="1"/>
  <c r="FJ10" i="50" s="1"/>
  <c r="FJ60" i="31" s="1"/>
  <c r="AA12" i="50" a="1"/>
  <c r="AA12" i="50" s="1"/>
  <c r="AA62" i="31" s="1"/>
  <c r="FJ11" i="50" a="1"/>
  <c r="FJ11" i="50" s="1"/>
  <c r="FJ61" i="31" s="1"/>
  <c r="FR15" i="50" a="1"/>
  <c r="FR15" i="50" s="1"/>
  <c r="FR30" i="28" s="1"/>
  <c r="AA11" i="50" a="1"/>
  <c r="AA11" i="50" s="1"/>
  <c r="AA26" i="28" s="1"/>
  <c r="EV14" i="50" a="1"/>
  <c r="EV14" i="50" s="1"/>
  <c r="EV64" i="31" s="1"/>
  <c r="EV13" i="50" a="1"/>
  <c r="EV13" i="50" s="1"/>
  <c r="EV28" i="28" s="1"/>
  <c r="EF14" i="50" a="1"/>
  <c r="EF14" i="50" s="1"/>
  <c r="EF29" i="28" s="1"/>
  <c r="AB11" i="50" a="1"/>
  <c r="AB11" i="50" s="1"/>
  <c r="AB26" i="28" s="1"/>
  <c r="AB10" i="50" a="1"/>
  <c r="AB10" i="50" s="1"/>
  <c r="AB60" i="31" s="1"/>
  <c r="AB12" i="50" a="1"/>
  <c r="AB12" i="50" s="1"/>
  <c r="AB62" i="31" s="1"/>
  <c r="AB14" i="50" a="1"/>
  <c r="AB14" i="50" s="1"/>
  <c r="AB29" i="28" s="1"/>
  <c r="FW10" i="50" a="1"/>
  <c r="FW10" i="50" s="1"/>
  <c r="FW60" i="31" s="1"/>
  <c r="DT15" i="50" a="1"/>
  <c r="DT15" i="50" s="1"/>
  <c r="DT65" i="31" s="1"/>
  <c r="AM14" i="50" a="1"/>
  <c r="AM14" i="50" s="1"/>
  <c r="AM64" i="31" s="1"/>
  <c r="AM10" i="50" a="1"/>
  <c r="AM10" i="50" s="1"/>
  <c r="AM60" i="31" s="1"/>
  <c r="AE15" i="50" a="1"/>
  <c r="AE15" i="50" s="1"/>
  <c r="AE30" i="28" s="1"/>
  <c r="AM9" i="50" a="1"/>
  <c r="AM9" i="50" s="1"/>
  <c r="AM24" i="28" s="1"/>
  <c r="CW14" i="50" a="1"/>
  <c r="CW14" i="50" s="1"/>
  <c r="CW64" i="31" s="1"/>
  <c r="BN13" i="50" a="1"/>
  <c r="BN13" i="50" s="1"/>
  <c r="BN63" i="31" s="1"/>
  <c r="BN12" i="50" a="1"/>
  <c r="BN12" i="50" s="1"/>
  <c r="BN62" i="31" s="1"/>
  <c r="BY26" i="28"/>
  <c r="FE25" i="28"/>
  <c r="CK30" i="28"/>
  <c r="N63" i="31"/>
  <c r="R15" i="50" a="1"/>
  <c r="R15" i="50" s="1"/>
  <c r="R30" i="28" s="1"/>
  <c r="AW15" i="50" a="1"/>
  <c r="AW15" i="50" s="1"/>
  <c r="AW30" i="28" s="1"/>
  <c r="EU12" i="50" a="1"/>
  <c r="EU12" i="50" s="1"/>
  <c r="EU62" i="31" s="1"/>
  <c r="CP10" i="50" a="1"/>
  <c r="CP10" i="50" s="1"/>
  <c r="CP25" i="28" s="1"/>
  <c r="FL11" i="50" a="1"/>
  <c r="FL11" i="50" s="1"/>
  <c r="FL61" i="31" s="1"/>
  <c r="BS13" i="50" a="1"/>
  <c r="BS13" i="50" s="1"/>
  <c r="BS63" i="31" s="1"/>
  <c r="FE14" i="50" a="1"/>
  <c r="FE14" i="50" s="1"/>
  <c r="FE64" i="31" s="1"/>
  <c r="CN14" i="50" a="1"/>
  <c r="CN14" i="50" s="1"/>
  <c r="CN64" i="31" s="1"/>
  <c r="FE12" i="50" a="1"/>
  <c r="FE12" i="50" s="1"/>
  <c r="FE27" i="28" s="1"/>
  <c r="DW10" i="50" a="1"/>
  <c r="DW10" i="50" s="1"/>
  <c r="DW25" i="28" s="1"/>
  <c r="EQ12" i="50" a="1"/>
  <c r="EQ12" i="50" s="1"/>
  <c r="EQ27" i="28" s="1"/>
  <c r="CY10" i="50" a="1"/>
  <c r="CY10" i="50" s="1"/>
  <c r="CY25" i="28" s="1"/>
  <c r="FP10" i="50" a="1"/>
  <c r="FP10" i="50" s="1"/>
  <c r="FP25" i="28" s="1"/>
  <c r="BW11" i="50" a="1"/>
  <c r="BW11" i="50" s="1"/>
  <c r="BW26" i="28" s="1"/>
  <c r="ET14" i="50" a="1"/>
  <c r="ET14" i="50" s="1"/>
  <c r="ET64" i="31" s="1"/>
  <c r="DC11" i="50" a="1"/>
  <c r="DC11" i="50" s="1"/>
  <c r="DC26" i="28" s="1"/>
  <c r="GA13" i="50" a="1"/>
  <c r="GA13" i="50" s="1"/>
  <c r="GA28" i="28" s="1"/>
  <c r="GB47" i="31"/>
  <c r="GB49" i="31" s="1"/>
  <c r="R12" i="50" a="1"/>
  <c r="R12" i="50" s="1"/>
  <c r="R62" i="31" s="1"/>
  <c r="EX15" i="50" a="1"/>
  <c r="EX15" i="50" s="1"/>
  <c r="EX30" i="28" s="1"/>
  <c r="FO12" i="50" a="1"/>
  <c r="FO12" i="50" s="1"/>
  <c r="FO62" i="31" s="1"/>
  <c r="FO69" i="31" s="1"/>
  <c r="EU13" i="50" a="1"/>
  <c r="EU13" i="50" s="1"/>
  <c r="EU63" i="31" s="1"/>
  <c r="AW12" i="50" a="1"/>
  <c r="AW12" i="50" s="1"/>
  <c r="AW27" i="28" s="1"/>
  <c r="FO14" i="50" a="1"/>
  <c r="FO14" i="50" s="1"/>
  <c r="FO29" i="28" s="1"/>
  <c r="EU15" i="50" a="1"/>
  <c r="EU15" i="50" s="1"/>
  <c r="EU30" i="28" s="1"/>
  <c r="AZ9" i="50" a="1"/>
  <c r="AZ9" i="50" s="1"/>
  <c r="AZ24" i="28" s="1"/>
  <c r="AW10" i="50" a="1"/>
  <c r="AW10" i="50" s="1"/>
  <c r="AW25" i="28" s="1"/>
  <c r="AZ13" i="50" a="1"/>
  <c r="AZ13" i="50" s="1"/>
  <c r="AZ28" i="28" s="1"/>
  <c r="CP9" i="50" a="1"/>
  <c r="CP9" i="50" s="1"/>
  <c r="CP59" i="31" s="1"/>
  <c r="BS11" i="50" a="1"/>
  <c r="BS11" i="50" s="1"/>
  <c r="BS61" i="31" s="1"/>
  <c r="FL14" i="50" a="1"/>
  <c r="FL14" i="50" s="1"/>
  <c r="FL29" i="28" s="1"/>
  <c r="BY14" i="50" a="1"/>
  <c r="BY14" i="50" s="1"/>
  <c r="BY64" i="31" s="1"/>
  <c r="DC15" i="50" a="1"/>
  <c r="DC15" i="50" s="1"/>
  <c r="DC65" i="31" s="1"/>
  <c r="EP12" i="50" a="1"/>
  <c r="EP12" i="50" s="1"/>
  <c r="EP62" i="31" s="1"/>
  <c r="ET15" i="50" a="1"/>
  <c r="ET15" i="50" s="1"/>
  <c r="ET30" i="28" s="1"/>
  <c r="DD13" i="50" a="1"/>
  <c r="DD13" i="50" s="1"/>
  <c r="DD63" i="31" s="1"/>
  <c r="DC14" i="50" a="1"/>
  <c r="DC14" i="50" s="1"/>
  <c r="DC64" i="31" s="1"/>
  <c r="GA15" i="50" a="1"/>
  <c r="GA15" i="50" s="1"/>
  <c r="GA30" i="28" s="1"/>
  <c r="EX11" i="50" a="1"/>
  <c r="EX11" i="50" s="1"/>
  <c r="EX26" i="28" s="1"/>
  <c r="EU9" i="50" a="1"/>
  <c r="EU9" i="50" s="1"/>
  <c r="EU24" i="28" s="1"/>
  <c r="AZ12" i="50" a="1"/>
  <c r="AZ12" i="50" s="1"/>
  <c r="AZ62" i="31" s="1"/>
  <c r="EX13" i="50" a="1"/>
  <c r="EX13" i="50" s="1"/>
  <c r="EX28" i="28" s="1"/>
  <c r="BS10" i="50" a="1"/>
  <c r="BS10" i="50" s="1"/>
  <c r="BS25" i="28" s="1"/>
  <c r="CN11" i="50" a="1"/>
  <c r="CN11" i="50" s="1"/>
  <c r="CN61" i="31" s="1"/>
  <c r="CN13" i="50" a="1"/>
  <c r="CN13" i="50" s="1"/>
  <c r="CN28" i="28" s="1"/>
  <c r="FE9" i="50" a="1"/>
  <c r="FE9" i="50" s="1"/>
  <c r="FE24" i="28" s="1"/>
  <c r="BY10" i="50" a="1"/>
  <c r="BY10" i="50" s="1"/>
  <c r="BY25" i="28" s="1"/>
  <c r="FE13" i="50" a="1"/>
  <c r="FE13" i="50" s="1"/>
  <c r="FE63" i="31" s="1"/>
  <c r="EQ11" i="50" a="1"/>
  <c r="EQ11" i="50" s="1"/>
  <c r="EQ61" i="31" s="1"/>
  <c r="EQ15" i="50" a="1"/>
  <c r="EQ15" i="50" s="1"/>
  <c r="EQ30" i="28" s="1"/>
  <c r="ET12" i="50" a="1"/>
  <c r="ET12" i="50" s="1"/>
  <c r="ET62" i="31" s="1"/>
  <c r="DD9" i="50" a="1"/>
  <c r="DD9" i="50" s="1"/>
  <c r="DD59" i="31" s="1"/>
  <c r="CY12" i="50" a="1"/>
  <c r="CY12" i="50" s="1"/>
  <c r="CY62" i="31" s="1"/>
  <c r="FP11" i="50" a="1"/>
  <c r="FP11" i="50" s="1"/>
  <c r="FP61" i="31" s="1"/>
  <c r="BW12" i="50" a="1"/>
  <c r="BW12" i="50" s="1"/>
  <c r="BW62" i="31" s="1"/>
  <c r="GA9" i="50" a="1"/>
  <c r="GA9" i="50" s="1"/>
  <c r="GA24" i="28" s="1"/>
  <c r="R10" i="50" a="1"/>
  <c r="R10" i="50" s="1"/>
  <c r="R25" i="28" s="1"/>
  <c r="AW14" i="50" a="1"/>
  <c r="AW14" i="50" s="1"/>
  <c r="AW29" i="28" s="1"/>
  <c r="FO15" i="50" a="1"/>
  <c r="FO15" i="50" s="1"/>
  <c r="FO65" i="31" s="1"/>
  <c r="FE11" i="50" a="1"/>
  <c r="FE11" i="50" s="1"/>
  <c r="FE61" i="31" s="1"/>
  <c r="BS12" i="50" a="1"/>
  <c r="BS12" i="50" s="1"/>
  <c r="BS27" i="28" s="1"/>
  <c r="FL13" i="50" a="1"/>
  <c r="FL13" i="50" s="1"/>
  <c r="FL63" i="31" s="1"/>
  <c r="DW14" i="50" a="1"/>
  <c r="DW14" i="50" s="1"/>
  <c r="DW64" i="31" s="1"/>
  <c r="DC9" i="50" a="1"/>
  <c r="DC9" i="50" s="1"/>
  <c r="DC59" i="31" s="1"/>
  <c r="ET10" i="50" a="1"/>
  <c r="ET10" i="50" s="1"/>
  <c r="ET60" i="31" s="1"/>
  <c r="DD15" i="50" a="1"/>
  <c r="DD15" i="50" s="1"/>
  <c r="DD65" i="31" s="1"/>
  <c r="EP13" i="50" a="1"/>
  <c r="EP13" i="50" s="1"/>
  <c r="EP28" i="28" s="1"/>
  <c r="FP12" i="50" a="1"/>
  <c r="FP12" i="50" s="1"/>
  <c r="FP62" i="31" s="1"/>
  <c r="BW13" i="50" a="1"/>
  <c r="BW13" i="50" s="1"/>
  <c r="BW63" i="31" s="1"/>
  <c r="DC13" i="50" a="1"/>
  <c r="DC13" i="50" s="1"/>
  <c r="DC63" i="31" s="1"/>
  <c r="BW65" i="31"/>
  <c r="R9" i="50" a="1"/>
  <c r="R9" i="50" s="1"/>
  <c r="R24" i="28" s="1"/>
  <c r="FO10" i="50" a="1"/>
  <c r="FO10" i="50" s="1"/>
  <c r="FO60" i="31" s="1"/>
  <c r="EU11" i="50" a="1"/>
  <c r="EU11" i="50" s="1"/>
  <c r="EU26" i="28" s="1"/>
  <c r="EX9" i="50" a="1"/>
  <c r="EX9" i="50" s="1"/>
  <c r="EX59" i="31" s="1"/>
  <c r="AZ15" i="50" a="1"/>
  <c r="AZ15" i="50" s="1"/>
  <c r="AZ30" i="28" s="1"/>
  <c r="CP14" i="50" a="1"/>
  <c r="CP14" i="50" s="1"/>
  <c r="CP64" i="31" s="1"/>
  <c r="CN10" i="50" a="1"/>
  <c r="CN10" i="50" s="1"/>
  <c r="CN60" i="31" s="1"/>
  <c r="BS15" i="50" a="1"/>
  <c r="BS15" i="50" s="1"/>
  <c r="BS30" i="28" s="1"/>
  <c r="BY12" i="50" a="1"/>
  <c r="BY12" i="50" s="1"/>
  <c r="BY62" i="31" s="1"/>
  <c r="BY9" i="50" a="1"/>
  <c r="BY9" i="50" s="1"/>
  <c r="BY59" i="31" s="1"/>
  <c r="EQ10" i="50" a="1"/>
  <c r="EQ10" i="50" s="1"/>
  <c r="EQ60" i="31" s="1"/>
  <c r="DC10" i="50" a="1"/>
  <c r="DC10" i="50" s="1"/>
  <c r="DC25" i="28" s="1"/>
  <c r="DD10" i="50" a="1"/>
  <c r="DD10" i="50" s="1"/>
  <c r="DD25" i="28" s="1"/>
  <c r="FV9" i="50" a="1"/>
  <c r="FV9" i="50" s="1"/>
  <c r="FV24" i="28" s="1"/>
  <c r="CY13" i="50" a="1"/>
  <c r="CY13" i="50" s="1"/>
  <c r="CY28" i="28" s="1"/>
  <c r="EP14" i="50" a="1"/>
  <c r="EP14" i="50" s="1"/>
  <c r="EP29" i="28" s="1"/>
  <c r="FP14" i="50" a="1"/>
  <c r="FP14" i="50" s="1"/>
  <c r="FP64" i="31" s="1"/>
  <c r="BW14" i="50" a="1"/>
  <c r="BW14" i="50" s="1"/>
  <c r="BW64" i="31" s="1"/>
  <c r="GA11" i="50" a="1"/>
  <c r="GA11" i="50" s="1"/>
  <c r="GA26" i="28" s="1"/>
  <c r="R13" i="50" a="1"/>
  <c r="R13" i="50" s="1"/>
  <c r="R63" i="31" s="1"/>
  <c r="AW13" i="50" a="1"/>
  <c r="AW13" i="50" s="1"/>
  <c r="AW63" i="31" s="1"/>
  <c r="FO13" i="50" a="1"/>
  <c r="FO13" i="50" s="1"/>
  <c r="FO63" i="31" s="1"/>
  <c r="EU14" i="50" a="1"/>
  <c r="EU14" i="50" s="1"/>
  <c r="EU29" i="28" s="1"/>
  <c r="AW11" i="50" a="1"/>
  <c r="AW11" i="50" s="1"/>
  <c r="AW26" i="28" s="1"/>
  <c r="CP15" i="50" a="1"/>
  <c r="CP15" i="50" s="1"/>
  <c r="CP30" i="28" s="1"/>
  <c r="CN12" i="50" a="1"/>
  <c r="CN12" i="50" s="1"/>
  <c r="CN27" i="28" s="1"/>
  <c r="FL12" i="50" a="1"/>
  <c r="FL12" i="50" s="1"/>
  <c r="FL62" i="31" s="1"/>
  <c r="CN15" i="50" a="1"/>
  <c r="CN15" i="50" s="1"/>
  <c r="CN30" i="28" s="1"/>
  <c r="DW15" i="50" a="1"/>
  <c r="DW15" i="50" s="1"/>
  <c r="DW30" i="28" s="1"/>
  <c r="ET11" i="50" a="1"/>
  <c r="ET11" i="50" s="1"/>
  <c r="ET26" i="28" s="1"/>
  <c r="FV12" i="50" a="1"/>
  <c r="FV12" i="50" s="1"/>
  <c r="FV27" i="28" s="1"/>
  <c r="CY14" i="50" a="1"/>
  <c r="CY14" i="50" s="1"/>
  <c r="CY29" i="28" s="1"/>
  <c r="EP15" i="50" a="1"/>
  <c r="EP15" i="50" s="1"/>
  <c r="EP65" i="31" s="1"/>
  <c r="GA10" i="50" a="1"/>
  <c r="GA10" i="50" s="1"/>
  <c r="GA60" i="31" s="1"/>
  <c r="R11" i="50" a="1"/>
  <c r="R11" i="50" s="1"/>
  <c r="R26" i="28" s="1"/>
  <c r="EX10" i="50" a="1"/>
  <c r="EX10" i="50" s="1"/>
  <c r="EX60" i="31" s="1"/>
  <c r="EX12" i="50" a="1"/>
  <c r="EX12" i="50" s="1"/>
  <c r="EX27" i="28" s="1"/>
  <c r="CP12" i="50" a="1"/>
  <c r="CP12" i="50" s="1"/>
  <c r="CP27" i="28" s="1"/>
  <c r="FL10" i="50" a="1"/>
  <c r="FL10" i="50" s="1"/>
  <c r="FL60" i="31" s="1"/>
  <c r="BS14" i="50" a="1"/>
  <c r="BS14" i="50" s="1"/>
  <c r="BS64" i="31" s="1"/>
  <c r="FE15" i="50" a="1"/>
  <c r="FE15" i="50" s="1"/>
  <c r="FE65" i="31" s="1"/>
  <c r="DW12" i="50" a="1"/>
  <c r="DW12" i="50" s="1"/>
  <c r="DW27" i="28" s="1"/>
  <c r="BY15" i="50" a="1"/>
  <c r="BY15" i="50" s="1"/>
  <c r="BY65" i="31" s="1"/>
  <c r="EQ9" i="50" a="1"/>
  <c r="EQ9" i="50" s="1"/>
  <c r="EQ59" i="31" s="1"/>
  <c r="EQ13" i="50" a="1"/>
  <c r="EQ13" i="50" s="1"/>
  <c r="EQ28" i="28" s="1"/>
  <c r="FP9" i="50" a="1"/>
  <c r="FP9" i="50" s="1"/>
  <c r="FP59" i="31" s="1"/>
  <c r="BW10" i="50" a="1"/>
  <c r="BW10" i="50" s="1"/>
  <c r="BW25" i="28" s="1"/>
  <c r="DD11" i="50" a="1"/>
  <c r="DD11" i="50" s="1"/>
  <c r="DD26" i="28" s="1"/>
  <c r="FV10" i="50" a="1"/>
  <c r="FV10" i="50" s="1"/>
  <c r="FV60" i="31" s="1"/>
  <c r="CY15" i="50" a="1"/>
  <c r="CY15" i="50" s="1"/>
  <c r="CY30" i="28" s="1"/>
  <c r="GA12" i="50" a="1"/>
  <c r="GA12" i="50" s="1"/>
  <c r="GA62" i="31" s="1"/>
  <c r="CR64" i="31"/>
  <c r="AP59" i="31"/>
  <c r="EO25" i="28"/>
  <c r="DP59" i="31"/>
  <c r="DJ29" i="28"/>
  <c r="BE24" i="28"/>
  <c r="BQ60" i="31"/>
  <c r="O63" i="31"/>
  <c r="CF63" i="31"/>
  <c r="CZ30" i="28"/>
  <c r="R55" i="4"/>
  <c r="T55" i="4" s="1"/>
  <c r="BR24" i="28"/>
  <c r="DM24" i="28"/>
  <c r="BP29" i="28"/>
  <c r="DV24" i="28"/>
  <c r="FY61" i="31"/>
  <c r="AQ26" i="28"/>
  <c r="BX63" i="31"/>
  <c r="CJ28" i="28"/>
  <c r="EZ59" i="31"/>
  <c r="CQ27" i="28"/>
  <c r="DY59" i="31"/>
  <c r="BB28" i="28"/>
  <c r="BB11" i="50" a="1"/>
  <c r="BB11" i="50" s="1"/>
  <c r="BB26" i="28" s="1"/>
  <c r="EE15" i="50" a="1"/>
  <c r="EE15" i="50" s="1"/>
  <c r="EE30" i="28" s="1"/>
  <c r="BO12" i="50" a="1"/>
  <c r="BO12" i="50" s="1"/>
  <c r="BO27" i="28" s="1"/>
  <c r="CM13" i="50" a="1"/>
  <c r="CM13" i="50" s="1"/>
  <c r="CM63" i="31" s="1"/>
  <c r="BR10" i="50" a="1"/>
  <c r="BR10" i="50" s="1"/>
  <c r="BR25" i="28" s="1"/>
  <c r="DU14" i="50" a="1"/>
  <c r="DU14" i="50" s="1"/>
  <c r="DU64" i="31" s="1"/>
  <c r="FY14" i="50" a="1"/>
  <c r="FY14" i="50" s="1"/>
  <c r="FY64" i="31" s="1"/>
  <c r="EY11" i="50" a="1"/>
  <c r="EY11" i="50" s="1"/>
  <c r="EY61" i="31" s="1"/>
  <c r="BX14" i="50" a="1"/>
  <c r="BX14" i="50" s="1"/>
  <c r="BX64" i="31" s="1"/>
  <c r="CA10" i="50" a="1"/>
  <c r="CA10" i="50" s="1"/>
  <c r="CA60" i="31" s="1"/>
  <c r="EY9" i="50" a="1"/>
  <c r="EY9" i="50" s="1"/>
  <c r="EY24" i="28" s="1"/>
  <c r="AT9" i="50" a="1"/>
  <c r="AT9" i="50" s="1"/>
  <c r="AT24" i="28" s="1"/>
  <c r="BB12" i="50" a="1"/>
  <c r="BB12" i="50" s="1"/>
  <c r="BB62" i="31" s="1"/>
  <c r="EE11" i="50" a="1"/>
  <c r="EE11" i="50" s="1"/>
  <c r="EE26" i="28" s="1"/>
  <c r="BB9" i="50" a="1"/>
  <c r="BB9" i="50" s="1"/>
  <c r="BB24" i="28" s="1"/>
  <c r="BO14" i="50" a="1"/>
  <c r="BO14" i="50" s="1"/>
  <c r="BO64" i="31" s="1"/>
  <c r="CM12" i="50" a="1"/>
  <c r="CM12" i="50" s="1"/>
  <c r="CM27" i="28" s="1"/>
  <c r="DH11" i="50" a="1"/>
  <c r="DH11" i="50" s="1"/>
  <c r="DH61" i="31" s="1"/>
  <c r="DH13" i="50" a="1"/>
  <c r="DH13" i="50" s="1"/>
  <c r="DH63" i="31" s="1"/>
  <c r="CQ11" i="50" a="1"/>
  <c r="CQ11" i="50" s="1"/>
  <c r="CQ26" i="28" s="1"/>
  <c r="EY12" i="50" a="1"/>
  <c r="EY12" i="50" s="1"/>
  <c r="EY27" i="28" s="1"/>
  <c r="CA14" i="50" a="1"/>
  <c r="CA14" i="50" s="1"/>
  <c r="CA29" i="28" s="1"/>
  <c r="CA24" i="28"/>
  <c r="AG30" i="28"/>
  <c r="AT14" i="50" a="1"/>
  <c r="AT14" i="50" s="1"/>
  <c r="AT64" i="31" s="1"/>
  <c r="AT12" i="50" a="1"/>
  <c r="AT12" i="50" s="1"/>
  <c r="AT27" i="28" s="1"/>
  <c r="AO11" i="50" a="1"/>
  <c r="AO11" i="50" s="1"/>
  <c r="AO61" i="31" s="1"/>
  <c r="BB14" i="50" a="1"/>
  <c r="BB14" i="50" s="1"/>
  <c r="BB29" i="28" s="1"/>
  <c r="AO14" i="50" a="1"/>
  <c r="AO14" i="50" s="1"/>
  <c r="AO29" i="28" s="1"/>
  <c r="AO13" i="50" a="1"/>
  <c r="AO13" i="50" s="1"/>
  <c r="AO28" i="28" s="1"/>
  <c r="BO9" i="50" a="1"/>
  <c r="BO9" i="50" s="1"/>
  <c r="BO59" i="31" s="1"/>
  <c r="DU9" i="50" a="1"/>
  <c r="DU9" i="50" s="1"/>
  <c r="DU24" i="28" s="1"/>
  <c r="FY9" i="50" a="1"/>
  <c r="FY9" i="50" s="1"/>
  <c r="FY24" i="28" s="1"/>
  <c r="DM11" i="50" a="1"/>
  <c r="DM11" i="50" s="1"/>
  <c r="DM26" i="28" s="1"/>
  <c r="BX15" i="50" a="1"/>
  <c r="BX15" i="50" s="1"/>
  <c r="BX65" i="31" s="1"/>
  <c r="CA11" i="50" a="1"/>
  <c r="CA11" i="50" s="1"/>
  <c r="CA26" i="28" s="1"/>
  <c r="EZ12" i="50" a="1"/>
  <c r="EZ12" i="50" s="1"/>
  <c r="EZ27" i="28" s="1"/>
  <c r="EY13" i="50" a="1"/>
  <c r="EY13" i="50" s="1"/>
  <c r="EY28" i="28" s="1"/>
  <c r="EY14" i="50" a="1"/>
  <c r="EY14" i="50" s="1"/>
  <c r="EY64" i="31" s="1"/>
  <c r="DM14" i="50" a="1"/>
  <c r="DM14" i="50" s="1"/>
  <c r="DM29" i="28" s="1"/>
  <c r="BX11" i="50" a="1"/>
  <c r="BX11" i="50" s="1"/>
  <c r="BX26" i="28" s="1"/>
  <c r="EI63" i="31"/>
  <c r="CM30" i="28"/>
  <c r="EY25" i="28"/>
  <c r="AO62" i="31"/>
  <c r="EJ60" i="31"/>
  <c r="BO25" i="28"/>
  <c r="AT60" i="31"/>
  <c r="EE10" i="50" a="1"/>
  <c r="EE10" i="50" s="1"/>
  <c r="EE60" i="31" s="1"/>
  <c r="BB10" i="50" a="1"/>
  <c r="BB10" i="50" s="1"/>
  <c r="BB25" i="28" s="1"/>
  <c r="AO15" i="50" a="1"/>
  <c r="AO15" i="50" s="1"/>
  <c r="AO65" i="31" s="1"/>
  <c r="EE14" i="50" a="1"/>
  <c r="EE14" i="50" s="1"/>
  <c r="EE64" i="31" s="1"/>
  <c r="BB15" i="50" a="1"/>
  <c r="BB15" i="50" s="1"/>
  <c r="BB30" i="28" s="1"/>
  <c r="BO15" i="50" a="1"/>
  <c r="BO15" i="50" s="1"/>
  <c r="BO65" i="31" s="1"/>
  <c r="CM11" i="50" a="1"/>
  <c r="CM11" i="50" s="1"/>
  <c r="CM26" i="28" s="1"/>
  <c r="DH14" i="50" a="1"/>
  <c r="DH14" i="50" s="1"/>
  <c r="DH64" i="31" s="1"/>
  <c r="FY10" i="50" a="1"/>
  <c r="FY10" i="50" s="1"/>
  <c r="FY60" i="31" s="1"/>
  <c r="EJ12" i="50" a="1"/>
  <c r="EJ12" i="50" s="1"/>
  <c r="EJ62" i="31" s="1"/>
  <c r="BX9" i="50" a="1"/>
  <c r="BX9" i="50" s="1"/>
  <c r="BX59" i="31" s="1"/>
  <c r="EZ13" i="50" a="1"/>
  <c r="EZ13" i="50" s="1"/>
  <c r="EZ63" i="31" s="1"/>
  <c r="EJ14" i="50" a="1"/>
  <c r="EJ14" i="50" s="1"/>
  <c r="EJ64" i="31" s="1"/>
  <c r="CJ11" i="50" a="1"/>
  <c r="CJ11" i="50" s="1"/>
  <c r="CJ26" i="28" s="1"/>
  <c r="EE24" i="28"/>
  <c r="DH24" i="28"/>
  <c r="AT11" i="50" a="1"/>
  <c r="AT11" i="50" s="1"/>
  <c r="AT26" i="28" s="1"/>
  <c r="AO9" i="50" a="1"/>
  <c r="AO9" i="50" s="1"/>
  <c r="AO24" i="28" s="1"/>
  <c r="EE13" i="50" a="1"/>
  <c r="EE13" i="50" s="1"/>
  <c r="EE63" i="31" s="1"/>
  <c r="AG14" i="50" a="1"/>
  <c r="AG14" i="50" s="1"/>
  <c r="AG29" i="28" s="1"/>
  <c r="AG12" i="50" a="1"/>
  <c r="AG12" i="50" s="1"/>
  <c r="AG62" i="31" s="1"/>
  <c r="BR12" i="50" a="1"/>
  <c r="BR12" i="50" s="1"/>
  <c r="BR62" i="31" s="1"/>
  <c r="BR13" i="50" a="1"/>
  <c r="BR13" i="50" s="1"/>
  <c r="BR28" i="28" s="1"/>
  <c r="CQ10" i="50" a="1"/>
  <c r="CQ10" i="50" s="1"/>
  <c r="CQ25" i="28" s="1"/>
  <c r="FY13" i="50" a="1"/>
  <c r="FY13" i="50" s="1"/>
  <c r="FY63" i="31" s="1"/>
  <c r="FY15" i="50" a="1"/>
  <c r="FY15" i="50" s="1"/>
  <c r="FY30" i="28" s="1"/>
  <c r="EI9" i="50" a="1"/>
  <c r="EI9" i="50" s="1"/>
  <c r="EI59" i="31" s="1"/>
  <c r="CJ15" i="50" a="1"/>
  <c r="CJ15" i="50" s="1"/>
  <c r="CJ65" i="31" s="1"/>
  <c r="DM12" i="50" a="1"/>
  <c r="DM12" i="50" s="1"/>
  <c r="DM62" i="31" s="1"/>
  <c r="EJ13" i="50" a="1"/>
  <c r="EJ13" i="50" s="1"/>
  <c r="EJ28" i="28" s="1"/>
  <c r="CJ10" i="50" a="1"/>
  <c r="CJ10" i="50" s="1"/>
  <c r="CJ25" i="28" s="1"/>
  <c r="DU25" i="28"/>
  <c r="EE12" i="50" a="1"/>
  <c r="EE12" i="50" s="1"/>
  <c r="EE27" i="28" s="1"/>
  <c r="CM14" i="50" a="1"/>
  <c r="CM14" i="50" s="1"/>
  <c r="CM29" i="28" s="1"/>
  <c r="DH10" i="50" a="1"/>
  <c r="DH10" i="50" s="1"/>
  <c r="DH25" i="28" s="1"/>
  <c r="DH12" i="50" a="1"/>
  <c r="DH12" i="50" s="1"/>
  <c r="DH62" i="31" s="1"/>
  <c r="AG10" i="50" a="1"/>
  <c r="AG10" i="50" s="1"/>
  <c r="AG25" i="28" s="1"/>
  <c r="AG9" i="50" a="1"/>
  <c r="AG9" i="50" s="1"/>
  <c r="AG59" i="31" s="1"/>
  <c r="DU11" i="50" a="1"/>
  <c r="DU11" i="50" s="1"/>
  <c r="DU26" i="28" s="1"/>
  <c r="DU12" i="50" a="1"/>
  <c r="DU12" i="50" s="1"/>
  <c r="DU27" i="28" s="1"/>
  <c r="BR14" i="50" a="1"/>
  <c r="BR14" i="50" s="1"/>
  <c r="BR64" i="31" s="1"/>
  <c r="FY12" i="50" a="1"/>
  <c r="FY12" i="50" s="1"/>
  <c r="FY27" i="28" s="1"/>
  <c r="DY11" i="50" a="1"/>
  <c r="DY11" i="50" s="1"/>
  <c r="DY61" i="31" s="1"/>
  <c r="CJ9" i="50" a="1"/>
  <c r="CJ9" i="50" s="1"/>
  <c r="CJ59" i="31" s="1"/>
  <c r="DM13" i="50" a="1"/>
  <c r="DM13" i="50" s="1"/>
  <c r="DM28" i="28" s="1"/>
  <c r="DY14" i="50" a="1"/>
  <c r="DY14" i="50" s="1"/>
  <c r="DY29" i="28" s="1"/>
  <c r="AQ14" i="50" a="1"/>
  <c r="AQ14" i="50" s="1"/>
  <c r="AQ29" i="28" s="1"/>
  <c r="CJ12" i="50" a="1"/>
  <c r="CJ12" i="50" s="1"/>
  <c r="CJ62" i="31" s="1"/>
  <c r="AT13" i="50" a="1"/>
  <c r="AT13" i="50" s="1"/>
  <c r="AT28" i="28" s="1"/>
  <c r="AT15" i="50" a="1"/>
  <c r="AT15" i="50" s="1"/>
  <c r="AT65" i="31" s="1"/>
  <c r="BO11" i="50" a="1"/>
  <c r="BO11" i="50" s="1"/>
  <c r="BO26" i="28" s="1"/>
  <c r="CM10" i="50" a="1"/>
  <c r="CM10" i="50" s="1"/>
  <c r="CM60" i="31" s="1"/>
  <c r="DH15" i="50" a="1"/>
  <c r="DH15" i="50" s="1"/>
  <c r="DH65" i="31" s="1"/>
  <c r="BR15" i="50" a="1"/>
  <c r="BR15" i="50" s="1"/>
  <c r="BR65" i="31" s="1"/>
  <c r="CQ15" i="50" a="1"/>
  <c r="CQ15" i="50" s="1"/>
  <c r="CQ30" i="28" s="1"/>
  <c r="CQ9" i="50" a="1"/>
  <c r="CQ9" i="50" s="1"/>
  <c r="CQ59" i="31" s="1"/>
  <c r="CQ13" i="50" a="1"/>
  <c r="CQ13" i="50" s="1"/>
  <c r="CQ63" i="31" s="1"/>
  <c r="CQ14" i="50" a="1"/>
  <c r="CQ14" i="50" s="1"/>
  <c r="CQ64" i="31" s="1"/>
  <c r="EI11" i="50" a="1"/>
  <c r="EI11" i="50" s="1"/>
  <c r="EI26" i="28" s="1"/>
  <c r="EZ10" i="50" a="1"/>
  <c r="EZ10" i="50" s="1"/>
  <c r="EZ60" i="31" s="1"/>
  <c r="AQ15" i="50" a="1"/>
  <c r="AQ15" i="50" s="1"/>
  <c r="AQ30" i="28" s="1"/>
  <c r="BI63" i="31"/>
  <c r="FM59" i="31"/>
  <c r="DA26" i="28"/>
  <c r="EH64" i="31"/>
  <c r="DE29" i="28"/>
  <c r="CL63" i="31"/>
  <c r="DR24" i="28"/>
  <c r="DN26" i="28"/>
  <c r="CI65" i="31"/>
  <c r="BZ29" i="28"/>
  <c r="FU24" i="28"/>
  <c r="BG29" i="28"/>
  <c r="EC65" i="31"/>
  <c r="AR64" i="31"/>
  <c r="Q65" i="31"/>
  <c r="AX65" i="31"/>
  <c r="BK24" i="28"/>
  <c r="EN11" i="50" a="1"/>
  <c r="EN11" i="50" s="1"/>
  <c r="EN26" i="28" s="1"/>
  <c r="AJ9" i="50" a="1"/>
  <c r="AJ9" i="50" s="1"/>
  <c r="AJ24" i="28" s="1"/>
  <c r="DM15" i="50" a="1"/>
  <c r="DM15" i="50" s="1"/>
  <c r="DM30" i="28" s="1"/>
  <c r="BX12" i="50" a="1"/>
  <c r="BX12" i="50" s="1"/>
  <c r="BX62" i="31" s="1"/>
  <c r="AQ13" i="50" a="1"/>
  <c r="AQ13" i="50" s="1"/>
  <c r="AQ63" i="31" s="1"/>
  <c r="CJ14" i="50" a="1"/>
  <c r="CJ14" i="50" s="1"/>
  <c r="CJ29" i="28" s="1"/>
  <c r="FX15" i="50" a="1"/>
  <c r="FX15" i="50" s="1"/>
  <c r="FX30" i="28" s="1"/>
  <c r="P24" i="28"/>
  <c r="BP11" i="50" a="1"/>
  <c r="BP11" i="50" s="1"/>
  <c r="BP26" i="28" s="1"/>
  <c r="CF15" i="50" a="1"/>
  <c r="CF15" i="50" s="1"/>
  <c r="CF65" i="31" s="1"/>
  <c r="Y12" i="50" a="1"/>
  <c r="Y12" i="50" s="1"/>
  <c r="Y27" i="28" s="1"/>
  <c r="DV15" i="50" a="1"/>
  <c r="DV15" i="50" s="1"/>
  <c r="DV65" i="31" s="1"/>
  <c r="CF12" i="50" a="1"/>
  <c r="CF12" i="50" s="1"/>
  <c r="CF62" i="31" s="1"/>
  <c r="AN12" i="50" a="1"/>
  <c r="AN12" i="50" s="1"/>
  <c r="AN27" i="28" s="1"/>
  <c r="ED12" i="50" a="1"/>
  <c r="ED12" i="50" s="1"/>
  <c r="ED62" i="31" s="1"/>
  <c r="ED9" i="50" a="1"/>
  <c r="ED9" i="50" s="1"/>
  <c r="ED59" i="31" s="1"/>
  <c r="EW9" i="50" a="1"/>
  <c r="EW9" i="50" s="1"/>
  <c r="EW59" i="31" s="1"/>
  <c r="EN13" i="50" a="1"/>
  <c r="EN13" i="50" s="1"/>
  <c r="EN28" i="28" s="1"/>
  <c r="CD13" i="50" a="1"/>
  <c r="CD13" i="50" s="1"/>
  <c r="CD28" i="28" s="1"/>
  <c r="FF10" i="50" a="1"/>
  <c r="FF10" i="50" s="1"/>
  <c r="FF25" i="28" s="1"/>
  <c r="AJ15" i="50" a="1"/>
  <c r="AJ15" i="50" s="1"/>
  <c r="AJ30" i="28" s="1"/>
  <c r="BT12" i="50" a="1"/>
  <c r="BT12" i="50" s="1"/>
  <c r="BT62" i="31" s="1"/>
  <c r="CD11" i="50" a="1"/>
  <c r="CD11" i="50" s="1"/>
  <c r="CD26" i="28" s="1"/>
  <c r="FF15" i="50" a="1"/>
  <c r="FF15" i="50" s="1"/>
  <c r="FF30" i="28" s="1"/>
  <c r="FX11" i="50" a="1"/>
  <c r="FX11" i="50" s="1"/>
  <c r="FX61" i="31" s="1"/>
  <c r="FX12" i="50" a="1"/>
  <c r="FX12" i="50" s="1"/>
  <c r="FX27" i="28" s="1"/>
  <c r="DK65" i="31"/>
  <c r="CC28" i="28"/>
  <c r="CZ14" i="50" a="1"/>
  <c r="CZ14" i="50" s="1"/>
  <c r="CZ29" i="28" s="1"/>
  <c r="P14" i="50" a="1"/>
  <c r="P14" i="50" s="1"/>
  <c r="P29" i="28" s="1"/>
  <c r="Y15" i="50" a="1"/>
  <c r="Y15" i="50" s="1"/>
  <c r="Y30" i="28" s="1"/>
  <c r="DV11" i="50" a="1"/>
  <c r="DV11" i="50" s="1"/>
  <c r="DV61" i="31" s="1"/>
  <c r="DV69" i="31" s="1"/>
  <c r="GC55" i="31"/>
  <c r="Y24" i="28"/>
  <c r="AN25" i="28"/>
  <c r="CD27" i="28"/>
  <c r="AJ28" i="28"/>
  <c r="S63" i="31"/>
  <c r="BP10" i="50" a="1"/>
  <c r="BP10" i="50" s="1"/>
  <c r="BP25" i="28" s="1"/>
  <c r="BP13" i="50" a="1"/>
  <c r="BP13" i="50" s="1"/>
  <c r="BP28" i="28" s="1"/>
  <c r="CZ11" i="50" a="1"/>
  <c r="CZ11" i="50" s="1"/>
  <c r="CZ61" i="31" s="1"/>
  <c r="P10" i="50" a="1"/>
  <c r="P10" i="50" s="1"/>
  <c r="P25" i="28" s="1"/>
  <c r="DK9" i="50" a="1"/>
  <c r="DK9" i="50" s="1"/>
  <c r="DK24" i="28" s="1"/>
  <c r="Y14" i="50" a="1"/>
  <c r="Y14" i="50" s="1"/>
  <c r="Y29" i="28" s="1"/>
  <c r="Y11" i="50" a="1"/>
  <c r="Y11" i="50" s="1"/>
  <c r="Y26" i="28" s="1"/>
  <c r="O12" i="50" a="1"/>
  <c r="O12" i="50" s="1"/>
  <c r="ED15" i="50" a="1"/>
  <c r="ED15" i="50" s="1"/>
  <c r="ED65" i="31" s="1"/>
  <c r="ED10" i="50" a="1"/>
  <c r="ED10" i="50" s="1"/>
  <c r="ED60" i="31" s="1"/>
  <c r="EN9" i="50" a="1"/>
  <c r="EN9" i="50" s="1"/>
  <c r="EN59" i="31" s="1"/>
  <c r="CC9" i="50" a="1"/>
  <c r="CC9" i="50" s="1"/>
  <c r="CC59" i="31" s="1"/>
  <c r="EW15" i="50" a="1"/>
  <c r="EW15" i="50" s="1"/>
  <c r="EW65" i="31" s="1"/>
  <c r="EN12" i="50" a="1"/>
  <c r="EN12" i="50" s="1"/>
  <c r="EN62" i="31" s="1"/>
  <c r="DY10" i="50" a="1"/>
  <c r="DY10" i="50" s="1"/>
  <c r="DY25" i="28" s="1"/>
  <c r="AJ11" i="50" a="1"/>
  <c r="AJ11" i="50" s="1"/>
  <c r="AJ26" i="28" s="1"/>
  <c r="BX10" i="50" a="1"/>
  <c r="BX10" i="50" s="1"/>
  <c r="BX25" i="28" s="1"/>
  <c r="AQ12" i="50" a="1"/>
  <c r="AQ12" i="50" s="1"/>
  <c r="AQ27" i="28" s="1"/>
  <c r="CD10" i="50" a="1"/>
  <c r="CD10" i="50" s="1"/>
  <c r="CD60" i="31" s="1"/>
  <c r="FF14" i="50" a="1"/>
  <c r="FF14" i="50" s="1"/>
  <c r="FF29" i="28" s="1"/>
  <c r="EY15" i="50" a="1"/>
  <c r="EY15" i="50" s="1"/>
  <c r="EY65" i="31" s="1"/>
  <c r="DY15" i="50" a="1"/>
  <c r="DY15" i="50" s="1"/>
  <c r="DY65" i="31" s="1"/>
  <c r="CA15" i="50" a="1"/>
  <c r="CA15" i="50" s="1"/>
  <c r="CA65" i="31" s="1"/>
  <c r="FX13" i="50" a="1"/>
  <c r="FX13" i="50" s="1"/>
  <c r="FX28" i="28" s="1"/>
  <c r="BT29" i="28"/>
  <c r="EW64" i="31"/>
  <c r="DL11" i="50" a="1"/>
  <c r="DL11" i="50" s="1"/>
  <c r="DL26" i="28" s="1"/>
  <c r="DK10" i="50" a="1"/>
  <c r="DK10" i="50" s="1"/>
  <c r="DK60" i="31" s="1"/>
  <c r="O15" i="50" a="1"/>
  <c r="O15" i="50" s="1"/>
  <c r="O30" i="28" s="1"/>
  <c r="O11" i="50" a="1"/>
  <c r="O11" i="50" s="1"/>
  <c r="O61" i="31" s="1"/>
  <c r="EW10" i="50" a="1"/>
  <c r="EW10" i="50" s="1"/>
  <c r="EW60" i="31" s="1"/>
  <c r="CC12" i="50" a="1"/>
  <c r="CC12" i="50" s="1"/>
  <c r="CC27" i="28" s="1"/>
  <c r="AJ12" i="50" a="1"/>
  <c r="AJ12" i="50" s="1"/>
  <c r="AJ27" i="28" s="1"/>
  <c r="BT11" i="50" a="1"/>
  <c r="BT11" i="50" s="1"/>
  <c r="BT26" i="28" s="1"/>
  <c r="EI12" i="50" a="1"/>
  <c r="EI12" i="50" s="1"/>
  <c r="EI27" i="28" s="1"/>
  <c r="EI10" i="50" a="1"/>
  <c r="EI10" i="50" s="1"/>
  <c r="EI60" i="31" s="1"/>
  <c r="S15" i="50" a="1"/>
  <c r="S15" i="50" s="1"/>
  <c r="S65" i="31" s="1"/>
  <c r="CZ10" i="50" a="1"/>
  <c r="CZ10" i="50" s="1"/>
  <c r="CZ25" i="28" s="1"/>
  <c r="BP15" i="50" a="1"/>
  <c r="BP15" i="50" s="1"/>
  <c r="BP65" i="31" s="1"/>
  <c r="DK12" i="50" a="1"/>
  <c r="DK12" i="50" s="1"/>
  <c r="DK62" i="31" s="1"/>
  <c r="ED14" i="50" a="1"/>
  <c r="ED14" i="50" s="1"/>
  <c r="ED64" i="31" s="1"/>
  <c r="O14" i="50" a="1"/>
  <c r="O14" i="50" s="1"/>
  <c r="O29" i="28" s="1"/>
  <c r="EN10" i="50" a="1"/>
  <c r="EN10" i="50" s="1"/>
  <c r="EN60" i="31" s="1"/>
  <c r="EW13" i="50" a="1"/>
  <c r="EW13" i="50" s="1"/>
  <c r="EW28" i="28" s="1"/>
  <c r="AQ9" i="50" a="1"/>
  <c r="AQ9" i="50" s="1"/>
  <c r="AQ59" i="31" s="1"/>
  <c r="BT10" i="50" a="1"/>
  <c r="BT10" i="50" s="1"/>
  <c r="BT25" i="28" s="1"/>
  <c r="CD9" i="50" a="1"/>
  <c r="CD9" i="50" s="1"/>
  <c r="CD24" i="28" s="1"/>
  <c r="FF13" i="50" a="1"/>
  <c r="FF13" i="50" s="1"/>
  <c r="FF28" i="28" s="1"/>
  <c r="EI14" i="50" a="1"/>
  <c r="EI14" i="50" s="1"/>
  <c r="EI64" i="31" s="1"/>
  <c r="FX24" i="28"/>
  <c r="DL24" i="28"/>
  <c r="ED26" i="28"/>
  <c r="CZ12" i="50" a="1"/>
  <c r="CZ12" i="50" s="1"/>
  <c r="CZ62" i="31" s="1"/>
  <c r="FF59" i="31"/>
  <c r="CU30" i="28"/>
  <c r="AI60" i="31"/>
  <c r="EN29" i="28"/>
  <c r="BP12" i="50" a="1"/>
  <c r="BP12" i="50" s="1"/>
  <c r="BP62" i="31" s="1"/>
  <c r="DK13" i="50" a="1"/>
  <c r="DK13" i="50" s="1"/>
  <c r="DK63" i="31" s="1"/>
  <c r="CU11" i="50" a="1"/>
  <c r="CU11" i="50" s="1"/>
  <c r="CU26" i="28" s="1"/>
  <c r="CU12" i="50" a="1"/>
  <c r="CU12" i="50" s="1"/>
  <c r="CU62" i="31" s="1"/>
  <c r="O9" i="50" a="1"/>
  <c r="O9" i="50" s="1"/>
  <c r="O59" i="31" s="1"/>
  <c r="AN9" i="50" a="1"/>
  <c r="AN9" i="50" s="1"/>
  <c r="AN59" i="31" s="1"/>
  <c r="CC11" i="50" a="1"/>
  <c r="CC11" i="50" s="1"/>
  <c r="CC61" i="31" s="1"/>
  <c r="CC14" i="50" a="1"/>
  <c r="CC14" i="50" s="1"/>
  <c r="CC29" i="28" s="1"/>
  <c r="EN15" i="50" a="1"/>
  <c r="EN15" i="50" s="1"/>
  <c r="EN65" i="31" s="1"/>
  <c r="AJ10" i="50" a="1"/>
  <c r="AJ10" i="50" s="1"/>
  <c r="AJ25" i="28" s="1"/>
  <c r="BT9" i="50" a="1"/>
  <c r="BT9" i="50" s="1"/>
  <c r="BT24" i="28" s="1"/>
  <c r="CD15" i="50" a="1"/>
  <c r="CD15" i="50" s="1"/>
  <c r="CD65" i="31" s="1"/>
  <c r="FF12" i="50" a="1"/>
  <c r="FF12" i="50" s="1"/>
  <c r="FF62" i="31" s="1"/>
  <c r="DY13" i="50" a="1"/>
  <c r="DY13" i="50" s="1"/>
  <c r="DY28" i="28" s="1"/>
  <c r="CA13" i="50" a="1"/>
  <c r="CA13" i="50" s="1"/>
  <c r="CA63" i="31" s="1"/>
  <c r="EZ15" i="50" a="1"/>
  <c r="EZ15" i="50" s="1"/>
  <c r="EZ30" i="28" s="1"/>
  <c r="EJ9" i="50" a="1"/>
  <c r="EJ9" i="50" s="1"/>
  <c r="EJ59" i="31" s="1"/>
  <c r="EJ11" i="50" a="1"/>
  <c r="EJ11" i="50" s="1"/>
  <c r="EJ61" i="31" s="1"/>
  <c r="DU15" i="50" a="1"/>
  <c r="DU15" i="50" s="1"/>
  <c r="DU30" i="28" s="1"/>
  <c r="P15" i="50" a="1"/>
  <c r="P15" i="50" s="1"/>
  <c r="P65" i="31" s="1"/>
  <c r="DL10" i="50" a="1"/>
  <c r="DL10" i="50" s="1"/>
  <c r="DL60" i="31" s="1"/>
  <c r="CZ9" i="50" a="1"/>
  <c r="CZ9" i="50" s="1"/>
  <c r="CZ59" i="31" s="1"/>
  <c r="S9" i="50" a="1"/>
  <c r="S9" i="50" s="1"/>
  <c r="S59" i="31" s="1"/>
  <c r="S12" i="50" a="1"/>
  <c r="S12" i="50" s="1"/>
  <c r="S62" i="31" s="1"/>
  <c r="P13" i="50" a="1"/>
  <c r="P13" i="50" s="1"/>
  <c r="P28" i="28" s="1"/>
  <c r="P12" i="50" a="1"/>
  <c r="P12" i="50" s="1"/>
  <c r="P62" i="31" s="1"/>
  <c r="P11" i="50" a="1"/>
  <c r="P11" i="50" s="1"/>
  <c r="P26" i="28" s="1"/>
  <c r="DK11" i="50" a="1"/>
  <c r="DK11" i="50" s="1"/>
  <c r="DK61" i="31" s="1"/>
  <c r="DK14" i="50" a="1"/>
  <c r="DK14" i="50" s="1"/>
  <c r="DK29" i="28" s="1"/>
  <c r="CU9" i="50" a="1"/>
  <c r="CU9" i="50" s="1"/>
  <c r="CU59" i="31" s="1"/>
  <c r="AI14" i="50" a="1"/>
  <c r="AI14" i="50" s="1"/>
  <c r="AI29" i="28" s="1"/>
  <c r="AI13" i="50" a="1"/>
  <c r="AI13" i="50" s="1"/>
  <c r="AI63" i="31" s="1"/>
  <c r="CU13" i="50" a="1"/>
  <c r="CU13" i="50" s="1"/>
  <c r="CU63" i="31" s="1"/>
  <c r="ED13" i="50" a="1"/>
  <c r="ED13" i="50" s="1"/>
  <c r="ED63" i="31" s="1"/>
  <c r="EW11" i="50" a="1"/>
  <c r="EW11" i="50" s="1"/>
  <c r="EW26" i="28" s="1"/>
  <c r="EW12" i="50" a="1"/>
  <c r="EW12" i="50" s="1"/>
  <c r="EW62" i="31" s="1"/>
  <c r="AQ10" i="50" a="1"/>
  <c r="AQ10" i="50" s="1"/>
  <c r="AQ60" i="31" s="1"/>
  <c r="CD14" i="50" a="1"/>
  <c r="CD14" i="50" s="1"/>
  <c r="CD64" i="31" s="1"/>
  <c r="FF11" i="50" a="1"/>
  <c r="FF11" i="50" s="1"/>
  <c r="FF61" i="31" s="1"/>
  <c r="DY12" i="50" a="1"/>
  <c r="DY12" i="50" s="1"/>
  <c r="DY62" i="31" s="1"/>
  <c r="CA12" i="50" a="1"/>
  <c r="CA12" i="50" s="1"/>
  <c r="CA62" i="31" s="1"/>
  <c r="EZ14" i="50" a="1"/>
  <c r="EZ14" i="50" s="1"/>
  <c r="EZ29" i="28" s="1"/>
  <c r="EJ15" i="50" a="1"/>
  <c r="EJ15" i="50" s="1"/>
  <c r="EJ30" i="28" s="1"/>
  <c r="AJ14" i="50" a="1"/>
  <c r="AJ14" i="50" s="1"/>
  <c r="AJ29" i="28" s="1"/>
  <c r="EI15" i="50" a="1"/>
  <c r="EI15" i="50" s="1"/>
  <c r="EI65" i="31" s="1"/>
  <c r="CN24" i="28"/>
  <c r="EQ29" i="28"/>
  <c r="AW24" i="28"/>
  <c r="EU25" i="28"/>
  <c r="FP30" i="28"/>
  <c r="CY59" i="31"/>
  <c r="EX29" i="28"/>
  <c r="CP28" i="28"/>
  <c r="R29" i="28"/>
  <c r="ET59" i="31"/>
  <c r="DW26" i="28"/>
  <c r="AZ60" i="31"/>
  <c r="FO24" i="28"/>
  <c r="DC27" i="28"/>
  <c r="BS24" i="28"/>
  <c r="DD64" i="31"/>
  <c r="FL30" i="28"/>
  <c r="AK26" i="28"/>
  <c r="Z64" i="31"/>
  <c r="CO30" i="28"/>
  <c r="BH24" i="28"/>
  <c r="FT60" i="31"/>
  <c r="EL63" i="31"/>
  <c r="ES24" i="28"/>
  <c r="AY60" i="31"/>
  <c r="FH29" i="28"/>
  <c r="FS30" i="28"/>
  <c r="ER24" i="28"/>
  <c r="AV65" i="31"/>
  <c r="CE64" i="31"/>
  <c r="AH59" i="31"/>
  <c r="GB13" i="50" a="1"/>
  <c r="GB13" i="50" s="1"/>
  <c r="GB28" i="28" s="1"/>
  <c r="E123" i="50"/>
  <c r="E124" i="50" s="1"/>
  <c r="E99" i="50"/>
  <c r="E100" i="50" s="1"/>
  <c r="E52" i="50"/>
  <c r="FK62" i="31"/>
  <c r="FK69" i="31" s="1"/>
  <c r="GB9" i="50" a="1"/>
  <c r="GB9" i="50" s="1"/>
  <c r="GB24" i="28" s="1"/>
  <c r="GB15" i="50" a="1"/>
  <c r="GB15" i="50" s="1"/>
  <c r="GB65" i="31" s="1"/>
  <c r="GB14" i="50" a="1"/>
  <c r="GB14" i="50" s="1"/>
  <c r="GB29" i="28" s="1"/>
  <c r="GB12" i="50" a="1"/>
  <c r="GB12" i="50" s="1"/>
  <c r="GB62" i="31" s="1"/>
  <c r="GB11" i="50" a="1"/>
  <c r="GB11" i="50" s="1"/>
  <c r="GB61" i="31" s="1"/>
  <c r="ER60" i="31"/>
  <c r="GB10" i="50" a="1"/>
  <c r="GB10" i="50" s="1"/>
  <c r="GB60" i="31" s="1"/>
  <c r="FK28" i="28"/>
  <c r="DG62" i="31"/>
  <c r="CP61" i="31"/>
  <c r="FQ30" i="28"/>
  <c r="CC65" i="31"/>
  <c r="BT30" i="28"/>
  <c r="DZ29" i="28"/>
  <c r="FM26" i="28"/>
  <c r="H64" i="31"/>
  <c r="M64" i="31"/>
  <c r="GA64" i="31"/>
  <c r="CX59" i="31"/>
  <c r="CX69" i="31" s="1"/>
  <c r="FA24" i="28"/>
  <c r="CH26" i="28"/>
  <c r="J65" i="31"/>
  <c r="M24" i="28"/>
  <c r="AU64" i="31"/>
  <c r="FA65" i="31"/>
  <c r="EV30" i="28"/>
  <c r="J61" i="31"/>
  <c r="BN59" i="31"/>
  <c r="G65" i="31"/>
  <c r="DB65" i="31"/>
  <c r="DB64" i="31"/>
  <c r="AD65" i="31"/>
  <c r="CY61" i="31"/>
  <c r="BV62" i="31"/>
  <c r="BV69" i="31" s="1"/>
  <c r="DB63" i="31"/>
  <c r="BY63" i="31"/>
  <c r="AI61" i="31"/>
  <c r="M26" i="28"/>
  <c r="DF28" i="28"/>
  <c r="AD62" i="31"/>
  <c r="BM65" i="31"/>
  <c r="DV63" i="31"/>
  <c r="DF30" i="28"/>
  <c r="FK65" i="31"/>
  <c r="FK60" i="31"/>
  <c r="X29" i="28"/>
  <c r="BM59" i="31"/>
  <c r="DW63" i="31"/>
  <c r="I62" i="31"/>
  <c r="I69" i="31" s="1"/>
  <c r="X60" i="31"/>
  <c r="EA30" i="28"/>
  <c r="I26" i="28"/>
  <c r="FQ16" i="50"/>
  <c r="BM25" i="28"/>
  <c r="FQ61" i="31"/>
  <c r="CF60" i="31"/>
  <c r="Y28" i="28"/>
  <c r="AI65" i="31"/>
  <c r="X65" i="31"/>
  <c r="M27" i="28"/>
  <c r="FK26" i="28"/>
  <c r="AN65" i="31"/>
  <c r="FQ62" i="31"/>
  <c r="FQ28" i="28"/>
  <c r="AU30" i="28"/>
  <c r="EA29" i="28"/>
  <c r="BJ30" i="28"/>
  <c r="BF60" i="31"/>
  <c r="EA61" i="31"/>
  <c r="EA69" i="31" s="1"/>
  <c r="AU25" i="28"/>
  <c r="CG59" i="31"/>
  <c r="EA28" i="28"/>
  <c r="CE63" i="31"/>
  <c r="DQ65" i="31"/>
  <c r="BV24" i="28"/>
  <c r="AD63" i="31"/>
  <c r="BM26" i="28"/>
  <c r="BF65" i="31"/>
  <c r="CC60" i="31"/>
  <c r="DB16" i="50"/>
  <c r="FX25" i="28"/>
  <c r="BU25" i="28"/>
  <c r="DW59" i="31"/>
  <c r="EA25" i="28"/>
  <c r="CX60" i="31"/>
  <c r="DB24" i="28"/>
  <c r="I65" i="31"/>
  <c r="AU61" i="31"/>
  <c r="BW24" i="28"/>
  <c r="AG26" i="28"/>
  <c r="CX26" i="28"/>
  <c r="DB27" i="28"/>
  <c r="DB60" i="31"/>
  <c r="CX27" i="28"/>
  <c r="H24" i="28"/>
  <c r="O60" i="31"/>
  <c r="AN28" i="28"/>
  <c r="DZ27" i="28"/>
  <c r="AU63" i="31"/>
  <c r="CX16" i="50"/>
  <c r="G63" i="31"/>
  <c r="CF61" i="31"/>
  <c r="AI27" i="28"/>
  <c r="CX28" i="28"/>
  <c r="BE65" i="31"/>
  <c r="FX64" i="31"/>
  <c r="FX29" i="28"/>
  <c r="G27" i="28"/>
  <c r="CX29" i="28"/>
  <c r="G29" i="28"/>
  <c r="FQ25" i="28"/>
  <c r="BH60" i="31"/>
  <c r="FQ60" i="31"/>
  <c r="H28" i="28"/>
  <c r="DF61" i="31"/>
  <c r="X59" i="31"/>
  <c r="X69" i="31" s="1"/>
  <c r="FW62" i="31"/>
  <c r="AD29" i="28"/>
  <c r="AD26" i="28"/>
  <c r="I16" i="50"/>
  <c r="CW24" i="28"/>
  <c r="Y25" i="28"/>
  <c r="G61" i="31"/>
  <c r="G69" i="31" s="1"/>
  <c r="I60" i="31"/>
  <c r="EF65" i="31"/>
  <c r="G25" i="28"/>
  <c r="I25" i="28"/>
  <c r="G16" i="50"/>
  <c r="EA16" i="50"/>
  <c r="CM59" i="31"/>
  <c r="I64" i="31"/>
  <c r="EA27" i="28"/>
  <c r="AD60" i="31"/>
  <c r="I63" i="31"/>
  <c r="FT29" i="28"/>
  <c r="BF27" i="28"/>
  <c r="M16" i="50"/>
  <c r="DP26" i="28"/>
  <c r="ER28" i="28"/>
  <c r="CG65" i="31"/>
  <c r="FA16" i="50"/>
  <c r="M25" i="28"/>
  <c r="FA62" i="31"/>
  <c r="FA28" i="28"/>
  <c r="M65" i="31"/>
  <c r="FA29" i="28"/>
  <c r="CG29" i="28"/>
  <c r="BM16" i="50"/>
  <c r="FA61" i="31"/>
  <c r="CG61" i="31"/>
  <c r="FQ29" i="28"/>
  <c r="BM29" i="28"/>
  <c r="BM28" i="28"/>
  <c r="ET28" i="28"/>
  <c r="FK16" i="50"/>
  <c r="CG16" i="50"/>
  <c r="DZ30" i="28"/>
  <c r="CG63" i="31"/>
  <c r="CG62" i="31"/>
  <c r="FK64" i="31"/>
  <c r="FA26" i="28"/>
  <c r="BK60" i="31"/>
  <c r="BK25" i="28"/>
  <c r="H30" i="28"/>
  <c r="Z27" i="28"/>
  <c r="BF63" i="31"/>
  <c r="EF25" i="28"/>
  <c r="DQ28" i="28"/>
  <c r="BC60" i="31"/>
  <c r="BV26" i="28"/>
  <c r="DZ24" i="28"/>
  <c r="FH60" i="31"/>
  <c r="FG60" i="31"/>
  <c r="J29" i="28"/>
  <c r="X26" i="28"/>
  <c r="BV65" i="31"/>
  <c r="BF64" i="31"/>
  <c r="CV30" i="28"/>
  <c r="J16" i="50"/>
  <c r="Z61" i="31"/>
  <c r="BV28" i="28"/>
  <c r="H25" i="28"/>
  <c r="AU16" i="50"/>
  <c r="AZ64" i="31"/>
  <c r="DF25" i="28"/>
  <c r="J63" i="31"/>
  <c r="F64" i="31"/>
  <c r="AN64" i="31"/>
  <c r="AU62" i="31"/>
  <c r="AN26" i="28"/>
  <c r="K26" i="28"/>
  <c r="DF59" i="31"/>
  <c r="DT61" i="31"/>
  <c r="X27" i="28"/>
  <c r="AG63" i="31"/>
  <c r="F28" i="28"/>
  <c r="CU29" i="28"/>
  <c r="BO63" i="31"/>
  <c r="H62" i="31"/>
  <c r="H69" i="31" s="1"/>
  <c r="CU64" i="31"/>
  <c r="BH30" i="28"/>
  <c r="J24" i="28"/>
  <c r="T52" i="4"/>
  <c r="FJ29" i="28"/>
  <c r="DV27" i="28"/>
  <c r="J59" i="31"/>
  <c r="L25" i="28"/>
  <c r="FL59" i="31"/>
  <c r="DV64" i="31"/>
  <c r="DO29" i="28"/>
  <c r="BF16" i="50"/>
  <c r="BF26" i="28"/>
  <c r="CV62" i="31"/>
  <c r="CV69" i="31" s="1"/>
  <c r="DF62" i="31"/>
  <c r="AI59" i="31"/>
  <c r="DV25" i="28"/>
  <c r="CF29" i="28"/>
  <c r="CU25" i="28"/>
  <c r="K30" i="28"/>
  <c r="DF16" i="50"/>
  <c r="CF59" i="31"/>
  <c r="BH62" i="31"/>
  <c r="J62" i="31"/>
  <c r="X16" i="50"/>
  <c r="DQ59" i="31"/>
  <c r="H16" i="50"/>
  <c r="AV61" i="31"/>
  <c r="FS24" i="28"/>
  <c r="BC65" i="31"/>
  <c r="L64" i="31"/>
  <c r="S61" i="31"/>
  <c r="K62" i="31"/>
  <c r="EO30" i="28"/>
  <c r="BJ62" i="31"/>
  <c r="L26" i="28"/>
  <c r="BH63" i="31"/>
  <c r="FS25" i="28"/>
  <c r="DO28" i="28"/>
  <c r="S25" i="28"/>
  <c r="CZ63" i="31"/>
  <c r="BP24" i="28"/>
  <c r="BH61" i="31"/>
  <c r="F65" i="31"/>
  <c r="AH26" i="28"/>
  <c r="L27" i="28"/>
  <c r="FO26" i="28"/>
  <c r="DQ26" i="28"/>
  <c r="F27" i="28"/>
  <c r="F16" i="50"/>
  <c r="F17" i="50" s="1"/>
  <c r="FS29" i="28"/>
  <c r="F25" i="28"/>
  <c r="DQ64" i="31"/>
  <c r="DL63" i="31"/>
  <c r="Z65" i="31"/>
  <c r="L65" i="31"/>
  <c r="F60" i="31"/>
  <c r="FG24" i="28"/>
  <c r="BJ27" i="28"/>
  <c r="EG26" i="28"/>
  <c r="CV26" i="28"/>
  <c r="DL29" i="28"/>
  <c r="Z30" i="28"/>
  <c r="CV29" i="28"/>
  <c r="BV16" i="50"/>
  <c r="DL65" i="31"/>
  <c r="BC63" i="31"/>
  <c r="CV60" i="31"/>
  <c r="BC62" i="31"/>
  <c r="BV25" i="28"/>
  <c r="BC27" i="28"/>
  <c r="FS26" i="28"/>
  <c r="Z59" i="31"/>
  <c r="FS61" i="31"/>
  <c r="FG26" i="28"/>
  <c r="AA65" i="31"/>
  <c r="Z24" i="28"/>
  <c r="CT26" i="28"/>
  <c r="S64" i="31"/>
  <c r="BC16" i="50"/>
  <c r="K28" i="28"/>
  <c r="FS62" i="31"/>
  <c r="BH29" i="28"/>
  <c r="FS16" i="50"/>
  <c r="DQ16" i="50"/>
  <c r="K59" i="31"/>
  <c r="DQ62" i="31"/>
  <c r="FG27" i="28"/>
  <c r="AZ61" i="31"/>
  <c r="CV16" i="50"/>
  <c r="Z16" i="50"/>
  <c r="BH16" i="50"/>
  <c r="CV24" i="28"/>
  <c r="BC64" i="31"/>
  <c r="BC59" i="31"/>
  <c r="Z60" i="31"/>
  <c r="Z63" i="31"/>
  <c r="F24" i="28"/>
  <c r="Z25" i="28"/>
  <c r="DL27" i="28"/>
  <c r="FS28" i="28"/>
  <c r="EO65" i="31"/>
  <c r="FG16" i="50"/>
  <c r="FG28" i="28"/>
  <c r="F69" i="31"/>
  <c r="FG69" i="31"/>
  <c r="FG30" i="28"/>
  <c r="K60" i="31"/>
  <c r="CL27" i="28"/>
  <c r="K16" i="50"/>
  <c r="L16" i="50"/>
  <c r="L63" i="31"/>
  <c r="R56" i="4"/>
  <c r="T56" i="4" s="1"/>
  <c r="T51" i="4"/>
  <c r="M69" i="31"/>
  <c r="L69" i="31"/>
  <c r="GC47" i="31"/>
  <c r="GC9" i="50" a="1"/>
  <c r="GC9" i="50" s="1"/>
  <c r="GC10" i="50" a="1"/>
  <c r="GC10" i="50" s="1"/>
  <c r="GC11" i="50" a="1"/>
  <c r="GC11" i="50" s="1"/>
  <c r="GC12" i="50" a="1"/>
  <c r="GC12" i="50" s="1"/>
  <c r="GC13" i="50" a="1"/>
  <c r="GC13" i="50" s="1"/>
  <c r="GC14" i="50" a="1"/>
  <c r="GC14" i="50" s="1"/>
  <c r="GC15" i="50" a="1"/>
  <c r="GC15" i="50" s="1"/>
  <c r="DZ61" i="31" l="1"/>
  <c r="DZ69" i="31" s="1"/>
  <c r="DZ25" i="28"/>
  <c r="DZ15" i="28" s="1"/>
  <c r="DZ16" i="50"/>
  <c r="AD16" i="50"/>
  <c r="AY27" i="28"/>
  <c r="AY15" i="28" s="1"/>
  <c r="CR63" i="31"/>
  <c r="FM30" i="28"/>
  <c r="AY61" i="31"/>
  <c r="BR69" i="31"/>
  <c r="EO29" i="28"/>
  <c r="CR24" i="28"/>
  <c r="EO27" i="28"/>
  <c r="DJ30" i="28"/>
  <c r="AP63" i="31"/>
  <c r="EK61" i="31"/>
  <c r="DJ61" i="31"/>
  <c r="DJ69" i="31" s="1"/>
  <c r="CE24" i="28"/>
  <c r="DJ24" i="28"/>
  <c r="DP65" i="31"/>
  <c r="FB64" i="31"/>
  <c r="BE62" i="31"/>
  <c r="AO60" i="31"/>
  <c r="BA69" i="31"/>
  <c r="CS27" i="28"/>
  <c r="AK60" i="31"/>
  <c r="DJ63" i="31"/>
  <c r="CH24" i="28"/>
  <c r="AP26" i="28"/>
  <c r="ES26" i="28"/>
  <c r="AV64" i="31"/>
  <c r="AK24" i="28"/>
  <c r="ES69" i="31"/>
  <c r="BE61" i="31"/>
  <c r="CB30" i="28"/>
  <c r="DA27" i="28"/>
  <c r="CS59" i="31"/>
  <c r="EO63" i="31"/>
  <c r="AH28" i="28"/>
  <c r="EL29" i="28"/>
  <c r="EO61" i="31"/>
  <c r="ES60" i="31"/>
  <c r="AV62" i="31"/>
  <c r="BQ26" i="28"/>
  <c r="BA26" i="28"/>
  <c r="EH61" i="31"/>
  <c r="DR26" i="28"/>
  <c r="EL24" i="28"/>
  <c r="AK63" i="31"/>
  <c r="DS28" i="28"/>
  <c r="DP29" i="28"/>
  <c r="ER65" i="31"/>
  <c r="CS63" i="31"/>
  <c r="CO25" i="28"/>
  <c r="ES64" i="31"/>
  <c r="CK26" i="28"/>
  <c r="BR26" i="28"/>
  <c r="FB63" i="31"/>
  <c r="FI25" i="28"/>
  <c r="AP25" i="28"/>
  <c r="EZ26" i="28"/>
  <c r="EO59" i="31"/>
  <c r="FB25" i="28"/>
  <c r="EL65" i="31"/>
  <c r="AY63" i="31"/>
  <c r="CS25" i="28"/>
  <c r="EB63" i="31"/>
  <c r="EO16" i="50"/>
  <c r="AR65" i="31"/>
  <c r="AY59" i="31"/>
  <c r="DG61" i="31"/>
  <c r="DG69" i="31" s="1"/>
  <c r="CR61" i="31"/>
  <c r="CR69" i="31" s="1"/>
  <c r="DN69" i="31"/>
  <c r="AP30" i="28"/>
  <c r="DJ27" i="28"/>
  <c r="EL25" i="28"/>
  <c r="CE25" i="28"/>
  <c r="CH62" i="31"/>
  <c r="CH69" i="31" s="1"/>
  <c r="CO28" i="28"/>
  <c r="FH65" i="31"/>
  <c r="FH59" i="31"/>
  <c r="CR65" i="31"/>
  <c r="AK69" i="31"/>
  <c r="CT25" i="28"/>
  <c r="CH63" i="31"/>
  <c r="AK27" i="28"/>
  <c r="DX26" i="28"/>
  <c r="FD59" i="31"/>
  <c r="BZ24" i="28"/>
  <c r="DG60" i="31"/>
  <c r="ER62" i="31"/>
  <c r="CR27" i="28"/>
  <c r="AV24" i="28"/>
  <c r="AV12" i="28" s="1"/>
  <c r="AH65" i="31"/>
  <c r="EB24" i="28"/>
  <c r="EB12" i="28" s="1"/>
  <c r="N64" i="31"/>
  <c r="DR30" i="28"/>
  <c r="DE26" i="28"/>
  <c r="AP27" i="28"/>
  <c r="AY64" i="31"/>
  <c r="AP69" i="31"/>
  <c r="CI29" i="28"/>
  <c r="FI65" i="31"/>
  <c r="ES63" i="31"/>
  <c r="AV63" i="31"/>
  <c r="DS29" i="28"/>
  <c r="FN29" i="28"/>
  <c r="EK63" i="31"/>
  <c r="AC62" i="31"/>
  <c r="AC69" i="31" s="1"/>
  <c r="BD27" i="28"/>
  <c r="BK65" i="31"/>
  <c r="DN30" i="28"/>
  <c r="FT65" i="31"/>
  <c r="BQ30" i="28"/>
  <c r="AY65" i="31"/>
  <c r="FD26" i="28"/>
  <c r="EC27" i="28"/>
  <c r="FZ24" i="28"/>
  <c r="ER61" i="31"/>
  <c r="CR16" i="50"/>
  <c r="AP16" i="50"/>
  <c r="DP62" i="31"/>
  <c r="DP69" i="31" s="1"/>
  <c r="FP63" i="31"/>
  <c r="FT62" i="31"/>
  <c r="EH25" i="28"/>
  <c r="ES30" i="28"/>
  <c r="DE24" i="28"/>
  <c r="BA30" i="28"/>
  <c r="CE61" i="31"/>
  <c r="CE69" i="31" s="1"/>
  <c r="ES16" i="50"/>
  <c r="AY16" i="50"/>
  <c r="AL26" i="28"/>
  <c r="ES27" i="28"/>
  <c r="BQ29" i="28"/>
  <c r="EL61" i="31"/>
  <c r="EL69" i="31" s="1"/>
  <c r="DJ60" i="31"/>
  <c r="CB25" i="28"/>
  <c r="BL27" i="28"/>
  <c r="DS27" i="28"/>
  <c r="FI61" i="31"/>
  <c r="FI69" i="31" s="1"/>
  <c r="BD25" i="28"/>
  <c r="FU25" i="28"/>
  <c r="BA63" i="31"/>
  <c r="CR60" i="31"/>
  <c r="EK30" i="28"/>
  <c r="DX62" i="31"/>
  <c r="DX69" i="31" s="1"/>
  <c r="AP64" i="31"/>
  <c r="FL64" i="31"/>
  <c r="EL16" i="50"/>
  <c r="BE64" i="31"/>
  <c r="DX65" i="31"/>
  <c r="AL30" i="28"/>
  <c r="GC49" i="31"/>
  <c r="E49" i="31" s="1"/>
  <c r="E47" i="31"/>
  <c r="CE27" i="28"/>
  <c r="BQ59" i="31"/>
  <c r="CO27" i="28"/>
  <c r="AV16" i="50"/>
  <c r="CE16" i="50"/>
  <c r="FT63" i="31"/>
  <c r="CH30" i="28"/>
  <c r="FT24" i="28"/>
  <c r="FT14" i="28" s="1"/>
  <c r="DU28" i="28"/>
  <c r="CO61" i="31"/>
  <c r="CO69" i="31" s="1"/>
  <c r="BE63" i="31"/>
  <c r="AV60" i="31"/>
  <c r="DP28" i="28"/>
  <c r="FT61" i="31"/>
  <c r="AH29" i="28"/>
  <c r="BL24" i="28"/>
  <c r="EL27" i="28"/>
  <c r="FT16" i="50"/>
  <c r="BA29" i="28"/>
  <c r="BI64" i="31"/>
  <c r="DM25" i="28"/>
  <c r="BQ28" i="28"/>
  <c r="AS60" i="31"/>
  <c r="AH27" i="28"/>
  <c r="FB26" i="28"/>
  <c r="AL64" i="31"/>
  <c r="DJ16" i="50"/>
  <c r="FZ64" i="31"/>
  <c r="CE30" i="28"/>
  <c r="FZ25" i="28"/>
  <c r="FI64" i="31"/>
  <c r="FN61" i="31"/>
  <c r="FN69" i="31" s="1"/>
  <c r="DR28" i="28"/>
  <c r="DA64" i="31"/>
  <c r="CS61" i="31"/>
  <c r="BI27" i="28"/>
  <c r="BI10" i="28" s="1"/>
  <c r="CS16" i="50"/>
  <c r="AL63" i="31"/>
  <c r="BD28" i="28"/>
  <c r="BD24" i="28"/>
  <c r="Q27" i="28"/>
  <c r="DE60" i="31"/>
  <c r="FH26" i="28"/>
  <c r="AS63" i="31"/>
  <c r="EK59" i="31"/>
  <c r="EK64" i="31"/>
  <c r="FM28" i="28"/>
  <c r="DG63" i="31"/>
  <c r="AL27" i="28"/>
  <c r="ER29" i="28"/>
  <c r="ER10" i="28" s="1"/>
  <c r="BQ16" i="50"/>
  <c r="AL16" i="50"/>
  <c r="BE60" i="31"/>
  <c r="EK27" i="28"/>
  <c r="AH60" i="31"/>
  <c r="EH30" i="28"/>
  <c r="FB24" i="28"/>
  <c r="AK64" i="31"/>
  <c r="AK16" i="50"/>
  <c r="CO24" i="28"/>
  <c r="BQ62" i="31"/>
  <c r="AH69" i="31"/>
  <c r="AL60" i="31"/>
  <c r="ER16" i="50"/>
  <c r="DP60" i="31"/>
  <c r="FH28" i="28"/>
  <c r="BA25" i="28"/>
  <c r="AH16" i="50"/>
  <c r="FH16" i="50"/>
  <c r="AK30" i="28"/>
  <c r="FH62" i="31"/>
  <c r="CO29" i="28"/>
  <c r="BE10" i="28"/>
  <c r="CB26" i="28"/>
  <c r="CO16" i="50"/>
  <c r="AL69" i="31"/>
  <c r="CB28" i="28"/>
  <c r="DP16" i="50"/>
  <c r="BE16" i="50"/>
  <c r="DS25" i="28"/>
  <c r="EB62" i="31"/>
  <c r="FU65" i="31"/>
  <c r="BK64" i="31"/>
  <c r="EC24" i="28"/>
  <c r="DD62" i="31"/>
  <c r="FI16" i="50"/>
  <c r="CB62" i="31"/>
  <c r="CB69" i="31" s="1"/>
  <c r="Q29" i="28"/>
  <c r="FI63" i="31"/>
  <c r="N65" i="31"/>
  <c r="DS16" i="50"/>
  <c r="CI26" i="28"/>
  <c r="BZ26" i="28"/>
  <c r="CI59" i="31"/>
  <c r="CI69" i="31" s="1"/>
  <c r="AR62" i="31"/>
  <c r="DX60" i="31"/>
  <c r="BK62" i="31"/>
  <c r="BA16" i="50"/>
  <c r="EB61" i="31"/>
  <c r="DS69" i="31"/>
  <c r="FN60" i="31"/>
  <c r="CL60" i="31"/>
  <c r="FU63" i="31"/>
  <c r="CI27" i="28"/>
  <c r="FN27" i="28"/>
  <c r="FB62" i="31"/>
  <c r="FB69" i="31" s="1"/>
  <c r="CK59" i="31"/>
  <c r="CK69" i="31" s="1"/>
  <c r="EF27" i="28"/>
  <c r="AX64" i="31"/>
  <c r="CK29" i="28"/>
  <c r="FB16" i="50"/>
  <c r="DX29" i="28"/>
  <c r="AB30" i="28"/>
  <c r="BA27" i="28"/>
  <c r="DS26" i="28"/>
  <c r="BY60" i="31"/>
  <c r="DS65" i="31"/>
  <c r="DX16" i="50"/>
  <c r="DX28" i="28"/>
  <c r="CH16" i="50"/>
  <c r="CH60" i="31"/>
  <c r="FN16" i="50"/>
  <c r="AC24" i="28"/>
  <c r="AC64" i="31"/>
  <c r="FN63" i="31"/>
  <c r="BL69" i="31"/>
  <c r="EC61" i="31"/>
  <c r="EC69" i="31" s="1"/>
  <c r="EV59" i="31"/>
  <c r="EV69" i="31" s="1"/>
  <c r="FM27" i="28"/>
  <c r="CB64" i="31"/>
  <c r="EB16" i="50"/>
  <c r="EB64" i="31"/>
  <c r="EM65" i="31"/>
  <c r="DA60" i="31"/>
  <c r="FM16" i="50"/>
  <c r="FC63" i="31"/>
  <c r="CK60" i="31"/>
  <c r="FI27" i="28"/>
  <c r="BU28" i="28"/>
  <c r="EK16" i="50"/>
  <c r="BG59" i="31"/>
  <c r="FM69" i="31"/>
  <c r="EB60" i="31"/>
  <c r="BD16" i="50"/>
  <c r="AC65" i="31"/>
  <c r="AB28" i="28"/>
  <c r="CT29" i="28"/>
  <c r="CB16" i="50"/>
  <c r="EH62" i="31"/>
  <c r="EC28" i="28"/>
  <c r="FM29" i="28"/>
  <c r="BD65" i="31"/>
  <c r="AX24" i="28"/>
  <c r="BD61" i="31"/>
  <c r="BD69" i="31" s="1"/>
  <c r="BG28" i="28"/>
  <c r="EP25" i="28"/>
  <c r="CT24" i="28"/>
  <c r="BW27" i="28"/>
  <c r="DI28" i="28"/>
  <c r="DE27" i="28"/>
  <c r="BY27" i="28"/>
  <c r="FN65" i="31"/>
  <c r="BG30" i="28"/>
  <c r="AE26" i="28"/>
  <c r="AR24" i="28"/>
  <c r="EV29" i="28"/>
  <c r="N61" i="31"/>
  <c r="DO26" i="28"/>
  <c r="DG29" i="28"/>
  <c r="DG13" i="28" s="1"/>
  <c r="CS30" i="28"/>
  <c r="DG16" i="50"/>
  <c r="FD62" i="31"/>
  <c r="FR27" i="28"/>
  <c r="FW61" i="31"/>
  <c r="FW69" i="31" s="1"/>
  <c r="DT28" i="28"/>
  <c r="DN28" i="28"/>
  <c r="AS24" i="28"/>
  <c r="DR25" i="28"/>
  <c r="FE62" i="31"/>
  <c r="EM59" i="31"/>
  <c r="CI25" i="28"/>
  <c r="EM28" i="28"/>
  <c r="BG60" i="31"/>
  <c r="ET27" i="28"/>
  <c r="EF69" i="31"/>
  <c r="FR69" i="31"/>
  <c r="CK27" i="28"/>
  <c r="DR64" i="31"/>
  <c r="BK28" i="28"/>
  <c r="BK14" i="28" s="1"/>
  <c r="AS64" i="31"/>
  <c r="AX28" i="28"/>
  <c r="CL26" i="28"/>
  <c r="BZ28" i="28"/>
  <c r="FU64" i="31"/>
  <c r="AR28" i="28"/>
  <c r="BI61" i="31"/>
  <c r="FU61" i="31"/>
  <c r="FU69" i="31" s="1"/>
  <c r="DN29" i="28"/>
  <c r="DN25" i="28"/>
  <c r="FZ63" i="31"/>
  <c r="FC64" i="31"/>
  <c r="BL26" i="28"/>
  <c r="FR26" i="28"/>
  <c r="EF16" i="50"/>
  <c r="FV29" i="28"/>
  <c r="EG27" i="28"/>
  <c r="AM63" i="31"/>
  <c r="BZ69" i="31"/>
  <c r="CW69" i="31"/>
  <c r="FU27" i="28"/>
  <c r="EH16" i="50"/>
  <c r="BN28" i="28"/>
  <c r="AX62" i="31"/>
  <c r="AX69" i="31" s="1"/>
  <c r="EF26" i="28"/>
  <c r="CN65" i="31"/>
  <c r="FR65" i="31"/>
  <c r="BI60" i="31"/>
  <c r="R27" i="28"/>
  <c r="FJ65" i="31"/>
  <c r="BJ60" i="31"/>
  <c r="DA30" i="28"/>
  <c r="DI61" i="31"/>
  <c r="CG14" i="28"/>
  <c r="EC16" i="50"/>
  <c r="EU27" i="28"/>
  <c r="BI65" i="31"/>
  <c r="N62" i="31"/>
  <c r="FM60" i="31"/>
  <c r="DR16" i="50"/>
  <c r="AX60" i="31"/>
  <c r="BZ27" i="28"/>
  <c r="EH28" i="28"/>
  <c r="DR62" i="31"/>
  <c r="DR69" i="31" s="1"/>
  <c r="EQ62" i="31"/>
  <c r="EQ69" i="31" s="1"/>
  <c r="R28" i="28"/>
  <c r="CL29" i="28"/>
  <c r="BI16" i="50"/>
  <c r="EC29" i="28"/>
  <c r="CK16" i="50"/>
  <c r="CK28" i="28"/>
  <c r="AR16" i="50"/>
  <c r="ET65" i="31"/>
  <c r="AD69" i="31"/>
  <c r="AR61" i="31"/>
  <c r="EQ24" i="28"/>
  <c r="DD24" i="28"/>
  <c r="DD28" i="28"/>
  <c r="CP60" i="31"/>
  <c r="BJ59" i="31"/>
  <c r="CW27" i="28"/>
  <c r="AF28" i="28"/>
  <c r="AB64" i="31"/>
  <c r="AF64" i="31"/>
  <c r="AZ63" i="31"/>
  <c r="AE63" i="31"/>
  <c r="BT28" i="28"/>
  <c r="FW25" i="28"/>
  <c r="CY60" i="31"/>
  <c r="BS60" i="31"/>
  <c r="FO30" i="28"/>
  <c r="BN27" i="28"/>
  <c r="CN26" i="28"/>
  <c r="EX65" i="31"/>
  <c r="BZ65" i="31"/>
  <c r="FE26" i="28"/>
  <c r="BL25" i="28"/>
  <c r="EP63" i="31"/>
  <c r="EX24" i="28"/>
  <c r="EX25" i="28"/>
  <c r="BJ63" i="31"/>
  <c r="AW60" i="31"/>
  <c r="AA61" i="31"/>
  <c r="AA69" i="31" s="1"/>
  <c r="EF28" i="28"/>
  <c r="BN60" i="31"/>
  <c r="DE69" i="31"/>
  <c r="BZ25" i="28"/>
  <c r="Q61" i="31"/>
  <c r="Q69" i="31" s="1"/>
  <c r="DE28" i="28"/>
  <c r="Q24" i="28"/>
  <c r="BL64" i="31"/>
  <c r="DE30" i="28"/>
  <c r="DI30" i="28"/>
  <c r="EM26" i="28"/>
  <c r="AW62" i="31"/>
  <c r="DD16" i="50"/>
  <c r="AM25" i="28"/>
  <c r="EP64" i="31"/>
  <c r="AX26" i="28"/>
  <c r="BS65" i="31"/>
  <c r="BZ16" i="50"/>
  <c r="EF64" i="31"/>
  <c r="CY64" i="31"/>
  <c r="FC25" i="28"/>
  <c r="AW61" i="31"/>
  <c r="FE29" i="28"/>
  <c r="N25" i="28"/>
  <c r="FW24" i="28"/>
  <c r="FD60" i="31"/>
  <c r="BG61" i="31"/>
  <c r="FR29" i="28"/>
  <c r="DE16" i="50"/>
  <c r="ET29" i="28"/>
  <c r="CW25" i="28"/>
  <c r="FU16" i="50"/>
  <c r="DA59" i="31"/>
  <c r="DA69" i="31" s="1"/>
  <c r="AX16" i="50"/>
  <c r="DD61" i="31"/>
  <c r="AA63" i="31"/>
  <c r="BU27" i="28"/>
  <c r="EG25" i="28"/>
  <c r="EX61" i="31"/>
  <c r="DW29" i="28"/>
  <c r="DW9" i="28" s="1"/>
  <c r="BS29" i="28"/>
  <c r="BU61" i="31"/>
  <c r="DG65" i="31"/>
  <c r="AA64" i="31"/>
  <c r="DT30" i="28"/>
  <c r="EM29" i="28"/>
  <c r="AR60" i="31"/>
  <c r="BI59" i="31"/>
  <c r="FD28" i="28"/>
  <c r="EM16" i="50"/>
  <c r="DO65" i="31"/>
  <c r="EM62" i="31"/>
  <c r="AC25" i="28"/>
  <c r="Q25" i="28"/>
  <c r="BN30" i="28"/>
  <c r="FZ62" i="31"/>
  <c r="FZ69" i="31" s="1"/>
  <c r="EC25" i="28"/>
  <c r="FC30" i="28"/>
  <c r="R60" i="31"/>
  <c r="DT27" i="28"/>
  <c r="AS65" i="31"/>
  <c r="CL65" i="31"/>
  <c r="FC27" i="28"/>
  <c r="DN24" i="28"/>
  <c r="DN27" i="28"/>
  <c r="DA16" i="50"/>
  <c r="DN16" i="50"/>
  <c r="CT16" i="50"/>
  <c r="BK61" i="31"/>
  <c r="N16" i="50"/>
  <c r="CI16" i="50"/>
  <c r="DT29" i="28"/>
  <c r="AF59" i="31"/>
  <c r="AF69" i="31" s="1"/>
  <c r="CL16" i="50"/>
  <c r="DA28" i="28"/>
  <c r="BK16" i="50"/>
  <c r="BG16" i="50"/>
  <c r="BU30" i="28"/>
  <c r="FW16" i="50"/>
  <c r="BL65" i="31"/>
  <c r="AF26" i="28"/>
  <c r="FC61" i="31"/>
  <c r="FC69" i="31" s="1"/>
  <c r="CI28" i="28"/>
  <c r="Q16" i="50"/>
  <c r="FR28" i="28"/>
  <c r="AC63" i="31"/>
  <c r="AM29" i="28"/>
  <c r="FJ59" i="31"/>
  <c r="FW28" i="28"/>
  <c r="CL59" i="31"/>
  <c r="CL69" i="31" s="1"/>
  <c r="FC16" i="50"/>
  <c r="Q63" i="31"/>
  <c r="AS27" i="28"/>
  <c r="AS69" i="31"/>
  <c r="BG62" i="31"/>
  <c r="FZ65" i="31"/>
  <c r="N24" i="28"/>
  <c r="EV63" i="31"/>
  <c r="CT62" i="31"/>
  <c r="CT69" i="31" s="1"/>
  <c r="AC16" i="50"/>
  <c r="AS16" i="50"/>
  <c r="DT24" i="28"/>
  <c r="FV26" i="28"/>
  <c r="FZ16" i="50"/>
  <c r="BL16" i="50"/>
  <c r="FD29" i="28"/>
  <c r="FD16" i="50"/>
  <c r="EG64" i="31"/>
  <c r="DI60" i="31"/>
  <c r="AA24" i="28"/>
  <c r="EU65" i="31"/>
  <c r="BW29" i="28"/>
  <c r="BM69" i="31"/>
  <c r="AM30" i="28"/>
  <c r="AE62" i="31"/>
  <c r="AE59" i="31"/>
  <c r="AF60" i="31"/>
  <c r="AA27" i="28"/>
  <c r="FO25" i="28"/>
  <c r="DT16" i="50"/>
  <c r="R65" i="31"/>
  <c r="DC30" i="28"/>
  <c r="AA16" i="50"/>
  <c r="AB25" i="28"/>
  <c r="AZ27" i="28"/>
  <c r="AZ10" i="28" s="1"/>
  <c r="ET25" i="28"/>
  <c r="DT69" i="31"/>
  <c r="EQ26" i="28"/>
  <c r="GA63" i="31"/>
  <c r="EG63" i="31"/>
  <c r="BY24" i="28"/>
  <c r="AM59" i="31"/>
  <c r="AM69" i="31" s="1"/>
  <c r="FJ62" i="31"/>
  <c r="DW60" i="31"/>
  <c r="R61" i="31"/>
  <c r="BU16" i="50"/>
  <c r="GA27" i="28"/>
  <c r="BC11" i="28"/>
  <c r="DI16" i="50"/>
  <c r="EG59" i="31"/>
  <c r="EG69" i="31" s="1"/>
  <c r="DI62" i="31"/>
  <c r="FR16" i="50"/>
  <c r="DW16" i="50"/>
  <c r="BY30" i="28"/>
  <c r="AM16" i="50"/>
  <c r="AT29" i="28"/>
  <c r="AZ16" i="50"/>
  <c r="EU61" i="31"/>
  <c r="EG16" i="50"/>
  <c r="EV16" i="50"/>
  <c r="AW65" i="31"/>
  <c r="AZ59" i="31"/>
  <c r="AZ69" i="31" s="1"/>
  <c r="EQ65" i="31"/>
  <c r="FJ26" i="28"/>
  <c r="AW64" i="31"/>
  <c r="BJ61" i="31"/>
  <c r="EP27" i="28"/>
  <c r="EV27" i="28"/>
  <c r="CW30" i="28"/>
  <c r="DD30" i="28"/>
  <c r="EV26" i="28"/>
  <c r="CW29" i="28"/>
  <c r="AM27" i="28"/>
  <c r="AW16" i="50"/>
  <c r="BJ16" i="50"/>
  <c r="FR25" i="28"/>
  <c r="GA61" i="31"/>
  <c r="FV30" i="28"/>
  <c r="AB27" i="28"/>
  <c r="BB61" i="31"/>
  <c r="BU59" i="31"/>
  <c r="FL27" i="28"/>
  <c r="EX63" i="31"/>
  <c r="EQ25" i="28"/>
  <c r="FJ16" i="50"/>
  <c r="EP69" i="31"/>
  <c r="DO25" i="28"/>
  <c r="AB16" i="50"/>
  <c r="CW63" i="31"/>
  <c r="FW65" i="31"/>
  <c r="BN61" i="31"/>
  <c r="BN69" i="31" s="1"/>
  <c r="FJ25" i="28"/>
  <c r="EP26" i="28"/>
  <c r="AE16" i="50"/>
  <c r="AE29" i="28"/>
  <c r="BN16" i="50"/>
  <c r="CW16" i="50"/>
  <c r="DO16" i="50"/>
  <c r="DI24" i="28"/>
  <c r="AF27" i="28"/>
  <c r="CT30" i="28"/>
  <c r="AB61" i="31"/>
  <c r="AB69" i="31" s="1"/>
  <c r="AE65" i="31"/>
  <c r="AF16" i="50"/>
  <c r="DO62" i="31"/>
  <c r="DO69" i="31" s="1"/>
  <c r="AW28" i="28"/>
  <c r="AW13" i="28" s="1"/>
  <c r="EQ63" i="31"/>
  <c r="DW65" i="31"/>
  <c r="AZ65" i="31"/>
  <c r="EQ16" i="50"/>
  <c r="FP27" i="28"/>
  <c r="EX62" i="31"/>
  <c r="EX16" i="50"/>
  <c r="DD60" i="31"/>
  <c r="GA25" i="28"/>
  <c r="EP16" i="50"/>
  <c r="DC60" i="31"/>
  <c r="CY27" i="28"/>
  <c r="CY13" i="28" s="1"/>
  <c r="CP62" i="31"/>
  <c r="CP69" i="31" s="1"/>
  <c r="CY65" i="31"/>
  <c r="CN62" i="31"/>
  <c r="CN69" i="31" s="1"/>
  <c r="FO27" i="28"/>
  <c r="CN63" i="31"/>
  <c r="FO28" i="28"/>
  <c r="ET61" i="31"/>
  <c r="ET69" i="31" s="1"/>
  <c r="CP24" i="28"/>
  <c r="FL69" i="31"/>
  <c r="ET16" i="50"/>
  <c r="BW28" i="28"/>
  <c r="FV59" i="31"/>
  <c r="CP16" i="50"/>
  <c r="BS62" i="31"/>
  <c r="BS69" i="31" s="1"/>
  <c r="FP60" i="31"/>
  <c r="DC29" i="28"/>
  <c r="CP29" i="28"/>
  <c r="FP24" i="28"/>
  <c r="FL26" i="28"/>
  <c r="EU28" i="28"/>
  <c r="FP69" i="31"/>
  <c r="BW61" i="31"/>
  <c r="BW69" i="31" s="1"/>
  <c r="CY63" i="31"/>
  <c r="BS28" i="28"/>
  <c r="FV62" i="31"/>
  <c r="EU64" i="31"/>
  <c r="BS26" i="28"/>
  <c r="CN25" i="28"/>
  <c r="FP26" i="28"/>
  <c r="BW60" i="31"/>
  <c r="BS16" i="50"/>
  <c r="FL16" i="50"/>
  <c r="FE59" i="31"/>
  <c r="CY16" i="50"/>
  <c r="FL28" i="28"/>
  <c r="FL25" i="28"/>
  <c r="DC28" i="28"/>
  <c r="GA65" i="31"/>
  <c r="BW16" i="50"/>
  <c r="DW62" i="31"/>
  <c r="DW69" i="31" s="1"/>
  <c r="BY69" i="31"/>
  <c r="EU59" i="31"/>
  <c r="CP65" i="31"/>
  <c r="GA59" i="31"/>
  <c r="FO64" i="31"/>
  <c r="R16" i="50"/>
  <c r="BE13" i="28"/>
  <c r="FO16" i="50"/>
  <c r="BY16" i="50"/>
  <c r="BE15" i="28"/>
  <c r="FE16" i="50"/>
  <c r="FE30" i="28"/>
  <c r="BE14" i="28"/>
  <c r="BY29" i="28"/>
  <c r="CN29" i="28"/>
  <c r="FV25" i="28"/>
  <c r="DC24" i="28"/>
  <c r="EP30" i="28"/>
  <c r="BE11" i="28"/>
  <c r="CN16" i="50"/>
  <c r="FV16" i="50"/>
  <c r="FP29" i="28"/>
  <c r="BE9" i="28"/>
  <c r="BE12" i="28"/>
  <c r="R59" i="31"/>
  <c r="EU16" i="50"/>
  <c r="FE28" i="28"/>
  <c r="FP16" i="50"/>
  <c r="DC16" i="50"/>
  <c r="DC61" i="31"/>
  <c r="DC69" i="31" s="1"/>
  <c r="GA16" i="50"/>
  <c r="AT61" i="31"/>
  <c r="BX29" i="28"/>
  <c r="CQ28" i="28"/>
  <c r="EY63" i="31"/>
  <c r="FY29" i="28"/>
  <c r="BR63" i="31"/>
  <c r="BP61" i="31"/>
  <c r="BP69" i="31" s="1"/>
  <c r="DU61" i="31"/>
  <c r="EN61" i="31"/>
  <c r="EN69" i="31" s="1"/>
  <c r="BB59" i="31"/>
  <c r="EY29" i="28"/>
  <c r="BO24" i="28"/>
  <c r="FX26" i="28"/>
  <c r="FX11" i="28" s="1"/>
  <c r="CM61" i="31"/>
  <c r="AQ64" i="31"/>
  <c r="CQ65" i="31"/>
  <c r="CZ26" i="28"/>
  <c r="CJ60" i="31"/>
  <c r="DM64" i="31"/>
  <c r="DH29" i="28"/>
  <c r="CF30" i="28"/>
  <c r="BO29" i="28"/>
  <c r="DU62" i="31"/>
  <c r="EN24" i="28"/>
  <c r="FX62" i="31"/>
  <c r="FX69" i="31" s="1"/>
  <c r="P60" i="31"/>
  <c r="EY26" i="28"/>
  <c r="CJ27" i="28"/>
  <c r="DU16" i="50"/>
  <c r="DU59" i="31"/>
  <c r="CQ60" i="31"/>
  <c r="CQ24" i="28"/>
  <c r="EN63" i="31"/>
  <c r="DK28" i="28"/>
  <c r="DU65" i="31"/>
  <c r="CD63" i="31"/>
  <c r="EN25" i="28"/>
  <c r="CJ30" i="28"/>
  <c r="EW63" i="31"/>
  <c r="EZ25" i="28"/>
  <c r="DH27" i="28"/>
  <c r="AG64" i="31"/>
  <c r="CQ61" i="31"/>
  <c r="CQ69" i="31" s="1"/>
  <c r="EE29" i="28"/>
  <c r="AT59" i="31"/>
  <c r="BR29" i="28"/>
  <c r="CM25" i="28"/>
  <c r="CM28" i="28"/>
  <c r="DK25" i="28"/>
  <c r="EI25" i="28"/>
  <c r="AT63" i="31"/>
  <c r="CC24" i="28"/>
  <c r="BB64" i="31"/>
  <c r="EZ28" i="28"/>
  <c r="FY28" i="28"/>
  <c r="Y62" i="31"/>
  <c r="FY59" i="31"/>
  <c r="BX61" i="31"/>
  <c r="BX69" i="31" s="1"/>
  <c r="DM65" i="31"/>
  <c r="CA61" i="31"/>
  <c r="CA69" i="31" s="1"/>
  <c r="EE62" i="31"/>
  <c r="EE25" i="28"/>
  <c r="CM62" i="31"/>
  <c r="FY25" i="28"/>
  <c r="CJ24" i="28"/>
  <c r="AO64" i="31"/>
  <c r="BT59" i="31"/>
  <c r="AQ65" i="31"/>
  <c r="AG60" i="31"/>
  <c r="DM63" i="31"/>
  <c r="EZ62" i="31"/>
  <c r="EZ69" i="31" s="1"/>
  <c r="DM27" i="28"/>
  <c r="BB27" i="28"/>
  <c r="BB12" i="28" s="1"/>
  <c r="AG27" i="28"/>
  <c r="DH30" i="28"/>
  <c r="BR60" i="31"/>
  <c r="BB65" i="31"/>
  <c r="EJ29" i="28"/>
  <c r="EY62" i="31"/>
  <c r="EE61" i="31"/>
  <c r="CA64" i="31"/>
  <c r="DU29" i="28"/>
  <c r="AO63" i="31"/>
  <c r="CC64" i="31"/>
  <c r="BP63" i="31"/>
  <c r="DL61" i="31"/>
  <c r="DL69" i="31" s="1"/>
  <c r="AJ59" i="31"/>
  <c r="CD25" i="28"/>
  <c r="AG69" i="31"/>
  <c r="ED28" i="28"/>
  <c r="EI62" i="31"/>
  <c r="BO30" i="28"/>
  <c r="AG24" i="28"/>
  <c r="BX60" i="31"/>
  <c r="BR16" i="50"/>
  <c r="CJ61" i="31"/>
  <c r="CJ69" i="31" s="1"/>
  <c r="ED24" i="28"/>
  <c r="S27" i="28"/>
  <c r="EJ63" i="31"/>
  <c r="DV16" i="50"/>
  <c r="BR30" i="28"/>
  <c r="DV26" i="28"/>
  <c r="AG16" i="50"/>
  <c r="AJ62" i="31"/>
  <c r="DY64" i="31"/>
  <c r="ED25" i="28"/>
  <c r="BR27" i="28"/>
  <c r="FF65" i="31"/>
  <c r="FY62" i="31"/>
  <c r="DM61" i="31"/>
  <c r="DM69" i="31" s="1"/>
  <c r="FF27" i="28"/>
  <c r="EY59" i="31"/>
  <c r="CZ64" i="31"/>
  <c r="DY69" i="31"/>
  <c r="BO16" i="50"/>
  <c r="O24" i="28"/>
  <c r="EI16" i="50"/>
  <c r="AQ28" i="28"/>
  <c r="CF16" i="50"/>
  <c r="EN27" i="28"/>
  <c r="DY30" i="28"/>
  <c r="DH28" i="28"/>
  <c r="EN16" i="50"/>
  <c r="Y61" i="31"/>
  <c r="AO26" i="28"/>
  <c r="AO30" i="28"/>
  <c r="BO61" i="31"/>
  <c r="BX24" i="28"/>
  <c r="DH60" i="31"/>
  <c r="EI61" i="31"/>
  <c r="CF27" i="28"/>
  <c r="BX30" i="28"/>
  <c r="DY26" i="28"/>
  <c r="EE16" i="50"/>
  <c r="EE28" i="28"/>
  <c r="Y16" i="50"/>
  <c r="AJ65" i="31"/>
  <c r="EY16" i="50"/>
  <c r="EI24" i="28"/>
  <c r="CZ60" i="31"/>
  <c r="BO62" i="31"/>
  <c r="O26" i="28"/>
  <c r="P61" i="31"/>
  <c r="P69" i="31" s="1"/>
  <c r="FF64" i="31"/>
  <c r="DK59" i="31"/>
  <c r="DK69" i="31" s="1"/>
  <c r="EZ65" i="31"/>
  <c r="ED29" i="28"/>
  <c r="P27" i="28"/>
  <c r="DL16" i="50"/>
  <c r="FF69" i="31"/>
  <c r="DH69" i="31"/>
  <c r="O64" i="31"/>
  <c r="EJ24" i="28"/>
  <c r="EN30" i="28"/>
  <c r="FY65" i="31"/>
  <c r="EW24" i="28"/>
  <c r="BT61" i="31"/>
  <c r="BP27" i="28"/>
  <c r="AQ62" i="31"/>
  <c r="AQ69" i="31" s="1"/>
  <c r="P63" i="31"/>
  <c r="CU28" i="28"/>
  <c r="CU27" i="28"/>
  <c r="AT16" i="50"/>
  <c r="CQ16" i="50"/>
  <c r="BB16" i="50"/>
  <c r="AT30" i="28"/>
  <c r="CA25" i="28"/>
  <c r="FY16" i="50"/>
  <c r="AO59" i="31"/>
  <c r="AO69" i="31" s="1"/>
  <c r="DH26" i="28"/>
  <c r="EJ27" i="28"/>
  <c r="BB60" i="31"/>
  <c r="CM64" i="31"/>
  <c r="O65" i="31"/>
  <c r="EJ16" i="50"/>
  <c r="BX16" i="50"/>
  <c r="Y64" i="31"/>
  <c r="DM16" i="50"/>
  <c r="S30" i="28"/>
  <c r="AO16" i="50"/>
  <c r="EE65" i="31"/>
  <c r="DV30" i="28"/>
  <c r="CZ27" i="28"/>
  <c r="DH16" i="50"/>
  <c r="CM16" i="50"/>
  <c r="EJ69" i="31"/>
  <c r="BX27" i="28"/>
  <c r="AT62" i="31"/>
  <c r="CQ29" i="28"/>
  <c r="ED69" i="31"/>
  <c r="AJ11" i="28"/>
  <c r="CZ69" i="31"/>
  <c r="BP60" i="31"/>
  <c r="FF60" i="31"/>
  <c r="FX63" i="31"/>
  <c r="P30" i="28"/>
  <c r="EW30" i="28"/>
  <c r="EW27" i="28"/>
  <c r="AQ24" i="28"/>
  <c r="EZ16" i="50"/>
  <c r="EI30" i="28"/>
  <c r="EJ26" i="28"/>
  <c r="DL25" i="28"/>
  <c r="DL10" i="28" s="1"/>
  <c r="BT60" i="31"/>
  <c r="DK64" i="31"/>
  <c r="AJ60" i="31"/>
  <c r="AQ25" i="28"/>
  <c r="FF16" i="50"/>
  <c r="CZ16" i="50"/>
  <c r="EW25" i="28"/>
  <c r="CD59" i="31"/>
  <c r="AJ15" i="28"/>
  <c r="O16" i="50"/>
  <c r="AJ12" i="28"/>
  <c r="P16" i="50"/>
  <c r="S69" i="31"/>
  <c r="AI16" i="50"/>
  <c r="CU16" i="50"/>
  <c r="DK26" i="28"/>
  <c r="CD30" i="28"/>
  <c r="EY30" i="28"/>
  <c r="EJ65" i="31"/>
  <c r="FF63" i="31"/>
  <c r="CC62" i="31"/>
  <c r="CC69" i="31" s="1"/>
  <c r="CA16" i="50"/>
  <c r="CU24" i="28"/>
  <c r="AJ16" i="50"/>
  <c r="AJ61" i="31"/>
  <c r="DK27" i="28"/>
  <c r="Y65" i="31"/>
  <c r="O27" i="28"/>
  <c r="BP16" i="50"/>
  <c r="CC16" i="50"/>
  <c r="CD61" i="31"/>
  <c r="ED27" i="28"/>
  <c r="ED30" i="28"/>
  <c r="DY63" i="31"/>
  <c r="AJ9" i="28"/>
  <c r="BP30" i="28"/>
  <c r="P64" i="31"/>
  <c r="S16" i="50"/>
  <c r="AN16" i="50"/>
  <c r="DY60" i="31"/>
  <c r="CJ16" i="50"/>
  <c r="BT27" i="28"/>
  <c r="BT16" i="50"/>
  <c r="CD29" i="28"/>
  <c r="FX65" i="31"/>
  <c r="AN62" i="31"/>
  <c r="AN69" i="31" s="1"/>
  <c r="AJ13" i="28"/>
  <c r="AJ14" i="28"/>
  <c r="CZ24" i="28"/>
  <c r="AI64" i="31"/>
  <c r="O62" i="31"/>
  <c r="O69" i="31" s="1"/>
  <c r="DK16" i="50"/>
  <c r="DY16" i="50"/>
  <c r="CD16" i="50"/>
  <c r="FF26" i="28"/>
  <c r="CA30" i="28"/>
  <c r="CU61" i="31"/>
  <c r="CU69" i="31" s="1"/>
  <c r="EW61" i="31"/>
  <c r="EW69" i="31" s="1"/>
  <c r="CA28" i="28"/>
  <c r="AJ10" i="28"/>
  <c r="S24" i="28"/>
  <c r="ED16" i="50"/>
  <c r="CC26" i="28"/>
  <c r="EW16" i="50"/>
  <c r="AN24" i="28"/>
  <c r="AN10" i="28" s="1"/>
  <c r="CJ64" i="31"/>
  <c r="AQ16" i="50"/>
  <c r="FX16" i="50"/>
  <c r="CA27" i="28"/>
  <c r="AJ64" i="31"/>
  <c r="AI28" i="28"/>
  <c r="AI15" i="28" s="1"/>
  <c r="EZ64" i="31"/>
  <c r="EI29" i="28"/>
  <c r="DY27" i="28"/>
  <c r="CY69" i="31"/>
  <c r="GB63" i="31"/>
  <c r="GB59" i="31"/>
  <c r="GB69" i="31" s="1"/>
  <c r="I12" i="28"/>
  <c r="GB30" i="28"/>
  <c r="GB26" i="28"/>
  <c r="FK12" i="28"/>
  <c r="GB64" i="31"/>
  <c r="AU69" i="31"/>
  <c r="GB16" i="50"/>
  <c r="GB25" i="28"/>
  <c r="GB27" i="28"/>
  <c r="FQ10" i="28"/>
  <c r="AI69" i="31"/>
  <c r="FK11" i="28"/>
  <c r="DF11" i="28"/>
  <c r="FK10" i="28"/>
  <c r="FQ69" i="31"/>
  <c r="M12" i="28"/>
  <c r="DB12" i="28"/>
  <c r="FK9" i="28"/>
  <c r="FK15" i="28"/>
  <c r="FK14" i="28"/>
  <c r="FK13" i="28"/>
  <c r="DB13" i="28"/>
  <c r="M13" i="28"/>
  <c r="AU15" i="28"/>
  <c r="Y11" i="28"/>
  <c r="EA12" i="28"/>
  <c r="BJ13" i="28"/>
  <c r="Y10" i="28"/>
  <c r="AU14" i="28"/>
  <c r="BM13" i="28"/>
  <c r="AU10" i="28"/>
  <c r="AU9" i="28"/>
  <c r="AU12" i="28"/>
  <c r="AU11" i="28"/>
  <c r="AU13" i="28"/>
  <c r="G15" i="28"/>
  <c r="DB14" i="28"/>
  <c r="FA69" i="31"/>
  <c r="BC10" i="28"/>
  <c r="DB11" i="28"/>
  <c r="BC14" i="28"/>
  <c r="DB10" i="28"/>
  <c r="DB9" i="28"/>
  <c r="DB15" i="28"/>
  <c r="CX10" i="28"/>
  <c r="BM12" i="28"/>
  <c r="G9" i="28"/>
  <c r="G16" i="28" s="1"/>
  <c r="G10" i="28"/>
  <c r="G14" i="28"/>
  <c r="EA11" i="28"/>
  <c r="EA10" i="28"/>
  <c r="CX13" i="28"/>
  <c r="EA9" i="28"/>
  <c r="AY14" i="28"/>
  <c r="I10" i="28"/>
  <c r="BF14" i="28"/>
  <c r="AD15" i="28"/>
  <c r="G13" i="28"/>
  <c r="AD13" i="28"/>
  <c r="H11" i="28"/>
  <c r="FA10" i="28"/>
  <c r="EA13" i="28"/>
  <c r="Y14" i="28"/>
  <c r="M15" i="28"/>
  <c r="AD14" i="28"/>
  <c r="AD9" i="28"/>
  <c r="Y9" i="28"/>
  <c r="M14" i="28"/>
  <c r="AD10" i="28"/>
  <c r="Y15" i="28"/>
  <c r="EA15" i="28"/>
  <c r="G11" i="28"/>
  <c r="M9" i="28"/>
  <c r="AD11" i="28"/>
  <c r="Y13" i="28"/>
  <c r="EA14" i="28"/>
  <c r="G12" i="28"/>
  <c r="M10" i="28"/>
  <c r="AD12" i="28"/>
  <c r="Y12" i="28"/>
  <c r="M11" i="28"/>
  <c r="FS69" i="31"/>
  <c r="X15" i="28"/>
  <c r="CX11" i="28"/>
  <c r="I13" i="28"/>
  <c r="X11" i="28"/>
  <c r="CX9" i="28"/>
  <c r="CX15" i="28"/>
  <c r="CX14" i="28"/>
  <c r="CX12" i="28"/>
  <c r="I15" i="28"/>
  <c r="I9" i="28"/>
  <c r="I16" i="28" s="1"/>
  <c r="I14" i="28"/>
  <c r="CF69" i="31"/>
  <c r="I11" i="28"/>
  <c r="X12" i="28"/>
  <c r="H12" i="28"/>
  <c r="H14" i="28"/>
  <c r="H13" i="28"/>
  <c r="H15" i="28"/>
  <c r="CG13" i="28"/>
  <c r="H10" i="28"/>
  <c r="H9" i="28"/>
  <c r="H16" i="28" s="1"/>
  <c r="FQ9" i="28"/>
  <c r="FA11" i="28"/>
  <c r="CG12" i="28"/>
  <c r="FQ11" i="28"/>
  <c r="CG11" i="28"/>
  <c r="FQ15" i="28"/>
  <c r="CG10" i="28"/>
  <c r="FQ14" i="28"/>
  <c r="CG9" i="28"/>
  <c r="FQ13" i="28"/>
  <c r="CV15" i="28"/>
  <c r="FQ12" i="28"/>
  <c r="CG15" i="28"/>
  <c r="BV13" i="28"/>
  <c r="J9" i="28"/>
  <c r="J16" i="28" s="1"/>
  <c r="X9" i="28"/>
  <c r="X10" i="28"/>
  <c r="X13" i="28"/>
  <c r="X14" i="28"/>
  <c r="Z69" i="31"/>
  <c r="DQ12" i="28"/>
  <c r="CG69" i="31"/>
  <c r="K69" i="31"/>
  <c r="K10" i="28"/>
  <c r="FS15" i="28"/>
  <c r="BM11" i="28"/>
  <c r="FA9" i="28"/>
  <c r="FA15" i="28"/>
  <c r="FA14" i="28"/>
  <c r="DF10" i="28"/>
  <c r="FA13" i="28"/>
  <c r="FA12" i="28"/>
  <c r="EO15" i="28"/>
  <c r="DQ13" i="28"/>
  <c r="K11" i="28"/>
  <c r="K14" i="28"/>
  <c r="DQ10" i="28"/>
  <c r="BM9" i="28"/>
  <c r="L10" i="28"/>
  <c r="J15" i="28"/>
  <c r="BF10" i="28"/>
  <c r="BM14" i="28"/>
  <c r="DQ15" i="28"/>
  <c r="BF15" i="28"/>
  <c r="BM15" i="28"/>
  <c r="DQ9" i="28"/>
  <c r="DQ14" i="28"/>
  <c r="BM10" i="28"/>
  <c r="DZ11" i="28"/>
  <c r="DQ11" i="28"/>
  <c r="DF15" i="28"/>
  <c r="CV11" i="28"/>
  <c r="BV15" i="28"/>
  <c r="BV14" i="28"/>
  <c r="BJ14" i="28"/>
  <c r="BV12" i="28"/>
  <c r="BV11" i="28"/>
  <c r="BV10" i="28"/>
  <c r="BV9" i="28"/>
  <c r="FS14" i="28"/>
  <c r="BH13" i="28"/>
  <c r="DQ69" i="31"/>
  <c r="J69" i="31"/>
  <c r="DF69" i="31"/>
  <c r="DF9" i="28"/>
  <c r="J10" i="28"/>
  <c r="BF9" i="28"/>
  <c r="J11" i="28"/>
  <c r="BF11" i="28"/>
  <c r="DF14" i="28"/>
  <c r="J12" i="28"/>
  <c r="AV69" i="31"/>
  <c r="BF12" i="28"/>
  <c r="DF13" i="28"/>
  <c r="J13" i="28"/>
  <c r="F13" i="28"/>
  <c r="BF13" i="28"/>
  <c r="DF12" i="28"/>
  <c r="J14" i="28"/>
  <c r="BJ15" i="28"/>
  <c r="BJ9" i="28"/>
  <c r="BJ10" i="28"/>
  <c r="BJ11" i="28"/>
  <c r="BJ12" i="28"/>
  <c r="BH69" i="31"/>
  <c r="L9" i="28"/>
  <c r="L16" i="28" s="1"/>
  <c r="Z10" i="28"/>
  <c r="CV12" i="28"/>
  <c r="BC69" i="31"/>
  <c r="K12" i="28"/>
  <c r="CV10" i="28"/>
  <c r="L11" i="28"/>
  <c r="Z11" i="28"/>
  <c r="K13" i="28"/>
  <c r="CV9" i="28"/>
  <c r="BC15" i="28"/>
  <c r="L12" i="28"/>
  <c r="FS10" i="28"/>
  <c r="BC9" i="28"/>
  <c r="L13" i="28"/>
  <c r="K15" i="28"/>
  <c r="CV14" i="28"/>
  <c r="BC12" i="28"/>
  <c r="L14" i="28"/>
  <c r="K9" i="28"/>
  <c r="K16" i="28" s="1"/>
  <c r="CV13" i="28"/>
  <c r="BC13" i="28"/>
  <c r="L15" i="28"/>
  <c r="BH10" i="28"/>
  <c r="Z13" i="28"/>
  <c r="FS13" i="28"/>
  <c r="Z12" i="28"/>
  <c r="FS12" i="28"/>
  <c r="FS11" i="28"/>
  <c r="Z9" i="28"/>
  <c r="Z15" i="28"/>
  <c r="FS9" i="28"/>
  <c r="Z14" i="28"/>
  <c r="FG13" i="28"/>
  <c r="FG14" i="28"/>
  <c r="BH14" i="28"/>
  <c r="FG12" i="28"/>
  <c r="F10" i="28"/>
  <c r="BH15" i="28"/>
  <c r="FG11" i="28"/>
  <c r="F12" i="28"/>
  <c r="F14" i="28"/>
  <c r="BH11" i="28"/>
  <c r="BH12" i="28"/>
  <c r="FG10" i="28"/>
  <c r="F11" i="28"/>
  <c r="BH9" i="28"/>
  <c r="FG9" i="28"/>
  <c r="F15" i="28"/>
  <c r="FG15" i="28"/>
  <c r="F9" i="28"/>
  <c r="F16" i="28" s="1"/>
  <c r="G17" i="50"/>
  <c r="GC65" i="31"/>
  <c r="GC30" i="28"/>
  <c r="GC64" i="31"/>
  <c r="GC29" i="28"/>
  <c r="GC63" i="31"/>
  <c r="GC28" i="28"/>
  <c r="GC62" i="31"/>
  <c r="GC27" i="28"/>
  <c r="GC61" i="31"/>
  <c r="GC26" i="28"/>
  <c r="GC60" i="31"/>
  <c r="GC25" i="28"/>
  <c r="GC59" i="31"/>
  <c r="GC24" i="28"/>
  <c r="GC16" i="50"/>
  <c r="EO12" i="28" l="1"/>
  <c r="EO10" i="28"/>
  <c r="EO11" i="28"/>
  <c r="DZ12" i="28"/>
  <c r="DZ13" i="28"/>
  <c r="DZ10" i="28"/>
  <c r="EO9" i="28"/>
  <c r="DZ14" i="28"/>
  <c r="EO13" i="28"/>
  <c r="DZ9" i="28"/>
  <c r="EO14" i="28"/>
  <c r="AY9" i="28"/>
  <c r="AY13" i="28"/>
  <c r="AY11" i="28"/>
  <c r="AY12" i="28"/>
  <c r="AY10" i="28"/>
  <c r="DJ12" i="28"/>
  <c r="DJ15" i="28"/>
  <c r="AY69" i="31"/>
  <c r="DJ14" i="28"/>
  <c r="CR14" i="28"/>
  <c r="DJ11" i="28"/>
  <c r="DJ13" i="28"/>
  <c r="ER69" i="31"/>
  <c r="EB9" i="28"/>
  <c r="EB10" i="28"/>
  <c r="EB13" i="28"/>
  <c r="EB15" i="28"/>
  <c r="EB14" i="28"/>
  <c r="EB11" i="28"/>
  <c r="DJ9" i="28"/>
  <c r="DJ10" i="28"/>
  <c r="FI10" i="28"/>
  <c r="BE69" i="31"/>
  <c r="FT9" i="28"/>
  <c r="FT17" i="28" s="1"/>
  <c r="FT67" i="31" s="1"/>
  <c r="EK69" i="31"/>
  <c r="CH11" i="28"/>
  <c r="AV14" i="28"/>
  <c r="DP14" i="28"/>
  <c r="AP11" i="28"/>
  <c r="AP15" i="28"/>
  <c r="AP14" i="28"/>
  <c r="AP10" i="28"/>
  <c r="AP13" i="28"/>
  <c r="AP9" i="28"/>
  <c r="AP12" i="28"/>
  <c r="CS10" i="28"/>
  <c r="CS69" i="31"/>
  <c r="CR10" i="28"/>
  <c r="CR12" i="28"/>
  <c r="AL14" i="28"/>
  <c r="EO69" i="31"/>
  <c r="EL12" i="28"/>
  <c r="FD69" i="31"/>
  <c r="AV15" i="28"/>
  <c r="EL14" i="28"/>
  <c r="AV9" i="28"/>
  <c r="AV17" i="28" s="1"/>
  <c r="AV67" i="31" s="1"/>
  <c r="AV13" i="28"/>
  <c r="AV10" i="28"/>
  <c r="CR11" i="28"/>
  <c r="CR13" i="28"/>
  <c r="AV11" i="28"/>
  <c r="CR9" i="28"/>
  <c r="CR15" i="28"/>
  <c r="EH69" i="31"/>
  <c r="FN9" i="28"/>
  <c r="FH69" i="31"/>
  <c r="FB12" i="28"/>
  <c r="EG9" i="28"/>
  <c r="ES14" i="28"/>
  <c r="AK9" i="28"/>
  <c r="AK17" i="28" s="1"/>
  <c r="AK67" i="31" s="1"/>
  <c r="EL13" i="28"/>
  <c r="ES11" i="28"/>
  <c r="ES13" i="28"/>
  <c r="ES10" i="28"/>
  <c r="ES15" i="28"/>
  <c r="ES9" i="28"/>
  <c r="ES12" i="28"/>
  <c r="FT13" i="28"/>
  <c r="AL15" i="28"/>
  <c r="FZ15" i="28"/>
  <c r="EK11" i="28"/>
  <c r="FT69" i="31"/>
  <c r="AL12" i="28"/>
  <c r="CH13" i="28"/>
  <c r="FB14" i="28"/>
  <c r="EL10" i="28"/>
  <c r="FB10" i="28"/>
  <c r="AL11" i="28"/>
  <c r="AL10" i="28"/>
  <c r="AL9" i="28"/>
  <c r="EL11" i="28"/>
  <c r="FN13" i="28"/>
  <c r="EL15" i="28"/>
  <c r="AL13" i="28"/>
  <c r="EL9" i="28"/>
  <c r="BQ13" i="28"/>
  <c r="FU10" i="28"/>
  <c r="DU14" i="28"/>
  <c r="AH10" i="28"/>
  <c r="CH15" i="28"/>
  <c r="BQ15" i="28"/>
  <c r="CH9" i="28"/>
  <c r="CH12" i="28"/>
  <c r="AH15" i="28"/>
  <c r="FT10" i="28"/>
  <c r="FT11" i="28"/>
  <c r="FT12" i="28"/>
  <c r="AH12" i="28"/>
  <c r="FT15" i="28"/>
  <c r="AH13" i="28"/>
  <c r="AH11" i="28"/>
  <c r="AH14" i="28"/>
  <c r="AH9" i="28"/>
  <c r="CH10" i="28"/>
  <c r="BQ14" i="28"/>
  <c r="BQ9" i="28"/>
  <c r="CH14" i="28"/>
  <c r="BQ11" i="28"/>
  <c r="BQ10" i="28"/>
  <c r="BQ12" i="28"/>
  <c r="CE13" i="28"/>
  <c r="FN14" i="28"/>
  <c r="BQ69" i="31"/>
  <c r="CE11" i="28"/>
  <c r="CE14" i="28"/>
  <c r="CE15" i="28"/>
  <c r="DP13" i="28"/>
  <c r="CE12" i="28"/>
  <c r="DP9" i="28"/>
  <c r="DQ17" i="28" s="1"/>
  <c r="DQ67" i="31" s="1"/>
  <c r="DP15" i="28"/>
  <c r="DP10" i="28"/>
  <c r="DM11" i="28"/>
  <c r="CE9" i="28"/>
  <c r="DP11" i="28"/>
  <c r="DP12" i="28"/>
  <c r="CE10" i="28"/>
  <c r="DS12" i="28"/>
  <c r="EH13" i="28"/>
  <c r="FB9" i="28"/>
  <c r="FB17" i="28" s="1"/>
  <c r="FB67" i="31" s="1"/>
  <c r="FN10" i="28"/>
  <c r="FN12" i="28"/>
  <c r="FB15" i="28"/>
  <c r="FB13" i="28"/>
  <c r="FN11" i="28"/>
  <c r="FN15" i="28"/>
  <c r="FB11" i="28"/>
  <c r="FH15" i="28"/>
  <c r="FH14" i="28"/>
  <c r="DR9" i="28"/>
  <c r="DR17" i="28" s="1"/>
  <c r="DR67" i="31" s="1"/>
  <c r="CB10" i="28"/>
  <c r="BA12" i="28"/>
  <c r="FH12" i="28"/>
  <c r="FH9" i="28"/>
  <c r="ER12" i="28"/>
  <c r="FH10" i="28"/>
  <c r="ER11" i="28"/>
  <c r="ER14" i="28"/>
  <c r="ER15" i="28"/>
  <c r="FH11" i="28"/>
  <c r="FH13" i="28"/>
  <c r="ER9" i="28"/>
  <c r="ER13" i="28"/>
  <c r="BA9" i="28"/>
  <c r="BI15" i="28"/>
  <c r="EB69" i="31"/>
  <c r="BA11" i="28"/>
  <c r="CO15" i="28"/>
  <c r="BI13" i="28"/>
  <c r="BA13" i="28"/>
  <c r="BA10" i="28"/>
  <c r="BI12" i="28"/>
  <c r="BA15" i="28"/>
  <c r="BI14" i="28"/>
  <c r="BI9" i="28"/>
  <c r="BI17" i="28" s="1"/>
  <c r="BI67" i="31" s="1"/>
  <c r="BA14" i="28"/>
  <c r="BI11" i="28"/>
  <c r="FZ10" i="28"/>
  <c r="FZ14" i="28"/>
  <c r="FZ12" i="28"/>
  <c r="FZ13" i="28"/>
  <c r="FZ9" i="28"/>
  <c r="FZ11" i="28"/>
  <c r="BD13" i="28"/>
  <c r="BD15" i="28"/>
  <c r="BD12" i="28"/>
  <c r="BD11" i="28"/>
  <c r="BD14" i="28"/>
  <c r="BD9" i="28"/>
  <c r="BE17" i="28" s="1"/>
  <c r="BE67" i="31" s="1"/>
  <c r="BD10" i="28"/>
  <c r="CB12" i="28"/>
  <c r="AK12" i="28"/>
  <c r="AK15" i="28"/>
  <c r="EK10" i="28"/>
  <c r="EK13" i="28"/>
  <c r="EK12" i="28"/>
  <c r="EK14" i="28"/>
  <c r="EK15" i="28"/>
  <c r="EK9" i="28"/>
  <c r="CB14" i="28"/>
  <c r="CB13" i="28"/>
  <c r="CB9" i="28"/>
  <c r="CB11" i="28"/>
  <c r="CB15" i="28"/>
  <c r="DD69" i="31"/>
  <c r="AK10" i="28"/>
  <c r="AK11" i="28"/>
  <c r="AK14" i="28"/>
  <c r="AK13" i="28"/>
  <c r="DS14" i="28"/>
  <c r="CO10" i="28"/>
  <c r="DS11" i="28"/>
  <c r="CO11" i="28"/>
  <c r="DS13" i="28"/>
  <c r="DS15" i="28"/>
  <c r="DS9" i="28"/>
  <c r="DS10" i="28"/>
  <c r="CO12" i="28"/>
  <c r="CO13" i="28"/>
  <c r="CO9" i="28"/>
  <c r="CO14" i="28"/>
  <c r="AR69" i="31"/>
  <c r="DX9" i="28"/>
  <c r="DX17" i="28" s="1"/>
  <c r="DX67" i="31" s="1"/>
  <c r="DX12" i="28"/>
  <c r="DX14" i="28"/>
  <c r="FE69" i="31"/>
  <c r="AE9" i="28"/>
  <c r="AE17" i="28" s="1"/>
  <c r="AE67" i="31" s="1"/>
  <c r="DX10" i="28"/>
  <c r="DX13" i="28"/>
  <c r="DX15" i="28"/>
  <c r="DX11" i="28"/>
  <c r="BK13" i="28"/>
  <c r="BK69" i="31"/>
  <c r="CT15" i="28"/>
  <c r="BK10" i="28"/>
  <c r="BK9" i="28"/>
  <c r="BK17" i="28" s="1"/>
  <c r="BK67" i="31" s="1"/>
  <c r="BK15" i="28"/>
  <c r="BK11" i="28"/>
  <c r="BK12" i="28"/>
  <c r="CT10" i="28"/>
  <c r="AR14" i="28"/>
  <c r="FM11" i="28"/>
  <c r="DW13" i="28"/>
  <c r="DG10" i="28"/>
  <c r="DG11" i="28"/>
  <c r="EC13" i="28"/>
  <c r="FM14" i="28"/>
  <c r="FM13" i="28"/>
  <c r="FM12" i="28"/>
  <c r="FM15" i="28"/>
  <c r="FM9" i="28"/>
  <c r="FM10" i="28"/>
  <c r="FI15" i="28"/>
  <c r="FI11" i="28"/>
  <c r="FI9" i="28"/>
  <c r="AC14" i="28"/>
  <c r="DO13" i="28"/>
  <c r="BG15" i="28"/>
  <c r="FC13" i="28"/>
  <c r="CK13" i="28"/>
  <c r="BL12" i="28"/>
  <c r="CS11" i="28"/>
  <c r="AR10" i="28"/>
  <c r="AR15" i="28"/>
  <c r="CK10" i="28"/>
  <c r="EH14" i="28"/>
  <c r="CK9" i="28"/>
  <c r="CK14" i="28"/>
  <c r="FI13" i="28"/>
  <c r="AR9" i="28"/>
  <c r="FI12" i="28"/>
  <c r="FI14" i="28"/>
  <c r="BG14" i="28"/>
  <c r="DR15" i="28"/>
  <c r="CK15" i="28"/>
  <c r="BG10" i="28"/>
  <c r="FU13" i="28"/>
  <c r="CS12" i="28"/>
  <c r="DR12" i="28"/>
  <c r="BG9" i="28"/>
  <c r="BG17" i="28" s="1"/>
  <c r="BG67" i="31" s="1"/>
  <c r="BG12" i="28"/>
  <c r="BG13" i="28"/>
  <c r="R15" i="28"/>
  <c r="CS15" i="28"/>
  <c r="FU9" i="28"/>
  <c r="DR11" i="28"/>
  <c r="BG11" i="28"/>
  <c r="CS13" i="28"/>
  <c r="DR13" i="28"/>
  <c r="FU11" i="28"/>
  <c r="DR10" i="28"/>
  <c r="EC12" i="28"/>
  <c r="CS9" i="28"/>
  <c r="DR14" i="28"/>
  <c r="EC11" i="28"/>
  <c r="FU14" i="28"/>
  <c r="CS14" i="28"/>
  <c r="CK11" i="28"/>
  <c r="R13" i="28"/>
  <c r="R11" i="28"/>
  <c r="R12" i="28"/>
  <c r="R9" i="28"/>
  <c r="AR13" i="28"/>
  <c r="AR11" i="28"/>
  <c r="CK12" i="28"/>
  <c r="R14" i="28"/>
  <c r="AR12" i="28"/>
  <c r="CL9" i="28"/>
  <c r="N69" i="31"/>
  <c r="DA15" i="28"/>
  <c r="EX13" i="28"/>
  <c r="DG15" i="28"/>
  <c r="DG12" i="28"/>
  <c r="EX11" i="28"/>
  <c r="CL10" i="28"/>
  <c r="CT11" i="28"/>
  <c r="DG9" i="28"/>
  <c r="DG17" i="28" s="1"/>
  <c r="DG67" i="31" s="1"/>
  <c r="AS10" i="28"/>
  <c r="DG14" i="28"/>
  <c r="CL12" i="28"/>
  <c r="CL13" i="28"/>
  <c r="CL11" i="28"/>
  <c r="DA9" i="28"/>
  <c r="DB17" i="28" s="1"/>
  <c r="DB67" i="31" s="1"/>
  <c r="CL14" i="28"/>
  <c r="CL15" i="28"/>
  <c r="DA10" i="28"/>
  <c r="EX14" i="28"/>
  <c r="DA14" i="28"/>
  <c r="EX12" i="28"/>
  <c r="DA12" i="28"/>
  <c r="EX10" i="28"/>
  <c r="DA13" i="28"/>
  <c r="EX15" i="28"/>
  <c r="DA11" i="28"/>
  <c r="EM69" i="31"/>
  <c r="BI69" i="31"/>
  <c r="CI15" i="28"/>
  <c r="AX9" i="28"/>
  <c r="AF14" i="28"/>
  <c r="R10" i="28"/>
  <c r="FC11" i="28"/>
  <c r="EF13" i="28"/>
  <c r="BZ11" i="28"/>
  <c r="DI69" i="31"/>
  <c r="AX13" i="28"/>
  <c r="FU15" i="28"/>
  <c r="BZ13" i="28"/>
  <c r="BL11" i="28"/>
  <c r="EF9" i="28"/>
  <c r="EG17" i="28" s="1"/>
  <c r="EG67" i="31" s="1"/>
  <c r="BZ14" i="28"/>
  <c r="EF12" i="28"/>
  <c r="AX12" i="28"/>
  <c r="EU11" i="28"/>
  <c r="BZ9" i="28"/>
  <c r="BZ12" i="28"/>
  <c r="EF14" i="28"/>
  <c r="BZ15" i="28"/>
  <c r="EF11" i="28"/>
  <c r="EF15" i="28"/>
  <c r="EF10" i="28"/>
  <c r="FU12" i="28"/>
  <c r="BJ69" i="31"/>
  <c r="EG12" i="28"/>
  <c r="BL15" i="28"/>
  <c r="BL9" i="28"/>
  <c r="BM17" i="28" s="1"/>
  <c r="BM67" i="31" s="1"/>
  <c r="BL14" i="28"/>
  <c r="BL13" i="28"/>
  <c r="BL10" i="28"/>
  <c r="EC10" i="28"/>
  <c r="BT9" i="28"/>
  <c r="BZ10" i="28"/>
  <c r="EX9" i="28"/>
  <c r="N14" i="28"/>
  <c r="AB12" i="28"/>
  <c r="DD10" i="28"/>
  <c r="EH10" i="28"/>
  <c r="DD11" i="28"/>
  <c r="EH15" i="28"/>
  <c r="EH12" i="28"/>
  <c r="DD12" i="28"/>
  <c r="FD15" i="28"/>
  <c r="EH11" i="28"/>
  <c r="EH9" i="28"/>
  <c r="DD14" i="28"/>
  <c r="DD15" i="28"/>
  <c r="DD9" i="28"/>
  <c r="DD13" i="28"/>
  <c r="AW69" i="31"/>
  <c r="BU9" i="28"/>
  <c r="BV17" i="28" s="1"/>
  <c r="BV67" i="31" s="1"/>
  <c r="BU12" i="28"/>
  <c r="FD13" i="28"/>
  <c r="BN15" i="28"/>
  <c r="AC9" i="28"/>
  <c r="AS15" i="28"/>
  <c r="EG15" i="28"/>
  <c r="AC13" i="28"/>
  <c r="FR11" i="28"/>
  <c r="FC9" i="28"/>
  <c r="EM9" i="28"/>
  <c r="GA69" i="31"/>
  <c r="AF10" i="28"/>
  <c r="Q14" i="28"/>
  <c r="EG10" i="28"/>
  <c r="AS11" i="28"/>
  <c r="AC12" i="28"/>
  <c r="AS12" i="28"/>
  <c r="EG11" i="28"/>
  <c r="EG13" i="28"/>
  <c r="AS13" i="28"/>
  <c r="AC10" i="28"/>
  <c r="AS9" i="28"/>
  <c r="AS14" i="28"/>
  <c r="AC15" i="28"/>
  <c r="AC11" i="28"/>
  <c r="EM10" i="28"/>
  <c r="EG14" i="28"/>
  <c r="Q12" i="28"/>
  <c r="EQ10" i="28"/>
  <c r="AA10" i="28"/>
  <c r="DN9" i="28"/>
  <c r="ET9" i="28"/>
  <c r="FW11" i="28"/>
  <c r="DE14" i="28"/>
  <c r="BU10" i="28"/>
  <c r="FR12" i="28"/>
  <c r="AB14" i="28"/>
  <c r="FE15" i="28"/>
  <c r="DI9" i="28"/>
  <c r="EU14" i="28"/>
  <c r="DE12" i="28"/>
  <c r="DE9" i="28"/>
  <c r="DF17" i="28" s="1"/>
  <c r="DF67" i="31" s="1"/>
  <c r="EU10" i="28"/>
  <c r="FC10" i="28"/>
  <c r="FC15" i="28"/>
  <c r="FC14" i="28"/>
  <c r="EU9" i="28"/>
  <c r="DE10" i="28"/>
  <c r="DE13" i="28"/>
  <c r="FC12" i="28"/>
  <c r="EU13" i="28"/>
  <c r="EU12" i="28"/>
  <c r="BN11" i="28"/>
  <c r="DE15" i="28"/>
  <c r="EU15" i="28"/>
  <c r="DW12" i="28"/>
  <c r="DW15" i="28"/>
  <c r="DE11" i="28"/>
  <c r="DW14" i="28"/>
  <c r="DW10" i="28"/>
  <c r="BN9" i="28"/>
  <c r="BN17" i="28" s="1"/>
  <c r="BN67" i="31" s="1"/>
  <c r="BN10" i="28"/>
  <c r="BN12" i="28"/>
  <c r="BN13" i="28"/>
  <c r="DW11" i="28"/>
  <c r="BN14" i="28"/>
  <c r="N15" i="28"/>
  <c r="FE11" i="28"/>
  <c r="DI14" i="28"/>
  <c r="AA12" i="28"/>
  <c r="FW12" i="28"/>
  <c r="FE10" i="28"/>
  <c r="DI10" i="28"/>
  <c r="FR15" i="28"/>
  <c r="FJ69" i="31"/>
  <c r="AF11" i="28"/>
  <c r="DI12" i="28"/>
  <c r="DI15" i="28"/>
  <c r="FR9" i="28"/>
  <c r="FS17" i="28" s="1"/>
  <c r="FS67" i="31" s="1"/>
  <c r="DI13" i="28"/>
  <c r="R69" i="31"/>
  <c r="FR10" i="28"/>
  <c r="FE9" i="28"/>
  <c r="FE13" i="28"/>
  <c r="AF9" i="28"/>
  <c r="FR13" i="28"/>
  <c r="FR14" i="28"/>
  <c r="DI11" i="28"/>
  <c r="EQ12" i="28"/>
  <c r="AF15" i="28"/>
  <c r="DN10" i="28"/>
  <c r="FD10" i="28"/>
  <c r="BG69" i="31"/>
  <c r="EM11" i="28"/>
  <c r="AF13" i="28"/>
  <c r="EM13" i="28"/>
  <c r="EM15" i="28"/>
  <c r="FW14" i="28"/>
  <c r="FW9" i="28"/>
  <c r="BU15" i="28"/>
  <c r="CT9" i="28"/>
  <c r="Q13" i="28"/>
  <c r="Q10" i="28"/>
  <c r="AX10" i="28"/>
  <c r="AX15" i="28"/>
  <c r="DN13" i="28"/>
  <c r="Q15" i="28"/>
  <c r="AX14" i="28"/>
  <c r="AX11" i="28"/>
  <c r="BU69" i="31"/>
  <c r="EC14" i="28"/>
  <c r="CT13" i="28"/>
  <c r="EM14" i="28"/>
  <c r="DN11" i="28"/>
  <c r="DN14" i="28"/>
  <c r="Q11" i="28"/>
  <c r="EQ15" i="28"/>
  <c r="FW15" i="28"/>
  <c r="EX69" i="31"/>
  <c r="EC15" i="28"/>
  <c r="EC9" i="28"/>
  <c r="AF12" i="28"/>
  <c r="DN15" i="28"/>
  <c r="DN12" i="28"/>
  <c r="BU11" i="28"/>
  <c r="BU13" i="28"/>
  <c r="N12" i="28"/>
  <c r="N9" i="28"/>
  <c r="CT12" i="28"/>
  <c r="EM12" i="28"/>
  <c r="CT14" i="28"/>
  <c r="Q9" i="28"/>
  <c r="BU14" i="28"/>
  <c r="FD11" i="28"/>
  <c r="FD14" i="28"/>
  <c r="FJ9" i="28"/>
  <c r="AE69" i="31"/>
  <c r="EV12" i="28"/>
  <c r="FD12" i="28"/>
  <c r="DT12" i="28"/>
  <c r="DT9" i="28"/>
  <c r="DT13" i="28"/>
  <c r="DT14" i="28"/>
  <c r="DT10" i="28"/>
  <c r="DT15" i="28"/>
  <c r="DT11" i="28"/>
  <c r="FJ13" i="28"/>
  <c r="FJ10" i="28"/>
  <c r="FJ15" i="28"/>
  <c r="FJ12" i="28"/>
  <c r="DO10" i="28"/>
  <c r="AB9" i="28"/>
  <c r="CW12" i="28"/>
  <c r="CI9" i="28"/>
  <c r="DO11" i="28"/>
  <c r="CI13" i="28"/>
  <c r="AE10" i="28"/>
  <c r="CI12" i="28"/>
  <c r="DO9" i="28"/>
  <c r="CI14" i="28"/>
  <c r="CI10" i="28"/>
  <c r="CI11" i="28"/>
  <c r="DO14" i="28"/>
  <c r="DO15" i="28"/>
  <c r="DO12" i="28"/>
  <c r="AB13" i="28"/>
  <c r="FJ14" i="28"/>
  <c r="CW13" i="28"/>
  <c r="CW11" i="28"/>
  <c r="CW14" i="28"/>
  <c r="BY13" i="28"/>
  <c r="FJ11" i="28"/>
  <c r="EQ13" i="28"/>
  <c r="EQ9" i="28"/>
  <c r="CW15" i="28"/>
  <c r="N11" i="28"/>
  <c r="FW13" i="28"/>
  <c r="N10" i="28"/>
  <c r="FD9" i="28"/>
  <c r="EQ11" i="28"/>
  <c r="CW9" i="28"/>
  <c r="CW17" i="28" s="1"/>
  <c r="CW67" i="31" s="1"/>
  <c r="FW10" i="28"/>
  <c r="EQ14" i="28"/>
  <c r="CW10" i="28"/>
  <c r="N13" i="28"/>
  <c r="BW15" i="28"/>
  <c r="AE12" i="28"/>
  <c r="AB10" i="28"/>
  <c r="AB11" i="28"/>
  <c r="AE14" i="28"/>
  <c r="CY11" i="28"/>
  <c r="CY12" i="28"/>
  <c r="AE11" i="28"/>
  <c r="AB15" i="28"/>
  <c r="AW12" i="28"/>
  <c r="AW9" i="28"/>
  <c r="AW15" i="28"/>
  <c r="AW11" i="28"/>
  <c r="AW10" i="28"/>
  <c r="BY12" i="28"/>
  <c r="AZ9" i="28"/>
  <c r="AZ13" i="28"/>
  <c r="AZ14" i="28"/>
  <c r="EV9" i="28"/>
  <c r="FO9" i="28"/>
  <c r="FO17" i="28" s="1"/>
  <c r="FO67" i="31" s="1"/>
  <c r="BB69" i="31"/>
  <c r="AA13" i="28"/>
  <c r="AZ15" i="28"/>
  <c r="AZ12" i="28"/>
  <c r="AZ11" i="28"/>
  <c r="EU69" i="31"/>
  <c r="AW14" i="28"/>
  <c r="AA15" i="28"/>
  <c r="ET14" i="28"/>
  <c r="ET11" i="28"/>
  <c r="AE15" i="28"/>
  <c r="ET10" i="28"/>
  <c r="AA14" i="28"/>
  <c r="ET12" i="28"/>
  <c r="AT13" i="28"/>
  <c r="AA9" i="28"/>
  <c r="AA11" i="28"/>
  <c r="ET15" i="28"/>
  <c r="GA9" i="28"/>
  <c r="AM13" i="28"/>
  <c r="ET13" i="28"/>
  <c r="AE13" i="28"/>
  <c r="EV14" i="28"/>
  <c r="EV10" i="28"/>
  <c r="GA11" i="28"/>
  <c r="GA12" i="28"/>
  <c r="AM14" i="28"/>
  <c r="GA10" i="28"/>
  <c r="EV13" i="28"/>
  <c r="GA15" i="28"/>
  <c r="AM11" i="28"/>
  <c r="AM9" i="28"/>
  <c r="EV11" i="28"/>
  <c r="GA13" i="28"/>
  <c r="AM12" i="28"/>
  <c r="EV15" i="28"/>
  <c r="GA14" i="28"/>
  <c r="AM10" i="28"/>
  <c r="FV11" i="28"/>
  <c r="AM15" i="28"/>
  <c r="EP10" i="28"/>
  <c r="FO10" i="28"/>
  <c r="FO12" i="28"/>
  <c r="FO11" i="28"/>
  <c r="FO13" i="28"/>
  <c r="FO14" i="28"/>
  <c r="FO15" i="28"/>
  <c r="CY15" i="28"/>
  <c r="CY10" i="28"/>
  <c r="CY14" i="28"/>
  <c r="CY9" i="28"/>
  <c r="CY17" i="28" s="1"/>
  <c r="CY67" i="31" s="1"/>
  <c r="BS12" i="28"/>
  <c r="FL14" i="28"/>
  <c r="EP14" i="28"/>
  <c r="FE14" i="28"/>
  <c r="FL11" i="28"/>
  <c r="FL12" i="28"/>
  <c r="EP13" i="28"/>
  <c r="BW13" i="28"/>
  <c r="FL9" i="28"/>
  <c r="FL13" i="28"/>
  <c r="FL15" i="28"/>
  <c r="FL10" i="28"/>
  <c r="EP11" i="28"/>
  <c r="BW11" i="28"/>
  <c r="BW10" i="28"/>
  <c r="EP12" i="28"/>
  <c r="EP9" i="28"/>
  <c r="EP15" i="28"/>
  <c r="BW12" i="28"/>
  <c r="BY11" i="28"/>
  <c r="FV69" i="31"/>
  <c r="BS10" i="28"/>
  <c r="BS13" i="28"/>
  <c r="CP14" i="28"/>
  <c r="CP11" i="28"/>
  <c r="CP9" i="28"/>
  <c r="BS9" i="28"/>
  <c r="CP10" i="28"/>
  <c r="CP13" i="28"/>
  <c r="CP12" i="28"/>
  <c r="BS11" i="28"/>
  <c r="BS15" i="28"/>
  <c r="BS14" i="28"/>
  <c r="CP15" i="28"/>
  <c r="BW9" i="28"/>
  <c r="BW14" i="28"/>
  <c r="FP14" i="28"/>
  <c r="DC12" i="28"/>
  <c r="FP9" i="28"/>
  <c r="FQ17" i="28" s="1"/>
  <c r="FQ67" i="31" s="1"/>
  <c r="FE12" i="28"/>
  <c r="DC9" i="28"/>
  <c r="FV10" i="28"/>
  <c r="FV13" i="28"/>
  <c r="FV14" i="28"/>
  <c r="FV15" i="28"/>
  <c r="FV9" i="28"/>
  <c r="FV12" i="28"/>
  <c r="DC11" i="28"/>
  <c r="BE16" i="28"/>
  <c r="BE66" i="31" s="1"/>
  <c r="CN10" i="28"/>
  <c r="BY15" i="28"/>
  <c r="FP11" i="28"/>
  <c r="FP10" i="28"/>
  <c r="BY10" i="28"/>
  <c r="FP15" i="28"/>
  <c r="BY14" i="28"/>
  <c r="BY9" i="28"/>
  <c r="FP13" i="28"/>
  <c r="FP12" i="28"/>
  <c r="BF17" i="28"/>
  <c r="BF67" i="31" s="1"/>
  <c r="CN12" i="28"/>
  <c r="CN13" i="28"/>
  <c r="CN11" i="28"/>
  <c r="CN15" i="28"/>
  <c r="CN14" i="28"/>
  <c r="CN9" i="28"/>
  <c r="DC15" i="28"/>
  <c r="DC13" i="28"/>
  <c r="DC14" i="28"/>
  <c r="DC10" i="28"/>
  <c r="DU69" i="31"/>
  <c r="EY13" i="28"/>
  <c r="AT14" i="28"/>
  <c r="CJ11" i="28"/>
  <c r="CF13" i="28"/>
  <c r="FX14" i="28"/>
  <c r="FX15" i="28"/>
  <c r="FX9" i="28"/>
  <c r="FX10" i="28"/>
  <c r="FX12" i="28"/>
  <c r="FX13" i="28"/>
  <c r="CM69" i="31"/>
  <c r="BO13" i="28"/>
  <c r="CQ14" i="28"/>
  <c r="AT12" i="28"/>
  <c r="AT11" i="28"/>
  <c r="AT9" i="28"/>
  <c r="AU17" i="28" s="1"/>
  <c r="AU67" i="31" s="1"/>
  <c r="AT10" i="28"/>
  <c r="AT15" i="28"/>
  <c r="CJ13" i="28"/>
  <c r="DL12" i="28"/>
  <c r="CJ10" i="28"/>
  <c r="CJ9" i="28"/>
  <c r="CJ15" i="28"/>
  <c r="CJ12" i="28"/>
  <c r="CJ14" i="28"/>
  <c r="DU13" i="28"/>
  <c r="DU10" i="28"/>
  <c r="BT14" i="28"/>
  <c r="BT15" i="28"/>
  <c r="FY13" i="28"/>
  <c r="BO9" i="28"/>
  <c r="BO11" i="28"/>
  <c r="BO12" i="28"/>
  <c r="DU12" i="28"/>
  <c r="BO14" i="28"/>
  <c r="DU15" i="28"/>
  <c r="BO15" i="28"/>
  <c r="BO10" i="28"/>
  <c r="DU11" i="28"/>
  <c r="CM9" i="28"/>
  <c r="BP11" i="28"/>
  <c r="AG10" i="28"/>
  <c r="EZ14" i="28"/>
  <c r="EE14" i="28"/>
  <c r="BP14" i="28"/>
  <c r="AG15" i="28"/>
  <c r="AG14" i="28"/>
  <c r="BP12" i="28"/>
  <c r="AG12" i="28"/>
  <c r="EZ13" i="28"/>
  <c r="AG13" i="28"/>
  <c r="AG9" i="28"/>
  <c r="EZ11" i="28"/>
  <c r="EZ10" i="28"/>
  <c r="BP13" i="28"/>
  <c r="BP15" i="28"/>
  <c r="BP10" i="28"/>
  <c r="EZ12" i="28"/>
  <c r="BP9" i="28"/>
  <c r="EZ9" i="28"/>
  <c r="FA17" i="28" s="1"/>
  <c r="FA67" i="31" s="1"/>
  <c r="EZ15" i="28"/>
  <c r="AG11" i="28"/>
  <c r="DV9" i="28"/>
  <c r="DW17" i="28" s="1"/>
  <c r="DW67" i="31" s="1"/>
  <c r="AO11" i="28"/>
  <c r="DV11" i="28"/>
  <c r="DV12" i="28"/>
  <c r="CM14" i="28"/>
  <c r="DV13" i="28"/>
  <c r="DV14" i="28"/>
  <c r="DV15" i="28"/>
  <c r="DV10" i="28"/>
  <c r="FY9" i="28"/>
  <c r="FY12" i="28"/>
  <c r="CM13" i="28"/>
  <c r="FY15" i="28"/>
  <c r="FY14" i="28"/>
  <c r="CM15" i="28"/>
  <c r="CM10" i="28"/>
  <c r="FY10" i="28"/>
  <c r="FY11" i="28"/>
  <c r="CM11" i="28"/>
  <c r="CM12" i="28"/>
  <c r="P10" i="28"/>
  <c r="EE12" i="28"/>
  <c r="BR13" i="28"/>
  <c r="CZ12" i="28"/>
  <c r="FY69" i="31"/>
  <c r="CC12" i="28"/>
  <c r="BT69" i="31"/>
  <c r="S15" i="28"/>
  <c r="Y69" i="31"/>
  <c r="CZ13" i="28"/>
  <c r="CZ15" i="28"/>
  <c r="AT69" i="31"/>
  <c r="CC10" i="28"/>
  <c r="EE69" i="31"/>
  <c r="EY69" i="31"/>
  <c r="EE15" i="28"/>
  <c r="EE10" i="28"/>
  <c r="EN15" i="28"/>
  <c r="EE11" i="28"/>
  <c r="EE13" i="28"/>
  <c r="DM12" i="28"/>
  <c r="EE9" i="28"/>
  <c r="BX11" i="28"/>
  <c r="DM13" i="28"/>
  <c r="DM9" i="28"/>
  <c r="DM14" i="28"/>
  <c r="DM10" i="28"/>
  <c r="DM15" i="28"/>
  <c r="BB14" i="28"/>
  <c r="EN9" i="28"/>
  <c r="EN11" i="28"/>
  <c r="EN12" i="28"/>
  <c r="BB11" i="28"/>
  <c r="EN13" i="28"/>
  <c r="BB9" i="28"/>
  <c r="EN14" i="28"/>
  <c r="BB15" i="28"/>
  <c r="BB13" i="28"/>
  <c r="EI13" i="28"/>
  <c r="BB10" i="28"/>
  <c r="BR12" i="28"/>
  <c r="DU9" i="28"/>
  <c r="EI69" i="31"/>
  <c r="AJ69" i="31"/>
  <c r="DH14" i="28"/>
  <c r="AO12" i="28"/>
  <c r="S12" i="28"/>
  <c r="FF15" i="28"/>
  <c r="DL14" i="28"/>
  <c r="S14" i="28"/>
  <c r="S11" i="28"/>
  <c r="S9" i="28"/>
  <c r="DL11" i="28"/>
  <c r="S10" i="28"/>
  <c r="DH9" i="28"/>
  <c r="O9" i="28"/>
  <c r="DL15" i="28"/>
  <c r="DL13" i="28"/>
  <c r="DL9" i="28"/>
  <c r="ED9" i="28"/>
  <c r="DH10" i="28"/>
  <c r="DH15" i="28"/>
  <c r="DH11" i="28"/>
  <c r="DH12" i="28"/>
  <c r="DH13" i="28"/>
  <c r="CF12" i="28"/>
  <c r="P14" i="28"/>
  <c r="BR9" i="28"/>
  <c r="CQ9" i="28"/>
  <c r="CU15" i="28"/>
  <c r="P15" i="28"/>
  <c r="P9" i="28"/>
  <c r="CF9" i="28"/>
  <c r="P13" i="28"/>
  <c r="P12" i="28"/>
  <c r="BR10" i="28"/>
  <c r="BR15" i="28"/>
  <c r="P11" i="28"/>
  <c r="BR14" i="28"/>
  <c r="BR11" i="28"/>
  <c r="EJ15" i="28"/>
  <c r="BO69" i="31"/>
  <c r="CF10" i="28"/>
  <c r="CF11" i="28"/>
  <c r="CF14" i="28"/>
  <c r="CF15" i="28"/>
  <c r="CQ13" i="28"/>
  <c r="AQ12" i="28"/>
  <c r="AO13" i="28"/>
  <c r="O15" i="28"/>
  <c r="O13" i="28"/>
  <c r="AO14" i="28"/>
  <c r="AO15" i="28"/>
  <c r="AO10" i="28"/>
  <c r="O12" i="28"/>
  <c r="BX12" i="28"/>
  <c r="AO9" i="28"/>
  <c r="O14" i="28"/>
  <c r="O10" i="28"/>
  <c r="S13" i="28"/>
  <c r="BX13" i="28"/>
  <c r="BX10" i="28"/>
  <c r="BX9" i="28"/>
  <c r="AQ9" i="28"/>
  <c r="DY13" i="28"/>
  <c r="EN10" i="28"/>
  <c r="CU13" i="28"/>
  <c r="BX14" i="28"/>
  <c r="BX15" i="28"/>
  <c r="CZ14" i="28"/>
  <c r="O11" i="28"/>
  <c r="AQ15" i="28"/>
  <c r="CQ15" i="28"/>
  <c r="CQ10" i="28"/>
  <c r="CQ11" i="28"/>
  <c r="CQ12" i="28"/>
  <c r="CD14" i="28"/>
  <c r="EY11" i="28"/>
  <c r="AQ10" i="28"/>
  <c r="AQ13" i="28"/>
  <c r="EJ13" i="28"/>
  <c r="CU10" i="28"/>
  <c r="CU12" i="28"/>
  <c r="AQ14" i="28"/>
  <c r="CU14" i="28"/>
  <c r="CU9" i="28"/>
  <c r="CV17" i="28" s="1"/>
  <c r="CV67" i="31" s="1"/>
  <c r="CA15" i="28"/>
  <c r="AQ11" i="28"/>
  <c r="CU11" i="28"/>
  <c r="EJ12" i="28"/>
  <c r="BT11" i="28"/>
  <c r="CC9" i="28"/>
  <c r="CC14" i="28"/>
  <c r="DK10" i="28"/>
  <c r="ED12" i="28"/>
  <c r="FF10" i="28"/>
  <c r="AI10" i="28"/>
  <c r="AI11" i="28"/>
  <c r="AI13" i="28"/>
  <c r="CA13" i="28"/>
  <c r="AJ16" i="28"/>
  <c r="AJ66" i="31" s="1"/>
  <c r="ED15" i="28"/>
  <c r="CD69" i="31"/>
  <c r="ED11" i="28"/>
  <c r="CD9" i="28"/>
  <c r="CD13" i="28"/>
  <c r="AI12" i="28"/>
  <c r="CA9" i="28"/>
  <c r="FF11" i="28"/>
  <c r="ED14" i="28"/>
  <c r="CD11" i="28"/>
  <c r="CD12" i="28"/>
  <c r="CD10" i="28"/>
  <c r="CA10" i="28"/>
  <c r="FF12" i="28"/>
  <c r="CC13" i="28"/>
  <c r="CA12" i="28"/>
  <c r="CA11" i="28"/>
  <c r="FF13" i="28"/>
  <c r="ED13" i="28"/>
  <c r="ED10" i="28"/>
  <c r="FF9" i="28"/>
  <c r="FG17" i="28" s="1"/>
  <c r="FG67" i="31" s="1"/>
  <c r="CA14" i="28"/>
  <c r="CD15" i="28"/>
  <c r="CC11" i="28"/>
  <c r="AI14" i="28"/>
  <c r="AI9" i="28"/>
  <c r="AJ17" i="28" s="1"/>
  <c r="AJ67" i="31" s="1"/>
  <c r="FF14" i="28"/>
  <c r="CC15" i="28"/>
  <c r="DK15" i="28"/>
  <c r="AN15" i="28"/>
  <c r="AN12" i="28"/>
  <c r="EJ11" i="28"/>
  <c r="EY12" i="28"/>
  <c r="EJ14" i="28"/>
  <c r="EJ9" i="28"/>
  <c r="CZ10" i="28"/>
  <c r="EI11" i="28"/>
  <c r="EY9" i="28"/>
  <c r="EJ10" i="28"/>
  <c r="CZ9" i="28"/>
  <c r="CZ11" i="28"/>
  <c r="EY10" i="28"/>
  <c r="AN9" i="28"/>
  <c r="EY14" i="28"/>
  <c r="AN14" i="28"/>
  <c r="EI10" i="28"/>
  <c r="EW9" i="28"/>
  <c r="BT13" i="28"/>
  <c r="DY15" i="28"/>
  <c r="EW10" i="28"/>
  <c r="EW12" i="28"/>
  <c r="DY14" i="28"/>
  <c r="EW14" i="28"/>
  <c r="DY9" i="28"/>
  <c r="EW11" i="28"/>
  <c r="EW13" i="28"/>
  <c r="BT12" i="28"/>
  <c r="DY10" i="28"/>
  <c r="EW15" i="28"/>
  <c r="DY12" i="28"/>
  <c r="DY11" i="28"/>
  <c r="BT10" i="28"/>
  <c r="DK12" i="28"/>
  <c r="EI15" i="28"/>
  <c r="DK11" i="28"/>
  <c r="EY15" i="28"/>
  <c r="AN11" i="28"/>
  <c r="DK14" i="28"/>
  <c r="AN13" i="28"/>
  <c r="DK9" i="28"/>
  <c r="EI14" i="28"/>
  <c r="EI12" i="28"/>
  <c r="DK13" i="28"/>
  <c r="EI9" i="28"/>
  <c r="GB9" i="28"/>
  <c r="GB10" i="28"/>
  <c r="GB11" i="28"/>
  <c r="GB15" i="28"/>
  <c r="GB14" i="28"/>
  <c r="GB12" i="28"/>
  <c r="GB13" i="28"/>
  <c r="FK16" i="28"/>
  <c r="FK66" i="31" s="1"/>
  <c r="Z17" i="28"/>
  <c r="Z67" i="31" s="1"/>
  <c r="Y17" i="28"/>
  <c r="Y67" i="31" s="1"/>
  <c r="AU16" i="28"/>
  <c r="DB16" i="28"/>
  <c r="DB66" i="31" s="1"/>
  <c r="AD16" i="28"/>
  <c r="AD66" i="31" s="1"/>
  <c r="EA17" i="28"/>
  <c r="EA67" i="31" s="1"/>
  <c r="AY16" i="28"/>
  <c r="AY66" i="31" s="1"/>
  <c r="EB17" i="28"/>
  <c r="EB67" i="31" s="1"/>
  <c r="Y16" i="28"/>
  <c r="Y66" i="31" s="1"/>
  <c r="J17" i="28"/>
  <c r="J67" i="31" s="1"/>
  <c r="EA16" i="28"/>
  <c r="EA66" i="31" s="1"/>
  <c r="M16" i="28"/>
  <c r="M66" i="31" s="1"/>
  <c r="CX16" i="28"/>
  <c r="X16" i="28"/>
  <c r="X66" i="31" s="1"/>
  <c r="H17" i="28"/>
  <c r="H67" i="31" s="1"/>
  <c r="FQ16" i="28"/>
  <c r="FQ66" i="31" s="1"/>
  <c r="I17" i="28"/>
  <c r="I67" i="31" s="1"/>
  <c r="CG16" i="28"/>
  <c r="EO16" i="28"/>
  <c r="CV16" i="28"/>
  <c r="CV66" i="31" s="1"/>
  <c r="FA16" i="28"/>
  <c r="FA66" i="31" s="1"/>
  <c r="DQ16" i="28"/>
  <c r="DQ66" i="31" s="1"/>
  <c r="DF16" i="28"/>
  <c r="DF66" i="31" s="1"/>
  <c r="DZ16" i="28"/>
  <c r="DZ66" i="31" s="1"/>
  <c r="BM16" i="28"/>
  <c r="BV16" i="28"/>
  <c r="BV66" i="31" s="1"/>
  <c r="BJ16" i="28"/>
  <c r="BJ66" i="31" s="1"/>
  <c r="M17" i="28"/>
  <c r="M67" i="31" s="1"/>
  <c r="BF16" i="28"/>
  <c r="BF66" i="31" s="1"/>
  <c r="K17" i="28"/>
  <c r="K67" i="31" s="1"/>
  <c r="L17" i="28"/>
  <c r="L67" i="31" s="1"/>
  <c r="BC16" i="28"/>
  <c r="BC66" i="31" s="1"/>
  <c r="FS16" i="28"/>
  <c r="FS66" i="31" s="1"/>
  <c r="Z16" i="28"/>
  <c r="Z66" i="31" s="1"/>
  <c r="G17" i="28"/>
  <c r="G67" i="31" s="1"/>
  <c r="FG16" i="28"/>
  <c r="FG66" i="31" s="1"/>
  <c r="F17" i="28"/>
  <c r="F67" i="31" s="1"/>
  <c r="BH16" i="28"/>
  <c r="BH66" i="31" s="1"/>
  <c r="GC69" i="31"/>
  <c r="H66" i="31"/>
  <c r="K66" i="31"/>
  <c r="J66" i="31"/>
  <c r="F66" i="31"/>
  <c r="I66" i="31"/>
  <c r="G66" i="31"/>
  <c r="L66" i="31"/>
  <c r="H17" i="50"/>
  <c r="GC9" i="28"/>
  <c r="GC10" i="28"/>
  <c r="GC11" i="28"/>
  <c r="GC12" i="28"/>
  <c r="GC13" i="28"/>
  <c r="GC14" i="28"/>
  <c r="GC15" i="28"/>
  <c r="DZ17" i="28" l="1"/>
  <c r="DZ67" i="31" s="1"/>
  <c r="AY17" i="28"/>
  <c r="AY67" i="31" s="1"/>
  <c r="AY70" i="31" s="1"/>
  <c r="DJ16" i="28"/>
  <c r="DJ66" i="31" s="1"/>
  <c r="DK17" i="28"/>
  <c r="DK67" i="31" s="1"/>
  <c r="EB16" i="28"/>
  <c r="EB66" i="31" s="1"/>
  <c r="DJ17" i="28"/>
  <c r="DJ67" i="31" s="1"/>
  <c r="FU17" i="28"/>
  <c r="FU67" i="31" s="1"/>
  <c r="FN17" i="28"/>
  <c r="FN67" i="31" s="1"/>
  <c r="AP16" i="28"/>
  <c r="AP66" i="31" s="1"/>
  <c r="CR16" i="28"/>
  <c r="CR66" i="31" s="1"/>
  <c r="AL17" i="28"/>
  <c r="AL67" i="31" s="1"/>
  <c r="AV16" i="28"/>
  <c r="AV66" i="31" s="1"/>
  <c r="AV70" i="31" s="1"/>
  <c r="EH17" i="28"/>
  <c r="EH67" i="31" s="1"/>
  <c r="ES16" i="28"/>
  <c r="ES66" i="31" s="1"/>
  <c r="AL16" i="28"/>
  <c r="AL66" i="31" s="1"/>
  <c r="CF17" i="28"/>
  <c r="CF67" i="31" s="1"/>
  <c r="ET17" i="28"/>
  <c r="ET67" i="31" s="1"/>
  <c r="CE17" i="28"/>
  <c r="CE67" i="31" s="1"/>
  <c r="CI17" i="28"/>
  <c r="CI67" i="31" s="1"/>
  <c r="AO17" i="28"/>
  <c r="AO67" i="31" s="1"/>
  <c r="FE17" i="28"/>
  <c r="FE67" i="31" s="1"/>
  <c r="EM17" i="28"/>
  <c r="EM67" i="31" s="1"/>
  <c r="EL17" i="28"/>
  <c r="EL67" i="31" s="1"/>
  <c r="ES17" i="28"/>
  <c r="ES67" i="31" s="1"/>
  <c r="BQ16" i="28"/>
  <c r="BQ66" i="31" s="1"/>
  <c r="BD17" i="28"/>
  <c r="BD67" i="31" s="1"/>
  <c r="CH16" i="28"/>
  <c r="CH66" i="31" s="1"/>
  <c r="CH17" i="28"/>
  <c r="CH67" i="31" s="1"/>
  <c r="AM17" i="28"/>
  <c r="AM67" i="31" s="1"/>
  <c r="FT16" i="28"/>
  <c r="FT66" i="31" s="1"/>
  <c r="FT70" i="31" s="1"/>
  <c r="EL16" i="28"/>
  <c r="EL66" i="31" s="1"/>
  <c r="CZ17" i="28"/>
  <c r="CZ67" i="31" s="1"/>
  <c r="AH16" i="28"/>
  <c r="AH66" i="31" s="1"/>
  <c r="EI17" i="28"/>
  <c r="EI67" i="31" s="1"/>
  <c r="CE16" i="28"/>
  <c r="CE66" i="31" s="1"/>
  <c r="DP16" i="28"/>
  <c r="DP66" i="31" s="1"/>
  <c r="DP17" i="28"/>
  <c r="DP67" i="31" s="1"/>
  <c r="FZ16" i="28"/>
  <c r="FZ66" i="31" s="1"/>
  <c r="EX17" i="28"/>
  <c r="EX67" i="31" s="1"/>
  <c r="BA17" i="28"/>
  <c r="BA67" i="31" s="1"/>
  <c r="FC17" i="28"/>
  <c r="FC67" i="31" s="1"/>
  <c r="DS17" i="28"/>
  <c r="DS67" i="31" s="1"/>
  <c r="BH17" i="28"/>
  <c r="BH67" i="31" s="1"/>
  <c r="BH70" i="31" s="1"/>
  <c r="FN16" i="28"/>
  <c r="FN66" i="31" s="1"/>
  <c r="FB16" i="28"/>
  <c r="FB66" i="31" s="1"/>
  <c r="FB70" i="31" s="1"/>
  <c r="BD16" i="28"/>
  <c r="BD66" i="31" s="1"/>
  <c r="FH16" i="28"/>
  <c r="FH66" i="31" s="1"/>
  <c r="CC17" i="28"/>
  <c r="CC67" i="31" s="1"/>
  <c r="ER17" i="28"/>
  <c r="ER67" i="31" s="1"/>
  <c r="FH17" i="28"/>
  <c r="FH67" i="31" s="1"/>
  <c r="FI17" i="28"/>
  <c r="FI67" i="31" s="1"/>
  <c r="BA16" i="28"/>
  <c r="BA66" i="31" s="1"/>
  <c r="ER16" i="28"/>
  <c r="ER66" i="31" s="1"/>
  <c r="GA17" i="28"/>
  <c r="GA67" i="31" s="1"/>
  <c r="AK16" i="28"/>
  <c r="AK18" i="28" s="1"/>
  <c r="CO17" i="28"/>
  <c r="CO67" i="31" s="1"/>
  <c r="CP17" i="28"/>
  <c r="CP67" i="31" s="1"/>
  <c r="DS16" i="28"/>
  <c r="DS66" i="31" s="1"/>
  <c r="CB16" i="28"/>
  <c r="CB66" i="31" s="1"/>
  <c r="EK17" i="28"/>
  <c r="EK67" i="31" s="1"/>
  <c r="BJ17" i="28"/>
  <c r="BJ67" i="31" s="1"/>
  <c r="BJ70" i="31" s="1"/>
  <c r="BI16" i="28"/>
  <c r="BI66" i="31" s="1"/>
  <c r="BI70" i="31" s="1"/>
  <c r="EK16" i="28"/>
  <c r="EK66" i="31" s="1"/>
  <c r="DX16" i="28"/>
  <c r="DX66" i="31" s="1"/>
  <c r="DX70" i="31" s="1"/>
  <c r="CO16" i="28"/>
  <c r="CO66" i="31" s="1"/>
  <c r="CL17" i="28"/>
  <c r="CL67" i="31" s="1"/>
  <c r="DR16" i="28"/>
  <c r="DR66" i="31" s="1"/>
  <c r="DR70" i="31" s="1"/>
  <c r="FM17" i="28"/>
  <c r="FM67" i="31" s="1"/>
  <c r="R16" i="28"/>
  <c r="R66" i="31" s="1"/>
  <c r="FI16" i="28"/>
  <c r="FI66" i="31" s="1"/>
  <c r="EF16" i="28"/>
  <c r="EF66" i="31" s="1"/>
  <c r="BK16" i="28"/>
  <c r="BK66" i="31" s="1"/>
  <c r="BK70" i="31" s="1"/>
  <c r="H43" i="4"/>
  <c r="FJ17" i="28"/>
  <c r="FJ67" i="31" s="1"/>
  <c r="FM16" i="28"/>
  <c r="FM66" i="31" s="1"/>
  <c r="AX17" i="28"/>
  <c r="AX67" i="31" s="1"/>
  <c r="CT17" i="28"/>
  <c r="CT67" i="31" s="1"/>
  <c r="H46" i="4"/>
  <c r="CS17" i="28"/>
  <c r="CS67" i="31" s="1"/>
  <c r="BL17" i="28"/>
  <c r="BL67" i="31" s="1"/>
  <c r="FV17" i="28"/>
  <c r="FV67" i="31" s="1"/>
  <c r="CK16" i="28"/>
  <c r="CK66" i="31" s="1"/>
  <c r="FU16" i="28"/>
  <c r="FU66" i="31" s="1"/>
  <c r="DA16" i="28"/>
  <c r="DA66" i="31" s="1"/>
  <c r="CS16" i="28"/>
  <c r="CS66" i="31" s="1"/>
  <c r="R17" i="28"/>
  <c r="R67" i="31" s="1"/>
  <c r="AR17" i="28"/>
  <c r="AR67" i="31" s="1"/>
  <c r="CL16" i="28"/>
  <c r="CL66" i="31" s="1"/>
  <c r="AR16" i="28"/>
  <c r="AR66" i="31" s="1"/>
  <c r="BG16" i="28"/>
  <c r="BG66" i="31" s="1"/>
  <c r="BG70" i="31" s="1"/>
  <c r="H45" i="4"/>
  <c r="S17" i="28"/>
  <c r="S67" i="31" s="1"/>
  <c r="AS17" i="28"/>
  <c r="AS67" i="31" s="1"/>
  <c r="H42" i="4"/>
  <c r="EX16" i="28"/>
  <c r="EX66" i="31" s="1"/>
  <c r="BL16" i="28"/>
  <c r="BL66" i="31" s="1"/>
  <c r="DG16" i="28"/>
  <c r="DG18" i="28" s="1"/>
  <c r="DH17" i="28"/>
  <c r="DH67" i="31" s="1"/>
  <c r="DE17" i="28"/>
  <c r="DE67" i="31" s="1"/>
  <c r="Q44" i="4"/>
  <c r="H41" i="4"/>
  <c r="AC17" i="28"/>
  <c r="AC67" i="31" s="1"/>
  <c r="DD16" i="28"/>
  <c r="DD66" i="31" s="1"/>
  <c r="AF16" i="28"/>
  <c r="AF66" i="31" s="1"/>
  <c r="Q16" i="28"/>
  <c r="Q66" i="31" s="1"/>
  <c r="AD17" i="28"/>
  <c r="AD67" i="31" s="1"/>
  <c r="AD70" i="31" s="1"/>
  <c r="AF17" i="28"/>
  <c r="AF67" i="31" s="1"/>
  <c r="CA17" i="28"/>
  <c r="CA67" i="31" s="1"/>
  <c r="BZ16" i="28"/>
  <c r="BT17" i="28"/>
  <c r="BT67" i="31" s="1"/>
  <c r="BZ17" i="28"/>
  <c r="BZ67" i="31" s="1"/>
  <c r="N16" i="28"/>
  <c r="N66" i="31" s="1"/>
  <c r="DW16" i="28"/>
  <c r="DW66" i="31" s="1"/>
  <c r="DW70" i="31" s="1"/>
  <c r="BU17" i="28"/>
  <c r="BU67" i="31" s="1"/>
  <c r="FC16" i="28"/>
  <c r="FC66" i="31" s="1"/>
  <c r="N17" i="28"/>
  <c r="N67" i="31" s="1"/>
  <c r="FK17" i="28"/>
  <c r="FK67" i="31" s="1"/>
  <c r="FK70" i="31" s="1"/>
  <c r="H40" i="4"/>
  <c r="GB17" i="28"/>
  <c r="GB67" i="31" s="1"/>
  <c r="BU16" i="28"/>
  <c r="BU66" i="31" s="1"/>
  <c r="H44" i="4"/>
  <c r="EH16" i="28"/>
  <c r="EH66" i="31" s="1"/>
  <c r="DD17" i="28"/>
  <c r="DD67" i="31" s="1"/>
  <c r="BO17" i="28"/>
  <c r="BO67" i="31" s="1"/>
  <c r="EN17" i="28"/>
  <c r="EN67" i="31" s="1"/>
  <c r="EM16" i="28"/>
  <c r="EM66" i="31" s="1"/>
  <c r="EG16" i="28"/>
  <c r="EG66" i="31" s="1"/>
  <c r="EG70" i="31" s="1"/>
  <c r="BN16" i="28"/>
  <c r="BN66" i="31" s="1"/>
  <c r="BN70" i="31" s="1"/>
  <c r="DI16" i="28"/>
  <c r="DI66" i="31" s="1"/>
  <c r="FW17" i="28"/>
  <c r="FW67" i="31" s="1"/>
  <c r="ET16" i="28"/>
  <c r="ET66" i="31" s="1"/>
  <c r="EU16" i="28"/>
  <c r="EU66" i="31" s="1"/>
  <c r="DO17" i="28"/>
  <c r="DO67" i="31" s="1"/>
  <c r="EU17" i="28"/>
  <c r="EU67" i="31" s="1"/>
  <c r="FR17" i="28"/>
  <c r="FR67" i="31" s="1"/>
  <c r="FR16" i="28"/>
  <c r="FR66" i="31" s="1"/>
  <c r="EV17" i="28"/>
  <c r="EV67" i="31" s="1"/>
  <c r="DN16" i="28"/>
  <c r="DN66" i="31" s="1"/>
  <c r="AE16" i="28"/>
  <c r="AE66" i="31" s="1"/>
  <c r="AE70" i="31" s="1"/>
  <c r="CT16" i="28"/>
  <c r="CT66" i="31" s="1"/>
  <c r="EC16" i="28"/>
  <c r="EC66" i="31" s="1"/>
  <c r="AX16" i="28"/>
  <c r="AX66" i="31" s="1"/>
  <c r="DE16" i="28"/>
  <c r="DE66" i="31" s="1"/>
  <c r="AC16" i="28"/>
  <c r="AC66" i="31" s="1"/>
  <c r="AS16" i="28"/>
  <c r="AS66" i="31" s="1"/>
  <c r="FD17" i="28"/>
  <c r="FD67" i="31" s="1"/>
  <c r="ED17" i="28"/>
  <c r="ED67" i="31" s="1"/>
  <c r="EC17" i="28"/>
  <c r="EC67" i="31" s="1"/>
  <c r="AZ17" i="28"/>
  <c r="AZ67" i="31" s="1"/>
  <c r="CJ17" i="28"/>
  <c r="CJ67" i="31" s="1"/>
  <c r="FE16" i="28"/>
  <c r="FE66" i="31" s="1"/>
  <c r="FX17" i="28"/>
  <c r="FX67" i="31" s="1"/>
  <c r="CI16" i="28"/>
  <c r="CI66" i="31" s="1"/>
  <c r="FD16" i="28"/>
  <c r="FD66" i="31" s="1"/>
  <c r="FW16" i="28"/>
  <c r="FW66" i="31" s="1"/>
  <c r="AA16" i="28"/>
  <c r="AA66" i="31" s="1"/>
  <c r="EQ16" i="28"/>
  <c r="EQ66" i="31" s="1"/>
  <c r="DT16" i="28"/>
  <c r="DT66" i="31" s="1"/>
  <c r="DU17" i="28"/>
  <c r="DU67" i="31" s="1"/>
  <c r="FJ16" i="28"/>
  <c r="FJ66" i="31" s="1"/>
  <c r="DT17" i="28"/>
  <c r="DT67" i="31" s="1"/>
  <c r="CY16" i="28"/>
  <c r="CY66" i="31" s="1"/>
  <c r="CY70" i="31" s="1"/>
  <c r="DO16" i="28"/>
  <c r="DO66" i="31" s="1"/>
  <c r="G44" i="4"/>
  <c r="AW17" i="28"/>
  <c r="AW67" i="31" s="1"/>
  <c r="AW16" i="28"/>
  <c r="AW66" i="31" s="1"/>
  <c r="AB16" i="28"/>
  <c r="AB66" i="31" s="1"/>
  <c r="CW16" i="28"/>
  <c r="CW66" i="31" s="1"/>
  <c r="CW70" i="31" s="1"/>
  <c r="EQ17" i="28"/>
  <c r="EQ67" i="31" s="1"/>
  <c r="AB17" i="28"/>
  <c r="AB67" i="31" s="1"/>
  <c r="AA17" i="28"/>
  <c r="AA67" i="31" s="1"/>
  <c r="CX17" i="28"/>
  <c r="CX67" i="31" s="1"/>
  <c r="AM16" i="28"/>
  <c r="AM66" i="31" s="1"/>
  <c r="AM70" i="31" s="1"/>
  <c r="EV16" i="28"/>
  <c r="EV66" i="31" s="1"/>
  <c r="FP17" i="28"/>
  <c r="FP67" i="31" s="1"/>
  <c r="FO16" i="28"/>
  <c r="FO66" i="31" s="1"/>
  <c r="FO70" i="31" s="1"/>
  <c r="AZ16" i="28"/>
  <c r="AZ66" i="31" s="1"/>
  <c r="EP17" i="28"/>
  <c r="EP67" i="31" s="1"/>
  <c r="GA16" i="28"/>
  <c r="GA66" i="31" s="1"/>
  <c r="CP16" i="28"/>
  <c r="CP66" i="31" s="1"/>
  <c r="BW16" i="28"/>
  <c r="BW66" i="31" s="1"/>
  <c r="FL16" i="28"/>
  <c r="FL66" i="31" s="1"/>
  <c r="EP16" i="28"/>
  <c r="EP66" i="31" s="1"/>
  <c r="FL17" i="28"/>
  <c r="FL67" i="31" s="1"/>
  <c r="BF70" i="31"/>
  <c r="Q42" i="4"/>
  <c r="BW17" i="28"/>
  <c r="BW67" i="31" s="1"/>
  <c r="BS16" i="28"/>
  <c r="BS66" i="31" s="1"/>
  <c r="Q43" i="4"/>
  <c r="BS17" i="28"/>
  <c r="BS67" i="31" s="1"/>
  <c r="Q45" i="4"/>
  <c r="L42" i="4"/>
  <c r="BY16" i="28"/>
  <c r="BY66" i="31" s="1"/>
  <c r="DC17" i="28"/>
  <c r="DC67" i="31" s="1"/>
  <c r="BY17" i="28"/>
  <c r="BY67" i="31" s="1"/>
  <c r="DC16" i="28"/>
  <c r="DC66" i="31" s="1"/>
  <c r="FV16" i="28"/>
  <c r="FV66" i="31" s="1"/>
  <c r="CN16" i="28"/>
  <c r="CN66" i="31" s="1"/>
  <c r="Q41" i="4"/>
  <c r="G45" i="4"/>
  <c r="FP16" i="28"/>
  <c r="FP66" i="31" s="1"/>
  <c r="BE18" i="28"/>
  <c r="BE70" i="31"/>
  <c r="Q46" i="4"/>
  <c r="CN17" i="28"/>
  <c r="CN67" i="31" s="1"/>
  <c r="CK17" i="28"/>
  <c r="CK67" i="31" s="1"/>
  <c r="P41" i="4"/>
  <c r="G43" i="4"/>
  <c r="CM17" i="28"/>
  <c r="CM67" i="31" s="1"/>
  <c r="AT17" i="28"/>
  <c r="AT67" i="31" s="1"/>
  <c r="AT16" i="28"/>
  <c r="AT66" i="31" s="1"/>
  <c r="FY17" i="28"/>
  <c r="FY67" i="31" s="1"/>
  <c r="FX16" i="28"/>
  <c r="FX66" i="31" s="1"/>
  <c r="G42" i="4"/>
  <c r="G41" i="4"/>
  <c r="K41" i="4"/>
  <c r="G46" i="4"/>
  <c r="BB17" i="28"/>
  <c r="BB67" i="31" s="1"/>
  <c r="BC17" i="28"/>
  <c r="BC67" i="31" s="1"/>
  <c r="BC70" i="31" s="1"/>
  <c r="M43" i="4"/>
  <c r="P44" i="4"/>
  <c r="BP17" i="28"/>
  <c r="BP67" i="31" s="1"/>
  <c r="CJ16" i="28"/>
  <c r="CJ66" i="31" s="1"/>
  <c r="BO16" i="28"/>
  <c r="BO66" i="31" s="1"/>
  <c r="EZ16" i="28"/>
  <c r="EZ66" i="31" s="1"/>
  <c r="FZ17" i="28"/>
  <c r="FZ67" i="31" s="1"/>
  <c r="F41" i="4"/>
  <c r="BR17" i="28"/>
  <c r="BR67" i="31" s="1"/>
  <c r="L45" i="4"/>
  <c r="EW17" i="28"/>
  <c r="EW67" i="31" s="1"/>
  <c r="I44" i="4"/>
  <c r="L46" i="4"/>
  <c r="AG16" i="28"/>
  <c r="AG66" i="31" s="1"/>
  <c r="AH17" i="28"/>
  <c r="AH67" i="31" s="1"/>
  <c r="AG17" i="28"/>
  <c r="AG67" i="31" s="1"/>
  <c r="DV17" i="28"/>
  <c r="DV67" i="31" s="1"/>
  <c r="EZ17" i="28"/>
  <c r="EZ67" i="31" s="1"/>
  <c r="BQ17" i="28"/>
  <c r="BQ67" i="31" s="1"/>
  <c r="DM16" i="28"/>
  <c r="DM66" i="31" s="1"/>
  <c r="D41" i="4"/>
  <c r="M45" i="4"/>
  <c r="BP16" i="28"/>
  <c r="BP66" i="31" s="1"/>
  <c r="K45" i="4"/>
  <c r="CG17" i="28"/>
  <c r="CG67" i="31" s="1"/>
  <c r="DN17" i="28"/>
  <c r="DN67" i="31" s="1"/>
  <c r="CM16" i="28"/>
  <c r="CM66" i="31" s="1"/>
  <c r="D43" i="4"/>
  <c r="D45" i="4"/>
  <c r="FY16" i="28"/>
  <c r="FY66" i="31" s="1"/>
  <c r="DV16" i="28"/>
  <c r="DV66" i="31" s="1"/>
  <c r="DI17" i="28"/>
  <c r="DI67" i="31" s="1"/>
  <c r="I45" i="4"/>
  <c r="K40" i="4"/>
  <c r="BB16" i="28"/>
  <c r="BB66" i="31" s="1"/>
  <c r="CB17" i="28"/>
  <c r="CB67" i="31" s="1"/>
  <c r="L41" i="4"/>
  <c r="CQ17" i="28"/>
  <c r="CQ67" i="31" s="1"/>
  <c r="CR17" i="28"/>
  <c r="CR67" i="31" s="1"/>
  <c r="CR70" i="31" s="1"/>
  <c r="M42" i="4"/>
  <c r="M46" i="4"/>
  <c r="BR16" i="28"/>
  <c r="BR66" i="31" s="1"/>
  <c r="L43" i="4"/>
  <c r="EO17" i="28"/>
  <c r="EO67" i="31" s="1"/>
  <c r="S16" i="28"/>
  <c r="I40" i="4"/>
  <c r="O44" i="4"/>
  <c r="D46" i="4"/>
  <c r="D44" i="4"/>
  <c r="N41" i="4"/>
  <c r="O46" i="4"/>
  <c r="L44" i="4"/>
  <c r="DU16" i="28"/>
  <c r="DU66" i="31" s="1"/>
  <c r="J40" i="4"/>
  <c r="DM17" i="28"/>
  <c r="DM67" i="31" s="1"/>
  <c r="N44" i="4"/>
  <c r="CF16" i="28"/>
  <c r="CF66" i="31" s="1"/>
  <c r="F46" i="4"/>
  <c r="D40" i="4"/>
  <c r="I46" i="4"/>
  <c r="M44" i="4"/>
  <c r="N46" i="4"/>
  <c r="EE16" i="28"/>
  <c r="EE66" i="31" s="1"/>
  <c r="K46" i="4"/>
  <c r="EN16" i="28"/>
  <c r="EN66" i="31" s="1"/>
  <c r="EF17" i="28"/>
  <c r="EF67" i="31" s="1"/>
  <c r="EE17" i="28"/>
  <c r="EE67" i="31" s="1"/>
  <c r="DA17" i="28"/>
  <c r="DA67" i="31" s="1"/>
  <c r="L40" i="4"/>
  <c r="M41" i="4"/>
  <c r="D42" i="4"/>
  <c r="DH16" i="28"/>
  <c r="DH66" i="31" s="1"/>
  <c r="P16" i="28"/>
  <c r="P66" i="31" s="1"/>
  <c r="I42" i="4"/>
  <c r="P17" i="28"/>
  <c r="P67" i="31" s="1"/>
  <c r="AJ70" i="31"/>
  <c r="BX16" i="28"/>
  <c r="BX66" i="31" s="1"/>
  <c r="O17" i="28"/>
  <c r="O67" i="31" s="1"/>
  <c r="BX17" i="28"/>
  <c r="BX67" i="31" s="1"/>
  <c r="DL16" i="28"/>
  <c r="DL66" i="31" s="1"/>
  <c r="Q17" i="28"/>
  <c r="Q67" i="31" s="1"/>
  <c r="O16" i="28"/>
  <c r="CC16" i="28"/>
  <c r="CC66" i="31" s="1"/>
  <c r="P42" i="4"/>
  <c r="I41" i="4"/>
  <c r="K44" i="4"/>
  <c r="CD17" i="28"/>
  <c r="CD67" i="31" s="1"/>
  <c r="AO16" i="28"/>
  <c r="AO66" i="31" s="1"/>
  <c r="AP17" i="28"/>
  <c r="AP67" i="31" s="1"/>
  <c r="AQ17" i="28"/>
  <c r="AQ67" i="31" s="1"/>
  <c r="G40" i="4"/>
  <c r="AQ16" i="28"/>
  <c r="AQ66" i="31" s="1"/>
  <c r="K43" i="4"/>
  <c r="CQ16" i="28"/>
  <c r="CQ66" i="31" s="1"/>
  <c r="K42" i="4"/>
  <c r="BT16" i="28"/>
  <c r="BT66" i="31" s="1"/>
  <c r="P45" i="4"/>
  <c r="N43" i="4"/>
  <c r="J46" i="4"/>
  <c r="AJ18" i="28"/>
  <c r="F40" i="4"/>
  <c r="O41" i="4"/>
  <c r="J41" i="4"/>
  <c r="CU16" i="28"/>
  <c r="CU66" i="31" s="1"/>
  <c r="CU17" i="28"/>
  <c r="CU67" i="31" s="1"/>
  <c r="AI17" i="28"/>
  <c r="AI67" i="31" s="1"/>
  <c r="J45" i="4"/>
  <c r="I43" i="4"/>
  <c r="J43" i="4"/>
  <c r="ED16" i="28"/>
  <c r="ED66" i="31" s="1"/>
  <c r="F43" i="4"/>
  <c r="N42" i="4"/>
  <c r="J44" i="4"/>
  <c r="F42" i="4"/>
  <c r="P40" i="4"/>
  <c r="AN17" i="28"/>
  <c r="AN67" i="31" s="1"/>
  <c r="O45" i="4"/>
  <c r="AI16" i="28"/>
  <c r="AI66" i="31" s="1"/>
  <c r="Q40" i="4"/>
  <c r="FF17" i="28"/>
  <c r="FF67" i="31" s="1"/>
  <c r="F44" i="4"/>
  <c r="CD16" i="28"/>
  <c r="CD66" i="31" s="1"/>
  <c r="CZ16" i="28"/>
  <c r="EY17" i="28"/>
  <c r="EY67" i="31" s="1"/>
  <c r="N40" i="4"/>
  <c r="EW16" i="28"/>
  <c r="EW66" i="31" s="1"/>
  <c r="AN16" i="28"/>
  <c r="AN66" i="31" s="1"/>
  <c r="DY17" i="28"/>
  <c r="DY67" i="31" s="1"/>
  <c r="EI16" i="28"/>
  <c r="EJ16" i="28"/>
  <c r="EJ66" i="31" s="1"/>
  <c r="EY16" i="28"/>
  <c r="F45" i="4"/>
  <c r="J42" i="4"/>
  <c r="N45" i="4"/>
  <c r="CA16" i="28"/>
  <c r="CA66" i="31" s="1"/>
  <c r="O43" i="4"/>
  <c r="FF16" i="28"/>
  <c r="FF66" i="31" s="1"/>
  <c r="P43" i="4"/>
  <c r="O42" i="4"/>
  <c r="O40" i="4"/>
  <c r="DY16" i="28"/>
  <c r="DY66" i="31" s="1"/>
  <c r="P46" i="4"/>
  <c r="DK16" i="28"/>
  <c r="DK66" i="31" s="1"/>
  <c r="DK70" i="31" s="1"/>
  <c r="M40" i="4"/>
  <c r="EJ17" i="28"/>
  <c r="EJ67" i="31" s="1"/>
  <c r="DL17" i="28"/>
  <c r="DL67" i="31" s="1"/>
  <c r="R43" i="4"/>
  <c r="R46" i="4"/>
  <c r="R41" i="4"/>
  <c r="R45" i="4"/>
  <c r="GB16" i="28"/>
  <c r="GB66" i="31" s="1"/>
  <c r="R42" i="4"/>
  <c r="FQ70" i="31"/>
  <c r="R44" i="4"/>
  <c r="AU18" i="28"/>
  <c r="Z70" i="31"/>
  <c r="DB18" i="28"/>
  <c r="DB70" i="31"/>
  <c r="BM18" i="28"/>
  <c r="BV70" i="31"/>
  <c r="J70" i="31"/>
  <c r="H18" i="28"/>
  <c r="Y70" i="31"/>
  <c r="Y18" i="28"/>
  <c r="AU66" i="31"/>
  <c r="AU70" i="31" s="1"/>
  <c r="J18" i="28"/>
  <c r="AY18" i="28"/>
  <c r="EA70" i="31"/>
  <c r="EA18" i="28"/>
  <c r="DQ70" i="31"/>
  <c r="I70" i="31"/>
  <c r="DZ70" i="31"/>
  <c r="EB70" i="31"/>
  <c r="DQ18" i="28"/>
  <c r="CX66" i="31"/>
  <c r="BV18" i="28"/>
  <c r="I18" i="28"/>
  <c r="EO66" i="31"/>
  <c r="DF70" i="31"/>
  <c r="H70" i="31"/>
  <c r="DF18" i="28"/>
  <c r="BM66" i="31"/>
  <c r="BM70" i="31" s="1"/>
  <c r="FQ18" i="28"/>
  <c r="CG66" i="31"/>
  <c r="FS70" i="31"/>
  <c r="FA18" i="28"/>
  <c r="FA70" i="31"/>
  <c r="Z18" i="28"/>
  <c r="BF18" i="28"/>
  <c r="CV18" i="28"/>
  <c r="K18" i="28"/>
  <c r="M18" i="28"/>
  <c r="M70" i="31"/>
  <c r="FS18" i="28"/>
  <c r="CV70" i="31"/>
  <c r="F18" i="28"/>
  <c r="F19" i="28" s="1"/>
  <c r="L18" i="28"/>
  <c r="L70" i="31"/>
  <c r="K70" i="31"/>
  <c r="FG70" i="31"/>
  <c r="FG18" i="28"/>
  <c r="G70" i="31"/>
  <c r="G18" i="28"/>
  <c r="EB18" i="28"/>
  <c r="GC17" i="28"/>
  <c r="GC67" i="31" s="1"/>
  <c r="GC16" i="28"/>
  <c r="GC66" i="31" s="1"/>
  <c r="F70" i="31"/>
  <c r="F71" i="31" s="1"/>
  <c r="R40" i="4"/>
  <c r="I17" i="50"/>
  <c r="DJ70" i="31" l="1"/>
  <c r="DZ18" i="28"/>
  <c r="DJ18" i="28"/>
  <c r="FN70" i="31"/>
  <c r="FU70" i="31"/>
  <c r="AV18" i="28"/>
  <c r="AL70" i="31"/>
  <c r="AL18" i="28"/>
  <c r="EL18" i="28"/>
  <c r="EH70" i="31"/>
  <c r="ES18" i="28"/>
  <c r="ES70" i="31"/>
  <c r="CZ18" i="28"/>
  <c r="CF70" i="31"/>
  <c r="CH70" i="31"/>
  <c r="CI70" i="31"/>
  <c r="CH18" i="28"/>
  <c r="BQ70" i="31"/>
  <c r="EM70" i="31"/>
  <c r="ET70" i="31"/>
  <c r="AO70" i="31"/>
  <c r="CE70" i="31"/>
  <c r="FE70" i="31"/>
  <c r="BD70" i="31"/>
  <c r="EL70" i="31"/>
  <c r="FT18" i="28"/>
  <c r="AH70" i="31"/>
  <c r="EI18" i="28"/>
  <c r="CE18" i="28"/>
  <c r="DS70" i="31"/>
  <c r="DP70" i="31"/>
  <c r="EX70" i="31"/>
  <c r="DP18" i="28"/>
  <c r="BH18" i="28"/>
  <c r="FZ70" i="31"/>
  <c r="BD18" i="28"/>
  <c r="CC70" i="31"/>
  <c r="DS18" i="28"/>
  <c r="BA70" i="31"/>
  <c r="FN18" i="28"/>
  <c r="FC70" i="31"/>
  <c r="FB18" i="28"/>
  <c r="FH70" i="31"/>
  <c r="GA70" i="31"/>
  <c r="FH18" i="28"/>
  <c r="ER18" i="28"/>
  <c r="ER70" i="31"/>
  <c r="CO70" i="31"/>
  <c r="FI70" i="31"/>
  <c r="AK66" i="31"/>
  <c r="AK70" i="31" s="1"/>
  <c r="BA18" i="28"/>
  <c r="DX18" i="28"/>
  <c r="CP70" i="31"/>
  <c r="CO18" i="28"/>
  <c r="FM18" i="28"/>
  <c r="BI18" i="28"/>
  <c r="CB70" i="31"/>
  <c r="DR18" i="28"/>
  <c r="EK70" i="31"/>
  <c r="BJ18" i="28"/>
  <c r="EK18" i="28"/>
  <c r="BL70" i="31"/>
  <c r="BK18" i="28"/>
  <c r="FM70" i="31"/>
  <c r="FU18" i="28"/>
  <c r="FJ70" i="31"/>
  <c r="R18" i="28"/>
  <c r="CL70" i="31"/>
  <c r="FI18" i="28"/>
  <c r="EX18" i="28"/>
  <c r="R70" i="31"/>
  <c r="H36" i="4"/>
  <c r="AX70" i="31"/>
  <c r="CT70" i="31"/>
  <c r="CS70" i="31"/>
  <c r="GB70" i="31"/>
  <c r="AR70" i="31"/>
  <c r="DW18" i="28"/>
  <c r="DG66" i="31"/>
  <c r="DG70" i="31" s="1"/>
  <c r="AF70" i="31"/>
  <c r="BL18" i="28"/>
  <c r="CL18" i="28"/>
  <c r="AR18" i="28"/>
  <c r="FV70" i="31"/>
  <c r="CK70" i="31"/>
  <c r="CS18" i="28"/>
  <c r="S18" i="28"/>
  <c r="DA70" i="31"/>
  <c r="BG18" i="28"/>
  <c r="DE70" i="31"/>
  <c r="AF18" i="28"/>
  <c r="AS70" i="31"/>
  <c r="BZ18" i="28"/>
  <c r="DH70" i="31"/>
  <c r="FK18" i="28"/>
  <c r="BZ66" i="31"/>
  <c r="BZ70" i="31" s="1"/>
  <c r="DD70" i="31"/>
  <c r="AC70" i="31"/>
  <c r="AD18" i="28"/>
  <c r="BU70" i="31"/>
  <c r="BU18" i="28"/>
  <c r="EC70" i="31"/>
  <c r="CA70" i="31"/>
  <c r="EC18" i="28"/>
  <c r="EN70" i="31"/>
  <c r="AC18" i="28"/>
  <c r="BN18" i="28"/>
  <c r="BT70" i="31"/>
  <c r="FC18" i="28"/>
  <c r="DI70" i="31"/>
  <c r="ET18" i="28"/>
  <c r="AE18" i="28"/>
  <c r="DD18" i="28"/>
  <c r="FD70" i="31"/>
  <c r="N18" i="28"/>
  <c r="DO70" i="31"/>
  <c r="N70" i="31"/>
  <c r="DO18" i="28"/>
  <c r="EM18" i="28"/>
  <c r="BO70" i="31"/>
  <c r="FD18" i="28"/>
  <c r="EH18" i="28"/>
  <c r="FE18" i="28"/>
  <c r="DE18" i="28"/>
  <c r="FR18" i="28"/>
  <c r="EG18" i="28"/>
  <c r="DU70" i="31"/>
  <c r="EV70" i="31"/>
  <c r="CT18" i="28"/>
  <c r="CX70" i="31"/>
  <c r="AA70" i="31"/>
  <c r="FR70" i="31"/>
  <c r="FX70" i="31"/>
  <c r="CY18" i="28"/>
  <c r="FW70" i="31"/>
  <c r="EU70" i="31"/>
  <c r="ED70" i="31"/>
  <c r="FW18" i="28"/>
  <c r="GA18" i="28"/>
  <c r="EU18" i="28"/>
  <c r="CJ70" i="31"/>
  <c r="AX18" i="28"/>
  <c r="DN70" i="31"/>
  <c r="AZ70" i="31"/>
  <c r="AS18" i="28"/>
  <c r="EQ18" i="28"/>
  <c r="CI18" i="28"/>
  <c r="DT18" i="28"/>
  <c r="FJ18" i="28"/>
  <c r="CW18" i="28"/>
  <c r="AA18" i="28"/>
  <c r="CP18" i="28"/>
  <c r="CX18" i="28"/>
  <c r="EQ70" i="31"/>
  <c r="DT70" i="31"/>
  <c r="EV18" i="28"/>
  <c r="AM18" i="28"/>
  <c r="AW70" i="31"/>
  <c r="FP70" i="31"/>
  <c r="AW18" i="28"/>
  <c r="EP70" i="31"/>
  <c r="AB70" i="31"/>
  <c r="EP18" i="28"/>
  <c r="AB18" i="28"/>
  <c r="FO18" i="28"/>
  <c r="AZ18" i="28"/>
  <c r="FL70" i="31"/>
  <c r="BW70" i="31"/>
  <c r="FL18" i="28"/>
  <c r="BY18" i="28"/>
  <c r="BW18" i="28"/>
  <c r="DC70" i="31"/>
  <c r="FV18" i="28"/>
  <c r="BS70" i="31"/>
  <c r="BS18" i="28"/>
  <c r="CN18" i="28"/>
  <c r="Q36" i="4"/>
  <c r="DC18" i="28"/>
  <c r="FP18" i="28"/>
  <c r="CN70" i="31"/>
  <c r="BY70" i="31"/>
  <c r="CK18" i="28"/>
  <c r="AT18" i="28"/>
  <c r="AT70" i="31"/>
  <c r="CM70" i="31"/>
  <c r="FX18" i="28"/>
  <c r="FY70" i="31"/>
  <c r="G36" i="4"/>
  <c r="BB70" i="31"/>
  <c r="BC18" i="28"/>
  <c r="CJ18" i="28"/>
  <c r="S66" i="31"/>
  <c r="S70" i="31" s="1"/>
  <c r="BP70" i="31"/>
  <c r="BO18" i="28"/>
  <c r="AH18" i="28"/>
  <c r="BP18" i="28"/>
  <c r="FZ18" i="28"/>
  <c r="CG18" i="28"/>
  <c r="EZ70" i="31"/>
  <c r="EZ18" i="28"/>
  <c r="DN18" i="28"/>
  <c r="BR70" i="31"/>
  <c r="EW70" i="31"/>
  <c r="BQ18" i="28"/>
  <c r="CB18" i="28"/>
  <c r="EO70" i="31"/>
  <c r="DM70" i="31"/>
  <c r="CG70" i="31"/>
  <c r="AG18" i="28"/>
  <c r="AG70" i="31"/>
  <c r="FY18" i="28"/>
  <c r="DV70" i="31"/>
  <c r="DU18" i="28"/>
  <c r="L36" i="4"/>
  <c r="BB18" i="28"/>
  <c r="CM18" i="28"/>
  <c r="DI18" i="28"/>
  <c r="DV18" i="28"/>
  <c r="D27" i="4"/>
  <c r="EF70" i="31"/>
  <c r="CF18" i="28"/>
  <c r="EN18" i="28"/>
  <c r="CQ70" i="31"/>
  <c r="M36" i="4"/>
  <c r="EO18" i="28"/>
  <c r="CR18" i="28"/>
  <c r="BR18" i="28"/>
  <c r="EF18" i="28"/>
  <c r="DM18" i="28"/>
  <c r="D36" i="4"/>
  <c r="D37" i="4" s="1"/>
  <c r="D18" i="4" s="1" a="1"/>
  <c r="D18" i="4" s="1"/>
  <c r="I36" i="4"/>
  <c r="CZ66" i="31"/>
  <c r="CZ70" i="31" s="1"/>
  <c r="DA18" i="28"/>
  <c r="EE70" i="31"/>
  <c r="EE18" i="28"/>
  <c r="CD70" i="31"/>
  <c r="P70" i="31"/>
  <c r="P18" i="28"/>
  <c r="DH18" i="28"/>
  <c r="AO18" i="28"/>
  <c r="AQ70" i="31"/>
  <c r="O18" i="28"/>
  <c r="CU70" i="31"/>
  <c r="AP70" i="31"/>
  <c r="AQ18" i="28"/>
  <c r="FF70" i="31"/>
  <c r="O66" i="31"/>
  <c r="O70" i="31" s="1"/>
  <c r="Q70" i="31"/>
  <c r="Q18" i="28"/>
  <c r="BX70" i="31"/>
  <c r="BX18" i="28"/>
  <c r="CC18" i="28"/>
  <c r="K36" i="4"/>
  <c r="CU18" i="28"/>
  <c r="AP18" i="28"/>
  <c r="BT18" i="28"/>
  <c r="FF18" i="28"/>
  <c r="EI66" i="31"/>
  <c r="EI70" i="31" s="1"/>
  <c r="F36" i="4"/>
  <c r="CQ18" i="28"/>
  <c r="DK18" i="28"/>
  <c r="ED18" i="28"/>
  <c r="J36" i="4"/>
  <c r="N36" i="4"/>
  <c r="AN70" i="31"/>
  <c r="DL18" i="28"/>
  <c r="AN18" i="28"/>
  <c r="CD18" i="28"/>
  <c r="AI70" i="31"/>
  <c r="DL70" i="31"/>
  <c r="AI18" i="28"/>
  <c r="EW18" i="28"/>
  <c r="EY18" i="28"/>
  <c r="P36" i="4"/>
  <c r="EJ18" i="28"/>
  <c r="CA18" i="28"/>
  <c r="O36" i="4"/>
  <c r="EJ70" i="31"/>
  <c r="EY66" i="31"/>
  <c r="EY70" i="31" s="1"/>
  <c r="DY70" i="31"/>
  <c r="DY18" i="28"/>
  <c r="GB18" i="28"/>
  <c r="G71" i="31"/>
  <c r="H71" i="31" s="1"/>
  <c r="I71" i="31" s="1"/>
  <c r="J71" i="31" s="1"/>
  <c r="K71" i="31" s="1"/>
  <c r="L71" i="31" s="1"/>
  <c r="M71" i="31" s="1"/>
  <c r="G19" i="28"/>
  <c r="H19" i="28" s="1"/>
  <c r="I19" i="28" s="1"/>
  <c r="J19" i="28" s="1"/>
  <c r="K19" i="28" s="1"/>
  <c r="L19" i="28" s="1"/>
  <c r="M19" i="28" s="1"/>
  <c r="GC70" i="31"/>
  <c r="F8" i="4"/>
  <c r="F7" i="4"/>
  <c r="F10" i="4"/>
  <c r="F17" i="4"/>
  <c r="R36" i="4"/>
  <c r="GC18" i="28"/>
  <c r="J17" i="50"/>
  <c r="N19" i="28" l="1"/>
  <c r="O19" i="28" s="1"/>
  <c r="P19" i="28" s="1"/>
  <c r="Q19" i="28" s="1"/>
  <c r="R19" i="28" s="1"/>
  <c r="S19" i="28" s="1"/>
  <c r="N71" i="31"/>
  <c r="O71" i="31" s="1"/>
  <c r="P71" i="31" s="1"/>
  <c r="Q71" i="31" s="1"/>
  <c r="R71" i="31" s="1"/>
  <c r="S71" i="31" s="1"/>
  <c r="O17" i="4"/>
  <c r="O10" i="4"/>
  <c r="O7" i="4"/>
  <c r="O13" i="4" s="1"/>
  <c r="I7" i="4"/>
  <c r="I13" i="4" s="1"/>
  <c r="O8" i="4"/>
  <c r="I17" i="4"/>
  <c r="Q8" i="4"/>
  <c r="Q7" i="4"/>
  <c r="Q13" i="4" s="1"/>
  <c r="H7" i="4"/>
  <c r="H13" i="4" s="1"/>
  <c r="J17" i="4"/>
  <c r="G17" i="4"/>
  <c r="H10" i="4"/>
  <c r="H8" i="4"/>
  <c r="H17" i="4"/>
  <c r="G10" i="4"/>
  <c r="P17" i="4"/>
  <c r="P10" i="4"/>
  <c r="G7" i="4"/>
  <c r="G13" i="4" s="1"/>
  <c r="L10" i="4"/>
  <c r="L18" i="4" a="1"/>
  <c r="L18" i="4" s="1"/>
  <c r="Q17" i="4"/>
  <c r="Q18" i="4" a="1"/>
  <c r="Q18" i="4" s="1"/>
  <c r="I8" i="4"/>
  <c r="I18" i="4" a="1"/>
  <c r="I18" i="4" s="1"/>
  <c r="N8" i="4"/>
  <c r="N18" i="4" a="1"/>
  <c r="N18" i="4" s="1"/>
  <c r="M8" i="4"/>
  <c r="M18" i="4" a="1"/>
  <c r="M18" i="4" s="1"/>
  <c r="G18" i="4" a="1"/>
  <c r="G18" i="4" s="1"/>
  <c r="K7" i="4"/>
  <c r="K13" i="4" s="1"/>
  <c r="K18" i="4" a="1"/>
  <c r="K18" i="4" s="1"/>
  <c r="P7" i="4"/>
  <c r="P13" i="4" s="1"/>
  <c r="P18" i="4" a="1"/>
  <c r="P18" i="4" s="1"/>
  <c r="R18" i="4" a="1"/>
  <c r="R18" i="4" s="1"/>
  <c r="R7" i="4"/>
  <c r="R13" i="4" s="1"/>
  <c r="N7" i="4"/>
  <c r="N13" i="4" s="1"/>
  <c r="M7" i="4"/>
  <c r="M13" i="4" s="1"/>
  <c r="N17" i="4"/>
  <c r="N10" i="4"/>
  <c r="M17" i="4"/>
  <c r="M10" i="4"/>
  <c r="R8" i="4"/>
  <c r="K8" i="4"/>
  <c r="R17" i="4"/>
  <c r="K17" i="4"/>
  <c r="J10" i="4"/>
  <c r="J8" i="4"/>
  <c r="J7" i="4"/>
  <c r="K10" i="4"/>
  <c r="L8" i="4"/>
  <c r="L7" i="4"/>
  <c r="L17" i="4"/>
  <c r="F13" i="4"/>
  <c r="F9" i="4"/>
  <c r="F11" i="4" s="1"/>
  <c r="R10" i="4"/>
  <c r="K17" i="50"/>
  <c r="I9" i="4" l="1"/>
  <c r="O9" i="4"/>
  <c r="O11" i="4" s="1"/>
  <c r="O15" i="4" s="1"/>
  <c r="Q9" i="4"/>
  <c r="H9" i="4"/>
  <c r="H11" i="4" s="1"/>
  <c r="H15" i="4" s="1"/>
  <c r="R9" i="4"/>
  <c r="R11" i="4" s="1"/>
  <c r="R15" i="4" s="1"/>
  <c r="R19" i="4"/>
  <c r="G19" i="4"/>
  <c r="K9" i="4"/>
  <c r="K11" i="4" s="1"/>
  <c r="M9" i="4"/>
  <c r="M11" i="4" s="1"/>
  <c r="N9" i="4"/>
  <c r="N11" i="4" s="1"/>
  <c r="N15" i="4" s="1"/>
  <c r="J9" i="4"/>
  <c r="J11" i="4" s="1"/>
  <c r="J15" i="4" s="1"/>
  <c r="L9" i="4"/>
  <c r="L11" i="4" s="1"/>
  <c r="J13" i="4"/>
  <c r="J19" i="4" s="1"/>
  <c r="L13" i="4"/>
  <c r="M19" i="4" s="1"/>
  <c r="Q19" i="4"/>
  <c r="H19" i="4"/>
  <c r="I19" i="4"/>
  <c r="O19" i="4"/>
  <c r="F15" i="4"/>
  <c r="P19" i="4"/>
  <c r="N19" i="4"/>
  <c r="L17" i="50"/>
  <c r="R33" i="4" l="1"/>
  <c r="N21" i="4"/>
  <c r="N24" i="4" s="1"/>
  <c r="N33" i="4"/>
  <c r="O25" i="4"/>
  <c r="R21" i="4"/>
  <c r="R24" i="4" s="1"/>
  <c r="M15" i="4"/>
  <c r="N25" i="4"/>
  <c r="M25" i="4"/>
  <c r="L15" i="4"/>
  <c r="L25" i="4"/>
  <c r="K19" i="4"/>
  <c r="K15" i="4"/>
  <c r="L19" i="4"/>
  <c r="M17" i="50"/>
  <c r="L33" i="4" l="1"/>
  <c r="K33" i="4"/>
  <c r="M21" i="4"/>
  <c r="M24" i="4" s="1"/>
  <c r="M33" i="4"/>
  <c r="K21" i="4"/>
  <c r="K24" i="4" s="1"/>
  <c r="L21" i="4"/>
  <c r="L24" i="4" s="1"/>
  <c r="N17" i="50"/>
  <c r="O17" i="50" l="1"/>
  <c r="P17" i="50" l="1"/>
  <c r="Q17" i="50" l="1"/>
  <c r="R17" i="50" l="1"/>
  <c r="S17" i="50" l="1"/>
  <c r="D10" i="4" l="1" a="1"/>
  <c r="D10" i="4" s="1"/>
  <c r="D17" i="4" a="1"/>
  <c r="D17" i="4" s="1"/>
  <c r="D7" i="4" a="1"/>
  <c r="D7" i="4" s="1"/>
  <c r="D8" i="4" a="1"/>
  <c r="D8" i="4" s="1"/>
  <c r="D13" i="4" l="1"/>
  <c r="D19" i="4" s="1"/>
  <c r="D9" i="4"/>
  <c r="D11" i="4" l="1"/>
  <c r="D15" i="4" l="1"/>
  <c r="D33" i="4" s="1"/>
  <c r="W72" i="50" l="1"/>
  <c r="W70" i="50"/>
  <c r="W71" i="50"/>
  <c r="W73" i="50"/>
  <c r="D21" i="4"/>
  <c r="W76" i="50" l="1"/>
  <c r="W77" i="50" s="1"/>
  <c r="W78" i="50" s="1"/>
  <c r="W81" i="50" s="1"/>
  <c r="W14" i="50" s="1" a="1"/>
  <c r="W14" i="50" s="1"/>
  <c r="W29" i="28" s="1"/>
  <c r="D24" i="4"/>
  <c r="W11" i="50" l="1" a="1"/>
  <c r="W11" i="50" s="1"/>
  <c r="W26" i="28" s="1"/>
  <c r="W15" i="50" a="1"/>
  <c r="W15" i="50" s="1"/>
  <c r="W30" i="28" s="1"/>
  <c r="W9" i="50" a="1"/>
  <c r="W9" i="50" s="1"/>
  <c r="W59" i="31" s="1"/>
  <c r="W10" i="50" a="1"/>
  <c r="W10" i="50" s="1"/>
  <c r="W60" i="31" s="1"/>
  <c r="W13" i="50" a="1"/>
  <c r="W13" i="50" s="1"/>
  <c r="W28" i="28" s="1"/>
  <c r="W12" i="50" a="1"/>
  <c r="W12" i="50" s="1"/>
  <c r="W27" i="28" s="1"/>
  <c r="W64" i="31"/>
  <c r="W61" i="31" l="1"/>
  <c r="W65" i="31"/>
  <c r="W25" i="28"/>
  <c r="W24" i="28"/>
  <c r="W63" i="31"/>
  <c r="W16" i="50"/>
  <c r="W62" i="31"/>
  <c r="U72" i="50"/>
  <c r="U70" i="50"/>
  <c r="T72" i="50"/>
  <c r="T70" i="50"/>
  <c r="U71" i="50"/>
  <c r="T71" i="50"/>
  <c r="T73" i="50"/>
  <c r="U73" i="50"/>
  <c r="W69" i="31" l="1"/>
  <c r="W15" i="28"/>
  <c r="W11" i="28"/>
  <c r="W13" i="28"/>
  <c r="W10" i="28"/>
  <c r="W14" i="28"/>
  <c r="W12" i="28"/>
  <c r="W9" i="28"/>
  <c r="X17" i="28" s="1"/>
  <c r="X18" i="28" s="1"/>
  <c r="U76" i="50"/>
  <c r="V72" i="50"/>
  <c r="V70" i="50"/>
  <c r="T76" i="50"/>
  <c r="V71" i="50"/>
  <c r="V73" i="50"/>
  <c r="X67" i="31" l="1"/>
  <c r="X70" i="31" s="1"/>
  <c r="W16" i="28"/>
  <c r="W66" i="31" s="1"/>
  <c r="U77" i="50"/>
  <c r="T77" i="50"/>
  <c r="T78" i="50" s="1"/>
  <c r="T81" i="50" s="1"/>
  <c r="T15" i="50" s="1" a="1"/>
  <c r="T15" i="50" s="1"/>
  <c r="V76" i="50"/>
  <c r="T13" i="50" l="1" a="1"/>
  <c r="T13" i="50" s="1"/>
  <c r="T28" i="28" s="1"/>
  <c r="T9" i="50" a="1"/>
  <c r="T9" i="50" s="1"/>
  <c r="T59" i="31" s="1"/>
  <c r="U78" i="50"/>
  <c r="V77" i="50"/>
  <c r="V78" i="50" s="1"/>
  <c r="V81" i="50" s="1"/>
  <c r="T12" i="50" a="1"/>
  <c r="T12" i="50" s="1"/>
  <c r="T65" i="31"/>
  <c r="T30" i="28"/>
  <c r="T10" i="50" a="1"/>
  <c r="T10" i="50" s="1"/>
  <c r="T11" i="50" a="1"/>
  <c r="T11" i="50" s="1"/>
  <c r="T14" i="50" a="1"/>
  <c r="T14" i="50" s="1"/>
  <c r="V14" i="50" l="1" a="1"/>
  <c r="V14" i="50" s="1"/>
  <c r="V29" i="28" s="1"/>
  <c r="V9" i="50" a="1"/>
  <c r="V9" i="50" s="1"/>
  <c r="V59" i="31" s="1"/>
  <c r="V10" i="50" a="1"/>
  <c r="V10" i="50" s="1"/>
  <c r="V60" i="31" s="1"/>
  <c r="T63" i="31"/>
  <c r="T24" i="28"/>
  <c r="V12" i="50" a="1"/>
  <c r="V12" i="50" s="1"/>
  <c r="V62" i="31" s="1"/>
  <c r="V13" i="50" a="1"/>
  <c r="V13" i="50" s="1"/>
  <c r="V28" i="28" s="1"/>
  <c r="V15" i="50" a="1"/>
  <c r="V15" i="50" s="1"/>
  <c r="V30" i="28" s="1"/>
  <c r="V11" i="50" a="1"/>
  <c r="V11" i="50" s="1"/>
  <c r="V26" i="28" s="1"/>
  <c r="U81" i="50"/>
  <c r="U11" i="50" s="1" a="1"/>
  <c r="U11" i="50" s="1"/>
  <c r="T16" i="50"/>
  <c r="T17" i="50" s="1"/>
  <c r="T27" i="28"/>
  <c r="T62" i="31"/>
  <c r="T29" i="28"/>
  <c r="T64" i="31"/>
  <c r="T61" i="31"/>
  <c r="T26" i="28"/>
  <c r="T25" i="28"/>
  <c r="T60" i="31"/>
  <c r="V64" i="31" l="1"/>
  <c r="V24" i="28"/>
  <c r="V25" i="28"/>
  <c r="V27" i="28"/>
  <c r="V63" i="31"/>
  <c r="V65" i="31"/>
  <c r="U15" i="50" a="1"/>
  <c r="U15" i="50" s="1"/>
  <c r="E15" i="50" s="1"/>
  <c r="U13" i="50" a="1"/>
  <c r="U13" i="50" s="1"/>
  <c r="U28" i="28" s="1"/>
  <c r="E28" i="28" s="1"/>
  <c r="U14" i="50" a="1"/>
  <c r="U14" i="50" s="1"/>
  <c r="E14" i="50" s="1"/>
  <c r="T9" i="28"/>
  <c r="T17" i="28" s="1"/>
  <c r="T67" i="31" s="1"/>
  <c r="U61" i="31"/>
  <c r="U26" i="28"/>
  <c r="E26" i="28" s="1"/>
  <c r="V61" i="31"/>
  <c r="V69" i="31" s="1"/>
  <c r="E11" i="50"/>
  <c r="U10" i="50" a="1"/>
  <c r="U10" i="50" s="1"/>
  <c r="U12" i="50" a="1"/>
  <c r="U12" i="50" s="1"/>
  <c r="E81" i="50"/>
  <c r="E82" i="50" s="1"/>
  <c r="U9" i="50" a="1"/>
  <c r="U9" i="50" s="1"/>
  <c r="V16" i="50"/>
  <c r="T14" i="28"/>
  <c r="T12" i="28"/>
  <c r="T69" i="31"/>
  <c r="T10" i="28"/>
  <c r="T13" i="28"/>
  <c r="T11" i="28"/>
  <c r="T15" i="28"/>
  <c r="V14" i="28" l="1"/>
  <c r="V9" i="28"/>
  <c r="V11" i="28"/>
  <c r="V12" i="28"/>
  <c r="V15" i="28"/>
  <c r="V13" i="28"/>
  <c r="V10" i="28"/>
  <c r="U64" i="31"/>
  <c r="U29" i="28"/>
  <c r="E29" i="28" s="1"/>
  <c r="U65" i="31"/>
  <c r="U30" i="28"/>
  <c r="E30" i="28" s="1"/>
  <c r="E13" i="50"/>
  <c r="U63" i="31"/>
  <c r="U24" i="28"/>
  <c r="U59" i="31"/>
  <c r="U16" i="50"/>
  <c r="U17" i="50" s="1"/>
  <c r="V17" i="50" s="1"/>
  <c r="W17" i="50" s="1"/>
  <c r="X17" i="50" s="1"/>
  <c r="Y17" i="50" s="1"/>
  <c r="Z17" i="50" s="1"/>
  <c r="AA17" i="50" s="1"/>
  <c r="AB17" i="50" s="1"/>
  <c r="AC17" i="50" s="1"/>
  <c r="AD17" i="50" s="1"/>
  <c r="AE17" i="50" s="1"/>
  <c r="AF17" i="50" s="1"/>
  <c r="AG17" i="50" s="1"/>
  <c r="AH17" i="50" s="1"/>
  <c r="AI17" i="50" s="1"/>
  <c r="AJ17" i="50" s="1"/>
  <c r="AK17" i="50" s="1"/>
  <c r="AL17" i="50" s="1"/>
  <c r="AM17" i="50" s="1"/>
  <c r="AN17" i="50" s="1"/>
  <c r="AO17" i="50" s="1"/>
  <c r="AP17" i="50" s="1"/>
  <c r="AQ17" i="50" s="1"/>
  <c r="AR17" i="50" s="1"/>
  <c r="AS17" i="50" s="1"/>
  <c r="AT17" i="50" s="1"/>
  <c r="AU17" i="50" s="1"/>
  <c r="AV17" i="50" s="1"/>
  <c r="AW17" i="50" s="1"/>
  <c r="AX17" i="50" s="1"/>
  <c r="AY17" i="50" s="1"/>
  <c r="AZ17" i="50" s="1"/>
  <c r="BA17" i="50" s="1"/>
  <c r="BB17" i="50" s="1"/>
  <c r="BC17" i="50" s="1"/>
  <c r="BD17" i="50" s="1"/>
  <c r="BE17" i="50" s="1"/>
  <c r="BF17" i="50" s="1"/>
  <c r="BG17" i="50" s="1"/>
  <c r="BH17" i="50" s="1"/>
  <c r="BI17" i="50" s="1"/>
  <c r="BJ17" i="50" s="1"/>
  <c r="BK17" i="50" s="1"/>
  <c r="BL17" i="50" s="1"/>
  <c r="BM17" i="50" s="1"/>
  <c r="BN17" i="50" s="1"/>
  <c r="BO17" i="50" s="1"/>
  <c r="BP17" i="50" s="1"/>
  <c r="BQ17" i="50" s="1"/>
  <c r="BR17" i="50" s="1"/>
  <c r="BS17" i="50" s="1"/>
  <c r="BT17" i="50" s="1"/>
  <c r="BU17" i="50" s="1"/>
  <c r="BV17" i="50" s="1"/>
  <c r="BW17" i="50" s="1"/>
  <c r="BX17" i="50" s="1"/>
  <c r="BY17" i="50" s="1"/>
  <c r="BZ17" i="50" s="1"/>
  <c r="CA17" i="50" s="1"/>
  <c r="CB17" i="50" s="1"/>
  <c r="CC17" i="50" s="1"/>
  <c r="CD17" i="50" s="1"/>
  <c r="CE17" i="50" s="1"/>
  <c r="CF17" i="50" s="1"/>
  <c r="CG17" i="50" s="1"/>
  <c r="CH17" i="50" s="1"/>
  <c r="CI17" i="50" s="1"/>
  <c r="CJ17" i="50" s="1"/>
  <c r="CK17" i="50" s="1"/>
  <c r="CL17" i="50" s="1"/>
  <c r="CM17" i="50" s="1"/>
  <c r="CN17" i="50" s="1"/>
  <c r="CO17" i="50" s="1"/>
  <c r="CP17" i="50" s="1"/>
  <c r="CQ17" i="50" s="1"/>
  <c r="CR17" i="50" s="1"/>
  <c r="CS17" i="50" s="1"/>
  <c r="CT17" i="50" s="1"/>
  <c r="CU17" i="50" s="1"/>
  <c r="CV17" i="50" s="1"/>
  <c r="CW17" i="50" s="1"/>
  <c r="CX17" i="50" s="1"/>
  <c r="CY17" i="50" s="1"/>
  <c r="CZ17" i="50" s="1"/>
  <c r="DA17" i="50" s="1"/>
  <c r="DB17" i="50" s="1"/>
  <c r="DC17" i="50" s="1"/>
  <c r="DD17" i="50" s="1"/>
  <c r="DE17" i="50" s="1"/>
  <c r="DF17" i="50" s="1"/>
  <c r="DG17" i="50" s="1"/>
  <c r="DH17" i="50" s="1"/>
  <c r="DI17" i="50" s="1"/>
  <c r="DJ17" i="50" s="1"/>
  <c r="DK17" i="50" s="1"/>
  <c r="DL17" i="50" s="1"/>
  <c r="DM17" i="50" s="1"/>
  <c r="DN17" i="50" s="1"/>
  <c r="DO17" i="50" s="1"/>
  <c r="DP17" i="50" s="1"/>
  <c r="DQ17" i="50" s="1"/>
  <c r="DR17" i="50" s="1"/>
  <c r="DS17" i="50" s="1"/>
  <c r="DT17" i="50" s="1"/>
  <c r="DU17" i="50" s="1"/>
  <c r="DV17" i="50" s="1"/>
  <c r="DW17" i="50" s="1"/>
  <c r="DX17" i="50" s="1"/>
  <c r="DY17" i="50" s="1"/>
  <c r="DZ17" i="50" s="1"/>
  <c r="EA17" i="50" s="1"/>
  <c r="EB17" i="50" s="1"/>
  <c r="EC17" i="50" s="1"/>
  <c r="ED17" i="50" s="1"/>
  <c r="EE17" i="50" s="1"/>
  <c r="EF17" i="50" s="1"/>
  <c r="EG17" i="50" s="1"/>
  <c r="EH17" i="50" s="1"/>
  <c r="EI17" i="50" s="1"/>
  <c r="EJ17" i="50" s="1"/>
  <c r="EK17" i="50" s="1"/>
  <c r="EL17" i="50" s="1"/>
  <c r="EM17" i="50" s="1"/>
  <c r="EN17" i="50" s="1"/>
  <c r="EO17" i="50" s="1"/>
  <c r="EP17" i="50" s="1"/>
  <c r="EQ17" i="50" s="1"/>
  <c r="ER17" i="50" s="1"/>
  <c r="ES17" i="50" s="1"/>
  <c r="ET17" i="50" s="1"/>
  <c r="EU17" i="50" s="1"/>
  <c r="EV17" i="50" s="1"/>
  <c r="EW17" i="50" s="1"/>
  <c r="EX17" i="50" s="1"/>
  <c r="EY17" i="50" s="1"/>
  <c r="EZ17" i="50" s="1"/>
  <c r="FA17" i="50" s="1"/>
  <c r="FB17" i="50" s="1"/>
  <c r="FC17" i="50" s="1"/>
  <c r="FD17" i="50" s="1"/>
  <c r="FE17" i="50" s="1"/>
  <c r="FF17" i="50" s="1"/>
  <c r="FG17" i="50" s="1"/>
  <c r="FH17" i="50" s="1"/>
  <c r="FI17" i="50" s="1"/>
  <c r="FJ17" i="50" s="1"/>
  <c r="FK17" i="50" s="1"/>
  <c r="FL17" i="50" s="1"/>
  <c r="FM17" i="50" s="1"/>
  <c r="FN17" i="50" s="1"/>
  <c r="FO17" i="50" s="1"/>
  <c r="FP17" i="50" s="1"/>
  <c r="FQ17" i="50" s="1"/>
  <c r="FR17" i="50" s="1"/>
  <c r="FS17" i="50" s="1"/>
  <c r="FT17" i="50" s="1"/>
  <c r="FU17" i="50" s="1"/>
  <c r="FV17" i="50" s="1"/>
  <c r="FW17" i="50" s="1"/>
  <c r="FX17" i="50" s="1"/>
  <c r="FY17" i="50" s="1"/>
  <c r="FZ17" i="50" s="1"/>
  <c r="GA17" i="50" s="1"/>
  <c r="GB17" i="50" s="1"/>
  <c r="GC17" i="50" s="1"/>
  <c r="E9" i="50"/>
  <c r="U62" i="31"/>
  <c r="U27" i="28"/>
  <c r="E12" i="50"/>
  <c r="U60" i="31"/>
  <c r="U25" i="28"/>
  <c r="E25" i="28" s="1"/>
  <c r="E10" i="50"/>
  <c r="D20" i="4" s="1"/>
  <c r="T16" i="28"/>
  <c r="T18" i="28" s="1"/>
  <c r="T19" i="28" s="1"/>
  <c r="V16" i="28" l="1"/>
  <c r="V66" i="31" s="1"/>
  <c r="W17" i="28"/>
  <c r="W18" i="28" s="1"/>
  <c r="U10" i="28"/>
  <c r="E27" i="28"/>
  <c r="U69" i="31"/>
  <c r="D30" i="32"/>
  <c r="D28" i="4"/>
  <c r="U14" i="28"/>
  <c r="U9" i="28"/>
  <c r="U12" i="28"/>
  <c r="U15" i="28"/>
  <c r="U11" i="28"/>
  <c r="U13" i="28"/>
  <c r="E24" i="28"/>
  <c r="T66" i="31"/>
  <c r="T70" i="31" s="1"/>
  <c r="T71" i="31" s="1"/>
  <c r="W67" i="31" l="1"/>
  <c r="W70" i="31" s="1"/>
  <c r="E12" i="28"/>
  <c r="E43" i="4"/>
  <c r="T43" i="4" s="1"/>
  <c r="U16" i="28"/>
  <c r="U17" i="28"/>
  <c r="U67" i="31" s="1"/>
  <c r="E40" i="4"/>
  <c r="E9" i="28"/>
  <c r="V17" i="28"/>
  <c r="E14" i="28"/>
  <c r="E45" i="4"/>
  <c r="T45" i="4" s="1"/>
  <c r="E13" i="28"/>
  <c r="E44" i="4"/>
  <c r="E11" i="28"/>
  <c r="E42" i="4"/>
  <c r="T42" i="4" s="1"/>
  <c r="E46" i="4"/>
  <c r="T46" i="4" s="1"/>
  <c r="E15" i="28"/>
  <c r="E10" i="28"/>
  <c r="E41" i="4"/>
  <c r="T41" i="4" s="1"/>
  <c r="U18" i="28" l="1"/>
  <c r="U19" i="28" s="1"/>
  <c r="V67" i="31"/>
  <c r="V70" i="31" s="1"/>
  <c r="V18" i="28"/>
  <c r="M27" i="4"/>
  <c r="P27" i="4"/>
  <c r="O27" i="4"/>
  <c r="F27" i="4"/>
  <c r="G27" i="4"/>
  <c r="Q27" i="4"/>
  <c r="I27" i="4"/>
  <c r="N27" i="4"/>
  <c r="L27" i="4"/>
  <c r="E27" i="4"/>
  <c r="J27" i="4"/>
  <c r="H27" i="4"/>
  <c r="K27" i="4"/>
  <c r="T44" i="4"/>
  <c r="R27" i="4"/>
  <c r="D29" i="32" s="1"/>
  <c r="E7" i="4" a="1"/>
  <c r="E7" i="4" s="1"/>
  <c r="E17" i="4"/>
  <c r="T17" i="4" s="1"/>
  <c r="E8" i="4"/>
  <c r="E10" i="4"/>
  <c r="E36" i="4"/>
  <c r="T40" i="4"/>
  <c r="U66" i="31"/>
  <c r="U70" i="31" s="1"/>
  <c r="U71" i="31" s="1"/>
  <c r="E16" i="28"/>
  <c r="V19" i="28" l="1"/>
  <c r="W19" i="28" s="1"/>
  <c r="X19" i="28" s="1"/>
  <c r="Y19" i="28" s="1"/>
  <c r="Z19" i="28" s="1"/>
  <c r="AA19" i="28" s="1"/>
  <c r="AB19" i="28" s="1"/>
  <c r="AC19" i="28" s="1"/>
  <c r="AD19" i="28" s="1"/>
  <c r="AE19" i="28" s="1"/>
  <c r="AF19" i="28" s="1"/>
  <c r="AG19" i="28" s="1"/>
  <c r="AH19" i="28" s="1"/>
  <c r="AI19" i="28" s="1"/>
  <c r="AJ19" i="28" s="1"/>
  <c r="AK19" i="28" s="1"/>
  <c r="AL19" i="28" s="1"/>
  <c r="AM19" i="28" s="1"/>
  <c r="AN19" i="28" s="1"/>
  <c r="AO19" i="28" s="1"/>
  <c r="AP19" i="28" s="1"/>
  <c r="AQ19" i="28" s="1"/>
  <c r="AR19" i="28" s="1"/>
  <c r="AS19" i="28" s="1"/>
  <c r="AT19" i="28" s="1"/>
  <c r="AU19" i="28" s="1"/>
  <c r="AV19" i="28" s="1"/>
  <c r="AW19" i="28" s="1"/>
  <c r="AX19" i="28" s="1"/>
  <c r="AY19" i="28" s="1"/>
  <c r="AZ19" i="28" s="1"/>
  <c r="BA19" i="28" s="1"/>
  <c r="BB19" i="28" s="1"/>
  <c r="BC19" i="28" s="1"/>
  <c r="BD19" i="28" s="1"/>
  <c r="BE19" i="28" s="1"/>
  <c r="BF19" i="28" s="1"/>
  <c r="BG19" i="28" s="1"/>
  <c r="BH19" i="28" s="1"/>
  <c r="BI19" i="28" s="1"/>
  <c r="BJ19" i="28" s="1"/>
  <c r="BK19" i="28" s="1"/>
  <c r="BL19" i="28" s="1"/>
  <c r="BM19" i="28" s="1"/>
  <c r="BN19" i="28" s="1"/>
  <c r="BO19" i="28" s="1"/>
  <c r="BP19" i="28" s="1"/>
  <c r="BQ19" i="28" s="1"/>
  <c r="BR19" i="28" s="1"/>
  <c r="BS19" i="28" s="1"/>
  <c r="BT19" i="28" s="1"/>
  <c r="BU19" i="28" s="1"/>
  <c r="BV19" i="28" s="1"/>
  <c r="BW19" i="28" s="1"/>
  <c r="BX19" i="28" s="1"/>
  <c r="BY19" i="28" s="1"/>
  <c r="BZ19" i="28" s="1"/>
  <c r="CA19" i="28" s="1"/>
  <c r="CB19" i="28" s="1"/>
  <c r="CC19" i="28" s="1"/>
  <c r="CD19" i="28" s="1"/>
  <c r="CE19" i="28" s="1"/>
  <c r="CF19" i="28" s="1"/>
  <c r="CG19" i="28" s="1"/>
  <c r="CH19" i="28" s="1"/>
  <c r="CI19" i="28" s="1"/>
  <c r="CJ19" i="28" s="1"/>
  <c r="CK19" i="28" s="1"/>
  <c r="CL19" i="28" s="1"/>
  <c r="CM19" i="28" s="1"/>
  <c r="CN19" i="28" s="1"/>
  <c r="CO19" i="28" s="1"/>
  <c r="CP19" i="28" s="1"/>
  <c r="CQ19" i="28" s="1"/>
  <c r="CR19" i="28" s="1"/>
  <c r="CS19" i="28" s="1"/>
  <c r="CT19" i="28" s="1"/>
  <c r="CU19" i="28" s="1"/>
  <c r="CV19" i="28" s="1"/>
  <c r="CW19" i="28" s="1"/>
  <c r="CX19" i="28" s="1"/>
  <c r="CY19" i="28" s="1"/>
  <c r="CZ19" i="28" s="1"/>
  <c r="DA19" i="28" s="1"/>
  <c r="DB19" i="28" s="1"/>
  <c r="DC19" i="28" s="1"/>
  <c r="DD19" i="28" s="1"/>
  <c r="DE19" i="28" s="1"/>
  <c r="DF19" i="28" s="1"/>
  <c r="DG19" i="28" s="1"/>
  <c r="DH19" i="28" s="1"/>
  <c r="DI19" i="28" s="1"/>
  <c r="DJ19" i="28" s="1"/>
  <c r="DK19" i="28" s="1"/>
  <c r="DL19" i="28" s="1"/>
  <c r="DM19" i="28" s="1"/>
  <c r="DN19" i="28" s="1"/>
  <c r="DO19" i="28" s="1"/>
  <c r="DP19" i="28" s="1"/>
  <c r="DQ19" i="28" s="1"/>
  <c r="DR19" i="28" s="1"/>
  <c r="DS19" i="28" s="1"/>
  <c r="DT19" i="28" s="1"/>
  <c r="DU19" i="28" s="1"/>
  <c r="DV19" i="28" s="1"/>
  <c r="DW19" i="28" s="1"/>
  <c r="DX19" i="28" s="1"/>
  <c r="DY19" i="28" s="1"/>
  <c r="DZ19" i="28" s="1"/>
  <c r="EA19" i="28" s="1"/>
  <c r="EB19" i="28" s="1"/>
  <c r="EC19" i="28" s="1"/>
  <c r="ED19" i="28" s="1"/>
  <c r="EE19" i="28" s="1"/>
  <c r="EF19" i="28" s="1"/>
  <c r="EG19" i="28" s="1"/>
  <c r="EH19" i="28" s="1"/>
  <c r="EI19" i="28" s="1"/>
  <c r="EJ19" i="28" s="1"/>
  <c r="EK19" i="28" s="1"/>
  <c r="EL19" i="28" s="1"/>
  <c r="EM19" i="28" s="1"/>
  <c r="EN19" i="28" s="1"/>
  <c r="EO19" i="28" s="1"/>
  <c r="EP19" i="28" s="1"/>
  <c r="EQ19" i="28" s="1"/>
  <c r="ER19" i="28" s="1"/>
  <c r="ES19" i="28" s="1"/>
  <c r="ET19" i="28" s="1"/>
  <c r="EU19" i="28" s="1"/>
  <c r="EV19" i="28" s="1"/>
  <c r="EW19" i="28" s="1"/>
  <c r="EX19" i="28" s="1"/>
  <c r="EY19" i="28" s="1"/>
  <c r="EZ19" i="28" s="1"/>
  <c r="FA19" i="28" s="1"/>
  <c r="FB19" i="28" s="1"/>
  <c r="FC19" i="28" s="1"/>
  <c r="FD19" i="28" s="1"/>
  <c r="FE19" i="28" s="1"/>
  <c r="FF19" i="28" s="1"/>
  <c r="FG19" i="28" s="1"/>
  <c r="FH19" i="28" s="1"/>
  <c r="FI19" i="28" s="1"/>
  <c r="FJ19" i="28" s="1"/>
  <c r="FK19" i="28" s="1"/>
  <c r="FL19" i="28" s="1"/>
  <c r="FM19" i="28" s="1"/>
  <c r="FN19" i="28" s="1"/>
  <c r="FO19" i="28" s="1"/>
  <c r="FP19" i="28" s="1"/>
  <c r="FQ19" i="28" s="1"/>
  <c r="FR19" i="28" s="1"/>
  <c r="FS19" i="28" s="1"/>
  <c r="FT19" i="28" s="1"/>
  <c r="FU19" i="28" s="1"/>
  <c r="FV19" i="28" s="1"/>
  <c r="FW19" i="28" s="1"/>
  <c r="FX19" i="28" s="1"/>
  <c r="FY19" i="28" s="1"/>
  <c r="FZ19" i="28" s="1"/>
  <c r="GA19" i="28" s="1"/>
  <c r="GB19" i="28" s="1"/>
  <c r="GC19" i="28" s="1"/>
  <c r="V71" i="31"/>
  <c r="W71" i="31" s="1"/>
  <c r="X71" i="31" s="1"/>
  <c r="Y71" i="31" s="1"/>
  <c r="Z71" i="31" s="1"/>
  <c r="AA71" i="31" s="1"/>
  <c r="AB71" i="31" s="1"/>
  <c r="AC71" i="31" s="1"/>
  <c r="AD71" i="31" s="1"/>
  <c r="AE71" i="31" s="1"/>
  <c r="AF71" i="31" s="1"/>
  <c r="AG71" i="31" s="1"/>
  <c r="AH71" i="31" s="1"/>
  <c r="AI71" i="31" s="1"/>
  <c r="AJ71" i="31" s="1"/>
  <c r="AK71" i="31" s="1"/>
  <c r="AL71" i="31" s="1"/>
  <c r="AM71" i="31" s="1"/>
  <c r="AN71" i="31" s="1"/>
  <c r="AO71" i="31" s="1"/>
  <c r="AP71" i="31" s="1"/>
  <c r="AQ71" i="31" s="1"/>
  <c r="AR71" i="31" s="1"/>
  <c r="AS71" i="31" s="1"/>
  <c r="AT71" i="31" s="1"/>
  <c r="AU71" i="31" s="1"/>
  <c r="AV71" i="31" s="1"/>
  <c r="AW71" i="31" s="1"/>
  <c r="AX71" i="31" s="1"/>
  <c r="AY71" i="31" s="1"/>
  <c r="AZ71" i="31" s="1"/>
  <c r="BA71" i="31" s="1"/>
  <c r="BB71" i="31" s="1"/>
  <c r="BC71" i="31" s="1"/>
  <c r="BD71" i="31" s="1"/>
  <c r="BE71" i="31" s="1"/>
  <c r="BF71" i="31" s="1"/>
  <c r="BG71" i="31" s="1"/>
  <c r="BH71" i="31" s="1"/>
  <c r="BI71" i="31" s="1"/>
  <c r="BJ71" i="31" s="1"/>
  <c r="BK71" i="31" s="1"/>
  <c r="BL71" i="31" s="1"/>
  <c r="BM71" i="31" s="1"/>
  <c r="BN71" i="31" s="1"/>
  <c r="BO71" i="31" s="1"/>
  <c r="BP71" i="31" s="1"/>
  <c r="BQ71" i="31" s="1"/>
  <c r="BR71" i="31" s="1"/>
  <c r="BS71" i="31" s="1"/>
  <c r="BT71" i="31" s="1"/>
  <c r="BU71" i="31" s="1"/>
  <c r="BV71" i="31" s="1"/>
  <c r="BW71" i="31" s="1"/>
  <c r="BX71" i="31" s="1"/>
  <c r="BY71" i="31" s="1"/>
  <c r="BZ71" i="31" s="1"/>
  <c r="CA71" i="31" s="1"/>
  <c r="CB71" i="31" s="1"/>
  <c r="CC71" i="31" s="1"/>
  <c r="CD71" i="31" s="1"/>
  <c r="CE71" i="31" s="1"/>
  <c r="CF71" i="31" s="1"/>
  <c r="CG71" i="31" s="1"/>
  <c r="CH71" i="31" s="1"/>
  <c r="CI71" i="31" s="1"/>
  <c r="CJ71" i="31" s="1"/>
  <c r="CK71" i="31" s="1"/>
  <c r="CL71" i="31" s="1"/>
  <c r="CM71" i="31" s="1"/>
  <c r="CN71" i="31" s="1"/>
  <c r="CO71" i="31" s="1"/>
  <c r="CP71" i="31" s="1"/>
  <c r="CQ71" i="31" s="1"/>
  <c r="CR71" i="31" s="1"/>
  <c r="CS71" i="31" s="1"/>
  <c r="CT71" i="31" s="1"/>
  <c r="CU71" i="31" s="1"/>
  <c r="CV71" i="31" s="1"/>
  <c r="CW71" i="31" s="1"/>
  <c r="CX71" i="31" s="1"/>
  <c r="CY71" i="31" s="1"/>
  <c r="CZ71" i="31" s="1"/>
  <c r="DA71" i="31" s="1"/>
  <c r="DB71" i="31" s="1"/>
  <c r="DC71" i="31" s="1"/>
  <c r="DD71" i="31" s="1"/>
  <c r="DE71" i="31" s="1"/>
  <c r="DF71" i="31" s="1"/>
  <c r="DG71" i="31" s="1"/>
  <c r="DH71" i="31" s="1"/>
  <c r="DI71" i="31" s="1"/>
  <c r="DJ71" i="31" s="1"/>
  <c r="DK71" i="31" s="1"/>
  <c r="DL71" i="31" s="1"/>
  <c r="DM71" i="31" s="1"/>
  <c r="DN71" i="31" s="1"/>
  <c r="DO71" i="31" s="1"/>
  <c r="DP71" i="31" s="1"/>
  <c r="DQ71" i="31" s="1"/>
  <c r="DR71" i="31" s="1"/>
  <c r="DS71" i="31" s="1"/>
  <c r="DT71" i="31" s="1"/>
  <c r="DU71" i="31" s="1"/>
  <c r="DV71" i="31" s="1"/>
  <c r="DW71" i="31" s="1"/>
  <c r="DX71" i="31" s="1"/>
  <c r="DY71" i="31" s="1"/>
  <c r="DZ71" i="31" s="1"/>
  <c r="EA71" i="31" s="1"/>
  <c r="EB71" i="31" s="1"/>
  <c r="EC71" i="31" s="1"/>
  <c r="ED71" i="31" s="1"/>
  <c r="EE71" i="31" s="1"/>
  <c r="EF71" i="31" s="1"/>
  <c r="EG71" i="31" s="1"/>
  <c r="EH71" i="31" s="1"/>
  <c r="EI71" i="31" s="1"/>
  <c r="EJ71" i="31" s="1"/>
  <c r="EK71" i="31" s="1"/>
  <c r="EL71" i="31" s="1"/>
  <c r="EM71" i="31" s="1"/>
  <c r="EN71" i="31" s="1"/>
  <c r="EO71" i="31" s="1"/>
  <c r="EP71" i="31" s="1"/>
  <c r="EQ71" i="31" s="1"/>
  <c r="ER71" i="31" s="1"/>
  <c r="ES71" i="31" s="1"/>
  <c r="ET71" i="31" s="1"/>
  <c r="EU71" i="31" s="1"/>
  <c r="EV71" i="31" s="1"/>
  <c r="EW71" i="31" s="1"/>
  <c r="EX71" i="31" s="1"/>
  <c r="EY71" i="31" s="1"/>
  <c r="EZ71" i="31" s="1"/>
  <c r="FA71" i="31" s="1"/>
  <c r="FB71" i="31" s="1"/>
  <c r="FC71" i="31" s="1"/>
  <c r="FD71" i="31" s="1"/>
  <c r="FE71" i="31" s="1"/>
  <c r="FF71" i="31" s="1"/>
  <c r="FG71" i="31" s="1"/>
  <c r="FH71" i="31" s="1"/>
  <c r="FI71" i="31" s="1"/>
  <c r="FJ71" i="31" s="1"/>
  <c r="FK71" i="31" s="1"/>
  <c r="FL71" i="31" s="1"/>
  <c r="FM71" i="31" s="1"/>
  <c r="FN71" i="31" s="1"/>
  <c r="FO71" i="31" s="1"/>
  <c r="FP71" i="31" s="1"/>
  <c r="FQ71" i="31" s="1"/>
  <c r="FR71" i="31" s="1"/>
  <c r="FS71" i="31" s="1"/>
  <c r="FT71" i="31" s="1"/>
  <c r="FU71" i="31" s="1"/>
  <c r="FV71" i="31" s="1"/>
  <c r="FW71" i="31" s="1"/>
  <c r="FX71" i="31" s="1"/>
  <c r="FY71" i="31" s="1"/>
  <c r="FZ71" i="31" s="1"/>
  <c r="GA71" i="31" s="1"/>
  <c r="GB71" i="31" s="1"/>
  <c r="GC71" i="31" s="1"/>
  <c r="N37" i="4"/>
  <c r="M37" i="4"/>
  <c r="K37" i="4"/>
  <c r="F37" i="4"/>
  <c r="F18" i="4" s="1" a="1"/>
  <c r="F18" i="4" s="1"/>
  <c r="I37" i="4"/>
  <c r="I10" i="4" s="1"/>
  <c r="I11" i="4" s="1"/>
  <c r="P37" i="4"/>
  <c r="P8" i="4" s="1"/>
  <c r="P9" i="4" s="1"/>
  <c r="P11" i="4" s="1"/>
  <c r="R37" i="4"/>
  <c r="O37" i="4"/>
  <c r="O18" i="4" s="1" a="1"/>
  <c r="O18" i="4" s="1"/>
  <c r="L37" i="4"/>
  <c r="Q37" i="4"/>
  <c r="Q10" i="4" s="1"/>
  <c r="Q11" i="4" s="1"/>
  <c r="Q15" i="4" s="1"/>
  <c r="G37" i="4"/>
  <c r="G8" i="4" s="1"/>
  <c r="G9" i="4" s="1"/>
  <c r="G11" i="4" s="1"/>
  <c r="J37" i="4"/>
  <c r="J18" i="4" s="1" a="1"/>
  <c r="J18" i="4" s="1"/>
  <c r="E37" i="4"/>
  <c r="E18" i="4" s="1" a="1"/>
  <c r="E18" i="4" s="1"/>
  <c r="H37" i="4"/>
  <c r="H18" i="4" s="1" a="1"/>
  <c r="H18" i="4" s="1"/>
  <c r="E13" i="4"/>
  <c r="E9" i="4"/>
  <c r="T7" i="4"/>
  <c r="D26" i="32" s="1"/>
  <c r="P15" i="4" l="1"/>
  <c r="R25" i="4"/>
  <c r="Q25" i="4"/>
  <c r="P25" i="4"/>
  <c r="I15" i="4"/>
  <c r="K25" i="4"/>
  <c r="J25" i="4"/>
  <c r="T18" i="4"/>
  <c r="H25" i="4"/>
  <c r="G15" i="4"/>
  <c r="I25" i="4"/>
  <c r="Q21" i="4"/>
  <c r="Q24" i="4" s="1"/>
  <c r="Q33" i="4"/>
  <c r="J33" i="4"/>
  <c r="J21" i="4"/>
  <c r="J24" i="4" s="1"/>
  <c r="H33" i="4"/>
  <c r="H21" i="4"/>
  <c r="H24" i="4" s="1"/>
  <c r="E11" i="4"/>
  <c r="T9" i="4"/>
  <c r="U9" i="4" s="1"/>
  <c r="O33" i="4"/>
  <c r="O21" i="4"/>
  <c r="O24" i="4" s="1"/>
  <c r="T8" i="4"/>
  <c r="E19" i="4"/>
  <c r="F19" i="4"/>
  <c r="F21" i="4" s="1"/>
  <c r="F24" i="4" s="1"/>
  <c r="T10" i="4"/>
  <c r="F33" i="4" l="1"/>
  <c r="I33" i="4"/>
  <c r="I21" i="4"/>
  <c r="I24" i="4" s="1"/>
  <c r="F25" i="4"/>
  <c r="T11" i="4"/>
  <c r="D27" i="32" s="1"/>
  <c r="G25" i="4"/>
  <c r="E15" i="4"/>
  <c r="U51" i="19"/>
  <c r="AJ29" i="19"/>
  <c r="U29" i="19"/>
  <c r="U6" i="19"/>
  <c r="AJ6" i="19"/>
  <c r="D28" i="32"/>
  <c r="G21" i="4"/>
  <c r="G24" i="4" s="1"/>
  <c r="G33" i="4"/>
  <c r="P21" i="4"/>
  <c r="P24" i="4" s="1"/>
  <c r="P33" i="4"/>
  <c r="E33" i="4" l="1"/>
  <c r="T15" i="4"/>
  <c r="E21" i="4"/>
  <c r="H30" i="4" l="1"/>
  <c r="T21" i="4"/>
  <c r="R30" i="4"/>
  <c r="E24" i="4"/>
  <c r="H34" i="4"/>
  <c r="D33" i="32" s="1"/>
  <c r="R34" i="4"/>
  <c r="D34" i="32" s="1"/>
  <c r="S51" i="19" l="1"/>
  <c r="R29" i="4"/>
  <c r="H29" i="4"/>
  <c r="S6" i="19"/>
  <c r="AH29" i="19"/>
  <c r="S29" i="19"/>
  <c r="AH6" i="19"/>
  <c r="R6" i="19"/>
  <c r="AG29" i="19"/>
  <c r="AG6" i="19"/>
  <c r="R29" i="19"/>
  <c r="R51" i="19"/>
  <c r="T51" i="19" l="1"/>
  <c r="D31" i="32"/>
  <c r="AI29" i="19"/>
  <c r="AI6" i="19"/>
  <c r="T29" i="19"/>
  <c r="T6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<sst xmlns="http://schemas.openxmlformats.org/spreadsheetml/2006/main" count="1131" uniqueCount="522">
  <si>
    <t>Economic Forecasting Model</t>
  </si>
  <si>
    <t>PLAN:</t>
  </si>
  <si>
    <t>Noble, OK 6 Processor Facility - Series A + Series B</t>
  </si>
  <si>
    <t>Main Assumptions / Planning Contingencies</t>
  </si>
  <si>
    <t>Economics run for a period of 15 years</t>
  </si>
  <si>
    <t>Crumb rubber product assumed to have composition that allows for processing splits of 45% solvent/45% carbon black/10% process gas by weight</t>
  </si>
  <si>
    <t>Series A $15 unlocks 1 machine - for Series A specific finances, turn dial below to "1 Machine"; Series B $110M unlocks additional 5 machines and site buildout - for complete project finances, turn dial below to "6 Machine"</t>
  </si>
  <si>
    <t>$125 Million in total used to purchase and develop land, carbon handling, gas handling, construct facilities and 6 TiPs processors and related storage with 10% project capex buffer; construction budget has 20% contingency built in; machine capex has 30% buffer</t>
  </si>
  <si>
    <t>External Utility Expense Utilized on Operating Costs - Will be reduced by  95% utilizing own power generation and Gas from Process at full operation</t>
  </si>
  <si>
    <t>48 tons per day production for each TiPs unit; Total of 6 Processors at full operation</t>
  </si>
  <si>
    <t>Capital assets are depreciated over 15 years; depreciation begins for machine 1 when it is operational; depreciation begins on machines 2-6 when machine 6 is operational</t>
  </si>
  <si>
    <t>No shredding requirement as crumb feed is purchased from local supplier</t>
  </si>
  <si>
    <t>Machine build time assumed to be 8 months; actual expected to be 5 months</t>
  </si>
  <si>
    <t>Sensitivity Analysis performed on pricing for crumb rubber, carbon black, solvent, as well as personnel costs and product cut</t>
  </si>
  <si>
    <t>1 Machine / 6 Machine Switch</t>
  </si>
  <si>
    <t>1 Machine</t>
  </si>
  <si>
    <t>Economic Highlights (at the end of 15 years)</t>
  </si>
  <si>
    <t>Revenue</t>
  </si>
  <si>
    <t>EBITDA</t>
  </si>
  <si>
    <t>Sales Margin</t>
  </si>
  <si>
    <t>Fixed Asset Value</t>
  </si>
  <si>
    <t>Investment</t>
  </si>
  <si>
    <t>Net Present Value (NPV)</t>
  </si>
  <si>
    <t>Internal Rate of Return (IRR) Year 5 - Series A Investment</t>
  </si>
  <si>
    <t>Internal Rate of Return (IRR) Year 15 - Series A Investment</t>
  </si>
  <si>
    <t xml:space="preserve"> </t>
  </si>
  <si>
    <t>Year</t>
  </si>
  <si>
    <t>Total</t>
  </si>
  <si>
    <t>Annual Period</t>
  </si>
  <si>
    <t>Revenue Forward</t>
  </si>
  <si>
    <t>R</t>
  </si>
  <si>
    <t>Costs</t>
  </si>
  <si>
    <t>C</t>
  </si>
  <si>
    <t>Job Profit</t>
  </si>
  <si>
    <t>Business Overhead</t>
  </si>
  <si>
    <t>O</t>
  </si>
  <si>
    <t>Margin</t>
  </si>
  <si>
    <t>Profit/Loss Earnings (EBITDA)</t>
  </si>
  <si>
    <t>Working Capital % per Rev</t>
  </si>
  <si>
    <t>Tax Rate (tbd for region)</t>
  </si>
  <si>
    <t>After Tax Profit/Loss</t>
  </si>
  <si>
    <t>Capital Costs</t>
  </si>
  <si>
    <t>CAP</t>
  </si>
  <si>
    <t>Depreciation</t>
  </si>
  <si>
    <t>DEP</t>
  </si>
  <si>
    <t>Change in Working Capital</t>
  </si>
  <si>
    <t xml:space="preserve">Investment </t>
  </si>
  <si>
    <t>Free Cash Flow</t>
  </si>
  <si>
    <t>Discount Rate (WACC)</t>
  </si>
  <si>
    <t>Discounted Cash Flow</t>
  </si>
  <si>
    <t>Multiple on earnings (3yr avg)</t>
  </si>
  <si>
    <t>Fixed Assets</t>
  </si>
  <si>
    <t>Project NPV</t>
  </si>
  <si>
    <t>Project IRR</t>
  </si>
  <si>
    <t>Series A Investor Equity</t>
  </si>
  <si>
    <t>Series A Investor Cash Flow</t>
  </si>
  <si>
    <t>Series A Investor IRR</t>
  </si>
  <si>
    <t>IRR</t>
  </si>
  <si>
    <t>NOPAT</t>
  </si>
  <si>
    <t>ROIC</t>
  </si>
  <si>
    <t>Summary Info</t>
  </si>
  <si>
    <t>L</t>
  </si>
  <si>
    <t>Loan Payment</t>
  </si>
  <si>
    <t>Production Info</t>
  </si>
  <si>
    <t>Equivalent tires processed</t>
  </si>
  <si>
    <t>Solvent (gallons)</t>
  </si>
  <si>
    <t>Carbon Black (lbs)</t>
  </si>
  <si>
    <t>Gas Production (MCF)</t>
  </si>
  <si>
    <t>Commodity Sales</t>
  </si>
  <si>
    <t>Period</t>
  </si>
  <si>
    <t>Month</t>
  </si>
  <si>
    <t>Days</t>
  </si>
  <si>
    <t>Capital Investment ( Loan)</t>
  </si>
  <si>
    <t>LP</t>
  </si>
  <si>
    <t>Monthly Profit/Loss (EBITDA)</t>
  </si>
  <si>
    <t>Project Cumulative Cash Flow</t>
  </si>
  <si>
    <t>Investment Rounds</t>
  </si>
  <si>
    <t>Plants Beginning Construction</t>
  </si>
  <si>
    <t>Number of Plants in Operation</t>
  </si>
  <si>
    <t>Project Capital</t>
  </si>
  <si>
    <t>Capital Investment USD</t>
  </si>
  <si>
    <t>Total Capital Costs</t>
  </si>
  <si>
    <t>Equipment &amp; Materials</t>
  </si>
  <si>
    <t>Facilities &amp; Auxillary Support Systems</t>
  </si>
  <si>
    <t>Operating Costs</t>
  </si>
  <si>
    <t>Professional Services</t>
  </si>
  <si>
    <t>Workforce - Role - Pay Rate</t>
  </si>
  <si>
    <t>Depreciation on Assets (5 Year)</t>
  </si>
  <si>
    <t>Series A Depreciation</t>
  </si>
  <si>
    <t>Series B Depreciation</t>
  </si>
  <si>
    <t>Total Depreciation</t>
  </si>
  <si>
    <t>Site Management and Office</t>
  </si>
  <si>
    <t>Plant Mgr</t>
  </si>
  <si>
    <t>Maintenance Mgr</t>
  </si>
  <si>
    <t>QC Mgr</t>
  </si>
  <si>
    <t>Shipping and receiving clerk</t>
  </si>
  <si>
    <t>office mgr / Safety Coordinator</t>
  </si>
  <si>
    <t>administrator</t>
  </si>
  <si>
    <t>Materials Coordinator</t>
  </si>
  <si>
    <t>Total Management &amp; Office</t>
  </si>
  <si>
    <t>Percent of Revenue</t>
  </si>
  <si>
    <t>Operating Labour</t>
  </si>
  <si>
    <t>Hours - Day Shift</t>
  </si>
  <si>
    <t>Hours - Night Shift</t>
  </si>
  <si>
    <t>Dayshift</t>
  </si>
  <si>
    <t>Supervision $/hr</t>
  </si>
  <si>
    <t>number</t>
  </si>
  <si>
    <t>Plant Operators ($/hr)</t>
  </si>
  <si>
    <t>Material Handling ($/hr)</t>
  </si>
  <si>
    <t>Packaging ($/hr)</t>
  </si>
  <si>
    <t>Nightshift</t>
  </si>
  <si>
    <t>SubTotal Salary per day</t>
  </si>
  <si>
    <t>Burden</t>
  </si>
  <si>
    <t>Direct Labor costs per day</t>
  </si>
  <si>
    <t>Days per month operating</t>
  </si>
  <si>
    <t>Direct Labour Costs per month</t>
  </si>
  <si>
    <t>Operating Expense</t>
  </si>
  <si>
    <t>Direct Operating Costs</t>
  </si>
  <si>
    <t>Fuel</t>
  </si>
  <si>
    <t>Process Equip Maintenance</t>
  </si>
  <si>
    <t>Equipment Lease</t>
  </si>
  <si>
    <t>Tools</t>
  </si>
  <si>
    <t>Ground Transport</t>
  </si>
  <si>
    <t>Product Packaging Carbon</t>
  </si>
  <si>
    <t>Plant Supplies</t>
  </si>
  <si>
    <t>Plant Shipping</t>
  </si>
  <si>
    <t>Plant Maintenance and Consumables</t>
  </si>
  <si>
    <t>Gas</t>
  </si>
  <si>
    <t>Electricity</t>
  </si>
  <si>
    <t>Water</t>
  </si>
  <si>
    <t>Vehicles</t>
  </si>
  <si>
    <t>Total Direct Costs</t>
  </si>
  <si>
    <t>Indirect Operating Costs (Overhead)</t>
  </si>
  <si>
    <t>Plant Office Supplies</t>
  </si>
  <si>
    <t>State Compliance</t>
  </si>
  <si>
    <t>General Liability Insurance</t>
  </si>
  <si>
    <t>Plant &amp; Equipment Insurance</t>
  </si>
  <si>
    <t>Workers Comp</t>
  </si>
  <si>
    <t>Pollution Insurnace</t>
  </si>
  <si>
    <t>Insurance - Vehicles</t>
  </si>
  <si>
    <t>3rd Party Consulting</t>
  </si>
  <si>
    <t>Accounting</t>
  </si>
  <si>
    <t>Professional Fees/Dues</t>
  </si>
  <si>
    <t>Legal Expense</t>
  </si>
  <si>
    <t>IT Computer Support</t>
  </si>
  <si>
    <t>Office Supplies</t>
  </si>
  <si>
    <t>Contract Services</t>
  </si>
  <si>
    <t>Cellular</t>
  </si>
  <si>
    <t>Local Phone</t>
  </si>
  <si>
    <t>Long Distance</t>
  </si>
  <si>
    <t>Airfare</t>
  </si>
  <si>
    <t>Lodging</t>
  </si>
  <si>
    <t>Meals/Entertainment</t>
  </si>
  <si>
    <t>Total Op Costs</t>
  </si>
  <si>
    <t>Production &amp; Revenue</t>
  </si>
  <si>
    <t>Capacity per TiPs unit (tons/day)</t>
  </si>
  <si>
    <t>Tonnes of tire crumb feed per day production</t>
  </si>
  <si>
    <t>Operating Availability</t>
  </si>
  <si>
    <t>Tons per month</t>
  </si>
  <si>
    <t>TDF Feed - crumb rubber only (lbs)</t>
  </si>
  <si>
    <t>Equivalent tires per day</t>
  </si>
  <si>
    <t>Avg amount of steel per tire (lbs)</t>
  </si>
  <si>
    <t>Gas Out Put</t>
  </si>
  <si>
    <t>Product Cut from tire crumb</t>
  </si>
  <si>
    <t>Ratio of Solvent by weight</t>
  </si>
  <si>
    <t>Ratio of Carbon Black by weight</t>
  </si>
  <si>
    <t>Ratio of Gas output by weight</t>
  </si>
  <si>
    <t>Production</t>
  </si>
  <si>
    <t>Gas OutPut MCF Net</t>
  </si>
  <si>
    <t>Sales Price</t>
  </si>
  <si>
    <t>Solvent ($/gal)</t>
  </si>
  <si>
    <t>Carbon Black ($/lb)</t>
  </si>
  <si>
    <t>Gas ($/MCF)</t>
  </si>
  <si>
    <t>Steel ($/lb)</t>
  </si>
  <si>
    <t>Tipping Fee</t>
  </si>
  <si>
    <t>Solvent</t>
  </si>
  <si>
    <t>Carbon Black</t>
  </si>
  <si>
    <t>Cost of Goods Sold</t>
  </si>
  <si>
    <t>TDF - crumb rubber ($/lb)</t>
  </si>
  <si>
    <t>Total Cost of goods</t>
  </si>
  <si>
    <t>bbls</t>
  </si>
  <si>
    <t>bbl/ton</t>
  </si>
  <si>
    <t>N330 Carbon Black Historical Pricing (2020-2025)</t>
  </si>
  <si>
    <t>Sources: PriceWatch, IMARC Group, Intratec, industry reports. Prices approximate based on market data.</t>
  </si>
  <si>
    <t>China FOB ($/MT)</t>
  </si>
  <si>
    <t>India Ex-Jamnagar ($/MT)</t>
  </si>
  <si>
    <t>US Ex-Works ($/MT)</t>
  </si>
  <si>
    <t>China ($/lb)</t>
  </si>
  <si>
    <t>India ($/lb)</t>
  </si>
  <si>
    <t>US ($/lb)</t>
  </si>
  <si>
    <t>SENS Carbon Black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</si>
  <si>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</si>
  <si>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</si>
  <si>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</si>
  <si>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</si>
  <si>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</si>
  <si>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</si>
  <si>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</si>
  <si>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</si>
  <si>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</si>
  <si>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</si>
  <si>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</si>
  <si>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</si>
  <si>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</si>
  <si>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</si>
  <si>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</si>
  <si>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</si>
  <si>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</si>
  <si>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</si>
  <si>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</si>
  <si>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</si>
  <si>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</si>
  <si>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</si>
  <si>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</si>
  <si>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Summary Statistics</t>
  </si>
  <si>
    <t>Current (Q3 2025):</t>
  </si>
  <si>
    <t>5-Year High:</t>
  </si>
  <si>
    <t>5-Year Low:</t>
  </si>
  <si>
    <t>5-Year Average:</t>
  </si>
  <si>
    <t>Mixed Xylene</t>
  </si>
  <si>
    <t>Aromatic 150</t>
  </si>
  <si>
    <t>Aromatic 200</t>
  </si>
  <si>
    <t>SENS Diluent</t>
  </si>
  <si>
    <t>Terpene Low</t>
  </si>
  <si>
    <t>Terpene Range</t>
  </si>
  <si>
    <t>Terpene High</t>
  </si>
  <si>
    <t>Economic Assumptions</t>
  </si>
  <si>
    <t>Unit</t>
  </si>
  <si>
    <t>%</t>
  </si>
  <si>
    <t>Crumb Rubber ($/lb)</t>
  </si>
  <si>
    <t>Solvent ($/gallon)</t>
  </si>
  <si>
    <t>Tax Rate</t>
  </si>
  <si>
    <t>Depreciation Period on Capital Equipment</t>
  </si>
  <si>
    <t>Years</t>
  </si>
  <si>
    <t>Debt/Loan Interest Rate</t>
  </si>
  <si>
    <t>Start-up</t>
  </si>
  <si>
    <t>TDF - crumb rubber - metal free ($/lb)</t>
  </si>
  <si>
    <t>$/lb</t>
  </si>
  <si>
    <t>Product Sales Price</t>
  </si>
  <si>
    <t>$/gal</t>
  </si>
  <si>
    <t>$/MCF</t>
  </si>
  <si>
    <t>Steel</t>
  </si>
  <si>
    <t>Tire Tipping Fee</t>
  </si>
  <si>
    <t>$/tire</t>
  </si>
  <si>
    <t>TiPs1000 - Capital Assumptions</t>
  </si>
  <si>
    <t>CapEx - Series A</t>
  </si>
  <si>
    <t>$</t>
  </si>
  <si>
    <t>Series A</t>
  </si>
  <si>
    <t>Series A Equity</t>
  </si>
  <si>
    <t>CapEx - Series B</t>
  </si>
  <si>
    <t>6 Machine</t>
  </si>
  <si>
    <t>Series B</t>
  </si>
  <si>
    <t>Workforce Cost Sensitvity</t>
  </si>
  <si>
    <t>Series B Equity</t>
  </si>
  <si>
    <t>TiPs1000 - Operating Assumptions</t>
  </si>
  <si>
    <t>Machine Operations Start</t>
  </si>
  <si>
    <t>Operating Schedule</t>
  </si>
  <si>
    <t>Hours/day</t>
  </si>
  <si>
    <t>Labour</t>
  </si>
  <si>
    <t>Supervision</t>
  </si>
  <si>
    <t>$/hr</t>
  </si>
  <si>
    <t>Plant Operators</t>
  </si>
  <si>
    <t>Material Handling</t>
  </si>
  <si>
    <t>Packaging</t>
  </si>
  <si>
    <t>Operating Expense per ton processed - see "Opcost" tab for details</t>
  </si>
  <si>
    <t>Contigency</t>
  </si>
  <si>
    <t>Production per TIPs Unit</t>
  </si>
  <si>
    <t>Tire crumb feed per hour production</t>
  </si>
  <si>
    <t>Ton/hour</t>
  </si>
  <si>
    <t>Tire crumb feed per day production</t>
  </si>
  <si>
    <t>Ton/day</t>
  </si>
  <si>
    <t>Average weight of scrap tire before shred (lbs)</t>
  </si>
  <si>
    <t>Lbs/tire</t>
  </si>
  <si>
    <t>Avg amount of steel per tire</t>
  </si>
  <si>
    <t>Tire Composistion (Solvent %)</t>
  </si>
  <si>
    <t>See "TiPsCalulator" tab for detail on product weight percent</t>
  </si>
  <si>
    <t xml:space="preserve">  </t>
  </si>
  <si>
    <t>Management &amp; Overhead</t>
  </si>
  <si>
    <t>Base</t>
  </si>
  <si>
    <t>Annual</t>
  </si>
  <si>
    <t>Monthly</t>
  </si>
  <si>
    <t>$/head</t>
  </si>
  <si>
    <t>Administrator</t>
  </si>
  <si>
    <t>$/year</t>
  </si>
  <si>
    <t>Management + Labor Contigency</t>
  </si>
  <si>
    <t>Operating Labor</t>
  </si>
  <si>
    <t>Base Need</t>
  </si>
  <si>
    <t>Heads/machine</t>
  </si>
  <si>
    <t>Schedule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</si>
  <si>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</si>
  <si>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</si>
  <si>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</si>
  <si>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</si>
  <si>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</si>
  <si>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</si>
  <si>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</si>
  <si>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</si>
  <si>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</si>
  <si>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</si>
  <si>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</si>
  <si>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</si>
  <si>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</t>
  </si>
  <si>
    <t>Q1</t>
  </si>
  <si>
    <t>Q2</t>
  </si>
  <si>
    <t>Q3</t>
  </si>
  <si>
    <t>Q4</t>
  </si>
  <si>
    <t>Machine</t>
  </si>
  <si>
    <t>Capex Start</t>
  </si>
  <si>
    <t>Cost of Equity:</t>
  </si>
  <si>
    <t>Cost of equity = Rf + Beta (Rm - Rf)</t>
  </si>
  <si>
    <t>Risk Free Rate (Rf)</t>
  </si>
  <si>
    <t>Savings Bond Rate for 3 years</t>
  </si>
  <si>
    <t>Beta, share price movement</t>
  </si>
  <si>
    <t>share moves in line with the market (excess of 1 = shares exagerate movement, less than 1 = shares more stable)</t>
  </si>
  <si>
    <t>Equity market risk premium (Rm - Rf)</t>
  </si>
  <si>
    <t>difference between the risk free rate and investors expected return rate</t>
  </si>
  <si>
    <t>Cost of Debt</t>
  </si>
  <si>
    <t>Borrowing rate for debt (Rd)</t>
  </si>
  <si>
    <t>total cost of debt</t>
  </si>
  <si>
    <t>Company Capital Structure</t>
  </si>
  <si>
    <t>Equity percent</t>
  </si>
  <si>
    <t>Debt percent</t>
  </si>
  <si>
    <t>Corporate tax rate</t>
  </si>
  <si>
    <t>Assume 15% Federal Tax + 6% State Tax</t>
  </si>
  <si>
    <t>Weigted Average Cost of Capital</t>
  </si>
  <si>
    <t>Cost of Equity</t>
  </si>
  <si>
    <t>WACC (Discount Rate)</t>
  </si>
  <si>
    <t>Summary</t>
  </si>
  <si>
    <t>Category</t>
  </si>
  <si>
    <t>Total Cost Build 1 SENS Processor</t>
  </si>
  <si>
    <t>Item</t>
  </si>
  <si>
    <t>Per Unit (Imported)</t>
  </si>
  <si>
    <t>Cap Schedule</t>
  </si>
  <si>
    <t>Cap Start</t>
  </si>
  <si>
    <t>Pack column, demister, liquid ring</t>
  </si>
  <si>
    <t xml:space="preserve">Ovens </t>
  </si>
  <si>
    <t>Pipe, fittings, auger tube shafts</t>
  </si>
  <si>
    <t xml:space="preserve"> Weight hopper feed system</t>
  </si>
  <si>
    <t>National Tube sales</t>
  </si>
  <si>
    <t>Auger tubes</t>
  </si>
  <si>
    <t>Thomas Conveyor</t>
  </si>
  <si>
    <t>Auger flights</t>
  </si>
  <si>
    <t>Tapered Screw for weigh hopper</t>
  </si>
  <si>
    <t>Controls, motors and pumps</t>
  </si>
  <si>
    <t>Control Automation Component</t>
  </si>
  <si>
    <t>Motors, gearboxes, drives, bucket elevators</t>
  </si>
  <si>
    <t>Chiller Contols &amp; Electrical</t>
  </si>
  <si>
    <t>Myers (Flapper valves)</t>
  </si>
  <si>
    <t>Myers Aubrey (Steam, and Gas Processing control valves)</t>
  </si>
  <si>
    <t>Myers Aubrey (Flow meters)</t>
  </si>
  <si>
    <t>Automatic Pump (Vacuum and Oil Water Separator)</t>
  </si>
  <si>
    <t>Roberts &amp; Spencer (Pressure transmitters, Vac Control Valves, level indicators)</t>
  </si>
  <si>
    <t>Switch Gear and Generator</t>
  </si>
  <si>
    <t>Control Valves, Modules, automation component</t>
  </si>
  <si>
    <t>Oven</t>
  </si>
  <si>
    <t>Harbison-Walker  (Refractory)</t>
  </si>
  <si>
    <t>GTI-Engineering (Eclipse Burner and controls)</t>
  </si>
  <si>
    <t>Exothermics (Air to Air heat exchanger)</t>
  </si>
  <si>
    <t>Hubbel  Water heater</t>
  </si>
  <si>
    <t>Emerson Thermal Couplers</t>
  </si>
  <si>
    <t>Reactor</t>
  </si>
  <si>
    <t>Cappco Fabricators (rolling and endplates)</t>
  </si>
  <si>
    <t>O&amp;D Manufacturing (Brass seals and Bearings)</t>
  </si>
  <si>
    <t>Machining-Shafts,drum bearings, exp joint etc</t>
  </si>
  <si>
    <t>Engineering and EPC Fees</t>
  </si>
  <si>
    <t>Commissioning</t>
  </si>
  <si>
    <t>Certification and Testing</t>
  </si>
  <si>
    <t>Total Equipment &amp; Materials</t>
  </si>
  <si>
    <t>Facilities</t>
  </si>
  <si>
    <t xml:space="preserve">Shop </t>
  </si>
  <si>
    <t>Sq Ft Required</t>
  </si>
  <si>
    <t>Rate</t>
  </si>
  <si>
    <t>Total Facilities</t>
  </si>
  <si>
    <t>Aux Support Systems</t>
  </si>
  <si>
    <t>Process Mechanical</t>
  </si>
  <si>
    <t>Process Civl</t>
  </si>
  <si>
    <t>Chilled Water Plant</t>
  </si>
  <si>
    <t>Gas &amp; Oil Processing / Storage</t>
  </si>
  <si>
    <t>Flare Stack</t>
  </si>
  <si>
    <t>Carbon Black Processing / Storage</t>
  </si>
  <si>
    <t>Steam Boiler</t>
  </si>
  <si>
    <t>Dirty Water Treatment</t>
  </si>
  <si>
    <t>Compressed Air Plant</t>
  </si>
  <si>
    <t>Pressure wash system</t>
  </si>
  <si>
    <t>Total Aux Supporty Systems</t>
  </si>
  <si>
    <t>Total Facilities &amp; Aux</t>
  </si>
  <si>
    <t>Corporate Infrastructure</t>
  </si>
  <si>
    <t>Business Licenses &amp; Memberships</t>
  </si>
  <si>
    <t>Software &amp; Licenses</t>
  </si>
  <si>
    <t>Insurance - General</t>
  </si>
  <si>
    <t>Interest &amp; Bank Charges</t>
  </si>
  <si>
    <t>Web Hosting/Domains/Azure</t>
  </si>
  <si>
    <t>L1 Visas - 7500 / person (5 people)</t>
  </si>
  <si>
    <t>Total Corporate Infrastructure</t>
  </si>
  <si>
    <t>Travel &amp; Accommodations</t>
  </si>
  <si>
    <t>Travel</t>
  </si>
  <si>
    <t>Home Lease + Utilities</t>
  </si>
  <si>
    <t>Home Lease + Furnishing</t>
  </si>
  <si>
    <t xml:space="preserve">Meals </t>
  </si>
  <si>
    <t>Vehicle Rent</t>
  </si>
  <si>
    <t>Total Travel &amp; Accommodations</t>
  </si>
  <si>
    <t>Lab Testing &amp; Sampling</t>
  </si>
  <si>
    <t>Lab Fees</t>
  </si>
  <si>
    <t>Feedstock - Coal (220 Tons $50 / ton)</t>
  </si>
  <si>
    <t>Feedstock - Tires (220 Tons .10/lb)</t>
  </si>
  <si>
    <t>Total Lab Testing &amp; Sampling</t>
  </si>
  <si>
    <t>Total Operating Costs</t>
  </si>
  <si>
    <t>HGA Accounting Services</t>
  </si>
  <si>
    <t>Legal</t>
  </si>
  <si>
    <t>HGA - Vendor / Employee Contracts</t>
  </si>
  <si>
    <t>IT &amp; Security</t>
  </si>
  <si>
    <t>Hardware/Equipment Supply (Per Employee)</t>
  </si>
  <si>
    <t>IT Support (Per Employee)</t>
  </si>
  <si>
    <t>Manufacturing Consultant</t>
  </si>
  <si>
    <t>Contractor Harold (Lexon Group)</t>
  </si>
  <si>
    <t>Total Professional Services</t>
  </si>
  <si>
    <t>Position</t>
  </si>
  <si>
    <t>Commitment</t>
  </si>
  <si>
    <t>Start Date</t>
  </si>
  <si>
    <t>Wages</t>
  </si>
  <si>
    <t>Co-CEO</t>
  </si>
  <si>
    <t>COO</t>
  </si>
  <si>
    <t xml:space="preserve">VP Regulatory, Sustainability &amp; Risk </t>
  </si>
  <si>
    <t>Director Supply Chain / Workforce Risk</t>
  </si>
  <si>
    <t>Controller</t>
  </si>
  <si>
    <t>Director of Data Ops</t>
  </si>
  <si>
    <t>Director Processor Engineering</t>
  </si>
  <si>
    <t>Project Controls</t>
  </si>
  <si>
    <t xml:space="preserve">Mechancial SME </t>
  </si>
  <si>
    <t>CTO</t>
  </si>
  <si>
    <t xml:space="preserve">Programmer </t>
  </si>
  <si>
    <t xml:space="preserve">Machine Fabricator / Mechanic </t>
  </si>
  <si>
    <t>Welder / Fabricator</t>
  </si>
  <si>
    <t>Drafting Technician</t>
  </si>
  <si>
    <t xml:space="preserve">Welder / Fabricator </t>
  </si>
  <si>
    <t>Executive Assistant Fabrication</t>
  </si>
  <si>
    <t>Total Wages</t>
  </si>
  <si>
    <t>Wage Expenses</t>
  </si>
  <si>
    <t>Employee Benefits</t>
  </si>
  <si>
    <t>WCB Expense</t>
  </si>
  <si>
    <t>Wage Expense Rate</t>
  </si>
  <si>
    <t>Total Wage Expenses</t>
  </si>
  <si>
    <t>Total Wage &amp; Wage Expenses</t>
  </si>
  <si>
    <t>Scope Assumptions:</t>
  </si>
  <si>
    <t>Will develop approximately 13 of the 20 acres balance for fire control and Storage</t>
  </si>
  <si>
    <t>Approximatel 8 acres will be gravel covered</t>
  </si>
  <si>
    <t>Oil storage tanks and distribution</t>
  </si>
  <si>
    <t>Carbon black will be pelletized stored in super sacks shrink wrapped in suitable sized lots</t>
  </si>
  <si>
    <t>All costs are in $US</t>
  </si>
  <si>
    <t>Includes Carbon Black Handling Equipment</t>
  </si>
  <si>
    <t>Includes Power Generation Station</t>
  </si>
  <si>
    <t>Budget</t>
  </si>
  <si>
    <t xml:space="preserve">Div 1 </t>
  </si>
  <si>
    <t>Site Works / Engineering Final</t>
  </si>
  <si>
    <t xml:space="preserve">Div 2 </t>
  </si>
  <si>
    <t>UnderGround and Site Utilities</t>
  </si>
  <si>
    <t>Div 3</t>
  </si>
  <si>
    <t>Warehouse 2 @10,000 Sq Ft</t>
  </si>
  <si>
    <t>Div 4</t>
  </si>
  <si>
    <t xml:space="preserve">OfficeBuilding </t>
  </si>
  <si>
    <t>Div 5</t>
  </si>
  <si>
    <t>Div 6</t>
  </si>
  <si>
    <t>Process Civil</t>
  </si>
  <si>
    <t>Div 7</t>
  </si>
  <si>
    <t>Div 8</t>
  </si>
  <si>
    <t>Gas /Oil Processing and Storage</t>
  </si>
  <si>
    <t xml:space="preserve">Div 9 </t>
  </si>
  <si>
    <t>Div 10</t>
  </si>
  <si>
    <t xml:space="preserve">Carbon Black Processing/ Storage </t>
  </si>
  <si>
    <t>Div 11</t>
  </si>
  <si>
    <t>Div 12</t>
  </si>
  <si>
    <t>Div 13</t>
  </si>
  <si>
    <t>R/O Water Treatment</t>
  </si>
  <si>
    <t>Div 14</t>
  </si>
  <si>
    <t xml:space="preserve">Back Up Generator </t>
  </si>
  <si>
    <t>Div 15</t>
  </si>
  <si>
    <t xml:space="preserve">Div 16 </t>
  </si>
  <si>
    <t>Pressure Wash System</t>
  </si>
  <si>
    <t>Carbon Black Pellitizer</t>
  </si>
  <si>
    <t>Material Handling Equip - Site</t>
  </si>
  <si>
    <t>Permits and Consulting Fees - Site</t>
  </si>
  <si>
    <t>Mobilization Costs</t>
  </si>
  <si>
    <t>Subtotal</t>
  </si>
  <si>
    <t>Contractor's Fee Included</t>
  </si>
  <si>
    <t>Engineering Included</t>
  </si>
  <si>
    <t xml:space="preserve"> Monthly Operating Cost Estimate</t>
  </si>
  <si>
    <t>Actual</t>
  </si>
  <si>
    <t>Model</t>
  </si>
  <si>
    <t>$/Feed Ton</t>
  </si>
  <si>
    <t>Based on Actuals from Previous Plants</t>
  </si>
  <si>
    <t>Rubber lbs per day</t>
  </si>
  <si>
    <t>Rubber tons per day</t>
  </si>
  <si>
    <t>Rubber tons per month</t>
  </si>
  <si>
    <t xml:space="preserve"> EQUIPMENT EXPENSE</t>
  </si>
  <si>
    <t>TRAVEL</t>
  </si>
  <si>
    <t>MISC EXPENSES</t>
  </si>
  <si>
    <t>INSURANCE</t>
  </si>
  <si>
    <t>PROFESSIONAL FEES</t>
  </si>
  <si>
    <t xml:space="preserve">Quality Control OFFICE </t>
  </si>
  <si>
    <t>TELEPHONE</t>
  </si>
  <si>
    <t>UTILITIES</t>
  </si>
  <si>
    <t>Loan</t>
  </si>
  <si>
    <t>Investment Capital</t>
  </si>
  <si>
    <t>Taxes</t>
  </si>
  <si>
    <t>Working Capital</t>
  </si>
  <si>
    <t>Cash Flow</t>
  </si>
  <si>
    <t>Cumulative Cash Flow</t>
  </si>
  <si>
    <t>TiPs1000 Plants</t>
  </si>
  <si>
    <t>Capital Investment</t>
  </si>
  <si>
    <t>Monthly Cash Flow</t>
  </si>
  <si>
    <t>Tire Oil Production (bbls)</t>
  </si>
  <si>
    <t>c</t>
  </si>
  <si>
    <t>Day</t>
  </si>
  <si>
    <t>Tire Oil Production</t>
  </si>
  <si>
    <t>TiPs Plants (gallons)</t>
  </si>
  <si>
    <t>Total bbls</t>
  </si>
  <si>
    <t>Number of Tires Processed</t>
  </si>
  <si>
    <t>TiPs Plants</t>
  </si>
  <si>
    <t>Monthly OTR tires processed</t>
  </si>
  <si>
    <t>Cumulative OTR tires processed</t>
  </si>
  <si>
    <t>Cash Flow Calculation</t>
  </si>
  <si>
    <t>Not Including Capital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</si>
</sst>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$&quot;#,##0_);[Red]\(&quot;$&quot;#,##0\)"/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  <numFmt numFmtId="167" formatCode="0.0%"/>
    <numFmt numFmtId="168" formatCode="#,##0_ ;[Red]\-#,##0\ "/>
    <numFmt numFmtId="169" formatCode="_-* #,##0.0_-;\-* #,##0.0_-;_-* &quot;-&quot;??_-;_-@_-"/>
    <numFmt numFmtId="170" formatCode="_-&quot;$&quot;* #,##0_-;\-&quot;$&quot;* #,##0_-;_-&quot;$&quot;* &quot;-&quot;??_-;_-@_-"/>
    <numFmt numFmtId="171" formatCode="&quot;$&quot;#,##0.00"/>
    <numFmt numFmtId="172" formatCode="0.0"/>
    <numFmt numFmtId="173" formatCode="_-&quot;$&quot;* #,##0.000_-;\-&quot;$&quot;* #,##0.000_-;_-&quot;$&quot;* &quot;-&quot;??_-;_-@_-"/>
    <numFmt numFmtId="174" formatCode="_(&quot;$&quot;* #,##0_);_(&quot;$&quot;* \(#,##0\);_(&quot;$&quot;* &quot;-&quot;??_);_(@_)"/>
    <numFmt numFmtId="175" formatCode="_(&quot;$&quot;* #,##0.0_);_(&quot;$&quot;* \(#,##0.0\);_(&quot;$&quot;* &quot;-&quot;??_);_(@_)"/>
    <numFmt numFmtId="176" formatCode="_([$$-409]* #,##0_);_([$$-409]* \(#,##0\);_([$$-409]* &quot;-&quot;??_);_(@_)"/>
    <numFmt numFmtId="177" formatCode="&quot;$&quot;#,##0"/>
    <numFmt numFmtId="178" formatCode="&quot;5 Year IRR&quot;"/>
    <numFmt numFmtId="179" formatCode="&quot;15 Year IRR&quot;"/>
    <numFmt numFmtId="180" formatCode="&quot;Margin&quot;"/>
    <numFmt numFmtId="181" formatCode="&quot;15 Year NPV&quot;"/>
    <numFmt numFmtId="182" formatCode="\$#,##0"/>
    <numFmt numFmtId="183" formatCode="\$0.000"/>
  </numFmts>
  <fonts count="3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</font>
    <font>
      <i/>
      <sz val="9"/>
      <color rgb="FF666666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1" tint="0.249977111117893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10" fillId="0" borderId="0"/>
    <xf numFmtId="44" fontId="10" fillId="0" borderId="0" applyFont="0" applyFill="0" applyBorder="0" applyAlignment="0" applyProtection="0"/>
  </cellStyleXfs>
  <cellXfs count="291">
    <xf numFmtId="0" fontId="0" fillId="0" borderId="0" xfId="0"/>
    <xf numFmtId="9" fontId="0" fillId="0" borderId="0" xfId="2" applyFont="1"/>
    <xf numFmtId="166" fontId="0" fillId="0" borderId="0" xfId="1" applyNumberFormat="1" applyFont="1"/>
    <xf numFmtId="166" fontId="0" fillId="0" borderId="0" xfId="0" applyNumberFormat="1"/>
    <xf numFmtId="164" fontId="0" fillId="0" borderId="0" xfId="3" applyFont="1"/>
    <xf numFmtId="0" fontId="0" fillId="0" borderId="2" xfId="0" applyBorder="1"/>
    <xf numFmtId="0" fontId="4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68" fontId="0" fillId="0" borderId="0" xfId="0" applyNumberFormat="1"/>
    <xf numFmtId="0" fontId="5" fillId="0" borderId="0" xfId="0" applyFont="1"/>
    <xf numFmtId="168" fontId="0" fillId="0" borderId="0" xfId="1" applyNumberFormat="1" applyFont="1"/>
    <xf numFmtId="168" fontId="0" fillId="0" borderId="0" xfId="1" applyNumberFormat="1" applyFont="1" applyBorder="1"/>
    <xf numFmtId="165" fontId="0" fillId="0" borderId="0" xfId="0" applyNumberFormat="1"/>
    <xf numFmtId="169" fontId="0" fillId="0" borderId="0" xfId="1" applyNumberFormat="1" applyFont="1"/>
    <xf numFmtId="9" fontId="0" fillId="0" borderId="2" xfId="2" applyFont="1" applyBorder="1"/>
    <xf numFmtId="170" fontId="0" fillId="0" borderId="0" xfId="3" applyNumberFormat="1" applyFont="1"/>
    <xf numFmtId="168" fontId="0" fillId="0" borderId="0" xfId="1" applyNumberFormat="1" applyFont="1" applyFill="1"/>
    <xf numFmtId="9" fontId="0" fillId="0" borderId="0" xfId="2" applyFont="1" applyFill="1" applyBorder="1"/>
    <xf numFmtId="171" fontId="0" fillId="0" borderId="0" xfId="3" applyNumberFormat="1" applyFont="1"/>
    <xf numFmtId="0" fontId="0" fillId="0" borderId="0" xfId="2" applyNumberFormat="1" applyFont="1" applyBorder="1"/>
    <xf numFmtId="0" fontId="6" fillId="0" borderId="0" xfId="0" applyFont="1"/>
    <xf numFmtId="166" fontId="0" fillId="0" borderId="0" xfId="1" applyNumberFormat="1" applyFont="1" applyBorder="1"/>
    <xf numFmtId="169" fontId="0" fillId="0" borderId="0" xfId="1" applyNumberFormat="1" applyFont="1" applyBorder="1"/>
    <xf numFmtId="0" fontId="0" fillId="3" borderId="0" xfId="0" applyFill="1"/>
    <xf numFmtId="168" fontId="0" fillId="3" borderId="0" xfId="0" applyNumberFormat="1" applyFill="1"/>
    <xf numFmtId="168" fontId="0" fillId="0" borderId="2" xfId="0" applyNumberFormat="1" applyBorder="1"/>
    <xf numFmtId="168" fontId="0" fillId="0" borderId="2" xfId="1" applyNumberFormat="1" applyFont="1" applyBorder="1"/>
    <xf numFmtId="170" fontId="0" fillId="0" borderId="0" xfId="0" applyNumberFormat="1"/>
    <xf numFmtId="164" fontId="0" fillId="0" borderId="0" xfId="3" applyFont="1" applyBorder="1"/>
    <xf numFmtId="9" fontId="0" fillId="0" borderId="0" xfId="2" applyFont="1" applyBorder="1"/>
    <xf numFmtId="170" fontId="0" fillId="0" borderId="0" xfId="3" applyNumberFormat="1" applyFont="1" applyBorder="1"/>
    <xf numFmtId="166" fontId="0" fillId="0" borderId="0" xfId="1" applyNumberFormat="1" applyFont="1" applyFill="1" applyBorder="1"/>
    <xf numFmtId="164" fontId="0" fillId="0" borderId="0" xfId="3" applyFont="1" applyFill="1" applyBorder="1"/>
    <xf numFmtId="0" fontId="0" fillId="0" borderId="0" xfId="1" applyNumberFormat="1" applyFont="1" applyFill="1" applyBorder="1"/>
    <xf numFmtId="0" fontId="0" fillId="0" borderId="0" xfId="2" applyNumberFormat="1" applyFont="1" applyFill="1" applyBorder="1"/>
    <xf numFmtId="164" fontId="0" fillId="0" borderId="0" xfId="1" applyNumberFormat="1" applyFont="1" applyFill="1" applyBorder="1"/>
    <xf numFmtId="164" fontId="0" fillId="0" borderId="0" xfId="2" applyNumberFormat="1" applyFont="1" applyFill="1" applyBorder="1"/>
    <xf numFmtId="168" fontId="7" fillId="3" borderId="0" xfId="0" applyNumberFormat="1" applyFont="1" applyFill="1"/>
    <xf numFmtId="9" fontId="0" fillId="0" borderId="0" xfId="0" applyNumberFormat="1"/>
    <xf numFmtId="0" fontId="8" fillId="0" borderId="0" xfId="0" applyFont="1"/>
    <xf numFmtId="167" fontId="0" fillId="0" borderId="0" xfId="2" applyNumberFormat="1" applyFont="1"/>
    <xf numFmtId="168" fontId="0" fillId="0" borderId="0" xfId="1" applyNumberFormat="1" applyFont="1" applyFill="1" applyBorder="1"/>
    <xf numFmtId="167" fontId="0" fillId="0" borderId="0" xfId="2" applyNumberFormat="1" applyFont="1" applyFill="1" applyBorder="1"/>
    <xf numFmtId="49" fontId="11" fillId="0" borderId="0" xfId="5" applyNumberFormat="1" applyFont="1"/>
    <xf numFmtId="0" fontId="10" fillId="0" borderId="0" xfId="5"/>
    <xf numFmtId="44" fontId="0" fillId="0" borderId="0" xfId="6" applyFont="1"/>
    <xf numFmtId="49" fontId="10" fillId="0" borderId="0" xfId="5" applyNumberFormat="1" applyAlignment="1">
      <alignment horizontal="center"/>
    </xf>
    <xf numFmtId="49" fontId="10" fillId="0" borderId="0" xfId="5" applyNumberFormat="1"/>
    <xf numFmtId="49" fontId="10" fillId="0" borderId="6" xfId="5" applyNumberFormat="1" applyBorder="1"/>
    <xf numFmtId="0" fontId="10" fillId="0" borderId="7" xfId="5" applyBorder="1"/>
    <xf numFmtId="44" fontId="0" fillId="0" borderId="8" xfId="6" applyFont="1" applyBorder="1"/>
    <xf numFmtId="49" fontId="10" fillId="0" borderId="9" xfId="5" applyNumberFormat="1" applyBorder="1"/>
    <xf numFmtId="44" fontId="0" fillId="0" borderId="10" xfId="6" applyFont="1" applyBorder="1"/>
    <xf numFmtId="49" fontId="10" fillId="0" borderId="11" xfId="5" applyNumberFormat="1" applyBorder="1"/>
    <xf numFmtId="0" fontId="10" fillId="0" borderId="12" xfId="5" applyBorder="1"/>
    <xf numFmtId="44" fontId="0" fillId="0" borderId="13" xfId="6" applyFont="1" applyBorder="1"/>
    <xf numFmtId="44" fontId="0" fillId="0" borderId="14" xfId="6" applyFont="1" applyBorder="1"/>
    <xf numFmtId="0" fontId="10" fillId="0" borderId="12" xfId="5" applyBorder="1" applyAlignment="1">
      <alignment horizontal="right"/>
    </xf>
    <xf numFmtId="49" fontId="10" fillId="0" borderId="15" xfId="5" applyNumberFormat="1" applyBorder="1"/>
    <xf numFmtId="0" fontId="10" fillId="0" borderId="16" xfId="5" applyBorder="1"/>
    <xf numFmtId="44" fontId="0" fillId="0" borderId="17" xfId="6" applyFont="1" applyBorder="1"/>
    <xf numFmtId="0" fontId="12" fillId="0" borderId="0" xfId="0" applyFont="1"/>
    <xf numFmtId="10" fontId="0" fillId="0" borderId="0" xfId="2" applyNumberFormat="1" applyFont="1" applyFill="1" applyBorder="1"/>
    <xf numFmtId="0" fontId="0" fillId="4" borderId="0" xfId="0" applyFill="1"/>
    <xf numFmtId="168" fontId="0" fillId="4" borderId="0" xfId="1" applyNumberFormat="1" applyFont="1" applyFill="1" applyBorder="1"/>
    <xf numFmtId="166" fontId="0" fillId="4" borderId="0" xfId="1" applyNumberFormat="1" applyFont="1" applyFill="1" applyBorder="1"/>
    <xf numFmtId="0" fontId="0" fillId="4" borderId="2" xfId="0" applyFill="1" applyBorder="1"/>
    <xf numFmtId="168" fontId="0" fillId="4" borderId="2" xfId="1" applyNumberFormat="1" applyFont="1" applyFill="1" applyBorder="1"/>
    <xf numFmtId="9" fontId="6" fillId="4" borderId="0" xfId="2" applyFont="1" applyFill="1" applyBorder="1"/>
    <xf numFmtId="168" fontId="0" fillId="4" borderId="0" xfId="1" applyNumberFormat="1" applyFont="1" applyFill="1"/>
    <xf numFmtId="9" fontId="0" fillId="4" borderId="0" xfId="2" applyFont="1" applyFill="1"/>
    <xf numFmtId="168" fontId="0" fillId="4" borderId="0" xfId="0" applyNumberFormat="1" applyFill="1"/>
    <xf numFmtId="9" fontId="0" fillId="4" borderId="0" xfId="2" applyFont="1" applyFill="1" applyBorder="1"/>
    <xf numFmtId="0" fontId="13" fillId="0" borderId="0" xfId="0" applyFont="1"/>
    <xf numFmtId="0" fontId="14" fillId="0" borderId="0" xfId="0" applyFont="1"/>
    <xf numFmtId="0" fontId="13" fillId="3" borderId="0" xfId="0" applyFont="1" applyFill="1"/>
    <xf numFmtId="166" fontId="2" fillId="0" borderId="0" xfId="1" applyNumberFormat="1" applyFont="1"/>
    <xf numFmtId="0" fontId="1" fillId="0" borderId="0" xfId="5" applyFont="1"/>
    <xf numFmtId="168" fontId="2" fillId="0" borderId="0" xfId="1" applyNumberFormat="1" applyFont="1"/>
    <xf numFmtId="0" fontId="2" fillId="0" borderId="0" xfId="0" applyFont="1"/>
    <xf numFmtId="168" fontId="2" fillId="0" borderId="0" xfId="0" applyNumberFormat="1" applyFont="1"/>
    <xf numFmtId="168" fontId="2" fillId="3" borderId="0" xfId="0" applyNumberFormat="1" applyFont="1" applyFill="1"/>
    <xf numFmtId="0" fontId="2" fillId="0" borderId="5" xfId="0" applyFont="1" applyBorder="1"/>
    <xf numFmtId="168" fontId="2" fillId="0" borderId="5" xfId="0" applyNumberFormat="1" applyFont="1" applyBorder="1"/>
    <xf numFmtId="168" fontId="2" fillId="0" borderId="5" xfId="1" applyNumberFormat="1" applyFont="1" applyBorder="1"/>
    <xf numFmtId="0" fontId="2" fillId="0" borderId="2" xfId="0" applyFont="1" applyBorder="1"/>
    <xf numFmtId="168" fontId="2" fillId="0" borderId="2" xfId="0" applyNumberFormat="1" applyFont="1" applyBorder="1"/>
    <xf numFmtId="168" fontId="2" fillId="0" borderId="2" xfId="1" applyNumberFormat="1" applyFont="1" applyBorder="1"/>
    <xf numFmtId="168" fontId="2" fillId="0" borderId="0" xfId="1" applyNumberFormat="1" applyFont="1" applyBorder="1"/>
    <xf numFmtId="0" fontId="6" fillId="2" borderId="0" xfId="0" applyFont="1" applyFill="1"/>
    <xf numFmtId="168" fontId="6" fillId="2" borderId="0" xfId="0" applyNumberFormat="1" applyFont="1" applyFill="1"/>
    <xf numFmtId="168" fontId="2" fillId="0" borderId="0" xfId="3" applyNumberFormat="1" applyFont="1"/>
    <xf numFmtId="166" fontId="2" fillId="0" borderId="0" xfId="1" applyNumberFormat="1" applyFont="1" applyFill="1"/>
    <xf numFmtId="0" fontId="2" fillId="3" borderId="0" xfId="0" applyFont="1" applyFill="1"/>
    <xf numFmtId="166" fontId="2" fillId="0" borderId="0" xfId="1" applyNumberFormat="1" applyFont="1" applyBorder="1"/>
    <xf numFmtId="166" fontId="2" fillId="3" borderId="0" xfId="1" applyNumberFormat="1" applyFont="1" applyFill="1" applyBorder="1"/>
    <xf numFmtId="3" fontId="2" fillId="0" borderId="0" xfId="2" applyNumberFormat="1" applyFont="1" applyFill="1" applyBorder="1"/>
    <xf numFmtId="170" fontId="2" fillId="0" borderId="0" xfId="3" applyNumberFormat="1" applyFont="1" applyFill="1"/>
    <xf numFmtId="170" fontId="2" fillId="0" borderId="0" xfId="3" applyNumberFormat="1" applyFont="1"/>
    <xf numFmtId="166" fontId="2" fillId="0" borderId="0" xfId="0" applyNumberFormat="1" applyFont="1"/>
    <xf numFmtId="166" fontId="2" fillId="0" borderId="0" xfId="1" applyNumberFormat="1" applyFont="1" applyFill="1" applyBorder="1"/>
    <xf numFmtId="166" fontId="2" fillId="0" borderId="5" xfId="1" applyNumberFormat="1" applyFont="1" applyBorder="1"/>
    <xf numFmtId="167" fontId="2" fillId="3" borderId="0" xfId="2" applyNumberFormat="1" applyFont="1" applyFill="1"/>
    <xf numFmtId="164" fontId="2" fillId="0" borderId="0" xfId="3" applyFont="1"/>
    <xf numFmtId="0" fontId="2" fillId="0" borderId="0" xfId="1" applyNumberFormat="1" applyFont="1"/>
    <xf numFmtId="0" fontId="2" fillId="0" borderId="0" xfId="1" applyNumberFormat="1" applyFont="1" applyBorder="1"/>
    <xf numFmtId="170" fontId="2" fillId="0" borderId="0" xfId="1" applyNumberFormat="1" applyFont="1"/>
    <xf numFmtId="170" fontId="2" fillId="0" borderId="2" xfId="2" applyNumberFormat="1" applyFont="1" applyBorder="1"/>
    <xf numFmtId="170" fontId="2" fillId="0" borderId="0" xfId="2" applyNumberFormat="1" applyFont="1"/>
    <xf numFmtId="0" fontId="2" fillId="0" borderId="0" xfId="2" applyNumberFormat="1" applyFont="1"/>
    <xf numFmtId="166" fontId="2" fillId="0" borderId="5" xfId="0" applyNumberFormat="1" applyFont="1" applyBorder="1"/>
    <xf numFmtId="169" fontId="2" fillId="0" borderId="0" xfId="1" applyNumberFormat="1" applyFont="1"/>
    <xf numFmtId="169" fontId="2" fillId="0" borderId="0" xfId="0" applyNumberFormat="1" applyFont="1"/>
    <xf numFmtId="9" fontId="2" fillId="0" borderId="0" xfId="2" applyFont="1" applyFill="1"/>
    <xf numFmtId="9" fontId="2" fillId="0" borderId="0" xfId="2" applyFont="1"/>
    <xf numFmtId="9" fontId="2" fillId="0" borderId="2" xfId="2" applyFont="1" applyBorder="1"/>
    <xf numFmtId="164" fontId="2" fillId="0" borderId="0" xfId="1" applyNumberFormat="1" applyFont="1"/>
    <xf numFmtId="0" fontId="2" fillId="2" borderId="0" xfId="0" applyFont="1" applyFill="1"/>
    <xf numFmtId="2" fontId="2" fillId="0" borderId="0" xfId="0" applyNumberFormat="1" applyFont="1"/>
    <xf numFmtId="0" fontId="16" fillId="0" borderId="0" xfId="0" applyFont="1"/>
    <xf numFmtId="0" fontId="17" fillId="0" borderId="0" xfId="0" applyFont="1"/>
    <xf numFmtId="3" fontId="2" fillId="0" borderId="2" xfId="2" applyNumberFormat="1" applyFont="1" applyFill="1" applyBorder="1"/>
    <xf numFmtId="166" fontId="2" fillId="0" borderId="0" xfId="1" applyNumberFormat="1" applyFont="1" applyAlignment="1">
      <alignment horizontal="center"/>
    </xf>
    <xf numFmtId="176" fontId="0" fillId="0" borderId="0" xfId="2" applyNumberFormat="1" applyFont="1" applyBorder="1"/>
    <xf numFmtId="44" fontId="0" fillId="0" borderId="7" xfId="6" applyFont="1" applyBorder="1"/>
    <xf numFmtId="166" fontId="2" fillId="0" borderId="21" xfId="1" applyNumberFormat="1" applyFont="1" applyBorder="1"/>
    <xf numFmtId="166" fontId="2" fillId="0" borderId="22" xfId="1" applyNumberFormat="1" applyFont="1" applyBorder="1"/>
    <xf numFmtId="164" fontId="10" fillId="0" borderId="21" xfId="5" applyNumberFormat="1" applyBorder="1"/>
    <xf numFmtId="0" fontId="10" fillId="0" borderId="22" xfId="5" applyBorder="1"/>
    <xf numFmtId="170" fontId="2" fillId="0" borderId="27" xfId="5" applyNumberFormat="1" applyFont="1" applyBorder="1"/>
    <xf numFmtId="170" fontId="2" fillId="0" borderId="5" xfId="5" applyNumberFormat="1" applyFont="1" applyBorder="1"/>
    <xf numFmtId="170" fontId="2" fillId="0" borderId="23" xfId="5" applyNumberFormat="1" applyFont="1" applyBorder="1"/>
    <xf numFmtId="170" fontId="2" fillId="0" borderId="21" xfId="5" applyNumberFormat="1" applyFont="1" applyBorder="1"/>
    <xf numFmtId="170" fontId="2" fillId="0" borderId="0" xfId="5" applyNumberFormat="1" applyFont="1"/>
    <xf numFmtId="170" fontId="2" fillId="0" borderId="22" xfId="5" applyNumberFormat="1" applyFont="1" applyBorder="1"/>
    <xf numFmtId="170" fontId="2" fillId="0" borderId="28" xfId="5" applyNumberFormat="1" applyFont="1" applyBorder="1"/>
    <xf numFmtId="170" fontId="2" fillId="0" borderId="29" xfId="5" applyNumberFormat="1" applyFont="1" applyBorder="1"/>
    <xf numFmtId="170" fontId="2" fillId="0" borderId="30" xfId="5" applyNumberFormat="1" applyFont="1" applyBorder="1"/>
    <xf numFmtId="166" fontId="2" fillId="0" borderId="22" xfId="0" applyNumberFormat="1" applyFont="1" applyBorder="1"/>
    <xf numFmtId="44" fontId="0" fillId="0" borderId="31" xfId="6" applyFont="1" applyBorder="1"/>
    <xf numFmtId="44" fontId="0" fillId="0" borderId="32" xfId="6" applyFont="1" applyBorder="1"/>
    <xf numFmtId="44" fontId="0" fillId="0" borderId="33" xfId="6" applyFont="1" applyBorder="1"/>
    <xf numFmtId="44" fontId="0" fillId="0" borderId="34" xfId="6" applyFont="1" applyBorder="1"/>
    <xf numFmtId="0" fontId="12" fillId="0" borderId="0" xfId="0" applyFont="1" applyAlignment="1">
      <alignment horizontal="center"/>
    </xf>
    <xf numFmtId="9" fontId="0" fillId="0" borderId="0" xfId="2" applyFont="1" applyBorder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2" applyFont="1" applyAlignment="1">
      <alignment horizontal="center"/>
    </xf>
    <xf numFmtId="164" fontId="0" fillId="0" borderId="0" xfId="3" applyFont="1" applyFill="1"/>
    <xf numFmtId="0" fontId="0" fillId="3" borderId="1" xfId="0" applyFill="1" applyBorder="1"/>
    <xf numFmtId="168" fontId="0" fillId="3" borderId="1" xfId="0" applyNumberFormat="1" applyFill="1" applyBorder="1"/>
    <xf numFmtId="168" fontId="0" fillId="3" borderId="1" xfId="1" applyNumberFormat="1" applyFont="1" applyFill="1" applyBorder="1"/>
    <xf numFmtId="0" fontId="0" fillId="3" borderId="5" xfId="0" applyFill="1" applyBorder="1"/>
    <xf numFmtId="168" fontId="0" fillId="3" borderId="5" xfId="1" applyNumberFormat="1" applyFont="1" applyFill="1" applyBorder="1"/>
    <xf numFmtId="168" fontId="0" fillId="3" borderId="0" xfId="1" applyNumberFormat="1" applyFont="1" applyFill="1" applyBorder="1"/>
    <xf numFmtId="167" fontId="0" fillId="3" borderId="0" xfId="2" applyNumberFormat="1" applyFont="1" applyFill="1" applyBorder="1"/>
    <xf numFmtId="166" fontId="0" fillId="3" borderId="0" xfId="1" applyNumberFormat="1" applyFont="1" applyFill="1" applyBorder="1"/>
    <xf numFmtId="171" fontId="0" fillId="3" borderId="0" xfId="3" applyNumberFormat="1" applyFont="1" applyFill="1" applyBorder="1"/>
    <xf numFmtId="0" fontId="0" fillId="3" borderId="0" xfId="2" applyNumberFormat="1" applyFont="1" applyFill="1" applyBorder="1"/>
    <xf numFmtId="9" fontId="0" fillId="3" borderId="5" xfId="2" applyFont="1" applyFill="1" applyBorder="1" applyAlignment="1">
      <alignment horizontal="center"/>
    </xf>
    <xf numFmtId="166" fontId="0" fillId="3" borderId="5" xfId="1" applyNumberFormat="1" applyFont="1" applyFill="1" applyBorder="1"/>
    <xf numFmtId="0" fontId="0" fillId="3" borderId="2" xfId="0" applyFill="1" applyBorder="1"/>
    <xf numFmtId="9" fontId="0" fillId="3" borderId="2" xfId="2" applyFont="1" applyFill="1" applyBorder="1"/>
    <xf numFmtId="9" fontId="3" fillId="2" borderId="2" xfId="2" applyFont="1" applyFill="1" applyBorder="1"/>
    <xf numFmtId="0" fontId="3" fillId="2" borderId="2" xfId="0" applyFont="1" applyFill="1" applyBorder="1" applyAlignment="1">
      <alignment horizontal="right"/>
    </xf>
    <xf numFmtId="167" fontId="0" fillId="3" borderId="2" xfId="2" applyNumberFormat="1" applyFont="1" applyFill="1" applyBorder="1"/>
    <xf numFmtId="167" fontId="3" fillId="2" borderId="2" xfId="2" applyNumberFormat="1" applyFont="1" applyFill="1" applyBorder="1"/>
    <xf numFmtId="167" fontId="3" fillId="2" borderId="2" xfId="2" applyNumberFormat="1" applyFont="1" applyFill="1" applyBorder="1" applyAlignment="1">
      <alignment horizontal="right"/>
    </xf>
    <xf numFmtId="167" fontId="3" fillId="2" borderId="0" xfId="2" applyNumberFormat="1" applyFont="1" applyFill="1"/>
    <xf numFmtId="167" fontId="3" fillId="2" borderId="0" xfId="2" applyNumberFormat="1" applyFont="1" applyFill="1" applyAlignment="1">
      <alignment horizontal="center"/>
    </xf>
    <xf numFmtId="9" fontId="3" fillId="2" borderId="0" xfId="2" applyFont="1" applyFill="1" applyAlignment="1">
      <alignment horizontal="center"/>
    </xf>
    <xf numFmtId="169" fontId="2" fillId="0" borderId="0" xfId="1" applyNumberFormat="1" applyFont="1" applyFill="1"/>
    <xf numFmtId="9" fontId="2" fillId="0" borderId="2" xfId="2" applyFont="1" applyFill="1" applyBorder="1"/>
    <xf numFmtId="173" fontId="2" fillId="0" borderId="0" xfId="3" applyNumberFormat="1" applyFont="1" applyFill="1"/>
    <xf numFmtId="0" fontId="6" fillId="3" borderId="0" xfId="0" applyFont="1" applyFill="1"/>
    <xf numFmtId="0" fontId="3" fillId="2" borderId="3" xfId="0" applyFont="1" applyFill="1" applyBorder="1"/>
    <xf numFmtId="10" fontId="3" fillId="2" borderId="4" xfId="2" applyNumberFormat="1" applyFont="1" applyFill="1" applyBorder="1"/>
    <xf numFmtId="166" fontId="5" fillId="0" borderId="0" xfId="1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18" fillId="0" borderId="0" xfId="0" applyFont="1"/>
    <xf numFmtId="3" fontId="19" fillId="0" borderId="0" xfId="0" applyNumberFormat="1" applyFont="1"/>
    <xf numFmtId="3" fontId="20" fillId="0" borderId="0" xfId="0" applyNumberFormat="1" applyFont="1"/>
    <xf numFmtId="170" fontId="3" fillId="2" borderId="0" xfId="3" applyNumberFormat="1" applyFont="1" applyFill="1"/>
    <xf numFmtId="0" fontId="6" fillId="0" borderId="0" xfId="0" applyFont="1" applyAlignment="1">
      <alignment horizontal="center"/>
    </xf>
    <xf numFmtId="170" fontId="0" fillId="0" borderId="0" xfId="3" applyNumberFormat="1" applyFont="1" applyFill="1" applyAlignment="1">
      <alignment horizontal="right"/>
    </xf>
    <xf numFmtId="9" fontId="21" fillId="3" borderId="0" xfId="2" applyFont="1" applyFill="1" applyBorder="1"/>
    <xf numFmtId="9" fontId="21" fillId="3" borderId="0" xfId="2" applyFont="1" applyFill="1"/>
    <xf numFmtId="0" fontId="21" fillId="3" borderId="0" xfId="0" applyFont="1" applyFill="1" applyAlignment="1">
      <alignment horizontal="right"/>
    </xf>
    <xf numFmtId="10" fontId="21" fillId="3" borderId="0" xfId="2" applyNumberFormat="1" applyFont="1" applyFill="1" applyBorder="1"/>
    <xf numFmtId="173" fontId="21" fillId="3" borderId="0" xfId="3" applyNumberFormat="1" applyFont="1" applyFill="1" applyBorder="1"/>
    <xf numFmtId="164" fontId="21" fillId="3" borderId="0" xfId="3" applyFont="1" applyFill="1"/>
    <xf numFmtId="170" fontId="21" fillId="3" borderId="0" xfId="3" applyNumberFormat="1" applyFont="1" applyFill="1" applyAlignment="1">
      <alignment horizontal="right"/>
    </xf>
    <xf numFmtId="172" fontId="21" fillId="3" borderId="0" xfId="0" applyNumberFormat="1" applyFont="1" applyFill="1"/>
    <xf numFmtId="169" fontId="21" fillId="3" borderId="0" xfId="1" applyNumberFormat="1" applyFont="1" applyFill="1"/>
    <xf numFmtId="170" fontId="21" fillId="3" borderId="0" xfId="3" applyNumberFormat="1" applyFont="1" applyFill="1"/>
    <xf numFmtId="0" fontId="21" fillId="3" borderId="0" xfId="2" applyNumberFormat="1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167" fontId="21" fillId="3" borderId="0" xfId="2" applyNumberFormat="1" applyFont="1" applyFill="1"/>
    <xf numFmtId="0" fontId="21" fillId="3" borderId="0" xfId="0" applyFont="1" applyFill="1"/>
    <xf numFmtId="3" fontId="21" fillId="3" borderId="0" xfId="0" applyNumberFormat="1" applyFont="1" applyFill="1" applyAlignment="1">
      <alignment horizontal="right"/>
    </xf>
    <xf numFmtId="3" fontId="21" fillId="3" borderId="0" xfId="1" applyNumberFormat="1" applyFont="1" applyFill="1" applyBorder="1" applyAlignment="1"/>
    <xf numFmtId="3" fontId="6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0" fontId="0" fillId="0" borderId="1" xfId="0" applyBorder="1"/>
    <xf numFmtId="174" fontId="0" fillId="0" borderId="0" xfId="3" applyNumberFormat="1" applyFont="1"/>
    <xf numFmtId="174" fontId="0" fillId="0" borderId="2" xfId="3" applyNumberFormat="1" applyFont="1" applyBorder="1"/>
    <xf numFmtId="165" fontId="2" fillId="0" borderId="0" xfId="1" applyFont="1" applyFill="1"/>
    <xf numFmtId="9" fontId="21" fillId="3" borderId="0" xfId="2" applyFont="1" applyFill="1" applyAlignment="1">
      <alignment horizontal="center"/>
    </xf>
    <xf numFmtId="49" fontId="1" fillId="0" borderId="0" xfId="5" applyNumberFormat="1" applyFont="1"/>
    <xf numFmtId="0" fontId="19" fillId="6" borderId="0" xfId="0" applyFont="1" applyFill="1"/>
    <xf numFmtId="0" fontId="23" fillId="0" borderId="0" xfId="0" applyFont="1"/>
    <xf numFmtId="6" fontId="23" fillId="0" borderId="0" xfId="0" applyNumberFormat="1" applyFont="1"/>
    <xf numFmtId="0" fontId="17" fillId="0" borderId="18" xfId="0" applyFont="1" applyBorder="1"/>
    <xf numFmtId="6" fontId="23" fillId="0" borderId="18" xfId="0" applyNumberFormat="1" applyFont="1" applyBorder="1"/>
    <xf numFmtId="0" fontId="23" fillId="0" borderId="18" xfId="0" applyFont="1" applyBorder="1"/>
    <xf numFmtId="0" fontId="17" fillId="0" borderId="19" xfId="0" applyFont="1" applyBorder="1"/>
    <xf numFmtId="0" fontId="23" fillId="0" borderId="19" xfId="0" applyFont="1" applyBorder="1"/>
    <xf numFmtId="0" fontId="17" fillId="0" borderId="0" xfId="0" applyFont="1" applyAlignment="1">
      <alignment horizontal="center"/>
    </xf>
    <xf numFmtId="177" fontId="0" fillId="0" borderId="0" xfId="0" applyNumberFormat="1"/>
    <xf numFmtId="1" fontId="23" fillId="0" borderId="0" xfId="0" applyNumberFormat="1" applyFont="1"/>
    <xf numFmtId="174" fontId="0" fillId="0" borderId="0" xfId="0" applyNumberFormat="1"/>
    <xf numFmtId="175" fontId="0" fillId="0" borderId="0" xfId="0" applyNumberFormat="1"/>
    <xf numFmtId="2" fontId="23" fillId="0" borderId="0" xfId="0" applyNumberFormat="1" applyFont="1"/>
    <xf numFmtId="6" fontId="17" fillId="0" borderId="18" xfId="0" applyNumberFormat="1" applyFont="1" applyBorder="1"/>
    <xf numFmtId="1" fontId="0" fillId="0" borderId="0" xfId="0" applyNumberFormat="1"/>
    <xf numFmtId="0" fontId="23" fillId="0" borderId="20" xfId="0" applyFont="1" applyBorder="1"/>
    <xf numFmtId="6" fontId="23" fillId="0" borderId="20" xfId="0" applyNumberFormat="1" applyFont="1" applyBorder="1"/>
    <xf numFmtId="174" fontId="0" fillId="0" borderId="20" xfId="0" applyNumberFormat="1" applyBorder="1"/>
    <xf numFmtId="174" fontId="23" fillId="0" borderId="20" xfId="0" applyNumberFormat="1" applyFont="1" applyBorder="1"/>
    <xf numFmtId="174" fontId="17" fillId="0" borderId="18" xfId="0" applyNumberFormat="1" applyFont="1" applyBorder="1"/>
    <xf numFmtId="9" fontId="23" fillId="0" borderId="0" xfId="2" applyFont="1" applyAlignment="1">
      <alignment horizontal="center"/>
    </xf>
    <xf numFmtId="1" fontId="23" fillId="0" borderId="0" xfId="0" applyNumberFormat="1" applyFont="1" applyAlignment="1">
      <alignment horizontal="center"/>
    </xf>
    <xf numFmtId="166" fontId="0" fillId="0" borderId="21" xfId="1" applyNumberFormat="1" applyFont="1" applyBorder="1"/>
    <xf numFmtId="166" fontId="0" fillId="0" borderId="22" xfId="0" applyNumberFormat="1" applyBorder="1"/>
    <xf numFmtId="166" fontId="0" fillId="0" borderId="21" xfId="1" applyNumberFormat="1" applyFont="1" applyFill="1" applyBorder="1"/>
    <xf numFmtId="166" fontId="0" fillId="5" borderId="0" xfId="0" applyNumberFormat="1" applyFill="1"/>
    <xf numFmtId="166" fontId="0" fillId="0" borderId="22" xfId="1" applyNumberFormat="1" applyFont="1" applyBorder="1"/>
    <xf numFmtId="0" fontId="18" fillId="0" borderId="0" xfId="0" applyFont="1" applyAlignment="1">
      <alignment horizontal="center"/>
    </xf>
    <xf numFmtId="0" fontId="20" fillId="0" borderId="0" xfId="0" applyFont="1"/>
    <xf numFmtId="3" fontId="6" fillId="0" borderId="0" xfId="0" applyNumberFormat="1" applyFont="1" applyAlignment="1">
      <alignment horizontal="right"/>
    </xf>
    <xf numFmtId="168" fontId="0" fillId="3" borderId="2" xfId="0" applyNumberFormat="1" applyFill="1" applyBorder="1"/>
    <xf numFmtId="166" fontId="2" fillId="0" borderId="2" xfId="1" applyNumberFormat="1" applyFont="1" applyBorder="1"/>
    <xf numFmtId="0" fontId="0" fillId="0" borderId="0" xfId="0" applyAlignment="1">
      <alignment horizontal="center"/>
    </xf>
    <xf numFmtId="169" fontId="0" fillId="0" borderId="0" xfId="0" applyNumberFormat="1"/>
    <xf numFmtId="166" fontId="0" fillId="0" borderId="0" xfId="1" applyNumberFormat="1" applyFont="1" applyAlignment="1">
      <alignment horizontal="center"/>
    </xf>
    <xf numFmtId="0" fontId="3" fillId="2" borderId="2" xfId="0" applyFont="1" applyFill="1" applyBorder="1" applyAlignment="1">
      <alignment horizontal="right" indent="1"/>
    </xf>
    <xf numFmtId="170" fontId="3" fillId="2" borderId="0" xfId="3" applyNumberFormat="1" applyFont="1" applyFill="1" applyAlignment="1">
      <alignment horizontal="center"/>
    </xf>
    <xf numFmtId="9" fontId="21" fillId="0" borderId="0" xfId="2" applyFont="1" applyFill="1" applyAlignment="1">
      <alignment horizontal="center"/>
    </xf>
    <xf numFmtId="170" fontId="0" fillId="0" borderId="0" xfId="3" applyNumberFormat="1" applyFont="1" applyAlignment="1">
      <alignment horizontal="center"/>
    </xf>
    <xf numFmtId="9" fontId="24" fillId="3" borderId="0" xfId="2" applyFont="1" applyFill="1"/>
    <xf numFmtId="167" fontId="0" fillId="0" borderId="0" xfId="2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3" fillId="2" borderId="2" xfId="0" applyNumberFormat="1" applyFont="1" applyFill="1" applyBorder="1"/>
    <xf numFmtId="3" fontId="0" fillId="0" borderId="0" xfId="0" applyNumberFormat="1"/>
    <xf numFmtId="3" fontId="0" fillId="0" borderId="0" xfId="0" applyNumberFormat="1" applyAlignment="1">
      <alignment horizontal="right"/>
    </xf>
    <xf numFmtId="0" fontId="26" fillId="7" borderId="0" xfId="0" applyFont="1" applyFill="1" applyAlignment="1">
      <alignment horizontal="center"/>
    </xf>
    <xf numFmtId="178" fontId="26" fillId="7" borderId="0" xfId="2" applyNumberFormat="1" applyFont="1" applyFill="1" applyAlignment="1">
      <alignment horizontal="center"/>
    </xf>
    <xf numFmtId="179" fontId="26" fillId="7" borderId="0" xfId="2" applyNumberFormat="1" applyFont="1" applyFill="1" applyAlignment="1">
      <alignment horizontal="center"/>
    </xf>
    <xf numFmtId="181" fontId="26" fillId="7" borderId="0" xfId="3" applyNumberFormat="1" applyFont="1" applyFill="1" applyAlignment="1">
      <alignment horizontal="center"/>
    </xf>
    <xf numFmtId="180" fontId="26" fillId="7" borderId="0" xfId="2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78" fontId="3" fillId="7" borderId="0" xfId="2" applyNumberFormat="1" applyFont="1" applyFill="1" applyAlignment="1">
      <alignment horizontal="center"/>
    </xf>
    <xf numFmtId="179" fontId="3" fillId="7" borderId="0" xfId="2" applyNumberFormat="1" applyFont="1" applyFill="1" applyAlignment="1">
      <alignment horizontal="center"/>
    </xf>
    <xf numFmtId="181" fontId="3" fillId="7" borderId="0" xfId="3" applyNumberFormat="1" applyFont="1" applyFill="1" applyAlignment="1">
      <alignment horizontal="center"/>
    </xf>
    <xf numFmtId="180" fontId="3" fillId="7" borderId="0" xfId="2" applyNumberFormat="1" applyFont="1" applyFill="1" applyAlignment="1">
      <alignment horizontal="center"/>
    </xf>
    <xf numFmtId="164" fontId="0" fillId="3" borderId="0" xfId="3" applyFont="1" applyFill="1"/>
    <xf numFmtId="9" fontId="0" fillId="3" borderId="0" xfId="2" applyFont="1" applyFill="1" applyAlignment="1">
      <alignment horizontal="center"/>
    </xf>
    <xf numFmtId="9" fontId="0" fillId="3" borderId="0" xfId="0" applyNumberFormat="1" applyFill="1" applyAlignment="1">
      <alignment horizontal="center"/>
    </xf>
    <xf numFmtId="44" fontId="0" fillId="3" borderId="0" xfId="0" applyNumberFormat="1" applyFill="1"/>
    <xf numFmtId="9" fontId="25" fillId="0" borderId="0" xfId="5" applyNumberFormat="1" applyFont="1"/>
    <xf numFmtId="0" fontId="10" fillId="0" borderId="0" xfId="5" applyAlignment="1">
      <alignment horizontal="center"/>
    </xf>
    <xf numFmtId="1" fontId="10" fillId="0" borderId="0" xfId="5" applyNumberFormat="1" applyAlignment="1">
      <alignment horizontal="center"/>
    </xf>
    <xf numFmtId="178" fontId="3" fillId="0" borderId="0" xfId="2" applyNumberFormat="1" applyFont="1" applyFill="1" applyAlignment="1">
      <alignment horizontal="center"/>
    </xf>
    <xf numFmtId="44" fontId="0" fillId="0" borderId="0" xfId="0" applyNumberFormat="1"/>
    <xf numFmtId="9" fontId="0" fillId="0" borderId="0" xfId="2" applyFont="1" applyFill="1"/>
    <xf numFmtId="182" fontId="0" fillId="0" borderId="0" xfId="0" applyNumberFormat="1"/>
    <xf numFmtId="183" fontId="0" fillId="0" borderId="0" xfId="0" applyNumberFormat="1"/>
    <xf numFmtId="0" fontId="29" fillId="0" borderId="0" xfId="0" applyFont="1"/>
    <xf numFmtId="0" fontId="30" fillId="7" borderId="0" xfId="0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/>
    </xf>
    <xf numFmtId="0" fontId="27" fillId="0" borderId="0" xfId="0" applyFont="1" applyAlignment="1"/>
    <xf numFmtId="0" fontId="0" fillId="0" borderId="0" xfId="0" applyAlignment="1"/>
    <xf numFmtId="0" fontId="28" fillId="0" borderId="0" xfId="0" applyFont="1" applyAlignment="1"/>
  </cellXfs>
  <cellStyles count="7">
    <cellStyle name="Comma" xfId="1" builtinId="3"/>
    <cellStyle name="Currency" xfId="3" builtinId="4"/>
    <cellStyle name="Currency 2" xfId="6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Percent" xfId="2" builtinId="5"/>
  </cellStyles>
  <dxfs count="6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N330 Carbon Black Price ($/lb)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494845679012346"/>
          <c:y val="0.1031949074074074"/>
          <c:w val="0.69940185185185189"/>
          <c:h val="0.72280740740740734"/>
        </c:manualLayout>
      </c:layout>
      <c:lineChart>
        <c:grouping val="standard"/>
        <c:varyColors val="1"/>
        <c:ser>
          <c:idx val="0"/>
          <c:order val="0"/>
          <c:tx>
            <c:strRef>
              <c:f>'Market Pricing of Products'!$E$8</c:f>
              <c:strCache>
                <c:ptCount val="1"/>
                <c:pt idx="0">
                  <c:v>China ($/lb)</c:v>
                </c:pt>
              </c:strCache>
            </c:strRef>
          </c:tx>
          <c:spPr>
            <a:ln w="28575"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'Market Pricing of Products'!$A$8:$A$31</c15:sqref>
                  </c15:fullRef>
                </c:ext>
              </c:extLst>
              <c:f>'Market Pricing of Products'!$A$9:$A$31</c:f>
              <c:strCache>
                <c:ptCount val="23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  <c:pt idx="21">
                  <c:v>Q2 2025</c:v>
                </c:pt>
                <c:pt idx="22">
                  <c:v>Q3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'Market Pricing of Products'!$E$9:$E$31</c15:sqref>
                  </c15:fullRef>
                </c:ext>
              </c:extLst>
              <c:f>'Market Pricing of Products'!$E$10:$E$31</c:f>
              <c:numCache>
                <c:formatCode>\$0.000</c:formatCode>
                <c:ptCount val="22"/>
                <c:pt idx="0">
                  <c:v>0.28100000000000003</c:v>
                </c:pt>
                <c:pt idx="1">
                  <c:v>0.318</c:v>
                </c:pt>
                <c:pt idx="2">
                  <c:v>0.35399999999999998</c:v>
                </c:pt>
                <c:pt idx="3">
                  <c:v>0.38600000000000001</c:v>
                </c:pt>
                <c:pt idx="4">
                  <c:v>0.43099999999999999</c:v>
                </c:pt>
                <c:pt idx="5">
                  <c:v>0.47599999999999998</c:v>
                </c:pt>
                <c:pt idx="6">
                  <c:v>0.52200000000000002</c:v>
                </c:pt>
                <c:pt idx="7">
                  <c:v>0.56699999999999995</c:v>
                </c:pt>
                <c:pt idx="8">
                  <c:v>0.63500000000000001</c:v>
                </c:pt>
                <c:pt idx="9">
                  <c:v>0.70299999999999996</c:v>
                </c:pt>
                <c:pt idx="10">
                  <c:v>0.77100000000000002</c:v>
                </c:pt>
                <c:pt idx="11">
                  <c:v>0.68</c:v>
                </c:pt>
                <c:pt idx="12">
                  <c:v>0.63500000000000001</c:v>
                </c:pt>
                <c:pt idx="13">
                  <c:v>0.61199999999999999</c:v>
                </c:pt>
                <c:pt idx="14">
                  <c:v>0.54400000000000004</c:v>
                </c:pt>
                <c:pt idx="15">
                  <c:v>0.55300000000000005</c:v>
                </c:pt>
                <c:pt idx="16">
                  <c:v>0.52200000000000002</c:v>
                </c:pt>
                <c:pt idx="17">
                  <c:v>0.48099999999999998</c:v>
                </c:pt>
                <c:pt idx="18">
                  <c:v>0.49399999999999999</c:v>
                </c:pt>
                <c:pt idx="19">
                  <c:v>0.48799999999999999</c:v>
                </c:pt>
                <c:pt idx="20">
                  <c:v>0.41299999999999998</c:v>
                </c:pt>
                <c:pt idx="2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0-46FC-B058-E3F31718F72F}"/>
            </c:ext>
          </c:extLst>
        </c:ser>
        <c:ser>
          <c:idx val="1"/>
          <c:order val="1"/>
          <c:tx>
            <c:strRef>
              <c:f>'Market Pricing of Products'!$F$8</c:f>
              <c:strCache>
                <c:ptCount val="1"/>
                <c:pt idx="0">
                  <c:v>India ($/lb)</c:v>
                </c:pt>
              </c:strCache>
            </c:strRef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'Market Pricing of Products'!$A$8:$A$31</c15:sqref>
                  </c15:fullRef>
                </c:ext>
              </c:extLst>
              <c:f>'Market Pricing of Products'!$A$9:$A$31</c:f>
              <c:strCache>
                <c:ptCount val="23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  <c:pt idx="21">
                  <c:v>Q2 2025</c:v>
                </c:pt>
                <c:pt idx="22">
                  <c:v>Q3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'Market Pricing of Products'!$F$9:$F$31</c15:sqref>
                  </c15:fullRef>
                </c:ext>
              </c:extLst>
              <c:f>'Market Pricing of Products'!$F$10:$F$31</c:f>
              <c:numCache>
                <c:formatCode>\$0.000</c:formatCode>
                <c:ptCount val="22"/>
                <c:pt idx="0">
                  <c:v>0.35399999999999998</c:v>
                </c:pt>
                <c:pt idx="1">
                  <c:v>0.39</c:v>
                </c:pt>
                <c:pt idx="2">
                  <c:v>0.43099999999999999</c:v>
                </c:pt>
                <c:pt idx="3">
                  <c:v>0.46300000000000002</c:v>
                </c:pt>
                <c:pt idx="4">
                  <c:v>0.50800000000000001</c:v>
                </c:pt>
                <c:pt idx="5">
                  <c:v>0.54400000000000004</c:v>
                </c:pt>
                <c:pt idx="6">
                  <c:v>0.58099999999999996</c:v>
                </c:pt>
                <c:pt idx="7">
                  <c:v>0.61199999999999999</c:v>
                </c:pt>
                <c:pt idx="8">
                  <c:v>0.67100000000000004</c:v>
                </c:pt>
                <c:pt idx="9">
                  <c:v>0.71699999999999997</c:v>
                </c:pt>
                <c:pt idx="10">
                  <c:v>0.748</c:v>
                </c:pt>
                <c:pt idx="11">
                  <c:v>0.65800000000000003</c:v>
                </c:pt>
                <c:pt idx="12">
                  <c:v>0.626</c:v>
                </c:pt>
                <c:pt idx="13">
                  <c:v>0.59899999999999998</c:v>
                </c:pt>
                <c:pt idx="14">
                  <c:v>0.55300000000000005</c:v>
                </c:pt>
                <c:pt idx="15">
                  <c:v>0.55300000000000005</c:v>
                </c:pt>
                <c:pt idx="16">
                  <c:v>0.50800000000000001</c:v>
                </c:pt>
                <c:pt idx="17">
                  <c:v>0.54</c:v>
                </c:pt>
                <c:pt idx="18">
                  <c:v>0.53100000000000003</c:v>
                </c:pt>
                <c:pt idx="19">
                  <c:v>0.52200000000000002</c:v>
                </c:pt>
                <c:pt idx="20">
                  <c:v>0.53</c:v>
                </c:pt>
                <c:pt idx="21">
                  <c:v>0.51500000000000001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0-46FC-B058-E3F31718F72F}"/>
            </c:ext>
          </c:extLst>
        </c:ser>
        <c:ser>
          <c:idx val="2"/>
          <c:order val="2"/>
          <c:tx>
            <c:strRef>
              <c:f>'Market Pricing of Products'!$G$8</c:f>
              <c:strCache>
                <c:ptCount val="1"/>
                <c:pt idx="0">
                  <c:v>US ($/lb)</c:v>
                </c:pt>
              </c:strCache>
            </c:strRef>
          </c:tx>
          <c:spPr>
            <a:ln w="28575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'Market Pricing of Products'!$A$8:$A$31</c15:sqref>
                  </c15:fullRef>
                </c:ext>
              </c:extLst>
              <c:f>'Market Pricing of Products'!$A$9:$A$31</c:f>
              <c:strCache>
                <c:ptCount val="23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  <c:pt idx="21">
                  <c:v>Q2 2025</c:v>
                </c:pt>
                <c:pt idx="22">
                  <c:v>Q3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'Market Pricing of Products'!$G$9:$G$31</c15:sqref>
                  </c15:fullRef>
                </c:ext>
              </c:extLst>
              <c:f>'Market Pricing of Products'!$G$10:$G$31</c:f>
              <c:numCache>
                <c:formatCode>\$0.000</c:formatCode>
                <c:ptCount val="22"/>
                <c:pt idx="0">
                  <c:v>0.59</c:v>
                </c:pt>
                <c:pt idx="1">
                  <c:v>0.65800000000000003</c:v>
                </c:pt>
                <c:pt idx="2">
                  <c:v>0.72599999999999998</c:v>
                </c:pt>
                <c:pt idx="3">
                  <c:v>0.77100000000000002</c:v>
                </c:pt>
                <c:pt idx="4">
                  <c:v>0.83899999999999997</c:v>
                </c:pt>
                <c:pt idx="5">
                  <c:v>0.90700000000000003</c:v>
                </c:pt>
                <c:pt idx="6">
                  <c:v>0.97499999999999998</c:v>
                </c:pt>
                <c:pt idx="7">
                  <c:v>1.0429999999999999</c:v>
                </c:pt>
                <c:pt idx="8">
                  <c:v>1.111</c:v>
                </c:pt>
                <c:pt idx="9">
                  <c:v>1.1339999999999999</c:v>
                </c:pt>
                <c:pt idx="10">
                  <c:v>1.0069999999999999</c:v>
                </c:pt>
                <c:pt idx="11">
                  <c:v>0.95299999999999996</c:v>
                </c:pt>
                <c:pt idx="12">
                  <c:v>0.90700000000000003</c:v>
                </c:pt>
                <c:pt idx="13">
                  <c:v>0.88500000000000001</c:v>
                </c:pt>
                <c:pt idx="14">
                  <c:v>0.83899999999999997</c:v>
                </c:pt>
                <c:pt idx="15">
                  <c:v>0.83899999999999997</c:v>
                </c:pt>
                <c:pt idx="16">
                  <c:v>0.81599999999999995</c:v>
                </c:pt>
                <c:pt idx="17">
                  <c:v>0.82099999999999995</c:v>
                </c:pt>
                <c:pt idx="18">
                  <c:v>0.82599999999999996</c:v>
                </c:pt>
                <c:pt idx="19">
                  <c:v>0.81599999999999995</c:v>
                </c:pt>
                <c:pt idx="20">
                  <c:v>0.79400000000000004</c:v>
                </c:pt>
                <c:pt idx="21">
                  <c:v>0.81200000000000006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0-46FC-B058-E3F31718F72F}"/>
            </c:ext>
          </c:extLst>
        </c:ser>
        <c:ser>
          <c:idx val="3"/>
          <c:order val="3"/>
          <c:tx>
            <c:v>SENS Carbon Black</c:v>
          </c:tx>
          <c:spPr>
            <a:ln w="28575">
              <a:solidFill>
                <a:schemeClr val="accent6"/>
              </a:solidFill>
            </a:ln>
          </c:spPr>
          <c:marker>
            <c:symbol val="none"/>
          </c:marker>
          <c:cat>
            <c:strLit>
              <c:ptCount val="22"/>
              <c:pt idx="0">
                <c:v>Q1 2020</c:v>
              </c:pt>
              <c:pt idx="1">
                <c:v>Q2 2020</c:v>
              </c:pt>
              <c:pt idx="2">
                <c:v>Q3 2020</c:v>
              </c:pt>
              <c:pt idx="3">
                <c:v>Q4 2020</c:v>
              </c:pt>
              <c:pt idx="4">
                <c:v>Q1 2021</c:v>
              </c:pt>
              <c:pt idx="5">
                <c:v>Q2 2021</c:v>
              </c:pt>
              <c:pt idx="6">
                <c:v>Q3 2021</c:v>
              </c:pt>
              <c:pt idx="7">
                <c:v>Q4 2021</c:v>
              </c:pt>
              <c:pt idx="8">
                <c:v>Q1 2022</c:v>
              </c:pt>
              <c:pt idx="9">
                <c:v>Q2 2022</c:v>
              </c:pt>
              <c:pt idx="10">
                <c:v>Q3 2022</c:v>
              </c:pt>
              <c:pt idx="11">
                <c:v>Q4 2022</c:v>
              </c:pt>
              <c:pt idx="12">
                <c:v>Q1 2023</c:v>
              </c:pt>
              <c:pt idx="13">
                <c:v>Q2 2023</c:v>
              </c:pt>
              <c:pt idx="14">
                <c:v>Q3 2023</c:v>
              </c:pt>
              <c:pt idx="15">
                <c:v>Q4 2023</c:v>
              </c:pt>
              <c:pt idx="16">
                <c:v>Q1 2024</c:v>
              </c:pt>
              <c:pt idx="17">
                <c:v>Q2 2024</c:v>
              </c:pt>
              <c:pt idx="18">
                <c:v>Q3 2024</c:v>
              </c:pt>
              <c:pt idx="19">
                <c:v>Q4 2024</c:v>
              </c:pt>
              <c:pt idx="20">
                <c:v>Q1 2025</c:v>
              </c:pt>
              <c:pt idx="21">
                <c:v>Q2 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'Market Pricing of Products'!$H$9:$H$31</c15:sqref>
                  </c15:fullRef>
                </c:ext>
              </c:extLst>
              <c:f>'Market Pricing of Products'!$H$10:$H$31</c:f>
              <c:numCache>
                <c:formatCode>\$0.000</c:formatCode>
                <c:ptCount val="22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0A-A944-8D8B-B6592AD02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 rot="-3000000"/>
          <a:lstStyle/>
          <a:p>
            <a:pPr>
              <a:defRPr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($/lb)</a:t>
                </a:r>
              </a:p>
            </c:rich>
          </c:tx>
          <c:overlay val="1"/>
        </c:title>
        <c:numFmt formatCode="\$0.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33417744892446"/>
          <c:y val="0.31444435642727758"/>
          <c:w val="0.16090663290204302"/>
          <c:h val="0.34964896993509614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Oil Pricing ($/gal)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494845679012346"/>
          <c:y val="0.1031949074074074"/>
          <c:w val="0.69940185185185189"/>
          <c:h val="0.72280740740740734"/>
        </c:manualLayout>
      </c:layout>
      <c:areaChart>
        <c:grouping val="stacked"/>
        <c:varyColors val="1"/>
        <c:ser>
          <c:idx val="4"/>
          <c:order val="4"/>
          <c:tx>
            <c:strRef>
              <c:f>'Market Pricing of Products'!$F$43</c:f>
              <c:strCache>
                <c:ptCount val="1"/>
                <c:pt idx="0">
                  <c:v>Terpene Low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'Market Pricing of Products'!$A$44:$A$63</c:f>
              <c:strCache>
                <c:ptCount val="2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</c:strCache>
            </c:strRef>
          </c:cat>
          <c:val>
            <c:numRef>
              <c:f>'Market Pricing of Products'!$F$44:$F$63</c:f>
              <c:numCache>
                <c:formatCode>_-"$"* #,##0.00_-;\-"$"* #,##0.00_-;_-"$"* "-"??_-;_-@_-</c:formatCode>
                <c:ptCount val="20"/>
                <c:pt idx="0">
                  <c:v>5.5</c:v>
                </c:pt>
                <c:pt idx="1">
                  <c:v>5.75</c:v>
                </c:pt>
                <c:pt idx="2">
                  <c:v>6</c:v>
                </c:pt>
                <c:pt idx="3">
                  <c:v>6.25</c:v>
                </c:pt>
                <c:pt idx="4">
                  <c:v>6.5</c:v>
                </c:pt>
                <c:pt idx="5">
                  <c:v>6.875</c:v>
                </c:pt>
                <c:pt idx="6">
                  <c:v>7.25</c:v>
                </c:pt>
                <c:pt idx="7">
                  <c:v>7.625</c:v>
                </c:pt>
                <c:pt idx="8">
                  <c:v>8</c:v>
                </c:pt>
                <c:pt idx="9">
                  <c:v>7.8</c:v>
                </c:pt>
                <c:pt idx="10">
                  <c:v>7.6</c:v>
                </c:pt>
                <c:pt idx="11">
                  <c:v>7.4</c:v>
                </c:pt>
                <c:pt idx="12">
                  <c:v>7.2</c:v>
                </c:pt>
                <c:pt idx="13">
                  <c:v>7.1</c:v>
                </c:pt>
                <c:pt idx="14">
                  <c:v>7</c:v>
                </c:pt>
                <c:pt idx="15">
                  <c:v>6.9</c:v>
                </c:pt>
                <c:pt idx="16">
                  <c:v>6.8</c:v>
                </c:pt>
                <c:pt idx="17">
                  <c:v>6.8</c:v>
                </c:pt>
                <c:pt idx="18">
                  <c:v>6.8</c:v>
                </c:pt>
                <c:pt idx="19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02-4DEA-BF90-0E014670AED3}"/>
            </c:ext>
          </c:extLst>
        </c:ser>
        <c:ser>
          <c:idx val="5"/>
          <c:order val="5"/>
          <c:tx>
            <c:strRef>
              <c:f>'Market Pricing of Products'!$G$43</c:f>
              <c:strCache>
                <c:ptCount val="1"/>
                <c:pt idx="0">
                  <c:v>Terpene Range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'Market Pricing of Products'!$A$44:$A$63</c:f>
              <c:strCache>
                <c:ptCount val="2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</c:strCache>
            </c:strRef>
          </c:cat>
          <c:val>
            <c:numRef>
              <c:f>'Market Pricing of Products'!$G$44:$G$63</c:f>
              <c:numCache>
                <c:formatCode>_-"$"* #,##0.00_-;\-"$"* #,##0.00_-;_-"$"* "-"??_-;_-@_-</c:formatCode>
                <c:ptCount val="20"/>
                <c:pt idx="0">
                  <c:v>3</c:v>
                </c:pt>
                <c:pt idx="1">
                  <c:v>3.125</c:v>
                </c:pt>
                <c:pt idx="2">
                  <c:v>3.25</c:v>
                </c:pt>
                <c:pt idx="3">
                  <c:v>3.375</c:v>
                </c:pt>
                <c:pt idx="4">
                  <c:v>3.5</c:v>
                </c:pt>
                <c:pt idx="5">
                  <c:v>3.75</c:v>
                </c:pt>
                <c:pt idx="6">
                  <c:v>4</c:v>
                </c:pt>
                <c:pt idx="7">
                  <c:v>4.25</c:v>
                </c:pt>
                <c:pt idx="8">
                  <c:v>4.5</c:v>
                </c:pt>
                <c:pt idx="9">
                  <c:v>4.3250000000000002</c:v>
                </c:pt>
                <c:pt idx="10">
                  <c:v>4.1500000000000004</c:v>
                </c:pt>
                <c:pt idx="11">
                  <c:v>3.9749999999999996</c:v>
                </c:pt>
                <c:pt idx="12">
                  <c:v>3.8</c:v>
                </c:pt>
                <c:pt idx="13">
                  <c:v>3.6500000000000004</c:v>
                </c:pt>
                <c:pt idx="14">
                  <c:v>3.5</c:v>
                </c:pt>
                <c:pt idx="15">
                  <c:v>3.3499999999999996</c:v>
                </c:pt>
                <c:pt idx="16">
                  <c:v>3.2</c:v>
                </c:pt>
                <c:pt idx="17">
                  <c:v>3.2</c:v>
                </c:pt>
                <c:pt idx="18">
                  <c:v>3.2</c:v>
                </c:pt>
                <c:pt idx="19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02-4DEA-BF90-0E014670A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lineChart>
        <c:grouping val="standard"/>
        <c:varyColors val="1"/>
        <c:ser>
          <c:idx val="0"/>
          <c:order val="0"/>
          <c:tx>
            <c:strRef>
              <c:f>'Market Pricing of Products'!$B$43</c:f>
              <c:strCache>
                <c:ptCount val="1"/>
                <c:pt idx="0">
                  <c:v>Mixed Xylene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strRef>
              <c:f>'Market Pricing of Products'!$A$44:$A$63</c:f>
              <c:strCache>
                <c:ptCount val="2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</c:strCache>
            </c:strRef>
          </c:cat>
          <c:val>
            <c:numRef>
              <c:f>'Market Pricing of Products'!$B$44:$B$63</c:f>
              <c:numCache>
                <c:formatCode>_-"$"* #,##0.00_-;\-"$"* #,##0.00_-;_-"$"* "-"??_-;_-@_-</c:formatCode>
                <c:ptCount val="20"/>
                <c:pt idx="0">
                  <c:v>2.1</c:v>
                </c:pt>
                <c:pt idx="1">
                  <c:v>2.3250000000000002</c:v>
                </c:pt>
                <c:pt idx="2">
                  <c:v>2.5499999999999998</c:v>
                </c:pt>
                <c:pt idx="3">
                  <c:v>2.7749999999999999</c:v>
                </c:pt>
                <c:pt idx="4">
                  <c:v>3</c:v>
                </c:pt>
                <c:pt idx="5">
                  <c:v>3.2250000000000001</c:v>
                </c:pt>
                <c:pt idx="6">
                  <c:v>3.45</c:v>
                </c:pt>
                <c:pt idx="7">
                  <c:v>3.6749999999999998</c:v>
                </c:pt>
                <c:pt idx="8">
                  <c:v>3.9</c:v>
                </c:pt>
                <c:pt idx="9">
                  <c:v>3.8</c:v>
                </c:pt>
                <c:pt idx="10">
                  <c:v>3.7</c:v>
                </c:pt>
                <c:pt idx="11">
                  <c:v>3.6</c:v>
                </c:pt>
                <c:pt idx="12">
                  <c:v>3.5</c:v>
                </c:pt>
                <c:pt idx="13">
                  <c:v>3.4249999999999998</c:v>
                </c:pt>
                <c:pt idx="14">
                  <c:v>3.35</c:v>
                </c:pt>
                <c:pt idx="15">
                  <c:v>3.2749999999999999</c:v>
                </c:pt>
                <c:pt idx="16">
                  <c:v>3.2</c:v>
                </c:pt>
                <c:pt idx="17">
                  <c:v>3.2</c:v>
                </c:pt>
                <c:pt idx="18">
                  <c:v>3.2</c:v>
                </c:pt>
                <c:pt idx="19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2-4DEA-BF90-0E014670AED3}"/>
            </c:ext>
          </c:extLst>
        </c:ser>
        <c:ser>
          <c:idx val="1"/>
          <c:order val="1"/>
          <c:tx>
            <c:strRef>
              <c:f>'Market Pricing of Products'!$C$43</c:f>
              <c:strCache>
                <c:ptCount val="1"/>
                <c:pt idx="0">
                  <c:v>Aromatic 150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strRef>
              <c:f>'Market Pricing of Products'!$A$44:$A$63</c:f>
              <c:strCache>
                <c:ptCount val="2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</c:strCache>
            </c:strRef>
          </c:cat>
          <c:val>
            <c:numRef>
              <c:f>'Market Pricing of Products'!$C$44:$C$63</c:f>
              <c:numCache>
                <c:formatCode>_-"$"* #,##0.00_-;\-"$"* #,##0.00_-;_-"$"* "-"??_-;_-@_-</c:formatCode>
                <c:ptCount val="20"/>
                <c:pt idx="0">
                  <c:v>2.8</c:v>
                </c:pt>
                <c:pt idx="1">
                  <c:v>3</c:v>
                </c:pt>
                <c:pt idx="2">
                  <c:v>3.2</c:v>
                </c:pt>
                <c:pt idx="3">
                  <c:v>3.4</c:v>
                </c:pt>
                <c:pt idx="4">
                  <c:v>3.6</c:v>
                </c:pt>
                <c:pt idx="5">
                  <c:v>3.9</c:v>
                </c:pt>
                <c:pt idx="6">
                  <c:v>4.2</c:v>
                </c:pt>
                <c:pt idx="7">
                  <c:v>4.5</c:v>
                </c:pt>
                <c:pt idx="8">
                  <c:v>4.8</c:v>
                </c:pt>
                <c:pt idx="9">
                  <c:v>4.6749999999999998</c:v>
                </c:pt>
                <c:pt idx="10">
                  <c:v>4.55</c:v>
                </c:pt>
                <c:pt idx="11">
                  <c:v>4.4249999999999998</c:v>
                </c:pt>
                <c:pt idx="12">
                  <c:v>4.3</c:v>
                </c:pt>
                <c:pt idx="13">
                  <c:v>4.25</c:v>
                </c:pt>
                <c:pt idx="14">
                  <c:v>4.2</c:v>
                </c:pt>
                <c:pt idx="15">
                  <c:v>4.1500000000000004</c:v>
                </c:pt>
                <c:pt idx="16">
                  <c:v>4.0999999999999996</c:v>
                </c:pt>
                <c:pt idx="17">
                  <c:v>4.0999999999999996</c:v>
                </c:pt>
                <c:pt idx="18">
                  <c:v>4.0999999999999996</c:v>
                </c:pt>
                <c:pt idx="19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2-4DEA-BF90-0E014670AED3}"/>
            </c:ext>
          </c:extLst>
        </c:ser>
        <c:ser>
          <c:idx val="2"/>
          <c:order val="2"/>
          <c:tx>
            <c:strRef>
              <c:f>'Market Pricing of Products'!$D$43</c:f>
              <c:strCache>
                <c:ptCount val="1"/>
                <c:pt idx="0">
                  <c:v>Aromatic 200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strRef>
              <c:f>'Market Pricing of Products'!$A$44:$A$63</c:f>
              <c:strCache>
                <c:ptCount val="2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</c:strCache>
            </c:strRef>
          </c:cat>
          <c:val>
            <c:numRef>
              <c:f>'Market Pricing of Products'!$D$44:$D$63</c:f>
              <c:numCache>
                <c:formatCode>_-"$"* #,##0.00_-;\-"$"* #,##0.00_-;_-"$"* "-"??_-;_-@_-</c:formatCode>
                <c:ptCount val="20"/>
                <c:pt idx="0">
                  <c:v>3.1</c:v>
                </c:pt>
                <c:pt idx="1">
                  <c:v>3.3250000000000002</c:v>
                </c:pt>
                <c:pt idx="2">
                  <c:v>3.55</c:v>
                </c:pt>
                <c:pt idx="3">
                  <c:v>3.7749999999999999</c:v>
                </c:pt>
                <c:pt idx="4">
                  <c:v>4</c:v>
                </c:pt>
                <c:pt idx="5">
                  <c:v>4.3</c:v>
                </c:pt>
                <c:pt idx="6">
                  <c:v>4.5999999999999996</c:v>
                </c:pt>
                <c:pt idx="7">
                  <c:v>4.9000000000000004</c:v>
                </c:pt>
                <c:pt idx="8">
                  <c:v>5.2</c:v>
                </c:pt>
                <c:pt idx="9">
                  <c:v>5.0750000000000002</c:v>
                </c:pt>
                <c:pt idx="10">
                  <c:v>4.95</c:v>
                </c:pt>
                <c:pt idx="11">
                  <c:v>4.8250000000000002</c:v>
                </c:pt>
                <c:pt idx="12">
                  <c:v>4.7</c:v>
                </c:pt>
                <c:pt idx="13">
                  <c:v>4.6500000000000004</c:v>
                </c:pt>
                <c:pt idx="14">
                  <c:v>4.5999999999999996</c:v>
                </c:pt>
                <c:pt idx="15">
                  <c:v>4.55</c:v>
                </c:pt>
                <c:pt idx="16">
                  <c:v>4.5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2-4DEA-BF90-0E014670AED3}"/>
            </c:ext>
          </c:extLst>
        </c:ser>
        <c:ser>
          <c:idx val="3"/>
          <c:order val="3"/>
          <c:tx>
            <c:strRef>
              <c:f>'Market Pricing of Products'!$E$43</c:f>
              <c:strCache>
                <c:ptCount val="1"/>
                <c:pt idx="0">
                  <c:v>SENS Diluent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'Market Pricing of Products'!$A$44:$A$63</c:f>
              <c:strCache>
                <c:ptCount val="2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</c:strCache>
            </c:strRef>
          </c:cat>
          <c:val>
            <c:numRef>
              <c:f>'Market Pricing of Products'!$E$44:$E$63</c:f>
              <c:numCache>
                <c:formatCode>_-"$"* #,##0.00_-;\-"$"* #,##0.00_-;_-"$"* "-"??_-;_-@_-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02-4DEA-BF90-0E014670A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 rot="-3000000"/>
          <a:lstStyle/>
          <a:p>
            <a:pPr>
              <a:defRPr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($/gal)</a:t>
                </a:r>
              </a:p>
            </c:rich>
          </c:tx>
          <c:overlay val="1"/>
        </c:title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Crum</a:t>
            </a:r>
            <a:r>
              <a:rPr lang="en-US" baseline="0"/>
              <a:t>b Rubber Sensitivity ($/lb)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Assumptions!$T$6</c:f>
              <c:strCache>
                <c:ptCount val="1"/>
                <c:pt idx="0">
                  <c:v>15 Year NPV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Assumptions!$Q$7:$Q$27</c:f>
              <c:numCache>
                <c:formatCode>_-"$"* #,##0.00_-;\-"$"* #,##0.00_-;_-"$"* "-"??_-;_-@_-</c:formatCode>
                <c:ptCount val="2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0.15000000000000002</c:v>
                </c:pt>
                <c:pt idx="15">
                  <c:v>0.16000000000000003</c:v>
                </c:pt>
                <c:pt idx="16">
                  <c:v>0.17000000000000004</c:v>
                </c:pt>
                <c:pt idx="17">
                  <c:v>0.18000000000000005</c:v>
                </c:pt>
                <c:pt idx="18">
                  <c:v>0.19000000000000006</c:v>
                </c:pt>
                <c:pt idx="19">
                  <c:v>0.20000000000000007</c:v>
                </c:pt>
                <c:pt idx="20">
                  <c:v>0.21000000000000008</c:v>
                </c:pt>
              </c:numCache>
            </c:numRef>
          </c:cat>
          <c:val>
            <c:numRef>
              <c:f>Assumptions!$T$7:$T$27</c:f>
              <c:numCache>
                <c:formatCode>_-"$"* #,##0_-;\-"$"* #,##0_-;_-"$"* "-"??_-;_-@_-</c:formatCode>
                <c:ptCount val="21"/>
                <c:pt idx="0">
                  <c:v>20091964.863718297</c:v>
                </c:pt>
                <c:pt idx="1">
                  <c:v>19478928.375455331</c:v>
                </c:pt>
                <c:pt idx="2">
                  <c:v>18865891.887192383</c:v>
                </c:pt>
                <c:pt idx="3">
                  <c:v>18252855.398929421</c:v>
                </c:pt>
                <c:pt idx="4">
                  <c:v>17639818.910666462</c:v>
                </c:pt>
                <c:pt idx="5">
                  <c:v>17026782.422403503</c:v>
                </c:pt>
                <c:pt idx="6">
                  <c:v>16413745.934140543</c:v>
                </c:pt>
                <c:pt idx="7">
                  <c:v>15800709.445877586</c:v>
                </c:pt>
                <c:pt idx="8">
                  <c:v>15187672.957614625</c:v>
                </c:pt>
                <c:pt idx="9">
                  <c:v>14574636.469351664</c:v>
                </c:pt>
                <c:pt idx="10">
                  <c:v>13961599.981088707</c:v>
                </c:pt>
                <c:pt idx="11">
                  <c:v>13348563.492825747</c:v>
                </c:pt>
                <c:pt idx="12">
                  <c:v>12735527.004562786</c:v>
                </c:pt>
                <c:pt idx="13">
                  <c:v>12122490.516299825</c:v>
                </c:pt>
                <c:pt idx="14">
                  <c:v>11509454.028036872</c:v>
                </c:pt>
                <c:pt idx="15">
                  <c:v>10896417.539773909</c:v>
                </c:pt>
                <c:pt idx="16">
                  <c:v>10283381.051510945</c:v>
                </c:pt>
                <c:pt idx="17">
                  <c:v>9670344.5632479899</c:v>
                </c:pt>
                <c:pt idx="18">
                  <c:v>9057308.074985031</c:v>
                </c:pt>
                <c:pt idx="19">
                  <c:v>8444271.5867220666</c:v>
                </c:pt>
                <c:pt idx="20">
                  <c:v>7831235.0984591087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BD-4410-AB82-14EDFC14B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147423"/>
        <c:axId val="1056149343"/>
      </c:barChart>
      <c:lineChart>
        <c:grouping val="standard"/>
        <c:varyColors val="0"/>
        <c:ser>
          <c:idx val="0"/>
          <c:order val="0"/>
          <c:tx>
            <c:strRef>
              <c:f>Assumptions!$R$6</c:f>
              <c:strCache>
                <c:ptCount val="1"/>
                <c:pt idx="0">
                  <c:v>5 Year IRR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Assumptions!$Q$7:$Q$27</c:f>
              <c:numCache>
                <c:formatCode>_-"$"* #,##0.00_-;\-"$"* #,##0.00_-;_-"$"* "-"??_-;_-@_-</c:formatCode>
                <c:ptCount val="2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0.15000000000000002</c:v>
                </c:pt>
                <c:pt idx="15">
                  <c:v>0.16000000000000003</c:v>
                </c:pt>
                <c:pt idx="16">
                  <c:v>0.17000000000000004</c:v>
                </c:pt>
                <c:pt idx="17">
                  <c:v>0.18000000000000005</c:v>
                </c:pt>
                <c:pt idx="18">
                  <c:v>0.19000000000000006</c:v>
                </c:pt>
                <c:pt idx="19">
                  <c:v>0.20000000000000007</c:v>
                </c:pt>
                <c:pt idx="20">
                  <c:v>0.21000000000000008</c:v>
                </c:pt>
              </c:numCache>
            </c:numRef>
          </c:cat>
          <c:val>
            <c:numRef>
              <c:f>Assumptions!$R$7:$R$27</c:f>
              <c:numCache>
                <c:formatCode>0.0%</c:formatCode>
                <c:ptCount val="21"/>
                <c:pt idx="0">
                  <c:v>0.92341598978763817</c:v>
                </c:pt>
                <c:pt idx="1">
                  <c:v>0.89502830519006293</c:v>
                </c:pt>
                <c:pt idx="2">
                  <c:v>0.8669831062003206</c:v>
                </c:pt>
                <c:pt idx="3">
                  <c:v>0.83926832861298184</c:v>
                </c:pt>
                <c:pt idx="4">
                  <c:v>0.81187209445401209</c:v>
                </c:pt>
                <c:pt idx="5">
                  <c:v>0.78478269209644269</c:v>
                </c:pt>
                <c:pt idx="6">
                  <c:v>0.75798855613195859</c:v>
                </c:pt>
                <c:pt idx="7">
                  <c:v>0.73147824688157637</c:v>
                </c:pt>
                <c:pt idx="8">
                  <c:v>0.70524042941839959</c:v>
                </c:pt>
                <c:pt idx="9">
                  <c:v>0.67926385196285688</c:v>
                </c:pt>
                <c:pt idx="10">
                  <c:v>0.65353732349590521</c:v>
                </c:pt>
                <c:pt idx="11">
                  <c:v>0.62804969041793735</c:v>
                </c:pt>
                <c:pt idx="12">
                  <c:v>0.60278981205997439</c:v>
                </c:pt>
                <c:pt idx="13">
                  <c:v>0.57774653482858285</c:v>
                </c:pt>
                <c:pt idx="14">
                  <c:v>0.55290866473599287</c:v>
                </c:pt>
                <c:pt idx="15">
                  <c:v>0.52826493803114438</c:v>
                </c:pt>
                <c:pt idx="16">
                  <c:v>0.50380398960466688</c:v>
                </c:pt>
                <c:pt idx="17">
                  <c:v>0.47951431878955741</c:v>
                </c:pt>
                <c:pt idx="18">
                  <c:v>0.4553842521177367</c:v>
                </c:pt>
                <c:pt idx="19">
                  <c:v>0.431401902518318</c:v>
                </c:pt>
                <c:pt idx="20">
                  <c:v>0.40755512435338059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D-4410-AB82-14EDFC14BE73}"/>
            </c:ext>
          </c:extLst>
        </c:ser>
        <c:ser>
          <c:idx val="1"/>
          <c:order val="1"/>
          <c:tx>
            <c:strRef>
              <c:f>Assumptions!$S$6</c:f>
              <c:strCache>
                <c:ptCount val="1"/>
                <c:pt idx="0">
                  <c:v>15 Year IRR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Assumptions!$Q$7:$Q$27</c:f>
              <c:numCache>
                <c:formatCode>_-"$"* #,##0.00_-;\-"$"* #,##0.00_-;_-"$"* "-"??_-;_-@_-</c:formatCode>
                <c:ptCount val="2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0.15000000000000002</c:v>
                </c:pt>
                <c:pt idx="15">
                  <c:v>0.16000000000000003</c:v>
                </c:pt>
                <c:pt idx="16">
                  <c:v>0.17000000000000004</c:v>
                </c:pt>
                <c:pt idx="17">
                  <c:v>0.18000000000000005</c:v>
                </c:pt>
                <c:pt idx="18">
                  <c:v>0.19000000000000006</c:v>
                </c:pt>
                <c:pt idx="19">
                  <c:v>0.20000000000000007</c:v>
                </c:pt>
                <c:pt idx="20">
                  <c:v>0.21000000000000008</c:v>
                </c:pt>
              </c:numCache>
            </c:numRef>
          </c:cat>
          <c:val>
            <c:numRef>
              <c:f>Assumptions!$S$7:$S$27</c:f>
              <c:numCache>
                <c:formatCode>0.0%</c:formatCode>
                <c:ptCount val="21"/>
                <c:pt idx="0">
                  <c:v>0.99896010791776124</c:v>
                </c:pt>
                <c:pt idx="1">
                  <c:v>0.97308507112078901</c:v>
                </c:pt>
                <c:pt idx="2">
                  <c:v>0.94762557884128817</c:v>
                </c:pt>
                <c:pt idx="3">
                  <c:v>0.92257170672510358</c:v>
                </c:pt>
                <c:pt idx="4">
                  <c:v>0.89791379237332558</c:v>
                </c:pt>
                <c:pt idx="5">
                  <c:v>0.87364241829135114</c:v>
                </c:pt>
                <c:pt idx="6">
                  <c:v>0.84974839466203189</c:v>
                </c:pt>
                <c:pt idx="7">
                  <c:v>0.82622274183174427</c:v>
                </c:pt>
                <c:pt idx="8">
                  <c:v>0.80305667239104328</c:v>
                </c:pt>
                <c:pt idx="9">
                  <c:v>0.78024157272345263</c:v>
                </c:pt>
                <c:pt idx="10">
                  <c:v>0.75776898388653602</c:v>
                </c:pt>
                <c:pt idx="11">
                  <c:v>0.73563058167869699</c:v>
                </c:pt>
                <c:pt idx="12">
                  <c:v>0.71381815573283403</c:v>
                </c:pt>
                <c:pt idx="13">
                  <c:v>0.6923235874635838</c:v>
                </c:pt>
                <c:pt idx="14">
                  <c:v>0.67113882667846281</c:v>
                </c:pt>
                <c:pt idx="15">
                  <c:v>0.65025586664341306</c:v>
                </c:pt>
                <c:pt idx="16">
                  <c:v>0.62966671737024282</c:v>
                </c:pt>
                <c:pt idx="17">
                  <c:v>0.60936337686559594</c:v>
                </c:pt>
                <c:pt idx="18">
                  <c:v>0.58933780004751557</c:v>
                </c:pt>
                <c:pt idx="19">
                  <c:v>0.56958186499467667</c:v>
                </c:pt>
                <c:pt idx="20">
                  <c:v>0.55008733614288063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BD-4410-AB82-14EDFC14BE73}"/>
            </c:ext>
          </c:extLst>
        </c:ser>
        <c:ser>
          <c:idx val="3"/>
          <c:order val="3"/>
          <c:tx>
            <c:strRef>
              <c:f>Assumptions!$U$6</c:f>
              <c:strCache>
                <c:ptCount val="1"/>
                <c:pt idx="0">
                  <c:v>Margin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Assumptions!$Q$7:$Q$27</c:f>
              <c:numCache>
                <c:formatCode>_-"$"* #,##0.00_-;\-"$"* #,##0.00_-;_-"$"* "-"??_-;_-@_-</c:formatCode>
                <c:ptCount val="2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0.15000000000000002</c:v>
                </c:pt>
                <c:pt idx="15">
                  <c:v>0.16000000000000003</c:v>
                </c:pt>
                <c:pt idx="16">
                  <c:v>0.17000000000000004</c:v>
                </c:pt>
                <c:pt idx="17">
                  <c:v>0.18000000000000005</c:v>
                </c:pt>
                <c:pt idx="18">
                  <c:v>0.19000000000000006</c:v>
                </c:pt>
                <c:pt idx="19">
                  <c:v>0.20000000000000007</c:v>
                </c:pt>
                <c:pt idx="20">
                  <c:v>0.21000000000000008</c:v>
                </c:pt>
              </c:numCache>
            </c:numRef>
          </c:cat>
          <c:val>
            <c:numRef>
              <c:f>Assumptions!$U$7:$U$27</c:f>
              <c:numCache>
                <c:formatCode>0.0%</c:formatCode>
                <c:ptCount val="21"/>
                <c:pt idx="0">
                  <c:v>0.7668802173386291</c:v>
                </c:pt>
                <c:pt idx="1">
                  <c:v>0.75321514042978055</c:v>
                </c:pt>
                <c:pt idx="2">
                  <c:v>0.73955006352093189</c:v>
                </c:pt>
                <c:pt idx="3">
                  <c:v>0.72588498661208334</c:v>
                </c:pt>
                <c:pt idx="4">
                  <c:v>0.71221990970323479</c:v>
                </c:pt>
                <c:pt idx="5">
                  <c:v>0.69855483279438613</c:v>
                </c:pt>
                <c:pt idx="6">
                  <c:v>0.68488975588553758</c:v>
                </c:pt>
                <c:pt idx="7">
                  <c:v>0.67122467897668914</c:v>
                </c:pt>
                <c:pt idx="8">
                  <c:v>0.65755960206784037</c:v>
                </c:pt>
                <c:pt idx="9">
                  <c:v>0.64389452515899204</c:v>
                </c:pt>
                <c:pt idx="10">
                  <c:v>0.63022944825014315</c:v>
                </c:pt>
                <c:pt idx="11">
                  <c:v>0.6165643713412946</c:v>
                </c:pt>
                <c:pt idx="12">
                  <c:v>0.60289929443244628</c:v>
                </c:pt>
                <c:pt idx="13">
                  <c:v>0.58923421752359739</c:v>
                </c:pt>
                <c:pt idx="14">
                  <c:v>0.57556914061474918</c:v>
                </c:pt>
                <c:pt idx="15">
                  <c:v>0.56190406370590029</c:v>
                </c:pt>
                <c:pt idx="16">
                  <c:v>0.54823898679705163</c:v>
                </c:pt>
                <c:pt idx="17">
                  <c:v>0.53457390988820308</c:v>
                </c:pt>
                <c:pt idx="18">
                  <c:v>0.52090883297935442</c:v>
                </c:pt>
                <c:pt idx="19">
                  <c:v>0.50724375607050587</c:v>
                </c:pt>
                <c:pt idx="20">
                  <c:v>0.49357867916165732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BD-4410-AB82-14EDFC14B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540464"/>
        <c:axId val="1531542384"/>
      </c:lineChart>
      <c:catAx>
        <c:axId val="1531540464"/>
        <c:scaling>
          <c:orientation val="minMax"/>
        </c:scaling>
        <c:delete val="0"/>
        <c:axPos val="b"/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2384"/>
        <c:crosses val="autoZero"/>
        <c:auto val="1"/>
        <c:lblAlgn val="ctr"/>
        <c:lblOffset val="100"/>
        <c:noMultiLvlLbl val="0"/>
      </c:catAx>
      <c:valAx>
        <c:axId val="153154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0464"/>
        <c:crosses val="autoZero"/>
        <c:crossBetween val="between"/>
      </c:valAx>
      <c:valAx>
        <c:axId val="1056149343"/>
        <c:scaling>
          <c:orientation val="minMax"/>
        </c:scaling>
        <c:delete val="0"/>
        <c:axPos val="r"/>
        <c:numFmt formatCode="_-&quot;$&quot;* #,##0_-;\-&quot;$&quot;* #,##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47423"/>
        <c:crosses val="max"/>
        <c:crossBetween val="between"/>
      </c:valAx>
      <c:catAx>
        <c:axId val="1056147423"/>
        <c:scaling>
          <c:orientation val="minMax"/>
        </c:scaling>
        <c:delete val="1"/>
        <c:axPos val="b"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056149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Workforce </a:t>
            </a:r>
            <a:r>
              <a:rPr lang="en-US" baseline="0"/>
              <a:t>Sensitivity (% Change in Salary)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Assumptions!$T$6</c:f>
              <c:strCache>
                <c:ptCount val="1"/>
                <c:pt idx="0">
                  <c:v>15 Year NPV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Assumptions!$Q$30:$Q$49</c:f>
              <c:numCache>
                <c:formatCode>0%</c:formatCode>
                <c:ptCount val="20"/>
                <c:pt idx="0">
                  <c:v>-0.44999999999999996</c:v>
                </c:pt>
                <c:pt idx="1">
                  <c:v>-0.39999999999999997</c:v>
                </c:pt>
                <c:pt idx="2">
                  <c:v>-0.35</c:v>
                </c:pt>
                <c:pt idx="3">
                  <c:v>-0.3</c:v>
                </c:pt>
                <c:pt idx="4">
                  <c:v>-0.25</c:v>
                </c:pt>
                <c:pt idx="5">
                  <c:v>-0.2</c:v>
                </c:pt>
                <c:pt idx="6">
                  <c:v>-0.15000000000000002</c:v>
                </c:pt>
                <c:pt idx="7">
                  <c:v>-0.1</c:v>
                </c:pt>
                <c:pt idx="8">
                  <c:v>-0.05</c:v>
                </c:pt>
                <c:pt idx="9">
                  <c:v>0</c:v>
                </c:pt>
                <c:pt idx="10">
                  <c:v>0.05</c:v>
                </c:pt>
                <c:pt idx="11">
                  <c:v>0.1</c:v>
                </c:pt>
                <c:pt idx="12">
                  <c:v>0.15000000000000002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0.35</c:v>
                </c:pt>
                <c:pt idx="17">
                  <c:v>0.39999999999999997</c:v>
                </c:pt>
                <c:pt idx="18">
                  <c:v>0.44999999999999996</c:v>
                </c:pt>
                <c:pt idx="19">
                  <c:v>0.49999999999999994</c:v>
                </c:pt>
              </c:numCache>
            </c:numRef>
          </c:cat>
          <c:val>
            <c:numRef>
              <c:f>Assumptions!$T$30:$T$49</c:f>
              <c:numCache>
                <c:formatCode>_-"$"* #,##0_-;\-"$"* #,##0_-;_-"$"* "-"??_-;_-@_-</c:formatCode>
                <c:ptCount val="20"/>
                <c:pt idx="0">
                  <c:v>19302614.910071697</c:v>
                </c:pt>
                <c:pt idx="1">
                  <c:v>18777283.97221392</c:v>
                </c:pt>
                <c:pt idx="2">
                  <c:v>18251953.034356136</c:v>
                </c:pt>
                <c:pt idx="3">
                  <c:v>17726622.096498355</c:v>
                </c:pt>
                <c:pt idx="4">
                  <c:v>17201291.158640571</c:v>
                </c:pt>
                <c:pt idx="5">
                  <c:v>16675960.220782792</c:v>
                </c:pt>
                <c:pt idx="6">
                  <c:v>16150629.282925006</c:v>
                </c:pt>
                <c:pt idx="7">
                  <c:v>15625298.345067225</c:v>
                </c:pt>
                <c:pt idx="8">
                  <c:v>15099967.407209443</c:v>
                </c:pt>
                <c:pt idx="9">
                  <c:v>14574636.469351664</c:v>
                </c:pt>
                <c:pt idx="10">
                  <c:v>14049305.531493882</c:v>
                </c:pt>
                <c:pt idx="11">
                  <c:v>13523974.593636101</c:v>
                </c:pt>
                <c:pt idx="12">
                  <c:v>12998643.655778315</c:v>
                </c:pt>
                <c:pt idx="13">
                  <c:v>12473312.71792054</c:v>
                </c:pt>
                <c:pt idx="14">
                  <c:v>11947981.780062759</c:v>
                </c:pt>
                <c:pt idx="15">
                  <c:v>11422650.842204979</c:v>
                </c:pt>
                <c:pt idx="16">
                  <c:v>10897319.904347192</c:v>
                </c:pt>
                <c:pt idx="17">
                  <c:v>10371988.966489408</c:v>
                </c:pt>
                <c:pt idx="18">
                  <c:v>9846658.0286316257</c:v>
                </c:pt>
                <c:pt idx="19">
                  <c:v>9321327.0907738488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D-4759-84CE-FB435F56C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147423"/>
        <c:axId val="1056149343"/>
      </c:barChart>
      <c:lineChart>
        <c:grouping val="standard"/>
        <c:varyColors val="0"/>
        <c:ser>
          <c:idx val="0"/>
          <c:order val="0"/>
          <c:tx>
            <c:strRef>
              <c:f>Assumptions!$R$6</c:f>
              <c:strCache>
                <c:ptCount val="1"/>
                <c:pt idx="0">
                  <c:v>5 Year IRR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Assumptions!$Q$30:$Q$49</c:f>
              <c:numCache>
                <c:formatCode>0%</c:formatCode>
                <c:ptCount val="20"/>
                <c:pt idx="0">
                  <c:v>-0.44999999999999996</c:v>
                </c:pt>
                <c:pt idx="1">
                  <c:v>-0.39999999999999997</c:v>
                </c:pt>
                <c:pt idx="2">
                  <c:v>-0.35</c:v>
                </c:pt>
                <c:pt idx="3">
                  <c:v>-0.3</c:v>
                </c:pt>
                <c:pt idx="4">
                  <c:v>-0.25</c:v>
                </c:pt>
                <c:pt idx="5">
                  <c:v>-0.2</c:v>
                </c:pt>
                <c:pt idx="6">
                  <c:v>-0.15000000000000002</c:v>
                </c:pt>
                <c:pt idx="7">
                  <c:v>-0.1</c:v>
                </c:pt>
                <c:pt idx="8">
                  <c:v>-0.05</c:v>
                </c:pt>
                <c:pt idx="9">
                  <c:v>0</c:v>
                </c:pt>
                <c:pt idx="10">
                  <c:v>0.05</c:v>
                </c:pt>
                <c:pt idx="11">
                  <c:v>0.1</c:v>
                </c:pt>
                <c:pt idx="12">
                  <c:v>0.15000000000000002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0.35</c:v>
                </c:pt>
                <c:pt idx="17">
                  <c:v>0.39999999999999997</c:v>
                </c:pt>
                <c:pt idx="18">
                  <c:v>0.44999999999999996</c:v>
                </c:pt>
                <c:pt idx="19">
                  <c:v>0.49999999999999994</c:v>
                </c:pt>
              </c:numCache>
            </c:numRef>
          </c:cat>
          <c:val>
            <c:numRef>
              <c:f>Assumptions!$R$30:$R$49</c:f>
              <c:numCache>
                <c:formatCode>0.0%</c:formatCode>
                <c:ptCount val="20"/>
                <c:pt idx="0">
                  <c:v>0.88689688162599567</c:v>
                </c:pt>
                <c:pt idx="1">
                  <c:v>0.86293067109313659</c:v>
                </c:pt>
                <c:pt idx="2">
                  <c:v>0.83920554750252041</c:v>
                </c:pt>
                <c:pt idx="3">
                  <c:v>0.81571405453673362</c:v>
                </c:pt>
                <c:pt idx="4">
                  <c:v>0.79244882514392634</c:v>
                </c:pt>
                <c:pt idx="5">
                  <c:v>0.76940257226373432</c:v>
                </c:pt>
                <c:pt idx="6">
                  <c:v>0.74656807941626724</c:v>
                </c:pt>
                <c:pt idx="7">
                  <c:v>0.72393819111200663</c:v>
                </c:pt>
                <c:pt idx="8">
                  <c:v>0.70150580303688637</c:v>
                </c:pt>
                <c:pt idx="9">
                  <c:v>0.67926385196285688</c:v>
                </c:pt>
                <c:pt idx="10">
                  <c:v>0.65720530532953769</c:v>
                </c:pt>
                <c:pt idx="11">
                  <c:v>0.63532315043714971</c:v>
                </c:pt>
                <c:pt idx="12">
                  <c:v>0.61361038318463601</c:v>
                </c:pt>
                <c:pt idx="13">
                  <c:v>0.5920599962795503</c:v>
                </c:pt>
                <c:pt idx="14">
                  <c:v>0.57066496683784584</c:v>
                </c:pt>
                <c:pt idx="15">
                  <c:v>0.54941824328180711</c:v>
                </c:pt>
                <c:pt idx="16">
                  <c:v>0.52831273143289126</c:v>
                </c:pt>
                <c:pt idx="17">
                  <c:v>0.50734127968286624</c:v>
                </c:pt>
                <c:pt idx="18">
                  <c:v>0.48649666311094397</c:v>
                </c:pt>
                <c:pt idx="19">
                  <c:v>0.46577156639628514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D-4759-84CE-FB435F56C5D2}"/>
            </c:ext>
          </c:extLst>
        </c:ser>
        <c:ser>
          <c:idx val="1"/>
          <c:order val="1"/>
          <c:tx>
            <c:strRef>
              <c:f>Assumptions!$S$6</c:f>
              <c:strCache>
                <c:ptCount val="1"/>
                <c:pt idx="0">
                  <c:v>15 Year IRR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Assumptions!$Q$30:$Q$49</c:f>
              <c:numCache>
                <c:formatCode>0%</c:formatCode>
                <c:ptCount val="20"/>
                <c:pt idx="0">
                  <c:v>-0.44999999999999996</c:v>
                </c:pt>
                <c:pt idx="1">
                  <c:v>-0.39999999999999997</c:v>
                </c:pt>
                <c:pt idx="2">
                  <c:v>-0.35</c:v>
                </c:pt>
                <c:pt idx="3">
                  <c:v>-0.3</c:v>
                </c:pt>
                <c:pt idx="4">
                  <c:v>-0.25</c:v>
                </c:pt>
                <c:pt idx="5">
                  <c:v>-0.2</c:v>
                </c:pt>
                <c:pt idx="6">
                  <c:v>-0.15000000000000002</c:v>
                </c:pt>
                <c:pt idx="7">
                  <c:v>-0.1</c:v>
                </c:pt>
                <c:pt idx="8">
                  <c:v>-0.05</c:v>
                </c:pt>
                <c:pt idx="9">
                  <c:v>0</c:v>
                </c:pt>
                <c:pt idx="10">
                  <c:v>0.05</c:v>
                </c:pt>
                <c:pt idx="11">
                  <c:v>0.1</c:v>
                </c:pt>
                <c:pt idx="12">
                  <c:v>0.15000000000000002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0.35</c:v>
                </c:pt>
                <c:pt idx="17">
                  <c:v>0.39999999999999997</c:v>
                </c:pt>
                <c:pt idx="18">
                  <c:v>0.44999999999999996</c:v>
                </c:pt>
                <c:pt idx="19">
                  <c:v>0.49999999999999994</c:v>
                </c:pt>
              </c:numCache>
            </c:numRef>
          </c:cat>
          <c:val>
            <c:numRef>
              <c:f>Assumptions!$S$30:$S$49</c:f>
              <c:numCache>
                <c:formatCode>0.0%</c:formatCode>
                <c:ptCount val="20"/>
                <c:pt idx="0">
                  <c:v>0.96569245597162068</c:v>
                </c:pt>
                <c:pt idx="1">
                  <c:v>0.94395545414380977</c:v>
                </c:pt>
                <c:pt idx="2">
                  <c:v>0.92251499178759855</c:v>
                </c:pt>
                <c:pt idx="3">
                  <c:v>0.901365010954712</c:v>
                </c:pt>
                <c:pt idx="4">
                  <c:v>0.88049958536370387</c:v>
                </c:pt>
                <c:pt idx="5">
                  <c:v>0.85991291246643331</c:v>
                </c:pt>
                <c:pt idx="6">
                  <c:v>0.83959930540654226</c:v>
                </c:pt>
                <c:pt idx="7">
                  <c:v>0.81955318483037787</c:v>
                </c:pt>
                <c:pt idx="8">
                  <c:v>0.79976907050851098</c:v>
                </c:pt>
                <c:pt idx="9">
                  <c:v>0.78024157272345263</c:v>
                </c:pt>
                <c:pt idx="10">
                  <c:v>0.76096538337625486</c:v>
                </c:pt>
                <c:pt idx="11">
                  <c:v>0.74193526676146293</c:v>
                </c:pt>
                <c:pt idx="12">
                  <c:v>0.72314604995620435</c:v>
                </c:pt>
                <c:pt idx="13">
                  <c:v>0.70459261276508278</c:v>
                </c:pt>
                <c:pt idx="14">
                  <c:v>0.68626987715772869</c:v>
                </c:pt>
                <c:pt idx="15">
                  <c:v>0.6681727961306041</c:v>
                </c:pt>
                <c:pt idx="16">
                  <c:v>0.65029634191821972</c:v>
                </c:pt>
                <c:pt idx="17">
                  <c:v>0.63263549347180237</c:v>
                </c:pt>
                <c:pt idx="18">
                  <c:v>0.61518522311488688</c:v>
                </c:pt>
                <c:pt idx="19">
                  <c:v>0.59794048227531094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AD-4759-84CE-FB435F56C5D2}"/>
            </c:ext>
          </c:extLst>
        </c:ser>
        <c:ser>
          <c:idx val="3"/>
          <c:order val="3"/>
          <c:tx>
            <c:strRef>
              <c:f>Assumptions!$U$6</c:f>
              <c:strCache>
                <c:ptCount val="1"/>
                <c:pt idx="0">
                  <c:v>Margin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Assumptions!$Q$30:$Q$49</c:f>
              <c:numCache>
                <c:formatCode>0%</c:formatCode>
                <c:ptCount val="20"/>
                <c:pt idx="0">
                  <c:v>-0.44999999999999996</c:v>
                </c:pt>
                <c:pt idx="1">
                  <c:v>-0.39999999999999997</c:v>
                </c:pt>
                <c:pt idx="2">
                  <c:v>-0.35</c:v>
                </c:pt>
                <c:pt idx="3">
                  <c:v>-0.3</c:v>
                </c:pt>
                <c:pt idx="4">
                  <c:v>-0.25</c:v>
                </c:pt>
                <c:pt idx="5">
                  <c:v>-0.2</c:v>
                </c:pt>
                <c:pt idx="6">
                  <c:v>-0.15000000000000002</c:v>
                </c:pt>
                <c:pt idx="7">
                  <c:v>-0.1</c:v>
                </c:pt>
                <c:pt idx="8">
                  <c:v>-0.05</c:v>
                </c:pt>
                <c:pt idx="9">
                  <c:v>0</c:v>
                </c:pt>
                <c:pt idx="10">
                  <c:v>0.05</c:v>
                </c:pt>
                <c:pt idx="11">
                  <c:v>0.1</c:v>
                </c:pt>
                <c:pt idx="12">
                  <c:v>0.15000000000000002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0.35</c:v>
                </c:pt>
                <c:pt idx="17">
                  <c:v>0.39999999999999997</c:v>
                </c:pt>
                <c:pt idx="18">
                  <c:v>0.44999999999999996</c:v>
                </c:pt>
                <c:pt idx="19">
                  <c:v>0.49999999999999994</c:v>
                </c:pt>
              </c:numCache>
            </c:numRef>
          </c:cat>
          <c:val>
            <c:numRef>
              <c:f>Assumptions!$U$30:$U$49</c:f>
              <c:numCache>
                <c:formatCode>0.0%</c:formatCode>
                <c:ptCount val="20"/>
                <c:pt idx="0">
                  <c:v>0.73430365006485609</c:v>
                </c:pt>
                <c:pt idx="1">
                  <c:v>0.72425819174198225</c:v>
                </c:pt>
                <c:pt idx="2">
                  <c:v>0.7142127334191084</c:v>
                </c:pt>
                <c:pt idx="3">
                  <c:v>0.70416727509623467</c:v>
                </c:pt>
                <c:pt idx="4">
                  <c:v>0.69412181677336082</c:v>
                </c:pt>
                <c:pt idx="5">
                  <c:v>0.68407635845048709</c:v>
                </c:pt>
                <c:pt idx="6">
                  <c:v>0.67403090012761324</c:v>
                </c:pt>
                <c:pt idx="7">
                  <c:v>0.6639854418047394</c:v>
                </c:pt>
                <c:pt idx="8">
                  <c:v>0.65393998348186566</c:v>
                </c:pt>
                <c:pt idx="9">
                  <c:v>0.64389452515899204</c:v>
                </c:pt>
                <c:pt idx="10">
                  <c:v>0.63384906683611797</c:v>
                </c:pt>
                <c:pt idx="11">
                  <c:v>0.62380360851324412</c:v>
                </c:pt>
                <c:pt idx="12">
                  <c:v>0.61375815019037028</c:v>
                </c:pt>
                <c:pt idx="13">
                  <c:v>0.60371269186749654</c:v>
                </c:pt>
                <c:pt idx="14">
                  <c:v>0.59366723354462303</c:v>
                </c:pt>
                <c:pt idx="15">
                  <c:v>0.58362177522174885</c:v>
                </c:pt>
                <c:pt idx="16">
                  <c:v>0.573576316898875</c:v>
                </c:pt>
                <c:pt idx="17">
                  <c:v>0.56353085857600127</c:v>
                </c:pt>
                <c:pt idx="18">
                  <c:v>0.55348540025312742</c:v>
                </c:pt>
                <c:pt idx="19">
                  <c:v>0.54343994193025391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AD-4759-84CE-FB435F56C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540464"/>
        <c:axId val="1531542384"/>
      </c:lineChart>
      <c:catAx>
        <c:axId val="153154046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2384"/>
        <c:crosses val="autoZero"/>
        <c:auto val="1"/>
        <c:lblAlgn val="ctr"/>
        <c:lblOffset val="100"/>
        <c:noMultiLvlLbl val="0"/>
      </c:catAx>
      <c:valAx>
        <c:axId val="153154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0464"/>
        <c:crosses val="autoZero"/>
        <c:crossBetween val="between"/>
      </c:valAx>
      <c:valAx>
        <c:axId val="1056149343"/>
        <c:scaling>
          <c:orientation val="minMax"/>
        </c:scaling>
        <c:delete val="0"/>
        <c:axPos val="r"/>
        <c:numFmt formatCode="_-&quot;$&quot;* #,##0_-;\-&quot;$&quot;* #,##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47423"/>
        <c:crosses val="max"/>
        <c:crossBetween val="between"/>
      </c:valAx>
      <c:catAx>
        <c:axId val="1056147423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056149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Crumb Rubber </a:t>
            </a:r>
            <a:r>
              <a:rPr lang="en-US" baseline="0"/>
              <a:t>Sensitivity (Solvent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Assumptions!$T$6</c:f>
              <c:strCache>
                <c:ptCount val="1"/>
                <c:pt idx="0">
                  <c:v>15 Year NPV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Assumptions!$Q$52:$Q$71</c:f>
              <c:numCache>
                <c:formatCode>0%</c:formatCode>
                <c:ptCount val="20"/>
                <c:pt idx="0">
                  <c:v>0.19999999999999987</c:v>
                </c:pt>
                <c:pt idx="1">
                  <c:v>0.22499999999999987</c:v>
                </c:pt>
                <c:pt idx="2">
                  <c:v>0.24999999999999986</c:v>
                </c:pt>
                <c:pt idx="3">
                  <c:v>0.27499999999999986</c:v>
                </c:pt>
                <c:pt idx="4">
                  <c:v>0.29999999999999988</c:v>
                </c:pt>
                <c:pt idx="5">
                  <c:v>0.3249999999999999</c:v>
                </c:pt>
                <c:pt idx="6">
                  <c:v>0.34999999999999992</c:v>
                </c:pt>
                <c:pt idx="7">
                  <c:v>0.37499999999999994</c:v>
                </c:pt>
                <c:pt idx="8">
                  <c:v>0.39999999999999997</c:v>
                </c:pt>
                <c:pt idx="9">
                  <c:v>0.42499999999999999</c:v>
                </c:pt>
                <c:pt idx="10">
                  <c:v>0.45</c:v>
                </c:pt>
                <c:pt idx="11">
                  <c:v>0.47500000000000003</c:v>
                </c:pt>
                <c:pt idx="12">
                  <c:v>0.5</c:v>
                </c:pt>
                <c:pt idx="13">
                  <c:v>0.52500000000000002</c:v>
                </c:pt>
                <c:pt idx="14">
                  <c:v>0.55000000000000004</c:v>
                </c:pt>
                <c:pt idx="15">
                  <c:v>0.57500000000000007</c:v>
                </c:pt>
                <c:pt idx="16">
                  <c:v>0.60000000000000009</c:v>
                </c:pt>
                <c:pt idx="17">
                  <c:v>0.62500000000000011</c:v>
                </c:pt>
                <c:pt idx="18">
                  <c:v>0.65000000000000013</c:v>
                </c:pt>
                <c:pt idx="19">
                  <c:v>0.67500000000000016</c:v>
                </c:pt>
              </c:numCache>
            </c:numRef>
          </c:cat>
          <c:val>
            <c:numRef>
              <c:f>Assumptions!$T$52:$T$71</c:f>
              <c:numCache>
                <c:formatCode>_-"$"* #,##0_-;\-"$"* #,##0_-;_-"$"* "-"??_-;_-@_-</c:formatCode>
                <c:ptCount val="20"/>
                <c:pt idx="0">
                  <c:v>6297070.5715768225</c:v>
                </c:pt>
                <c:pt idx="1">
                  <c:v>7124827.1613543071</c:v>
                </c:pt>
                <c:pt idx="2">
                  <c:v>7952583.7511317916</c:v>
                </c:pt>
                <c:pt idx="3">
                  <c:v>8780340.3409092724</c:v>
                </c:pt>
                <c:pt idx="4">
                  <c:v>9608096.9306867681</c:v>
                </c:pt>
                <c:pt idx="5">
                  <c:v>10435853.520464238</c:v>
                </c:pt>
                <c:pt idx="6">
                  <c:v>11263610.110241735</c:v>
                </c:pt>
                <c:pt idx="7">
                  <c:v>12091366.700019214</c:v>
                </c:pt>
                <c:pt idx="8">
                  <c:v>12919123.289796695</c:v>
                </c:pt>
                <c:pt idx="9">
                  <c:v>13746879.879574187</c:v>
                </c:pt>
                <c:pt idx="10">
                  <c:v>14574636.469351664</c:v>
                </c:pt>
                <c:pt idx="11">
                  <c:v>15402393.059129158</c:v>
                </c:pt>
                <c:pt idx="12">
                  <c:v>16230149.648906639</c:v>
                </c:pt>
                <c:pt idx="13">
                  <c:v>17057906.238684122</c:v>
                </c:pt>
                <c:pt idx="14">
                  <c:v>17885662.828461617</c:v>
                </c:pt>
                <c:pt idx="15">
                  <c:v>18713419.418239091</c:v>
                </c:pt>
                <c:pt idx="16">
                  <c:v>19541176.008016583</c:v>
                </c:pt>
                <c:pt idx="17">
                  <c:v>20368932.597794071</c:v>
                </c:pt>
                <c:pt idx="18">
                  <c:v>21196689.18757154</c:v>
                </c:pt>
                <c:pt idx="19">
                  <c:v>22024445.777349032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6-4035-BC64-EF37DA32E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147423"/>
        <c:axId val="1056149343"/>
      </c:barChart>
      <c:lineChart>
        <c:grouping val="standard"/>
        <c:varyColors val="0"/>
        <c:ser>
          <c:idx val="0"/>
          <c:order val="0"/>
          <c:tx>
            <c:strRef>
              <c:f>Assumptions!$R$6</c:f>
              <c:strCache>
                <c:ptCount val="1"/>
                <c:pt idx="0">
                  <c:v>5 Year IRR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Assumptions!$Q$52:$Q$71</c:f>
              <c:numCache>
                <c:formatCode>0%</c:formatCode>
                <c:ptCount val="20"/>
                <c:pt idx="0">
                  <c:v>0.19999999999999987</c:v>
                </c:pt>
                <c:pt idx="1">
                  <c:v>0.22499999999999987</c:v>
                </c:pt>
                <c:pt idx="2">
                  <c:v>0.24999999999999986</c:v>
                </c:pt>
                <c:pt idx="3">
                  <c:v>0.27499999999999986</c:v>
                </c:pt>
                <c:pt idx="4">
                  <c:v>0.29999999999999988</c:v>
                </c:pt>
                <c:pt idx="5">
                  <c:v>0.3249999999999999</c:v>
                </c:pt>
                <c:pt idx="6">
                  <c:v>0.34999999999999992</c:v>
                </c:pt>
                <c:pt idx="7">
                  <c:v>0.37499999999999994</c:v>
                </c:pt>
                <c:pt idx="8">
                  <c:v>0.39999999999999997</c:v>
                </c:pt>
                <c:pt idx="9">
                  <c:v>0.42499999999999999</c:v>
                </c:pt>
                <c:pt idx="10">
                  <c:v>0.45</c:v>
                </c:pt>
                <c:pt idx="11">
                  <c:v>0.47500000000000003</c:v>
                </c:pt>
                <c:pt idx="12">
                  <c:v>0.5</c:v>
                </c:pt>
                <c:pt idx="13">
                  <c:v>0.52500000000000002</c:v>
                </c:pt>
                <c:pt idx="14">
                  <c:v>0.55000000000000004</c:v>
                </c:pt>
                <c:pt idx="15">
                  <c:v>0.57500000000000007</c:v>
                </c:pt>
                <c:pt idx="16">
                  <c:v>0.60000000000000009</c:v>
                </c:pt>
                <c:pt idx="17">
                  <c:v>0.62500000000000011</c:v>
                </c:pt>
                <c:pt idx="18">
                  <c:v>0.65000000000000013</c:v>
                </c:pt>
                <c:pt idx="19">
                  <c:v>0.67500000000000016</c:v>
                </c:pt>
              </c:numCache>
            </c:numRef>
          </c:cat>
          <c:val>
            <c:numRef>
              <c:f>Assumptions!$R$52:$R$71</c:f>
              <c:numCache>
                <c:formatCode>0.0%</c:formatCode>
                <c:ptCount val="20"/>
                <c:pt idx="0">
                  <c:v>0.35511882623074564</c:v>
                </c:pt>
                <c:pt idx="1">
                  <c:v>0.38690939711385641</c:v>
                </c:pt>
                <c:pt idx="2">
                  <c:v>0.41876164329661236</c:v>
                </c:pt>
                <c:pt idx="3">
                  <c:v>0.45070724117611993</c:v>
                </c:pt>
                <c:pt idx="4">
                  <c:v>0.48277592837948435</c:v>
                </c:pt>
                <c:pt idx="5">
                  <c:v>0.51499581758775981</c:v>
                </c:pt>
                <c:pt idx="6">
                  <c:v>0.54739366162537095</c:v>
                </c:pt>
                <c:pt idx="7">
                  <c:v>0.57999507932379601</c:v>
                </c:pt>
                <c:pt idx="8">
                  <c:v>0.61282474960479605</c:v>
                </c:pt>
                <c:pt idx="9">
                  <c:v>0.64590657966659015</c:v>
                </c:pt>
                <c:pt idx="10">
                  <c:v>0.67926385196285688</c:v>
                </c:pt>
                <c:pt idx="11">
                  <c:v>0.71291935374437965</c:v>
                </c:pt>
                <c:pt idx="12">
                  <c:v>0.74689549221801421</c:v>
                </c:pt>
                <c:pt idx="13">
                  <c:v>0.78121439781773372</c:v>
                </c:pt>
                <c:pt idx="14">
                  <c:v>0.81589801764099246</c:v>
                </c:pt>
                <c:pt idx="15">
                  <c:v>0.85096820075344892</c:v>
                </c:pt>
                <c:pt idx="16">
                  <c:v>0.88644677678564476</c:v>
                </c:pt>
                <c:pt idx="17">
                  <c:v>0.92235562902137636</c:v>
                </c:pt>
                <c:pt idx="18">
                  <c:v>0.9587167629970943</c:v>
                </c:pt>
                <c:pt idx="19">
                  <c:v>0.99555237148624709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6-4035-BC64-EF37DA32EDD9}"/>
            </c:ext>
          </c:extLst>
        </c:ser>
        <c:ser>
          <c:idx val="1"/>
          <c:order val="1"/>
          <c:tx>
            <c:strRef>
              <c:f>Assumptions!$S$6</c:f>
              <c:strCache>
                <c:ptCount val="1"/>
                <c:pt idx="0">
                  <c:v>15 Year IRR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Assumptions!$Q$52:$Q$71</c:f>
              <c:numCache>
                <c:formatCode>0%</c:formatCode>
                <c:ptCount val="20"/>
                <c:pt idx="0">
                  <c:v>0.19999999999999987</c:v>
                </c:pt>
                <c:pt idx="1">
                  <c:v>0.22499999999999987</c:v>
                </c:pt>
                <c:pt idx="2">
                  <c:v>0.24999999999999986</c:v>
                </c:pt>
                <c:pt idx="3">
                  <c:v>0.27499999999999986</c:v>
                </c:pt>
                <c:pt idx="4">
                  <c:v>0.29999999999999988</c:v>
                </c:pt>
                <c:pt idx="5">
                  <c:v>0.3249999999999999</c:v>
                </c:pt>
                <c:pt idx="6">
                  <c:v>0.34999999999999992</c:v>
                </c:pt>
                <c:pt idx="7">
                  <c:v>0.37499999999999994</c:v>
                </c:pt>
                <c:pt idx="8">
                  <c:v>0.39999999999999997</c:v>
                </c:pt>
                <c:pt idx="9">
                  <c:v>0.42499999999999999</c:v>
                </c:pt>
                <c:pt idx="10">
                  <c:v>0.45</c:v>
                </c:pt>
                <c:pt idx="11">
                  <c:v>0.47500000000000003</c:v>
                </c:pt>
                <c:pt idx="12">
                  <c:v>0.5</c:v>
                </c:pt>
                <c:pt idx="13">
                  <c:v>0.52500000000000002</c:v>
                </c:pt>
                <c:pt idx="14">
                  <c:v>0.55000000000000004</c:v>
                </c:pt>
                <c:pt idx="15">
                  <c:v>0.57500000000000007</c:v>
                </c:pt>
                <c:pt idx="16">
                  <c:v>0.60000000000000009</c:v>
                </c:pt>
                <c:pt idx="17">
                  <c:v>0.62500000000000011</c:v>
                </c:pt>
                <c:pt idx="18">
                  <c:v>0.65000000000000013</c:v>
                </c:pt>
                <c:pt idx="19">
                  <c:v>0.67500000000000016</c:v>
                </c:pt>
              </c:numCache>
            </c:numRef>
          </c:cat>
          <c:val>
            <c:numRef>
              <c:f>Assumptions!$S$52:$S$71</c:f>
              <c:numCache>
                <c:formatCode>0.0%</c:formatCode>
                <c:ptCount val="20"/>
                <c:pt idx="0">
                  <c:v>0.50696055401120255</c:v>
                </c:pt>
                <c:pt idx="1">
                  <c:v>0.53262609638469516</c:v>
                </c:pt>
                <c:pt idx="2">
                  <c:v>0.55861714669505425</c:v>
                </c:pt>
                <c:pt idx="3">
                  <c:v>0.58495152790382754</c:v>
                </c:pt>
                <c:pt idx="4">
                  <c:v>0.61164605671108241</c:v>
                </c:pt>
                <c:pt idx="5">
                  <c:v>0.63871676944382738</c:v>
                </c:pt>
                <c:pt idx="6">
                  <c:v>0.66617911299835475</c:v>
                </c:pt>
                <c:pt idx="7">
                  <c:v>0.69404810722979704</c:v>
                </c:pt>
                <c:pt idx="8">
                  <c:v>0.7223384838913216</c:v>
                </c:pt>
                <c:pt idx="9">
                  <c:v>0.75106480624638938</c:v>
                </c:pt>
                <c:pt idx="10">
                  <c:v>0.78024157272345263</c:v>
                </c:pt>
                <c:pt idx="11">
                  <c:v>0.80988330739294812</c:v>
                </c:pt>
                <c:pt idx="12">
                  <c:v>0.84000463957876192</c:v>
                </c:pt>
                <c:pt idx="13">
                  <c:v>0.87062037454111363</c:v>
                </c:pt>
                <c:pt idx="14">
                  <c:v>0.90174555686300262</c:v>
                </c:pt>
                <c:pt idx="15">
                  <c:v>0.93339552792288538</c:v>
                </c:pt>
                <c:pt idx="16">
                  <c:v>0.96558597863048901</c:v>
                </c:pt>
                <c:pt idx="17">
                  <c:v>0.99833299843215784</c:v>
                </c:pt>
                <c:pt idx="18">
                  <c:v>1.0316531214504976</c:v>
                </c:pt>
                <c:pt idx="19">
                  <c:v>1.0655633705051613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6-4035-BC64-EF37DA32EDD9}"/>
            </c:ext>
          </c:extLst>
        </c:ser>
        <c:ser>
          <c:idx val="3"/>
          <c:order val="3"/>
          <c:tx>
            <c:strRef>
              <c:f>Assumptions!$U$6</c:f>
              <c:strCache>
                <c:ptCount val="1"/>
                <c:pt idx="0">
                  <c:v>Margin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Assumptions!$Q$52:$Q$71</c:f>
              <c:numCache>
                <c:formatCode>0%</c:formatCode>
                <c:ptCount val="20"/>
                <c:pt idx="0">
                  <c:v>0.19999999999999987</c:v>
                </c:pt>
                <c:pt idx="1">
                  <c:v>0.22499999999999987</c:v>
                </c:pt>
                <c:pt idx="2">
                  <c:v>0.24999999999999986</c:v>
                </c:pt>
                <c:pt idx="3">
                  <c:v>0.27499999999999986</c:v>
                </c:pt>
                <c:pt idx="4">
                  <c:v>0.29999999999999988</c:v>
                </c:pt>
                <c:pt idx="5">
                  <c:v>0.3249999999999999</c:v>
                </c:pt>
                <c:pt idx="6">
                  <c:v>0.34999999999999992</c:v>
                </c:pt>
                <c:pt idx="7">
                  <c:v>0.37499999999999994</c:v>
                </c:pt>
                <c:pt idx="8">
                  <c:v>0.39999999999999997</c:v>
                </c:pt>
                <c:pt idx="9">
                  <c:v>0.42499999999999999</c:v>
                </c:pt>
                <c:pt idx="10">
                  <c:v>0.45</c:v>
                </c:pt>
                <c:pt idx="11">
                  <c:v>0.47500000000000003</c:v>
                </c:pt>
                <c:pt idx="12">
                  <c:v>0.5</c:v>
                </c:pt>
                <c:pt idx="13">
                  <c:v>0.52500000000000002</c:v>
                </c:pt>
                <c:pt idx="14">
                  <c:v>0.55000000000000004</c:v>
                </c:pt>
                <c:pt idx="15">
                  <c:v>0.57500000000000007</c:v>
                </c:pt>
                <c:pt idx="16">
                  <c:v>0.60000000000000009</c:v>
                </c:pt>
                <c:pt idx="17">
                  <c:v>0.62500000000000011</c:v>
                </c:pt>
                <c:pt idx="18">
                  <c:v>0.65000000000000013</c:v>
                </c:pt>
                <c:pt idx="19">
                  <c:v>0.67500000000000016</c:v>
                </c:pt>
              </c:numCache>
            </c:numRef>
          </c:cat>
          <c:val>
            <c:numRef>
              <c:f>Assumptions!$U$52:$U$71</c:f>
              <c:numCache>
                <c:formatCode>0.0%</c:formatCode>
                <c:ptCount val="20"/>
                <c:pt idx="0">
                  <c:v>0.55840719734016675</c:v>
                </c:pt>
                <c:pt idx="1">
                  <c:v>0.56875963202877311</c:v>
                </c:pt>
                <c:pt idx="2">
                  <c:v>0.57863779286681027</c:v>
                </c:pt>
                <c:pt idx="3">
                  <c:v>0.5880735417218117</c:v>
                </c:pt>
                <c:pt idx="4">
                  <c:v>0.59709594898492724</c:v>
                </c:pt>
                <c:pt idx="5">
                  <c:v>0.60573159272645982</c:v>
                </c:pt>
                <c:pt idx="6">
                  <c:v>0.61400482018698366</c:v>
                </c:pt>
                <c:pt idx="7">
                  <c:v>0.62193797702271947</c:v>
                </c:pt>
                <c:pt idx="8">
                  <c:v>0.62955160885085726</c:v>
                </c:pt>
                <c:pt idx="9">
                  <c:v>0.63686463892261158</c:v>
                </c:pt>
                <c:pt idx="10">
                  <c:v>0.64389452515899204</c:v>
                </c:pt>
                <c:pt idx="11">
                  <c:v>0.65065739929277722</c:v>
                </c:pt>
                <c:pt idx="12">
                  <c:v>0.65716819045113284</c:v>
                </c:pt>
                <c:pt idx="13">
                  <c:v>0.66344073517161983</c:v>
                </c:pt>
                <c:pt idx="14">
                  <c:v>0.66948787555790545</c:v>
                </c:pt>
                <c:pt idx="15">
                  <c:v>0.67532154704054514</c:v>
                </c:pt>
                <c:pt idx="16">
                  <c:v>0.68095285700489316</c:v>
                </c:pt>
                <c:pt idx="17">
                  <c:v>0.68639215537603826</c:v>
                </c:pt>
                <c:pt idx="18">
                  <c:v>0.69164909810455188</c:v>
                </c:pt>
                <c:pt idx="19">
                  <c:v>0.6967327043723025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76-4035-BC64-EF37DA32E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540464"/>
        <c:axId val="1531542384"/>
      </c:lineChart>
      <c:catAx>
        <c:axId val="153154046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2384"/>
        <c:crosses val="autoZero"/>
        <c:auto val="1"/>
        <c:lblAlgn val="ctr"/>
        <c:lblOffset val="100"/>
        <c:noMultiLvlLbl val="0"/>
      </c:catAx>
      <c:valAx>
        <c:axId val="153154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0464"/>
        <c:crosses val="autoZero"/>
        <c:crossBetween val="between"/>
      </c:valAx>
      <c:valAx>
        <c:axId val="1056149343"/>
        <c:scaling>
          <c:orientation val="minMax"/>
        </c:scaling>
        <c:delete val="0"/>
        <c:axPos val="r"/>
        <c:numFmt formatCode="_-&quot;$&quot;* #,##0_-;\-&quot;$&quot;* #,##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47423"/>
        <c:crosses val="max"/>
        <c:crossBetween val="between"/>
      </c:valAx>
      <c:catAx>
        <c:axId val="1056147423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056149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Carbon Black Sensitivity</a:t>
            </a:r>
            <a:r>
              <a:rPr lang="en-US" baseline="0"/>
              <a:t> ($/lb)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Assumptions!$AI$6</c:f>
              <c:strCache>
                <c:ptCount val="1"/>
                <c:pt idx="0">
                  <c:v>15 Year NPV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Assumptions!$AF$30:$AF$49</c:f>
              <c:numCache>
                <c:formatCode>_-"$"* #,##0.00_-;\-"$"* #,##0.00_-;_-"$"* "-"??_-;_-@_-</c:formatCode>
                <c:ptCount val="20"/>
                <c:pt idx="0">
                  <c:v>5.0000000000000072E-2</c:v>
                </c:pt>
                <c:pt idx="1">
                  <c:v>0.10000000000000007</c:v>
                </c:pt>
                <c:pt idx="2">
                  <c:v>0.15000000000000008</c:v>
                </c:pt>
                <c:pt idx="3">
                  <c:v>0.20000000000000007</c:v>
                </c:pt>
                <c:pt idx="4">
                  <c:v>0.25000000000000006</c:v>
                </c:pt>
                <c:pt idx="5">
                  <c:v>0.30000000000000004</c:v>
                </c:pt>
                <c:pt idx="6">
                  <c:v>0.35000000000000003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 formatCode="_(&quot;$&quot;* #,##0.00_);_(&quot;$&quot;* \(#,##0.00\);_(&quot;$&quot;* &quot;-&quot;??_);_(@_)">
                  <c:v>0.55000000000000004</c:v>
                </c:pt>
                <c:pt idx="11" formatCode="_(&quot;$&quot;* #,##0.00_);_(&quot;$&quot;* \(#,##0.00\);_(&quot;$&quot;* &quot;-&quot;??_);_(@_)">
                  <c:v>0.60000000000000009</c:v>
                </c:pt>
                <c:pt idx="12" formatCode="_(&quot;$&quot;* #,##0.00_);_(&quot;$&quot;* \(#,##0.00\);_(&quot;$&quot;* &quot;-&quot;??_);_(@_)">
                  <c:v>0.65000000000000013</c:v>
                </c:pt>
                <c:pt idx="13" formatCode="_(&quot;$&quot;* #,##0.00_);_(&quot;$&quot;* \(#,##0.00\);_(&quot;$&quot;* &quot;-&quot;??_);_(@_)">
                  <c:v>0.70000000000000018</c:v>
                </c:pt>
                <c:pt idx="14" formatCode="_(&quot;$&quot;* #,##0.00_);_(&quot;$&quot;* \(#,##0.00\);_(&quot;$&quot;* &quot;-&quot;??_);_(@_)">
                  <c:v>0.75000000000000022</c:v>
                </c:pt>
                <c:pt idx="15" formatCode="_(&quot;$&quot;* #,##0.00_);_(&quot;$&quot;* \(#,##0.00\);_(&quot;$&quot;* &quot;-&quot;??_);_(@_)">
                  <c:v>0.80000000000000027</c:v>
                </c:pt>
                <c:pt idx="16" formatCode="_(&quot;$&quot;* #,##0.00_);_(&quot;$&quot;* \(#,##0.00\);_(&quot;$&quot;* &quot;-&quot;??_);_(@_)">
                  <c:v>0.85000000000000031</c:v>
                </c:pt>
                <c:pt idx="17" formatCode="_(&quot;$&quot;* #,##0.00_);_(&quot;$&quot;* \(#,##0.00\);_(&quot;$&quot;* &quot;-&quot;??_);_(@_)">
                  <c:v>0.90000000000000036</c:v>
                </c:pt>
                <c:pt idx="18" formatCode="_(&quot;$&quot;* #,##0.00_);_(&quot;$&quot;* \(#,##0.00\);_(&quot;$&quot;* &quot;-&quot;??_);_(@_)">
                  <c:v>0.9500000000000004</c:v>
                </c:pt>
                <c:pt idx="19" formatCode="_(&quot;$&quot;* #,##0.00_);_(&quot;$&quot;* \(#,##0.00\);_(&quot;$&quot;* &quot;-&quot;??_);_(@_)">
                  <c:v>1.0000000000000004</c:v>
                </c:pt>
              </c:numCache>
            </c:numRef>
          </c:cat>
          <c:val>
            <c:numRef>
              <c:f>Assumptions!$AI$30:$AI$49</c:f>
              <c:numCache>
                <c:formatCode>_-"$"* #,##0_-;\-"$"* #,##0_-;_-"$"* "-"??_-;_-@_-</c:formatCode>
                <c:ptCount val="20"/>
                <c:pt idx="0">
                  <c:v>2742586.391944095</c:v>
                </c:pt>
                <c:pt idx="1">
                  <c:v>4057258.6227671672</c:v>
                </c:pt>
                <c:pt idx="2">
                  <c:v>5371930.8535902286</c:v>
                </c:pt>
                <c:pt idx="3">
                  <c:v>6686603.084413291</c:v>
                </c:pt>
                <c:pt idx="4">
                  <c:v>8001275.3152363487</c:v>
                </c:pt>
                <c:pt idx="5">
                  <c:v>9315947.5460594222</c:v>
                </c:pt>
                <c:pt idx="6">
                  <c:v>10630619.776882485</c:v>
                </c:pt>
                <c:pt idx="7">
                  <c:v>11945292.007705539</c:v>
                </c:pt>
                <c:pt idx="8">
                  <c:v>13259964.238528607</c:v>
                </c:pt>
                <c:pt idx="9">
                  <c:v>14574636.469351664</c:v>
                </c:pt>
                <c:pt idx="10">
                  <c:v>15889308.70017474</c:v>
                </c:pt>
                <c:pt idx="11">
                  <c:v>17203980.9309978</c:v>
                </c:pt>
                <c:pt idx="12">
                  <c:v>18518653.161820859</c:v>
                </c:pt>
                <c:pt idx="13">
                  <c:v>19833325.39264394</c:v>
                </c:pt>
                <c:pt idx="14">
                  <c:v>21147997.623466998</c:v>
                </c:pt>
                <c:pt idx="15">
                  <c:v>22462669.854290064</c:v>
                </c:pt>
                <c:pt idx="16">
                  <c:v>23777342.085113145</c:v>
                </c:pt>
                <c:pt idx="17">
                  <c:v>25092014.3159362</c:v>
                </c:pt>
                <c:pt idx="18">
                  <c:v>26406686.54675927</c:v>
                </c:pt>
                <c:pt idx="19">
                  <c:v>27721358.777582314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4-4FFD-851F-5387135E5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147423"/>
        <c:axId val="1056149343"/>
      </c:barChart>
      <c:lineChart>
        <c:grouping val="standard"/>
        <c:varyColors val="0"/>
        <c:ser>
          <c:idx val="0"/>
          <c:order val="0"/>
          <c:tx>
            <c:strRef>
              <c:f>Assumptions!$AG$6</c:f>
              <c:strCache>
                <c:ptCount val="1"/>
                <c:pt idx="0">
                  <c:v>5 Year IRR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Assumptions!$AF$30:$AF$49</c:f>
              <c:numCache>
                <c:formatCode>_-"$"* #,##0.00_-;\-"$"* #,##0.00_-;_-"$"* "-"??_-;_-@_-</c:formatCode>
                <c:ptCount val="20"/>
                <c:pt idx="0">
                  <c:v>5.0000000000000072E-2</c:v>
                </c:pt>
                <c:pt idx="1">
                  <c:v>0.10000000000000007</c:v>
                </c:pt>
                <c:pt idx="2">
                  <c:v>0.15000000000000008</c:v>
                </c:pt>
                <c:pt idx="3">
                  <c:v>0.20000000000000007</c:v>
                </c:pt>
                <c:pt idx="4">
                  <c:v>0.25000000000000006</c:v>
                </c:pt>
                <c:pt idx="5">
                  <c:v>0.30000000000000004</c:v>
                </c:pt>
                <c:pt idx="6">
                  <c:v>0.35000000000000003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 formatCode="_(&quot;$&quot;* #,##0.00_);_(&quot;$&quot;* \(#,##0.00\);_(&quot;$&quot;* &quot;-&quot;??_);_(@_)">
                  <c:v>0.55000000000000004</c:v>
                </c:pt>
                <c:pt idx="11" formatCode="_(&quot;$&quot;* #,##0.00_);_(&quot;$&quot;* \(#,##0.00\);_(&quot;$&quot;* &quot;-&quot;??_);_(@_)">
                  <c:v>0.60000000000000009</c:v>
                </c:pt>
                <c:pt idx="12" formatCode="_(&quot;$&quot;* #,##0.00_);_(&quot;$&quot;* \(#,##0.00\);_(&quot;$&quot;* &quot;-&quot;??_);_(@_)">
                  <c:v>0.65000000000000013</c:v>
                </c:pt>
                <c:pt idx="13" formatCode="_(&quot;$&quot;* #,##0.00_);_(&quot;$&quot;* \(#,##0.00\);_(&quot;$&quot;* &quot;-&quot;??_);_(@_)">
                  <c:v>0.70000000000000018</c:v>
                </c:pt>
                <c:pt idx="14" formatCode="_(&quot;$&quot;* #,##0.00_);_(&quot;$&quot;* \(#,##0.00\);_(&quot;$&quot;* &quot;-&quot;??_);_(@_)">
                  <c:v>0.75000000000000022</c:v>
                </c:pt>
                <c:pt idx="15" formatCode="_(&quot;$&quot;* #,##0.00_);_(&quot;$&quot;* \(#,##0.00\);_(&quot;$&quot;* &quot;-&quot;??_);_(@_)">
                  <c:v>0.80000000000000027</c:v>
                </c:pt>
                <c:pt idx="16" formatCode="_(&quot;$&quot;* #,##0.00_);_(&quot;$&quot;* \(#,##0.00\);_(&quot;$&quot;* &quot;-&quot;??_);_(@_)">
                  <c:v>0.85000000000000031</c:v>
                </c:pt>
                <c:pt idx="17" formatCode="_(&quot;$&quot;* #,##0.00_);_(&quot;$&quot;* \(#,##0.00\);_(&quot;$&quot;* &quot;-&quot;??_);_(@_)">
                  <c:v>0.90000000000000036</c:v>
                </c:pt>
                <c:pt idx="18" formatCode="_(&quot;$&quot;* #,##0.00_);_(&quot;$&quot;* \(#,##0.00\);_(&quot;$&quot;* &quot;-&quot;??_);_(@_)">
                  <c:v>0.9500000000000004</c:v>
                </c:pt>
                <c:pt idx="19" formatCode="_(&quot;$&quot;* #,##0.00_);_(&quot;$&quot;* \(#,##0.00\);_(&quot;$&quot;* &quot;-&quot;??_);_(@_)">
                  <c:v>1.0000000000000004</c:v>
                </c:pt>
              </c:numCache>
            </c:numRef>
          </c:cat>
          <c:val>
            <c:numRef>
              <c:f>Assumptions!$AG$30:$AG$49</c:f>
              <c:numCache>
                <c:formatCode>0.0%</c:formatCode>
                <c:ptCount val="20"/>
                <c:pt idx="0">
                  <c:v>0.21843731894845964</c:v>
                </c:pt>
                <c:pt idx="1">
                  <c:v>0.26912965244537612</c:v>
                </c:pt>
                <c:pt idx="2">
                  <c:v>0.31961927660017153</c:v>
                </c:pt>
                <c:pt idx="3">
                  <c:v>0.3700735117462326</c:v>
                </c:pt>
                <c:pt idx="4">
                  <c:v>0.42063791291941754</c:v>
                </c:pt>
                <c:pt idx="5">
                  <c:v>0.47144171931126921</c:v>
                </c:pt>
                <c:pt idx="6">
                  <c:v>0.52260186388030028</c:v>
                </c:pt>
                <c:pt idx="7">
                  <c:v>0.57422599446892697</c:v>
                </c:pt>
                <c:pt idx="8">
                  <c:v>0.62641480169396901</c:v>
                </c:pt>
                <c:pt idx="9">
                  <c:v>0.67926385196285688</c:v>
                </c:pt>
                <c:pt idx="10">
                  <c:v>0.73286506208606172</c:v>
                </c:pt>
                <c:pt idx="11">
                  <c:v>0.78730791146451184</c:v>
                </c:pt>
                <c:pt idx="12">
                  <c:v>0.84268046075958547</c:v>
                </c:pt>
                <c:pt idx="13">
                  <c:v>0.8990702275117517</c:v>
                </c:pt>
                <c:pt idx="14">
                  <c:v>0.95656495640737638</c:v>
                </c:pt>
                <c:pt idx="15">
                  <c:v>1.0152533129362773</c:v>
                </c:pt>
                <c:pt idx="16">
                  <c:v>1.0752255228342023</c:v>
                </c:pt>
                <c:pt idx="17">
                  <c:v>1.1365739751758541</c:v>
                </c:pt>
                <c:pt idx="18">
                  <c:v>1.1993938037501199</c:v>
                </c:pt>
                <c:pt idx="19">
                  <c:v>1.2637834590544901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4-4FFD-851F-5387135E542F}"/>
            </c:ext>
          </c:extLst>
        </c:ser>
        <c:ser>
          <c:idx val="1"/>
          <c:order val="1"/>
          <c:tx>
            <c:strRef>
              <c:f>Assumptions!$AH$6</c:f>
              <c:strCache>
                <c:ptCount val="1"/>
                <c:pt idx="0">
                  <c:v>15 Year IRR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Assumptions!$AF$30:$AF$49</c:f>
              <c:numCache>
                <c:formatCode>_-"$"* #,##0.00_-;\-"$"* #,##0.00_-;_-"$"* "-"??_-;_-@_-</c:formatCode>
                <c:ptCount val="20"/>
                <c:pt idx="0">
                  <c:v>5.0000000000000072E-2</c:v>
                </c:pt>
                <c:pt idx="1">
                  <c:v>0.10000000000000007</c:v>
                </c:pt>
                <c:pt idx="2">
                  <c:v>0.15000000000000008</c:v>
                </c:pt>
                <c:pt idx="3">
                  <c:v>0.20000000000000007</c:v>
                </c:pt>
                <c:pt idx="4">
                  <c:v>0.25000000000000006</c:v>
                </c:pt>
                <c:pt idx="5">
                  <c:v>0.30000000000000004</c:v>
                </c:pt>
                <c:pt idx="6">
                  <c:v>0.35000000000000003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 formatCode="_(&quot;$&quot;* #,##0.00_);_(&quot;$&quot;* \(#,##0.00\);_(&quot;$&quot;* &quot;-&quot;??_);_(@_)">
                  <c:v>0.55000000000000004</c:v>
                </c:pt>
                <c:pt idx="11" formatCode="_(&quot;$&quot;* #,##0.00_);_(&quot;$&quot;* \(#,##0.00\);_(&quot;$&quot;* &quot;-&quot;??_);_(@_)">
                  <c:v>0.60000000000000009</c:v>
                </c:pt>
                <c:pt idx="12" formatCode="_(&quot;$&quot;* #,##0.00_);_(&quot;$&quot;* \(#,##0.00\);_(&quot;$&quot;* &quot;-&quot;??_);_(@_)">
                  <c:v>0.65000000000000013</c:v>
                </c:pt>
                <c:pt idx="13" formatCode="_(&quot;$&quot;* #,##0.00_);_(&quot;$&quot;* \(#,##0.00\);_(&quot;$&quot;* &quot;-&quot;??_);_(@_)">
                  <c:v>0.70000000000000018</c:v>
                </c:pt>
                <c:pt idx="14" formatCode="_(&quot;$&quot;* #,##0.00_);_(&quot;$&quot;* \(#,##0.00\);_(&quot;$&quot;* &quot;-&quot;??_);_(@_)">
                  <c:v>0.75000000000000022</c:v>
                </c:pt>
                <c:pt idx="15" formatCode="_(&quot;$&quot;* #,##0.00_);_(&quot;$&quot;* \(#,##0.00\);_(&quot;$&quot;* &quot;-&quot;??_);_(@_)">
                  <c:v>0.80000000000000027</c:v>
                </c:pt>
                <c:pt idx="16" formatCode="_(&quot;$&quot;* #,##0.00_);_(&quot;$&quot;* \(#,##0.00\);_(&quot;$&quot;* &quot;-&quot;??_);_(@_)">
                  <c:v>0.85000000000000031</c:v>
                </c:pt>
                <c:pt idx="17" formatCode="_(&quot;$&quot;* #,##0.00_);_(&quot;$&quot;* \(#,##0.00\);_(&quot;$&quot;* &quot;-&quot;??_);_(@_)">
                  <c:v>0.90000000000000036</c:v>
                </c:pt>
                <c:pt idx="18" formatCode="_(&quot;$&quot;* #,##0.00_);_(&quot;$&quot;* \(#,##0.00\);_(&quot;$&quot;* &quot;-&quot;??_);_(@_)">
                  <c:v>0.9500000000000004</c:v>
                </c:pt>
                <c:pt idx="19" formatCode="_(&quot;$&quot;* #,##0.00_);_(&quot;$&quot;* \(#,##0.00\);_(&quot;$&quot;* &quot;-&quot;??_);_(@_)">
                  <c:v>1.0000000000000004</c:v>
                </c:pt>
              </c:numCache>
            </c:numRef>
          </c:cat>
          <c:val>
            <c:numRef>
              <c:f>Assumptions!$AH$30:$AH$49</c:f>
              <c:numCache>
                <c:formatCode>0.0%</c:formatCode>
                <c:ptCount val="20"/>
                <c:pt idx="0">
                  <c:v>0.39995916181613467</c:v>
                </c:pt>
                <c:pt idx="1">
                  <c:v>0.43898891488033809</c:v>
                </c:pt>
                <c:pt idx="2">
                  <c:v>0.47863719685869421</c:v>
                </c:pt>
                <c:pt idx="3">
                  <c:v>0.5189990881406894</c:v>
                </c:pt>
                <c:pt idx="4">
                  <c:v>0.56015655538139564</c:v>
                </c:pt>
                <c:pt idx="5">
                  <c:v>0.60218231459180371</c:v>
                </c:pt>
                <c:pt idx="6">
                  <c:v>0.6451427018199607</c:v>
                </c:pt>
                <c:pt idx="7">
                  <c:v>0.68909984691417048</c:v>
                </c:pt>
                <c:pt idx="8">
                  <c:v>0.73411334666297767</c:v>
                </c:pt>
                <c:pt idx="9">
                  <c:v>0.78024157272345263</c:v>
                </c:pt>
                <c:pt idx="10">
                  <c:v>0.82754271085253683</c:v>
                </c:pt>
                <c:pt idx="11">
                  <c:v>0.87607560210795588</c:v>
                </c:pt>
                <c:pt idx="12">
                  <c:v>0.92590043887152107</c:v>
                </c:pt>
                <c:pt idx="13">
                  <c:v>0.97707935588733341</c:v>
                </c:pt>
                <c:pt idx="14">
                  <c:v>1.0296769472950444</c:v>
                </c:pt>
                <c:pt idx="15">
                  <c:v>1.0837607338304251</c:v>
                </c:pt>
                <c:pt idx="16">
                  <c:v>1.1394015992962325</c:v>
                </c:pt>
                <c:pt idx="17">
                  <c:v>1.1966742116323559</c:v>
                </c:pt>
                <c:pt idx="18">
                  <c:v>1.2556574411278154</c:v>
                </c:pt>
                <c:pt idx="19">
                  <c:v>1.316434786297493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4-4FFD-851F-5387135E542F}"/>
            </c:ext>
          </c:extLst>
        </c:ser>
        <c:ser>
          <c:idx val="3"/>
          <c:order val="3"/>
          <c:tx>
            <c:strRef>
              <c:f>Assumptions!$AJ$6</c:f>
              <c:strCache>
                <c:ptCount val="1"/>
                <c:pt idx="0">
                  <c:v>Margin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Assumptions!$AF$30:$AF$49</c:f>
              <c:numCache>
                <c:formatCode>_-"$"* #,##0.00_-;\-"$"* #,##0.00_-;_-"$"* "-"??_-;_-@_-</c:formatCode>
                <c:ptCount val="20"/>
                <c:pt idx="0">
                  <c:v>5.0000000000000072E-2</c:v>
                </c:pt>
                <c:pt idx="1">
                  <c:v>0.10000000000000007</c:v>
                </c:pt>
                <c:pt idx="2">
                  <c:v>0.15000000000000008</c:v>
                </c:pt>
                <c:pt idx="3">
                  <c:v>0.20000000000000007</c:v>
                </c:pt>
                <c:pt idx="4">
                  <c:v>0.25000000000000006</c:v>
                </c:pt>
                <c:pt idx="5">
                  <c:v>0.30000000000000004</c:v>
                </c:pt>
                <c:pt idx="6">
                  <c:v>0.35000000000000003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 formatCode="_(&quot;$&quot;* #,##0.00_);_(&quot;$&quot;* \(#,##0.00\);_(&quot;$&quot;* &quot;-&quot;??_);_(@_)">
                  <c:v>0.55000000000000004</c:v>
                </c:pt>
                <c:pt idx="11" formatCode="_(&quot;$&quot;* #,##0.00_);_(&quot;$&quot;* \(#,##0.00\);_(&quot;$&quot;* &quot;-&quot;??_);_(@_)">
                  <c:v>0.60000000000000009</c:v>
                </c:pt>
                <c:pt idx="12" formatCode="_(&quot;$&quot;* #,##0.00_);_(&quot;$&quot;* \(#,##0.00\);_(&quot;$&quot;* &quot;-&quot;??_);_(@_)">
                  <c:v>0.65000000000000013</c:v>
                </c:pt>
                <c:pt idx="13" formatCode="_(&quot;$&quot;* #,##0.00_);_(&quot;$&quot;* \(#,##0.00\);_(&quot;$&quot;* &quot;-&quot;??_);_(@_)">
                  <c:v>0.70000000000000018</c:v>
                </c:pt>
                <c:pt idx="14" formatCode="_(&quot;$&quot;* #,##0.00_);_(&quot;$&quot;* \(#,##0.00\);_(&quot;$&quot;* &quot;-&quot;??_);_(@_)">
                  <c:v>0.75000000000000022</c:v>
                </c:pt>
                <c:pt idx="15" formatCode="_(&quot;$&quot;* #,##0.00_);_(&quot;$&quot;* \(#,##0.00\);_(&quot;$&quot;* &quot;-&quot;??_);_(@_)">
                  <c:v>0.80000000000000027</c:v>
                </c:pt>
                <c:pt idx="16" formatCode="_(&quot;$&quot;* #,##0.00_);_(&quot;$&quot;* \(#,##0.00\);_(&quot;$&quot;* &quot;-&quot;??_);_(@_)">
                  <c:v>0.85000000000000031</c:v>
                </c:pt>
                <c:pt idx="17" formatCode="_(&quot;$&quot;* #,##0.00_);_(&quot;$&quot;* \(#,##0.00\);_(&quot;$&quot;* &quot;-&quot;??_);_(@_)">
                  <c:v>0.90000000000000036</c:v>
                </c:pt>
                <c:pt idx="18" formatCode="_(&quot;$&quot;* #,##0.00_);_(&quot;$&quot;* \(#,##0.00\);_(&quot;$&quot;* &quot;-&quot;??_);_(@_)">
                  <c:v>0.9500000000000004</c:v>
                </c:pt>
                <c:pt idx="19" formatCode="_(&quot;$&quot;* #,##0.00_);_(&quot;$&quot;* \(#,##0.00\);_(&quot;$&quot;* &quot;-&quot;??_);_(@_)">
                  <c:v>1.0000000000000004</c:v>
                </c:pt>
              </c:numCache>
            </c:numRef>
          </c:cat>
          <c:val>
            <c:numRef>
              <c:f>Assumptions!$AJ$30:$AJ$49</c:f>
              <c:numCache>
                <c:formatCode>0.0%</c:formatCode>
                <c:ptCount val="20"/>
                <c:pt idx="0">
                  <c:v>0.50765347400166616</c:v>
                </c:pt>
                <c:pt idx="1">
                  <c:v>0.52772949533432212</c:v>
                </c:pt>
                <c:pt idx="2">
                  <c:v>0.54623241402093503</c:v>
                </c:pt>
                <c:pt idx="3">
                  <c:v>0.5633401552850017</c:v>
                </c:pt>
                <c:pt idx="4">
                  <c:v>0.57920478698598377</c:v>
                </c:pt>
                <c:pt idx="5">
                  <c:v>0.59395705216482231</c:v>
                </c:pt>
                <c:pt idx="6">
                  <c:v>0.60770998046856428</c:v>
                </c:pt>
                <c:pt idx="7">
                  <c:v>0.62056178969192122</c:v>
                </c:pt>
                <c:pt idx="8">
                  <c:v>0.63259823506691293</c:v>
                </c:pt>
                <c:pt idx="9">
                  <c:v>0.64389452515899204</c:v>
                </c:pt>
                <c:pt idx="10">
                  <c:v>0.65451689486436115</c:v>
                </c:pt>
                <c:pt idx="11">
                  <c:v>0.66452390503357561</c:v>
                </c:pt>
                <c:pt idx="12">
                  <c:v>0.67396752258951942</c:v>
                </c:pt>
                <c:pt idx="13">
                  <c:v>0.6828940232089411</c:v>
                </c:pt>
                <c:pt idx="14">
                  <c:v>0.6913447496677334</c:v>
                </c:pt>
                <c:pt idx="15">
                  <c:v>0.69935675207650072</c:v>
                </c:pt>
                <c:pt idx="16">
                  <c:v>0.70696333092446495</c:v>
                </c:pt>
                <c:pt idx="17">
                  <c:v>0.71419449972028826</c:v>
                </c:pt>
                <c:pt idx="18">
                  <c:v>0.72107738078390293</c:v>
                </c:pt>
                <c:pt idx="19">
                  <c:v>0.72763654519352217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54-4FFD-851F-5387135E5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540464"/>
        <c:axId val="1531542384"/>
      </c:lineChart>
      <c:catAx>
        <c:axId val="1531540464"/>
        <c:scaling>
          <c:orientation val="minMax"/>
        </c:scaling>
        <c:delete val="0"/>
        <c:axPos val="b"/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2384"/>
        <c:crosses val="autoZero"/>
        <c:auto val="1"/>
        <c:lblAlgn val="ctr"/>
        <c:lblOffset val="100"/>
        <c:noMultiLvlLbl val="0"/>
      </c:catAx>
      <c:valAx>
        <c:axId val="153154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0464"/>
        <c:crosses val="autoZero"/>
        <c:crossBetween val="between"/>
      </c:valAx>
      <c:valAx>
        <c:axId val="1056149343"/>
        <c:scaling>
          <c:orientation val="minMax"/>
        </c:scaling>
        <c:delete val="0"/>
        <c:axPos val="r"/>
        <c:numFmt formatCode="_-&quot;$&quot;* #,##0_-;\-&quot;$&quot;* #,##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47423"/>
        <c:crosses val="max"/>
        <c:crossBetween val="between"/>
      </c:valAx>
      <c:catAx>
        <c:axId val="1056147423"/>
        <c:scaling>
          <c:orientation val="minMax"/>
        </c:scaling>
        <c:delete val="1"/>
        <c:axPos val="b"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056149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Solvent Sensitivity</a:t>
            </a:r>
            <a:r>
              <a:rPr lang="en-US" baseline="0"/>
              <a:t> ($/gallon)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Assumptions!$AI$6</c:f>
              <c:strCache>
                <c:ptCount val="1"/>
                <c:pt idx="0">
                  <c:v>15 Year NPV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Assumptions!$AF$7:$AF$27</c:f>
              <c:numCache>
                <c:formatCode>_("$"* #,##0.00_);_("$"* \(#,##0.00\);_("$"* "-"??_);_(@_)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 formatCode="_-&quot;$&quot;* #,##0.00_-;\-&quot;$&quot;* #,##0.00_-;_-&quot;$&quot;* &quot;-&quot;??_-;_-@_-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</c:numCache>
            </c:numRef>
          </c:cat>
          <c:val>
            <c:numRef>
              <c:f>Assumptions!$AI$7:$AI$27</c:f>
              <c:numCache>
                <c:formatCode>_-"$"* #,##0_-;\-"$"* #,##0_-;_-"$"* "-"??_-;_-@_-</c:formatCode>
                <c:ptCount val="21"/>
                <c:pt idx="0">
                  <c:v>-2954326.6082891789</c:v>
                </c:pt>
                <c:pt idx="1">
                  <c:v>551466.00723899237</c:v>
                </c:pt>
                <c:pt idx="2">
                  <c:v>4057258.6227671672</c:v>
                </c:pt>
                <c:pt idx="3">
                  <c:v>7563051.2382953241</c:v>
                </c:pt>
                <c:pt idx="4">
                  <c:v>11068843.853823505</c:v>
                </c:pt>
                <c:pt idx="5">
                  <c:v>14574636.469351664</c:v>
                </c:pt>
                <c:pt idx="6">
                  <c:v>18080429.084879849</c:v>
                </c:pt>
                <c:pt idx="7">
                  <c:v>21586221.700408019</c:v>
                </c:pt>
                <c:pt idx="8">
                  <c:v>25092014.315936189</c:v>
                </c:pt>
                <c:pt idx="9">
                  <c:v>28597806.931464363</c:v>
                </c:pt>
                <c:pt idx="10">
                  <c:v>32103599.546992533</c:v>
                </c:pt>
                <c:pt idx="11">
                  <c:v>35609392.162520699</c:v>
                </c:pt>
                <c:pt idx="12">
                  <c:v>39115184.778048865</c:v>
                </c:pt>
                <c:pt idx="13">
                  <c:v>42620977.393577024</c:v>
                </c:pt>
                <c:pt idx="14">
                  <c:v>46126770.009105198</c:v>
                </c:pt>
                <c:pt idx="15">
                  <c:v>49632562.624633379</c:v>
                </c:pt>
                <c:pt idx="16">
                  <c:v>53138355.240161538</c:v>
                </c:pt>
                <c:pt idx="17">
                  <c:v>56644147.855689734</c:v>
                </c:pt>
                <c:pt idx="18">
                  <c:v>60149940.471217871</c:v>
                </c:pt>
                <c:pt idx="19">
                  <c:v>63655733.086746059</c:v>
                </c:pt>
                <c:pt idx="20">
                  <c:v>67161525.702274218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C-48BA-9463-6250ED3BD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147423"/>
        <c:axId val="1056149343"/>
      </c:barChart>
      <c:lineChart>
        <c:grouping val="standard"/>
        <c:varyColors val="0"/>
        <c:ser>
          <c:idx val="0"/>
          <c:order val="0"/>
          <c:tx>
            <c:strRef>
              <c:f>Assumptions!$AG$6</c:f>
              <c:strCache>
                <c:ptCount val="1"/>
                <c:pt idx="0">
                  <c:v>5 Year IRR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Assumptions!$AF$7:$AF$27</c:f>
              <c:numCache>
                <c:formatCode>_("$"* #,##0.00_);_("$"* \(#,##0.00\);_("$"* "-"??_);_(@_)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 formatCode="_-&quot;$&quot;* #,##0.00_-;\-&quot;$&quot;* #,##0.00_-;_-&quot;$&quot;* &quot;-&quot;??_-;_-@_-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</c:numCache>
            </c:numRef>
          </c:cat>
          <c:val>
            <c:numRef>
              <c:f>Assumptions!$AG$7:$AG$27</c:f>
              <c:numCache>
                <c:formatCode>0.0%</c:formatCode>
                <c:ptCount val="21"/>
                <c:pt idx="0">
                  <c:v>-9.361419280412564E-3</c:v>
                </c:pt>
                <c:pt idx="1">
                  <c:v>0.1329476318202969</c:v>
                </c:pt>
                <c:pt idx="2">
                  <c:v>0.26912965244537612</c:v>
                </c:pt>
                <c:pt idx="3">
                  <c:v>0.40376260737111402</c:v>
                </c:pt>
                <c:pt idx="4">
                  <c:v>0.53975325726839918</c:v>
                </c:pt>
                <c:pt idx="5">
                  <c:v>0.67926385196285688</c:v>
                </c:pt>
                <c:pt idx="6">
                  <c:v>0.8241142396758403</c:v>
                </c:pt>
                <c:pt idx="7">
                  <c:v>0.97599069905023916</c:v>
                </c:pt>
                <c:pt idx="8">
                  <c:v>1.1365739751758532</c:v>
                </c:pt>
                <c:pt idx="9">
                  <c:v>1.3076323828272782</c:v>
                </c:pt>
                <c:pt idx="10">
                  <c:v>1.4911020057698723</c:v>
                </c:pt>
                <c:pt idx="11">
                  <c:v>1.6891667584239096</c:v>
                </c:pt>
                <c:pt idx="12">
                  <c:v>1.9043476763520415</c:v>
                </c:pt>
                <c:pt idx="13">
                  <c:v>2.1396102884928552</c:v>
                </c:pt>
                <c:pt idx="14">
                  <c:v>2.398500332963946</c:v>
                </c:pt>
                <c:pt idx="15">
                  <c:v>2.6853213447155282</c:v>
                </c:pt>
                <c:pt idx="16">
                  <c:v>3.0053733148016661</c:v>
                </c:pt>
                <c:pt idx="17">
                  <c:v>3.3652809407859934</c:v>
                </c:pt>
                <c:pt idx="18">
                  <c:v>3.7734552936701302</c:v>
                </c:pt>
                <c:pt idx="19">
                  <c:v>4.2407583361181782</c:v>
                </c:pt>
                <c:pt idx="20">
                  <c:v>4.7814837854115853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6C-48BA-9463-6250ED3BDABC}"/>
            </c:ext>
          </c:extLst>
        </c:ser>
        <c:ser>
          <c:idx val="1"/>
          <c:order val="1"/>
          <c:tx>
            <c:strRef>
              <c:f>Assumptions!$AH$6</c:f>
              <c:strCache>
                <c:ptCount val="1"/>
                <c:pt idx="0">
                  <c:v>15 Year IRR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Assumptions!$AF$7:$AF$27</c:f>
              <c:numCache>
                <c:formatCode>_("$"* #,##0.00_);_("$"* \(#,##0.00\);_("$"* "-"??_);_(@_)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 formatCode="_-&quot;$&quot;* #,##0.00_-;\-&quot;$&quot;* #,##0.00_-;_-&quot;$&quot;* &quot;-&quot;??_-;_-@_-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</c:numCache>
            </c:numRef>
          </c:cat>
          <c:val>
            <c:numRef>
              <c:f>Assumptions!$AH$7:$AH$27</c:f>
              <c:numCache>
                <c:formatCode>0.0%</c:formatCode>
                <c:ptCount val="21"/>
                <c:pt idx="0">
                  <c:v>0.23456284425300145</c:v>
                </c:pt>
                <c:pt idx="1">
                  <c:v>0.33596432064969761</c:v>
                </c:pt>
                <c:pt idx="2">
                  <c:v>0.43898891488033809</c:v>
                </c:pt>
                <c:pt idx="3">
                  <c:v>0.54634435828306471</c:v>
                </c:pt>
                <c:pt idx="4">
                  <c:v>0.65968135136458406</c:v>
                </c:pt>
                <c:pt idx="5">
                  <c:v>0.78024157272345263</c:v>
                </c:pt>
                <c:pt idx="6">
                  <c:v>0.90914482086798909</c:v>
                </c:pt>
                <c:pt idx="7">
                  <c:v>1.0475363161936344</c:v>
                </c:pt>
                <c:pt idx="8">
                  <c:v>1.1966742116323545</c:v>
                </c:pt>
                <c:pt idx="9">
                  <c:v>1.3579932627236486</c:v>
                </c:pt>
                <c:pt idx="10">
                  <c:v>1.533163111120325</c:v>
                </c:pt>
                <c:pt idx="11">
                  <c:v>1.7241520570709064</c:v>
                </c:pt>
                <c:pt idx="12">
                  <c:v>1.9333043156249512</c:v>
                </c:pt>
                <c:pt idx="13">
                  <c:v>2.1634385239622738</c:v>
                </c:pt>
                <c:pt idx="14">
                  <c:v>2.4179769168356438</c:v>
                </c:pt>
                <c:pt idx="15">
                  <c:v>2.7011180624833586</c:v>
                </c:pt>
                <c:pt idx="16">
                  <c:v>3.0180718925101342</c:v>
                </c:pt>
                <c:pt idx="17">
                  <c:v>3.3753852088192753</c:v>
                </c:pt>
                <c:pt idx="18">
                  <c:v>3.7814012520546036</c:v>
                </c:pt>
                <c:pt idx="19">
                  <c:v>4.2469225940244488</c:v>
                </c:pt>
                <c:pt idx="20">
                  <c:v>4.7861907239845856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6C-48BA-9463-6250ED3BDABC}"/>
            </c:ext>
          </c:extLst>
        </c:ser>
        <c:ser>
          <c:idx val="3"/>
          <c:order val="3"/>
          <c:tx>
            <c:strRef>
              <c:f>Assumptions!$AJ$6</c:f>
              <c:strCache>
                <c:ptCount val="1"/>
                <c:pt idx="0">
                  <c:v>Margin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Assumptions!$AF$7:$AF$27</c:f>
              <c:numCache>
                <c:formatCode>_("$"* #,##0.00_);_("$"* \(#,##0.00\);_("$"* "-"??_);_(@_)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 formatCode="_-&quot;$&quot;* #,##0.00_-;\-&quot;$&quot;* #,##0.00_-;_-&quot;$&quot;* &quot;-&quot;??_-;_-@_-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</c:numCache>
            </c:numRef>
          </c:cat>
          <c:val>
            <c:numRef>
              <c:f>Assumptions!$AJ$7:$AJ$27</c:f>
              <c:numCache>
                <c:formatCode>0.0%</c:formatCode>
                <c:ptCount val="21"/>
                <c:pt idx="0">
                  <c:v>0.39648018418535369</c:v>
                </c:pt>
                <c:pt idx="1">
                  <c:v>0.4701112241588849</c:v>
                </c:pt>
                <c:pt idx="2">
                  <c:v>0.52772949533432212</c:v>
                </c:pt>
                <c:pt idx="3">
                  <c:v>0.57404623339588434</c:v>
                </c:pt>
                <c:pt idx="4">
                  <c:v>0.61208957000089848</c:v>
                </c:pt>
                <c:pt idx="5">
                  <c:v>0.64389452515899204</c:v>
                </c:pt>
                <c:pt idx="6">
                  <c:v>0.67087928449686607</c:v>
                </c:pt>
                <c:pt idx="7">
                  <c:v>0.69406244738797129</c:v>
                </c:pt>
                <c:pt idx="8">
                  <c:v>0.71419449972028781</c:v>
                </c:pt>
                <c:pt idx="9">
                  <c:v>0.73184058264628493</c:v>
                </c:pt>
                <c:pt idx="10">
                  <c:v>0.74743438270500118</c:v>
                </c:pt>
                <c:pt idx="11">
                  <c:v>0.76131425259236174</c:v>
                </c:pt>
                <c:pt idx="12">
                  <c:v>0.77374804215667137</c:v>
                </c:pt>
                <c:pt idx="13">
                  <c:v>0.78495055258759516</c:v>
                </c:pt>
                <c:pt idx="14">
                  <c:v>0.79509604993414096</c:v>
                </c:pt>
                <c:pt idx="15">
                  <c:v>0.80432739606366932</c:v>
                </c:pt>
                <c:pt idx="16">
                  <c:v>0.8127628178138242</c:v>
                </c:pt>
                <c:pt idx="17">
                  <c:v>0.82050099760238859</c:v>
                </c:pt>
                <c:pt idx="18">
                  <c:v>0.82762495182077156</c:v>
                </c:pt>
                <c:pt idx="19">
                  <c:v>0.83420502092849214</c:v>
                </c:pt>
                <c:pt idx="20">
                  <c:v>0.84030119988410312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6C-48BA-9463-6250ED3BD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540464"/>
        <c:axId val="1531542384"/>
      </c:lineChart>
      <c:catAx>
        <c:axId val="1531540464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2384"/>
        <c:crosses val="autoZero"/>
        <c:auto val="1"/>
        <c:lblAlgn val="ctr"/>
        <c:lblOffset val="100"/>
        <c:noMultiLvlLbl val="0"/>
      </c:catAx>
      <c:valAx>
        <c:axId val="153154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0464"/>
        <c:crosses val="autoZero"/>
        <c:crossBetween val="between"/>
      </c:valAx>
      <c:valAx>
        <c:axId val="1056149343"/>
        <c:scaling>
          <c:orientation val="minMax"/>
        </c:scaling>
        <c:delete val="0"/>
        <c:axPos val="r"/>
        <c:numFmt formatCode="_-&quot;$&quot;* #,##0_-;\-&quot;$&quot;* #,##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47423"/>
        <c:crosses val="max"/>
        <c:crossBetween val="between"/>
      </c:valAx>
      <c:catAx>
        <c:axId val="1056147423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056149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'Graphs - HIDE'!$B$69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'Graphs - HIDE'!$F$42:$BM$42</c:f>
              <c:numCache>
                <c:formatCode>General</c:formatCode>
                <c:ptCount val="60"/>
                <c:pt idx="0">
                  <c:v>2026</c:v>
                </c:pt>
                <c:pt idx="1">
                  <c:v>2026</c:v>
                </c:pt>
                <c:pt idx="2">
                  <c:v>2026</c:v>
                </c:pt>
                <c:pt idx="3">
                  <c:v>2026</c:v>
                </c:pt>
                <c:pt idx="4">
                  <c:v>2026</c:v>
                </c:pt>
                <c:pt idx="5">
                  <c:v>2026</c:v>
                </c:pt>
                <c:pt idx="6">
                  <c:v>2026</c:v>
                </c:pt>
                <c:pt idx="7">
                  <c:v>2026</c:v>
                </c:pt>
                <c:pt idx="8">
                  <c:v>2026</c:v>
                </c:pt>
                <c:pt idx="9">
                  <c:v>2026</c:v>
                </c:pt>
                <c:pt idx="10">
                  <c:v>2026</c:v>
                </c:pt>
                <c:pt idx="11">
                  <c:v>2026</c:v>
                </c:pt>
                <c:pt idx="12">
                  <c:v>2027</c:v>
                </c:pt>
                <c:pt idx="13">
                  <c:v>2027</c:v>
                </c:pt>
                <c:pt idx="14">
                  <c:v>2027</c:v>
                </c:pt>
                <c:pt idx="15">
                  <c:v>2027</c:v>
                </c:pt>
                <c:pt idx="16">
                  <c:v>2027</c:v>
                </c:pt>
                <c:pt idx="17">
                  <c:v>2027</c:v>
                </c:pt>
                <c:pt idx="18">
                  <c:v>2027</c:v>
                </c:pt>
                <c:pt idx="19">
                  <c:v>2027</c:v>
                </c:pt>
                <c:pt idx="20">
                  <c:v>2027</c:v>
                </c:pt>
                <c:pt idx="21">
                  <c:v>2027</c:v>
                </c:pt>
                <c:pt idx="22">
                  <c:v>2027</c:v>
                </c:pt>
                <c:pt idx="23">
                  <c:v>2027</c:v>
                </c:pt>
                <c:pt idx="24">
                  <c:v>2028</c:v>
                </c:pt>
                <c:pt idx="25">
                  <c:v>2028</c:v>
                </c:pt>
                <c:pt idx="26">
                  <c:v>2028</c:v>
                </c:pt>
                <c:pt idx="27">
                  <c:v>2028</c:v>
                </c:pt>
                <c:pt idx="28">
                  <c:v>2028</c:v>
                </c:pt>
                <c:pt idx="29">
                  <c:v>2028</c:v>
                </c:pt>
                <c:pt idx="30">
                  <c:v>2028</c:v>
                </c:pt>
                <c:pt idx="31">
                  <c:v>2028</c:v>
                </c:pt>
                <c:pt idx="32">
                  <c:v>2028</c:v>
                </c:pt>
                <c:pt idx="33">
                  <c:v>2028</c:v>
                </c:pt>
                <c:pt idx="34">
                  <c:v>2028</c:v>
                </c:pt>
                <c:pt idx="35">
                  <c:v>2028</c:v>
                </c:pt>
                <c:pt idx="36">
                  <c:v>2029</c:v>
                </c:pt>
                <c:pt idx="37">
                  <c:v>2029</c:v>
                </c:pt>
                <c:pt idx="38">
                  <c:v>2029</c:v>
                </c:pt>
                <c:pt idx="39">
                  <c:v>2029</c:v>
                </c:pt>
                <c:pt idx="40">
                  <c:v>2029</c:v>
                </c:pt>
                <c:pt idx="41">
                  <c:v>2029</c:v>
                </c:pt>
                <c:pt idx="42">
                  <c:v>2029</c:v>
                </c:pt>
                <c:pt idx="43">
                  <c:v>2029</c:v>
                </c:pt>
                <c:pt idx="44">
                  <c:v>2029</c:v>
                </c:pt>
                <c:pt idx="45">
                  <c:v>2029</c:v>
                </c:pt>
                <c:pt idx="46">
                  <c:v>2029</c:v>
                </c:pt>
                <c:pt idx="47">
                  <c:v>2029</c:v>
                </c:pt>
                <c:pt idx="48">
                  <c:v>2030</c:v>
                </c:pt>
                <c:pt idx="49">
                  <c:v>2030</c:v>
                </c:pt>
                <c:pt idx="50">
                  <c:v>2030</c:v>
                </c:pt>
                <c:pt idx="51">
                  <c:v>2030</c:v>
                </c:pt>
                <c:pt idx="52">
                  <c:v>2030</c:v>
                </c:pt>
                <c:pt idx="53">
                  <c:v>2030</c:v>
                </c:pt>
                <c:pt idx="54">
                  <c:v>2030</c:v>
                </c:pt>
                <c:pt idx="55">
                  <c:v>2030</c:v>
                </c:pt>
                <c:pt idx="56">
                  <c:v>2030</c:v>
                </c:pt>
                <c:pt idx="57">
                  <c:v>2030</c:v>
                </c:pt>
                <c:pt idx="58">
                  <c:v>2030</c:v>
                </c:pt>
                <c:pt idx="59">
                  <c:v>2030</c:v>
                </c:pt>
              </c:numCache>
            </c:numRef>
          </c:cat>
          <c:val>
            <c:numRef>
              <c:f>'Graphs - HIDE'!$F$69:$BM$69</c:f>
              <c:numCache>
                <c:formatCode>_-"$"* #,##0_-;\-"$"* #,##0_-;_-"$"* "-"??_-;_-@_-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1004699.441672</c:v>
                </c:pt>
                <c:pt idx="8">
                  <c:v>1019288.6054464675</c:v>
                </c:pt>
                <c:pt idx="9">
                  <c:v>1072169.820280022</c:v>
                </c:pt>
                <c:pt idx="10">
                  <c:v>1035612.0841419568</c:v>
                </c:pt>
                <c:pt idx="11">
                  <c:v>1072169.820280022</c:v>
                </c:pt>
                <c:pt idx="12">
                  <c:v>1072169.820280022</c:v>
                </c:pt>
                <c:pt idx="13">
                  <c:v>962496.61186582642</c:v>
                </c:pt>
                <c:pt idx="14">
                  <c:v>1072169.820280022</c:v>
                </c:pt>
                <c:pt idx="15">
                  <c:v>1035612.0841419568</c:v>
                </c:pt>
                <c:pt idx="16">
                  <c:v>1072169.820280022</c:v>
                </c:pt>
                <c:pt idx="17">
                  <c:v>1035612.0841419568</c:v>
                </c:pt>
                <c:pt idx="18">
                  <c:v>1072169.820280022</c:v>
                </c:pt>
                <c:pt idx="19">
                  <c:v>1072169.820280022</c:v>
                </c:pt>
                <c:pt idx="20">
                  <c:v>1035612.0841419568</c:v>
                </c:pt>
                <c:pt idx="21">
                  <c:v>1072169.820280022</c:v>
                </c:pt>
                <c:pt idx="22">
                  <c:v>1035612.0841419568</c:v>
                </c:pt>
                <c:pt idx="23">
                  <c:v>1072169.820280022</c:v>
                </c:pt>
                <c:pt idx="24">
                  <c:v>1072169.820280022</c:v>
                </c:pt>
                <c:pt idx="25">
                  <c:v>962496.61186582642</c:v>
                </c:pt>
                <c:pt idx="26">
                  <c:v>1072169.820280022</c:v>
                </c:pt>
                <c:pt idx="27">
                  <c:v>1035612.0841419568</c:v>
                </c:pt>
                <c:pt idx="28">
                  <c:v>1072169.820280022</c:v>
                </c:pt>
                <c:pt idx="29">
                  <c:v>1035612.0841419568</c:v>
                </c:pt>
                <c:pt idx="30">
                  <c:v>1072169.820280022</c:v>
                </c:pt>
                <c:pt idx="31">
                  <c:v>1072169.820280022</c:v>
                </c:pt>
                <c:pt idx="32">
                  <c:v>1035612.0841419568</c:v>
                </c:pt>
                <c:pt idx="33">
                  <c:v>1072169.820280022</c:v>
                </c:pt>
                <c:pt idx="34">
                  <c:v>1035612.0841419568</c:v>
                </c:pt>
                <c:pt idx="35">
                  <c:v>1072169.820280022</c:v>
                </c:pt>
                <c:pt idx="36">
                  <c:v>1072169.820280022</c:v>
                </c:pt>
                <c:pt idx="37">
                  <c:v>962496.61186582642</c:v>
                </c:pt>
                <c:pt idx="38">
                  <c:v>1072169.820280022</c:v>
                </c:pt>
                <c:pt idx="39">
                  <c:v>1035612.0841419568</c:v>
                </c:pt>
                <c:pt idx="40">
                  <c:v>1072169.820280022</c:v>
                </c:pt>
                <c:pt idx="41">
                  <c:v>1035612.0841419568</c:v>
                </c:pt>
                <c:pt idx="42">
                  <c:v>1072169.820280022</c:v>
                </c:pt>
                <c:pt idx="43">
                  <c:v>1072169.820280022</c:v>
                </c:pt>
                <c:pt idx="44">
                  <c:v>1035612.0841419568</c:v>
                </c:pt>
                <c:pt idx="45">
                  <c:v>1072169.820280022</c:v>
                </c:pt>
                <c:pt idx="46">
                  <c:v>1035612.0841419568</c:v>
                </c:pt>
                <c:pt idx="47">
                  <c:v>1072169.820280022</c:v>
                </c:pt>
                <c:pt idx="48">
                  <c:v>1072169.820280022</c:v>
                </c:pt>
                <c:pt idx="49">
                  <c:v>962496.61186582642</c:v>
                </c:pt>
                <c:pt idx="50">
                  <c:v>1072169.820280022</c:v>
                </c:pt>
                <c:pt idx="51">
                  <c:v>1035612.0841419568</c:v>
                </c:pt>
                <c:pt idx="52">
                  <c:v>1072169.820280022</c:v>
                </c:pt>
                <c:pt idx="53">
                  <c:v>1035612.0841419568</c:v>
                </c:pt>
                <c:pt idx="54">
                  <c:v>1072169.820280022</c:v>
                </c:pt>
                <c:pt idx="55">
                  <c:v>1072169.820280022</c:v>
                </c:pt>
                <c:pt idx="56">
                  <c:v>1035612.0841419568</c:v>
                </c:pt>
                <c:pt idx="57">
                  <c:v>1072169.820280022</c:v>
                </c:pt>
                <c:pt idx="58">
                  <c:v>1035612.0841419568</c:v>
                </c:pt>
                <c:pt idx="59">
                  <c:v>1072169.820280022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F-4277-9330-95C262F3D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63185280"/>
        <c:axId val="63186816"/>
      </c:barChart>
      <c:catAx>
        <c:axId val="6318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63186816"/>
        <c:crosses val="autoZero"/>
        <c:auto val="1"/>
        <c:lblAlgn val="ctr"/>
        <c:lblOffset val="100"/>
        <c:tickLblSkip val="12"/>
        <c:noMultiLvlLbl val="0"/>
      </c:catAx>
      <c:valAx>
        <c:axId val="63186816"/>
        <c:scaling>
          <c:orientation val="minMax"/>
        </c:scaling>
        <c:delete val="0"/>
        <c:axPos val="l"/>
        <c:majorGridlines/>
        <c:numFmt formatCode="&quot;$&quot;#,##0" sourceLinked="0"/>
        <c:majorTickMark val="out"/>
        <c:minorTickMark val="none"/>
        <c:tickLblPos val="nextTo"/>
        <c:crossAx val="63185280"/>
        <c:crosses val="autoZero"/>
        <c:crossBetween val="between"/>
        <c:dispUnits>
          <c:builtInUnit val="thousands"/>
          <c:dispUnitsLbl/>
        </c:dispUnits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</c:spPr>
          <c:invertIfNegative val="0"/>
          <c:cat>
            <c:numRef>
              <c:f>'Graphs - HIDE'!$F$42:$BM$42</c:f>
              <c:numCache>
                <c:formatCode>General</c:formatCode>
                <c:ptCount val="60"/>
                <c:pt idx="0">
                  <c:v>2026</c:v>
                </c:pt>
                <c:pt idx="1">
                  <c:v>2026</c:v>
                </c:pt>
                <c:pt idx="2">
                  <c:v>2026</c:v>
                </c:pt>
                <c:pt idx="3">
                  <c:v>2026</c:v>
                </c:pt>
                <c:pt idx="4">
                  <c:v>2026</c:v>
                </c:pt>
                <c:pt idx="5">
                  <c:v>2026</c:v>
                </c:pt>
                <c:pt idx="6">
                  <c:v>2026</c:v>
                </c:pt>
                <c:pt idx="7">
                  <c:v>2026</c:v>
                </c:pt>
                <c:pt idx="8">
                  <c:v>2026</c:v>
                </c:pt>
                <c:pt idx="9">
                  <c:v>2026</c:v>
                </c:pt>
                <c:pt idx="10">
                  <c:v>2026</c:v>
                </c:pt>
                <c:pt idx="11">
                  <c:v>2026</c:v>
                </c:pt>
                <c:pt idx="12">
                  <c:v>2027</c:v>
                </c:pt>
                <c:pt idx="13">
                  <c:v>2027</c:v>
                </c:pt>
                <c:pt idx="14">
                  <c:v>2027</c:v>
                </c:pt>
                <c:pt idx="15">
                  <c:v>2027</c:v>
                </c:pt>
                <c:pt idx="16">
                  <c:v>2027</c:v>
                </c:pt>
                <c:pt idx="17">
                  <c:v>2027</c:v>
                </c:pt>
                <c:pt idx="18">
                  <c:v>2027</c:v>
                </c:pt>
                <c:pt idx="19">
                  <c:v>2027</c:v>
                </c:pt>
                <c:pt idx="20">
                  <c:v>2027</c:v>
                </c:pt>
                <c:pt idx="21">
                  <c:v>2027</c:v>
                </c:pt>
                <c:pt idx="22">
                  <c:v>2027</c:v>
                </c:pt>
                <c:pt idx="23">
                  <c:v>2027</c:v>
                </c:pt>
                <c:pt idx="24">
                  <c:v>2028</c:v>
                </c:pt>
                <c:pt idx="25">
                  <c:v>2028</c:v>
                </c:pt>
                <c:pt idx="26">
                  <c:v>2028</c:v>
                </c:pt>
                <c:pt idx="27">
                  <c:v>2028</c:v>
                </c:pt>
                <c:pt idx="28">
                  <c:v>2028</c:v>
                </c:pt>
                <c:pt idx="29">
                  <c:v>2028</c:v>
                </c:pt>
                <c:pt idx="30">
                  <c:v>2028</c:v>
                </c:pt>
                <c:pt idx="31">
                  <c:v>2028</c:v>
                </c:pt>
                <c:pt idx="32">
                  <c:v>2028</c:v>
                </c:pt>
                <c:pt idx="33">
                  <c:v>2028</c:v>
                </c:pt>
                <c:pt idx="34">
                  <c:v>2028</c:v>
                </c:pt>
                <c:pt idx="35">
                  <c:v>2028</c:v>
                </c:pt>
                <c:pt idx="36">
                  <c:v>2029</c:v>
                </c:pt>
                <c:pt idx="37">
                  <c:v>2029</c:v>
                </c:pt>
                <c:pt idx="38">
                  <c:v>2029</c:v>
                </c:pt>
                <c:pt idx="39">
                  <c:v>2029</c:v>
                </c:pt>
                <c:pt idx="40">
                  <c:v>2029</c:v>
                </c:pt>
                <c:pt idx="41">
                  <c:v>2029</c:v>
                </c:pt>
                <c:pt idx="42">
                  <c:v>2029</c:v>
                </c:pt>
                <c:pt idx="43">
                  <c:v>2029</c:v>
                </c:pt>
                <c:pt idx="44">
                  <c:v>2029</c:v>
                </c:pt>
                <c:pt idx="45">
                  <c:v>2029</c:v>
                </c:pt>
                <c:pt idx="46">
                  <c:v>2029</c:v>
                </c:pt>
                <c:pt idx="47">
                  <c:v>2029</c:v>
                </c:pt>
                <c:pt idx="48">
                  <c:v>2030</c:v>
                </c:pt>
                <c:pt idx="49">
                  <c:v>2030</c:v>
                </c:pt>
                <c:pt idx="50">
                  <c:v>2030</c:v>
                </c:pt>
                <c:pt idx="51">
                  <c:v>2030</c:v>
                </c:pt>
                <c:pt idx="52">
                  <c:v>2030</c:v>
                </c:pt>
                <c:pt idx="53">
                  <c:v>2030</c:v>
                </c:pt>
                <c:pt idx="54">
                  <c:v>2030</c:v>
                </c:pt>
                <c:pt idx="55">
                  <c:v>2030</c:v>
                </c:pt>
                <c:pt idx="56">
                  <c:v>2030</c:v>
                </c:pt>
                <c:pt idx="57">
                  <c:v>2030</c:v>
                </c:pt>
                <c:pt idx="58">
                  <c:v>2030</c:v>
                </c:pt>
                <c:pt idx="59">
                  <c:v>2030</c:v>
                </c:pt>
              </c:numCache>
            </c:numRef>
          </c:cat>
          <c:val>
            <c:numRef>
              <c:f>'Graphs - HIDE'!$F$49:$BM$49</c:f>
              <c:numCache>
                <c:formatCode>_-* #,##0_-;\-* #,##0_-;_-* "-"??_-;_-@_-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85.028571428571425</c:v>
                </c:pt>
                <c:pt idx="8">
                  <c:v>82.285714285714263</c:v>
                </c:pt>
                <c:pt idx="9">
                  <c:v>85.028571428571425</c:v>
                </c:pt>
                <c:pt idx="10">
                  <c:v>82.285714285714263</c:v>
                </c:pt>
                <c:pt idx="11">
                  <c:v>85.028571428571425</c:v>
                </c:pt>
                <c:pt idx="12">
                  <c:v>85.028571428571425</c:v>
                </c:pt>
                <c:pt idx="13">
                  <c:v>76.800000000000011</c:v>
                </c:pt>
                <c:pt idx="14">
                  <c:v>85.028571428571425</c:v>
                </c:pt>
                <c:pt idx="15">
                  <c:v>82.285714285714263</c:v>
                </c:pt>
                <c:pt idx="16">
                  <c:v>85.028571428571425</c:v>
                </c:pt>
                <c:pt idx="17">
                  <c:v>82.285714285714263</c:v>
                </c:pt>
                <c:pt idx="18">
                  <c:v>85.028571428571425</c:v>
                </c:pt>
                <c:pt idx="19">
                  <c:v>85.028571428571425</c:v>
                </c:pt>
                <c:pt idx="20">
                  <c:v>82.285714285714263</c:v>
                </c:pt>
                <c:pt idx="21">
                  <c:v>85.028571428571425</c:v>
                </c:pt>
                <c:pt idx="22">
                  <c:v>82.285714285714263</c:v>
                </c:pt>
                <c:pt idx="23">
                  <c:v>85.028571428571425</c:v>
                </c:pt>
                <c:pt idx="24">
                  <c:v>85.028571428571425</c:v>
                </c:pt>
                <c:pt idx="25">
                  <c:v>76.800000000000011</c:v>
                </c:pt>
                <c:pt idx="26">
                  <c:v>85.028571428571425</c:v>
                </c:pt>
                <c:pt idx="27">
                  <c:v>82.285714285714263</c:v>
                </c:pt>
                <c:pt idx="28">
                  <c:v>85.028571428571425</c:v>
                </c:pt>
                <c:pt idx="29">
                  <c:v>82.285714285714263</c:v>
                </c:pt>
                <c:pt idx="30">
                  <c:v>85.028571428571425</c:v>
                </c:pt>
                <c:pt idx="31">
                  <c:v>85.028571428571425</c:v>
                </c:pt>
                <c:pt idx="32">
                  <c:v>82.285714285714263</c:v>
                </c:pt>
                <c:pt idx="33">
                  <c:v>85.028571428571425</c:v>
                </c:pt>
                <c:pt idx="34">
                  <c:v>82.285714285714263</c:v>
                </c:pt>
                <c:pt idx="35">
                  <c:v>85.028571428571425</c:v>
                </c:pt>
                <c:pt idx="36">
                  <c:v>85.028571428571425</c:v>
                </c:pt>
                <c:pt idx="37">
                  <c:v>76.800000000000011</c:v>
                </c:pt>
                <c:pt idx="38">
                  <c:v>85.028571428571425</c:v>
                </c:pt>
                <c:pt idx="39">
                  <c:v>82.285714285714263</c:v>
                </c:pt>
                <c:pt idx="40">
                  <c:v>85.028571428571425</c:v>
                </c:pt>
                <c:pt idx="41">
                  <c:v>82.285714285714263</c:v>
                </c:pt>
                <c:pt idx="42">
                  <c:v>85.028571428571425</c:v>
                </c:pt>
                <c:pt idx="43">
                  <c:v>85.028571428571425</c:v>
                </c:pt>
                <c:pt idx="44">
                  <c:v>82.285714285714263</c:v>
                </c:pt>
                <c:pt idx="45">
                  <c:v>85.028571428571425</c:v>
                </c:pt>
                <c:pt idx="46">
                  <c:v>82.285714285714263</c:v>
                </c:pt>
                <c:pt idx="47">
                  <c:v>85.028571428571425</c:v>
                </c:pt>
                <c:pt idx="48">
                  <c:v>85.028571428571425</c:v>
                </c:pt>
                <c:pt idx="49">
                  <c:v>76.800000000000011</c:v>
                </c:pt>
                <c:pt idx="50">
                  <c:v>85.028571428571425</c:v>
                </c:pt>
                <c:pt idx="51">
                  <c:v>82.285714285714263</c:v>
                </c:pt>
                <c:pt idx="52">
                  <c:v>85.028571428571425</c:v>
                </c:pt>
                <c:pt idx="53">
                  <c:v>82.285714285714263</c:v>
                </c:pt>
                <c:pt idx="54">
                  <c:v>85.028571428571425</c:v>
                </c:pt>
                <c:pt idx="55">
                  <c:v>85.028571428571425</c:v>
                </c:pt>
                <c:pt idx="56">
                  <c:v>82.285714285714263</c:v>
                </c:pt>
                <c:pt idx="57">
                  <c:v>85.028571428571425</c:v>
                </c:pt>
                <c:pt idx="58">
                  <c:v>82.285714285714263</c:v>
                </c:pt>
                <c:pt idx="59">
                  <c:v>85.028571428571425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1-49DD-B156-9D15C0357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63223680"/>
        <c:axId val="63225216"/>
      </c:barChart>
      <c:catAx>
        <c:axId val="6322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63225216"/>
        <c:crosses val="autoZero"/>
        <c:auto val="1"/>
        <c:lblAlgn val="ctr"/>
        <c:lblOffset val="100"/>
        <c:tickLblSkip val="12"/>
        <c:noMultiLvlLbl val="0"/>
      </c:catAx>
      <c:valAx>
        <c:axId val="63225216"/>
        <c:scaling>
          <c:orientation val="minMax"/>
        </c:scaling>
        <c:delete val="0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6322368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- HIDE'!$B$55</c:f>
              <c:strCache>
                <c:ptCount val="1"/>
                <c:pt idx="0">
                  <c:v>Cumulative OTR tires processed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numRef>
              <c:f>'Graphs - HIDE'!$F$42:$BM$42</c:f>
              <c:numCache>
                <c:formatCode>General</c:formatCode>
                <c:ptCount val="60"/>
                <c:pt idx="0">
                  <c:v>2026</c:v>
                </c:pt>
                <c:pt idx="1">
                  <c:v>2026</c:v>
                </c:pt>
                <c:pt idx="2">
                  <c:v>2026</c:v>
                </c:pt>
                <c:pt idx="3">
                  <c:v>2026</c:v>
                </c:pt>
                <c:pt idx="4">
                  <c:v>2026</c:v>
                </c:pt>
                <c:pt idx="5">
                  <c:v>2026</c:v>
                </c:pt>
                <c:pt idx="6">
                  <c:v>2026</c:v>
                </c:pt>
                <c:pt idx="7">
                  <c:v>2026</c:v>
                </c:pt>
                <c:pt idx="8">
                  <c:v>2026</c:v>
                </c:pt>
                <c:pt idx="9">
                  <c:v>2026</c:v>
                </c:pt>
                <c:pt idx="10">
                  <c:v>2026</c:v>
                </c:pt>
                <c:pt idx="11">
                  <c:v>2026</c:v>
                </c:pt>
                <c:pt idx="12">
                  <c:v>2027</c:v>
                </c:pt>
                <c:pt idx="13">
                  <c:v>2027</c:v>
                </c:pt>
                <c:pt idx="14">
                  <c:v>2027</c:v>
                </c:pt>
                <c:pt idx="15">
                  <c:v>2027</c:v>
                </c:pt>
                <c:pt idx="16">
                  <c:v>2027</c:v>
                </c:pt>
                <c:pt idx="17">
                  <c:v>2027</c:v>
                </c:pt>
                <c:pt idx="18">
                  <c:v>2027</c:v>
                </c:pt>
                <c:pt idx="19">
                  <c:v>2027</c:v>
                </c:pt>
                <c:pt idx="20">
                  <c:v>2027</c:v>
                </c:pt>
                <c:pt idx="21">
                  <c:v>2027</c:v>
                </c:pt>
                <c:pt idx="22">
                  <c:v>2027</c:v>
                </c:pt>
                <c:pt idx="23">
                  <c:v>2027</c:v>
                </c:pt>
                <c:pt idx="24">
                  <c:v>2028</c:v>
                </c:pt>
                <c:pt idx="25">
                  <c:v>2028</c:v>
                </c:pt>
                <c:pt idx="26">
                  <c:v>2028</c:v>
                </c:pt>
                <c:pt idx="27">
                  <c:v>2028</c:v>
                </c:pt>
                <c:pt idx="28">
                  <c:v>2028</c:v>
                </c:pt>
                <c:pt idx="29">
                  <c:v>2028</c:v>
                </c:pt>
                <c:pt idx="30">
                  <c:v>2028</c:v>
                </c:pt>
                <c:pt idx="31">
                  <c:v>2028</c:v>
                </c:pt>
                <c:pt idx="32">
                  <c:v>2028</c:v>
                </c:pt>
                <c:pt idx="33">
                  <c:v>2028</c:v>
                </c:pt>
                <c:pt idx="34">
                  <c:v>2028</c:v>
                </c:pt>
                <c:pt idx="35">
                  <c:v>2028</c:v>
                </c:pt>
                <c:pt idx="36">
                  <c:v>2029</c:v>
                </c:pt>
                <c:pt idx="37">
                  <c:v>2029</c:v>
                </c:pt>
                <c:pt idx="38">
                  <c:v>2029</c:v>
                </c:pt>
                <c:pt idx="39">
                  <c:v>2029</c:v>
                </c:pt>
                <c:pt idx="40">
                  <c:v>2029</c:v>
                </c:pt>
                <c:pt idx="41">
                  <c:v>2029</c:v>
                </c:pt>
                <c:pt idx="42">
                  <c:v>2029</c:v>
                </c:pt>
                <c:pt idx="43">
                  <c:v>2029</c:v>
                </c:pt>
                <c:pt idx="44">
                  <c:v>2029</c:v>
                </c:pt>
                <c:pt idx="45">
                  <c:v>2029</c:v>
                </c:pt>
                <c:pt idx="46">
                  <c:v>2029</c:v>
                </c:pt>
                <c:pt idx="47">
                  <c:v>2029</c:v>
                </c:pt>
                <c:pt idx="48">
                  <c:v>2030</c:v>
                </c:pt>
                <c:pt idx="49">
                  <c:v>2030</c:v>
                </c:pt>
                <c:pt idx="50">
                  <c:v>2030</c:v>
                </c:pt>
                <c:pt idx="51">
                  <c:v>2030</c:v>
                </c:pt>
                <c:pt idx="52">
                  <c:v>2030</c:v>
                </c:pt>
                <c:pt idx="53">
                  <c:v>2030</c:v>
                </c:pt>
                <c:pt idx="54">
                  <c:v>2030</c:v>
                </c:pt>
                <c:pt idx="55">
                  <c:v>2030</c:v>
                </c:pt>
                <c:pt idx="56">
                  <c:v>2030</c:v>
                </c:pt>
                <c:pt idx="57">
                  <c:v>2030</c:v>
                </c:pt>
                <c:pt idx="58">
                  <c:v>2030</c:v>
                </c:pt>
                <c:pt idx="59">
                  <c:v>2030</c:v>
                </c:pt>
              </c:numCache>
            </c:numRef>
          </c:cat>
          <c:val>
            <c:numRef>
              <c:f>'Graphs - HIDE'!$F$55:$BM$55</c:f>
              <c:numCache>
                <c:formatCode>_-* #,##0_-;\-* #,##0_-;_-* "-"??_-;_-@_-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138879.99999999997</c:v>
                </c:pt>
                <c:pt idx="8">
                  <c:v>273280</c:v>
                </c:pt>
                <c:pt idx="9">
                  <c:v>412160</c:v>
                </c:pt>
                <c:pt idx="10">
                  <c:v>546560</c:v>
                </c:pt>
                <c:pt idx="11">
                  <c:v>685440</c:v>
                </c:pt>
                <c:pt idx="12">
                  <c:v>824320</c:v>
                </c:pt>
                <c:pt idx="13">
                  <c:v>949760</c:v>
                </c:pt>
                <c:pt idx="14">
                  <c:v>1088640</c:v>
                </c:pt>
                <c:pt idx="15">
                  <c:v>1223040</c:v>
                </c:pt>
                <c:pt idx="16">
                  <c:v>1361920</c:v>
                </c:pt>
                <c:pt idx="17">
                  <c:v>1496320</c:v>
                </c:pt>
                <c:pt idx="18">
                  <c:v>1635200</c:v>
                </c:pt>
                <c:pt idx="19">
                  <c:v>1774080</c:v>
                </c:pt>
                <c:pt idx="20">
                  <c:v>1908480</c:v>
                </c:pt>
                <c:pt idx="21">
                  <c:v>2047360</c:v>
                </c:pt>
                <c:pt idx="22">
                  <c:v>2181760</c:v>
                </c:pt>
                <c:pt idx="23">
                  <c:v>2320640</c:v>
                </c:pt>
                <c:pt idx="24">
                  <c:v>2459520</c:v>
                </c:pt>
                <c:pt idx="25">
                  <c:v>2584960</c:v>
                </c:pt>
                <c:pt idx="26">
                  <c:v>2723840</c:v>
                </c:pt>
                <c:pt idx="27">
                  <c:v>2858240</c:v>
                </c:pt>
                <c:pt idx="28">
                  <c:v>2997120</c:v>
                </c:pt>
                <c:pt idx="29">
                  <c:v>3131520</c:v>
                </c:pt>
                <c:pt idx="30">
                  <c:v>3270400</c:v>
                </c:pt>
                <c:pt idx="31">
                  <c:v>3409280</c:v>
                </c:pt>
                <c:pt idx="32">
                  <c:v>3543680</c:v>
                </c:pt>
                <c:pt idx="33">
                  <c:v>3682560</c:v>
                </c:pt>
                <c:pt idx="34">
                  <c:v>3816960</c:v>
                </c:pt>
                <c:pt idx="35">
                  <c:v>3955840</c:v>
                </c:pt>
                <c:pt idx="36">
                  <c:v>4094720</c:v>
                </c:pt>
                <c:pt idx="37">
                  <c:v>4220160</c:v>
                </c:pt>
                <c:pt idx="38">
                  <c:v>4359040</c:v>
                </c:pt>
                <c:pt idx="39">
                  <c:v>4493440</c:v>
                </c:pt>
                <c:pt idx="40">
                  <c:v>4632320</c:v>
                </c:pt>
                <c:pt idx="41">
                  <c:v>4766720</c:v>
                </c:pt>
                <c:pt idx="42">
                  <c:v>4905600</c:v>
                </c:pt>
                <c:pt idx="43">
                  <c:v>5044480</c:v>
                </c:pt>
                <c:pt idx="44">
                  <c:v>5178880</c:v>
                </c:pt>
                <c:pt idx="45">
                  <c:v>5317760</c:v>
                </c:pt>
                <c:pt idx="46">
                  <c:v>5452160</c:v>
                </c:pt>
                <c:pt idx="47">
                  <c:v>5591040</c:v>
                </c:pt>
                <c:pt idx="48">
                  <c:v>5729920</c:v>
                </c:pt>
                <c:pt idx="49">
                  <c:v>5855360</c:v>
                </c:pt>
                <c:pt idx="50">
                  <c:v>5994240</c:v>
                </c:pt>
                <c:pt idx="51">
                  <c:v>6128640</c:v>
                </c:pt>
                <c:pt idx="52">
                  <c:v>6267520</c:v>
                </c:pt>
                <c:pt idx="53">
                  <c:v>6401920</c:v>
                </c:pt>
                <c:pt idx="54">
                  <c:v>6540800</c:v>
                </c:pt>
                <c:pt idx="55">
                  <c:v>6679680</c:v>
                </c:pt>
                <c:pt idx="56">
                  <c:v>6814080</c:v>
                </c:pt>
                <c:pt idx="57">
                  <c:v>6952960</c:v>
                </c:pt>
                <c:pt idx="58">
                  <c:v>7087360</c:v>
                </c:pt>
                <c:pt idx="59">
                  <c:v>7226240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8-45FE-B718-C5DAE1865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65612800"/>
        <c:axId val="65618688"/>
      </c:barChart>
      <c:catAx>
        <c:axId val="6561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65618688"/>
        <c:crosses val="autoZero"/>
        <c:auto val="1"/>
        <c:lblAlgn val="ctr"/>
        <c:lblOffset val="100"/>
        <c:tickLblSkip val="12"/>
        <c:noMultiLvlLbl val="0"/>
      </c:catAx>
      <c:valAx>
        <c:axId val="6561868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65612800"/>
        <c:crosses val="autoZero"/>
        <c:crossBetween val="between"/>
        <c:dispUnits>
          <c:builtInUnit val="thousands"/>
          <c:dispUnitsLbl/>
        </c:dispUnits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- HIDE'!$B$71</c:f>
              <c:strCache>
                <c:ptCount val="1"/>
                <c:pt idx="0">
                  <c:v>Cumulative Cash Flow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numRef>
              <c:f>MthCashSum!$G$6:$BM$6</c:f>
              <c:numCache>
                <c:formatCode>General</c:formatCode>
                <c:ptCount val="59"/>
                <c:pt idx="0">
                  <c:v>2026</c:v>
                </c:pt>
                <c:pt idx="1">
                  <c:v>2026</c:v>
                </c:pt>
                <c:pt idx="2">
                  <c:v>2026</c:v>
                </c:pt>
                <c:pt idx="3">
                  <c:v>2026</c:v>
                </c:pt>
                <c:pt idx="4">
                  <c:v>2026</c:v>
                </c:pt>
                <c:pt idx="5">
                  <c:v>2026</c:v>
                </c:pt>
                <c:pt idx="6">
                  <c:v>2026</c:v>
                </c:pt>
                <c:pt idx="7">
                  <c:v>2026</c:v>
                </c:pt>
                <c:pt idx="8">
                  <c:v>2026</c:v>
                </c:pt>
                <c:pt idx="9">
                  <c:v>2026</c:v>
                </c:pt>
                <c:pt idx="10">
                  <c:v>2026</c:v>
                </c:pt>
                <c:pt idx="11">
                  <c:v>2027</c:v>
                </c:pt>
                <c:pt idx="12">
                  <c:v>2027</c:v>
                </c:pt>
                <c:pt idx="13">
                  <c:v>2027</c:v>
                </c:pt>
                <c:pt idx="14">
                  <c:v>2027</c:v>
                </c:pt>
                <c:pt idx="15">
                  <c:v>2027</c:v>
                </c:pt>
                <c:pt idx="16">
                  <c:v>2027</c:v>
                </c:pt>
                <c:pt idx="17">
                  <c:v>2027</c:v>
                </c:pt>
                <c:pt idx="18">
                  <c:v>2027</c:v>
                </c:pt>
                <c:pt idx="19">
                  <c:v>2027</c:v>
                </c:pt>
                <c:pt idx="20">
                  <c:v>2027</c:v>
                </c:pt>
                <c:pt idx="21">
                  <c:v>2027</c:v>
                </c:pt>
                <c:pt idx="22">
                  <c:v>2027</c:v>
                </c:pt>
                <c:pt idx="23">
                  <c:v>2028</c:v>
                </c:pt>
                <c:pt idx="24">
                  <c:v>2028</c:v>
                </c:pt>
                <c:pt idx="25">
                  <c:v>2028</c:v>
                </c:pt>
                <c:pt idx="26">
                  <c:v>2028</c:v>
                </c:pt>
                <c:pt idx="27">
                  <c:v>2028</c:v>
                </c:pt>
                <c:pt idx="28">
                  <c:v>2028</c:v>
                </c:pt>
                <c:pt idx="29">
                  <c:v>2028</c:v>
                </c:pt>
                <c:pt idx="30">
                  <c:v>2028</c:v>
                </c:pt>
                <c:pt idx="31">
                  <c:v>2028</c:v>
                </c:pt>
                <c:pt idx="32">
                  <c:v>2028</c:v>
                </c:pt>
                <c:pt idx="33">
                  <c:v>2028</c:v>
                </c:pt>
                <c:pt idx="34">
                  <c:v>2028</c:v>
                </c:pt>
                <c:pt idx="35">
                  <c:v>2029</c:v>
                </c:pt>
                <c:pt idx="36">
                  <c:v>2029</c:v>
                </c:pt>
                <c:pt idx="37">
                  <c:v>2029</c:v>
                </c:pt>
                <c:pt idx="38">
                  <c:v>2029</c:v>
                </c:pt>
                <c:pt idx="39">
                  <c:v>2029</c:v>
                </c:pt>
                <c:pt idx="40">
                  <c:v>2029</c:v>
                </c:pt>
                <c:pt idx="41">
                  <c:v>2029</c:v>
                </c:pt>
                <c:pt idx="42">
                  <c:v>2029</c:v>
                </c:pt>
                <c:pt idx="43">
                  <c:v>2029</c:v>
                </c:pt>
                <c:pt idx="44">
                  <c:v>2029</c:v>
                </c:pt>
                <c:pt idx="45">
                  <c:v>2029</c:v>
                </c:pt>
                <c:pt idx="46">
                  <c:v>2029</c:v>
                </c:pt>
                <c:pt idx="47">
                  <c:v>2030</c:v>
                </c:pt>
                <c:pt idx="48">
                  <c:v>2030</c:v>
                </c:pt>
                <c:pt idx="49">
                  <c:v>2030</c:v>
                </c:pt>
                <c:pt idx="50">
                  <c:v>2030</c:v>
                </c:pt>
                <c:pt idx="51">
                  <c:v>2030</c:v>
                </c:pt>
                <c:pt idx="52">
                  <c:v>2030</c:v>
                </c:pt>
                <c:pt idx="53">
                  <c:v>2030</c:v>
                </c:pt>
                <c:pt idx="54">
                  <c:v>2030</c:v>
                </c:pt>
                <c:pt idx="55">
                  <c:v>2030</c:v>
                </c:pt>
                <c:pt idx="56">
                  <c:v>2030</c:v>
                </c:pt>
                <c:pt idx="57">
                  <c:v>2030</c:v>
                </c:pt>
                <c:pt idx="58">
                  <c:v>2030</c:v>
                </c:pt>
              </c:numCache>
            </c:numRef>
          </c:cat>
          <c:val>
            <c:numRef>
              <c:f>'Graphs - HIDE'!$F$71:$BM$71</c:f>
              <c:numCache>
                <c:formatCode>_("$"* #,##0_);_("$"* \(#,##0\);_("$"* "-"??_);_(@_)</c:formatCode>
                <c:ptCount val="60"/>
                <c:pt idx="0">
                  <c:v>-6697158.3253333326</c:v>
                </c:pt>
                <c:pt idx="1">
                  <c:v>-10034947.242666665</c:v>
                </c:pt>
                <c:pt idx="2">
                  <c:v>-13112105.567999998</c:v>
                </c:pt>
                <c:pt idx="3">
                  <c:v>-13847691.423999999</c:v>
                </c:pt>
                <c:pt idx="4">
                  <c:v>-14246134.335999999</c:v>
                </c:pt>
                <c:pt idx="5">
                  <c:v>-14799237.418666666</c:v>
                </c:pt>
                <c:pt idx="6">
                  <c:v>-15309346.997333333</c:v>
                </c:pt>
                <c:pt idx="7">
                  <c:v>-15290102.097079119</c:v>
                </c:pt>
                <c:pt idx="8">
                  <c:v>-14495351.886728046</c:v>
                </c:pt>
                <c:pt idx="9">
                  <c:v>-13671310.302623728</c:v>
                </c:pt>
                <c:pt idx="10">
                  <c:v>-12855992.509116339</c:v>
                </c:pt>
                <c:pt idx="11">
                  <c:v>-12029502.403207697</c:v>
                </c:pt>
                <c:pt idx="12">
                  <c:v>-11288991.48105848</c:v>
                </c:pt>
                <c:pt idx="13">
                  <c:v>-10608559.944834748</c:v>
                </c:pt>
                <c:pt idx="14">
                  <c:v>-9894611.4714072607</c:v>
                </c:pt>
                <c:pt idx="15">
                  <c:v>-9174127.011233205</c:v>
                </c:pt>
                <c:pt idx="16">
                  <c:v>-8442470.2386578973</c:v>
                </c:pt>
                <c:pt idx="17">
                  <c:v>-7721985.7784838416</c:v>
                </c:pt>
                <c:pt idx="18">
                  <c:v>-6990329.0059085339</c:v>
                </c:pt>
                <c:pt idx="19">
                  <c:v>-6249818.0837593162</c:v>
                </c:pt>
                <c:pt idx="20">
                  <c:v>-5529333.6235852605</c:v>
                </c:pt>
                <c:pt idx="21">
                  <c:v>-4797676.8510099528</c:v>
                </c:pt>
                <c:pt idx="22">
                  <c:v>-4077192.3908358971</c:v>
                </c:pt>
                <c:pt idx="23">
                  <c:v>-3345535.6182605894</c:v>
                </c:pt>
                <c:pt idx="24">
                  <c:v>-2605024.6961113717</c:v>
                </c:pt>
                <c:pt idx="25">
                  <c:v>-1924593.1598876393</c:v>
                </c:pt>
                <c:pt idx="26">
                  <c:v>-1210644.6864601513</c:v>
                </c:pt>
                <c:pt idx="27">
                  <c:v>-490160.22628609568</c:v>
                </c:pt>
                <c:pt idx="28">
                  <c:v>241496.54628921195</c:v>
                </c:pt>
                <c:pt idx="29">
                  <c:v>961981.00646326761</c:v>
                </c:pt>
                <c:pt idx="30">
                  <c:v>1693637.7790385752</c:v>
                </c:pt>
                <c:pt idx="31">
                  <c:v>2434148.7011877927</c:v>
                </c:pt>
                <c:pt idx="32">
                  <c:v>3154633.1613618485</c:v>
                </c:pt>
                <c:pt idx="33">
                  <c:v>3886289.9339371561</c:v>
                </c:pt>
                <c:pt idx="34">
                  <c:v>4606774.3941112114</c:v>
                </c:pt>
                <c:pt idx="35">
                  <c:v>5338431.166686519</c:v>
                </c:pt>
                <c:pt idx="36">
                  <c:v>6078942.0888357367</c:v>
                </c:pt>
                <c:pt idx="37">
                  <c:v>6759373.6250594687</c:v>
                </c:pt>
                <c:pt idx="38">
                  <c:v>7473322.0984869571</c:v>
                </c:pt>
                <c:pt idx="39">
                  <c:v>8193806.5586610129</c:v>
                </c:pt>
                <c:pt idx="40">
                  <c:v>8925463.3312363215</c:v>
                </c:pt>
                <c:pt idx="41">
                  <c:v>9645947.7914103772</c:v>
                </c:pt>
                <c:pt idx="42">
                  <c:v>10377604.563985685</c:v>
                </c:pt>
                <c:pt idx="43">
                  <c:v>11118115.486134902</c:v>
                </c:pt>
                <c:pt idx="44">
                  <c:v>11838599.946308957</c:v>
                </c:pt>
                <c:pt idx="45">
                  <c:v>12570256.718884265</c:v>
                </c:pt>
                <c:pt idx="46">
                  <c:v>13290741.179058321</c:v>
                </c:pt>
                <c:pt idx="47">
                  <c:v>14022397.951633628</c:v>
                </c:pt>
                <c:pt idx="48">
                  <c:v>14762908.873782845</c:v>
                </c:pt>
                <c:pt idx="49">
                  <c:v>15443340.410006577</c:v>
                </c:pt>
                <c:pt idx="50">
                  <c:v>16157288.883434065</c:v>
                </c:pt>
                <c:pt idx="51">
                  <c:v>16877773.343608119</c:v>
                </c:pt>
                <c:pt idx="52">
                  <c:v>17609430.116183426</c:v>
                </c:pt>
                <c:pt idx="53">
                  <c:v>18329914.57635748</c:v>
                </c:pt>
                <c:pt idx="54">
                  <c:v>19061571.348932788</c:v>
                </c:pt>
                <c:pt idx="55">
                  <c:v>19802082.271082006</c:v>
                </c:pt>
                <c:pt idx="56">
                  <c:v>20522566.73125606</c:v>
                </c:pt>
                <c:pt idx="57">
                  <c:v>21254223.503831368</c:v>
                </c:pt>
                <c:pt idx="58">
                  <c:v>21974707.964005422</c:v>
                </c:pt>
                <c:pt idx="59">
                  <c:v>22706364.736580729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5-4F3C-B811-E34DE66A2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50"/>
        <c:axId val="65655552"/>
        <c:axId val="65657088"/>
      </c:barChart>
      <c:catAx>
        <c:axId val="6565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65657088"/>
        <c:crosses val="autoZero"/>
        <c:auto val="1"/>
        <c:lblAlgn val="ctr"/>
        <c:lblOffset val="100"/>
        <c:tickLblSkip val="12"/>
        <c:noMultiLvlLbl val="0"/>
      </c:catAx>
      <c:valAx>
        <c:axId val="65657088"/>
        <c:scaling>
          <c:orientation val="minMax"/>
        </c:scaling>
        <c:delete val="0"/>
        <c:axPos val="l"/>
        <c:majorGridlines/>
        <c:numFmt formatCode="&quot;$&quot;#,##0" sourceLinked="0"/>
        <c:majorTickMark val="out"/>
        <c:minorTickMark val="none"/>
        <c:tickLblPos val="nextTo"/>
        <c:crossAx val="65655552"/>
        <c:crosses val="autoZero"/>
        <c:crossBetween val="between"/>
        <c:dispUnits>
          <c:builtInUnit val="millions"/>
          <c:dispUnitsLbl/>
        </c:dispUnits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'Graphs - HIDE'!$B$69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'Graphs - HIDE'!$F$42:$BM$42</c:f>
              <c:numCache>
                <c:formatCode>General</c:formatCode>
                <c:ptCount val="60"/>
                <c:pt idx="0">
                  <c:v>2026</c:v>
                </c:pt>
                <c:pt idx="1">
                  <c:v>2026</c:v>
                </c:pt>
                <c:pt idx="2">
                  <c:v>2026</c:v>
                </c:pt>
                <c:pt idx="3">
                  <c:v>2026</c:v>
                </c:pt>
                <c:pt idx="4">
                  <c:v>2026</c:v>
                </c:pt>
                <c:pt idx="5">
                  <c:v>2026</c:v>
                </c:pt>
                <c:pt idx="6">
                  <c:v>2026</c:v>
                </c:pt>
                <c:pt idx="7">
                  <c:v>2026</c:v>
                </c:pt>
                <c:pt idx="8">
                  <c:v>2026</c:v>
                </c:pt>
                <c:pt idx="9">
                  <c:v>2026</c:v>
                </c:pt>
                <c:pt idx="10">
                  <c:v>2026</c:v>
                </c:pt>
                <c:pt idx="11">
                  <c:v>2026</c:v>
                </c:pt>
                <c:pt idx="12">
                  <c:v>2027</c:v>
                </c:pt>
                <c:pt idx="13">
                  <c:v>2027</c:v>
                </c:pt>
                <c:pt idx="14">
                  <c:v>2027</c:v>
                </c:pt>
                <c:pt idx="15">
                  <c:v>2027</c:v>
                </c:pt>
                <c:pt idx="16">
                  <c:v>2027</c:v>
                </c:pt>
                <c:pt idx="17">
                  <c:v>2027</c:v>
                </c:pt>
                <c:pt idx="18">
                  <c:v>2027</c:v>
                </c:pt>
                <c:pt idx="19">
                  <c:v>2027</c:v>
                </c:pt>
                <c:pt idx="20">
                  <c:v>2027</c:v>
                </c:pt>
                <c:pt idx="21">
                  <c:v>2027</c:v>
                </c:pt>
                <c:pt idx="22">
                  <c:v>2027</c:v>
                </c:pt>
                <c:pt idx="23">
                  <c:v>2027</c:v>
                </c:pt>
                <c:pt idx="24">
                  <c:v>2028</c:v>
                </c:pt>
                <c:pt idx="25">
                  <c:v>2028</c:v>
                </c:pt>
                <c:pt idx="26">
                  <c:v>2028</c:v>
                </c:pt>
                <c:pt idx="27">
                  <c:v>2028</c:v>
                </c:pt>
                <c:pt idx="28">
                  <c:v>2028</c:v>
                </c:pt>
                <c:pt idx="29">
                  <c:v>2028</c:v>
                </c:pt>
                <c:pt idx="30">
                  <c:v>2028</c:v>
                </c:pt>
                <c:pt idx="31">
                  <c:v>2028</c:v>
                </c:pt>
                <c:pt idx="32">
                  <c:v>2028</c:v>
                </c:pt>
                <c:pt idx="33">
                  <c:v>2028</c:v>
                </c:pt>
                <c:pt idx="34">
                  <c:v>2028</c:v>
                </c:pt>
                <c:pt idx="35">
                  <c:v>2028</c:v>
                </c:pt>
                <c:pt idx="36">
                  <c:v>2029</c:v>
                </c:pt>
                <c:pt idx="37">
                  <c:v>2029</c:v>
                </c:pt>
                <c:pt idx="38">
                  <c:v>2029</c:v>
                </c:pt>
                <c:pt idx="39">
                  <c:v>2029</c:v>
                </c:pt>
                <c:pt idx="40">
                  <c:v>2029</c:v>
                </c:pt>
                <c:pt idx="41">
                  <c:v>2029</c:v>
                </c:pt>
                <c:pt idx="42">
                  <c:v>2029</c:v>
                </c:pt>
                <c:pt idx="43">
                  <c:v>2029</c:v>
                </c:pt>
                <c:pt idx="44">
                  <c:v>2029</c:v>
                </c:pt>
                <c:pt idx="45">
                  <c:v>2029</c:v>
                </c:pt>
                <c:pt idx="46">
                  <c:v>2029</c:v>
                </c:pt>
                <c:pt idx="47">
                  <c:v>2029</c:v>
                </c:pt>
                <c:pt idx="48">
                  <c:v>2030</c:v>
                </c:pt>
                <c:pt idx="49">
                  <c:v>2030</c:v>
                </c:pt>
                <c:pt idx="50">
                  <c:v>2030</c:v>
                </c:pt>
                <c:pt idx="51">
                  <c:v>2030</c:v>
                </c:pt>
                <c:pt idx="52">
                  <c:v>2030</c:v>
                </c:pt>
                <c:pt idx="53">
                  <c:v>2030</c:v>
                </c:pt>
                <c:pt idx="54">
                  <c:v>2030</c:v>
                </c:pt>
                <c:pt idx="55">
                  <c:v>2030</c:v>
                </c:pt>
                <c:pt idx="56">
                  <c:v>2030</c:v>
                </c:pt>
                <c:pt idx="57">
                  <c:v>2030</c:v>
                </c:pt>
                <c:pt idx="58">
                  <c:v>2030</c:v>
                </c:pt>
                <c:pt idx="59">
                  <c:v>2030</c:v>
                </c:pt>
              </c:numCache>
            </c:numRef>
          </c:cat>
          <c:val>
            <c:numRef>
              <c:f>'Graphs - HIDE'!$F$69:$BM$69</c:f>
              <c:numCache>
                <c:formatCode>_-"$"* #,##0_-;\-"$"* #,##0_-;_-"$"* "-"??_-;_-@_-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1004699.441672</c:v>
                </c:pt>
                <c:pt idx="8">
                  <c:v>1019288.6054464675</c:v>
                </c:pt>
                <c:pt idx="9">
                  <c:v>1072169.820280022</c:v>
                </c:pt>
                <c:pt idx="10">
                  <c:v>1035612.0841419568</c:v>
                </c:pt>
                <c:pt idx="11">
                  <c:v>1072169.820280022</c:v>
                </c:pt>
                <c:pt idx="12">
                  <c:v>1072169.820280022</c:v>
                </c:pt>
                <c:pt idx="13">
                  <c:v>962496.61186582642</c:v>
                </c:pt>
                <c:pt idx="14">
                  <c:v>1072169.820280022</c:v>
                </c:pt>
                <c:pt idx="15">
                  <c:v>1035612.0841419568</c:v>
                </c:pt>
                <c:pt idx="16">
                  <c:v>1072169.820280022</c:v>
                </c:pt>
                <c:pt idx="17">
                  <c:v>1035612.0841419568</c:v>
                </c:pt>
                <c:pt idx="18">
                  <c:v>1072169.820280022</c:v>
                </c:pt>
                <c:pt idx="19">
                  <c:v>1072169.820280022</c:v>
                </c:pt>
                <c:pt idx="20">
                  <c:v>1035612.0841419568</c:v>
                </c:pt>
                <c:pt idx="21">
                  <c:v>1072169.820280022</c:v>
                </c:pt>
                <c:pt idx="22">
                  <c:v>1035612.0841419568</c:v>
                </c:pt>
                <c:pt idx="23">
                  <c:v>1072169.820280022</c:v>
                </c:pt>
                <c:pt idx="24">
                  <c:v>1072169.820280022</c:v>
                </c:pt>
                <c:pt idx="25">
                  <c:v>962496.61186582642</c:v>
                </c:pt>
                <c:pt idx="26">
                  <c:v>1072169.820280022</c:v>
                </c:pt>
                <c:pt idx="27">
                  <c:v>1035612.0841419568</c:v>
                </c:pt>
                <c:pt idx="28">
                  <c:v>1072169.820280022</c:v>
                </c:pt>
                <c:pt idx="29">
                  <c:v>1035612.0841419568</c:v>
                </c:pt>
                <c:pt idx="30">
                  <c:v>1072169.820280022</c:v>
                </c:pt>
                <c:pt idx="31">
                  <c:v>1072169.820280022</c:v>
                </c:pt>
                <c:pt idx="32">
                  <c:v>1035612.0841419568</c:v>
                </c:pt>
                <c:pt idx="33">
                  <c:v>1072169.820280022</c:v>
                </c:pt>
                <c:pt idx="34">
                  <c:v>1035612.0841419568</c:v>
                </c:pt>
                <c:pt idx="35">
                  <c:v>1072169.820280022</c:v>
                </c:pt>
                <c:pt idx="36">
                  <c:v>1072169.820280022</c:v>
                </c:pt>
                <c:pt idx="37">
                  <c:v>962496.61186582642</c:v>
                </c:pt>
                <c:pt idx="38">
                  <c:v>1072169.820280022</c:v>
                </c:pt>
                <c:pt idx="39">
                  <c:v>1035612.0841419568</c:v>
                </c:pt>
                <c:pt idx="40">
                  <c:v>1072169.820280022</c:v>
                </c:pt>
                <c:pt idx="41">
                  <c:v>1035612.0841419568</c:v>
                </c:pt>
                <c:pt idx="42">
                  <c:v>1072169.820280022</c:v>
                </c:pt>
                <c:pt idx="43">
                  <c:v>1072169.820280022</c:v>
                </c:pt>
                <c:pt idx="44">
                  <c:v>1035612.0841419568</c:v>
                </c:pt>
                <c:pt idx="45">
                  <c:v>1072169.820280022</c:v>
                </c:pt>
                <c:pt idx="46">
                  <c:v>1035612.0841419568</c:v>
                </c:pt>
                <c:pt idx="47">
                  <c:v>1072169.820280022</c:v>
                </c:pt>
                <c:pt idx="48">
                  <c:v>1072169.820280022</c:v>
                </c:pt>
                <c:pt idx="49">
                  <c:v>962496.61186582642</c:v>
                </c:pt>
                <c:pt idx="50">
                  <c:v>1072169.820280022</c:v>
                </c:pt>
                <c:pt idx="51">
                  <c:v>1035612.0841419568</c:v>
                </c:pt>
                <c:pt idx="52">
                  <c:v>1072169.820280022</c:v>
                </c:pt>
                <c:pt idx="53">
                  <c:v>1035612.0841419568</c:v>
                </c:pt>
                <c:pt idx="54">
                  <c:v>1072169.820280022</c:v>
                </c:pt>
                <c:pt idx="55">
                  <c:v>1072169.820280022</c:v>
                </c:pt>
                <c:pt idx="56">
                  <c:v>1035612.0841419568</c:v>
                </c:pt>
                <c:pt idx="57">
                  <c:v>1072169.820280022</c:v>
                </c:pt>
                <c:pt idx="58">
                  <c:v>1035612.0841419568</c:v>
                </c:pt>
                <c:pt idx="59">
                  <c:v>1072169.820280022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16-4BAE-B2D9-49F151BB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113169888"/>
        <c:axId val="1113172768"/>
      </c:barChart>
      <c:lineChart>
        <c:grouping val="standard"/>
        <c:varyColors val="0"/>
        <c:ser>
          <c:idx val="0"/>
          <c:order val="1"/>
          <c:tx>
            <c:strRef>
              <c:f>'Graphs - HIDE'!$B$71</c:f>
              <c:strCache>
                <c:ptCount val="1"/>
                <c:pt idx="0">
                  <c:v>Cumulative Cash Flow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MthCashSum!$G$6:$BM$6</c:f>
              <c:numCache>
                <c:formatCode>General</c:formatCode>
                <c:ptCount val="59"/>
                <c:pt idx="0">
                  <c:v>2026</c:v>
                </c:pt>
                <c:pt idx="1">
                  <c:v>2026</c:v>
                </c:pt>
                <c:pt idx="2">
                  <c:v>2026</c:v>
                </c:pt>
                <c:pt idx="3">
                  <c:v>2026</c:v>
                </c:pt>
                <c:pt idx="4">
                  <c:v>2026</c:v>
                </c:pt>
                <c:pt idx="5">
                  <c:v>2026</c:v>
                </c:pt>
                <c:pt idx="6">
                  <c:v>2026</c:v>
                </c:pt>
                <c:pt idx="7">
                  <c:v>2026</c:v>
                </c:pt>
                <c:pt idx="8">
                  <c:v>2026</c:v>
                </c:pt>
                <c:pt idx="9">
                  <c:v>2026</c:v>
                </c:pt>
                <c:pt idx="10">
                  <c:v>2026</c:v>
                </c:pt>
                <c:pt idx="11">
                  <c:v>2027</c:v>
                </c:pt>
                <c:pt idx="12">
                  <c:v>2027</c:v>
                </c:pt>
                <c:pt idx="13">
                  <c:v>2027</c:v>
                </c:pt>
                <c:pt idx="14">
                  <c:v>2027</c:v>
                </c:pt>
                <c:pt idx="15">
                  <c:v>2027</c:v>
                </c:pt>
                <c:pt idx="16">
                  <c:v>2027</c:v>
                </c:pt>
                <c:pt idx="17">
                  <c:v>2027</c:v>
                </c:pt>
                <c:pt idx="18">
                  <c:v>2027</c:v>
                </c:pt>
                <c:pt idx="19">
                  <c:v>2027</c:v>
                </c:pt>
                <c:pt idx="20">
                  <c:v>2027</c:v>
                </c:pt>
                <c:pt idx="21">
                  <c:v>2027</c:v>
                </c:pt>
                <c:pt idx="22">
                  <c:v>2027</c:v>
                </c:pt>
                <c:pt idx="23">
                  <c:v>2028</c:v>
                </c:pt>
                <c:pt idx="24">
                  <c:v>2028</c:v>
                </c:pt>
                <c:pt idx="25">
                  <c:v>2028</c:v>
                </c:pt>
                <c:pt idx="26">
                  <c:v>2028</c:v>
                </c:pt>
                <c:pt idx="27">
                  <c:v>2028</c:v>
                </c:pt>
                <c:pt idx="28">
                  <c:v>2028</c:v>
                </c:pt>
                <c:pt idx="29">
                  <c:v>2028</c:v>
                </c:pt>
                <c:pt idx="30">
                  <c:v>2028</c:v>
                </c:pt>
                <c:pt idx="31">
                  <c:v>2028</c:v>
                </c:pt>
                <c:pt idx="32">
                  <c:v>2028</c:v>
                </c:pt>
                <c:pt idx="33">
                  <c:v>2028</c:v>
                </c:pt>
                <c:pt idx="34">
                  <c:v>2028</c:v>
                </c:pt>
                <c:pt idx="35">
                  <c:v>2029</c:v>
                </c:pt>
                <c:pt idx="36">
                  <c:v>2029</c:v>
                </c:pt>
                <c:pt idx="37">
                  <c:v>2029</c:v>
                </c:pt>
                <c:pt idx="38">
                  <c:v>2029</c:v>
                </c:pt>
                <c:pt idx="39">
                  <c:v>2029</c:v>
                </c:pt>
                <c:pt idx="40">
                  <c:v>2029</c:v>
                </c:pt>
                <c:pt idx="41">
                  <c:v>2029</c:v>
                </c:pt>
                <c:pt idx="42">
                  <c:v>2029</c:v>
                </c:pt>
                <c:pt idx="43">
                  <c:v>2029</c:v>
                </c:pt>
                <c:pt idx="44">
                  <c:v>2029</c:v>
                </c:pt>
                <c:pt idx="45">
                  <c:v>2029</c:v>
                </c:pt>
                <c:pt idx="46">
                  <c:v>2029</c:v>
                </c:pt>
                <c:pt idx="47">
                  <c:v>2030</c:v>
                </c:pt>
                <c:pt idx="48">
                  <c:v>2030</c:v>
                </c:pt>
                <c:pt idx="49">
                  <c:v>2030</c:v>
                </c:pt>
                <c:pt idx="50">
                  <c:v>2030</c:v>
                </c:pt>
                <c:pt idx="51">
                  <c:v>2030</c:v>
                </c:pt>
                <c:pt idx="52">
                  <c:v>2030</c:v>
                </c:pt>
                <c:pt idx="53">
                  <c:v>2030</c:v>
                </c:pt>
                <c:pt idx="54">
                  <c:v>2030</c:v>
                </c:pt>
                <c:pt idx="55">
                  <c:v>2030</c:v>
                </c:pt>
                <c:pt idx="56">
                  <c:v>2030</c:v>
                </c:pt>
                <c:pt idx="57">
                  <c:v>2030</c:v>
                </c:pt>
                <c:pt idx="58">
                  <c:v>2030</c:v>
                </c:pt>
              </c:numCache>
            </c:numRef>
          </c:cat>
          <c:val>
            <c:numRef>
              <c:f>'Graphs - HIDE'!$F$71:$BM$71</c:f>
              <c:numCache>
                <c:formatCode>_("$"* #,##0_);_("$"* \(#,##0\);_("$"* "-"??_);_(@_)</c:formatCode>
                <c:ptCount val="60"/>
                <c:pt idx="0">
                  <c:v>-6697158.3253333326</c:v>
                </c:pt>
                <c:pt idx="1">
                  <c:v>-10034947.242666665</c:v>
                </c:pt>
                <c:pt idx="2">
                  <c:v>-13112105.567999998</c:v>
                </c:pt>
                <c:pt idx="3">
                  <c:v>-13847691.423999999</c:v>
                </c:pt>
                <c:pt idx="4">
                  <c:v>-14246134.335999999</c:v>
                </c:pt>
                <c:pt idx="5">
                  <c:v>-14799237.418666666</c:v>
                </c:pt>
                <c:pt idx="6">
                  <c:v>-15309346.997333333</c:v>
                </c:pt>
                <c:pt idx="7">
                  <c:v>-15290102.097079119</c:v>
                </c:pt>
                <c:pt idx="8">
                  <c:v>-14495351.886728046</c:v>
                </c:pt>
                <c:pt idx="9">
                  <c:v>-13671310.302623728</c:v>
                </c:pt>
                <c:pt idx="10">
                  <c:v>-12855992.509116339</c:v>
                </c:pt>
                <c:pt idx="11">
                  <c:v>-12029502.403207697</c:v>
                </c:pt>
                <c:pt idx="12">
                  <c:v>-11288991.48105848</c:v>
                </c:pt>
                <c:pt idx="13">
                  <c:v>-10608559.944834748</c:v>
                </c:pt>
                <c:pt idx="14">
                  <c:v>-9894611.4714072607</c:v>
                </c:pt>
                <c:pt idx="15">
                  <c:v>-9174127.011233205</c:v>
                </c:pt>
                <c:pt idx="16">
                  <c:v>-8442470.2386578973</c:v>
                </c:pt>
                <c:pt idx="17">
                  <c:v>-7721985.7784838416</c:v>
                </c:pt>
                <c:pt idx="18">
                  <c:v>-6990329.0059085339</c:v>
                </c:pt>
                <c:pt idx="19">
                  <c:v>-6249818.0837593162</c:v>
                </c:pt>
                <c:pt idx="20">
                  <c:v>-5529333.6235852605</c:v>
                </c:pt>
                <c:pt idx="21">
                  <c:v>-4797676.8510099528</c:v>
                </c:pt>
                <c:pt idx="22">
                  <c:v>-4077192.3908358971</c:v>
                </c:pt>
                <c:pt idx="23">
                  <c:v>-3345535.6182605894</c:v>
                </c:pt>
                <c:pt idx="24">
                  <c:v>-2605024.6961113717</c:v>
                </c:pt>
                <c:pt idx="25">
                  <c:v>-1924593.1598876393</c:v>
                </c:pt>
                <c:pt idx="26">
                  <c:v>-1210644.6864601513</c:v>
                </c:pt>
                <c:pt idx="27">
                  <c:v>-490160.22628609568</c:v>
                </c:pt>
                <c:pt idx="28">
                  <c:v>241496.54628921195</c:v>
                </c:pt>
                <c:pt idx="29">
                  <c:v>961981.00646326761</c:v>
                </c:pt>
                <c:pt idx="30">
                  <c:v>1693637.7790385752</c:v>
                </c:pt>
                <c:pt idx="31">
                  <c:v>2434148.7011877927</c:v>
                </c:pt>
                <c:pt idx="32">
                  <c:v>3154633.1613618485</c:v>
                </c:pt>
                <c:pt idx="33">
                  <c:v>3886289.9339371561</c:v>
                </c:pt>
                <c:pt idx="34">
                  <c:v>4606774.3941112114</c:v>
                </c:pt>
                <c:pt idx="35">
                  <c:v>5338431.166686519</c:v>
                </c:pt>
                <c:pt idx="36">
                  <c:v>6078942.0888357367</c:v>
                </c:pt>
                <c:pt idx="37">
                  <c:v>6759373.6250594687</c:v>
                </c:pt>
                <c:pt idx="38">
                  <c:v>7473322.0984869571</c:v>
                </c:pt>
                <c:pt idx="39">
                  <c:v>8193806.5586610129</c:v>
                </c:pt>
                <c:pt idx="40">
                  <c:v>8925463.3312363215</c:v>
                </c:pt>
                <c:pt idx="41">
                  <c:v>9645947.7914103772</c:v>
                </c:pt>
                <c:pt idx="42">
                  <c:v>10377604.563985685</c:v>
                </c:pt>
                <c:pt idx="43">
                  <c:v>11118115.486134902</c:v>
                </c:pt>
                <c:pt idx="44">
                  <c:v>11838599.946308957</c:v>
                </c:pt>
                <c:pt idx="45">
                  <c:v>12570256.718884265</c:v>
                </c:pt>
                <c:pt idx="46">
                  <c:v>13290741.179058321</c:v>
                </c:pt>
                <c:pt idx="47">
                  <c:v>14022397.951633628</c:v>
                </c:pt>
                <c:pt idx="48">
                  <c:v>14762908.873782845</c:v>
                </c:pt>
                <c:pt idx="49">
                  <c:v>15443340.410006577</c:v>
                </c:pt>
                <c:pt idx="50">
                  <c:v>16157288.883434065</c:v>
                </c:pt>
                <c:pt idx="51">
                  <c:v>16877773.343608119</c:v>
                </c:pt>
                <c:pt idx="52">
                  <c:v>17609430.116183426</c:v>
                </c:pt>
                <c:pt idx="53">
                  <c:v>18329914.57635748</c:v>
                </c:pt>
                <c:pt idx="54">
                  <c:v>19061571.348932788</c:v>
                </c:pt>
                <c:pt idx="55">
                  <c:v>19802082.271082006</c:v>
                </c:pt>
                <c:pt idx="56">
                  <c:v>20522566.73125606</c:v>
                </c:pt>
                <c:pt idx="57">
                  <c:v>21254223.503831368</c:v>
                </c:pt>
                <c:pt idx="58">
                  <c:v>21974707.964005422</c:v>
                </c:pt>
                <c:pt idx="59">
                  <c:v>22706364.736580729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16-4BAE-B2D9-49F151BB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55552"/>
        <c:axId val="65657088"/>
      </c:lineChart>
      <c:catAx>
        <c:axId val="6565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65657088"/>
        <c:crosses val="autoZero"/>
        <c:auto val="1"/>
        <c:lblAlgn val="ctr"/>
        <c:lblOffset val="100"/>
        <c:noMultiLvlLbl val="0"/>
      </c:catAx>
      <c:valAx>
        <c:axId val="65657088"/>
        <c:scaling>
          <c:orientation val="minMax"/>
        </c:scaling>
        <c:delete val="0"/>
        <c:axPos val="l"/>
        <c:majorGridlines/>
        <c:numFmt formatCode="&quot;$&quot;#,##0" sourceLinked="0"/>
        <c:majorTickMark val="out"/>
        <c:minorTickMark val="none"/>
        <c:tickLblPos val="nextTo"/>
        <c:crossAx val="65655552"/>
        <c:crosses val="autoZero"/>
        <c:crossBetween val="between"/>
        <c:dispUnits>
          <c:builtInUnit val="millions"/>
          <c:dispUnitsLbl/>
        </c:dispUnits>
      </c:valAx>
      <c:valAx>
        <c:axId val="1113172768"/>
        <c:scaling>
          <c:orientation val="minMax"/>
        </c:scaling>
        <c:delete val="0"/>
        <c:axPos val="r"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113169888"/>
        <c:crosses val="max"/>
        <c:crossBetween val="between"/>
      </c:valAx>
      <c:catAx>
        <c:axId val="111316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3172768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7</xdr:row>
      <xdr:rowOff>203199</xdr:rowOff>
    </xdr:from>
    <xdr:ext cx="7581900" cy="4733925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691D12F-F24D-4F88-8CCE-7AC56104F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28575</xdr:colOff>
      <xdr:row>39</xdr:row>
      <xdr:rowOff>19050</xdr:rowOff>
    </xdr:from>
    <xdr:ext cx="6480000" cy="4733925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700EA45-DDA5-44B7-B2CF-DE6C7E8A5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9525</xdr:colOff>
      <xdr:row>4</xdr:row>
      <xdr:rowOff>180975</xdr:rowOff>
    </xdr:from>
    <xdr:to>
      <xdr:col>29</xdr:col>
      <xdr:colOff>447675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F7C70-6087-A0DD-F581-A20A0AF38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28</xdr:row>
      <xdr:rowOff>0</xdr:rowOff>
    </xdr:from>
    <xdr:to>
      <xdr:col>29</xdr:col>
      <xdr:colOff>438150</xdr:colOff>
      <xdr:row>48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6B45F9-4C34-48FF-9A88-B04323AE9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50</xdr:row>
      <xdr:rowOff>0</xdr:rowOff>
    </xdr:from>
    <xdr:to>
      <xdr:col>29</xdr:col>
      <xdr:colOff>438150</xdr:colOff>
      <xdr:row>70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789929-6560-45BD-BF22-B1D29A728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0</xdr:colOff>
      <xdr:row>28</xdr:row>
      <xdr:rowOff>0</xdr:rowOff>
    </xdr:from>
    <xdr:to>
      <xdr:col>44</xdr:col>
      <xdr:colOff>438150</xdr:colOff>
      <xdr:row>48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CCEAD7-CA51-4654-A9A7-2987821F1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581025</xdr:colOff>
      <xdr:row>4</xdr:row>
      <xdr:rowOff>180975</xdr:rowOff>
    </xdr:from>
    <xdr:to>
      <xdr:col>44</xdr:col>
      <xdr:colOff>428625</xdr:colOff>
      <xdr:row>26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7324B2-92A4-4C2C-9A04-0035C605A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</xdr:row>
      <xdr:rowOff>23812</xdr:rowOff>
    </xdr:from>
    <xdr:to>
      <xdr:col>7</xdr:col>
      <xdr:colOff>381000</xdr:colOff>
      <xdr:row>20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24</xdr:row>
      <xdr:rowOff>4762</xdr:rowOff>
    </xdr:from>
    <xdr:to>
      <xdr:col>7</xdr:col>
      <xdr:colOff>323850</xdr:colOff>
      <xdr:row>38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28575</xdr:colOff>
      <xdr:row>24</xdr:row>
      <xdr:rowOff>9525</xdr:rowOff>
    </xdr:from>
    <xdr:to>
      <xdr:col>13</xdr:col>
      <xdr:colOff>904875</xdr:colOff>
      <xdr:row>38</xdr:row>
      <xdr:rowOff>157163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  <a:ext uri="{147F2762-F138-4A5C-976F-8EAC2B608ADB}">
              <a16:predDERef xmlns:a16="http://schemas.microsoft.com/office/drawing/2014/main" pre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6</xdr:row>
      <xdr:rowOff>19050</xdr:rowOff>
    </xdr:from>
    <xdr:to>
      <xdr:col>13</xdr:col>
      <xdr:colOff>895350</xdr:colOff>
      <xdr:row>20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  <a:ext uri="{147F2762-F138-4A5C-976F-8EAC2B608ADB}">
              <a16:predDERef xmlns:a16="http://schemas.microsoft.com/office/drawing/2014/main" pre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333375</xdr:colOff>
      <xdr:row>6</xdr:row>
      <xdr:rowOff>9525</xdr:rowOff>
    </xdr:from>
    <xdr:to>
      <xdr:col>20</xdr:col>
      <xdr:colOff>219075</xdr:colOff>
      <xdr:row>20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EF89EB-B6BD-433A-AD6F-AEC55D1E7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0"/>
  <sheetViews>
    <sheetView workbookViewId="0">
      <selection activeCell="D23" sqref="D23"/>
    </sheetView>
  </sheetViews>
  <sheetFormatPr defaultColWidth="8.85546875" defaultRowHeight="15"/>
  <cols>
    <col min="1" max="1" width="4.42578125" customWidth="1"/>
    <col min="2" max="2" width="4.85546875" customWidth="1"/>
    <col min="3" max="3" width="59.28515625" customWidth="1"/>
    <col min="4" max="4" width="16.28515625" bestFit="1" customWidth="1"/>
    <col min="6" max="6" width="21.42578125" customWidth="1"/>
    <col min="8" max="8" width="20.7109375" customWidth="1"/>
    <col min="9" max="9" width="25.85546875" customWidth="1"/>
    <col min="10" max="11" width="20.7109375" customWidth="1"/>
  </cols>
  <sheetData>
    <row r="2" spans="1:3" ht="18.75">
      <c r="A2" s="40" t="s">
        <v>0</v>
      </c>
    </row>
    <row r="4" spans="1:3">
      <c r="A4" s="10" t="s">
        <v>1</v>
      </c>
      <c r="C4" t="s">
        <v>2</v>
      </c>
    </row>
    <row r="6" spans="1:3">
      <c r="B6" s="10" t="s">
        <v>3</v>
      </c>
    </row>
    <row r="7" spans="1:3">
      <c r="A7" s="10"/>
      <c r="B7" s="10">
        <v>1</v>
      </c>
      <c r="C7" t="s">
        <v>4</v>
      </c>
    </row>
    <row r="8" spans="1:3">
      <c r="A8" s="10"/>
      <c r="B8" s="10">
        <f>1+B7</f>
        <v>2</v>
      </c>
      <c r="C8" t="str">
        <f>"Crumb rubber purchase price assumed to be $"&amp;Assumptions!$D$13&amp;"/lb - market price is $.10-.15/lb"</f>
        <v>Crumb rubber purchase price assumed to be $0.1/lb - market price is $.10-.15/lb</v>
      </c>
    </row>
    <row r="9" spans="1:3">
      <c r="A9" s="10"/>
      <c r="B9" s="10">
        <f t="shared" ref="B9:B21" si="0">1+B8</f>
        <v>3</v>
      </c>
      <c r="C9" t="s">
        <v>5</v>
      </c>
    </row>
    <row r="10" spans="1:3">
      <c r="A10" s="10"/>
      <c r="B10" s="10">
        <f t="shared" si="0"/>
        <v>4</v>
      </c>
      <c r="C10" t="str">
        <f>"Solvent based on $"&amp;Assumptions!$D$16&amp;"/gal - competitive market price is approx. $10-18/gal"</f>
        <v>Solvent based on $8/gal - competitive market price is approx. $10-18/gal</v>
      </c>
    </row>
    <row r="11" spans="1:3">
      <c r="A11" s="10"/>
      <c r="B11" s="10">
        <f t="shared" si="0"/>
        <v>5</v>
      </c>
      <c r="C11" t="str">
        <f>"Carbon Black based on $"&amp;Assumptions!D17&amp;"/lb - competitive market price is approx. $.55/lb+"</f>
        <v>Carbon Black based on $0.5/lb - competitive market price is approx. $.55/lb+</v>
      </c>
    </row>
    <row r="12" spans="1:3">
      <c r="B12" s="10">
        <f t="shared" si="0"/>
        <v>6</v>
      </c>
      <c r="C12" t="str">
        <f>"RNG is priced at $"&amp;Assumptions!D18&amp;"/MCF - wholesale market price fluctuates between $2-5/MCF"</f>
        <v>RNG is priced at $1.5/MCF - wholesale market price fluctuates between $2-5/MCF</v>
      </c>
    </row>
    <row r="13" spans="1:3">
      <c r="B13" s="10">
        <f t="shared" si="0"/>
        <v>7</v>
      </c>
      <c r="C13" t="s">
        <v>6</v>
      </c>
    </row>
    <row r="14" spans="1:3">
      <c r="B14" s="10">
        <f t="shared" si="0"/>
        <v>8</v>
      </c>
      <c r="C14" t="s">
        <v>7</v>
      </c>
    </row>
    <row r="15" spans="1:3">
      <c r="B15" s="10">
        <f t="shared" si="0"/>
        <v>9</v>
      </c>
      <c r="C15" t="s">
        <v>8</v>
      </c>
    </row>
    <row r="16" spans="1:3">
      <c r="B16" s="10">
        <f>1+B17</f>
        <v>11</v>
      </c>
      <c r="C16" t="s">
        <v>9</v>
      </c>
    </row>
    <row r="17" spans="2:11">
      <c r="B17" s="10">
        <f>1+B15</f>
        <v>10</v>
      </c>
      <c r="C17" t="str">
        <f>"Plant availability is set at "&amp;TEXT(Assumptions!D36,"0.0%")&amp;", where operation capacity is expected to be 90%+"</f>
        <v>Plant availability is set at 0.0%, where operation capacity is expected to be 90%+</v>
      </c>
    </row>
    <row r="18" spans="2:11">
      <c r="B18" s="10">
        <f>1+B16</f>
        <v>12</v>
      </c>
      <c r="C18" t="s">
        <v>10</v>
      </c>
    </row>
    <row r="19" spans="2:11">
      <c r="B19" s="10">
        <f t="shared" si="0"/>
        <v>13</v>
      </c>
      <c r="C19" t="s">
        <v>11</v>
      </c>
      <c r="D19" s="10"/>
      <c r="E19" s="10"/>
      <c r="F19" s="10"/>
      <c r="G19" s="10"/>
      <c r="H19" s="10"/>
      <c r="I19" s="10"/>
      <c r="J19" s="10"/>
      <c r="K19" s="10"/>
    </row>
    <row r="20" spans="2:11">
      <c r="B20" s="10">
        <f t="shared" si="0"/>
        <v>14</v>
      </c>
      <c r="C20" t="s">
        <v>12</v>
      </c>
      <c r="D20" s="10"/>
      <c r="E20" s="10"/>
      <c r="F20" s="10"/>
      <c r="G20" s="10"/>
      <c r="H20" s="10"/>
      <c r="I20" s="10"/>
      <c r="J20" s="10"/>
      <c r="K20" s="10"/>
    </row>
    <row r="21" spans="2:11">
      <c r="B21" s="10">
        <f t="shared" si="0"/>
        <v>15</v>
      </c>
      <c r="C21" t="s">
        <v>13</v>
      </c>
      <c r="D21" s="10"/>
      <c r="E21" s="10"/>
      <c r="F21" s="10"/>
      <c r="G21" s="10"/>
      <c r="H21" s="10"/>
      <c r="I21" s="10"/>
      <c r="J21" s="10"/>
      <c r="K21" s="10"/>
    </row>
    <row r="23" spans="2:11">
      <c r="C23" t="s">
        <v>14</v>
      </c>
      <c r="D23" s="254" t="s">
        <v>15</v>
      </c>
    </row>
    <row r="25" spans="2:11">
      <c r="C25" s="10" t="s">
        <v>16</v>
      </c>
    </row>
    <row r="26" spans="2:11">
      <c r="C26" t="s">
        <v>17</v>
      </c>
      <c r="D26" s="190">
        <f>Economics!T7</f>
        <v>310578800.85927767</v>
      </c>
      <c r="F26" s="28"/>
      <c r="H26" s="28"/>
      <c r="I26" s="28"/>
      <c r="J26" s="28"/>
      <c r="K26" s="28"/>
    </row>
    <row r="27" spans="2:11">
      <c r="C27" t="s">
        <v>18</v>
      </c>
      <c r="D27" s="190">
        <f>Economics!T11</f>
        <v>181745811.43733376</v>
      </c>
      <c r="F27" s="28"/>
      <c r="H27" s="28"/>
      <c r="I27" s="28"/>
      <c r="J27" s="28"/>
      <c r="K27" s="28"/>
    </row>
    <row r="28" spans="2:11">
      <c r="C28" t="s">
        <v>19</v>
      </c>
      <c r="D28" s="168">
        <f>Economics!U9</f>
        <v>0.64389452515899204</v>
      </c>
      <c r="H28" s="28"/>
      <c r="I28" s="28"/>
      <c r="J28" s="28"/>
      <c r="K28" s="28"/>
    </row>
    <row r="29" spans="2:11">
      <c r="C29" t="s">
        <v>20</v>
      </c>
      <c r="D29" s="190">
        <f>Economics!R27</f>
        <v>1037486.9589333311</v>
      </c>
      <c r="F29" s="28"/>
      <c r="H29" s="28"/>
      <c r="I29" s="28"/>
      <c r="J29" s="28"/>
      <c r="K29" s="28"/>
    </row>
    <row r="30" spans="2:11">
      <c r="C30" t="s">
        <v>21</v>
      </c>
      <c r="D30" s="190">
        <f>Economics!D20</f>
        <v>15000000</v>
      </c>
      <c r="F30" s="28"/>
      <c r="H30" s="28"/>
      <c r="I30" s="28"/>
      <c r="J30" s="28"/>
      <c r="K30" s="28"/>
    </row>
    <row r="31" spans="2:11">
      <c r="C31" t="s">
        <v>22</v>
      </c>
      <c r="D31" s="190">
        <f>Economics!R29</f>
        <v>14574636.469351664</v>
      </c>
    </row>
    <row r="33" spans="3:4">
      <c r="C33" t="s">
        <v>23</v>
      </c>
      <c r="D33" s="168">
        <f>Economics!H34</f>
        <v>0.19504060859113315</v>
      </c>
    </row>
    <row r="34" spans="3:4">
      <c r="C34" t="s">
        <v>24</v>
      </c>
      <c r="D34" s="168">
        <f>Economics!R34</f>
        <v>0.38133254905818359</v>
      </c>
    </row>
    <row r="35" spans="3:4">
      <c r="D35" s="16"/>
    </row>
    <row r="40" spans="3:4">
      <c r="C40" t="s">
        <v>25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7AA673-F45A-4DE7-8233-2E8C370417E9}">
          <x14:formula1>
            <xm:f>Assumptions!$E$23:$E$28</xm:f>
          </x14:formula1>
          <xm:sqref>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22D4-5AE9-448B-A119-BF5096388E6C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D3B3-ECB8-4448-B6F0-7C99B2C54686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V73"/>
  <sheetViews>
    <sheetView topLeftCell="A7" zoomScaleNormal="100" zoomScalePageLayoutView="75" workbookViewId="0">
      <selection activeCell="K21" sqref="K21:N21"/>
    </sheetView>
  </sheetViews>
  <sheetFormatPr defaultColWidth="8.85546875" defaultRowHeight="15"/>
  <cols>
    <col min="1" max="1" width="5.7109375" customWidth="1"/>
    <col min="2" max="2" width="32.85546875" customWidth="1"/>
    <col min="3" max="3" width="5.140625" bestFit="1" customWidth="1"/>
    <col min="4" max="18" width="14.28515625" customWidth="1"/>
    <col min="19" max="19" width="15.42578125" customWidth="1"/>
    <col min="20" max="20" width="15.7109375" bestFit="1" customWidth="1"/>
    <col min="21" max="21" width="10.85546875" bestFit="1" customWidth="1"/>
    <col min="22" max="22" width="9.140625" customWidth="1"/>
  </cols>
  <sheetData>
    <row r="2" spans="1:22">
      <c r="A2" s="10" t="str">
        <f>ModelDescription!A2</f>
        <v>Economic Forecasting Model</v>
      </c>
    </row>
    <row r="3" spans="1:22">
      <c r="A3" s="10" t="str">
        <f>ModelDescription!C4</f>
        <v>Noble, OK 6 Processor Facility - Series A + Series B</v>
      </c>
    </row>
    <row r="4" spans="1:22">
      <c r="A4" s="10"/>
    </row>
    <row r="5" spans="1:22" s="7" customFormat="1">
      <c r="B5" s="7" t="s">
        <v>26</v>
      </c>
      <c r="D5" s="8">
        <f>MthCashSum!F6</f>
        <v>2026</v>
      </c>
      <c r="E5" s="8">
        <f>D5+1</f>
        <v>2027</v>
      </c>
      <c r="F5" s="8">
        <f t="shared" ref="F5:R5" si="0">E5+1</f>
        <v>2028</v>
      </c>
      <c r="G5" s="8">
        <f t="shared" si="0"/>
        <v>2029</v>
      </c>
      <c r="H5" s="8">
        <f t="shared" si="0"/>
        <v>2030</v>
      </c>
      <c r="I5" s="8">
        <f t="shared" si="0"/>
        <v>2031</v>
      </c>
      <c r="J5" s="8">
        <f>I5+1</f>
        <v>2032</v>
      </c>
      <c r="K5" s="8">
        <f t="shared" si="0"/>
        <v>2033</v>
      </c>
      <c r="L5" s="8">
        <f t="shared" si="0"/>
        <v>2034</v>
      </c>
      <c r="M5" s="8">
        <f t="shared" si="0"/>
        <v>2035</v>
      </c>
      <c r="N5" s="8">
        <f t="shared" si="0"/>
        <v>2036</v>
      </c>
      <c r="O5" s="8">
        <f t="shared" si="0"/>
        <v>2037</v>
      </c>
      <c r="P5" s="8">
        <f t="shared" si="0"/>
        <v>2038</v>
      </c>
      <c r="Q5" s="8">
        <f t="shared" si="0"/>
        <v>2039</v>
      </c>
      <c r="R5" s="8">
        <f t="shared" si="0"/>
        <v>2040</v>
      </c>
      <c r="T5" s="8" t="s">
        <v>27</v>
      </c>
    </row>
    <row r="6" spans="1:22" s="7" customFormat="1">
      <c r="B6" s="7" t="s">
        <v>28</v>
      </c>
      <c r="D6" s="8">
        <v>1</v>
      </c>
      <c r="E6" s="8">
        <f>D6+1</f>
        <v>2</v>
      </c>
      <c r="F6" s="8">
        <f>E6+1</f>
        <v>3</v>
      </c>
      <c r="G6" s="8">
        <f>F6+1</f>
        <v>4</v>
      </c>
      <c r="H6" s="8">
        <f>G6+1</f>
        <v>5</v>
      </c>
      <c r="I6" s="8">
        <f t="shared" ref="I6:R6" si="1">H6+1</f>
        <v>6</v>
      </c>
      <c r="J6" s="8">
        <f>I6+1</f>
        <v>7</v>
      </c>
      <c r="K6" s="8">
        <f t="shared" si="1"/>
        <v>8</v>
      </c>
      <c r="L6" s="8">
        <f t="shared" si="1"/>
        <v>9</v>
      </c>
      <c r="M6" s="8">
        <f t="shared" si="1"/>
        <v>10</v>
      </c>
      <c r="N6" s="8">
        <f t="shared" si="1"/>
        <v>11</v>
      </c>
      <c r="O6" s="8">
        <f t="shared" si="1"/>
        <v>12</v>
      </c>
      <c r="P6" s="8">
        <f t="shared" si="1"/>
        <v>13</v>
      </c>
      <c r="Q6" s="8">
        <f t="shared" si="1"/>
        <v>14</v>
      </c>
      <c r="R6" s="8">
        <f t="shared" si="1"/>
        <v>15</v>
      </c>
      <c r="T6" s="8"/>
    </row>
    <row r="7" spans="1:22">
      <c r="B7" s="64" t="s">
        <v>29</v>
      </c>
      <c r="C7" s="64" t="s">
        <v>30</v>
      </c>
      <c r="D7" s="65" cm="1">
        <f t="array" ref="D7">SUMPRODUCT((D$39:D$82)*($C$39:$C$82=$C7))</f>
        <v>8947438.7080844678</v>
      </c>
      <c r="E7" s="66" cm="1">
        <f t="array" ref="E7">SUMPRODUCT((E$39:E$82)*($C$39:$C$82=$C7))</f>
        <v>21545097.296513803</v>
      </c>
      <c r="F7" s="66">
        <f t="shared" ref="F7:R7" si="2">SUMPRODUCT((F$39:F$82)*($C$39:$C$82=$C7))</f>
        <v>21545097.296513803</v>
      </c>
      <c r="G7" s="66">
        <f t="shared" si="2"/>
        <v>21545097.296513803</v>
      </c>
      <c r="H7" s="66">
        <f t="shared" si="2"/>
        <v>21545097.296513803</v>
      </c>
      <c r="I7" s="66">
        <f t="shared" si="2"/>
        <v>21545097.296513803</v>
      </c>
      <c r="J7" s="66">
        <f t="shared" si="2"/>
        <v>21545097.296513803</v>
      </c>
      <c r="K7" s="66">
        <f t="shared" si="2"/>
        <v>21545097.296513803</v>
      </c>
      <c r="L7" s="66">
        <f t="shared" si="2"/>
        <v>21545097.296513803</v>
      </c>
      <c r="M7" s="66">
        <f t="shared" si="2"/>
        <v>21545097.296513803</v>
      </c>
      <c r="N7" s="66">
        <f t="shared" si="2"/>
        <v>21545097.296513803</v>
      </c>
      <c r="O7" s="66">
        <f t="shared" si="2"/>
        <v>21545097.296513803</v>
      </c>
      <c r="P7" s="66">
        <f t="shared" si="2"/>
        <v>21545097.296513803</v>
      </c>
      <c r="Q7" s="66">
        <f t="shared" si="2"/>
        <v>21545097.296513803</v>
      </c>
      <c r="R7" s="66">
        <f t="shared" si="2"/>
        <v>21545097.296513803</v>
      </c>
      <c r="T7" s="22">
        <f>SUM(D7:R7)</f>
        <v>310578800.85927767</v>
      </c>
      <c r="V7" s="13"/>
    </row>
    <row r="8" spans="1:22">
      <c r="B8" s="64" t="s">
        <v>31</v>
      </c>
      <c r="C8" s="67" t="s">
        <v>32</v>
      </c>
      <c r="D8" s="68" cm="1">
        <f t="array" ref="D8">-SUMPRODUCT((D$39:D$82)*($C$39:$C$82=$C8))</f>
        <v>-3215165.2778639998</v>
      </c>
      <c r="E8" s="68">
        <f t="shared" ref="E8:R8" si="3">-SUMPRODUCT((E$39:E$82)*($C$39:$C$82=$C8))</f>
        <v>-7670260.4341199975</v>
      </c>
      <c r="F8" s="68">
        <f t="shared" si="3"/>
        <v>-7670260.4341199975</v>
      </c>
      <c r="G8" s="68">
        <f t="shared" si="3"/>
        <v>-7670260.4341199975</v>
      </c>
      <c r="H8" s="68">
        <f t="shared" si="3"/>
        <v>-7670260.4341199975</v>
      </c>
      <c r="I8" s="68">
        <f t="shared" si="3"/>
        <v>-7670260.4341199975</v>
      </c>
      <c r="J8" s="68">
        <f t="shared" si="3"/>
        <v>-7670260.4341199975</v>
      </c>
      <c r="K8" s="68">
        <f t="shared" si="3"/>
        <v>-7670260.4341199975</v>
      </c>
      <c r="L8" s="68">
        <f t="shared" si="3"/>
        <v>-7670260.4341199975</v>
      </c>
      <c r="M8" s="68">
        <f t="shared" si="3"/>
        <v>-7670260.4341199975</v>
      </c>
      <c r="N8" s="68">
        <f t="shared" si="3"/>
        <v>-7670260.4341199975</v>
      </c>
      <c r="O8" s="68">
        <f t="shared" si="3"/>
        <v>-7670260.4341199975</v>
      </c>
      <c r="P8" s="68">
        <f t="shared" si="3"/>
        <v>-7670260.4341199975</v>
      </c>
      <c r="Q8" s="68">
        <f t="shared" si="3"/>
        <v>-7670260.4341199975</v>
      </c>
      <c r="R8" s="68">
        <f t="shared" si="3"/>
        <v>-7670260.4341199975</v>
      </c>
      <c r="T8" s="27">
        <f>SUM(D8:R8)</f>
        <v>-110598811.35554399</v>
      </c>
    </row>
    <row r="9" spans="1:22">
      <c r="B9" s="64" t="s">
        <v>33</v>
      </c>
      <c r="C9" s="64"/>
      <c r="D9" s="65">
        <f>D7+D8</f>
        <v>5732273.430220468</v>
      </c>
      <c r="E9" s="65">
        <f>E7+E8</f>
        <v>13874836.862393806</v>
      </c>
      <c r="F9" s="65">
        <f>F7+F8</f>
        <v>13874836.862393806</v>
      </c>
      <c r="G9" s="65">
        <f>G7+G8</f>
        <v>13874836.862393806</v>
      </c>
      <c r="H9" s="65">
        <f>H7+H8</f>
        <v>13874836.862393806</v>
      </c>
      <c r="I9" s="65">
        <f t="shared" ref="I9:R9" si="4">I7+I8</f>
        <v>13874836.862393806</v>
      </c>
      <c r="J9" s="65">
        <f t="shared" si="4"/>
        <v>13874836.862393806</v>
      </c>
      <c r="K9" s="65">
        <f t="shared" si="4"/>
        <v>13874836.862393806</v>
      </c>
      <c r="L9" s="65">
        <f t="shared" si="4"/>
        <v>13874836.862393806</v>
      </c>
      <c r="M9" s="65">
        <f t="shared" si="4"/>
        <v>13874836.862393806</v>
      </c>
      <c r="N9" s="65">
        <f t="shared" si="4"/>
        <v>13874836.862393806</v>
      </c>
      <c r="O9" s="65">
        <f t="shared" si="4"/>
        <v>13874836.862393806</v>
      </c>
      <c r="P9" s="65">
        <f t="shared" si="4"/>
        <v>13874836.862393806</v>
      </c>
      <c r="Q9" s="65">
        <f t="shared" si="4"/>
        <v>13874836.862393806</v>
      </c>
      <c r="R9" s="65">
        <f t="shared" si="4"/>
        <v>13874836.862393806</v>
      </c>
      <c r="T9" s="12">
        <f>SUM(D9:R9)</f>
        <v>199979989.50373372</v>
      </c>
      <c r="U9" s="169">
        <f>T9/T7</f>
        <v>0.64389452515899204</v>
      </c>
    </row>
    <row r="10" spans="1:22">
      <c r="B10" s="64" t="s">
        <v>34</v>
      </c>
      <c r="C10" s="64" t="s">
        <v>35</v>
      </c>
      <c r="D10" s="65" cm="1">
        <f t="array" ref="D10">-SUMPRODUCT((D$39:D$82)*($C$39:$C$82=$C10))</f>
        <v>-528333.65839999996</v>
      </c>
      <c r="E10" s="65">
        <f t="shared" ref="E10:R10" si="5">-SUMPRODUCT((E$39:E$82)*($C$39:$C$82=$C10))</f>
        <v>-1264703.1719999998</v>
      </c>
      <c r="F10" s="65">
        <f t="shared" si="5"/>
        <v>-1264703.1719999998</v>
      </c>
      <c r="G10" s="65">
        <f t="shared" si="5"/>
        <v>-1264703.1719999998</v>
      </c>
      <c r="H10" s="65">
        <f t="shared" si="5"/>
        <v>-1264703.1719999998</v>
      </c>
      <c r="I10" s="65">
        <f t="shared" si="5"/>
        <v>-1264703.1719999998</v>
      </c>
      <c r="J10" s="65">
        <f t="shared" si="5"/>
        <v>-1264703.1719999998</v>
      </c>
      <c r="K10" s="65">
        <f t="shared" si="5"/>
        <v>-1264703.1719999998</v>
      </c>
      <c r="L10" s="65">
        <f t="shared" si="5"/>
        <v>-1264703.1719999998</v>
      </c>
      <c r="M10" s="65">
        <f t="shared" si="5"/>
        <v>-1264703.1719999998</v>
      </c>
      <c r="N10" s="65">
        <f t="shared" si="5"/>
        <v>-1264703.1719999998</v>
      </c>
      <c r="O10" s="65">
        <f t="shared" si="5"/>
        <v>-1264703.1719999998</v>
      </c>
      <c r="P10" s="65">
        <f t="shared" si="5"/>
        <v>-1264703.1719999998</v>
      </c>
      <c r="Q10" s="65">
        <f t="shared" si="5"/>
        <v>-1264703.1719999998</v>
      </c>
      <c r="R10" s="65">
        <f t="shared" si="5"/>
        <v>-1264703.1719999998</v>
      </c>
      <c r="T10" s="12">
        <f>SUM(D10:R10)</f>
        <v>-18234178.066399999</v>
      </c>
      <c r="U10" s="8" t="s">
        <v>36</v>
      </c>
    </row>
    <row r="11" spans="1:22">
      <c r="B11" s="149" t="s">
        <v>37</v>
      </c>
      <c r="C11" s="149"/>
      <c r="D11" s="150">
        <f>D9+D10</f>
        <v>5203939.7718204679</v>
      </c>
      <c r="E11" s="150">
        <f>E9+E10</f>
        <v>12610133.690393806</v>
      </c>
      <c r="F11" s="150">
        <f>F9+F10</f>
        <v>12610133.690393806</v>
      </c>
      <c r="G11" s="150">
        <f>G9+G10</f>
        <v>12610133.690393806</v>
      </c>
      <c r="H11" s="150">
        <f>H9+H10</f>
        <v>12610133.690393806</v>
      </c>
      <c r="I11" s="150">
        <f t="shared" ref="I11:R11" si="6">I9+I10</f>
        <v>12610133.690393806</v>
      </c>
      <c r="J11" s="150">
        <f t="shared" si="6"/>
        <v>12610133.690393806</v>
      </c>
      <c r="K11" s="150">
        <f t="shared" si="6"/>
        <v>12610133.690393806</v>
      </c>
      <c r="L11" s="150">
        <f t="shared" si="6"/>
        <v>12610133.690393806</v>
      </c>
      <c r="M11" s="150">
        <f t="shared" si="6"/>
        <v>12610133.690393806</v>
      </c>
      <c r="N11" s="150">
        <f t="shared" si="6"/>
        <v>12610133.690393806</v>
      </c>
      <c r="O11" s="150">
        <f t="shared" si="6"/>
        <v>12610133.690393806</v>
      </c>
      <c r="P11" s="150">
        <f t="shared" si="6"/>
        <v>12610133.690393806</v>
      </c>
      <c r="Q11" s="150">
        <f t="shared" si="6"/>
        <v>12610133.690393806</v>
      </c>
      <c r="R11" s="150">
        <f t="shared" si="6"/>
        <v>12610133.690393806</v>
      </c>
      <c r="S11" s="9"/>
      <c r="T11" s="150">
        <f>SUM(D11:R11)</f>
        <v>181745811.43733376</v>
      </c>
      <c r="V11" s="13"/>
    </row>
    <row r="12" spans="1:22"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</row>
    <row r="13" spans="1:22">
      <c r="B13" s="64" t="s">
        <v>38</v>
      </c>
      <c r="C13" s="69">
        <f>Assumptions!D6</f>
        <v>0.15</v>
      </c>
      <c r="D13" s="70">
        <f>D7*$C13</f>
        <v>1342115.8062126702</v>
      </c>
      <c r="E13" s="70">
        <f>E7*$C13</f>
        <v>3231764.5944770705</v>
      </c>
      <c r="F13" s="70">
        <f>F7*$C13</f>
        <v>3231764.5944770705</v>
      </c>
      <c r="G13" s="70">
        <f>G7*$C13</f>
        <v>3231764.5944770705</v>
      </c>
      <c r="H13" s="70">
        <f>H7*$C13</f>
        <v>3231764.5944770705</v>
      </c>
      <c r="I13" s="70">
        <f t="shared" ref="I13" si="7">I7*$C13</f>
        <v>3231764.5944770705</v>
      </c>
      <c r="J13" s="70">
        <f t="shared" ref="J13:R13" si="8">J7*$C13</f>
        <v>3231764.5944770705</v>
      </c>
      <c r="K13" s="70">
        <f t="shared" si="8"/>
        <v>3231764.5944770705</v>
      </c>
      <c r="L13" s="70">
        <f t="shared" si="8"/>
        <v>3231764.5944770705</v>
      </c>
      <c r="M13" s="70">
        <f t="shared" si="8"/>
        <v>3231764.5944770705</v>
      </c>
      <c r="N13" s="70">
        <f t="shared" si="8"/>
        <v>3231764.5944770705</v>
      </c>
      <c r="O13" s="70">
        <f t="shared" si="8"/>
        <v>3231764.5944770705</v>
      </c>
      <c r="P13" s="70">
        <f t="shared" si="8"/>
        <v>3231764.5944770705</v>
      </c>
      <c r="Q13" s="70">
        <f t="shared" si="8"/>
        <v>3231764.5944770705</v>
      </c>
      <c r="R13" s="70">
        <f t="shared" si="8"/>
        <v>3231764.5944770705</v>
      </c>
      <c r="T13" s="11"/>
    </row>
    <row r="14" spans="1:22">
      <c r="B14" s="64" t="s">
        <v>39</v>
      </c>
      <c r="C14" s="64"/>
      <c r="D14" s="71">
        <f>WACC!C18</f>
        <v>0.21</v>
      </c>
      <c r="E14" s="71">
        <f>D14</f>
        <v>0.21</v>
      </c>
      <c r="F14" s="71">
        <f>E14</f>
        <v>0.21</v>
      </c>
      <c r="G14" s="71">
        <f>F14</f>
        <v>0.21</v>
      </c>
      <c r="H14" s="71">
        <f>G14</f>
        <v>0.21</v>
      </c>
      <c r="I14" s="71">
        <f t="shared" ref="I14:Q14" si="9">H14</f>
        <v>0.21</v>
      </c>
      <c r="J14" s="71">
        <f>I14</f>
        <v>0.21</v>
      </c>
      <c r="K14" s="71">
        <f t="shared" si="9"/>
        <v>0.21</v>
      </c>
      <c r="L14" s="71">
        <f t="shared" si="9"/>
        <v>0.21</v>
      </c>
      <c r="M14" s="71">
        <f t="shared" si="9"/>
        <v>0.21</v>
      </c>
      <c r="N14" s="71">
        <f t="shared" si="9"/>
        <v>0.21</v>
      </c>
      <c r="O14" s="71">
        <f t="shared" si="9"/>
        <v>0.21</v>
      </c>
      <c r="P14" s="71">
        <f t="shared" si="9"/>
        <v>0.21</v>
      </c>
      <c r="Q14" s="71">
        <f t="shared" si="9"/>
        <v>0.21</v>
      </c>
      <c r="R14" s="71">
        <f t="shared" ref="R14" si="10">Q14</f>
        <v>0.21</v>
      </c>
      <c r="S14" s="9"/>
      <c r="T14" s="1"/>
    </row>
    <row r="15" spans="1:22">
      <c r="B15" s="64" t="s">
        <v>40</v>
      </c>
      <c r="C15" s="64"/>
      <c r="D15" s="70">
        <f>IF(D11&lt;0,D11,D11*(1-D14))</f>
        <v>4111112.4197381698</v>
      </c>
      <c r="E15" s="70">
        <f>IF(E11&lt;0,E11,E11*(1-E14))</f>
        <v>9962005.6154111065</v>
      </c>
      <c r="F15" s="70">
        <f>IF(F11&lt;0,F11,F11*(1-F14))</f>
        <v>9962005.6154111065</v>
      </c>
      <c r="G15" s="70">
        <f>IF(G11&lt;0,G11,G11*(1-G14))</f>
        <v>9962005.6154111065</v>
      </c>
      <c r="H15" s="70">
        <f>IF(H11&lt;0,H11,H11*(1-H14))</f>
        <v>9962005.6154111065</v>
      </c>
      <c r="I15" s="70">
        <f t="shared" ref="I15:R15" si="11">IF(I11&lt;0,I11,I11*(1-I14))</f>
        <v>9962005.6154111065</v>
      </c>
      <c r="J15" s="70">
        <f t="shared" si="11"/>
        <v>9962005.6154111065</v>
      </c>
      <c r="K15" s="70">
        <f t="shared" si="11"/>
        <v>9962005.6154111065</v>
      </c>
      <c r="L15" s="70">
        <f t="shared" si="11"/>
        <v>9962005.6154111065</v>
      </c>
      <c r="M15" s="70">
        <f t="shared" si="11"/>
        <v>9962005.6154111065</v>
      </c>
      <c r="N15" s="70">
        <f t="shared" si="11"/>
        <v>9962005.6154111065</v>
      </c>
      <c r="O15" s="70">
        <f t="shared" si="11"/>
        <v>9962005.6154111065</v>
      </c>
      <c r="P15" s="70">
        <f t="shared" si="11"/>
        <v>9962005.6154111065</v>
      </c>
      <c r="Q15" s="70">
        <f t="shared" si="11"/>
        <v>9962005.6154111065</v>
      </c>
      <c r="R15" s="70">
        <f t="shared" si="11"/>
        <v>9962005.6154111065</v>
      </c>
      <c r="S15" s="9"/>
      <c r="T15" s="11">
        <f>SUM(D15:R15)</f>
        <v>143579191.03549364</v>
      </c>
    </row>
    <row r="16" spans="1:22">
      <c r="B16" s="64"/>
      <c r="C16" s="64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9"/>
      <c r="T16" s="9"/>
    </row>
    <row r="17" spans="2:20">
      <c r="B17" s="64" t="s">
        <v>41</v>
      </c>
      <c r="C17" s="64" t="s">
        <v>42</v>
      </c>
      <c r="D17" s="65" cm="1">
        <f t="array" ref="D17">-SUMPRODUCT((D$39:D$82)*($C$39:$C$82=$C17))</f>
        <v>-15843456.575999999</v>
      </c>
      <c r="E17" s="65">
        <f t="shared" ref="E17:R17" si="12">-SUMPRODUCT((E$39:E$82)*($C$39:$C$82=$C17))</f>
        <v>0</v>
      </c>
      <c r="F17" s="65">
        <f t="shared" si="12"/>
        <v>0</v>
      </c>
      <c r="G17" s="65">
        <f t="shared" si="12"/>
        <v>0</v>
      </c>
      <c r="H17" s="65">
        <f t="shared" si="12"/>
        <v>0</v>
      </c>
      <c r="I17" s="65">
        <f t="shared" si="12"/>
        <v>0</v>
      </c>
      <c r="J17" s="65">
        <f t="shared" si="12"/>
        <v>0</v>
      </c>
      <c r="K17" s="65">
        <f t="shared" si="12"/>
        <v>0</v>
      </c>
      <c r="L17" s="65">
        <f t="shared" si="12"/>
        <v>0</v>
      </c>
      <c r="M17" s="65">
        <f t="shared" si="12"/>
        <v>0</v>
      </c>
      <c r="N17" s="65">
        <f t="shared" si="12"/>
        <v>0</v>
      </c>
      <c r="O17" s="65">
        <f t="shared" si="12"/>
        <v>0</v>
      </c>
      <c r="P17" s="65">
        <f t="shared" si="12"/>
        <v>0</v>
      </c>
      <c r="Q17" s="65">
        <f t="shared" si="12"/>
        <v>0</v>
      </c>
      <c r="R17" s="65">
        <f t="shared" si="12"/>
        <v>0</v>
      </c>
      <c r="S17" s="9"/>
      <c r="T17" s="12">
        <f>SUM(D17:R17)</f>
        <v>-15843456.575999999</v>
      </c>
    </row>
    <row r="18" spans="2:20">
      <c r="B18" s="64" t="s">
        <v>43</v>
      </c>
      <c r="C18" s="64" t="s">
        <v>44</v>
      </c>
      <c r="D18" s="65" cm="1">
        <f t="array" ref="D18">SUMPRODUCT((D$39:D$59)*($C$39:$C$59=$C18))</f>
        <v>18743.479466666653</v>
      </c>
      <c r="E18" s="65" cm="1">
        <f t="array" ref="E18">SUMPRODUCT((E$39:E$59)*($C$39:$C$59=$C18))</f>
        <v>1056230.4383999999</v>
      </c>
      <c r="F18" s="65" cm="1">
        <f t="array" ref="F18">SUMPRODUCT((F$39:F$59)*($C$39:$C$59=$C18))</f>
        <v>1056230.4383999999</v>
      </c>
      <c r="G18" s="65" cm="1">
        <f t="array" ref="G18">SUMPRODUCT((G$39:G$59)*($C$39:$C$59=$C18))</f>
        <v>1056230.4383999999</v>
      </c>
      <c r="H18" s="65" cm="1">
        <f t="array" ref="H18">SUMPRODUCT((H$39:H$59)*($C$39:$C$59=$C18))</f>
        <v>1056230.4383999999</v>
      </c>
      <c r="I18" s="65" cm="1">
        <f t="array" ref="I18">SUMPRODUCT((I$39:I$59)*($C$39:$C$59=$C18))</f>
        <v>1056230.4383999999</v>
      </c>
      <c r="J18" s="65" cm="1">
        <f t="array" ref="J18">SUMPRODUCT((J$39:J$59)*($C$39:$C$59=$C18))</f>
        <v>1056230.4383999999</v>
      </c>
      <c r="K18" s="65" cm="1">
        <f t="array" ref="K18">SUMPRODUCT((K$39:K$59)*($C$39:$C$59=$C18))</f>
        <v>1056230.4383999999</v>
      </c>
      <c r="L18" s="65" cm="1">
        <f t="array" ref="L18">SUMPRODUCT((L$39:L$59)*($C$39:$C$59=$C18))</f>
        <v>1056230.4383999999</v>
      </c>
      <c r="M18" s="65" cm="1">
        <f t="array" ref="M18">SUMPRODUCT((M$39:M$59)*($C$39:$C$59=$C18))</f>
        <v>1056230.4383999999</v>
      </c>
      <c r="N18" s="65" cm="1">
        <f t="array" ref="N18">SUMPRODUCT((N$39:N$59)*($C$39:$C$59=$C18))</f>
        <v>1056230.4383999999</v>
      </c>
      <c r="O18" s="65" cm="1">
        <f t="array" ref="O18">SUMPRODUCT((O$39:O$59)*($C$39:$C$59=$C18))</f>
        <v>1056230.4383999999</v>
      </c>
      <c r="P18" s="65" cm="1">
        <f t="array" ref="P18">SUMPRODUCT((P$39:P$59)*($C$39:$C$59=$C18))</f>
        <v>1056230.4383999999</v>
      </c>
      <c r="Q18" s="65" cm="1">
        <f t="array" ref="Q18">SUMPRODUCT((Q$39:Q$59)*($C$39:$C$59=$C18))</f>
        <v>1056230.4383999999</v>
      </c>
      <c r="R18" s="65" cm="1">
        <f t="array" ref="R18">SUMPRODUCT((R$39:R$59)*($C$39:$C$59=$C18))</f>
        <v>1056230.4383999999</v>
      </c>
      <c r="S18" s="9"/>
      <c r="T18" s="12">
        <f>SUM(D18:R18)</f>
        <v>14805969.617066668</v>
      </c>
    </row>
    <row r="19" spans="2:20">
      <c r="B19" s="64" t="s">
        <v>45</v>
      </c>
      <c r="C19" s="73"/>
      <c r="D19" s="65">
        <f>-D13</f>
        <v>-1342115.8062126702</v>
      </c>
      <c r="E19" s="65">
        <f>D13-E13</f>
        <v>-1889648.7882644003</v>
      </c>
      <c r="F19" s="65">
        <f>E13-F13</f>
        <v>0</v>
      </c>
      <c r="G19" s="65">
        <f>F13-G13</f>
        <v>0</v>
      </c>
      <c r="H19" s="65">
        <f>G13-H13</f>
        <v>0</v>
      </c>
      <c r="I19" s="65">
        <f t="shared" ref="I19:Q19" si="13">H13-I13</f>
        <v>0</v>
      </c>
      <c r="J19" s="65">
        <f>I13-J13</f>
        <v>0</v>
      </c>
      <c r="K19" s="65">
        <f t="shared" si="13"/>
        <v>0</v>
      </c>
      <c r="L19" s="65">
        <f t="shared" si="13"/>
        <v>0</v>
      </c>
      <c r="M19" s="65">
        <f t="shared" si="13"/>
        <v>0</v>
      </c>
      <c r="N19" s="65">
        <f t="shared" si="13"/>
        <v>0</v>
      </c>
      <c r="O19" s="65">
        <f t="shared" si="13"/>
        <v>0</v>
      </c>
      <c r="P19" s="65">
        <f t="shared" si="13"/>
        <v>0</v>
      </c>
      <c r="Q19" s="65">
        <f t="shared" si="13"/>
        <v>0</v>
      </c>
      <c r="R19" s="65">
        <f t="shared" ref="R19" si="14">Q13-R13</f>
        <v>0</v>
      </c>
      <c r="S19" s="9"/>
      <c r="T19" s="12"/>
    </row>
    <row r="20" spans="2:20">
      <c r="B20" s="64" t="s">
        <v>46</v>
      </c>
      <c r="C20" s="73"/>
      <c r="D20" s="65">
        <f>Proforma!E10</f>
        <v>15000000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9"/>
      <c r="T20" s="12"/>
    </row>
    <row r="21" spans="2:20">
      <c r="B21" s="149" t="s">
        <v>47</v>
      </c>
      <c r="C21" s="149"/>
      <c r="D21" s="151">
        <f>SUM(D15:D19)</f>
        <v>-13055716.483007833</v>
      </c>
      <c r="E21" s="151">
        <f t="shared" ref="E21:R21" si="15">SUM(E15:E19)</f>
        <v>9128587.2655467056</v>
      </c>
      <c r="F21" s="151">
        <f t="shared" si="15"/>
        <v>11018236.053811107</v>
      </c>
      <c r="G21" s="151">
        <f t="shared" si="15"/>
        <v>11018236.053811107</v>
      </c>
      <c r="H21" s="151">
        <f t="shared" si="15"/>
        <v>11018236.053811107</v>
      </c>
      <c r="I21" s="151">
        <f t="shared" si="15"/>
        <v>11018236.053811107</v>
      </c>
      <c r="J21" s="151">
        <f t="shared" si="15"/>
        <v>11018236.053811107</v>
      </c>
      <c r="K21" s="151">
        <f t="shared" si="15"/>
        <v>11018236.053811107</v>
      </c>
      <c r="L21" s="151">
        <f t="shared" si="15"/>
        <v>11018236.053811107</v>
      </c>
      <c r="M21" s="151">
        <f t="shared" si="15"/>
        <v>11018236.053811107</v>
      </c>
      <c r="N21" s="151">
        <f t="shared" si="15"/>
        <v>11018236.053811107</v>
      </c>
      <c r="O21" s="151">
        <f t="shared" si="15"/>
        <v>11018236.053811107</v>
      </c>
      <c r="P21" s="151">
        <f t="shared" si="15"/>
        <v>11018236.053811107</v>
      </c>
      <c r="Q21" s="151">
        <f t="shared" si="15"/>
        <v>11018236.053811107</v>
      </c>
      <c r="R21" s="151">
        <f t="shared" si="15"/>
        <v>11018236.053811107</v>
      </c>
      <c r="S21" s="9"/>
      <c r="T21" s="151">
        <f>SUM(D21:R21)</f>
        <v>139309939.48208323</v>
      </c>
    </row>
    <row r="22" spans="2:20">
      <c r="B22" s="64"/>
      <c r="C22" s="64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T22" s="11"/>
    </row>
    <row r="23" spans="2:20">
      <c r="B23" s="64" t="s">
        <v>48</v>
      </c>
      <c r="C23" s="64"/>
      <c r="D23" s="71">
        <f>WACC!C23</f>
        <v>0.2</v>
      </c>
      <c r="E23" s="71">
        <f>D23</f>
        <v>0.2</v>
      </c>
      <c r="F23" s="71">
        <f>E23</f>
        <v>0.2</v>
      </c>
      <c r="G23" s="71">
        <f>F23</f>
        <v>0.2</v>
      </c>
      <c r="H23" s="71">
        <f>G23</f>
        <v>0.2</v>
      </c>
      <c r="I23" s="71">
        <f t="shared" ref="I23:Q23" si="16">H23</f>
        <v>0.2</v>
      </c>
      <c r="J23" s="71">
        <f>I23</f>
        <v>0.2</v>
      </c>
      <c r="K23" s="71">
        <f t="shared" si="16"/>
        <v>0.2</v>
      </c>
      <c r="L23" s="71">
        <f t="shared" si="16"/>
        <v>0.2</v>
      </c>
      <c r="M23" s="71">
        <f t="shared" si="16"/>
        <v>0.2</v>
      </c>
      <c r="N23" s="71">
        <f t="shared" si="16"/>
        <v>0.2</v>
      </c>
      <c r="O23" s="71">
        <f t="shared" si="16"/>
        <v>0.2</v>
      </c>
      <c r="P23" s="71">
        <f t="shared" si="16"/>
        <v>0.2</v>
      </c>
      <c r="Q23" s="71">
        <f t="shared" si="16"/>
        <v>0.2</v>
      </c>
      <c r="R23" s="71">
        <f t="shared" ref="R23" si="17">Q23</f>
        <v>0.2</v>
      </c>
      <c r="T23" s="1"/>
    </row>
    <row r="24" spans="2:20">
      <c r="B24" s="64" t="s">
        <v>49</v>
      </c>
      <c r="C24" s="64"/>
      <c r="D24" s="70">
        <f>D21/(1+D23)^D6</f>
        <v>-10879763.735839862</v>
      </c>
      <c r="E24" s="70">
        <f>E21/(1+E23)^E6</f>
        <v>6339296.7121852124</v>
      </c>
      <c r="F24" s="70">
        <f>F21/(1+F23)^F6</f>
        <v>6376294.0126221683</v>
      </c>
      <c r="G24" s="70">
        <f>G21/(1+G23)^G6</f>
        <v>5313578.3438518075</v>
      </c>
      <c r="H24" s="70">
        <f>H21/(1+H23)^H6</f>
        <v>4427981.9532098398</v>
      </c>
      <c r="I24" s="70">
        <f t="shared" ref="I24:R24" si="18">I21/(1+I23)^I6</f>
        <v>3689984.9610081995</v>
      </c>
      <c r="J24" s="70">
        <f t="shared" si="18"/>
        <v>3074987.4675068329</v>
      </c>
      <c r="K24" s="70">
        <f t="shared" si="18"/>
        <v>2562489.5562556945</v>
      </c>
      <c r="L24" s="70">
        <f t="shared" si="18"/>
        <v>2135407.9635464121</v>
      </c>
      <c r="M24" s="70">
        <f t="shared" si="18"/>
        <v>1779506.6362886766</v>
      </c>
      <c r="N24" s="70">
        <f t="shared" si="18"/>
        <v>1482922.1969072304</v>
      </c>
      <c r="O24" s="70">
        <f t="shared" si="18"/>
        <v>1235768.4974226921</v>
      </c>
      <c r="P24" s="70">
        <f t="shared" si="18"/>
        <v>1029807.0811855767</v>
      </c>
      <c r="Q24" s="70">
        <f t="shared" si="18"/>
        <v>858172.5676546474</v>
      </c>
      <c r="R24" s="70">
        <f t="shared" si="18"/>
        <v>715143.80637887283</v>
      </c>
      <c r="T24" s="11"/>
    </row>
    <row r="25" spans="2:20">
      <c r="B25" s="64" t="s">
        <v>50</v>
      </c>
      <c r="C25" s="64">
        <v>5</v>
      </c>
      <c r="D25" s="70"/>
      <c r="E25" s="70"/>
      <c r="F25" s="70">
        <f>AVERAGE(D11:F11)*$C25</f>
        <v>50707011.92101346</v>
      </c>
      <c r="G25" s="70">
        <f>AVERAGE(E11:G11)*$C25</f>
        <v>63050668.451969028</v>
      </c>
      <c r="H25" s="70">
        <f>AVERAGE(F11:H11)*$C25</f>
        <v>63050668.451969028</v>
      </c>
      <c r="I25" s="70">
        <f t="shared" ref="I25" si="19">AVERAGE(G11:I11)*$C25</f>
        <v>63050668.451969028</v>
      </c>
      <c r="J25" s="70">
        <f t="shared" ref="J25:R25" si="20">AVERAGE(H11:J11)*$C25</f>
        <v>63050668.451969028</v>
      </c>
      <c r="K25" s="70">
        <f t="shared" si="20"/>
        <v>63050668.451969028</v>
      </c>
      <c r="L25" s="70">
        <f t="shared" si="20"/>
        <v>63050668.451969028</v>
      </c>
      <c r="M25" s="70">
        <f t="shared" si="20"/>
        <v>63050668.451969028</v>
      </c>
      <c r="N25" s="70">
        <f t="shared" si="20"/>
        <v>63050668.451969028</v>
      </c>
      <c r="O25" s="70">
        <f t="shared" si="20"/>
        <v>63050668.451969028</v>
      </c>
      <c r="P25" s="70">
        <f t="shared" si="20"/>
        <v>63050668.451969028</v>
      </c>
      <c r="Q25" s="70">
        <f t="shared" si="20"/>
        <v>63050668.451969028</v>
      </c>
      <c r="R25" s="70">
        <f t="shared" si="20"/>
        <v>63050668.451969028</v>
      </c>
      <c r="T25" s="17"/>
    </row>
    <row r="26" spans="2:20">
      <c r="B26" s="64"/>
      <c r="C26" s="64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T26" s="42"/>
    </row>
    <row r="27" spans="2:20">
      <c r="B27" s="152" t="s">
        <v>51</v>
      </c>
      <c r="C27" s="152"/>
      <c r="D27" s="153">
        <f>SUM($D44:D44)-SUM($D46:D46)</f>
        <v>15824713.096533332</v>
      </c>
      <c r="E27" s="153">
        <f>SUM($D44:E44)-SUM($D46:E46)</f>
        <v>14768482.658133334</v>
      </c>
      <c r="F27" s="153">
        <f>SUM($D44:F44)-SUM($D46:F46)</f>
        <v>13712252.219733333</v>
      </c>
      <c r="G27" s="153">
        <f>SUM($D44:G44)-SUM($D46:G46)</f>
        <v>12656021.781333333</v>
      </c>
      <c r="H27" s="153">
        <f>SUM($D44:H44)-SUM($D46:H46)</f>
        <v>11599791.342933334</v>
      </c>
      <c r="I27" s="153">
        <f>SUM($D44:I44)-SUM($D46:I46)</f>
        <v>10543560.904533334</v>
      </c>
      <c r="J27" s="153">
        <f>SUM($D44:J44)-SUM($D46:J46)</f>
        <v>9487330.4661333337</v>
      </c>
      <c r="K27" s="153">
        <f>SUM($D44:K44)-SUM($D46:K46)</f>
        <v>8431100.0277333334</v>
      </c>
      <c r="L27" s="153">
        <f>SUM($D44:L44)-SUM($D46:L46)</f>
        <v>7374869.5893333331</v>
      </c>
      <c r="M27" s="153">
        <f>SUM($D44:M44)-SUM($D46:M46)</f>
        <v>6318639.1509333327</v>
      </c>
      <c r="N27" s="153">
        <f>SUM($D44:N44)-SUM($D46:N46)</f>
        <v>5262408.7125333324</v>
      </c>
      <c r="O27" s="153">
        <f>SUM($D44:O44)-SUM($D46:O46)</f>
        <v>4206178.2741333321</v>
      </c>
      <c r="P27" s="153">
        <f>SUM($D44:P44)-SUM($D46:P46)</f>
        <v>3149947.8357333317</v>
      </c>
      <c r="Q27" s="153">
        <f>SUM($D44:Q44)-SUM($D46:Q46)</f>
        <v>2093717.3973333314</v>
      </c>
      <c r="R27" s="153">
        <f>SUM($D44:R44)-SUM($D46:R46)</f>
        <v>1037486.9589333311</v>
      </c>
      <c r="T27" s="42"/>
    </row>
    <row r="28" spans="2:20">
      <c r="B28" s="24" t="s">
        <v>46</v>
      </c>
      <c r="C28" s="24"/>
      <c r="D28" s="154">
        <f>D20</f>
        <v>15000000</v>
      </c>
      <c r="E28" s="154">
        <f t="shared" ref="E28:R28" si="21">E20</f>
        <v>0</v>
      </c>
      <c r="F28" s="154">
        <f t="shared" si="21"/>
        <v>0</v>
      </c>
      <c r="G28" s="154">
        <f t="shared" si="21"/>
        <v>0</v>
      </c>
      <c r="H28" s="154">
        <f t="shared" si="21"/>
        <v>0</v>
      </c>
      <c r="I28" s="154">
        <f t="shared" si="21"/>
        <v>0</v>
      </c>
      <c r="J28" s="154">
        <f t="shared" si="21"/>
        <v>0</v>
      </c>
      <c r="K28" s="154">
        <f t="shared" si="21"/>
        <v>0</v>
      </c>
      <c r="L28" s="154">
        <f t="shared" si="21"/>
        <v>0</v>
      </c>
      <c r="M28" s="154">
        <f t="shared" si="21"/>
        <v>0</v>
      </c>
      <c r="N28" s="154">
        <f t="shared" si="21"/>
        <v>0</v>
      </c>
      <c r="O28" s="154">
        <f t="shared" si="21"/>
        <v>0</v>
      </c>
      <c r="P28" s="154">
        <f t="shared" si="21"/>
        <v>0</v>
      </c>
      <c r="Q28" s="154">
        <f t="shared" si="21"/>
        <v>0</v>
      </c>
      <c r="R28" s="154">
        <f t="shared" si="21"/>
        <v>0</v>
      </c>
      <c r="T28" s="42"/>
    </row>
    <row r="29" spans="2:20">
      <c r="B29" s="24" t="s">
        <v>52</v>
      </c>
      <c r="C29" s="24"/>
      <c r="D29" s="154"/>
      <c r="E29" s="154"/>
      <c r="F29" s="154"/>
      <c r="G29" s="154"/>
      <c r="H29" s="154">
        <f>NPV(0.1,D24:H24)</f>
        <v>6517671.8710191306</v>
      </c>
      <c r="I29" s="154"/>
      <c r="J29" s="154"/>
      <c r="K29" s="154"/>
      <c r="L29" s="154"/>
      <c r="M29" s="154"/>
      <c r="N29" s="154"/>
      <c r="O29" s="154"/>
      <c r="P29" s="154"/>
      <c r="Q29" s="154"/>
      <c r="R29" s="154">
        <f>NPV(0.1,D24:R24)</f>
        <v>14574636.469351664</v>
      </c>
      <c r="T29" s="42"/>
    </row>
    <row r="30" spans="2:20">
      <c r="B30" s="161" t="s">
        <v>53</v>
      </c>
      <c r="C30" s="161"/>
      <c r="D30" s="165"/>
      <c r="E30" s="165"/>
      <c r="F30" s="165"/>
      <c r="G30" s="164" t="s">
        <v>53</v>
      </c>
      <c r="H30" s="166">
        <f>IRR(D21:H21,0.1)</f>
        <v>0.67926385196285688</v>
      </c>
      <c r="I30" s="165"/>
      <c r="J30" s="165"/>
      <c r="K30" s="165"/>
      <c r="L30" s="165"/>
      <c r="M30" s="165"/>
      <c r="N30" s="165"/>
      <c r="O30" s="165"/>
      <c r="P30" s="165"/>
      <c r="Q30" s="167" t="s">
        <v>53</v>
      </c>
      <c r="R30" s="166">
        <f>IRR(D21:R21,0.1)</f>
        <v>0.78024157272345263</v>
      </c>
      <c r="T30" s="43"/>
    </row>
    <row r="31" spans="2:20">
      <c r="B31" s="24"/>
      <c r="C31" s="24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22"/>
    </row>
    <row r="32" spans="2:20">
      <c r="B32" s="152" t="s">
        <v>54</v>
      </c>
      <c r="C32" s="152"/>
      <c r="D32" s="159">
        <f>IF(ModelDescription!$D$23="On", IF(ROUNDUP((AVERAGE(Assumptions!$B$82:$B$88)+Assumptions!$D$33)/12, 0)&gt;Economics!D$6, Assumptions!$D$25, Assumptions!$D$30), Assumptions!$D$25)</f>
        <v>0.5</v>
      </c>
      <c r="E32" s="159">
        <f>IF(ModelDescription!$D$23=Assumptions!$E$28, IF(ROUNDUP((AVERAGE(Assumptions!$B$82:$B$88)+Assumptions!$D$33)/12, 0)&gt;Economics!E$6, Assumptions!$D$25, Assumptions!$D$30), Assumptions!$D$25)</f>
        <v>0.5</v>
      </c>
      <c r="F32" s="159">
        <f>IF(ModelDescription!$D$23=Assumptions!$E$28, IF(ROUNDUP((AVERAGE(Assumptions!$B$82:$B$88)+Assumptions!$D$33)/12, 0)&gt;Economics!F$6, Assumptions!$D$25, Assumptions!$D$30), Assumptions!$D$25)</f>
        <v>0.5</v>
      </c>
      <c r="G32" s="159">
        <f>IF(ModelDescription!$D$23=Assumptions!$E$28, IF(ROUNDUP((AVERAGE(Assumptions!$B$82:$B$88)+Assumptions!$D$33)/12, 0)&gt;Economics!G$6, Assumptions!$D$25, Assumptions!$D$30), Assumptions!$D$25)</f>
        <v>0.5</v>
      </c>
      <c r="H32" s="159">
        <f>IF(ModelDescription!$D$23=Assumptions!$E$28, IF(ROUNDUP((AVERAGE(Assumptions!$B$82:$B$88)+Assumptions!$D$33)/12, 0)&gt;Economics!H$6, Assumptions!$D$25, Assumptions!$D$30), Assumptions!$D$25)</f>
        <v>0.5</v>
      </c>
      <c r="I32" s="159">
        <f>IF(ModelDescription!$D$23=Assumptions!$E$28, IF(ROUNDUP((AVERAGE(Assumptions!$B$82:$B$88)+Assumptions!$D$33)/12, 0)&gt;Economics!I$6, Assumptions!$D$25, Assumptions!$D$30), Assumptions!$D$25)</f>
        <v>0.5</v>
      </c>
      <c r="J32" s="159">
        <f>IF(ModelDescription!$D$23=Assumptions!$E$28, IF(ROUNDUP((AVERAGE(Assumptions!$B$82:$B$88)+Assumptions!$D$33)/12, 0)&gt;Economics!J$6, Assumptions!$D$25, Assumptions!$D$30), Assumptions!$D$25)</f>
        <v>0.5</v>
      </c>
      <c r="K32" s="159">
        <f>IF(ModelDescription!$D$23=Assumptions!$E$28, IF(ROUNDUP((AVERAGE(Assumptions!$B$82:$B$88)+Assumptions!$D$33)/12, 0)&gt;Economics!K$6, Assumptions!$D$25, Assumptions!$D$30), Assumptions!$D$25)</f>
        <v>0.5</v>
      </c>
      <c r="L32" s="159">
        <f>IF(ModelDescription!$D$23=Assumptions!$E$28, IF(ROUNDUP((AVERAGE(Assumptions!$B$82:$B$88)+Assumptions!$D$33)/12, 0)&gt;Economics!L$6, Assumptions!$D$25, Assumptions!$D$30), Assumptions!$D$25)</f>
        <v>0.5</v>
      </c>
      <c r="M32" s="159">
        <f>IF(ModelDescription!$D$23=Assumptions!$E$28, IF(ROUNDUP((AVERAGE(Assumptions!$B$82:$B$88)+Assumptions!$D$33)/12, 0)&gt;Economics!M$6, Assumptions!$D$25, Assumptions!$D$30), Assumptions!$D$25)</f>
        <v>0.5</v>
      </c>
      <c r="N32" s="159">
        <f>IF(ModelDescription!$D$23=Assumptions!$E$28, IF(ROUNDUP((AVERAGE(Assumptions!$B$82:$B$88)+Assumptions!$D$33)/12, 0)&gt;Economics!N$6, Assumptions!$D$25, Assumptions!$D$30), Assumptions!$D$25)</f>
        <v>0.5</v>
      </c>
      <c r="O32" s="159">
        <f>IF(ModelDescription!$D$23=Assumptions!$E$28, IF(ROUNDUP((AVERAGE(Assumptions!$B$82:$B$88)+Assumptions!$D$33)/12, 0)&gt;Economics!O$6, Assumptions!$D$25, Assumptions!$D$30), Assumptions!$D$25)</f>
        <v>0.5</v>
      </c>
      <c r="P32" s="159">
        <f>IF(ModelDescription!$D$23=Assumptions!$E$28, IF(ROUNDUP((AVERAGE(Assumptions!$B$82:$B$88)+Assumptions!$D$33)/12, 0)&gt;Economics!P$6, Assumptions!$D$25, Assumptions!$D$30), Assumptions!$D$25)</f>
        <v>0.5</v>
      </c>
      <c r="Q32" s="159">
        <f>IF(ModelDescription!$D$23=Assumptions!$E$28, IF(ROUNDUP((AVERAGE(Assumptions!$B$82:$B$88)+Assumptions!$D$33)/12, 0)&gt;Economics!Q$6, Assumptions!$D$25, Assumptions!$D$30), Assumptions!$D$25)</f>
        <v>0.5</v>
      </c>
      <c r="R32" s="159">
        <f>IF(ModelDescription!$D$23=Assumptions!$E$28, IF(ROUNDUP((AVERAGE(Assumptions!$B$82:$B$88)+Assumptions!$D$33)/12, 0)&gt;Economics!R$6, Assumptions!$D$25, Assumptions!$D$30), Assumptions!$D$25)</f>
        <v>0.5</v>
      </c>
    </row>
    <row r="33" spans="1:20">
      <c r="B33" s="24" t="s">
        <v>55</v>
      </c>
      <c r="C33" s="24"/>
      <c r="D33" s="157">
        <f>D$32*(D15+D18+D19)-Proforma!$F$26</f>
        <v>-13606129.953503918</v>
      </c>
      <c r="E33" s="157">
        <f t="shared" ref="E33:R33" si="22">E$32*(E15+E18+E19)</f>
        <v>4564293.6327733528</v>
      </c>
      <c r="F33" s="157">
        <f t="shared" si="22"/>
        <v>5509118.0269055534</v>
      </c>
      <c r="G33" s="157">
        <f t="shared" si="22"/>
        <v>5509118.0269055534</v>
      </c>
      <c r="H33" s="157">
        <f t="shared" si="22"/>
        <v>5509118.0269055534</v>
      </c>
      <c r="I33" s="157">
        <f t="shared" si="22"/>
        <v>5509118.0269055534</v>
      </c>
      <c r="J33" s="157">
        <f t="shared" si="22"/>
        <v>5509118.0269055534</v>
      </c>
      <c r="K33" s="157">
        <f t="shared" si="22"/>
        <v>5509118.0269055534</v>
      </c>
      <c r="L33" s="157">
        <f t="shared" si="22"/>
        <v>5509118.0269055534</v>
      </c>
      <c r="M33" s="157">
        <f t="shared" si="22"/>
        <v>5509118.0269055534</v>
      </c>
      <c r="N33" s="157">
        <f t="shared" si="22"/>
        <v>5509118.0269055534</v>
      </c>
      <c r="O33" s="157">
        <f t="shared" si="22"/>
        <v>5509118.0269055534</v>
      </c>
      <c r="P33" s="157">
        <f t="shared" si="22"/>
        <v>5509118.0269055534</v>
      </c>
      <c r="Q33" s="157">
        <f t="shared" si="22"/>
        <v>5509118.0269055534</v>
      </c>
      <c r="R33" s="157">
        <f t="shared" si="22"/>
        <v>5509118.0269055534</v>
      </c>
    </row>
    <row r="34" spans="1:20">
      <c r="B34" s="161" t="s">
        <v>56</v>
      </c>
      <c r="C34" s="161"/>
      <c r="D34" s="161"/>
      <c r="E34" s="161"/>
      <c r="F34" s="161"/>
      <c r="G34" s="164" t="s">
        <v>57</v>
      </c>
      <c r="H34" s="166">
        <f>IRR(D33:H33)</f>
        <v>0.19504060859113315</v>
      </c>
      <c r="I34" s="162"/>
      <c r="J34" s="161"/>
      <c r="K34" s="161"/>
      <c r="L34" s="161"/>
      <c r="M34" s="161"/>
      <c r="N34" s="161"/>
      <c r="O34" s="161"/>
      <c r="P34" s="161"/>
      <c r="Q34" s="253" t="s">
        <v>57</v>
      </c>
      <c r="R34" s="260">
        <f>IRR(D33:R33)</f>
        <v>0.38133254905818359</v>
      </c>
    </row>
    <row r="35" spans="1:20">
      <c r="B35" s="24"/>
      <c r="C35" s="24"/>
      <c r="D35" s="155"/>
      <c r="E35" s="155"/>
      <c r="F35" s="155"/>
      <c r="G35" s="158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T35" s="43"/>
    </row>
    <row r="36" spans="1:20">
      <c r="B36" s="152" t="s">
        <v>58</v>
      </c>
      <c r="C36" s="152"/>
      <c r="D36" s="160">
        <f t="shared" ref="D36:R36" si="23">(D40-D42-D43-D46)*(1-D14)</f>
        <v>4096305.0709595033</v>
      </c>
      <c r="E36" s="160">
        <f t="shared" si="23"/>
        <v>9127583.5690751057</v>
      </c>
      <c r="F36" s="160">
        <f t="shared" si="23"/>
        <v>9127583.5690751057</v>
      </c>
      <c r="G36" s="160">
        <f t="shared" si="23"/>
        <v>9127583.5690751057</v>
      </c>
      <c r="H36" s="160">
        <f t="shared" si="23"/>
        <v>9127583.5690751057</v>
      </c>
      <c r="I36" s="160">
        <f t="shared" si="23"/>
        <v>9127583.5690751057</v>
      </c>
      <c r="J36" s="160">
        <f t="shared" si="23"/>
        <v>9127583.5690751057</v>
      </c>
      <c r="K36" s="160">
        <f t="shared" si="23"/>
        <v>9127583.5690751057</v>
      </c>
      <c r="L36" s="160">
        <f t="shared" si="23"/>
        <v>9127583.5690751057</v>
      </c>
      <c r="M36" s="160">
        <f t="shared" si="23"/>
        <v>9127583.5690751057</v>
      </c>
      <c r="N36" s="160">
        <f t="shared" si="23"/>
        <v>9127583.5690751057</v>
      </c>
      <c r="O36" s="160">
        <f t="shared" si="23"/>
        <v>9127583.5690751057</v>
      </c>
      <c r="P36" s="160">
        <f t="shared" si="23"/>
        <v>9127583.5690751057</v>
      </c>
      <c r="Q36" s="160">
        <f t="shared" si="23"/>
        <v>9127583.5690751057</v>
      </c>
      <c r="R36" s="160">
        <f t="shared" si="23"/>
        <v>9127583.5690751057</v>
      </c>
      <c r="S36" s="22"/>
    </row>
    <row r="37" spans="1:20">
      <c r="B37" s="161" t="s">
        <v>59</v>
      </c>
      <c r="C37" s="161"/>
      <c r="D37" s="162">
        <f>SUM($D36:D36)/SUM($D41:D41)</f>
        <v>0.27308700473063358</v>
      </c>
      <c r="E37" s="162">
        <f>SUM($D36:E36)/SUM($D41:E41)</f>
        <v>0.88159257600230723</v>
      </c>
      <c r="F37" s="162">
        <f>SUM($D36:F36)/SUM($D41:F41)</f>
        <v>1.4900981472739812</v>
      </c>
      <c r="G37" s="162">
        <f>SUM($D36:G36)/SUM($D41:G41)</f>
        <v>2.0986037185456548</v>
      </c>
      <c r="H37" s="163">
        <f>SUM($D36:H36)/SUM($D41:H41)</f>
        <v>2.7071092898173288</v>
      </c>
      <c r="I37" s="162">
        <f>SUM($D36:I36)/SUM($D41:I41)</f>
        <v>3.3156148610890024</v>
      </c>
      <c r="J37" s="162">
        <f>SUM($D36:J36)/SUM($D41:J41)</f>
        <v>3.9241204323606764</v>
      </c>
      <c r="K37" s="162">
        <f>SUM($D36:K36)/SUM($D41:K41)</f>
        <v>4.53262600363235</v>
      </c>
      <c r="L37" s="162">
        <f>SUM($D36:L36)/SUM($D41:L41)</f>
        <v>5.1411315749040236</v>
      </c>
      <c r="M37" s="162">
        <f>SUM($D36:M36)/SUM($D41:M41)</f>
        <v>5.7496371461756972</v>
      </c>
      <c r="N37" s="162">
        <f>SUM($D36:N36)/SUM($D41:N41)</f>
        <v>6.3581427174473717</v>
      </c>
      <c r="O37" s="162">
        <f>SUM($D36:O36)/SUM($D41:O41)</f>
        <v>6.9666482887190453</v>
      </c>
      <c r="P37" s="162">
        <f>SUM($D36:P36)/SUM($D41:P41)</f>
        <v>7.5751538599907189</v>
      </c>
      <c r="Q37" s="162">
        <f>SUM($D36:Q36)/SUM($D41:Q41)</f>
        <v>8.1836594312623934</v>
      </c>
      <c r="R37" s="163">
        <f>SUM($D36:R36)/SUM($D41:R41)</f>
        <v>8.7921650025340661</v>
      </c>
      <c r="S37" s="22"/>
    </row>
    <row r="38" spans="1:20">
      <c r="T38" s="9"/>
    </row>
    <row r="39" spans="1:20">
      <c r="A39" s="6" t="s">
        <v>60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T39" s="9"/>
    </row>
    <row r="40" spans="1:20">
      <c r="B40" t="s">
        <v>17</v>
      </c>
      <c r="C40" t="s">
        <v>30</v>
      </c>
      <c r="D40" s="31">
        <f>SUM(MthCashSum!F9:Q9)</f>
        <v>8947438.7080844678</v>
      </c>
      <c r="E40" s="31">
        <f>SUM(MthCashSum!R9:AC9)</f>
        <v>21545097.296513803</v>
      </c>
      <c r="F40" s="31">
        <f>SUM(MthCashSum!AD9:AO9)</f>
        <v>21545097.296513803</v>
      </c>
      <c r="G40" s="31">
        <f>SUM(MthCashSum!AP9:BA9)</f>
        <v>21545097.296513803</v>
      </c>
      <c r="H40" s="31">
        <f>SUM(MthCashSum!BB9:BM9)</f>
        <v>21545097.296513803</v>
      </c>
      <c r="I40" s="31">
        <f>SUM(MthCashSum!BN9:BY9)</f>
        <v>21545097.296513803</v>
      </c>
      <c r="J40" s="31">
        <f>SUM(MthCashSum!BZ9:CK9)</f>
        <v>21545097.296513803</v>
      </c>
      <c r="K40" s="31">
        <f>SUM(MthCashSum!CL9:CW9)</f>
        <v>21545097.296513803</v>
      </c>
      <c r="L40" s="31">
        <f>SUM(MthCashSum!CX9:DI9)</f>
        <v>21545097.296513803</v>
      </c>
      <c r="M40" s="31">
        <f>SUM(MthCashSum!DJ9:DU9)</f>
        <v>21545097.296513803</v>
      </c>
      <c r="N40" s="31">
        <f>SUM(MthCashSum!DV9:EG9)</f>
        <v>21545097.296513803</v>
      </c>
      <c r="O40" s="31">
        <f>SUM(MthCashSum!EH9:ES9)</f>
        <v>21545097.296513803</v>
      </c>
      <c r="P40" s="31">
        <f>SUM(MthCashSum!ET9:FE9)</f>
        <v>21545097.296513803</v>
      </c>
      <c r="Q40" s="31">
        <f>SUM(MthCashSum!FF9:FQ9)</f>
        <v>21545097.296513803</v>
      </c>
      <c r="R40" s="31">
        <f>SUM(MthCashSum!FR9:GC9)</f>
        <v>21545097.296513803</v>
      </c>
      <c r="T40" s="9">
        <f t="shared" ref="T40:T46" si="24">SUM(D40:R40)</f>
        <v>310578800.85927767</v>
      </c>
    </row>
    <row r="41" spans="1:20">
      <c r="A41" s="6"/>
      <c r="B41" t="s">
        <v>46</v>
      </c>
      <c r="C41" t="s">
        <v>61</v>
      </c>
      <c r="D41" s="31">
        <f>SUM(MthCashSum!F10:Q10)</f>
        <v>15000000</v>
      </c>
      <c r="E41" s="31">
        <f>SUM(MthCashSum!R10:AC10)</f>
        <v>0</v>
      </c>
      <c r="F41" s="31">
        <f>SUM(MthCashSum!AD10:AO10)</f>
        <v>0</v>
      </c>
      <c r="G41" s="31">
        <f>SUM(MthCashSum!AP10:BA10)</f>
        <v>0</v>
      </c>
      <c r="H41" s="31">
        <f>SUM(MthCashSum!BB10:BM10)</f>
        <v>0</v>
      </c>
      <c r="I41" s="31">
        <f>SUM(MthCashSum!BN10:BY10)</f>
        <v>0</v>
      </c>
      <c r="J41" s="31">
        <f>SUM(MthCashSum!BZ10:CK10)</f>
        <v>0</v>
      </c>
      <c r="K41" s="31">
        <f>SUM(MthCashSum!CL10:CW10)</f>
        <v>0</v>
      </c>
      <c r="L41" s="31">
        <f>SUM(MthCashSum!CX10:DI10)</f>
        <v>0</v>
      </c>
      <c r="M41" s="31">
        <f>SUM(MthCashSum!DJ10:DU10)</f>
        <v>0</v>
      </c>
      <c r="N41" s="31">
        <f>SUM(MthCashSum!DV10:EG10)</f>
        <v>0</v>
      </c>
      <c r="O41" s="31">
        <f>SUM(MthCashSum!EH10:ES10)</f>
        <v>0</v>
      </c>
      <c r="P41" s="31">
        <f>SUM(MthCashSum!ET10:FE10)</f>
        <v>0</v>
      </c>
      <c r="Q41" s="31">
        <f>SUM(MthCashSum!FF10:FQ10)</f>
        <v>0</v>
      </c>
      <c r="R41" s="31">
        <f>SUM(MthCashSum!FR10:GC10)</f>
        <v>0</v>
      </c>
      <c r="S41" s="28"/>
      <c r="T41" s="9">
        <f t="shared" si="24"/>
        <v>15000000</v>
      </c>
    </row>
    <row r="42" spans="1:20">
      <c r="B42" t="s">
        <v>31</v>
      </c>
      <c r="C42" t="s">
        <v>32</v>
      </c>
      <c r="D42" s="31">
        <f>SUM(MthCashSum!F11:Q11)</f>
        <v>3215165.2778639998</v>
      </c>
      <c r="E42" s="31">
        <f>SUM(MthCashSum!R11:AC11)</f>
        <v>7670260.4341199975</v>
      </c>
      <c r="F42" s="31">
        <f>SUM(MthCashSum!AD11:AO11)</f>
        <v>7670260.4341199975</v>
      </c>
      <c r="G42" s="31">
        <f>SUM(MthCashSum!AP11:BA11)</f>
        <v>7670260.4341199975</v>
      </c>
      <c r="H42" s="31">
        <f>SUM(MthCashSum!BB11:BM11)</f>
        <v>7670260.4341199975</v>
      </c>
      <c r="I42" s="31">
        <f>SUM(MthCashSum!BN11:BY11)</f>
        <v>7670260.4341199975</v>
      </c>
      <c r="J42" s="31">
        <f>SUM(MthCashSum!BZ11:CK11)</f>
        <v>7670260.4341199975</v>
      </c>
      <c r="K42" s="31">
        <f>SUM(MthCashSum!CL11:CW11)</f>
        <v>7670260.4341199975</v>
      </c>
      <c r="L42" s="31">
        <f>SUM(MthCashSum!CX11:DI11)</f>
        <v>7670260.4341199975</v>
      </c>
      <c r="M42" s="31">
        <f>SUM(MthCashSum!DJ11:DU11)</f>
        <v>7670260.4341199975</v>
      </c>
      <c r="N42" s="31">
        <f>SUM(MthCashSum!DV11:EG11)</f>
        <v>7670260.4341199975</v>
      </c>
      <c r="O42" s="31">
        <f>SUM(MthCashSum!EH11:ES11)</f>
        <v>7670260.4341199975</v>
      </c>
      <c r="P42" s="31">
        <f>SUM(MthCashSum!ET11:FE11)</f>
        <v>7670260.4341199975</v>
      </c>
      <c r="Q42" s="31">
        <f>SUM(MthCashSum!FF11:FQ11)</f>
        <v>7670260.4341199975</v>
      </c>
      <c r="R42" s="31">
        <f>SUM(MthCashSum!FR11:GC11)</f>
        <v>7670260.4341199975</v>
      </c>
      <c r="T42" s="9">
        <f t="shared" si="24"/>
        <v>110598811.35554399</v>
      </c>
    </row>
    <row r="43" spans="1:20">
      <c r="A43" s="6"/>
      <c r="B43" t="s">
        <v>34</v>
      </c>
      <c r="C43" t="s">
        <v>35</v>
      </c>
      <c r="D43" s="31">
        <f>SUM(MthCashSum!F12:Q12)</f>
        <v>528333.65839999996</v>
      </c>
      <c r="E43" s="31">
        <f>SUM(MthCashSum!R12:AC12)</f>
        <v>1264703.1719999998</v>
      </c>
      <c r="F43" s="31">
        <f>SUM(MthCashSum!AD12:AO12)</f>
        <v>1264703.1719999998</v>
      </c>
      <c r="G43" s="31">
        <f>SUM(MthCashSum!AP12:BA12)</f>
        <v>1264703.1719999998</v>
      </c>
      <c r="H43" s="31">
        <f>SUM(MthCashSum!BB12:BM12)</f>
        <v>1264703.1719999998</v>
      </c>
      <c r="I43" s="31">
        <f>SUM(MthCashSum!BN12:BY12)</f>
        <v>1264703.1719999998</v>
      </c>
      <c r="J43" s="31">
        <f>SUM(MthCashSum!BZ12:CK12)</f>
        <v>1264703.1719999998</v>
      </c>
      <c r="K43" s="31">
        <f>SUM(MthCashSum!CL12:CW12)</f>
        <v>1264703.1719999998</v>
      </c>
      <c r="L43" s="31">
        <f>SUM(MthCashSum!CX12:DI12)</f>
        <v>1264703.1719999998</v>
      </c>
      <c r="M43" s="31">
        <f>SUM(MthCashSum!DJ12:DU12)</f>
        <v>1264703.1719999998</v>
      </c>
      <c r="N43" s="31">
        <f>SUM(MthCashSum!DV12:EG12)</f>
        <v>1264703.1719999998</v>
      </c>
      <c r="O43" s="31">
        <f>SUM(MthCashSum!EH12:ES12)</f>
        <v>1264703.1719999998</v>
      </c>
      <c r="P43" s="31">
        <f>SUM(MthCashSum!ET12:FE12)</f>
        <v>1264703.1719999998</v>
      </c>
      <c r="Q43" s="31">
        <f>SUM(MthCashSum!FF12:FQ12)</f>
        <v>1264703.1719999998</v>
      </c>
      <c r="R43" s="31">
        <f>SUM(MthCashSum!FR12:GC12)</f>
        <v>1264703.1719999998</v>
      </c>
      <c r="S43" s="3"/>
      <c r="T43" s="9">
        <f t="shared" si="24"/>
        <v>18234178.066399999</v>
      </c>
    </row>
    <row r="44" spans="1:20">
      <c r="B44" t="s">
        <v>41</v>
      </c>
      <c r="C44" t="s">
        <v>42</v>
      </c>
      <c r="D44" s="31">
        <f>SUM(MthCashSum!F13:Q13)</f>
        <v>15843456.575999999</v>
      </c>
      <c r="E44" s="31">
        <f>SUM(MthCashSum!R13:AC13)</f>
        <v>0</v>
      </c>
      <c r="F44" s="31">
        <f>SUM(MthCashSum!AD13:AO13)</f>
        <v>0</v>
      </c>
      <c r="G44" s="31">
        <f>SUM(MthCashSum!AP13:BA13)</f>
        <v>0</v>
      </c>
      <c r="H44" s="31">
        <f>SUM(MthCashSum!BB13:BM13)</f>
        <v>0</v>
      </c>
      <c r="I44" s="31">
        <f>SUM(MthCashSum!BN13:BY13)</f>
        <v>0</v>
      </c>
      <c r="J44" s="31">
        <f>SUM(MthCashSum!BZ13:CK13)</f>
        <v>0</v>
      </c>
      <c r="K44" s="31">
        <f>SUM(MthCashSum!CL13:CW13)</f>
        <v>0</v>
      </c>
      <c r="L44" s="31">
        <f>SUM(MthCashSum!CX13:DI13)</f>
        <v>0</v>
      </c>
      <c r="M44" s="31">
        <f>SUM(MthCashSum!DJ13:DU13)</f>
        <v>0</v>
      </c>
      <c r="N44" s="31">
        <f>SUM(MthCashSum!DV13:EG13)</f>
        <v>0</v>
      </c>
      <c r="O44" s="31">
        <f>SUM(MthCashSum!EH13:ES13)</f>
        <v>0</v>
      </c>
      <c r="P44" s="31">
        <f>SUM(MthCashSum!ET13:FE13)</f>
        <v>0</v>
      </c>
      <c r="Q44" s="31">
        <f>SUM(MthCashSum!FF13:FQ13)</f>
        <v>0</v>
      </c>
      <c r="R44" s="31">
        <f>SUM(MthCashSum!FR13:GC13)</f>
        <v>0</v>
      </c>
      <c r="T44" s="9">
        <f t="shared" si="24"/>
        <v>15843456.575999999</v>
      </c>
    </row>
    <row r="45" spans="1:20">
      <c r="B45" t="s">
        <v>62</v>
      </c>
      <c r="C45" t="s">
        <v>32</v>
      </c>
      <c r="D45" s="31">
        <f>SUM(MthCashSum!F14:Q14)</f>
        <v>0</v>
      </c>
      <c r="E45" s="31">
        <f>SUM(MthCashSum!R14:AC14)</f>
        <v>0</v>
      </c>
      <c r="F45" s="31">
        <f>SUM(MthCashSum!AD14:AO14)</f>
        <v>0</v>
      </c>
      <c r="G45" s="31">
        <f>SUM(MthCashSum!AP14:BA14)</f>
        <v>0</v>
      </c>
      <c r="H45" s="31">
        <f>SUM(MthCashSum!BB14:BM14)</f>
        <v>0</v>
      </c>
      <c r="I45" s="31">
        <f>SUM(MthCashSum!BN14:BY14)</f>
        <v>0</v>
      </c>
      <c r="J45" s="31">
        <f>SUM(MthCashSum!BZ14:CK14)</f>
        <v>0</v>
      </c>
      <c r="K45" s="31">
        <f>SUM(MthCashSum!CL14:CW14)</f>
        <v>0</v>
      </c>
      <c r="L45" s="31">
        <f>SUM(MthCashSum!CX14:DI14)</f>
        <v>0</v>
      </c>
      <c r="M45" s="31">
        <f>SUM(MthCashSum!DJ14:DU14)</f>
        <v>0</v>
      </c>
      <c r="N45" s="31">
        <f>SUM(MthCashSum!DV14:EG14)</f>
        <v>0</v>
      </c>
      <c r="O45" s="31">
        <f>SUM(MthCashSum!EH14:ES14)</f>
        <v>0</v>
      </c>
      <c r="P45" s="31">
        <f>SUM(MthCashSum!ET14:FE14)</f>
        <v>0</v>
      </c>
      <c r="Q45" s="31">
        <f>SUM(MthCashSum!FF14:FQ14)</f>
        <v>0</v>
      </c>
      <c r="R45" s="31">
        <f>SUM(MthCashSum!FR14:GC14)</f>
        <v>0</v>
      </c>
      <c r="S45" s="29"/>
      <c r="T45" s="9">
        <f t="shared" si="24"/>
        <v>0</v>
      </c>
    </row>
    <row r="46" spans="1:20">
      <c r="B46" t="s">
        <v>43</v>
      </c>
      <c r="C46" t="s">
        <v>44</v>
      </c>
      <c r="D46" s="31">
        <f>SUM(MthCashSum!F15:Q15)</f>
        <v>18743.479466666653</v>
      </c>
      <c r="E46" s="31">
        <f>SUM(MthCashSum!R15:AC15)</f>
        <v>1056230.4383999999</v>
      </c>
      <c r="F46" s="31">
        <f>SUM(MthCashSum!AD15:AO15)</f>
        <v>1056230.4383999999</v>
      </c>
      <c r="G46" s="31">
        <f>SUM(MthCashSum!AP15:BA15)</f>
        <v>1056230.4383999999</v>
      </c>
      <c r="H46" s="31">
        <f>SUM(MthCashSum!BB15:BM15)</f>
        <v>1056230.4383999999</v>
      </c>
      <c r="I46" s="31">
        <f>SUM(MthCashSum!BN15:BY15)</f>
        <v>1056230.4383999999</v>
      </c>
      <c r="J46" s="31">
        <f>SUM(MthCashSum!BZ15:CK15)</f>
        <v>1056230.4383999999</v>
      </c>
      <c r="K46" s="31">
        <f>SUM(MthCashSum!CL15:CW15)</f>
        <v>1056230.4383999999</v>
      </c>
      <c r="L46" s="31">
        <f>SUM(MthCashSum!CX15:DI15)</f>
        <v>1056230.4383999999</v>
      </c>
      <c r="M46" s="31">
        <f>SUM(MthCashSum!DJ15:DU15)</f>
        <v>1056230.4383999999</v>
      </c>
      <c r="N46" s="31">
        <f>SUM(MthCashSum!DV15:EG15)</f>
        <v>1056230.4383999999</v>
      </c>
      <c r="O46" s="31">
        <f>SUM(MthCashSum!EH15:ES15)</f>
        <v>1056230.4383999999</v>
      </c>
      <c r="P46" s="31">
        <f>SUM(MthCashSum!ET15:FE15)</f>
        <v>1056230.4383999999</v>
      </c>
      <c r="Q46" s="31">
        <f>SUM(MthCashSum!FF15:FQ15)</f>
        <v>1056230.4383999999</v>
      </c>
      <c r="R46" s="31">
        <f>SUM(MthCashSum!FR15:GC15)</f>
        <v>1056230.4383999999</v>
      </c>
      <c r="S46" s="29"/>
      <c r="T46" s="9">
        <f t="shared" si="24"/>
        <v>14805969.617066668</v>
      </c>
    </row>
    <row r="47" spans="1:20"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9"/>
    </row>
    <row r="48" spans="1:20">
      <c r="A48" s="6" t="s">
        <v>63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0"/>
      <c r="T48" s="9"/>
    </row>
    <row r="49" spans="1:20">
      <c r="B49" t="s">
        <v>64</v>
      </c>
      <c r="D49" s="22">
        <f>SUM(Proforma!F133:Q133)</f>
        <v>685440</v>
      </c>
      <c r="E49" s="22">
        <f>SUM(Proforma!R133:AC133)</f>
        <v>1635200</v>
      </c>
      <c r="F49" s="22">
        <f>SUM(Proforma!AD133:AO133)</f>
        <v>1635200</v>
      </c>
      <c r="G49" s="22">
        <f>SUM(Proforma!AP133:BA133)</f>
        <v>1635200</v>
      </c>
      <c r="H49" s="22">
        <f>SUM(Proforma!BB133:BM133)</f>
        <v>1635200</v>
      </c>
      <c r="I49" s="22">
        <f>SUM(Proforma!BN133:BY133)</f>
        <v>1635200</v>
      </c>
      <c r="J49" s="22">
        <f>SUM(Proforma!BZ133:CK133)</f>
        <v>1635200</v>
      </c>
      <c r="K49" s="22">
        <f>SUM(Proforma!CL133:CW133)</f>
        <v>1635200</v>
      </c>
      <c r="L49" s="22">
        <f>SUM(Proforma!CX133:DI133)</f>
        <v>1635200</v>
      </c>
      <c r="M49" s="22">
        <f>SUM(Proforma!DJ133:DU133)</f>
        <v>1635200</v>
      </c>
      <c r="N49" s="22">
        <f>SUM(Proforma!DV133:EG133)</f>
        <v>1635200</v>
      </c>
      <c r="O49" s="22">
        <f>SUM(Proforma!EH133:ES133)</f>
        <v>1635200</v>
      </c>
      <c r="P49" s="22">
        <f>SUM(Proforma!ET133:FE133)</f>
        <v>1635200</v>
      </c>
      <c r="Q49" s="22">
        <f>SUM(Proforma!FF133:FQ133)</f>
        <v>1635200</v>
      </c>
      <c r="R49" s="22">
        <f>SUM(Proforma!FR133:GC133)</f>
        <v>1635200</v>
      </c>
      <c r="S49" s="29"/>
      <c r="T49" s="9">
        <f>SUM(D49:R49)</f>
        <v>23578240</v>
      </c>
    </row>
    <row r="50" spans="1:20">
      <c r="A50" s="10"/>
      <c r="B50" t="s">
        <v>65</v>
      </c>
      <c r="D50" s="22">
        <f>SUM(Proforma!F144:Q144)</f>
        <v>740275.19999999995</v>
      </c>
      <c r="E50" s="22">
        <f>SUM(Proforma!R144:AC144)</f>
        <v>1766015.9999999998</v>
      </c>
      <c r="F50" s="22">
        <f>SUM(Proforma!AD144:AO144)</f>
        <v>1766015.9999999998</v>
      </c>
      <c r="G50" s="22">
        <f>SUM(Proforma!AP144:BA144)</f>
        <v>1766015.9999999998</v>
      </c>
      <c r="H50" s="22">
        <f>SUM(Proforma!BB144:BM144)</f>
        <v>1766015.9999999998</v>
      </c>
      <c r="I50" s="22">
        <f>SUM(Proforma!BN144:BY144)</f>
        <v>1766015.9999999998</v>
      </c>
      <c r="J50" s="22">
        <f>SUM(Proforma!BZ144:CK144)</f>
        <v>1766015.9999999998</v>
      </c>
      <c r="K50" s="22">
        <f>SUM(Proforma!CL144:CW144)</f>
        <v>1766015.9999999998</v>
      </c>
      <c r="L50" s="22">
        <f>SUM(Proforma!CX144:DI144)</f>
        <v>1766015.9999999998</v>
      </c>
      <c r="M50" s="22">
        <f>SUM(Proforma!DJ144:DU144)</f>
        <v>1766015.9999999998</v>
      </c>
      <c r="N50" s="22">
        <f>SUM(Proforma!DV144:EG144)</f>
        <v>1766015.9999999998</v>
      </c>
      <c r="O50" s="22">
        <f>SUM(Proforma!EH144:ES144)</f>
        <v>1766015.9999999998</v>
      </c>
      <c r="P50" s="22">
        <f>SUM(Proforma!ET144:FE144)</f>
        <v>1766015.9999999998</v>
      </c>
      <c r="Q50" s="22">
        <f>SUM(Proforma!FF144:FQ144)</f>
        <v>1766015.9999999998</v>
      </c>
      <c r="R50" s="22">
        <f>SUM(Proforma!FR144:GC144)</f>
        <v>1766015.9999999998</v>
      </c>
      <c r="S50" s="22"/>
      <c r="T50" s="9">
        <f>SUM(D50:R50)</f>
        <v>25464499.199999999</v>
      </c>
    </row>
    <row r="51" spans="1:20">
      <c r="B51" t="s">
        <v>66</v>
      </c>
      <c r="D51" s="22">
        <f>SUM(Proforma!F145:Q145)</f>
        <v>5552064</v>
      </c>
      <c r="E51" s="22">
        <f>SUM(Proforma!R145:AC145)</f>
        <v>13245120</v>
      </c>
      <c r="F51" s="22">
        <f>SUM(Proforma!AD145:AO145)</f>
        <v>13245120</v>
      </c>
      <c r="G51" s="22">
        <f>SUM(Proforma!AP145:BA145)</f>
        <v>13245120</v>
      </c>
      <c r="H51" s="22">
        <f>SUM(Proforma!BB145:BM145)</f>
        <v>13245120</v>
      </c>
      <c r="I51" s="22">
        <f>SUM(Proforma!BN145:BY145)</f>
        <v>13245120</v>
      </c>
      <c r="J51" s="22">
        <f>SUM(Proforma!BZ145:CK145)</f>
        <v>13245120</v>
      </c>
      <c r="K51" s="22">
        <f>SUM(Proforma!CL145:CW145)</f>
        <v>13245120</v>
      </c>
      <c r="L51" s="22">
        <f>SUM(Proforma!CX145:DI145)</f>
        <v>13245120</v>
      </c>
      <c r="M51" s="22">
        <f>SUM(Proforma!DJ145:DU145)</f>
        <v>13245120</v>
      </c>
      <c r="N51" s="22">
        <f>SUM(Proforma!DV145:EG145)</f>
        <v>13245120</v>
      </c>
      <c r="O51" s="22">
        <f>SUM(Proforma!EH145:ES145)</f>
        <v>13245120</v>
      </c>
      <c r="P51" s="22">
        <f>SUM(Proforma!ET145:FE145)</f>
        <v>13245120</v>
      </c>
      <c r="Q51" s="22">
        <f>SUM(Proforma!FF145:FQ145)</f>
        <v>13245120</v>
      </c>
      <c r="R51" s="22">
        <f>SUM(Proforma!FR145:GC145)</f>
        <v>13245120</v>
      </c>
      <c r="S51" s="23"/>
      <c r="T51" s="9">
        <f>SUM(D51:R51)</f>
        <v>190983744</v>
      </c>
    </row>
    <row r="52" spans="1:20">
      <c r="B52" t="s">
        <v>67</v>
      </c>
      <c r="D52" s="22">
        <f>SUM(Proforma!F146:Q146)</f>
        <v>166136.73872297886</v>
      </c>
      <c r="E52" s="22">
        <f>SUM(Proforma!R146:AC146)</f>
        <v>529606.19767587155</v>
      </c>
      <c r="F52" s="22">
        <f>SUM(Proforma!AD146:AO146)</f>
        <v>529606.19767587155</v>
      </c>
      <c r="G52" s="22">
        <f>SUM(Proforma!AP146:BA146)</f>
        <v>529606.19767587155</v>
      </c>
      <c r="H52" s="22">
        <f>SUM(Proforma!BB146:BM146)</f>
        <v>529606.19767587155</v>
      </c>
      <c r="I52" s="22">
        <f>SUM(Proforma!BN146:BY146)</f>
        <v>529606.19767587155</v>
      </c>
      <c r="J52" s="22">
        <f>SUM(Proforma!BZ146:CK146)</f>
        <v>529606.19767587155</v>
      </c>
      <c r="K52" s="22">
        <f>SUM(Proforma!CL146:CW146)</f>
        <v>529606.19767587155</v>
      </c>
      <c r="L52" s="22">
        <f>SUM(Proforma!CX146:DI146)</f>
        <v>529606.19767587155</v>
      </c>
      <c r="M52" s="22">
        <f>SUM(Proforma!DJ146:DU146)</f>
        <v>529606.19767587155</v>
      </c>
      <c r="N52" s="22">
        <f>SUM(Proforma!DV146:EG146)</f>
        <v>529606.19767587155</v>
      </c>
      <c r="O52" s="22">
        <f>SUM(Proforma!EH146:ES146)</f>
        <v>529606.19767587155</v>
      </c>
      <c r="P52" s="22">
        <f>SUM(Proforma!ET146:FE146)</f>
        <v>529606.19767587155</v>
      </c>
      <c r="Q52" s="22">
        <f>SUM(Proforma!FF146:FQ146)</f>
        <v>529606.19767587155</v>
      </c>
      <c r="R52" s="22">
        <f>SUM(Proforma!FR146:GC146)</f>
        <v>529606.19767587155</v>
      </c>
      <c r="S52" s="22"/>
      <c r="T52" s="9">
        <f>SUM(D52:R52)</f>
        <v>7580623.5061851814</v>
      </c>
    </row>
    <row r="53" spans="1:20"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22"/>
      <c r="T53" s="9"/>
    </row>
    <row r="54" spans="1:20">
      <c r="A54" s="6" t="s">
        <v>68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22"/>
      <c r="T54" s="9"/>
    </row>
    <row r="55" spans="1:20">
      <c r="A55" s="10"/>
      <c r="B55" t="s">
        <v>65</v>
      </c>
      <c r="D55" s="124">
        <f>D50*Assumptions!$D$16</f>
        <v>5922201.5999999996</v>
      </c>
      <c r="E55" s="124">
        <f>E50*Assumptions!$D$16</f>
        <v>14128127.999999998</v>
      </c>
      <c r="F55" s="124">
        <f>F50*Assumptions!$D$16</f>
        <v>14128127.999999998</v>
      </c>
      <c r="G55" s="124">
        <f>G50*Assumptions!$D$16</f>
        <v>14128127.999999998</v>
      </c>
      <c r="H55" s="124">
        <f>H50*Assumptions!$D$16</f>
        <v>14128127.999999998</v>
      </c>
      <c r="I55" s="124">
        <f>I50*Assumptions!$D$16</f>
        <v>14128127.999999998</v>
      </c>
      <c r="J55" s="124">
        <f>J50*Assumptions!$D$16</f>
        <v>14128127.999999998</v>
      </c>
      <c r="K55" s="124">
        <f>K50*Assumptions!$D$16</f>
        <v>14128127.999999998</v>
      </c>
      <c r="L55" s="124">
        <f>L50*Assumptions!$D$16</f>
        <v>14128127.999999998</v>
      </c>
      <c r="M55" s="124">
        <f>M50*Assumptions!$D$16</f>
        <v>14128127.999999998</v>
      </c>
      <c r="N55" s="124">
        <f>N50*Assumptions!$D$16</f>
        <v>14128127.999999998</v>
      </c>
      <c r="O55" s="124">
        <f>O50*Assumptions!$D$16</f>
        <v>14128127.999999998</v>
      </c>
      <c r="P55" s="124">
        <f>P50*Assumptions!$D$16</f>
        <v>14128127.999999998</v>
      </c>
      <c r="Q55" s="124">
        <f>Q50*Assumptions!$D$16</f>
        <v>14128127.999999998</v>
      </c>
      <c r="R55" s="124">
        <f>R50*Assumptions!$D$16</f>
        <v>14128127.999999998</v>
      </c>
      <c r="S55" s="30"/>
      <c r="T55" s="9">
        <f>SUM(D55:R55)</f>
        <v>203715993.59999999</v>
      </c>
    </row>
    <row r="56" spans="1:20">
      <c r="B56" t="s">
        <v>66</v>
      </c>
      <c r="D56" s="124">
        <f>D51*Assumptions!$D$17</f>
        <v>2776032</v>
      </c>
      <c r="E56" s="124">
        <f>E51*Assumptions!$D$17</f>
        <v>6622560</v>
      </c>
      <c r="F56" s="124">
        <f>F51*Assumptions!$D$17</f>
        <v>6622560</v>
      </c>
      <c r="G56" s="124">
        <f>G51*Assumptions!$D$17</f>
        <v>6622560</v>
      </c>
      <c r="H56" s="124">
        <f>H51*Assumptions!$D$17</f>
        <v>6622560</v>
      </c>
      <c r="I56" s="124">
        <f>I51*Assumptions!$D$17</f>
        <v>6622560</v>
      </c>
      <c r="J56" s="124">
        <f>J51*Assumptions!$D$17</f>
        <v>6622560</v>
      </c>
      <c r="K56" s="124">
        <f>K51*Assumptions!$D$17</f>
        <v>6622560</v>
      </c>
      <c r="L56" s="124">
        <f>L51*Assumptions!$D$17</f>
        <v>6622560</v>
      </c>
      <c r="M56" s="124">
        <f>M51*Assumptions!$D$17</f>
        <v>6622560</v>
      </c>
      <c r="N56" s="124">
        <f>N51*Assumptions!$D$17</f>
        <v>6622560</v>
      </c>
      <c r="O56" s="124">
        <f>O51*Assumptions!$D$17</f>
        <v>6622560</v>
      </c>
      <c r="P56" s="124">
        <f>P51*Assumptions!$D$17</f>
        <v>6622560</v>
      </c>
      <c r="Q56" s="124">
        <f>Q51*Assumptions!$D$17</f>
        <v>6622560</v>
      </c>
      <c r="R56" s="124">
        <f>R51*Assumptions!$D$17</f>
        <v>6622560</v>
      </c>
      <c r="S56" s="30"/>
      <c r="T56" s="9">
        <f>SUM(D56:R56)</f>
        <v>95491872</v>
      </c>
    </row>
    <row r="57" spans="1:20">
      <c r="B57" t="s">
        <v>67</v>
      </c>
      <c r="D57" s="124">
        <f>D52*Assumptions!$D$18</f>
        <v>249205.10808446829</v>
      </c>
      <c r="E57" s="124">
        <f>E52*Assumptions!$D$18</f>
        <v>794409.29651380726</v>
      </c>
      <c r="F57" s="124">
        <f>F52*Assumptions!$D$18</f>
        <v>794409.29651380726</v>
      </c>
      <c r="G57" s="124">
        <f>G52*Assumptions!$D$18</f>
        <v>794409.29651380726</v>
      </c>
      <c r="H57" s="124">
        <f>H52*Assumptions!$D$18</f>
        <v>794409.29651380726</v>
      </c>
      <c r="I57" s="124">
        <f>I52*Assumptions!$D$18</f>
        <v>794409.29651380726</v>
      </c>
      <c r="J57" s="124">
        <f>J52*Assumptions!$D$18</f>
        <v>794409.29651380726</v>
      </c>
      <c r="K57" s="124">
        <f>K52*Assumptions!$D$18</f>
        <v>794409.29651380726</v>
      </c>
      <c r="L57" s="124">
        <f>L52*Assumptions!$D$18</f>
        <v>794409.29651380726</v>
      </c>
      <c r="M57" s="124">
        <f>M52*Assumptions!$D$18</f>
        <v>794409.29651380726</v>
      </c>
      <c r="N57" s="124">
        <f>N52*Assumptions!$D$18</f>
        <v>794409.29651380726</v>
      </c>
      <c r="O57" s="124">
        <f>O52*Assumptions!$D$18</f>
        <v>794409.29651380726</v>
      </c>
      <c r="P57" s="124">
        <f>P52*Assumptions!$D$18</f>
        <v>794409.29651380726</v>
      </c>
      <c r="Q57" s="124">
        <f>Q52*Assumptions!$D$18</f>
        <v>794409.29651380726</v>
      </c>
      <c r="R57" s="124">
        <f>R52*Assumptions!$D$18</f>
        <v>794409.29651380726</v>
      </c>
      <c r="S57" s="30"/>
      <c r="T57" s="9">
        <f>SUM(D57:R57)</f>
        <v>11370935.259277768</v>
      </c>
    </row>
    <row r="58" spans="1:20">
      <c r="D58" s="22"/>
      <c r="E58" s="22"/>
      <c r="F58" s="22"/>
      <c r="G58" s="22"/>
      <c r="H58" s="22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9"/>
    </row>
    <row r="59" spans="1:20"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9"/>
    </row>
    <row r="60" spans="1:20">
      <c r="B60" s="10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 spans="1:20">
      <c r="E61" s="29"/>
      <c r="F61" s="29"/>
      <c r="G61" s="29"/>
      <c r="H61" s="29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1:20">
      <c r="D62" s="29"/>
      <c r="E62" s="29"/>
      <c r="F62" s="29"/>
      <c r="G62" s="29"/>
      <c r="H62" s="29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spans="1:20">
      <c r="D63" s="22"/>
      <c r="E63" s="22"/>
      <c r="F63" s="22"/>
      <c r="G63" s="22"/>
      <c r="H63" s="22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</row>
    <row r="64" spans="1:20">
      <c r="D64" s="22"/>
      <c r="E64" s="22"/>
      <c r="F64" s="22"/>
      <c r="G64" s="22"/>
      <c r="H64" s="22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 spans="2:20">
      <c r="E65" s="3"/>
      <c r="F65" s="3"/>
      <c r="G65" s="3"/>
      <c r="H65" s="3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spans="2:20">
      <c r="B66" s="10"/>
      <c r="F66" s="3"/>
      <c r="G66" s="3"/>
      <c r="H66" s="3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2:20">
      <c r="D67" s="31"/>
      <c r="E67" s="31"/>
      <c r="F67" s="31"/>
      <c r="G67" s="31"/>
      <c r="H67" s="3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20">
      <c r="D68" s="31"/>
      <c r="E68" s="31"/>
      <c r="F68" s="31"/>
      <c r="G68" s="31"/>
      <c r="H68" s="3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2:20"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</row>
    <row r="70" spans="2:20"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9"/>
    </row>
    <row r="71" spans="2:20">
      <c r="E71" s="22"/>
      <c r="F71" s="22"/>
      <c r="G71" s="22"/>
      <c r="H71" s="22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  <row r="72" spans="2:20"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</row>
    <row r="73" spans="2:20">
      <c r="T73" s="9"/>
    </row>
  </sheetData>
  <pageMargins left="0.7" right="0.7" top="0.75" bottom="0.75" header="0.3" footer="0.3"/>
  <pageSetup scale="75" orientation="landscape" verticalDpi="300" r:id="rId1"/>
  <ignoredErrors>
    <ignoredError sqref="E9:H9 E10:H1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10B7-D22F-4BFD-A114-C509376D74B4}">
  <sheetPr>
    <pageSetUpPr fitToPage="1"/>
  </sheetPr>
  <dimension ref="A1:GC167"/>
  <sheetViews>
    <sheetView zoomScaleNormal="100" zoomScalePageLayoutView="75" workbookViewId="0">
      <selection activeCell="C24" sqref="C24"/>
    </sheetView>
  </sheetViews>
  <sheetFormatPr defaultColWidth="9.140625" defaultRowHeight="15"/>
  <cols>
    <col min="1" max="1" width="5.7109375" style="74" customWidth="1"/>
    <col min="2" max="2" width="29.7109375" style="74" customWidth="1"/>
    <col min="3" max="3" width="5.140625" style="74" customWidth="1"/>
    <col min="4" max="4" width="6.28515625" style="74" customWidth="1"/>
    <col min="5" max="5" width="15.85546875" style="76" bestFit="1" customWidth="1"/>
    <col min="6" max="185" width="14.28515625" style="74" customWidth="1"/>
    <col min="186" max="16384" width="9.140625" style="74"/>
  </cols>
  <sheetData>
    <row r="1" spans="1:18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80"/>
      <c r="FA1" s="80"/>
      <c r="FB1" s="80"/>
      <c r="FC1" s="80"/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  <c r="FU1" s="80"/>
      <c r="FV1" s="80"/>
      <c r="FW1" s="80"/>
      <c r="FX1" s="80"/>
      <c r="FY1" s="80"/>
      <c r="FZ1" s="80"/>
      <c r="GA1" s="80"/>
      <c r="GB1" s="80"/>
      <c r="GC1" s="80"/>
    </row>
    <row r="2" spans="1:185">
      <c r="A2" s="10" t="str">
        <f>ModelDescription!A2</f>
        <v>Economic Forecasting Model</v>
      </c>
      <c r="B2" s="80"/>
      <c r="C2" s="80"/>
      <c r="D2" s="80"/>
      <c r="E2" s="80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0"/>
      <c r="FW2" s="80"/>
      <c r="FX2" s="80"/>
      <c r="FY2" s="80"/>
      <c r="FZ2" s="80"/>
      <c r="GA2" s="80"/>
      <c r="GB2" s="80"/>
      <c r="GC2" s="80"/>
    </row>
    <row r="3" spans="1:185">
      <c r="A3" s="10" t="str">
        <f>ModelDescription!C4</f>
        <v>Noble, OK 6 Processor Facility - Series A + Series B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  <c r="DR3" s="80"/>
      <c r="DS3" s="80"/>
      <c r="DT3" s="80"/>
      <c r="DU3" s="80"/>
      <c r="DV3" s="80"/>
      <c r="DW3" s="80"/>
      <c r="DX3" s="80"/>
      <c r="DY3" s="80"/>
      <c r="DZ3" s="80"/>
      <c r="EA3" s="80"/>
      <c r="EB3" s="80"/>
      <c r="EC3" s="80"/>
      <c r="ED3" s="80"/>
      <c r="EE3" s="80"/>
      <c r="EF3" s="80"/>
      <c r="EG3" s="80"/>
      <c r="EH3" s="80"/>
      <c r="EI3" s="80"/>
      <c r="EJ3" s="80"/>
      <c r="EK3" s="80"/>
      <c r="EL3" s="80"/>
      <c r="EM3" s="80"/>
      <c r="EN3" s="80"/>
      <c r="EO3" s="80"/>
      <c r="EP3" s="80"/>
      <c r="EQ3" s="80"/>
      <c r="ER3" s="80"/>
      <c r="ES3" s="80"/>
      <c r="ET3" s="80"/>
      <c r="EU3" s="80"/>
      <c r="EV3" s="80"/>
      <c r="EW3" s="80"/>
      <c r="EX3" s="80"/>
      <c r="EY3" s="80"/>
      <c r="EZ3" s="80"/>
      <c r="FA3" s="80"/>
      <c r="FB3" s="80"/>
      <c r="FC3" s="80"/>
      <c r="FD3" s="80"/>
      <c r="FE3" s="80"/>
      <c r="FF3" s="80"/>
      <c r="FG3" s="80"/>
      <c r="FH3" s="80"/>
      <c r="FI3" s="80"/>
      <c r="FJ3" s="80"/>
      <c r="FK3" s="80"/>
      <c r="FL3" s="80"/>
      <c r="FM3" s="80"/>
      <c r="FN3" s="80"/>
      <c r="FO3" s="80"/>
      <c r="FP3" s="80"/>
      <c r="FQ3" s="80"/>
      <c r="FR3" s="80"/>
      <c r="FS3" s="80"/>
      <c r="FT3" s="80"/>
      <c r="FU3" s="80"/>
      <c r="FV3" s="80"/>
      <c r="FW3" s="80"/>
      <c r="FX3" s="80"/>
      <c r="FY3" s="80"/>
      <c r="FZ3" s="80"/>
      <c r="GA3" s="80"/>
      <c r="GB3" s="80"/>
      <c r="GC3" s="80"/>
    </row>
    <row r="4" spans="1:185">
      <c r="A4" s="1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  <c r="ED4" s="80"/>
      <c r="EE4" s="80"/>
      <c r="EF4" s="80"/>
      <c r="EG4" s="80"/>
      <c r="EH4" s="80"/>
      <c r="EI4" s="80"/>
      <c r="EJ4" s="80"/>
      <c r="EK4" s="80"/>
      <c r="EL4" s="80"/>
      <c r="EM4" s="80"/>
      <c r="EN4" s="80"/>
      <c r="EO4" s="80"/>
      <c r="EP4" s="80"/>
      <c r="EQ4" s="80"/>
      <c r="ER4" s="80"/>
      <c r="ES4" s="80"/>
      <c r="ET4" s="80"/>
      <c r="EU4" s="80"/>
      <c r="EV4" s="80"/>
      <c r="EW4" s="80"/>
      <c r="EX4" s="80"/>
      <c r="EY4" s="80"/>
      <c r="EZ4" s="80"/>
      <c r="FA4" s="80"/>
      <c r="FB4" s="80"/>
      <c r="FC4" s="80"/>
      <c r="FD4" s="80"/>
      <c r="FE4" s="80"/>
      <c r="FF4" s="80"/>
      <c r="FG4" s="80"/>
      <c r="FH4" s="80"/>
      <c r="FI4" s="80"/>
      <c r="FJ4" s="80"/>
      <c r="FK4" s="80"/>
      <c r="FL4" s="80"/>
      <c r="FM4" s="80"/>
      <c r="FN4" s="80"/>
      <c r="FO4" s="80"/>
      <c r="FP4" s="80"/>
      <c r="FQ4" s="80"/>
      <c r="FR4" s="80"/>
      <c r="FS4" s="80"/>
      <c r="FT4" s="80"/>
      <c r="FU4" s="80"/>
      <c r="FV4" s="80"/>
      <c r="FW4" s="80"/>
      <c r="FX4" s="80"/>
      <c r="FY4" s="80"/>
      <c r="FZ4" s="80"/>
      <c r="GA4" s="80"/>
      <c r="GB4" s="80"/>
      <c r="GC4" s="80"/>
    </row>
    <row r="5" spans="1:185">
      <c r="A5" s="7"/>
      <c r="B5" s="7" t="s">
        <v>69</v>
      </c>
      <c r="C5" s="7"/>
      <c r="D5" s="7"/>
      <c r="E5" s="7"/>
      <c r="F5" s="8">
        <f>Assumptions!D76</f>
        <v>1</v>
      </c>
      <c r="G5" s="8">
        <f>Assumptions!E76</f>
        <v>2</v>
      </c>
      <c r="H5" s="8">
        <f>Assumptions!F76</f>
        <v>3</v>
      </c>
      <c r="I5" s="8">
        <f>Assumptions!G76</f>
        <v>4</v>
      </c>
      <c r="J5" s="8">
        <f>Assumptions!H76</f>
        <v>5</v>
      </c>
      <c r="K5" s="8">
        <f>Assumptions!I76</f>
        <v>6</v>
      </c>
      <c r="L5" s="8">
        <f>Assumptions!J76</f>
        <v>7</v>
      </c>
      <c r="M5" s="8">
        <f>Assumptions!K76</f>
        <v>8</v>
      </c>
      <c r="N5" s="8">
        <f>Assumptions!L76</f>
        <v>9</v>
      </c>
      <c r="O5" s="8">
        <f>Assumptions!M76</f>
        <v>10</v>
      </c>
      <c r="P5" s="8">
        <f>Assumptions!N76</f>
        <v>11</v>
      </c>
      <c r="Q5" s="8">
        <f>Assumptions!O76</f>
        <v>12</v>
      </c>
      <c r="R5" s="8">
        <f>Assumptions!P76</f>
        <v>13</v>
      </c>
      <c r="S5" s="8">
        <f>Assumptions!Q76</f>
        <v>14</v>
      </c>
      <c r="T5" s="8">
        <f>Assumptions!R76</f>
        <v>15</v>
      </c>
      <c r="U5" s="8">
        <f>Assumptions!S76</f>
        <v>16</v>
      </c>
      <c r="V5" s="8">
        <f>Assumptions!T76</f>
        <v>17</v>
      </c>
      <c r="W5" s="8">
        <f>Assumptions!U76</f>
        <v>18</v>
      </c>
      <c r="X5" s="8">
        <f>Assumptions!V76</f>
        <v>19</v>
      </c>
      <c r="Y5" s="8">
        <f>Assumptions!W76</f>
        <v>20</v>
      </c>
      <c r="Z5" s="8">
        <f>Assumptions!X76</f>
        <v>21</v>
      </c>
      <c r="AA5" s="8">
        <f>Assumptions!Y76</f>
        <v>22</v>
      </c>
      <c r="AB5" s="8">
        <f>Assumptions!Z76</f>
        <v>23</v>
      </c>
      <c r="AC5" s="8">
        <f>Assumptions!AA76</f>
        <v>24</v>
      </c>
      <c r="AD5" s="8">
        <f>Assumptions!AB76</f>
        <v>25</v>
      </c>
      <c r="AE5" s="8">
        <f>Assumptions!AC76</f>
        <v>26</v>
      </c>
      <c r="AF5" s="8">
        <f>Assumptions!AD76</f>
        <v>27</v>
      </c>
      <c r="AG5" s="8">
        <f>Assumptions!AE76</f>
        <v>28</v>
      </c>
      <c r="AH5" s="8">
        <f>Assumptions!AF76</f>
        <v>29</v>
      </c>
      <c r="AI5" s="8">
        <f>Assumptions!AG76</f>
        <v>30</v>
      </c>
      <c r="AJ5" s="8">
        <f>Assumptions!AH76</f>
        <v>31</v>
      </c>
      <c r="AK5" s="8">
        <f>Assumptions!AI76</f>
        <v>32</v>
      </c>
      <c r="AL5" s="8">
        <f>Assumptions!AJ76</f>
        <v>33</v>
      </c>
      <c r="AM5" s="8">
        <f>Assumptions!AK76</f>
        <v>34</v>
      </c>
      <c r="AN5" s="8">
        <f>Assumptions!AL76</f>
        <v>35</v>
      </c>
      <c r="AO5" s="8">
        <f>Assumptions!AM76</f>
        <v>36</v>
      </c>
      <c r="AP5" s="8">
        <f>Assumptions!AN76</f>
        <v>37</v>
      </c>
      <c r="AQ5" s="8">
        <f>Assumptions!AO76</f>
        <v>38</v>
      </c>
      <c r="AR5" s="8">
        <f>Assumptions!AP76</f>
        <v>39</v>
      </c>
      <c r="AS5" s="8">
        <f>Assumptions!AQ76</f>
        <v>40</v>
      </c>
      <c r="AT5" s="8">
        <f>Assumptions!AR76</f>
        <v>41</v>
      </c>
      <c r="AU5" s="8">
        <f>Assumptions!AS76</f>
        <v>42</v>
      </c>
      <c r="AV5" s="8">
        <f>Assumptions!AT76</f>
        <v>43</v>
      </c>
      <c r="AW5" s="8">
        <f>Assumptions!AU76</f>
        <v>44</v>
      </c>
      <c r="AX5" s="8">
        <f>Assumptions!AV76</f>
        <v>45</v>
      </c>
      <c r="AY5" s="8">
        <f>Assumptions!AW76</f>
        <v>46</v>
      </c>
      <c r="AZ5" s="8">
        <f>Assumptions!AX76</f>
        <v>47</v>
      </c>
      <c r="BA5" s="8">
        <f>Assumptions!AY76</f>
        <v>48</v>
      </c>
      <c r="BB5" s="8">
        <f>Assumptions!AZ76</f>
        <v>49</v>
      </c>
      <c r="BC5" s="8">
        <f>Assumptions!BA76</f>
        <v>50</v>
      </c>
      <c r="BD5" s="8">
        <f>Assumptions!BB76</f>
        <v>51</v>
      </c>
      <c r="BE5" s="8">
        <f>Assumptions!BC76</f>
        <v>52</v>
      </c>
      <c r="BF5" s="8">
        <f>Assumptions!BD76</f>
        <v>53</v>
      </c>
      <c r="BG5" s="8">
        <f>Assumptions!BE76</f>
        <v>54</v>
      </c>
      <c r="BH5" s="8">
        <f>Assumptions!BF76</f>
        <v>55</v>
      </c>
      <c r="BI5" s="8">
        <f>Assumptions!BG76</f>
        <v>56</v>
      </c>
      <c r="BJ5" s="8">
        <f>Assumptions!BH76</f>
        <v>57</v>
      </c>
      <c r="BK5" s="8">
        <f>Assumptions!BI76</f>
        <v>58</v>
      </c>
      <c r="BL5" s="8">
        <f>Assumptions!BJ76</f>
        <v>59</v>
      </c>
      <c r="BM5" s="8">
        <f>Assumptions!BK76</f>
        <v>60</v>
      </c>
      <c r="BN5" s="8">
        <f>Assumptions!BL76</f>
        <v>61</v>
      </c>
      <c r="BO5" s="8">
        <f>Assumptions!BM76</f>
        <v>62</v>
      </c>
      <c r="BP5" s="8">
        <f>Assumptions!BN76</f>
        <v>63</v>
      </c>
      <c r="BQ5" s="8">
        <f>Assumptions!BO76</f>
        <v>64</v>
      </c>
      <c r="BR5" s="8">
        <f>Assumptions!BP76</f>
        <v>65</v>
      </c>
      <c r="BS5" s="8">
        <f>Assumptions!BQ76</f>
        <v>66</v>
      </c>
      <c r="BT5" s="8">
        <f>Assumptions!BR76</f>
        <v>67</v>
      </c>
      <c r="BU5" s="8">
        <f>Assumptions!BS76</f>
        <v>68</v>
      </c>
      <c r="BV5" s="8">
        <f>Assumptions!BT76</f>
        <v>69</v>
      </c>
      <c r="BW5" s="8">
        <f>Assumptions!BU76</f>
        <v>70</v>
      </c>
      <c r="BX5" s="8">
        <f>Assumptions!BV76</f>
        <v>71</v>
      </c>
      <c r="BY5" s="8">
        <f>Assumptions!BW76</f>
        <v>72</v>
      </c>
      <c r="BZ5" s="8">
        <f>Assumptions!BX76</f>
        <v>73</v>
      </c>
      <c r="CA5" s="8">
        <f>Assumptions!BY76</f>
        <v>74</v>
      </c>
      <c r="CB5" s="8">
        <f>Assumptions!BZ76</f>
        <v>75</v>
      </c>
      <c r="CC5" s="8">
        <f>Assumptions!CA76</f>
        <v>76</v>
      </c>
      <c r="CD5" s="8">
        <f>Assumptions!CB76</f>
        <v>77</v>
      </c>
      <c r="CE5" s="8">
        <f>Assumptions!CC76</f>
        <v>78</v>
      </c>
      <c r="CF5" s="8">
        <f>Assumptions!CD76</f>
        <v>79</v>
      </c>
      <c r="CG5" s="8">
        <f>Assumptions!CE76</f>
        <v>80</v>
      </c>
      <c r="CH5" s="8">
        <f>Assumptions!CF76</f>
        <v>81</v>
      </c>
      <c r="CI5" s="8">
        <f>Assumptions!CG76</f>
        <v>82</v>
      </c>
      <c r="CJ5" s="8">
        <f>Assumptions!CH76</f>
        <v>83</v>
      </c>
      <c r="CK5" s="8">
        <f>Assumptions!CI76</f>
        <v>84</v>
      </c>
      <c r="CL5" s="8">
        <f>Assumptions!CJ76</f>
        <v>85</v>
      </c>
      <c r="CM5" s="8">
        <f>Assumptions!CK76</f>
        <v>86</v>
      </c>
      <c r="CN5" s="8">
        <f>Assumptions!CL76</f>
        <v>87</v>
      </c>
      <c r="CO5" s="8">
        <f>Assumptions!CM76</f>
        <v>88</v>
      </c>
      <c r="CP5" s="8">
        <f>Assumptions!CN76</f>
        <v>89</v>
      </c>
      <c r="CQ5" s="8">
        <f>Assumptions!CO76</f>
        <v>90</v>
      </c>
      <c r="CR5" s="8">
        <f>Assumptions!CP76</f>
        <v>91</v>
      </c>
      <c r="CS5" s="8">
        <f>Assumptions!CQ76</f>
        <v>92</v>
      </c>
      <c r="CT5" s="8">
        <f>Assumptions!CR76</f>
        <v>93</v>
      </c>
      <c r="CU5" s="8">
        <f>Assumptions!CS76</f>
        <v>94</v>
      </c>
      <c r="CV5" s="8">
        <f>Assumptions!CT76</f>
        <v>95</v>
      </c>
      <c r="CW5" s="8">
        <f>Assumptions!CU76</f>
        <v>96</v>
      </c>
      <c r="CX5" s="8">
        <f>Assumptions!CV76</f>
        <v>97</v>
      </c>
      <c r="CY5" s="8">
        <f>Assumptions!CW76</f>
        <v>98</v>
      </c>
      <c r="CZ5" s="8">
        <f>Assumptions!CX76</f>
        <v>99</v>
      </c>
      <c r="DA5" s="8">
        <f>Assumptions!CY76</f>
        <v>100</v>
      </c>
      <c r="DB5" s="8">
        <f>Assumptions!CZ76</f>
        <v>101</v>
      </c>
      <c r="DC5" s="8">
        <f>Assumptions!DA76</f>
        <v>102</v>
      </c>
      <c r="DD5" s="8">
        <f>Assumptions!DB76</f>
        <v>103</v>
      </c>
      <c r="DE5" s="8">
        <f>Assumptions!DC76</f>
        <v>104</v>
      </c>
      <c r="DF5" s="8">
        <f>Assumptions!DD76</f>
        <v>105</v>
      </c>
      <c r="DG5" s="8">
        <f>Assumptions!DE76</f>
        <v>106</v>
      </c>
      <c r="DH5" s="8">
        <f>Assumptions!DF76</f>
        <v>107</v>
      </c>
      <c r="DI5" s="8">
        <f>Assumptions!DG76</f>
        <v>108</v>
      </c>
      <c r="DJ5" s="8">
        <f>Assumptions!DH76</f>
        <v>109</v>
      </c>
      <c r="DK5" s="8">
        <f>Assumptions!DI76</f>
        <v>110</v>
      </c>
      <c r="DL5" s="8">
        <f>Assumptions!DJ76</f>
        <v>111</v>
      </c>
      <c r="DM5" s="8">
        <f>Assumptions!DK76</f>
        <v>112</v>
      </c>
      <c r="DN5" s="8">
        <f>Assumptions!DL76</f>
        <v>113</v>
      </c>
      <c r="DO5" s="8">
        <f>Assumptions!DM76</f>
        <v>114</v>
      </c>
      <c r="DP5" s="8">
        <f>Assumptions!DN76</f>
        <v>115</v>
      </c>
      <c r="DQ5" s="8">
        <f>Assumptions!DO76</f>
        <v>116</v>
      </c>
      <c r="DR5" s="8">
        <f>Assumptions!DP76</f>
        <v>117</v>
      </c>
      <c r="DS5" s="8">
        <f>Assumptions!DQ76</f>
        <v>118</v>
      </c>
      <c r="DT5" s="8">
        <f>Assumptions!DR76</f>
        <v>119</v>
      </c>
      <c r="DU5" s="8">
        <f>Assumptions!DS76</f>
        <v>120</v>
      </c>
      <c r="DV5" s="8">
        <f>Assumptions!DT76</f>
        <v>121</v>
      </c>
      <c r="DW5" s="8">
        <f>Assumptions!DU76</f>
        <v>122</v>
      </c>
      <c r="DX5" s="8">
        <f>Assumptions!DV76</f>
        <v>123</v>
      </c>
      <c r="DY5" s="8">
        <f>Assumptions!DW76</f>
        <v>124</v>
      </c>
      <c r="DZ5" s="8">
        <f>Assumptions!DX76</f>
        <v>125</v>
      </c>
      <c r="EA5" s="8">
        <f>Assumptions!DY76</f>
        <v>126</v>
      </c>
      <c r="EB5" s="8">
        <f>Assumptions!DZ76</f>
        <v>127</v>
      </c>
      <c r="EC5" s="8">
        <f>Assumptions!EA76</f>
        <v>128</v>
      </c>
      <c r="ED5" s="8">
        <f>Assumptions!EB76</f>
        <v>129</v>
      </c>
      <c r="EE5" s="8">
        <f>Assumptions!EC76</f>
        <v>130</v>
      </c>
      <c r="EF5" s="8">
        <f>Assumptions!ED76</f>
        <v>131</v>
      </c>
      <c r="EG5" s="8">
        <f>Assumptions!EE76</f>
        <v>132</v>
      </c>
      <c r="EH5" s="8">
        <f>Assumptions!EF76</f>
        <v>133</v>
      </c>
      <c r="EI5" s="8">
        <f>Assumptions!EG76</f>
        <v>134</v>
      </c>
      <c r="EJ5" s="8">
        <f>Assumptions!EH76</f>
        <v>135</v>
      </c>
      <c r="EK5" s="8">
        <f>Assumptions!EI76</f>
        <v>136</v>
      </c>
      <c r="EL5" s="8">
        <f>Assumptions!EJ76</f>
        <v>137</v>
      </c>
      <c r="EM5" s="8">
        <f>Assumptions!EK76</f>
        <v>138</v>
      </c>
      <c r="EN5" s="8">
        <f>Assumptions!EL76</f>
        <v>139</v>
      </c>
      <c r="EO5" s="8">
        <f>Assumptions!EM76</f>
        <v>140</v>
      </c>
      <c r="EP5" s="8">
        <f>Assumptions!EN76</f>
        <v>141</v>
      </c>
      <c r="EQ5" s="8">
        <f>Assumptions!EO76</f>
        <v>142</v>
      </c>
      <c r="ER5" s="8">
        <f>Assumptions!EP76</f>
        <v>143</v>
      </c>
      <c r="ES5" s="8">
        <f>Assumptions!EQ76</f>
        <v>144</v>
      </c>
      <c r="ET5" s="8">
        <f>Assumptions!ER76</f>
        <v>145</v>
      </c>
      <c r="EU5" s="8">
        <f>Assumptions!ES76</f>
        <v>146</v>
      </c>
      <c r="EV5" s="8">
        <f>Assumptions!ET76</f>
        <v>147</v>
      </c>
      <c r="EW5" s="8">
        <f>Assumptions!EU76</f>
        <v>148</v>
      </c>
      <c r="EX5" s="8">
        <f>Assumptions!EV76</f>
        <v>149</v>
      </c>
      <c r="EY5" s="8">
        <f>Assumptions!EW76</f>
        <v>150</v>
      </c>
      <c r="EZ5" s="8">
        <f>Assumptions!EX76</f>
        <v>151</v>
      </c>
      <c r="FA5" s="8">
        <f>Assumptions!EY76</f>
        <v>152</v>
      </c>
      <c r="FB5" s="8">
        <f>Assumptions!EZ76</f>
        <v>153</v>
      </c>
      <c r="FC5" s="8">
        <f>Assumptions!FA76</f>
        <v>154</v>
      </c>
      <c r="FD5" s="8">
        <f>Assumptions!FB76</f>
        <v>155</v>
      </c>
      <c r="FE5" s="8">
        <f>Assumptions!FC76</f>
        <v>156</v>
      </c>
      <c r="FF5" s="8">
        <f>Assumptions!FD76</f>
        <v>157</v>
      </c>
      <c r="FG5" s="8">
        <f>Assumptions!FE76</f>
        <v>158</v>
      </c>
      <c r="FH5" s="8">
        <f>Assumptions!FF76</f>
        <v>159</v>
      </c>
      <c r="FI5" s="8">
        <f>Assumptions!FG76</f>
        <v>160</v>
      </c>
      <c r="FJ5" s="8">
        <f>Assumptions!FH76</f>
        <v>161</v>
      </c>
      <c r="FK5" s="8">
        <f>Assumptions!FI76</f>
        <v>162</v>
      </c>
      <c r="FL5" s="8">
        <f>Assumptions!FJ76</f>
        <v>163</v>
      </c>
      <c r="FM5" s="8">
        <f>Assumptions!FK76</f>
        <v>164</v>
      </c>
      <c r="FN5" s="8">
        <f>Assumptions!FL76</f>
        <v>165</v>
      </c>
      <c r="FO5" s="8">
        <f>Assumptions!FM76</f>
        <v>166</v>
      </c>
      <c r="FP5" s="8">
        <f>Assumptions!FN76</f>
        <v>167</v>
      </c>
      <c r="FQ5" s="8">
        <f>Assumptions!FO76</f>
        <v>168</v>
      </c>
      <c r="FR5" s="8">
        <f>Assumptions!FP76</f>
        <v>169</v>
      </c>
      <c r="FS5" s="8">
        <f>Assumptions!FQ76</f>
        <v>170</v>
      </c>
      <c r="FT5" s="8">
        <f>Assumptions!FR76</f>
        <v>171</v>
      </c>
      <c r="FU5" s="8">
        <f>Assumptions!FS76</f>
        <v>172</v>
      </c>
      <c r="FV5" s="8">
        <f>Assumptions!FT76</f>
        <v>173</v>
      </c>
      <c r="FW5" s="8">
        <f>Assumptions!FU76</f>
        <v>174</v>
      </c>
      <c r="FX5" s="8">
        <f>Assumptions!FV76</f>
        <v>175</v>
      </c>
      <c r="FY5" s="8">
        <f>Assumptions!FW76</f>
        <v>176</v>
      </c>
      <c r="FZ5" s="8">
        <f>Assumptions!FX76</f>
        <v>177</v>
      </c>
      <c r="GA5" s="8">
        <f>Assumptions!FY76</f>
        <v>178</v>
      </c>
      <c r="GB5" s="8">
        <f>Assumptions!FZ76</f>
        <v>179</v>
      </c>
      <c r="GC5" s="8">
        <f>Assumptions!GA76</f>
        <v>180</v>
      </c>
    </row>
    <row r="6" spans="1:185">
      <c r="A6" s="7"/>
      <c r="B6" s="7" t="s">
        <v>26</v>
      </c>
      <c r="C6" s="7"/>
      <c r="D6" s="7"/>
      <c r="E6" s="7"/>
      <c r="F6" s="8">
        <f>Assumptions!D77</f>
        <v>2026</v>
      </c>
      <c r="G6" s="8">
        <f>Assumptions!E77</f>
        <v>2026</v>
      </c>
      <c r="H6" s="8">
        <f>Assumptions!F77</f>
        <v>2026</v>
      </c>
      <c r="I6" s="8">
        <f>Assumptions!G77</f>
        <v>2026</v>
      </c>
      <c r="J6" s="8">
        <f>Assumptions!H77</f>
        <v>2026</v>
      </c>
      <c r="K6" s="8">
        <f>Assumptions!I77</f>
        <v>2026</v>
      </c>
      <c r="L6" s="8">
        <f>Assumptions!J77</f>
        <v>2026</v>
      </c>
      <c r="M6" s="8">
        <f>Assumptions!K77</f>
        <v>2026</v>
      </c>
      <c r="N6" s="8">
        <f>Assumptions!L77</f>
        <v>2026</v>
      </c>
      <c r="O6" s="8">
        <f>Assumptions!M77</f>
        <v>2026</v>
      </c>
      <c r="P6" s="8">
        <f>Assumptions!N77</f>
        <v>2026</v>
      </c>
      <c r="Q6" s="8">
        <f>Assumptions!O77</f>
        <v>2026</v>
      </c>
      <c r="R6" s="8">
        <f>Assumptions!P77</f>
        <v>2027</v>
      </c>
      <c r="S6" s="8">
        <f>Assumptions!Q77</f>
        <v>2027</v>
      </c>
      <c r="T6" s="8">
        <f>Assumptions!R77</f>
        <v>2027</v>
      </c>
      <c r="U6" s="8">
        <f>Assumptions!S77</f>
        <v>2027</v>
      </c>
      <c r="V6" s="8">
        <f>Assumptions!T77</f>
        <v>2027</v>
      </c>
      <c r="W6" s="8">
        <f>Assumptions!U77</f>
        <v>2027</v>
      </c>
      <c r="X6" s="8">
        <f>Assumptions!V77</f>
        <v>2027</v>
      </c>
      <c r="Y6" s="8">
        <f>Assumptions!W77</f>
        <v>2027</v>
      </c>
      <c r="Z6" s="8">
        <f>Assumptions!X77</f>
        <v>2027</v>
      </c>
      <c r="AA6" s="8">
        <f>Assumptions!Y77</f>
        <v>2027</v>
      </c>
      <c r="AB6" s="8">
        <f>Assumptions!Z77</f>
        <v>2027</v>
      </c>
      <c r="AC6" s="8">
        <f>Assumptions!AA77</f>
        <v>2027</v>
      </c>
      <c r="AD6" s="8">
        <f>Assumptions!AB77</f>
        <v>2028</v>
      </c>
      <c r="AE6" s="8">
        <f>Assumptions!AC77</f>
        <v>2028</v>
      </c>
      <c r="AF6" s="8">
        <f>Assumptions!AD77</f>
        <v>2028</v>
      </c>
      <c r="AG6" s="8">
        <f>Assumptions!AE77</f>
        <v>2028</v>
      </c>
      <c r="AH6" s="8">
        <f>Assumptions!AF77</f>
        <v>2028</v>
      </c>
      <c r="AI6" s="8">
        <f>Assumptions!AG77</f>
        <v>2028</v>
      </c>
      <c r="AJ6" s="8">
        <f>Assumptions!AH77</f>
        <v>2028</v>
      </c>
      <c r="AK6" s="8">
        <f>Assumptions!AI77</f>
        <v>2028</v>
      </c>
      <c r="AL6" s="8">
        <f>Assumptions!AJ77</f>
        <v>2028</v>
      </c>
      <c r="AM6" s="8">
        <f>Assumptions!AK77</f>
        <v>2028</v>
      </c>
      <c r="AN6" s="8">
        <f>Assumptions!AL77</f>
        <v>2028</v>
      </c>
      <c r="AO6" s="8">
        <f>Assumptions!AM77</f>
        <v>2028</v>
      </c>
      <c r="AP6" s="8">
        <f>Assumptions!AN77</f>
        <v>2029</v>
      </c>
      <c r="AQ6" s="8">
        <f>Assumptions!AO77</f>
        <v>2029</v>
      </c>
      <c r="AR6" s="8">
        <f>Assumptions!AP77</f>
        <v>2029</v>
      </c>
      <c r="AS6" s="8">
        <f>Assumptions!AQ77</f>
        <v>2029</v>
      </c>
      <c r="AT6" s="8">
        <f>Assumptions!AR77</f>
        <v>2029</v>
      </c>
      <c r="AU6" s="8">
        <f>Assumptions!AS77</f>
        <v>2029</v>
      </c>
      <c r="AV6" s="8">
        <f>Assumptions!AT77</f>
        <v>2029</v>
      </c>
      <c r="AW6" s="8">
        <f>Assumptions!AU77</f>
        <v>2029</v>
      </c>
      <c r="AX6" s="8">
        <f>Assumptions!AV77</f>
        <v>2029</v>
      </c>
      <c r="AY6" s="8">
        <f>Assumptions!AW77</f>
        <v>2029</v>
      </c>
      <c r="AZ6" s="8">
        <f>Assumptions!AX77</f>
        <v>2029</v>
      </c>
      <c r="BA6" s="8">
        <f>Assumptions!AY77</f>
        <v>2029</v>
      </c>
      <c r="BB6" s="8">
        <f>Assumptions!AZ77</f>
        <v>2030</v>
      </c>
      <c r="BC6" s="8">
        <f>Assumptions!BA77</f>
        <v>2030</v>
      </c>
      <c r="BD6" s="8">
        <f>Assumptions!BB77</f>
        <v>2030</v>
      </c>
      <c r="BE6" s="8">
        <f>Assumptions!BC77</f>
        <v>2030</v>
      </c>
      <c r="BF6" s="8">
        <f>Assumptions!BD77</f>
        <v>2030</v>
      </c>
      <c r="BG6" s="8">
        <f>Assumptions!BE77</f>
        <v>2030</v>
      </c>
      <c r="BH6" s="8">
        <f>Assumptions!BF77</f>
        <v>2030</v>
      </c>
      <c r="BI6" s="8">
        <f>Assumptions!BG77</f>
        <v>2030</v>
      </c>
      <c r="BJ6" s="8">
        <f>Assumptions!BH77</f>
        <v>2030</v>
      </c>
      <c r="BK6" s="8">
        <f>Assumptions!BI77</f>
        <v>2030</v>
      </c>
      <c r="BL6" s="8">
        <f>Assumptions!BJ77</f>
        <v>2030</v>
      </c>
      <c r="BM6" s="8">
        <f>Assumptions!BK77</f>
        <v>2030</v>
      </c>
      <c r="BN6" s="8">
        <f>Assumptions!BL77</f>
        <v>2031</v>
      </c>
      <c r="BO6" s="8">
        <f>Assumptions!BM77</f>
        <v>2031</v>
      </c>
      <c r="BP6" s="8">
        <f>Assumptions!BN77</f>
        <v>2031</v>
      </c>
      <c r="BQ6" s="8">
        <f>Assumptions!BO77</f>
        <v>2031</v>
      </c>
      <c r="BR6" s="8">
        <f>Assumptions!BP77</f>
        <v>2031</v>
      </c>
      <c r="BS6" s="8">
        <f>Assumptions!BQ77</f>
        <v>2031</v>
      </c>
      <c r="BT6" s="8">
        <f>Assumptions!BR77</f>
        <v>2031</v>
      </c>
      <c r="BU6" s="8">
        <f>Assumptions!BS77</f>
        <v>2031</v>
      </c>
      <c r="BV6" s="8">
        <f>Assumptions!BT77</f>
        <v>2031</v>
      </c>
      <c r="BW6" s="8">
        <f>Assumptions!BU77</f>
        <v>2031</v>
      </c>
      <c r="BX6" s="8">
        <f>Assumptions!BV77</f>
        <v>2031</v>
      </c>
      <c r="BY6" s="8">
        <f>Assumptions!BW77</f>
        <v>2031</v>
      </c>
      <c r="BZ6" s="8">
        <f>Assumptions!BX77</f>
        <v>2032</v>
      </c>
      <c r="CA6" s="8">
        <f>Assumptions!BY77</f>
        <v>2032</v>
      </c>
      <c r="CB6" s="8">
        <f>Assumptions!BZ77</f>
        <v>2032</v>
      </c>
      <c r="CC6" s="8">
        <f>Assumptions!CA77</f>
        <v>2032</v>
      </c>
      <c r="CD6" s="8">
        <f>Assumptions!CB77</f>
        <v>2032</v>
      </c>
      <c r="CE6" s="8">
        <f>Assumptions!CC77</f>
        <v>2032</v>
      </c>
      <c r="CF6" s="8">
        <f>Assumptions!CD77</f>
        <v>2032</v>
      </c>
      <c r="CG6" s="8">
        <f>Assumptions!CE77</f>
        <v>2032</v>
      </c>
      <c r="CH6" s="8">
        <f>Assumptions!CF77</f>
        <v>2032</v>
      </c>
      <c r="CI6" s="8">
        <f>Assumptions!CG77</f>
        <v>2032</v>
      </c>
      <c r="CJ6" s="8">
        <f>Assumptions!CH77</f>
        <v>2032</v>
      </c>
      <c r="CK6" s="8">
        <f>Assumptions!CI77</f>
        <v>2032</v>
      </c>
      <c r="CL6" s="8">
        <f>Assumptions!CJ77</f>
        <v>2033</v>
      </c>
      <c r="CM6" s="8">
        <f>Assumptions!CK77</f>
        <v>2033</v>
      </c>
      <c r="CN6" s="8">
        <f>Assumptions!CL77</f>
        <v>2033</v>
      </c>
      <c r="CO6" s="8">
        <f>Assumptions!CM77</f>
        <v>2033</v>
      </c>
      <c r="CP6" s="8">
        <f>Assumptions!CN77</f>
        <v>2033</v>
      </c>
      <c r="CQ6" s="8">
        <f>Assumptions!CO77</f>
        <v>2033</v>
      </c>
      <c r="CR6" s="8">
        <f>Assumptions!CP77</f>
        <v>2033</v>
      </c>
      <c r="CS6" s="8">
        <f>Assumptions!CQ77</f>
        <v>2033</v>
      </c>
      <c r="CT6" s="8">
        <f>Assumptions!CR77</f>
        <v>2033</v>
      </c>
      <c r="CU6" s="8">
        <f>Assumptions!CS77</f>
        <v>2033</v>
      </c>
      <c r="CV6" s="8">
        <f>Assumptions!CT77</f>
        <v>2033</v>
      </c>
      <c r="CW6" s="8">
        <f>Assumptions!CU77</f>
        <v>2033</v>
      </c>
      <c r="CX6" s="8">
        <f>Assumptions!CV77</f>
        <v>2034</v>
      </c>
      <c r="CY6" s="8">
        <f>Assumptions!CW77</f>
        <v>2034</v>
      </c>
      <c r="CZ6" s="8">
        <f>Assumptions!CX77</f>
        <v>2034</v>
      </c>
      <c r="DA6" s="8">
        <f>Assumptions!CY77</f>
        <v>2034</v>
      </c>
      <c r="DB6" s="8">
        <f>Assumptions!CZ77</f>
        <v>2034</v>
      </c>
      <c r="DC6" s="8">
        <f>Assumptions!DA77</f>
        <v>2034</v>
      </c>
      <c r="DD6" s="8">
        <f>Assumptions!DB77</f>
        <v>2034</v>
      </c>
      <c r="DE6" s="8">
        <f>Assumptions!DC77</f>
        <v>2034</v>
      </c>
      <c r="DF6" s="8">
        <f>Assumptions!DD77</f>
        <v>2034</v>
      </c>
      <c r="DG6" s="8">
        <f>Assumptions!DE77</f>
        <v>2034</v>
      </c>
      <c r="DH6" s="8">
        <f>Assumptions!DF77</f>
        <v>2034</v>
      </c>
      <c r="DI6" s="8">
        <f>Assumptions!DG77</f>
        <v>2034</v>
      </c>
      <c r="DJ6" s="8">
        <f>Assumptions!DH77</f>
        <v>2035</v>
      </c>
      <c r="DK6" s="8">
        <f>Assumptions!DI77</f>
        <v>2035</v>
      </c>
      <c r="DL6" s="8">
        <f>Assumptions!DJ77</f>
        <v>2035</v>
      </c>
      <c r="DM6" s="8">
        <f>Assumptions!DK77</f>
        <v>2035</v>
      </c>
      <c r="DN6" s="8">
        <f>Assumptions!DL77</f>
        <v>2035</v>
      </c>
      <c r="DO6" s="8">
        <f>Assumptions!DM77</f>
        <v>2035</v>
      </c>
      <c r="DP6" s="8">
        <f>Assumptions!DN77</f>
        <v>2035</v>
      </c>
      <c r="DQ6" s="8">
        <f>Assumptions!DO77</f>
        <v>2035</v>
      </c>
      <c r="DR6" s="8">
        <f>Assumptions!DP77</f>
        <v>2035</v>
      </c>
      <c r="DS6" s="8">
        <f>Assumptions!DQ77</f>
        <v>2035</v>
      </c>
      <c r="DT6" s="8">
        <f>Assumptions!DR77</f>
        <v>2035</v>
      </c>
      <c r="DU6" s="8">
        <f>Assumptions!DS77</f>
        <v>2035</v>
      </c>
      <c r="DV6" s="8">
        <f>Assumptions!DT77</f>
        <v>2036</v>
      </c>
      <c r="DW6" s="8">
        <f>Assumptions!DU77</f>
        <v>2036</v>
      </c>
      <c r="DX6" s="8">
        <f>Assumptions!DV77</f>
        <v>2036</v>
      </c>
      <c r="DY6" s="8">
        <f>Assumptions!DW77</f>
        <v>2036</v>
      </c>
      <c r="DZ6" s="8">
        <f>Assumptions!DX77</f>
        <v>2036</v>
      </c>
      <c r="EA6" s="8">
        <f>Assumptions!DY77</f>
        <v>2036</v>
      </c>
      <c r="EB6" s="8">
        <f>Assumptions!DZ77</f>
        <v>2036</v>
      </c>
      <c r="EC6" s="8">
        <f>Assumptions!EA77</f>
        <v>2036</v>
      </c>
      <c r="ED6" s="8">
        <f>Assumptions!EB77</f>
        <v>2036</v>
      </c>
      <c r="EE6" s="8">
        <f>Assumptions!EC77</f>
        <v>2036</v>
      </c>
      <c r="EF6" s="8">
        <f>Assumptions!ED77</f>
        <v>2036</v>
      </c>
      <c r="EG6" s="8">
        <f>Assumptions!EE77</f>
        <v>2036</v>
      </c>
      <c r="EH6" s="8">
        <f>Assumptions!EF77</f>
        <v>2037</v>
      </c>
      <c r="EI6" s="8">
        <f>Assumptions!EG77</f>
        <v>2037</v>
      </c>
      <c r="EJ6" s="8">
        <f>Assumptions!EH77</f>
        <v>2037</v>
      </c>
      <c r="EK6" s="8">
        <f>Assumptions!EI77</f>
        <v>2037</v>
      </c>
      <c r="EL6" s="8">
        <f>Assumptions!EJ77</f>
        <v>2037</v>
      </c>
      <c r="EM6" s="8">
        <f>Assumptions!EK77</f>
        <v>2037</v>
      </c>
      <c r="EN6" s="8">
        <f>Assumptions!EL77</f>
        <v>2037</v>
      </c>
      <c r="EO6" s="8">
        <f>Assumptions!EM77</f>
        <v>2037</v>
      </c>
      <c r="EP6" s="8">
        <f>Assumptions!EN77</f>
        <v>2037</v>
      </c>
      <c r="EQ6" s="8">
        <f>Assumptions!EO77</f>
        <v>2037</v>
      </c>
      <c r="ER6" s="8">
        <f>Assumptions!EP77</f>
        <v>2037</v>
      </c>
      <c r="ES6" s="8">
        <f>Assumptions!EQ77</f>
        <v>2037</v>
      </c>
      <c r="ET6" s="8">
        <f>Assumptions!ER77</f>
        <v>2038</v>
      </c>
      <c r="EU6" s="8">
        <f>Assumptions!ES77</f>
        <v>2038</v>
      </c>
      <c r="EV6" s="8">
        <f>Assumptions!ET77</f>
        <v>2038</v>
      </c>
      <c r="EW6" s="8">
        <f>Assumptions!EU77</f>
        <v>2038</v>
      </c>
      <c r="EX6" s="8">
        <f>Assumptions!EV77</f>
        <v>2038</v>
      </c>
      <c r="EY6" s="8">
        <f>Assumptions!EW77</f>
        <v>2038</v>
      </c>
      <c r="EZ6" s="8">
        <f>Assumptions!EX77</f>
        <v>2038</v>
      </c>
      <c r="FA6" s="8">
        <f>Assumptions!EY77</f>
        <v>2038</v>
      </c>
      <c r="FB6" s="8">
        <f>Assumptions!EZ77</f>
        <v>2038</v>
      </c>
      <c r="FC6" s="8">
        <f>Assumptions!FA77</f>
        <v>2038</v>
      </c>
      <c r="FD6" s="8">
        <f>Assumptions!FB77</f>
        <v>2038</v>
      </c>
      <c r="FE6" s="8">
        <f>Assumptions!FC77</f>
        <v>2038</v>
      </c>
      <c r="FF6" s="8">
        <f>Assumptions!FD77</f>
        <v>2039</v>
      </c>
      <c r="FG6" s="8">
        <f>Assumptions!FE77</f>
        <v>2039</v>
      </c>
      <c r="FH6" s="8">
        <f>Assumptions!FF77</f>
        <v>2039</v>
      </c>
      <c r="FI6" s="8">
        <f>Assumptions!FG77</f>
        <v>2039</v>
      </c>
      <c r="FJ6" s="8">
        <f>Assumptions!FH77</f>
        <v>2039</v>
      </c>
      <c r="FK6" s="8">
        <f>Assumptions!FI77</f>
        <v>2039</v>
      </c>
      <c r="FL6" s="8">
        <f>Assumptions!FJ77</f>
        <v>2039</v>
      </c>
      <c r="FM6" s="8">
        <f>Assumptions!FK77</f>
        <v>2039</v>
      </c>
      <c r="FN6" s="8">
        <f>Assumptions!FL77</f>
        <v>2039</v>
      </c>
      <c r="FO6" s="8">
        <f>Assumptions!FM77</f>
        <v>2039</v>
      </c>
      <c r="FP6" s="8">
        <f>Assumptions!FN77</f>
        <v>2039</v>
      </c>
      <c r="FQ6" s="8">
        <f>Assumptions!FO77</f>
        <v>2039</v>
      </c>
      <c r="FR6" s="8">
        <f>Assumptions!FP77</f>
        <v>2040</v>
      </c>
      <c r="FS6" s="8">
        <f>Assumptions!FQ77</f>
        <v>2040</v>
      </c>
      <c r="FT6" s="8">
        <f>Assumptions!FR77</f>
        <v>2040</v>
      </c>
      <c r="FU6" s="8">
        <f>Assumptions!FS77</f>
        <v>2040</v>
      </c>
      <c r="FV6" s="8">
        <f>Assumptions!FT77</f>
        <v>2040</v>
      </c>
      <c r="FW6" s="8">
        <f>Assumptions!FU77</f>
        <v>2040</v>
      </c>
      <c r="FX6" s="8">
        <f>Assumptions!FV77</f>
        <v>2040</v>
      </c>
      <c r="FY6" s="8">
        <f>Assumptions!FW77</f>
        <v>2040</v>
      </c>
      <c r="FZ6" s="8">
        <f>Assumptions!FX77</f>
        <v>2040</v>
      </c>
      <c r="GA6" s="8">
        <f>Assumptions!FY77</f>
        <v>2040</v>
      </c>
      <c r="GB6" s="8">
        <f>Assumptions!FZ77</f>
        <v>2040</v>
      </c>
      <c r="GC6" s="8">
        <f>Assumptions!GA77</f>
        <v>2040</v>
      </c>
    </row>
    <row r="7" spans="1:185">
      <c r="A7" s="7"/>
      <c r="B7" s="7" t="s">
        <v>70</v>
      </c>
      <c r="C7" s="7"/>
      <c r="D7" s="7"/>
      <c r="E7" s="7"/>
      <c r="F7" s="8" t="str">
        <f>Assumptions!D78</f>
        <v>Jan</v>
      </c>
      <c r="G7" s="8" t="str">
        <f>Assumptions!E78</f>
        <v>Feb</v>
      </c>
      <c r="H7" s="8" t="str">
        <f>Assumptions!F78</f>
        <v>Mar</v>
      </c>
      <c r="I7" s="8" t="str">
        <f>Assumptions!G78</f>
        <v>Apr</v>
      </c>
      <c r="J7" s="8" t="str">
        <f>Assumptions!H78</f>
        <v>May</v>
      </c>
      <c r="K7" s="8" t="str">
        <f>Assumptions!I78</f>
        <v>Jun</v>
      </c>
      <c r="L7" s="8" t="str">
        <f>Assumptions!J78</f>
        <v>Jul</v>
      </c>
      <c r="M7" s="8" t="str">
        <f>Assumptions!K78</f>
        <v>Aug</v>
      </c>
      <c r="N7" s="8" t="str">
        <f>Assumptions!L78</f>
        <v>Sep</v>
      </c>
      <c r="O7" s="8" t="str">
        <f>Assumptions!M78</f>
        <v>Oct</v>
      </c>
      <c r="P7" s="8" t="str">
        <f>Assumptions!N78</f>
        <v>Nov</v>
      </c>
      <c r="Q7" s="8" t="str">
        <f>Assumptions!O78</f>
        <v>Dec</v>
      </c>
      <c r="R7" s="8" t="str">
        <f>Assumptions!P78</f>
        <v>Jan</v>
      </c>
      <c r="S7" s="8" t="str">
        <f>Assumptions!Q78</f>
        <v>Feb</v>
      </c>
      <c r="T7" s="8" t="str">
        <f>Assumptions!R78</f>
        <v>Mar</v>
      </c>
      <c r="U7" s="8" t="str">
        <f>Assumptions!S78</f>
        <v>Apr</v>
      </c>
      <c r="V7" s="8" t="str">
        <f>Assumptions!T78</f>
        <v>May</v>
      </c>
      <c r="W7" s="8" t="str">
        <f>Assumptions!U78</f>
        <v>Jun</v>
      </c>
      <c r="X7" s="8" t="str">
        <f>Assumptions!V78</f>
        <v>Jul</v>
      </c>
      <c r="Y7" s="8" t="str">
        <f>Assumptions!W78</f>
        <v>Aug</v>
      </c>
      <c r="Z7" s="8" t="str">
        <f>Assumptions!X78</f>
        <v>Sep</v>
      </c>
      <c r="AA7" s="8" t="str">
        <f>Assumptions!Y78</f>
        <v>Oct</v>
      </c>
      <c r="AB7" s="8" t="str">
        <f>Assumptions!Z78</f>
        <v>Nov</v>
      </c>
      <c r="AC7" s="8" t="str">
        <f>Assumptions!AA78</f>
        <v>Dec</v>
      </c>
      <c r="AD7" s="8" t="str">
        <f>Assumptions!AB78</f>
        <v>Jan</v>
      </c>
      <c r="AE7" s="8" t="str">
        <f>Assumptions!AC78</f>
        <v>Feb</v>
      </c>
      <c r="AF7" s="8" t="str">
        <f>Assumptions!AD78</f>
        <v>Mar</v>
      </c>
      <c r="AG7" s="8" t="str">
        <f>Assumptions!AE78</f>
        <v>Apr</v>
      </c>
      <c r="AH7" s="8" t="str">
        <f>Assumptions!AF78</f>
        <v>May</v>
      </c>
      <c r="AI7" s="8" t="str">
        <f>Assumptions!AG78</f>
        <v>Jun</v>
      </c>
      <c r="AJ7" s="8" t="str">
        <f>Assumptions!AH78</f>
        <v>Jul</v>
      </c>
      <c r="AK7" s="8" t="str">
        <f>Assumptions!AI78</f>
        <v>Aug</v>
      </c>
      <c r="AL7" s="8" t="str">
        <f>Assumptions!AJ78</f>
        <v>Sep</v>
      </c>
      <c r="AM7" s="8" t="str">
        <f>Assumptions!AK78</f>
        <v>Oct</v>
      </c>
      <c r="AN7" s="8" t="str">
        <f>Assumptions!AL78</f>
        <v>Nov</v>
      </c>
      <c r="AO7" s="8" t="str">
        <f>Assumptions!AM78</f>
        <v>Dec</v>
      </c>
      <c r="AP7" s="8" t="str">
        <f>Assumptions!AN78</f>
        <v>Jan</v>
      </c>
      <c r="AQ7" s="8" t="str">
        <f>Assumptions!AO78</f>
        <v>Feb</v>
      </c>
      <c r="AR7" s="8" t="str">
        <f>Assumptions!AP78</f>
        <v>Mar</v>
      </c>
      <c r="AS7" s="8" t="str">
        <f>Assumptions!AQ78</f>
        <v>Apr</v>
      </c>
      <c r="AT7" s="8" t="str">
        <f>Assumptions!AR78</f>
        <v>May</v>
      </c>
      <c r="AU7" s="8" t="str">
        <f>Assumptions!AS78</f>
        <v>Jun</v>
      </c>
      <c r="AV7" s="8" t="str">
        <f>Assumptions!AT78</f>
        <v>Jul</v>
      </c>
      <c r="AW7" s="8" t="str">
        <f>Assumptions!AU78</f>
        <v>Aug</v>
      </c>
      <c r="AX7" s="8" t="str">
        <f>Assumptions!AV78</f>
        <v>Sep</v>
      </c>
      <c r="AY7" s="8" t="str">
        <f>Assumptions!AW78</f>
        <v>Oct</v>
      </c>
      <c r="AZ7" s="8" t="str">
        <f>Assumptions!AX78</f>
        <v>Nov</v>
      </c>
      <c r="BA7" s="8" t="str">
        <f>Assumptions!AY78</f>
        <v>Dec</v>
      </c>
      <c r="BB7" s="8" t="str">
        <f>Assumptions!AZ78</f>
        <v>Jan</v>
      </c>
      <c r="BC7" s="8" t="str">
        <f>Assumptions!BA78</f>
        <v>Feb</v>
      </c>
      <c r="BD7" s="8" t="str">
        <f>Assumptions!BB78</f>
        <v>Mar</v>
      </c>
      <c r="BE7" s="8" t="str">
        <f>Assumptions!BC78</f>
        <v>Apr</v>
      </c>
      <c r="BF7" s="8" t="str">
        <f>Assumptions!BD78</f>
        <v>May</v>
      </c>
      <c r="BG7" s="8" t="str">
        <f>Assumptions!BE78</f>
        <v>Jun</v>
      </c>
      <c r="BH7" s="8" t="str">
        <f>Assumptions!BF78</f>
        <v>Jul</v>
      </c>
      <c r="BI7" s="8" t="str">
        <f>Assumptions!BG78</f>
        <v>Aug</v>
      </c>
      <c r="BJ7" s="8" t="str">
        <f>Assumptions!BH78</f>
        <v>Sep</v>
      </c>
      <c r="BK7" s="8" t="str">
        <f>Assumptions!BI78</f>
        <v>Oct</v>
      </c>
      <c r="BL7" s="8" t="str">
        <f>Assumptions!BJ78</f>
        <v>Nov</v>
      </c>
      <c r="BM7" s="8" t="str">
        <f>Assumptions!BK78</f>
        <v>Dec</v>
      </c>
      <c r="BN7" s="8" t="str">
        <f>Assumptions!BL78</f>
        <v>Jan</v>
      </c>
      <c r="BO7" s="8" t="str">
        <f>Assumptions!BM78</f>
        <v>Feb</v>
      </c>
      <c r="BP7" s="8" t="str">
        <f>Assumptions!BN78</f>
        <v>Mar</v>
      </c>
      <c r="BQ7" s="8" t="str">
        <f>Assumptions!BO78</f>
        <v>Apr</v>
      </c>
      <c r="BR7" s="8" t="str">
        <f>Assumptions!BP78</f>
        <v>May</v>
      </c>
      <c r="BS7" s="8" t="str">
        <f>Assumptions!BQ78</f>
        <v>Jun</v>
      </c>
      <c r="BT7" s="8" t="str">
        <f>Assumptions!BR78</f>
        <v>Jul</v>
      </c>
      <c r="BU7" s="8" t="str">
        <f>Assumptions!BS78</f>
        <v>Aug</v>
      </c>
      <c r="BV7" s="8" t="str">
        <f>Assumptions!BT78</f>
        <v>Sep</v>
      </c>
      <c r="BW7" s="8" t="str">
        <f>Assumptions!BU78</f>
        <v>Oct</v>
      </c>
      <c r="BX7" s="8" t="str">
        <f>Assumptions!BV78</f>
        <v>Nov</v>
      </c>
      <c r="BY7" s="8" t="str">
        <f>Assumptions!BW78</f>
        <v>Dec</v>
      </c>
      <c r="BZ7" s="8" t="str">
        <f>Assumptions!BX78</f>
        <v>Jan</v>
      </c>
      <c r="CA7" s="8" t="str">
        <f>Assumptions!BY78</f>
        <v>Feb</v>
      </c>
      <c r="CB7" s="8" t="str">
        <f>Assumptions!BZ78</f>
        <v>Mar</v>
      </c>
      <c r="CC7" s="8" t="str">
        <f>Assumptions!CA78</f>
        <v>Apr</v>
      </c>
      <c r="CD7" s="8" t="str">
        <f>Assumptions!CB78</f>
        <v>May</v>
      </c>
      <c r="CE7" s="8" t="str">
        <f>Assumptions!CC78</f>
        <v>Jun</v>
      </c>
      <c r="CF7" s="8" t="str">
        <f>Assumptions!CD78</f>
        <v>Jul</v>
      </c>
      <c r="CG7" s="8" t="str">
        <f>Assumptions!CE78</f>
        <v>Aug</v>
      </c>
      <c r="CH7" s="8" t="str">
        <f>Assumptions!CF78</f>
        <v>Sep</v>
      </c>
      <c r="CI7" s="8" t="str">
        <f>Assumptions!CG78</f>
        <v>Oct</v>
      </c>
      <c r="CJ7" s="8" t="str">
        <f>Assumptions!CH78</f>
        <v>Nov</v>
      </c>
      <c r="CK7" s="8" t="str">
        <f>Assumptions!CI78</f>
        <v>Dec</v>
      </c>
      <c r="CL7" s="8" t="str">
        <f>Assumptions!CJ78</f>
        <v>Jan</v>
      </c>
      <c r="CM7" s="8" t="str">
        <f>Assumptions!CK78</f>
        <v>Feb</v>
      </c>
      <c r="CN7" s="8" t="str">
        <f>Assumptions!CL78</f>
        <v>Mar</v>
      </c>
      <c r="CO7" s="8" t="str">
        <f>Assumptions!CM78</f>
        <v>Apr</v>
      </c>
      <c r="CP7" s="8" t="str">
        <f>Assumptions!CN78</f>
        <v>May</v>
      </c>
      <c r="CQ7" s="8" t="str">
        <f>Assumptions!CO78</f>
        <v>Jun</v>
      </c>
      <c r="CR7" s="8" t="str">
        <f>Assumptions!CP78</f>
        <v>Jul</v>
      </c>
      <c r="CS7" s="8" t="str">
        <f>Assumptions!CQ78</f>
        <v>Aug</v>
      </c>
      <c r="CT7" s="8" t="str">
        <f>Assumptions!CR78</f>
        <v>Sep</v>
      </c>
      <c r="CU7" s="8" t="str">
        <f>Assumptions!CS78</f>
        <v>Oct</v>
      </c>
      <c r="CV7" s="8" t="str">
        <f>Assumptions!CT78</f>
        <v>Nov</v>
      </c>
      <c r="CW7" s="8" t="str">
        <f>Assumptions!CU78</f>
        <v>Dec</v>
      </c>
      <c r="CX7" s="8" t="str">
        <f>Assumptions!CV78</f>
        <v>Jan</v>
      </c>
      <c r="CY7" s="8" t="str">
        <f>Assumptions!CW78</f>
        <v>Feb</v>
      </c>
      <c r="CZ7" s="8" t="str">
        <f>Assumptions!CX78</f>
        <v>Mar</v>
      </c>
      <c r="DA7" s="8" t="str">
        <f>Assumptions!CY78</f>
        <v>Apr</v>
      </c>
      <c r="DB7" s="8" t="str">
        <f>Assumptions!CZ78</f>
        <v>May</v>
      </c>
      <c r="DC7" s="8" t="str">
        <f>Assumptions!DA78</f>
        <v>Jun</v>
      </c>
      <c r="DD7" s="8" t="str">
        <f>Assumptions!DB78</f>
        <v>Jul</v>
      </c>
      <c r="DE7" s="8" t="str">
        <f>Assumptions!DC78</f>
        <v>Aug</v>
      </c>
      <c r="DF7" s="8" t="str">
        <f>Assumptions!DD78</f>
        <v>Sep</v>
      </c>
      <c r="DG7" s="8" t="str">
        <f>Assumptions!DE78</f>
        <v>Oct</v>
      </c>
      <c r="DH7" s="8" t="str">
        <f>Assumptions!DF78</f>
        <v>Nov</v>
      </c>
      <c r="DI7" s="8" t="str">
        <f>Assumptions!DG78</f>
        <v>Dec</v>
      </c>
      <c r="DJ7" s="8" t="str">
        <f>Assumptions!DH78</f>
        <v>Jan</v>
      </c>
      <c r="DK7" s="8" t="str">
        <f>Assumptions!DI78</f>
        <v>Feb</v>
      </c>
      <c r="DL7" s="8" t="str">
        <f>Assumptions!DJ78</f>
        <v>Mar</v>
      </c>
      <c r="DM7" s="8" t="str">
        <f>Assumptions!DK78</f>
        <v>Apr</v>
      </c>
      <c r="DN7" s="8" t="str">
        <f>Assumptions!DL78</f>
        <v>May</v>
      </c>
      <c r="DO7" s="8" t="str">
        <f>Assumptions!DM78</f>
        <v>Jun</v>
      </c>
      <c r="DP7" s="8" t="str">
        <f>Assumptions!DN78</f>
        <v>Jul</v>
      </c>
      <c r="DQ7" s="8" t="str">
        <f>Assumptions!DO78</f>
        <v>Aug</v>
      </c>
      <c r="DR7" s="8" t="str">
        <f>Assumptions!DP78</f>
        <v>Sep</v>
      </c>
      <c r="DS7" s="8" t="str">
        <f>Assumptions!DQ78</f>
        <v>Oct</v>
      </c>
      <c r="DT7" s="8" t="str">
        <f>Assumptions!DR78</f>
        <v>Nov</v>
      </c>
      <c r="DU7" s="8" t="str">
        <f>Assumptions!DS78</f>
        <v>Dec</v>
      </c>
      <c r="DV7" s="8" t="str">
        <f>Assumptions!DT78</f>
        <v>Jan</v>
      </c>
      <c r="DW7" s="8" t="str">
        <f>Assumptions!DU78</f>
        <v>Feb</v>
      </c>
      <c r="DX7" s="8" t="str">
        <f>Assumptions!DV78</f>
        <v>Mar</v>
      </c>
      <c r="DY7" s="8" t="str">
        <f>Assumptions!DW78</f>
        <v>Apr</v>
      </c>
      <c r="DZ7" s="8" t="str">
        <f>Assumptions!DX78</f>
        <v>May</v>
      </c>
      <c r="EA7" s="8" t="str">
        <f>Assumptions!DY78</f>
        <v>Jun</v>
      </c>
      <c r="EB7" s="8" t="str">
        <f>Assumptions!DZ78</f>
        <v>Jul</v>
      </c>
      <c r="EC7" s="8" t="str">
        <f>Assumptions!EA78</f>
        <v>Aug</v>
      </c>
      <c r="ED7" s="8" t="str">
        <f>Assumptions!EB78</f>
        <v>Sep</v>
      </c>
      <c r="EE7" s="8" t="str">
        <f>Assumptions!EC78</f>
        <v>Oct</v>
      </c>
      <c r="EF7" s="8" t="str">
        <f>Assumptions!ED78</f>
        <v>Nov</v>
      </c>
      <c r="EG7" s="8" t="str">
        <f>Assumptions!EE78</f>
        <v>Dec</v>
      </c>
      <c r="EH7" s="8" t="str">
        <f>Assumptions!EF78</f>
        <v>Jan</v>
      </c>
      <c r="EI7" s="8" t="str">
        <f>Assumptions!EG78</f>
        <v>Feb</v>
      </c>
      <c r="EJ7" s="8" t="str">
        <f>Assumptions!EH78</f>
        <v>Mar</v>
      </c>
      <c r="EK7" s="8" t="str">
        <f>Assumptions!EI78</f>
        <v>Apr</v>
      </c>
      <c r="EL7" s="8" t="str">
        <f>Assumptions!EJ78</f>
        <v>May</v>
      </c>
      <c r="EM7" s="8" t="str">
        <f>Assumptions!EK78</f>
        <v>Jun</v>
      </c>
      <c r="EN7" s="8" t="str">
        <f>Assumptions!EL78</f>
        <v>Jul</v>
      </c>
      <c r="EO7" s="8" t="str">
        <f>Assumptions!EM78</f>
        <v>Aug</v>
      </c>
      <c r="EP7" s="8" t="str">
        <f>Assumptions!EN78</f>
        <v>Sep</v>
      </c>
      <c r="EQ7" s="8" t="str">
        <f>Assumptions!EO78</f>
        <v>Oct</v>
      </c>
      <c r="ER7" s="8" t="str">
        <f>Assumptions!EP78</f>
        <v>Nov</v>
      </c>
      <c r="ES7" s="8" t="str">
        <f>Assumptions!EQ78</f>
        <v>Dec</v>
      </c>
      <c r="ET7" s="8" t="str">
        <f>Assumptions!ER78</f>
        <v>Jan</v>
      </c>
      <c r="EU7" s="8" t="str">
        <f>Assumptions!ES78</f>
        <v>Feb</v>
      </c>
      <c r="EV7" s="8" t="str">
        <f>Assumptions!ET78</f>
        <v>Mar</v>
      </c>
      <c r="EW7" s="8" t="str">
        <f>Assumptions!EU78</f>
        <v>Apr</v>
      </c>
      <c r="EX7" s="8" t="str">
        <f>Assumptions!EV78</f>
        <v>May</v>
      </c>
      <c r="EY7" s="8" t="str">
        <f>Assumptions!EW78</f>
        <v>Jun</v>
      </c>
      <c r="EZ7" s="8" t="str">
        <f>Assumptions!EX78</f>
        <v>Jul</v>
      </c>
      <c r="FA7" s="8" t="str">
        <f>Assumptions!EY78</f>
        <v>Aug</v>
      </c>
      <c r="FB7" s="8" t="str">
        <f>Assumptions!EZ78</f>
        <v>Sep</v>
      </c>
      <c r="FC7" s="8" t="str">
        <f>Assumptions!FA78</f>
        <v>Oct</v>
      </c>
      <c r="FD7" s="8" t="str">
        <f>Assumptions!FB78</f>
        <v>Nov</v>
      </c>
      <c r="FE7" s="8" t="str">
        <f>Assumptions!FC78</f>
        <v>Dec</v>
      </c>
      <c r="FF7" s="8" t="str">
        <f>Assumptions!FD78</f>
        <v>Jan</v>
      </c>
      <c r="FG7" s="8" t="str">
        <f>Assumptions!FE78</f>
        <v>Feb</v>
      </c>
      <c r="FH7" s="8" t="str">
        <f>Assumptions!FF78</f>
        <v>Mar</v>
      </c>
      <c r="FI7" s="8" t="str">
        <f>Assumptions!FG78</f>
        <v>Apr</v>
      </c>
      <c r="FJ7" s="8" t="str">
        <f>Assumptions!FH78</f>
        <v>May</v>
      </c>
      <c r="FK7" s="8" t="str">
        <f>Assumptions!FI78</f>
        <v>Jun</v>
      </c>
      <c r="FL7" s="8" t="str">
        <f>Assumptions!FJ78</f>
        <v>Jul</v>
      </c>
      <c r="FM7" s="8" t="str">
        <f>Assumptions!FK78</f>
        <v>Aug</v>
      </c>
      <c r="FN7" s="8" t="str">
        <f>Assumptions!FL78</f>
        <v>Sep</v>
      </c>
      <c r="FO7" s="8" t="str">
        <f>Assumptions!FM78</f>
        <v>Oct</v>
      </c>
      <c r="FP7" s="8" t="str">
        <f>Assumptions!FN78</f>
        <v>Nov</v>
      </c>
      <c r="FQ7" s="8" t="str">
        <f>Assumptions!FO78</f>
        <v>Dec</v>
      </c>
      <c r="FR7" s="8" t="str">
        <f>Assumptions!FP78</f>
        <v>Jan</v>
      </c>
      <c r="FS7" s="8" t="str">
        <f>Assumptions!FQ78</f>
        <v>Feb</v>
      </c>
      <c r="FT7" s="8" t="str">
        <f>Assumptions!FR78</f>
        <v>Mar</v>
      </c>
      <c r="FU7" s="8" t="str">
        <f>Assumptions!FS78</f>
        <v>Apr</v>
      </c>
      <c r="FV7" s="8" t="str">
        <f>Assumptions!FT78</f>
        <v>May</v>
      </c>
      <c r="FW7" s="8" t="str">
        <f>Assumptions!FU78</f>
        <v>Jun</v>
      </c>
      <c r="FX7" s="8" t="str">
        <f>Assumptions!FV78</f>
        <v>Jul</v>
      </c>
      <c r="FY7" s="8" t="str">
        <f>Assumptions!FW78</f>
        <v>Aug</v>
      </c>
      <c r="FZ7" s="8" t="str">
        <f>Assumptions!FX78</f>
        <v>Sep</v>
      </c>
      <c r="GA7" s="8" t="str">
        <f>Assumptions!FY78</f>
        <v>Oct</v>
      </c>
      <c r="GB7" s="8" t="str">
        <f>Assumptions!FZ78</f>
        <v>Nov</v>
      </c>
      <c r="GC7" s="8" t="str">
        <f>Assumptions!GA78</f>
        <v>Dec</v>
      </c>
    </row>
    <row r="8" spans="1:185">
      <c r="A8" s="7"/>
      <c r="B8" s="7" t="s">
        <v>71</v>
      </c>
      <c r="C8" s="7"/>
      <c r="D8" s="7"/>
      <c r="E8" s="7"/>
      <c r="F8" s="8">
        <f>Assumptions!D80</f>
        <v>31</v>
      </c>
      <c r="G8" s="8">
        <f>Assumptions!E80</f>
        <v>28</v>
      </c>
      <c r="H8" s="8">
        <f>Assumptions!F80</f>
        <v>31</v>
      </c>
      <c r="I8" s="8">
        <f>Assumptions!G80</f>
        <v>30</v>
      </c>
      <c r="J8" s="8">
        <f>Assumptions!H80</f>
        <v>31</v>
      </c>
      <c r="K8" s="8">
        <f>Assumptions!I80</f>
        <v>30</v>
      </c>
      <c r="L8" s="8">
        <f>Assumptions!J80</f>
        <v>31</v>
      </c>
      <c r="M8" s="8">
        <f>Assumptions!K80</f>
        <v>31</v>
      </c>
      <c r="N8" s="8">
        <f>Assumptions!L80</f>
        <v>30</v>
      </c>
      <c r="O8" s="8">
        <f>Assumptions!M80</f>
        <v>31</v>
      </c>
      <c r="P8" s="8">
        <f>Assumptions!N80</f>
        <v>30</v>
      </c>
      <c r="Q8" s="8">
        <f>Assumptions!O80</f>
        <v>31</v>
      </c>
      <c r="R8" s="8">
        <f>Assumptions!P80</f>
        <v>31</v>
      </c>
      <c r="S8" s="8">
        <f>Assumptions!Q80</f>
        <v>28</v>
      </c>
      <c r="T8" s="8">
        <f>Assumptions!R80</f>
        <v>31</v>
      </c>
      <c r="U8" s="8">
        <f>Assumptions!S80</f>
        <v>30</v>
      </c>
      <c r="V8" s="8">
        <f>Assumptions!T80</f>
        <v>31</v>
      </c>
      <c r="W8" s="8">
        <f>Assumptions!U80</f>
        <v>30</v>
      </c>
      <c r="X8" s="8">
        <f>Assumptions!V80</f>
        <v>31</v>
      </c>
      <c r="Y8" s="8">
        <f>Assumptions!W80</f>
        <v>31</v>
      </c>
      <c r="Z8" s="8">
        <f>Assumptions!X80</f>
        <v>30</v>
      </c>
      <c r="AA8" s="8">
        <f>Assumptions!Y80</f>
        <v>31</v>
      </c>
      <c r="AB8" s="8">
        <f>Assumptions!Z80</f>
        <v>30</v>
      </c>
      <c r="AC8" s="8">
        <f>Assumptions!AA80</f>
        <v>31</v>
      </c>
      <c r="AD8" s="8">
        <f>Assumptions!AB80</f>
        <v>31</v>
      </c>
      <c r="AE8" s="8">
        <f>Assumptions!AC80</f>
        <v>28</v>
      </c>
      <c r="AF8" s="8">
        <f>Assumptions!AD80</f>
        <v>31</v>
      </c>
      <c r="AG8" s="8">
        <f>Assumptions!AE80</f>
        <v>30</v>
      </c>
      <c r="AH8" s="8">
        <f>Assumptions!AF80</f>
        <v>31</v>
      </c>
      <c r="AI8" s="8">
        <f>Assumptions!AG80</f>
        <v>30</v>
      </c>
      <c r="AJ8" s="8">
        <f>Assumptions!AH80</f>
        <v>31</v>
      </c>
      <c r="AK8" s="8">
        <f>Assumptions!AI80</f>
        <v>31</v>
      </c>
      <c r="AL8" s="8">
        <f>Assumptions!AJ80</f>
        <v>30</v>
      </c>
      <c r="AM8" s="8">
        <f>Assumptions!AK80</f>
        <v>31</v>
      </c>
      <c r="AN8" s="8">
        <f>Assumptions!AL80</f>
        <v>30</v>
      </c>
      <c r="AO8" s="8">
        <f>Assumptions!AM80</f>
        <v>31</v>
      </c>
      <c r="AP8" s="8">
        <f>Assumptions!AN80</f>
        <v>31</v>
      </c>
      <c r="AQ8" s="8">
        <f>Assumptions!AO80</f>
        <v>28</v>
      </c>
      <c r="AR8" s="8">
        <f>Assumptions!AP80</f>
        <v>31</v>
      </c>
      <c r="AS8" s="8">
        <f>Assumptions!AQ80</f>
        <v>30</v>
      </c>
      <c r="AT8" s="8">
        <f>Assumptions!AR80</f>
        <v>31</v>
      </c>
      <c r="AU8" s="8">
        <f>Assumptions!AS80</f>
        <v>30</v>
      </c>
      <c r="AV8" s="8">
        <f>Assumptions!AT80</f>
        <v>31</v>
      </c>
      <c r="AW8" s="8">
        <f>Assumptions!AU80</f>
        <v>31</v>
      </c>
      <c r="AX8" s="8">
        <f>Assumptions!AV80</f>
        <v>30</v>
      </c>
      <c r="AY8" s="8">
        <f>Assumptions!AW80</f>
        <v>31</v>
      </c>
      <c r="AZ8" s="8">
        <f>Assumptions!AX80</f>
        <v>30</v>
      </c>
      <c r="BA8" s="8">
        <f>Assumptions!AY80</f>
        <v>31</v>
      </c>
      <c r="BB8" s="8">
        <f>Assumptions!AZ80</f>
        <v>31</v>
      </c>
      <c r="BC8" s="8">
        <f>Assumptions!BA80</f>
        <v>28</v>
      </c>
      <c r="BD8" s="8">
        <f>Assumptions!BB80</f>
        <v>31</v>
      </c>
      <c r="BE8" s="8">
        <f>Assumptions!BC80</f>
        <v>30</v>
      </c>
      <c r="BF8" s="8">
        <f>Assumptions!BD80</f>
        <v>31</v>
      </c>
      <c r="BG8" s="8">
        <f>Assumptions!BE80</f>
        <v>30</v>
      </c>
      <c r="BH8" s="8">
        <f>Assumptions!BF80</f>
        <v>31</v>
      </c>
      <c r="BI8" s="8">
        <f>Assumptions!BG80</f>
        <v>31</v>
      </c>
      <c r="BJ8" s="8">
        <f>Assumptions!BH80</f>
        <v>30</v>
      </c>
      <c r="BK8" s="8">
        <f>Assumptions!BI80</f>
        <v>31</v>
      </c>
      <c r="BL8" s="8">
        <f>Assumptions!BJ80</f>
        <v>30</v>
      </c>
      <c r="BM8" s="8">
        <f>Assumptions!BK80</f>
        <v>31</v>
      </c>
      <c r="BN8" s="8">
        <f>Assumptions!BL80</f>
        <v>31</v>
      </c>
      <c r="BO8" s="8">
        <f>Assumptions!BM80</f>
        <v>28</v>
      </c>
      <c r="BP8" s="8">
        <f>Assumptions!BN80</f>
        <v>31</v>
      </c>
      <c r="BQ8" s="8">
        <f>Assumptions!BO80</f>
        <v>30</v>
      </c>
      <c r="BR8" s="8">
        <f>Assumptions!BP80</f>
        <v>31</v>
      </c>
      <c r="BS8" s="8">
        <f>Assumptions!BQ80</f>
        <v>30</v>
      </c>
      <c r="BT8" s="8">
        <f>Assumptions!BR80</f>
        <v>31</v>
      </c>
      <c r="BU8" s="8">
        <f>Assumptions!BS80</f>
        <v>31</v>
      </c>
      <c r="BV8" s="8">
        <f>Assumptions!BT80</f>
        <v>30</v>
      </c>
      <c r="BW8" s="8">
        <f>Assumptions!BU80</f>
        <v>31</v>
      </c>
      <c r="BX8" s="8">
        <f>Assumptions!BV80</f>
        <v>30</v>
      </c>
      <c r="BY8" s="8">
        <f>Assumptions!BW80</f>
        <v>31</v>
      </c>
      <c r="BZ8" s="8">
        <f>Assumptions!BX80</f>
        <v>31</v>
      </c>
      <c r="CA8" s="8">
        <f>Assumptions!BY80</f>
        <v>28</v>
      </c>
      <c r="CB8" s="8">
        <f>Assumptions!BZ80</f>
        <v>31</v>
      </c>
      <c r="CC8" s="8">
        <f>Assumptions!CA80</f>
        <v>30</v>
      </c>
      <c r="CD8" s="8">
        <f>Assumptions!CB80</f>
        <v>31</v>
      </c>
      <c r="CE8" s="8">
        <f>Assumptions!CC80</f>
        <v>30</v>
      </c>
      <c r="CF8" s="8">
        <f>Assumptions!CD80</f>
        <v>31</v>
      </c>
      <c r="CG8" s="8">
        <f>Assumptions!CE80</f>
        <v>31</v>
      </c>
      <c r="CH8" s="8">
        <f>Assumptions!CF80</f>
        <v>30</v>
      </c>
      <c r="CI8" s="8">
        <f>Assumptions!CG80</f>
        <v>31</v>
      </c>
      <c r="CJ8" s="8">
        <f>Assumptions!CH80</f>
        <v>30</v>
      </c>
      <c r="CK8" s="8">
        <f>Assumptions!CI80</f>
        <v>31</v>
      </c>
      <c r="CL8" s="8">
        <f>Assumptions!CJ80</f>
        <v>31</v>
      </c>
      <c r="CM8" s="8">
        <f>Assumptions!CK80</f>
        <v>28</v>
      </c>
      <c r="CN8" s="8">
        <f>Assumptions!CL80</f>
        <v>31</v>
      </c>
      <c r="CO8" s="8">
        <f>Assumptions!CM80</f>
        <v>30</v>
      </c>
      <c r="CP8" s="8">
        <f>Assumptions!CN80</f>
        <v>31</v>
      </c>
      <c r="CQ8" s="8">
        <f>Assumptions!CO80</f>
        <v>30</v>
      </c>
      <c r="CR8" s="8">
        <f>Assumptions!CP80</f>
        <v>31</v>
      </c>
      <c r="CS8" s="8">
        <f>Assumptions!CQ80</f>
        <v>31</v>
      </c>
      <c r="CT8" s="8">
        <f>Assumptions!CR80</f>
        <v>30</v>
      </c>
      <c r="CU8" s="8">
        <f>Assumptions!CS80</f>
        <v>31</v>
      </c>
      <c r="CV8" s="8">
        <f>Assumptions!CT80</f>
        <v>30</v>
      </c>
      <c r="CW8" s="8">
        <f>Assumptions!CU80</f>
        <v>31</v>
      </c>
      <c r="CX8" s="8">
        <f>Assumptions!CV80</f>
        <v>31</v>
      </c>
      <c r="CY8" s="8">
        <f>Assumptions!CW80</f>
        <v>28</v>
      </c>
      <c r="CZ8" s="8">
        <f>Assumptions!CX80</f>
        <v>31</v>
      </c>
      <c r="DA8" s="8">
        <f>Assumptions!CY80</f>
        <v>30</v>
      </c>
      <c r="DB8" s="8">
        <f>Assumptions!CZ80</f>
        <v>31</v>
      </c>
      <c r="DC8" s="8">
        <f>Assumptions!DA80</f>
        <v>30</v>
      </c>
      <c r="DD8" s="8">
        <f>Assumptions!DB80</f>
        <v>31</v>
      </c>
      <c r="DE8" s="8">
        <f>Assumptions!DC80</f>
        <v>31</v>
      </c>
      <c r="DF8" s="8">
        <f>Assumptions!DD80</f>
        <v>30</v>
      </c>
      <c r="DG8" s="8">
        <f>Assumptions!DE80</f>
        <v>31</v>
      </c>
      <c r="DH8" s="8">
        <f>Assumptions!DF80</f>
        <v>30</v>
      </c>
      <c r="DI8" s="8">
        <f>Assumptions!DG80</f>
        <v>31</v>
      </c>
      <c r="DJ8" s="8">
        <f>Assumptions!DH80</f>
        <v>31</v>
      </c>
      <c r="DK8" s="8">
        <f>Assumptions!DI80</f>
        <v>28</v>
      </c>
      <c r="DL8" s="8">
        <f>Assumptions!DJ80</f>
        <v>31</v>
      </c>
      <c r="DM8" s="8">
        <f>Assumptions!DK80</f>
        <v>30</v>
      </c>
      <c r="DN8" s="8">
        <f>Assumptions!DL80</f>
        <v>31</v>
      </c>
      <c r="DO8" s="8">
        <f>Assumptions!DM80</f>
        <v>30</v>
      </c>
      <c r="DP8" s="8">
        <f>Assumptions!DN80</f>
        <v>31</v>
      </c>
      <c r="DQ8" s="8">
        <f>Assumptions!DO80</f>
        <v>31</v>
      </c>
      <c r="DR8" s="8">
        <f>Assumptions!DP80</f>
        <v>30</v>
      </c>
      <c r="DS8" s="8">
        <f>Assumptions!DQ80</f>
        <v>31</v>
      </c>
      <c r="DT8" s="8">
        <f>Assumptions!DR80</f>
        <v>30</v>
      </c>
      <c r="DU8" s="8">
        <f>Assumptions!DS80</f>
        <v>31</v>
      </c>
      <c r="DV8" s="8">
        <f>Assumptions!DT80</f>
        <v>31</v>
      </c>
      <c r="DW8" s="8">
        <f>Assumptions!DU80</f>
        <v>28</v>
      </c>
      <c r="DX8" s="8">
        <f>Assumptions!DV80</f>
        <v>31</v>
      </c>
      <c r="DY8" s="8">
        <f>Assumptions!DW80</f>
        <v>30</v>
      </c>
      <c r="DZ8" s="8">
        <f>Assumptions!DX80</f>
        <v>31</v>
      </c>
      <c r="EA8" s="8">
        <f>Assumptions!DY80</f>
        <v>30</v>
      </c>
      <c r="EB8" s="8">
        <f>Assumptions!DZ80</f>
        <v>31</v>
      </c>
      <c r="EC8" s="8">
        <f>Assumptions!EA80</f>
        <v>31</v>
      </c>
      <c r="ED8" s="8">
        <f>Assumptions!EB80</f>
        <v>30</v>
      </c>
      <c r="EE8" s="8">
        <f>Assumptions!EC80</f>
        <v>31</v>
      </c>
      <c r="EF8" s="8">
        <f>Assumptions!ED80</f>
        <v>30</v>
      </c>
      <c r="EG8" s="8">
        <f>Assumptions!EE80</f>
        <v>31</v>
      </c>
      <c r="EH8" s="8">
        <f>Assumptions!EF80</f>
        <v>31</v>
      </c>
      <c r="EI8" s="8">
        <f>Assumptions!EG80</f>
        <v>28</v>
      </c>
      <c r="EJ8" s="8">
        <f>Assumptions!EH80</f>
        <v>31</v>
      </c>
      <c r="EK8" s="8">
        <f>Assumptions!EI80</f>
        <v>30</v>
      </c>
      <c r="EL8" s="8">
        <f>Assumptions!EJ80</f>
        <v>31</v>
      </c>
      <c r="EM8" s="8">
        <f>Assumptions!EK80</f>
        <v>30</v>
      </c>
      <c r="EN8" s="8">
        <f>Assumptions!EL80</f>
        <v>31</v>
      </c>
      <c r="EO8" s="8">
        <f>Assumptions!EM80</f>
        <v>31</v>
      </c>
      <c r="EP8" s="8">
        <f>Assumptions!EN80</f>
        <v>30</v>
      </c>
      <c r="EQ8" s="8">
        <f>Assumptions!EO80</f>
        <v>31</v>
      </c>
      <c r="ER8" s="8">
        <f>Assumptions!EP80</f>
        <v>30</v>
      </c>
      <c r="ES8" s="8">
        <f>Assumptions!EQ80</f>
        <v>31</v>
      </c>
      <c r="ET8" s="8">
        <f>Assumptions!ER80</f>
        <v>31</v>
      </c>
      <c r="EU8" s="8">
        <f>Assumptions!ES80</f>
        <v>28</v>
      </c>
      <c r="EV8" s="8">
        <f>Assumptions!ET80</f>
        <v>31</v>
      </c>
      <c r="EW8" s="8">
        <f>Assumptions!EU80</f>
        <v>30</v>
      </c>
      <c r="EX8" s="8">
        <f>Assumptions!EV80</f>
        <v>31</v>
      </c>
      <c r="EY8" s="8">
        <f>Assumptions!EW80</f>
        <v>30</v>
      </c>
      <c r="EZ8" s="8">
        <f>Assumptions!EX80</f>
        <v>31</v>
      </c>
      <c r="FA8" s="8">
        <f>Assumptions!EY80</f>
        <v>31</v>
      </c>
      <c r="FB8" s="8">
        <f>Assumptions!EZ80</f>
        <v>30</v>
      </c>
      <c r="FC8" s="8">
        <f>Assumptions!FA80</f>
        <v>31</v>
      </c>
      <c r="FD8" s="8">
        <f>Assumptions!FB80</f>
        <v>30</v>
      </c>
      <c r="FE8" s="8">
        <f>Assumptions!FC80</f>
        <v>31</v>
      </c>
      <c r="FF8" s="8">
        <f>Assumptions!FD80</f>
        <v>31</v>
      </c>
      <c r="FG8" s="8">
        <f>Assumptions!FE80</f>
        <v>28</v>
      </c>
      <c r="FH8" s="8">
        <f>Assumptions!FF80</f>
        <v>31</v>
      </c>
      <c r="FI8" s="8">
        <f>Assumptions!FG80</f>
        <v>30</v>
      </c>
      <c r="FJ8" s="8">
        <f>Assumptions!FH80</f>
        <v>31</v>
      </c>
      <c r="FK8" s="8">
        <f>Assumptions!FI80</f>
        <v>30</v>
      </c>
      <c r="FL8" s="8">
        <f>Assumptions!FJ80</f>
        <v>31</v>
      </c>
      <c r="FM8" s="8">
        <f>Assumptions!FK80</f>
        <v>31</v>
      </c>
      <c r="FN8" s="8">
        <f>Assumptions!FL80</f>
        <v>30</v>
      </c>
      <c r="FO8" s="8">
        <f>Assumptions!FM80</f>
        <v>31</v>
      </c>
      <c r="FP8" s="8">
        <f>Assumptions!FN80</f>
        <v>30</v>
      </c>
      <c r="FQ8" s="8">
        <f>Assumptions!FO80</f>
        <v>31</v>
      </c>
      <c r="FR8" s="8">
        <f>Assumptions!FP80</f>
        <v>31</v>
      </c>
      <c r="FS8" s="8">
        <f>Assumptions!FQ80</f>
        <v>28</v>
      </c>
      <c r="FT8" s="8">
        <f>Assumptions!FR80</f>
        <v>31</v>
      </c>
      <c r="FU8" s="8">
        <f>Assumptions!FS80</f>
        <v>30</v>
      </c>
      <c r="FV8" s="8">
        <f>Assumptions!FT80</f>
        <v>31</v>
      </c>
      <c r="FW8" s="8">
        <f>Assumptions!FU80</f>
        <v>30</v>
      </c>
      <c r="FX8" s="8">
        <f>Assumptions!FV80</f>
        <v>31</v>
      </c>
      <c r="FY8" s="8">
        <f>Assumptions!FW80</f>
        <v>31</v>
      </c>
      <c r="FZ8" s="8">
        <f>Assumptions!FX80</f>
        <v>30</v>
      </c>
      <c r="GA8" s="8">
        <f>Assumptions!FY80</f>
        <v>31</v>
      </c>
      <c r="GB8" s="8">
        <f>Assumptions!FZ80</f>
        <v>30</v>
      </c>
      <c r="GC8" s="8">
        <f>Assumptions!GA80</f>
        <v>31</v>
      </c>
    </row>
    <row r="9" spans="1:185">
      <c r="A9" s="80"/>
      <c r="B9" s="80" t="s">
        <v>17</v>
      </c>
      <c r="C9" s="80" t="s">
        <v>30</v>
      </c>
      <c r="D9" s="80"/>
      <c r="E9" s="82">
        <f t="shared" ref="E9:E15" si="0">SUM(F9:GC9)</f>
        <v>310578800.85927838</v>
      </c>
      <c r="F9" s="79" cm="1">
        <f t="array" ref="F9">SUMPRODUCT((F$25:F$162)*($C$25:$C$162=$C9))</f>
        <v>0</v>
      </c>
      <c r="G9" s="79" cm="1">
        <f t="array" ref="G9">SUMPRODUCT((G$25:G$162)*($C$25:$C$162=$C9))</f>
        <v>0</v>
      </c>
      <c r="H9" s="79" cm="1">
        <f t="array" ref="H9">SUMPRODUCT((H$25:H$162)*($C$25:$C$162=$C9))</f>
        <v>0</v>
      </c>
      <c r="I9" s="79" cm="1">
        <f t="array" ref="I9">SUMPRODUCT((I$25:I$162)*($C$25:$C$162=$C9))</f>
        <v>0</v>
      </c>
      <c r="J9" s="79" cm="1">
        <f t="array" ref="J9">SUMPRODUCT((J$25:J$162)*($C$25:$C$162=$C9))</f>
        <v>0</v>
      </c>
      <c r="K9" s="79" cm="1">
        <f t="array" ref="K9">SUMPRODUCT((K$25:K$162)*($C$25:$C$162=$C9))</f>
        <v>0</v>
      </c>
      <c r="L9" s="79" cm="1">
        <f t="array" ref="L9">SUMPRODUCT((L$25:L$162)*($C$25:$C$162=$C9))</f>
        <v>0</v>
      </c>
      <c r="M9" s="79" cm="1">
        <f t="array" ref="M9">SUMPRODUCT((M$25:M$162)*($C$25:$C$162=$C9))</f>
        <v>1762387.2</v>
      </c>
      <c r="N9" s="79" cm="1">
        <f t="array" ref="N9">SUMPRODUCT((N$25:N$162)*($C$25:$C$162=$C9))</f>
        <v>1754506.4360864675</v>
      </c>
      <c r="O9" s="79" cm="1">
        <f t="array" ref="O9">SUMPRODUCT((O$25:O$162)*($C$25:$C$162=$C9))</f>
        <v>1829857.5786080218</v>
      </c>
      <c r="P9" s="79" cm="1">
        <f t="array" ref="P9">SUMPRODUCT((P$25:P$162)*($C$25:$C$162=$C9))</f>
        <v>1770829.9147819567</v>
      </c>
      <c r="Q9" s="79" cm="1">
        <f t="array" ref="Q9">SUMPRODUCT((Q$25:Q$162)*($C$25:$C$162=$C9))</f>
        <v>1829857.5786080218</v>
      </c>
      <c r="R9" s="79" cm="1">
        <f t="array" ref="R9">SUMPRODUCT((R$25:R$162)*($C$25:$C$162=$C9))</f>
        <v>1829857.5786080218</v>
      </c>
      <c r="S9" s="79" cm="1">
        <f t="array" ref="S9">SUMPRODUCT((S$25:S$162)*($C$25:$C$162=$C9))</f>
        <v>1652774.5871298264</v>
      </c>
      <c r="T9" s="79" cm="1">
        <f t="array" ref="T9">SUMPRODUCT((T$25:T$162)*($C$25:$C$162=$C9))</f>
        <v>1829857.5786080218</v>
      </c>
      <c r="U9" s="79" cm="1">
        <f t="array" ref="U9">SUMPRODUCT((U$25:U$162)*($C$25:$C$162=$C9))</f>
        <v>1770829.9147819567</v>
      </c>
      <c r="V9" s="79" cm="1">
        <f t="array" ref="V9">SUMPRODUCT((V$25:V$162)*($C$25:$C$162=$C9))</f>
        <v>1829857.5786080218</v>
      </c>
      <c r="W9" s="79" cm="1">
        <f t="array" ref="W9">SUMPRODUCT((W$25:W$162)*($C$25:$C$162=$C9))</f>
        <v>1770829.9147819567</v>
      </c>
      <c r="X9" s="79" cm="1">
        <f t="array" ref="X9">SUMPRODUCT((X$25:X$162)*($C$25:$C$162=$C9))</f>
        <v>1829857.5786080218</v>
      </c>
      <c r="Y9" s="79" cm="1">
        <f t="array" ref="Y9">SUMPRODUCT((Y$25:Y$162)*($C$25:$C$162=$C9))</f>
        <v>1829857.5786080218</v>
      </c>
      <c r="Z9" s="79" cm="1">
        <f t="array" ref="Z9">SUMPRODUCT((Z$25:Z$162)*($C$25:$C$162=$C9))</f>
        <v>1770829.9147819567</v>
      </c>
      <c r="AA9" s="79" cm="1">
        <f t="array" ref="AA9">SUMPRODUCT((AA$25:AA$162)*($C$25:$C$162=$C9))</f>
        <v>1829857.5786080218</v>
      </c>
      <c r="AB9" s="79" cm="1">
        <f t="array" ref="AB9">SUMPRODUCT((AB$25:AB$162)*($C$25:$C$162=$C9))</f>
        <v>1770829.9147819567</v>
      </c>
      <c r="AC9" s="79" cm="1">
        <f t="array" ref="AC9">SUMPRODUCT((AC$25:AC$162)*($C$25:$C$162=$C9))</f>
        <v>1829857.5786080218</v>
      </c>
      <c r="AD9" s="79" cm="1">
        <f t="array" ref="AD9">SUMPRODUCT((AD$25:AD$162)*($C$25:$C$162=$C9))</f>
        <v>1829857.5786080218</v>
      </c>
      <c r="AE9" s="79" cm="1">
        <f t="array" ref="AE9">SUMPRODUCT((AE$25:AE$162)*($C$25:$C$162=$C9))</f>
        <v>1652774.5871298264</v>
      </c>
      <c r="AF9" s="79" cm="1">
        <f t="array" ref="AF9">SUMPRODUCT((AF$25:AF$162)*($C$25:$C$162=$C9))</f>
        <v>1829857.5786080218</v>
      </c>
      <c r="AG9" s="79" cm="1">
        <f t="array" ref="AG9">SUMPRODUCT((AG$25:AG$162)*($C$25:$C$162=$C9))</f>
        <v>1770829.9147819567</v>
      </c>
      <c r="AH9" s="79" cm="1">
        <f t="array" ref="AH9">SUMPRODUCT((AH$25:AH$162)*($C$25:$C$162=$C9))</f>
        <v>1829857.5786080218</v>
      </c>
      <c r="AI9" s="79" cm="1">
        <f t="array" ref="AI9">SUMPRODUCT((AI$25:AI$162)*($C$25:$C$162=$C9))</f>
        <v>1770829.9147819567</v>
      </c>
      <c r="AJ9" s="79" cm="1">
        <f t="array" ref="AJ9">SUMPRODUCT((AJ$25:AJ$162)*($C$25:$C$162=$C9))</f>
        <v>1829857.5786080218</v>
      </c>
      <c r="AK9" s="79" cm="1">
        <f t="array" ref="AK9">SUMPRODUCT((AK$25:AK$162)*($C$25:$C$162=$C9))</f>
        <v>1829857.5786080218</v>
      </c>
      <c r="AL9" s="79" cm="1">
        <f t="array" ref="AL9">SUMPRODUCT((AL$25:AL$162)*($C$25:$C$162=$C9))</f>
        <v>1770829.9147819567</v>
      </c>
      <c r="AM9" s="79" cm="1">
        <f t="array" ref="AM9">SUMPRODUCT((AM$25:AM$162)*($C$25:$C$162=$C9))</f>
        <v>1829857.5786080218</v>
      </c>
      <c r="AN9" s="79" cm="1">
        <f t="array" ref="AN9">SUMPRODUCT((AN$25:AN$162)*($C$25:$C$162=$C9))</f>
        <v>1770829.9147819567</v>
      </c>
      <c r="AO9" s="79" cm="1">
        <f t="array" ref="AO9">SUMPRODUCT((AO$25:AO$162)*($C$25:$C$162=$C9))</f>
        <v>1829857.5786080218</v>
      </c>
      <c r="AP9" s="79" cm="1">
        <f t="array" ref="AP9">SUMPRODUCT((AP$25:AP$162)*($C$25:$C$162=$C9))</f>
        <v>1829857.5786080218</v>
      </c>
      <c r="AQ9" s="79" cm="1">
        <f t="array" ref="AQ9">SUMPRODUCT((AQ$25:AQ$162)*($C$25:$C$162=$C9))</f>
        <v>1652774.5871298264</v>
      </c>
      <c r="AR9" s="79" cm="1">
        <f t="array" ref="AR9">SUMPRODUCT((AR$25:AR$162)*($C$25:$C$162=$C9))</f>
        <v>1829857.5786080218</v>
      </c>
      <c r="AS9" s="79" cm="1">
        <f t="array" ref="AS9">SUMPRODUCT((AS$25:AS$162)*($C$25:$C$162=$C9))</f>
        <v>1770829.9147819567</v>
      </c>
      <c r="AT9" s="79" cm="1">
        <f t="array" ref="AT9">SUMPRODUCT((AT$25:AT$162)*($C$25:$C$162=$C9))</f>
        <v>1829857.5786080218</v>
      </c>
      <c r="AU9" s="79" cm="1">
        <f t="array" ref="AU9">SUMPRODUCT((AU$25:AU$162)*($C$25:$C$162=$C9))</f>
        <v>1770829.9147819567</v>
      </c>
      <c r="AV9" s="79" cm="1">
        <f t="array" ref="AV9">SUMPRODUCT((AV$25:AV$162)*($C$25:$C$162=$C9))</f>
        <v>1829857.5786080218</v>
      </c>
      <c r="AW9" s="79" cm="1">
        <f t="array" ref="AW9">SUMPRODUCT((AW$25:AW$162)*($C$25:$C$162=$C9))</f>
        <v>1829857.5786080218</v>
      </c>
      <c r="AX9" s="79" cm="1">
        <f t="array" ref="AX9">SUMPRODUCT((AX$25:AX$162)*($C$25:$C$162=$C9))</f>
        <v>1770829.9147819567</v>
      </c>
      <c r="AY9" s="79" cm="1">
        <f t="array" ref="AY9">SUMPRODUCT((AY$25:AY$162)*($C$25:$C$162=$C9))</f>
        <v>1829857.5786080218</v>
      </c>
      <c r="AZ9" s="79" cm="1">
        <f t="array" ref="AZ9">SUMPRODUCT((AZ$25:AZ$162)*($C$25:$C$162=$C9))</f>
        <v>1770829.9147819567</v>
      </c>
      <c r="BA9" s="79" cm="1">
        <f t="array" ref="BA9">SUMPRODUCT((BA$25:BA$162)*($C$25:$C$162=$C9))</f>
        <v>1829857.5786080218</v>
      </c>
      <c r="BB9" s="79" cm="1">
        <f t="array" ref="BB9">SUMPRODUCT((BB$25:BB$162)*($C$25:$C$162=$C9))</f>
        <v>1829857.5786080218</v>
      </c>
      <c r="BC9" s="79" cm="1">
        <f t="array" ref="BC9">SUMPRODUCT((BC$25:BC$162)*($C$25:$C$162=$C9))</f>
        <v>1652774.5871298264</v>
      </c>
      <c r="BD9" s="79" cm="1">
        <f t="array" ref="BD9">SUMPRODUCT((BD$25:BD$162)*($C$25:$C$162=$C9))</f>
        <v>1829857.5786080218</v>
      </c>
      <c r="BE9" s="79" cm="1">
        <f t="array" ref="BE9">SUMPRODUCT((BE$25:BE$162)*($C$25:$C$162=$C9))</f>
        <v>1770829.9147819567</v>
      </c>
      <c r="BF9" s="79" cm="1">
        <f t="array" ref="BF9">SUMPRODUCT((BF$25:BF$162)*($C$25:$C$162=$C9))</f>
        <v>1829857.5786080218</v>
      </c>
      <c r="BG9" s="79" cm="1">
        <f t="array" ref="BG9">SUMPRODUCT((BG$25:BG$162)*($C$25:$C$162=$C9))</f>
        <v>1770829.9147819567</v>
      </c>
      <c r="BH9" s="79" cm="1">
        <f t="array" ref="BH9">SUMPRODUCT((BH$25:BH$162)*($C$25:$C$162=$C9))</f>
        <v>1829857.5786080218</v>
      </c>
      <c r="BI9" s="79" cm="1">
        <f t="array" ref="BI9">SUMPRODUCT((BI$25:BI$162)*($C$25:$C$162=$C9))</f>
        <v>1829857.5786080218</v>
      </c>
      <c r="BJ9" s="79" cm="1">
        <f t="array" ref="BJ9">SUMPRODUCT((BJ$25:BJ$162)*($C$25:$C$162=$C9))</f>
        <v>1770829.9147819567</v>
      </c>
      <c r="BK9" s="79" cm="1">
        <f t="array" ref="BK9">SUMPRODUCT((BK$25:BK$162)*($C$25:$C$162=$C9))</f>
        <v>1829857.5786080218</v>
      </c>
      <c r="BL9" s="79" cm="1">
        <f t="array" ref="BL9">SUMPRODUCT((BL$25:BL$162)*($C$25:$C$162=$C9))</f>
        <v>1770829.9147819567</v>
      </c>
      <c r="BM9" s="79" cm="1">
        <f t="array" ref="BM9">SUMPRODUCT((BM$25:BM$162)*($C$25:$C$162=$C9))</f>
        <v>1829857.5786080218</v>
      </c>
      <c r="BN9" s="79" cm="1">
        <f t="array" ref="BN9">SUMPRODUCT((BN$25:BN$162)*($C$25:$C$162=$C9))</f>
        <v>1829857.5786080218</v>
      </c>
      <c r="BO9" s="79" cm="1">
        <f t="array" ref="BO9">SUMPRODUCT((BO$25:BO$162)*($C$25:$C$162=$C9))</f>
        <v>1652774.5871298264</v>
      </c>
      <c r="BP9" s="79" cm="1">
        <f t="array" ref="BP9">SUMPRODUCT((BP$25:BP$162)*($C$25:$C$162=$C9))</f>
        <v>1829857.5786080218</v>
      </c>
      <c r="BQ9" s="79" cm="1">
        <f t="array" ref="BQ9">SUMPRODUCT((BQ$25:BQ$162)*($C$25:$C$162=$C9))</f>
        <v>1770829.9147819567</v>
      </c>
      <c r="BR9" s="79" cm="1">
        <f t="array" ref="BR9">SUMPRODUCT((BR$25:BR$162)*($C$25:$C$162=$C9))</f>
        <v>1829857.5786080218</v>
      </c>
      <c r="BS9" s="79" cm="1">
        <f t="array" ref="BS9">SUMPRODUCT((BS$25:BS$162)*($C$25:$C$162=$C9))</f>
        <v>1770829.9147819567</v>
      </c>
      <c r="BT9" s="79" cm="1">
        <f t="array" ref="BT9">SUMPRODUCT((BT$25:BT$162)*($C$25:$C$162=$C9))</f>
        <v>1829857.5786080218</v>
      </c>
      <c r="BU9" s="79" cm="1">
        <f t="array" ref="BU9">SUMPRODUCT((BU$25:BU$162)*($C$25:$C$162=$C9))</f>
        <v>1829857.5786080218</v>
      </c>
      <c r="BV9" s="79" cm="1">
        <f t="array" ref="BV9">SUMPRODUCT((BV$25:BV$162)*($C$25:$C$162=$C9))</f>
        <v>1770829.9147819567</v>
      </c>
      <c r="BW9" s="79" cm="1">
        <f t="array" ref="BW9">SUMPRODUCT((BW$25:BW$162)*($C$25:$C$162=$C9))</f>
        <v>1829857.5786080218</v>
      </c>
      <c r="BX9" s="79" cm="1">
        <f t="array" ref="BX9">SUMPRODUCT((BX$25:BX$162)*($C$25:$C$162=$C9))</f>
        <v>1770829.9147819567</v>
      </c>
      <c r="BY9" s="79" cm="1">
        <f t="array" ref="BY9">SUMPRODUCT((BY$25:BY$162)*($C$25:$C$162=$C9))</f>
        <v>1829857.5786080218</v>
      </c>
      <c r="BZ9" s="79" cm="1">
        <f t="array" ref="BZ9">SUMPRODUCT((BZ$25:BZ$162)*($C$25:$C$162=$C9))</f>
        <v>1829857.5786080218</v>
      </c>
      <c r="CA9" s="79" cm="1">
        <f t="array" ref="CA9">SUMPRODUCT((CA$25:CA$162)*($C$25:$C$162=$C9))</f>
        <v>1652774.5871298264</v>
      </c>
      <c r="CB9" s="79" cm="1">
        <f t="array" ref="CB9">SUMPRODUCT((CB$25:CB$162)*($C$25:$C$162=$C9))</f>
        <v>1829857.5786080218</v>
      </c>
      <c r="CC9" s="79" cm="1">
        <f t="array" ref="CC9">SUMPRODUCT((CC$25:CC$162)*($C$25:$C$162=$C9))</f>
        <v>1770829.9147819567</v>
      </c>
      <c r="CD9" s="79" cm="1">
        <f t="array" ref="CD9">SUMPRODUCT((CD$25:CD$162)*($C$25:$C$162=$C9))</f>
        <v>1829857.5786080218</v>
      </c>
      <c r="CE9" s="79" cm="1">
        <f t="array" ref="CE9">SUMPRODUCT((CE$25:CE$162)*($C$25:$C$162=$C9))</f>
        <v>1770829.9147819567</v>
      </c>
      <c r="CF9" s="79" cm="1">
        <f t="array" ref="CF9">SUMPRODUCT((CF$25:CF$162)*($C$25:$C$162=$C9))</f>
        <v>1829857.5786080218</v>
      </c>
      <c r="CG9" s="79" cm="1">
        <f t="array" ref="CG9">SUMPRODUCT((CG$25:CG$162)*($C$25:$C$162=$C9))</f>
        <v>1829857.5786080218</v>
      </c>
      <c r="CH9" s="79" cm="1">
        <f t="array" ref="CH9">SUMPRODUCT((CH$25:CH$162)*($C$25:$C$162=$C9))</f>
        <v>1770829.9147819567</v>
      </c>
      <c r="CI9" s="79" cm="1">
        <f t="array" ref="CI9">SUMPRODUCT((CI$25:CI$162)*($C$25:$C$162=$C9))</f>
        <v>1829857.5786080218</v>
      </c>
      <c r="CJ9" s="79" cm="1">
        <f t="array" ref="CJ9">SUMPRODUCT((CJ$25:CJ$162)*($C$25:$C$162=$C9))</f>
        <v>1770829.9147819567</v>
      </c>
      <c r="CK9" s="79" cm="1">
        <f t="array" ref="CK9">SUMPRODUCT((CK$25:CK$162)*($C$25:$C$162=$C9))</f>
        <v>1829857.5786080218</v>
      </c>
      <c r="CL9" s="79" cm="1">
        <f t="array" ref="CL9">SUMPRODUCT((CL$25:CL$162)*($C$25:$C$162=$C9))</f>
        <v>1829857.5786080218</v>
      </c>
      <c r="CM9" s="79" cm="1">
        <f t="array" ref="CM9">SUMPRODUCT((CM$25:CM$162)*($C$25:$C$162=$C9))</f>
        <v>1652774.5871298264</v>
      </c>
      <c r="CN9" s="79" cm="1">
        <f t="array" ref="CN9">SUMPRODUCT((CN$25:CN$162)*($C$25:$C$162=$C9))</f>
        <v>1829857.5786080218</v>
      </c>
      <c r="CO9" s="79" cm="1">
        <f t="array" ref="CO9">SUMPRODUCT((CO$25:CO$162)*($C$25:$C$162=$C9))</f>
        <v>1770829.9147819567</v>
      </c>
      <c r="CP9" s="79" cm="1">
        <f t="array" ref="CP9">SUMPRODUCT((CP$25:CP$162)*($C$25:$C$162=$C9))</f>
        <v>1829857.5786080218</v>
      </c>
      <c r="CQ9" s="79" cm="1">
        <f t="array" ref="CQ9">SUMPRODUCT((CQ$25:CQ$162)*($C$25:$C$162=$C9))</f>
        <v>1770829.9147819567</v>
      </c>
      <c r="CR9" s="79" cm="1">
        <f t="array" ref="CR9">SUMPRODUCT((CR$25:CR$162)*($C$25:$C$162=$C9))</f>
        <v>1829857.5786080218</v>
      </c>
      <c r="CS9" s="79" cm="1">
        <f t="array" ref="CS9">SUMPRODUCT((CS$25:CS$162)*($C$25:$C$162=$C9))</f>
        <v>1829857.5786080218</v>
      </c>
      <c r="CT9" s="79" cm="1">
        <f t="array" ref="CT9">SUMPRODUCT((CT$25:CT$162)*($C$25:$C$162=$C9))</f>
        <v>1770829.9147819567</v>
      </c>
      <c r="CU9" s="79" cm="1">
        <f t="array" ref="CU9">SUMPRODUCT((CU$25:CU$162)*($C$25:$C$162=$C9))</f>
        <v>1829857.5786080218</v>
      </c>
      <c r="CV9" s="79" cm="1">
        <f t="array" ref="CV9">SUMPRODUCT((CV$25:CV$162)*($C$25:$C$162=$C9))</f>
        <v>1770829.9147819567</v>
      </c>
      <c r="CW9" s="79" cm="1">
        <f t="array" ref="CW9">SUMPRODUCT((CW$25:CW$162)*($C$25:$C$162=$C9))</f>
        <v>1829857.5786080218</v>
      </c>
      <c r="CX9" s="79" cm="1">
        <f t="array" ref="CX9">SUMPRODUCT((CX$25:CX$162)*($C$25:$C$162=$C9))</f>
        <v>1829857.5786080218</v>
      </c>
      <c r="CY9" s="79" cm="1">
        <f t="array" ref="CY9">SUMPRODUCT((CY$25:CY$162)*($C$25:$C$162=$C9))</f>
        <v>1652774.5871298264</v>
      </c>
      <c r="CZ9" s="79" cm="1">
        <f t="array" ref="CZ9">SUMPRODUCT((CZ$25:CZ$162)*($C$25:$C$162=$C9))</f>
        <v>1829857.5786080218</v>
      </c>
      <c r="DA9" s="79" cm="1">
        <f t="array" ref="DA9">SUMPRODUCT((DA$25:DA$162)*($C$25:$C$162=$C9))</f>
        <v>1770829.9147819567</v>
      </c>
      <c r="DB9" s="79" cm="1">
        <f t="array" ref="DB9">SUMPRODUCT((DB$25:DB$162)*($C$25:$C$162=$C9))</f>
        <v>1829857.5786080218</v>
      </c>
      <c r="DC9" s="79" cm="1">
        <f t="array" ref="DC9">SUMPRODUCT((DC$25:DC$162)*($C$25:$C$162=$C9))</f>
        <v>1770829.9147819567</v>
      </c>
      <c r="DD9" s="79" cm="1">
        <f t="array" ref="DD9">SUMPRODUCT((DD$25:DD$162)*($C$25:$C$162=$C9))</f>
        <v>1829857.5786080218</v>
      </c>
      <c r="DE9" s="79" cm="1">
        <f t="array" ref="DE9">SUMPRODUCT((DE$25:DE$162)*($C$25:$C$162=$C9))</f>
        <v>1829857.5786080218</v>
      </c>
      <c r="DF9" s="79" cm="1">
        <f t="array" ref="DF9">SUMPRODUCT((DF$25:DF$162)*($C$25:$C$162=$C9))</f>
        <v>1770829.9147819567</v>
      </c>
      <c r="DG9" s="79" cm="1">
        <f t="array" ref="DG9">SUMPRODUCT((DG$25:DG$162)*($C$25:$C$162=$C9))</f>
        <v>1829857.5786080218</v>
      </c>
      <c r="DH9" s="79" cm="1">
        <f t="array" ref="DH9">SUMPRODUCT((DH$25:DH$162)*($C$25:$C$162=$C9))</f>
        <v>1770829.9147819567</v>
      </c>
      <c r="DI9" s="79" cm="1">
        <f t="array" ref="DI9">SUMPRODUCT((DI$25:DI$162)*($C$25:$C$162=$C9))</f>
        <v>1829857.5786080218</v>
      </c>
      <c r="DJ9" s="79" cm="1">
        <f t="array" ref="DJ9">SUMPRODUCT((DJ$25:DJ$162)*($C$25:$C$162=$C9))</f>
        <v>1829857.5786080218</v>
      </c>
      <c r="DK9" s="79" cm="1">
        <f t="array" ref="DK9">SUMPRODUCT((DK$25:DK$162)*($C$25:$C$162=$C9))</f>
        <v>1652774.5871298264</v>
      </c>
      <c r="DL9" s="79" cm="1">
        <f t="array" ref="DL9">SUMPRODUCT((DL$25:DL$162)*($C$25:$C$162=$C9))</f>
        <v>1829857.5786080218</v>
      </c>
      <c r="DM9" s="79" cm="1">
        <f t="array" ref="DM9">SUMPRODUCT((DM$25:DM$162)*($C$25:$C$162=$C9))</f>
        <v>1770829.9147819567</v>
      </c>
      <c r="DN9" s="79" cm="1">
        <f t="array" ref="DN9">SUMPRODUCT((DN$25:DN$162)*($C$25:$C$162=$C9))</f>
        <v>1829857.5786080218</v>
      </c>
      <c r="DO9" s="79" cm="1">
        <f t="array" ref="DO9">SUMPRODUCT((DO$25:DO$162)*($C$25:$C$162=$C9))</f>
        <v>1770829.9147819567</v>
      </c>
      <c r="DP9" s="79" cm="1">
        <f t="array" ref="DP9">SUMPRODUCT((DP$25:DP$162)*($C$25:$C$162=$C9))</f>
        <v>1829857.5786080218</v>
      </c>
      <c r="DQ9" s="79" cm="1">
        <f t="array" ref="DQ9">SUMPRODUCT((DQ$25:DQ$162)*($C$25:$C$162=$C9))</f>
        <v>1829857.5786080218</v>
      </c>
      <c r="DR9" s="79" cm="1">
        <f t="array" ref="DR9">SUMPRODUCT((DR$25:DR$162)*($C$25:$C$162=$C9))</f>
        <v>1770829.9147819567</v>
      </c>
      <c r="DS9" s="79" cm="1">
        <f t="array" ref="DS9">SUMPRODUCT((DS$25:DS$162)*($C$25:$C$162=$C9))</f>
        <v>1829857.5786080218</v>
      </c>
      <c r="DT9" s="79" cm="1">
        <f t="array" ref="DT9">SUMPRODUCT((DT$25:DT$162)*($C$25:$C$162=$C9))</f>
        <v>1770829.9147819567</v>
      </c>
      <c r="DU9" s="79" cm="1">
        <f t="array" ref="DU9">SUMPRODUCT((DU$25:DU$162)*($C$25:$C$162=$C9))</f>
        <v>1829857.5786080218</v>
      </c>
      <c r="DV9" s="79" cm="1">
        <f t="array" ref="DV9">SUMPRODUCT((DV$25:DV$162)*($C$25:$C$162=$C9))</f>
        <v>1829857.5786080218</v>
      </c>
      <c r="DW9" s="79" cm="1">
        <f t="array" ref="DW9">SUMPRODUCT((DW$25:DW$162)*($C$25:$C$162=$C9))</f>
        <v>1652774.5871298264</v>
      </c>
      <c r="DX9" s="79" cm="1">
        <f t="array" ref="DX9">SUMPRODUCT((DX$25:DX$162)*($C$25:$C$162=$C9))</f>
        <v>1829857.5786080218</v>
      </c>
      <c r="DY9" s="79" cm="1">
        <f t="array" ref="DY9">SUMPRODUCT((DY$25:DY$162)*($C$25:$C$162=$C9))</f>
        <v>1770829.9147819567</v>
      </c>
      <c r="DZ9" s="79" cm="1">
        <f t="array" ref="DZ9">SUMPRODUCT((DZ$25:DZ$162)*($C$25:$C$162=$C9))</f>
        <v>1829857.5786080218</v>
      </c>
      <c r="EA9" s="79" cm="1">
        <f t="array" ref="EA9">SUMPRODUCT((EA$25:EA$162)*($C$25:$C$162=$C9))</f>
        <v>1770829.9147819567</v>
      </c>
      <c r="EB9" s="79" cm="1">
        <f t="array" ref="EB9">SUMPRODUCT((EB$25:EB$162)*($C$25:$C$162=$C9))</f>
        <v>1829857.5786080218</v>
      </c>
      <c r="EC9" s="79" cm="1">
        <f t="array" ref="EC9">SUMPRODUCT((EC$25:EC$162)*($C$25:$C$162=$C9))</f>
        <v>1829857.5786080218</v>
      </c>
      <c r="ED9" s="79" cm="1">
        <f t="array" ref="ED9">SUMPRODUCT((ED$25:ED$162)*($C$25:$C$162=$C9))</f>
        <v>1770829.9147819567</v>
      </c>
      <c r="EE9" s="79" cm="1">
        <f t="array" ref="EE9">SUMPRODUCT((EE$25:EE$162)*($C$25:$C$162=$C9))</f>
        <v>1829857.5786080218</v>
      </c>
      <c r="EF9" s="79" cm="1">
        <f t="array" ref="EF9">SUMPRODUCT((EF$25:EF$162)*($C$25:$C$162=$C9))</f>
        <v>1770829.9147819567</v>
      </c>
      <c r="EG9" s="79" cm="1">
        <f t="array" ref="EG9">SUMPRODUCT((EG$25:EG$162)*($C$25:$C$162=$C9))</f>
        <v>1829857.5786080218</v>
      </c>
      <c r="EH9" s="79" cm="1">
        <f t="array" ref="EH9">SUMPRODUCT((EH$25:EH$162)*($C$25:$C$162=$C9))</f>
        <v>1829857.5786080218</v>
      </c>
      <c r="EI9" s="79" cm="1">
        <f t="array" ref="EI9">SUMPRODUCT((EI$25:EI$162)*($C$25:$C$162=$C9))</f>
        <v>1652774.5871298264</v>
      </c>
      <c r="EJ9" s="79" cm="1">
        <f t="array" ref="EJ9">SUMPRODUCT((EJ$25:EJ$162)*($C$25:$C$162=$C9))</f>
        <v>1829857.5786080218</v>
      </c>
      <c r="EK9" s="79" cm="1">
        <f t="array" ref="EK9">SUMPRODUCT((EK$25:EK$162)*($C$25:$C$162=$C9))</f>
        <v>1770829.9147819567</v>
      </c>
      <c r="EL9" s="79" cm="1">
        <f t="array" ref="EL9">SUMPRODUCT((EL$25:EL$162)*($C$25:$C$162=$C9))</f>
        <v>1829857.5786080218</v>
      </c>
      <c r="EM9" s="79" cm="1">
        <f t="array" ref="EM9">SUMPRODUCT((EM$25:EM$162)*($C$25:$C$162=$C9))</f>
        <v>1770829.9147819567</v>
      </c>
      <c r="EN9" s="79" cm="1">
        <f t="array" ref="EN9">SUMPRODUCT((EN$25:EN$162)*($C$25:$C$162=$C9))</f>
        <v>1829857.5786080218</v>
      </c>
      <c r="EO9" s="79" cm="1">
        <f t="array" ref="EO9">SUMPRODUCT((EO$25:EO$162)*($C$25:$C$162=$C9))</f>
        <v>1829857.5786080218</v>
      </c>
      <c r="EP9" s="79" cm="1">
        <f t="array" ref="EP9">SUMPRODUCT((EP$25:EP$162)*($C$25:$C$162=$C9))</f>
        <v>1770829.9147819567</v>
      </c>
      <c r="EQ9" s="79" cm="1">
        <f t="array" ref="EQ9">SUMPRODUCT((EQ$25:EQ$162)*($C$25:$C$162=$C9))</f>
        <v>1829857.5786080218</v>
      </c>
      <c r="ER9" s="79" cm="1">
        <f t="array" ref="ER9">SUMPRODUCT((ER$25:ER$162)*($C$25:$C$162=$C9))</f>
        <v>1770829.9147819567</v>
      </c>
      <c r="ES9" s="79" cm="1">
        <f t="array" ref="ES9">SUMPRODUCT((ES$25:ES$162)*($C$25:$C$162=$C9))</f>
        <v>1829857.5786080218</v>
      </c>
      <c r="ET9" s="79" cm="1">
        <f t="array" ref="ET9">SUMPRODUCT((ET$25:ET$162)*($C$25:$C$162=$C9))</f>
        <v>1829857.5786080218</v>
      </c>
      <c r="EU9" s="79" cm="1">
        <f t="array" ref="EU9">SUMPRODUCT((EU$25:EU$162)*($C$25:$C$162=$C9))</f>
        <v>1652774.5871298264</v>
      </c>
      <c r="EV9" s="79" cm="1">
        <f t="array" ref="EV9">SUMPRODUCT((EV$25:EV$162)*($C$25:$C$162=$C9))</f>
        <v>1829857.5786080218</v>
      </c>
      <c r="EW9" s="79" cm="1">
        <f t="array" ref="EW9">SUMPRODUCT((EW$25:EW$162)*($C$25:$C$162=$C9))</f>
        <v>1770829.9147819567</v>
      </c>
      <c r="EX9" s="79" cm="1">
        <f t="array" ref="EX9">SUMPRODUCT((EX$25:EX$162)*($C$25:$C$162=$C9))</f>
        <v>1829857.5786080218</v>
      </c>
      <c r="EY9" s="79" cm="1">
        <f t="array" ref="EY9">SUMPRODUCT((EY$25:EY$162)*($C$25:$C$162=$C9))</f>
        <v>1770829.9147819567</v>
      </c>
      <c r="EZ9" s="79" cm="1">
        <f t="array" ref="EZ9">SUMPRODUCT((EZ$25:EZ$162)*($C$25:$C$162=$C9))</f>
        <v>1829857.5786080218</v>
      </c>
      <c r="FA9" s="79" cm="1">
        <f t="array" ref="FA9">SUMPRODUCT((FA$25:FA$162)*($C$25:$C$162=$C9))</f>
        <v>1829857.5786080218</v>
      </c>
      <c r="FB9" s="79" cm="1">
        <f t="array" ref="FB9">SUMPRODUCT((FB$25:FB$162)*($C$25:$C$162=$C9))</f>
        <v>1770829.9147819567</v>
      </c>
      <c r="FC9" s="79" cm="1">
        <f t="array" ref="FC9">SUMPRODUCT((FC$25:FC$162)*($C$25:$C$162=$C9))</f>
        <v>1829857.5786080218</v>
      </c>
      <c r="FD9" s="79" cm="1">
        <f t="array" ref="FD9">SUMPRODUCT((FD$25:FD$162)*($C$25:$C$162=$C9))</f>
        <v>1770829.9147819567</v>
      </c>
      <c r="FE9" s="79" cm="1">
        <f t="array" ref="FE9">SUMPRODUCT((FE$25:FE$162)*($C$25:$C$162=$C9))</f>
        <v>1829857.5786080218</v>
      </c>
      <c r="FF9" s="79" cm="1">
        <f t="array" ref="FF9">SUMPRODUCT((FF$25:FF$162)*($C$25:$C$162=$C9))</f>
        <v>1829857.5786080218</v>
      </c>
      <c r="FG9" s="79" cm="1">
        <f t="array" ref="FG9">SUMPRODUCT((FG$25:FG$162)*($C$25:$C$162=$C9))</f>
        <v>1652774.5871298264</v>
      </c>
      <c r="FH9" s="79" cm="1">
        <f t="array" ref="FH9">SUMPRODUCT((FH$25:FH$162)*($C$25:$C$162=$C9))</f>
        <v>1829857.5786080218</v>
      </c>
      <c r="FI9" s="79" cm="1">
        <f t="array" ref="FI9">SUMPRODUCT((FI$25:FI$162)*($C$25:$C$162=$C9))</f>
        <v>1770829.9147819567</v>
      </c>
      <c r="FJ9" s="79" cm="1">
        <f t="array" ref="FJ9">SUMPRODUCT((FJ$25:FJ$162)*($C$25:$C$162=$C9))</f>
        <v>1829857.5786080218</v>
      </c>
      <c r="FK9" s="79" cm="1">
        <f t="array" ref="FK9">SUMPRODUCT((FK$25:FK$162)*($C$25:$C$162=$C9))</f>
        <v>1770829.9147819567</v>
      </c>
      <c r="FL9" s="79" cm="1">
        <f t="array" ref="FL9">SUMPRODUCT((FL$25:FL$162)*($C$25:$C$162=$C9))</f>
        <v>1829857.5786080218</v>
      </c>
      <c r="FM9" s="79" cm="1">
        <f t="array" ref="FM9">SUMPRODUCT((FM$25:FM$162)*($C$25:$C$162=$C9))</f>
        <v>1829857.5786080218</v>
      </c>
      <c r="FN9" s="79" cm="1">
        <f t="array" ref="FN9">SUMPRODUCT((FN$25:FN$162)*($C$25:$C$162=$C9))</f>
        <v>1770829.9147819567</v>
      </c>
      <c r="FO9" s="79" cm="1">
        <f t="array" ref="FO9">SUMPRODUCT((FO$25:FO$162)*($C$25:$C$162=$C9))</f>
        <v>1829857.5786080218</v>
      </c>
      <c r="FP9" s="79" cm="1">
        <f t="array" ref="FP9">SUMPRODUCT((FP$25:FP$162)*($C$25:$C$162=$C9))</f>
        <v>1770829.9147819567</v>
      </c>
      <c r="FQ9" s="79" cm="1">
        <f t="array" ref="FQ9">SUMPRODUCT((FQ$25:FQ$162)*($C$25:$C$162=$C9))</f>
        <v>1829857.5786080218</v>
      </c>
      <c r="FR9" s="79" cm="1">
        <f t="array" ref="FR9">SUMPRODUCT((FR$25:FR$162)*($C$25:$C$162=$C9))</f>
        <v>1829857.5786080218</v>
      </c>
      <c r="FS9" s="79" cm="1">
        <f t="array" ref="FS9">SUMPRODUCT((FS$25:FS$162)*($C$25:$C$162=$C9))</f>
        <v>1652774.5871298264</v>
      </c>
      <c r="FT9" s="79" cm="1">
        <f t="array" ref="FT9">SUMPRODUCT((FT$25:FT$162)*($C$25:$C$162=$C9))</f>
        <v>1829857.5786080218</v>
      </c>
      <c r="FU9" s="79" cm="1">
        <f t="array" ref="FU9">SUMPRODUCT((FU$25:FU$162)*($C$25:$C$162=$C9))</f>
        <v>1770829.9147819567</v>
      </c>
      <c r="FV9" s="79" cm="1">
        <f t="array" ref="FV9">SUMPRODUCT((FV$25:FV$162)*($C$25:$C$162=$C9))</f>
        <v>1829857.5786080218</v>
      </c>
      <c r="FW9" s="79" cm="1">
        <f t="array" ref="FW9">SUMPRODUCT((FW$25:FW$162)*($C$25:$C$162=$C9))</f>
        <v>1770829.9147819567</v>
      </c>
      <c r="FX9" s="79" cm="1">
        <f t="array" ref="FX9">SUMPRODUCT((FX$25:FX$162)*($C$25:$C$162=$C9))</f>
        <v>1829857.5786080218</v>
      </c>
      <c r="FY9" s="79" cm="1">
        <f t="array" ref="FY9">SUMPRODUCT((FY$25:FY$162)*($C$25:$C$162=$C9))</f>
        <v>1829857.5786080218</v>
      </c>
      <c r="FZ9" s="79" cm="1">
        <f t="array" ref="FZ9">SUMPRODUCT((FZ$25:FZ$162)*($C$25:$C$162=$C9))</f>
        <v>1770829.9147819567</v>
      </c>
      <c r="GA9" s="79" cm="1">
        <f t="array" ref="GA9">SUMPRODUCT((GA$25:GA$162)*($C$25:$C$162=$C9))</f>
        <v>1829857.5786080218</v>
      </c>
      <c r="GB9" s="79" cm="1">
        <f t="array" ref="GB9">SUMPRODUCT((GB$25:GB$162)*($C$25:$C$162=$C9))</f>
        <v>1770829.9147819567</v>
      </c>
      <c r="GC9" s="79" cm="1">
        <f t="array" ref="GC9">SUMPRODUCT((GC$25:GC$162)*($C$25:$C$162=$C9))</f>
        <v>1829857.5786080218</v>
      </c>
    </row>
    <row r="10" spans="1:185">
      <c r="A10" s="80"/>
      <c r="B10" t="s">
        <v>72</v>
      </c>
      <c r="C10" s="80" t="s">
        <v>61</v>
      </c>
      <c r="D10" s="80"/>
      <c r="E10" s="82">
        <f t="shared" si="0"/>
        <v>15000000</v>
      </c>
      <c r="F10" s="79" cm="1">
        <f t="array" ref="F10">SUMPRODUCT((F$25:F$162)*($C$25:$C$162=$C10))</f>
        <v>15000000</v>
      </c>
      <c r="G10" s="79" cm="1">
        <f t="array" ref="G10">SUMPRODUCT((G$25:G$162)*($C$25:$C$162=$C10))</f>
        <v>0</v>
      </c>
      <c r="H10" s="79" cm="1">
        <f t="array" ref="H10">SUMPRODUCT((H$25:H$162)*($C$25:$C$162=$C10))</f>
        <v>0</v>
      </c>
      <c r="I10" s="79" cm="1">
        <f t="array" ref="I10">SUMPRODUCT((I$25:I$162)*($C$25:$C$162=$C10))</f>
        <v>0</v>
      </c>
      <c r="J10" s="79" cm="1">
        <f t="array" ref="J10">SUMPRODUCT((J$25:J$162)*($C$25:$C$162=$C10))</f>
        <v>0</v>
      </c>
      <c r="K10" s="79" cm="1">
        <f t="array" ref="K10">SUMPRODUCT((K$25:K$162)*($C$25:$C$162=$C10))</f>
        <v>0</v>
      </c>
      <c r="L10" s="79" cm="1">
        <f t="array" ref="L10">SUMPRODUCT((L$25:L$162)*($C$25:$C$162=$C10))</f>
        <v>0</v>
      </c>
      <c r="M10" s="79" cm="1">
        <f t="array" ref="M10">SUMPRODUCT((M$25:M$162)*($C$25:$C$162=$C10))</f>
        <v>0</v>
      </c>
      <c r="N10" s="79" cm="1">
        <f t="array" ref="N10">SUMPRODUCT((N$25:N$162)*($C$25:$C$162=$C10))</f>
        <v>0</v>
      </c>
      <c r="O10" s="79" cm="1">
        <f t="array" ref="O10">SUMPRODUCT((O$25:O$162)*($C$25:$C$162=$C10))</f>
        <v>0</v>
      </c>
      <c r="P10" s="79" cm="1">
        <f t="array" ref="P10">SUMPRODUCT((P$25:P$162)*($C$25:$C$162=$C10))</f>
        <v>0</v>
      </c>
      <c r="Q10" s="79" cm="1">
        <f t="array" ref="Q10">SUMPRODUCT((Q$25:Q$162)*($C$25:$C$162=$C10))</f>
        <v>0</v>
      </c>
      <c r="R10" s="79" cm="1">
        <f t="array" ref="R10">SUMPRODUCT((R$25:R$162)*($C$25:$C$162=$C10))</f>
        <v>0</v>
      </c>
      <c r="S10" s="79" cm="1">
        <f t="array" ref="S10">SUMPRODUCT((S$25:S$162)*($C$25:$C$162=$C10))</f>
        <v>0</v>
      </c>
      <c r="T10" s="79" cm="1">
        <f t="array" ref="T10">SUMPRODUCT((T$25:T$162)*($C$25:$C$162=$C10))</f>
        <v>0</v>
      </c>
      <c r="U10" s="79" cm="1">
        <f t="array" ref="U10">SUMPRODUCT((U$25:U$162)*($C$25:$C$162=$C10))</f>
        <v>0</v>
      </c>
      <c r="V10" s="79" cm="1">
        <f t="array" ref="V10">SUMPRODUCT((V$25:V$162)*($C$25:$C$162=$C10))</f>
        <v>0</v>
      </c>
      <c r="W10" s="79" cm="1">
        <f t="array" ref="W10">SUMPRODUCT((W$25:W$162)*($C$25:$C$162=$C10))</f>
        <v>0</v>
      </c>
      <c r="X10" s="79" cm="1">
        <f t="array" ref="X10">SUMPRODUCT((X$25:X$162)*($C$25:$C$162=$C10))</f>
        <v>0</v>
      </c>
      <c r="Y10" s="79" cm="1">
        <f t="array" ref="Y10">SUMPRODUCT((Y$25:Y$162)*($C$25:$C$162=$C10))</f>
        <v>0</v>
      </c>
      <c r="Z10" s="79" cm="1">
        <f t="array" ref="Z10">SUMPRODUCT((Z$25:Z$162)*($C$25:$C$162=$C10))</f>
        <v>0</v>
      </c>
      <c r="AA10" s="79" cm="1">
        <f t="array" ref="AA10">SUMPRODUCT((AA$25:AA$162)*($C$25:$C$162=$C10))</f>
        <v>0</v>
      </c>
      <c r="AB10" s="79" cm="1">
        <f t="array" ref="AB10">SUMPRODUCT((AB$25:AB$162)*($C$25:$C$162=$C10))</f>
        <v>0</v>
      </c>
      <c r="AC10" s="79" cm="1">
        <f t="array" ref="AC10">SUMPRODUCT((AC$25:AC$162)*($C$25:$C$162=$C10))</f>
        <v>0</v>
      </c>
      <c r="AD10" s="79" cm="1">
        <f t="array" ref="AD10">SUMPRODUCT((AD$25:AD$162)*($C$25:$C$162=$C10))</f>
        <v>0</v>
      </c>
      <c r="AE10" s="79" cm="1">
        <f t="array" ref="AE10">SUMPRODUCT((AE$25:AE$162)*($C$25:$C$162=$C10))</f>
        <v>0</v>
      </c>
      <c r="AF10" s="79" cm="1">
        <f t="array" ref="AF10">SUMPRODUCT((AF$25:AF$162)*($C$25:$C$162=$C10))</f>
        <v>0</v>
      </c>
      <c r="AG10" s="79" cm="1">
        <f t="array" ref="AG10">SUMPRODUCT((AG$25:AG$162)*($C$25:$C$162=$C10))</f>
        <v>0</v>
      </c>
      <c r="AH10" s="79" cm="1">
        <f t="array" ref="AH10">SUMPRODUCT((AH$25:AH$162)*($C$25:$C$162=$C10))</f>
        <v>0</v>
      </c>
      <c r="AI10" s="79" cm="1">
        <f t="array" ref="AI10">SUMPRODUCT((AI$25:AI$162)*($C$25:$C$162=$C10))</f>
        <v>0</v>
      </c>
      <c r="AJ10" s="79" cm="1">
        <f t="array" ref="AJ10">SUMPRODUCT((AJ$25:AJ$162)*($C$25:$C$162=$C10))</f>
        <v>0</v>
      </c>
      <c r="AK10" s="79" cm="1">
        <f t="array" ref="AK10">SUMPRODUCT((AK$25:AK$162)*($C$25:$C$162=$C10))</f>
        <v>0</v>
      </c>
      <c r="AL10" s="79" cm="1">
        <f t="array" ref="AL10">SUMPRODUCT((AL$25:AL$162)*($C$25:$C$162=$C10))</f>
        <v>0</v>
      </c>
      <c r="AM10" s="79" cm="1">
        <f t="array" ref="AM10">SUMPRODUCT((AM$25:AM$162)*($C$25:$C$162=$C10))</f>
        <v>0</v>
      </c>
      <c r="AN10" s="79" cm="1">
        <f t="array" ref="AN10">SUMPRODUCT((AN$25:AN$162)*($C$25:$C$162=$C10))</f>
        <v>0</v>
      </c>
      <c r="AO10" s="79" cm="1">
        <f t="array" ref="AO10">SUMPRODUCT((AO$25:AO$162)*($C$25:$C$162=$C10))</f>
        <v>0</v>
      </c>
      <c r="AP10" s="79" cm="1">
        <f t="array" ref="AP10">SUMPRODUCT((AP$25:AP$162)*($C$25:$C$162=$C10))</f>
        <v>0</v>
      </c>
      <c r="AQ10" s="79" cm="1">
        <f t="array" ref="AQ10">SUMPRODUCT((AQ$25:AQ$162)*($C$25:$C$162=$C10))</f>
        <v>0</v>
      </c>
      <c r="AR10" s="79" cm="1">
        <f t="array" ref="AR10">SUMPRODUCT((AR$25:AR$162)*($C$25:$C$162=$C10))</f>
        <v>0</v>
      </c>
      <c r="AS10" s="79" cm="1">
        <f t="array" ref="AS10">SUMPRODUCT((AS$25:AS$162)*($C$25:$C$162=$C10))</f>
        <v>0</v>
      </c>
      <c r="AT10" s="79" cm="1">
        <f t="array" ref="AT10">SUMPRODUCT((AT$25:AT$162)*($C$25:$C$162=$C10))</f>
        <v>0</v>
      </c>
      <c r="AU10" s="79" cm="1">
        <f t="array" ref="AU10">SUMPRODUCT((AU$25:AU$162)*($C$25:$C$162=$C10))</f>
        <v>0</v>
      </c>
      <c r="AV10" s="79" cm="1">
        <f t="array" ref="AV10">SUMPRODUCT((AV$25:AV$162)*($C$25:$C$162=$C10))</f>
        <v>0</v>
      </c>
      <c r="AW10" s="79" cm="1">
        <f t="array" ref="AW10">SUMPRODUCT((AW$25:AW$162)*($C$25:$C$162=$C10))</f>
        <v>0</v>
      </c>
      <c r="AX10" s="79" cm="1">
        <f t="array" ref="AX10">SUMPRODUCT((AX$25:AX$162)*($C$25:$C$162=$C10))</f>
        <v>0</v>
      </c>
      <c r="AY10" s="79" cm="1">
        <f t="array" ref="AY10">SUMPRODUCT((AY$25:AY$162)*($C$25:$C$162=$C10))</f>
        <v>0</v>
      </c>
      <c r="AZ10" s="79" cm="1">
        <f t="array" ref="AZ10">SUMPRODUCT((AZ$25:AZ$162)*($C$25:$C$162=$C10))</f>
        <v>0</v>
      </c>
      <c r="BA10" s="79" cm="1">
        <f t="array" ref="BA10">SUMPRODUCT((BA$25:BA$162)*($C$25:$C$162=$C10))</f>
        <v>0</v>
      </c>
      <c r="BB10" s="79" cm="1">
        <f t="array" ref="BB10">SUMPRODUCT((BB$25:BB$162)*($C$25:$C$162=$C10))</f>
        <v>0</v>
      </c>
      <c r="BC10" s="79" cm="1">
        <f t="array" ref="BC10">SUMPRODUCT((BC$25:BC$162)*($C$25:$C$162=$C10))</f>
        <v>0</v>
      </c>
      <c r="BD10" s="79" cm="1">
        <f t="array" ref="BD10">SUMPRODUCT((BD$25:BD$162)*($C$25:$C$162=$C10))</f>
        <v>0</v>
      </c>
      <c r="BE10" s="79" cm="1">
        <f t="array" ref="BE10">SUMPRODUCT((BE$25:BE$162)*($C$25:$C$162=$C10))</f>
        <v>0</v>
      </c>
      <c r="BF10" s="79" cm="1">
        <f t="array" ref="BF10">SUMPRODUCT((BF$25:BF$162)*($C$25:$C$162=$C10))</f>
        <v>0</v>
      </c>
      <c r="BG10" s="79" cm="1">
        <f t="array" ref="BG10">SUMPRODUCT((BG$25:BG$162)*($C$25:$C$162=$C10))</f>
        <v>0</v>
      </c>
      <c r="BH10" s="79" cm="1">
        <f t="array" ref="BH10">SUMPRODUCT((BH$25:BH$162)*($C$25:$C$162=$C10))</f>
        <v>0</v>
      </c>
      <c r="BI10" s="79" cm="1">
        <f t="array" ref="BI10">SUMPRODUCT((BI$25:BI$162)*($C$25:$C$162=$C10))</f>
        <v>0</v>
      </c>
      <c r="BJ10" s="79" cm="1">
        <f t="array" ref="BJ10">SUMPRODUCT((BJ$25:BJ$162)*($C$25:$C$162=$C10))</f>
        <v>0</v>
      </c>
      <c r="BK10" s="79" cm="1">
        <f t="array" ref="BK10">SUMPRODUCT((BK$25:BK$162)*($C$25:$C$162=$C10))</f>
        <v>0</v>
      </c>
      <c r="BL10" s="79" cm="1">
        <f t="array" ref="BL10">SUMPRODUCT((BL$25:BL$162)*($C$25:$C$162=$C10))</f>
        <v>0</v>
      </c>
      <c r="BM10" s="79" cm="1">
        <f t="array" ref="BM10">SUMPRODUCT((BM$25:BM$162)*($C$25:$C$162=$C10))</f>
        <v>0</v>
      </c>
      <c r="BN10" s="79" cm="1">
        <f t="array" ref="BN10">SUMPRODUCT((BN$25:BN$162)*($C$25:$C$162=$C10))</f>
        <v>0</v>
      </c>
      <c r="BO10" s="79" cm="1">
        <f t="array" ref="BO10">SUMPRODUCT((BO$25:BO$162)*($C$25:$C$162=$C10))</f>
        <v>0</v>
      </c>
      <c r="BP10" s="79" cm="1">
        <f t="array" ref="BP10">SUMPRODUCT((BP$25:BP$162)*($C$25:$C$162=$C10))</f>
        <v>0</v>
      </c>
      <c r="BQ10" s="79" cm="1">
        <f t="array" ref="BQ10">SUMPRODUCT((BQ$25:BQ$162)*($C$25:$C$162=$C10))</f>
        <v>0</v>
      </c>
      <c r="BR10" s="79" cm="1">
        <f t="array" ref="BR10">SUMPRODUCT((BR$25:BR$162)*($C$25:$C$162=$C10))</f>
        <v>0</v>
      </c>
      <c r="BS10" s="79" cm="1">
        <f t="array" ref="BS10">SUMPRODUCT((BS$25:BS$162)*($C$25:$C$162=$C10))</f>
        <v>0</v>
      </c>
      <c r="BT10" s="79" cm="1">
        <f t="array" ref="BT10">SUMPRODUCT((BT$25:BT$162)*($C$25:$C$162=$C10))</f>
        <v>0</v>
      </c>
      <c r="BU10" s="79" cm="1">
        <f t="array" ref="BU10">SUMPRODUCT((BU$25:BU$162)*($C$25:$C$162=$C10))</f>
        <v>0</v>
      </c>
      <c r="BV10" s="79" cm="1">
        <f t="array" ref="BV10">SUMPRODUCT((BV$25:BV$162)*($C$25:$C$162=$C10))</f>
        <v>0</v>
      </c>
      <c r="BW10" s="79" cm="1">
        <f t="array" ref="BW10">SUMPRODUCT((BW$25:BW$162)*($C$25:$C$162=$C10))</f>
        <v>0</v>
      </c>
      <c r="BX10" s="79" cm="1">
        <f t="array" ref="BX10">SUMPRODUCT((BX$25:BX$162)*($C$25:$C$162=$C10))</f>
        <v>0</v>
      </c>
      <c r="BY10" s="79" cm="1">
        <f t="array" ref="BY10">SUMPRODUCT((BY$25:BY$162)*($C$25:$C$162=$C10))</f>
        <v>0</v>
      </c>
      <c r="BZ10" s="79" cm="1">
        <f t="array" ref="BZ10">SUMPRODUCT((BZ$25:BZ$162)*($C$25:$C$162=$C10))</f>
        <v>0</v>
      </c>
      <c r="CA10" s="79" cm="1">
        <f t="array" ref="CA10">SUMPRODUCT((CA$25:CA$162)*($C$25:$C$162=$C10))</f>
        <v>0</v>
      </c>
      <c r="CB10" s="79" cm="1">
        <f t="array" ref="CB10">SUMPRODUCT((CB$25:CB$162)*($C$25:$C$162=$C10))</f>
        <v>0</v>
      </c>
      <c r="CC10" s="79" cm="1">
        <f t="array" ref="CC10">SUMPRODUCT((CC$25:CC$162)*($C$25:$C$162=$C10))</f>
        <v>0</v>
      </c>
      <c r="CD10" s="79" cm="1">
        <f t="array" ref="CD10">SUMPRODUCT((CD$25:CD$162)*($C$25:$C$162=$C10))</f>
        <v>0</v>
      </c>
      <c r="CE10" s="79" cm="1">
        <f t="array" ref="CE10">SUMPRODUCT((CE$25:CE$162)*($C$25:$C$162=$C10))</f>
        <v>0</v>
      </c>
      <c r="CF10" s="79" cm="1">
        <f t="array" ref="CF10">SUMPRODUCT((CF$25:CF$162)*($C$25:$C$162=$C10))</f>
        <v>0</v>
      </c>
      <c r="CG10" s="79" cm="1">
        <f t="array" ref="CG10">SUMPRODUCT((CG$25:CG$162)*($C$25:$C$162=$C10))</f>
        <v>0</v>
      </c>
      <c r="CH10" s="79" cm="1">
        <f t="array" ref="CH10">SUMPRODUCT((CH$25:CH$162)*($C$25:$C$162=$C10))</f>
        <v>0</v>
      </c>
      <c r="CI10" s="79" cm="1">
        <f t="array" ref="CI10">SUMPRODUCT((CI$25:CI$162)*($C$25:$C$162=$C10))</f>
        <v>0</v>
      </c>
      <c r="CJ10" s="79" cm="1">
        <f t="array" ref="CJ10">SUMPRODUCT((CJ$25:CJ$162)*($C$25:$C$162=$C10))</f>
        <v>0</v>
      </c>
      <c r="CK10" s="79" cm="1">
        <f t="array" ref="CK10">SUMPRODUCT((CK$25:CK$162)*($C$25:$C$162=$C10))</f>
        <v>0</v>
      </c>
      <c r="CL10" s="79" cm="1">
        <f t="array" ref="CL10">SUMPRODUCT((CL$25:CL$162)*($C$25:$C$162=$C10))</f>
        <v>0</v>
      </c>
      <c r="CM10" s="79" cm="1">
        <f t="array" ref="CM10">SUMPRODUCT((CM$25:CM$162)*($C$25:$C$162=$C10))</f>
        <v>0</v>
      </c>
      <c r="CN10" s="79" cm="1">
        <f t="array" ref="CN10">SUMPRODUCT((CN$25:CN$162)*($C$25:$C$162=$C10))</f>
        <v>0</v>
      </c>
      <c r="CO10" s="79" cm="1">
        <f t="array" ref="CO10">SUMPRODUCT((CO$25:CO$162)*($C$25:$C$162=$C10))</f>
        <v>0</v>
      </c>
      <c r="CP10" s="79" cm="1">
        <f t="array" ref="CP10">SUMPRODUCT((CP$25:CP$162)*($C$25:$C$162=$C10))</f>
        <v>0</v>
      </c>
      <c r="CQ10" s="79" cm="1">
        <f t="array" ref="CQ10">SUMPRODUCT((CQ$25:CQ$162)*($C$25:$C$162=$C10))</f>
        <v>0</v>
      </c>
      <c r="CR10" s="79" cm="1">
        <f t="array" ref="CR10">SUMPRODUCT((CR$25:CR$162)*($C$25:$C$162=$C10))</f>
        <v>0</v>
      </c>
      <c r="CS10" s="79" cm="1">
        <f t="array" ref="CS10">SUMPRODUCT((CS$25:CS$162)*($C$25:$C$162=$C10))</f>
        <v>0</v>
      </c>
      <c r="CT10" s="79" cm="1">
        <f t="array" ref="CT10">SUMPRODUCT((CT$25:CT$162)*($C$25:$C$162=$C10))</f>
        <v>0</v>
      </c>
      <c r="CU10" s="79" cm="1">
        <f t="array" ref="CU10">SUMPRODUCT((CU$25:CU$162)*($C$25:$C$162=$C10))</f>
        <v>0</v>
      </c>
      <c r="CV10" s="79" cm="1">
        <f t="array" ref="CV10">SUMPRODUCT((CV$25:CV$162)*($C$25:$C$162=$C10))</f>
        <v>0</v>
      </c>
      <c r="CW10" s="79" cm="1">
        <f t="array" ref="CW10">SUMPRODUCT((CW$25:CW$162)*($C$25:$C$162=$C10))</f>
        <v>0</v>
      </c>
      <c r="CX10" s="79" cm="1">
        <f t="array" ref="CX10">SUMPRODUCT((CX$25:CX$162)*($C$25:$C$162=$C10))</f>
        <v>0</v>
      </c>
      <c r="CY10" s="79" cm="1">
        <f t="array" ref="CY10">SUMPRODUCT((CY$25:CY$162)*($C$25:$C$162=$C10))</f>
        <v>0</v>
      </c>
      <c r="CZ10" s="79" cm="1">
        <f t="array" ref="CZ10">SUMPRODUCT((CZ$25:CZ$162)*($C$25:$C$162=$C10))</f>
        <v>0</v>
      </c>
      <c r="DA10" s="79" cm="1">
        <f t="array" ref="DA10">SUMPRODUCT((DA$25:DA$162)*($C$25:$C$162=$C10))</f>
        <v>0</v>
      </c>
      <c r="DB10" s="79" cm="1">
        <f t="array" ref="DB10">SUMPRODUCT((DB$25:DB$162)*($C$25:$C$162=$C10))</f>
        <v>0</v>
      </c>
      <c r="DC10" s="79" cm="1">
        <f t="array" ref="DC10">SUMPRODUCT((DC$25:DC$162)*($C$25:$C$162=$C10))</f>
        <v>0</v>
      </c>
      <c r="DD10" s="79" cm="1">
        <f t="array" ref="DD10">SUMPRODUCT((DD$25:DD$162)*($C$25:$C$162=$C10))</f>
        <v>0</v>
      </c>
      <c r="DE10" s="79" cm="1">
        <f t="array" ref="DE10">SUMPRODUCT((DE$25:DE$162)*($C$25:$C$162=$C10))</f>
        <v>0</v>
      </c>
      <c r="DF10" s="79" cm="1">
        <f t="array" ref="DF10">SUMPRODUCT((DF$25:DF$162)*($C$25:$C$162=$C10))</f>
        <v>0</v>
      </c>
      <c r="DG10" s="79" cm="1">
        <f t="array" ref="DG10">SUMPRODUCT((DG$25:DG$162)*($C$25:$C$162=$C10))</f>
        <v>0</v>
      </c>
      <c r="DH10" s="79" cm="1">
        <f t="array" ref="DH10">SUMPRODUCT((DH$25:DH$162)*($C$25:$C$162=$C10))</f>
        <v>0</v>
      </c>
      <c r="DI10" s="79" cm="1">
        <f t="array" ref="DI10">SUMPRODUCT((DI$25:DI$162)*($C$25:$C$162=$C10))</f>
        <v>0</v>
      </c>
      <c r="DJ10" s="79" cm="1">
        <f t="array" ref="DJ10">SUMPRODUCT((DJ$25:DJ$162)*($C$25:$C$162=$C10))</f>
        <v>0</v>
      </c>
      <c r="DK10" s="79" cm="1">
        <f t="array" ref="DK10">SUMPRODUCT((DK$25:DK$162)*($C$25:$C$162=$C10))</f>
        <v>0</v>
      </c>
      <c r="DL10" s="79" cm="1">
        <f t="array" ref="DL10">SUMPRODUCT((DL$25:DL$162)*($C$25:$C$162=$C10))</f>
        <v>0</v>
      </c>
      <c r="DM10" s="79" cm="1">
        <f t="array" ref="DM10">SUMPRODUCT((DM$25:DM$162)*($C$25:$C$162=$C10))</f>
        <v>0</v>
      </c>
      <c r="DN10" s="79" cm="1">
        <f t="array" ref="DN10">SUMPRODUCT((DN$25:DN$162)*($C$25:$C$162=$C10))</f>
        <v>0</v>
      </c>
      <c r="DO10" s="79" cm="1">
        <f t="array" ref="DO10">SUMPRODUCT((DO$25:DO$162)*($C$25:$C$162=$C10))</f>
        <v>0</v>
      </c>
      <c r="DP10" s="79" cm="1">
        <f t="array" ref="DP10">SUMPRODUCT((DP$25:DP$162)*($C$25:$C$162=$C10))</f>
        <v>0</v>
      </c>
      <c r="DQ10" s="79" cm="1">
        <f t="array" ref="DQ10">SUMPRODUCT((DQ$25:DQ$162)*($C$25:$C$162=$C10))</f>
        <v>0</v>
      </c>
      <c r="DR10" s="79" cm="1">
        <f t="array" ref="DR10">SUMPRODUCT((DR$25:DR$162)*($C$25:$C$162=$C10))</f>
        <v>0</v>
      </c>
      <c r="DS10" s="79" cm="1">
        <f t="array" ref="DS10">SUMPRODUCT((DS$25:DS$162)*($C$25:$C$162=$C10))</f>
        <v>0</v>
      </c>
      <c r="DT10" s="79" cm="1">
        <f t="array" ref="DT10">SUMPRODUCT((DT$25:DT$162)*($C$25:$C$162=$C10))</f>
        <v>0</v>
      </c>
      <c r="DU10" s="79" cm="1">
        <f t="array" ref="DU10">SUMPRODUCT((DU$25:DU$162)*($C$25:$C$162=$C10))</f>
        <v>0</v>
      </c>
      <c r="DV10" s="79" cm="1">
        <f t="array" ref="DV10">SUMPRODUCT((DV$25:DV$162)*($C$25:$C$162=$C10))</f>
        <v>0</v>
      </c>
      <c r="DW10" s="79" cm="1">
        <f t="array" ref="DW10">SUMPRODUCT((DW$25:DW$162)*($C$25:$C$162=$C10))</f>
        <v>0</v>
      </c>
      <c r="DX10" s="79" cm="1">
        <f t="array" ref="DX10">SUMPRODUCT((DX$25:DX$162)*($C$25:$C$162=$C10))</f>
        <v>0</v>
      </c>
      <c r="DY10" s="79" cm="1">
        <f t="array" ref="DY10">SUMPRODUCT((DY$25:DY$162)*($C$25:$C$162=$C10))</f>
        <v>0</v>
      </c>
      <c r="DZ10" s="79" cm="1">
        <f t="array" ref="DZ10">SUMPRODUCT((DZ$25:DZ$162)*($C$25:$C$162=$C10))</f>
        <v>0</v>
      </c>
      <c r="EA10" s="79" cm="1">
        <f t="array" ref="EA10">SUMPRODUCT((EA$25:EA$162)*($C$25:$C$162=$C10))</f>
        <v>0</v>
      </c>
      <c r="EB10" s="79" cm="1">
        <f t="array" ref="EB10">SUMPRODUCT((EB$25:EB$162)*($C$25:$C$162=$C10))</f>
        <v>0</v>
      </c>
      <c r="EC10" s="79" cm="1">
        <f t="array" ref="EC10">SUMPRODUCT((EC$25:EC$162)*($C$25:$C$162=$C10))</f>
        <v>0</v>
      </c>
      <c r="ED10" s="79" cm="1">
        <f t="array" ref="ED10">SUMPRODUCT((ED$25:ED$162)*($C$25:$C$162=$C10))</f>
        <v>0</v>
      </c>
      <c r="EE10" s="79" cm="1">
        <f t="array" ref="EE10">SUMPRODUCT((EE$25:EE$162)*($C$25:$C$162=$C10))</f>
        <v>0</v>
      </c>
      <c r="EF10" s="79" cm="1">
        <f t="array" ref="EF10">SUMPRODUCT((EF$25:EF$162)*($C$25:$C$162=$C10))</f>
        <v>0</v>
      </c>
      <c r="EG10" s="79" cm="1">
        <f t="array" ref="EG10">SUMPRODUCT((EG$25:EG$162)*($C$25:$C$162=$C10))</f>
        <v>0</v>
      </c>
      <c r="EH10" s="79" cm="1">
        <f t="array" ref="EH10">SUMPRODUCT((EH$25:EH$162)*($C$25:$C$162=$C10))</f>
        <v>0</v>
      </c>
      <c r="EI10" s="79" cm="1">
        <f t="array" ref="EI10">SUMPRODUCT((EI$25:EI$162)*($C$25:$C$162=$C10))</f>
        <v>0</v>
      </c>
      <c r="EJ10" s="79" cm="1">
        <f t="array" ref="EJ10">SUMPRODUCT((EJ$25:EJ$162)*($C$25:$C$162=$C10))</f>
        <v>0</v>
      </c>
      <c r="EK10" s="79" cm="1">
        <f t="array" ref="EK10">SUMPRODUCT((EK$25:EK$162)*($C$25:$C$162=$C10))</f>
        <v>0</v>
      </c>
      <c r="EL10" s="79" cm="1">
        <f t="array" ref="EL10">SUMPRODUCT((EL$25:EL$162)*($C$25:$C$162=$C10))</f>
        <v>0</v>
      </c>
      <c r="EM10" s="79" cm="1">
        <f t="array" ref="EM10">SUMPRODUCT((EM$25:EM$162)*($C$25:$C$162=$C10))</f>
        <v>0</v>
      </c>
      <c r="EN10" s="79" cm="1">
        <f t="array" ref="EN10">SUMPRODUCT((EN$25:EN$162)*($C$25:$C$162=$C10))</f>
        <v>0</v>
      </c>
      <c r="EO10" s="79" cm="1">
        <f t="array" ref="EO10">SUMPRODUCT((EO$25:EO$162)*($C$25:$C$162=$C10))</f>
        <v>0</v>
      </c>
      <c r="EP10" s="79" cm="1">
        <f t="array" ref="EP10">SUMPRODUCT((EP$25:EP$162)*($C$25:$C$162=$C10))</f>
        <v>0</v>
      </c>
      <c r="EQ10" s="79" cm="1">
        <f t="array" ref="EQ10">SUMPRODUCT((EQ$25:EQ$162)*($C$25:$C$162=$C10))</f>
        <v>0</v>
      </c>
      <c r="ER10" s="79" cm="1">
        <f t="array" ref="ER10">SUMPRODUCT((ER$25:ER$162)*($C$25:$C$162=$C10))</f>
        <v>0</v>
      </c>
      <c r="ES10" s="79" cm="1">
        <f t="array" ref="ES10">SUMPRODUCT((ES$25:ES$162)*($C$25:$C$162=$C10))</f>
        <v>0</v>
      </c>
      <c r="ET10" s="79" cm="1">
        <f t="array" ref="ET10">SUMPRODUCT((ET$25:ET$162)*($C$25:$C$162=$C10))</f>
        <v>0</v>
      </c>
      <c r="EU10" s="79" cm="1">
        <f t="array" ref="EU10">SUMPRODUCT((EU$25:EU$162)*($C$25:$C$162=$C10))</f>
        <v>0</v>
      </c>
      <c r="EV10" s="79" cm="1">
        <f t="array" ref="EV10">SUMPRODUCT((EV$25:EV$162)*($C$25:$C$162=$C10))</f>
        <v>0</v>
      </c>
      <c r="EW10" s="79" cm="1">
        <f t="array" ref="EW10">SUMPRODUCT((EW$25:EW$162)*($C$25:$C$162=$C10))</f>
        <v>0</v>
      </c>
      <c r="EX10" s="79" cm="1">
        <f t="array" ref="EX10">SUMPRODUCT((EX$25:EX$162)*($C$25:$C$162=$C10))</f>
        <v>0</v>
      </c>
      <c r="EY10" s="79" cm="1">
        <f t="array" ref="EY10">SUMPRODUCT((EY$25:EY$162)*($C$25:$C$162=$C10))</f>
        <v>0</v>
      </c>
      <c r="EZ10" s="79" cm="1">
        <f t="array" ref="EZ10">SUMPRODUCT((EZ$25:EZ$162)*($C$25:$C$162=$C10))</f>
        <v>0</v>
      </c>
      <c r="FA10" s="79" cm="1">
        <f t="array" ref="FA10">SUMPRODUCT((FA$25:FA$162)*($C$25:$C$162=$C10))</f>
        <v>0</v>
      </c>
      <c r="FB10" s="79" cm="1">
        <f t="array" ref="FB10">SUMPRODUCT((FB$25:FB$162)*($C$25:$C$162=$C10))</f>
        <v>0</v>
      </c>
      <c r="FC10" s="79" cm="1">
        <f t="array" ref="FC10">SUMPRODUCT((FC$25:FC$162)*($C$25:$C$162=$C10))</f>
        <v>0</v>
      </c>
      <c r="FD10" s="79" cm="1">
        <f t="array" ref="FD10">SUMPRODUCT((FD$25:FD$162)*($C$25:$C$162=$C10))</f>
        <v>0</v>
      </c>
      <c r="FE10" s="79" cm="1">
        <f t="array" ref="FE10">SUMPRODUCT((FE$25:FE$162)*($C$25:$C$162=$C10))</f>
        <v>0</v>
      </c>
      <c r="FF10" s="79" cm="1">
        <f t="array" ref="FF10">SUMPRODUCT((FF$25:FF$162)*($C$25:$C$162=$C10))</f>
        <v>0</v>
      </c>
      <c r="FG10" s="79" cm="1">
        <f t="array" ref="FG10">SUMPRODUCT((FG$25:FG$162)*($C$25:$C$162=$C10))</f>
        <v>0</v>
      </c>
      <c r="FH10" s="79" cm="1">
        <f t="array" ref="FH10">SUMPRODUCT((FH$25:FH$162)*($C$25:$C$162=$C10))</f>
        <v>0</v>
      </c>
      <c r="FI10" s="79" cm="1">
        <f t="array" ref="FI10">SUMPRODUCT((FI$25:FI$162)*($C$25:$C$162=$C10))</f>
        <v>0</v>
      </c>
      <c r="FJ10" s="79" cm="1">
        <f t="array" ref="FJ10">SUMPRODUCT((FJ$25:FJ$162)*($C$25:$C$162=$C10))</f>
        <v>0</v>
      </c>
      <c r="FK10" s="79" cm="1">
        <f t="array" ref="FK10">SUMPRODUCT((FK$25:FK$162)*($C$25:$C$162=$C10))</f>
        <v>0</v>
      </c>
      <c r="FL10" s="79" cm="1">
        <f t="array" ref="FL10">SUMPRODUCT((FL$25:FL$162)*($C$25:$C$162=$C10))</f>
        <v>0</v>
      </c>
      <c r="FM10" s="79" cm="1">
        <f t="array" ref="FM10">SUMPRODUCT((FM$25:FM$162)*($C$25:$C$162=$C10))</f>
        <v>0</v>
      </c>
      <c r="FN10" s="79" cm="1">
        <f t="array" ref="FN10">SUMPRODUCT((FN$25:FN$162)*($C$25:$C$162=$C10))</f>
        <v>0</v>
      </c>
      <c r="FO10" s="79" cm="1">
        <f t="array" ref="FO10">SUMPRODUCT((FO$25:FO$162)*($C$25:$C$162=$C10))</f>
        <v>0</v>
      </c>
      <c r="FP10" s="79" cm="1">
        <f t="array" ref="FP10">SUMPRODUCT((FP$25:FP$162)*($C$25:$C$162=$C10))</f>
        <v>0</v>
      </c>
      <c r="FQ10" s="79" cm="1">
        <f t="array" ref="FQ10">SUMPRODUCT((FQ$25:FQ$162)*($C$25:$C$162=$C10))</f>
        <v>0</v>
      </c>
      <c r="FR10" s="79" cm="1">
        <f t="array" ref="FR10">SUMPRODUCT((FR$25:FR$162)*($C$25:$C$162=$C10))</f>
        <v>0</v>
      </c>
      <c r="FS10" s="79" cm="1">
        <f t="array" ref="FS10">SUMPRODUCT((FS$25:FS$162)*($C$25:$C$162=$C10))</f>
        <v>0</v>
      </c>
      <c r="FT10" s="79" cm="1">
        <f t="array" ref="FT10">SUMPRODUCT((FT$25:FT$162)*($C$25:$C$162=$C10))</f>
        <v>0</v>
      </c>
      <c r="FU10" s="79" cm="1">
        <f t="array" ref="FU10">SUMPRODUCT((FU$25:FU$162)*($C$25:$C$162=$C10))</f>
        <v>0</v>
      </c>
      <c r="FV10" s="79" cm="1">
        <f t="array" ref="FV10">SUMPRODUCT((FV$25:FV$162)*($C$25:$C$162=$C10))</f>
        <v>0</v>
      </c>
      <c r="FW10" s="79" cm="1">
        <f t="array" ref="FW10">SUMPRODUCT((FW$25:FW$162)*($C$25:$C$162=$C10))</f>
        <v>0</v>
      </c>
      <c r="FX10" s="79" cm="1">
        <f t="array" ref="FX10">SUMPRODUCT((FX$25:FX$162)*($C$25:$C$162=$C10))</f>
        <v>0</v>
      </c>
      <c r="FY10" s="79" cm="1">
        <f t="array" ref="FY10">SUMPRODUCT((FY$25:FY$162)*($C$25:$C$162=$C10))</f>
        <v>0</v>
      </c>
      <c r="FZ10" s="79" cm="1">
        <f t="array" ref="FZ10">SUMPRODUCT((FZ$25:FZ$162)*($C$25:$C$162=$C10))</f>
        <v>0</v>
      </c>
      <c r="GA10" s="79" cm="1">
        <f t="array" ref="GA10">SUMPRODUCT((GA$25:GA$162)*($C$25:$C$162=$C10))</f>
        <v>0</v>
      </c>
      <c r="GB10" s="79" cm="1">
        <f t="array" ref="GB10">SUMPRODUCT((GB$25:GB$162)*($C$25:$C$162=$C10))</f>
        <v>0</v>
      </c>
      <c r="GC10" s="79" cm="1">
        <f t="array" ref="GC10">SUMPRODUCT((GC$25:GC$162)*($C$25:$C$162=$C10))</f>
        <v>0</v>
      </c>
    </row>
    <row r="11" spans="1:185">
      <c r="A11" s="80"/>
      <c r="B11" s="80" t="s">
        <v>31</v>
      </c>
      <c r="C11" s="80" t="s">
        <v>32</v>
      </c>
      <c r="D11" s="80"/>
      <c r="E11" s="82">
        <f t="shared" si="0"/>
        <v>110598811.35554416</v>
      </c>
      <c r="F11" s="79" cm="1">
        <f t="array" ref="F11">SUMPRODUCT((F$25:F$162)*($C$25:$C$162=$C11))</f>
        <v>0</v>
      </c>
      <c r="G11" s="79" cm="1">
        <f t="array" ref="G11">SUMPRODUCT((G$25:G$162)*($C$25:$C$162=$C11))</f>
        <v>0</v>
      </c>
      <c r="H11" s="79" cm="1">
        <f t="array" ref="H11">SUMPRODUCT((H$25:H$162)*($C$25:$C$162=$C11))</f>
        <v>0</v>
      </c>
      <c r="I11" s="79" cm="1">
        <f t="array" ref="I11">SUMPRODUCT((I$25:I$162)*($C$25:$C$162=$C11))</f>
        <v>0</v>
      </c>
      <c r="J11" s="79" cm="1">
        <f t="array" ref="J11">SUMPRODUCT((J$25:J$162)*($C$25:$C$162=$C11))</f>
        <v>0</v>
      </c>
      <c r="K11" s="79" cm="1">
        <f t="array" ref="K11">SUMPRODUCT((K$25:K$162)*($C$25:$C$162=$C11))</f>
        <v>0</v>
      </c>
      <c r="L11" s="79" cm="1">
        <f t="array" ref="L11">SUMPRODUCT((L$25:L$162)*($C$25:$C$162=$C11))</f>
        <v>0</v>
      </c>
      <c r="M11" s="79" cm="1">
        <f t="array" ref="M11">SUMPRODUCT((M$25:M$162)*($C$25:$C$162=$C11))</f>
        <v>651421.46152799996</v>
      </c>
      <c r="N11" s="79" cm="1">
        <f t="array" ref="N11">SUMPRODUCT((N$25:N$162)*($C$25:$C$162=$C11))</f>
        <v>630450.44663999998</v>
      </c>
      <c r="O11" s="79" cm="1">
        <f t="array" ref="O11">SUMPRODUCT((O$25:O$162)*($C$25:$C$162=$C11))</f>
        <v>651421.46152799996</v>
      </c>
      <c r="P11" s="79" cm="1">
        <f t="array" ref="P11">SUMPRODUCT((P$25:P$162)*($C$25:$C$162=$C11))</f>
        <v>630450.44663999998</v>
      </c>
      <c r="Q11" s="79" cm="1">
        <f t="array" ref="Q11">SUMPRODUCT((Q$25:Q$162)*($C$25:$C$162=$C11))</f>
        <v>651421.46152799996</v>
      </c>
      <c r="R11" s="79" cm="1">
        <f t="array" ref="R11">SUMPRODUCT((R$25:R$162)*($C$25:$C$162=$C11))</f>
        <v>651421.46152799996</v>
      </c>
      <c r="S11" s="79" cm="1">
        <f t="array" ref="S11">SUMPRODUCT((S$25:S$162)*($C$25:$C$162=$C11))</f>
        <v>588508.41686400003</v>
      </c>
      <c r="T11" s="79" cm="1">
        <f t="array" ref="T11">SUMPRODUCT((T$25:T$162)*($C$25:$C$162=$C11))</f>
        <v>651421.46152799996</v>
      </c>
      <c r="U11" s="79" cm="1">
        <f t="array" ref="U11">SUMPRODUCT((U$25:U$162)*($C$25:$C$162=$C11))</f>
        <v>630450.44663999998</v>
      </c>
      <c r="V11" s="79" cm="1">
        <f t="array" ref="V11">SUMPRODUCT((V$25:V$162)*($C$25:$C$162=$C11))</f>
        <v>651421.46152799996</v>
      </c>
      <c r="W11" s="79" cm="1">
        <f t="array" ref="W11">SUMPRODUCT((W$25:W$162)*($C$25:$C$162=$C11))</f>
        <v>630450.44663999998</v>
      </c>
      <c r="X11" s="79" cm="1">
        <f t="array" ref="X11">SUMPRODUCT((X$25:X$162)*($C$25:$C$162=$C11))</f>
        <v>651421.46152799996</v>
      </c>
      <c r="Y11" s="79" cm="1">
        <f t="array" ref="Y11">SUMPRODUCT((Y$25:Y$162)*($C$25:$C$162=$C11))</f>
        <v>651421.46152799996</v>
      </c>
      <c r="Z11" s="79" cm="1">
        <f t="array" ref="Z11">SUMPRODUCT((Z$25:Z$162)*($C$25:$C$162=$C11))</f>
        <v>630450.44663999998</v>
      </c>
      <c r="AA11" s="79" cm="1">
        <f t="array" ref="AA11">SUMPRODUCT((AA$25:AA$162)*($C$25:$C$162=$C11))</f>
        <v>651421.46152799996</v>
      </c>
      <c r="AB11" s="79" cm="1">
        <f t="array" ref="AB11">SUMPRODUCT((AB$25:AB$162)*($C$25:$C$162=$C11))</f>
        <v>630450.44663999998</v>
      </c>
      <c r="AC11" s="79" cm="1">
        <f t="array" ref="AC11">SUMPRODUCT((AC$25:AC$162)*($C$25:$C$162=$C11))</f>
        <v>651421.46152799996</v>
      </c>
      <c r="AD11" s="79" cm="1">
        <f t="array" ref="AD11">SUMPRODUCT((AD$25:AD$162)*($C$25:$C$162=$C11))</f>
        <v>651421.46152799996</v>
      </c>
      <c r="AE11" s="79" cm="1">
        <f t="array" ref="AE11">SUMPRODUCT((AE$25:AE$162)*($C$25:$C$162=$C11))</f>
        <v>588508.41686400003</v>
      </c>
      <c r="AF11" s="79" cm="1">
        <f t="array" ref="AF11">SUMPRODUCT((AF$25:AF$162)*($C$25:$C$162=$C11))</f>
        <v>651421.46152799996</v>
      </c>
      <c r="AG11" s="79" cm="1">
        <f t="array" ref="AG11">SUMPRODUCT((AG$25:AG$162)*($C$25:$C$162=$C11))</f>
        <v>630450.44663999998</v>
      </c>
      <c r="AH11" s="79" cm="1">
        <f t="array" ref="AH11">SUMPRODUCT((AH$25:AH$162)*($C$25:$C$162=$C11))</f>
        <v>651421.46152799996</v>
      </c>
      <c r="AI11" s="79" cm="1">
        <f t="array" ref="AI11">SUMPRODUCT((AI$25:AI$162)*($C$25:$C$162=$C11))</f>
        <v>630450.44663999998</v>
      </c>
      <c r="AJ11" s="79" cm="1">
        <f t="array" ref="AJ11">SUMPRODUCT((AJ$25:AJ$162)*($C$25:$C$162=$C11))</f>
        <v>651421.46152799996</v>
      </c>
      <c r="AK11" s="79" cm="1">
        <f t="array" ref="AK11">SUMPRODUCT((AK$25:AK$162)*($C$25:$C$162=$C11))</f>
        <v>651421.46152799996</v>
      </c>
      <c r="AL11" s="79" cm="1">
        <f t="array" ref="AL11">SUMPRODUCT((AL$25:AL$162)*($C$25:$C$162=$C11))</f>
        <v>630450.44663999998</v>
      </c>
      <c r="AM11" s="79" cm="1">
        <f t="array" ref="AM11">SUMPRODUCT((AM$25:AM$162)*($C$25:$C$162=$C11))</f>
        <v>651421.46152799996</v>
      </c>
      <c r="AN11" s="79" cm="1">
        <f t="array" ref="AN11">SUMPRODUCT((AN$25:AN$162)*($C$25:$C$162=$C11))</f>
        <v>630450.44663999998</v>
      </c>
      <c r="AO11" s="79" cm="1">
        <f t="array" ref="AO11">SUMPRODUCT((AO$25:AO$162)*($C$25:$C$162=$C11))</f>
        <v>651421.46152799996</v>
      </c>
      <c r="AP11" s="79" cm="1">
        <f t="array" ref="AP11">SUMPRODUCT((AP$25:AP$162)*($C$25:$C$162=$C11))</f>
        <v>651421.46152799996</v>
      </c>
      <c r="AQ11" s="79" cm="1">
        <f t="array" ref="AQ11">SUMPRODUCT((AQ$25:AQ$162)*($C$25:$C$162=$C11))</f>
        <v>588508.41686400003</v>
      </c>
      <c r="AR11" s="79" cm="1">
        <f t="array" ref="AR11">SUMPRODUCT((AR$25:AR$162)*($C$25:$C$162=$C11))</f>
        <v>651421.46152799996</v>
      </c>
      <c r="AS11" s="79" cm="1">
        <f t="array" ref="AS11">SUMPRODUCT((AS$25:AS$162)*($C$25:$C$162=$C11))</f>
        <v>630450.44663999998</v>
      </c>
      <c r="AT11" s="79" cm="1">
        <f t="array" ref="AT11">SUMPRODUCT((AT$25:AT$162)*($C$25:$C$162=$C11))</f>
        <v>651421.46152799996</v>
      </c>
      <c r="AU11" s="79" cm="1">
        <f t="array" ref="AU11">SUMPRODUCT((AU$25:AU$162)*($C$25:$C$162=$C11))</f>
        <v>630450.44663999998</v>
      </c>
      <c r="AV11" s="79" cm="1">
        <f t="array" ref="AV11">SUMPRODUCT((AV$25:AV$162)*($C$25:$C$162=$C11))</f>
        <v>651421.46152799996</v>
      </c>
      <c r="AW11" s="79" cm="1">
        <f t="array" ref="AW11">SUMPRODUCT((AW$25:AW$162)*($C$25:$C$162=$C11))</f>
        <v>651421.46152799996</v>
      </c>
      <c r="AX11" s="79" cm="1">
        <f t="array" ref="AX11">SUMPRODUCT((AX$25:AX$162)*($C$25:$C$162=$C11))</f>
        <v>630450.44663999998</v>
      </c>
      <c r="AY11" s="79" cm="1">
        <f t="array" ref="AY11">SUMPRODUCT((AY$25:AY$162)*($C$25:$C$162=$C11))</f>
        <v>651421.46152799996</v>
      </c>
      <c r="AZ11" s="79" cm="1">
        <f t="array" ref="AZ11">SUMPRODUCT((AZ$25:AZ$162)*($C$25:$C$162=$C11))</f>
        <v>630450.44663999998</v>
      </c>
      <c r="BA11" s="79" cm="1">
        <f t="array" ref="BA11">SUMPRODUCT((BA$25:BA$162)*($C$25:$C$162=$C11))</f>
        <v>651421.46152799996</v>
      </c>
      <c r="BB11" s="79" cm="1">
        <f t="array" ref="BB11">SUMPRODUCT((BB$25:BB$162)*($C$25:$C$162=$C11))</f>
        <v>651421.46152799996</v>
      </c>
      <c r="BC11" s="79" cm="1">
        <f t="array" ref="BC11">SUMPRODUCT((BC$25:BC$162)*($C$25:$C$162=$C11))</f>
        <v>588508.41686400003</v>
      </c>
      <c r="BD11" s="79" cm="1">
        <f t="array" ref="BD11">SUMPRODUCT((BD$25:BD$162)*($C$25:$C$162=$C11))</f>
        <v>651421.46152799996</v>
      </c>
      <c r="BE11" s="79" cm="1">
        <f t="array" ref="BE11">SUMPRODUCT((BE$25:BE$162)*($C$25:$C$162=$C11))</f>
        <v>630450.44663999998</v>
      </c>
      <c r="BF11" s="79" cm="1">
        <f t="array" ref="BF11">SUMPRODUCT((BF$25:BF$162)*($C$25:$C$162=$C11))</f>
        <v>651421.46152799996</v>
      </c>
      <c r="BG11" s="79" cm="1">
        <f t="array" ref="BG11">SUMPRODUCT((BG$25:BG$162)*($C$25:$C$162=$C11))</f>
        <v>630450.44663999998</v>
      </c>
      <c r="BH11" s="79" cm="1">
        <f t="array" ref="BH11">SUMPRODUCT((BH$25:BH$162)*($C$25:$C$162=$C11))</f>
        <v>651421.46152799996</v>
      </c>
      <c r="BI11" s="79" cm="1">
        <f t="array" ref="BI11">SUMPRODUCT((BI$25:BI$162)*($C$25:$C$162=$C11))</f>
        <v>651421.46152799996</v>
      </c>
      <c r="BJ11" s="79" cm="1">
        <f t="array" ref="BJ11">SUMPRODUCT((BJ$25:BJ$162)*($C$25:$C$162=$C11))</f>
        <v>630450.44663999998</v>
      </c>
      <c r="BK11" s="79" cm="1">
        <f t="array" ref="BK11">SUMPRODUCT((BK$25:BK$162)*($C$25:$C$162=$C11))</f>
        <v>651421.46152799996</v>
      </c>
      <c r="BL11" s="79" cm="1">
        <f t="array" ref="BL11">SUMPRODUCT((BL$25:BL$162)*($C$25:$C$162=$C11))</f>
        <v>630450.44663999998</v>
      </c>
      <c r="BM11" s="79" cm="1">
        <f t="array" ref="BM11">SUMPRODUCT((BM$25:BM$162)*($C$25:$C$162=$C11))</f>
        <v>651421.46152799996</v>
      </c>
      <c r="BN11" s="79" cm="1">
        <f t="array" ref="BN11">SUMPRODUCT((BN$25:BN$162)*($C$25:$C$162=$C11))</f>
        <v>651421.46152799996</v>
      </c>
      <c r="BO11" s="79" cm="1">
        <f t="array" ref="BO11">SUMPRODUCT((BO$25:BO$162)*($C$25:$C$162=$C11))</f>
        <v>588508.41686400003</v>
      </c>
      <c r="BP11" s="79" cm="1">
        <f t="array" ref="BP11">SUMPRODUCT((BP$25:BP$162)*($C$25:$C$162=$C11))</f>
        <v>651421.46152799996</v>
      </c>
      <c r="BQ11" s="79" cm="1">
        <f t="array" ref="BQ11">SUMPRODUCT((BQ$25:BQ$162)*($C$25:$C$162=$C11))</f>
        <v>630450.44663999998</v>
      </c>
      <c r="BR11" s="79" cm="1">
        <f t="array" ref="BR11">SUMPRODUCT((BR$25:BR$162)*($C$25:$C$162=$C11))</f>
        <v>651421.46152799996</v>
      </c>
      <c r="BS11" s="79" cm="1">
        <f t="array" ref="BS11">SUMPRODUCT((BS$25:BS$162)*($C$25:$C$162=$C11))</f>
        <v>630450.44663999998</v>
      </c>
      <c r="BT11" s="79" cm="1">
        <f t="array" ref="BT11">SUMPRODUCT((BT$25:BT$162)*($C$25:$C$162=$C11))</f>
        <v>651421.46152799996</v>
      </c>
      <c r="BU11" s="79" cm="1">
        <f t="array" ref="BU11">SUMPRODUCT((BU$25:BU$162)*($C$25:$C$162=$C11))</f>
        <v>651421.46152799996</v>
      </c>
      <c r="BV11" s="79" cm="1">
        <f t="array" ref="BV11">SUMPRODUCT((BV$25:BV$162)*($C$25:$C$162=$C11))</f>
        <v>630450.44663999998</v>
      </c>
      <c r="BW11" s="79" cm="1">
        <f t="array" ref="BW11">SUMPRODUCT((BW$25:BW$162)*($C$25:$C$162=$C11))</f>
        <v>651421.46152799996</v>
      </c>
      <c r="BX11" s="79" cm="1">
        <f t="array" ref="BX11">SUMPRODUCT((BX$25:BX$162)*($C$25:$C$162=$C11))</f>
        <v>630450.44663999998</v>
      </c>
      <c r="BY11" s="79" cm="1">
        <f t="array" ref="BY11">SUMPRODUCT((BY$25:BY$162)*($C$25:$C$162=$C11))</f>
        <v>651421.46152799996</v>
      </c>
      <c r="BZ11" s="79" cm="1">
        <f t="array" ref="BZ11">SUMPRODUCT((BZ$25:BZ$162)*($C$25:$C$162=$C11))</f>
        <v>651421.46152799996</v>
      </c>
      <c r="CA11" s="79" cm="1">
        <f t="array" ref="CA11">SUMPRODUCT((CA$25:CA$162)*($C$25:$C$162=$C11))</f>
        <v>588508.41686400003</v>
      </c>
      <c r="CB11" s="79" cm="1">
        <f t="array" ref="CB11">SUMPRODUCT((CB$25:CB$162)*($C$25:$C$162=$C11))</f>
        <v>651421.46152799996</v>
      </c>
      <c r="CC11" s="79" cm="1">
        <f t="array" ref="CC11">SUMPRODUCT((CC$25:CC$162)*($C$25:$C$162=$C11))</f>
        <v>630450.44663999998</v>
      </c>
      <c r="CD11" s="79" cm="1">
        <f t="array" ref="CD11">SUMPRODUCT((CD$25:CD$162)*($C$25:$C$162=$C11))</f>
        <v>651421.46152799996</v>
      </c>
      <c r="CE11" s="79" cm="1">
        <f t="array" ref="CE11">SUMPRODUCT((CE$25:CE$162)*($C$25:$C$162=$C11))</f>
        <v>630450.44663999998</v>
      </c>
      <c r="CF11" s="79" cm="1">
        <f t="array" ref="CF11">SUMPRODUCT((CF$25:CF$162)*($C$25:$C$162=$C11))</f>
        <v>651421.46152799996</v>
      </c>
      <c r="CG11" s="79" cm="1">
        <f t="array" ref="CG11">SUMPRODUCT((CG$25:CG$162)*($C$25:$C$162=$C11))</f>
        <v>651421.46152799996</v>
      </c>
      <c r="CH11" s="79" cm="1">
        <f t="array" ref="CH11">SUMPRODUCT((CH$25:CH$162)*($C$25:$C$162=$C11))</f>
        <v>630450.44663999998</v>
      </c>
      <c r="CI11" s="79" cm="1">
        <f t="array" ref="CI11">SUMPRODUCT((CI$25:CI$162)*($C$25:$C$162=$C11))</f>
        <v>651421.46152799996</v>
      </c>
      <c r="CJ11" s="79" cm="1">
        <f t="array" ref="CJ11">SUMPRODUCT((CJ$25:CJ$162)*($C$25:$C$162=$C11))</f>
        <v>630450.44663999998</v>
      </c>
      <c r="CK11" s="79" cm="1">
        <f t="array" ref="CK11">SUMPRODUCT((CK$25:CK$162)*($C$25:$C$162=$C11))</f>
        <v>651421.46152799996</v>
      </c>
      <c r="CL11" s="79" cm="1">
        <f t="array" ref="CL11">SUMPRODUCT((CL$25:CL$162)*($C$25:$C$162=$C11))</f>
        <v>651421.46152799996</v>
      </c>
      <c r="CM11" s="79" cm="1">
        <f t="array" ref="CM11">SUMPRODUCT((CM$25:CM$162)*($C$25:$C$162=$C11))</f>
        <v>588508.41686400003</v>
      </c>
      <c r="CN11" s="79" cm="1">
        <f t="array" ref="CN11">SUMPRODUCT((CN$25:CN$162)*($C$25:$C$162=$C11))</f>
        <v>651421.46152799996</v>
      </c>
      <c r="CO11" s="79" cm="1">
        <f t="array" ref="CO11">SUMPRODUCT((CO$25:CO$162)*($C$25:$C$162=$C11))</f>
        <v>630450.44663999998</v>
      </c>
      <c r="CP11" s="79" cm="1">
        <f t="array" ref="CP11">SUMPRODUCT((CP$25:CP$162)*($C$25:$C$162=$C11))</f>
        <v>651421.46152799996</v>
      </c>
      <c r="CQ11" s="79" cm="1">
        <f t="array" ref="CQ11">SUMPRODUCT((CQ$25:CQ$162)*($C$25:$C$162=$C11))</f>
        <v>630450.44663999998</v>
      </c>
      <c r="CR11" s="79" cm="1">
        <f t="array" ref="CR11">SUMPRODUCT((CR$25:CR$162)*($C$25:$C$162=$C11))</f>
        <v>651421.46152799996</v>
      </c>
      <c r="CS11" s="79" cm="1">
        <f t="array" ref="CS11">SUMPRODUCT((CS$25:CS$162)*($C$25:$C$162=$C11))</f>
        <v>651421.46152799996</v>
      </c>
      <c r="CT11" s="79" cm="1">
        <f t="array" ref="CT11">SUMPRODUCT((CT$25:CT$162)*($C$25:$C$162=$C11))</f>
        <v>630450.44663999998</v>
      </c>
      <c r="CU11" s="79" cm="1">
        <f t="array" ref="CU11">SUMPRODUCT((CU$25:CU$162)*($C$25:$C$162=$C11))</f>
        <v>651421.46152799996</v>
      </c>
      <c r="CV11" s="79" cm="1">
        <f t="array" ref="CV11">SUMPRODUCT((CV$25:CV$162)*($C$25:$C$162=$C11))</f>
        <v>630450.44663999998</v>
      </c>
      <c r="CW11" s="79" cm="1">
        <f t="array" ref="CW11">SUMPRODUCT((CW$25:CW$162)*($C$25:$C$162=$C11))</f>
        <v>651421.46152799996</v>
      </c>
      <c r="CX11" s="79" cm="1">
        <f t="array" ref="CX11">SUMPRODUCT((CX$25:CX$162)*($C$25:$C$162=$C11))</f>
        <v>651421.46152799996</v>
      </c>
      <c r="CY11" s="79" cm="1">
        <f t="array" ref="CY11">SUMPRODUCT((CY$25:CY$162)*($C$25:$C$162=$C11))</f>
        <v>588508.41686400003</v>
      </c>
      <c r="CZ11" s="79" cm="1">
        <f t="array" ref="CZ11">SUMPRODUCT((CZ$25:CZ$162)*($C$25:$C$162=$C11))</f>
        <v>651421.46152799996</v>
      </c>
      <c r="DA11" s="79" cm="1">
        <f t="array" ref="DA11">SUMPRODUCT((DA$25:DA$162)*($C$25:$C$162=$C11))</f>
        <v>630450.44663999998</v>
      </c>
      <c r="DB11" s="79" cm="1">
        <f t="array" ref="DB11">SUMPRODUCT((DB$25:DB$162)*($C$25:$C$162=$C11))</f>
        <v>651421.46152799996</v>
      </c>
      <c r="DC11" s="79" cm="1">
        <f t="array" ref="DC11">SUMPRODUCT((DC$25:DC$162)*($C$25:$C$162=$C11))</f>
        <v>630450.44663999998</v>
      </c>
      <c r="DD11" s="79" cm="1">
        <f t="array" ref="DD11">SUMPRODUCT((DD$25:DD$162)*($C$25:$C$162=$C11))</f>
        <v>651421.46152799996</v>
      </c>
      <c r="DE11" s="79" cm="1">
        <f t="array" ref="DE11">SUMPRODUCT((DE$25:DE$162)*($C$25:$C$162=$C11))</f>
        <v>651421.46152799996</v>
      </c>
      <c r="DF11" s="79" cm="1">
        <f t="array" ref="DF11">SUMPRODUCT((DF$25:DF$162)*($C$25:$C$162=$C11))</f>
        <v>630450.44663999998</v>
      </c>
      <c r="DG11" s="79" cm="1">
        <f t="array" ref="DG11">SUMPRODUCT((DG$25:DG$162)*($C$25:$C$162=$C11))</f>
        <v>651421.46152799996</v>
      </c>
      <c r="DH11" s="79" cm="1">
        <f t="array" ref="DH11">SUMPRODUCT((DH$25:DH$162)*($C$25:$C$162=$C11))</f>
        <v>630450.44663999998</v>
      </c>
      <c r="DI11" s="79" cm="1">
        <f t="array" ref="DI11">SUMPRODUCT((DI$25:DI$162)*($C$25:$C$162=$C11))</f>
        <v>651421.46152799996</v>
      </c>
      <c r="DJ11" s="79" cm="1">
        <f t="array" ref="DJ11">SUMPRODUCT((DJ$25:DJ$162)*($C$25:$C$162=$C11))</f>
        <v>651421.46152799996</v>
      </c>
      <c r="DK11" s="79" cm="1">
        <f t="array" ref="DK11">SUMPRODUCT((DK$25:DK$162)*($C$25:$C$162=$C11))</f>
        <v>588508.41686400003</v>
      </c>
      <c r="DL11" s="79" cm="1">
        <f t="array" ref="DL11">SUMPRODUCT((DL$25:DL$162)*($C$25:$C$162=$C11))</f>
        <v>651421.46152799996</v>
      </c>
      <c r="DM11" s="79" cm="1">
        <f t="array" ref="DM11">SUMPRODUCT((DM$25:DM$162)*($C$25:$C$162=$C11))</f>
        <v>630450.44663999998</v>
      </c>
      <c r="DN11" s="79" cm="1">
        <f t="array" ref="DN11">SUMPRODUCT((DN$25:DN$162)*($C$25:$C$162=$C11))</f>
        <v>651421.46152799996</v>
      </c>
      <c r="DO11" s="79" cm="1">
        <f t="array" ref="DO11">SUMPRODUCT((DO$25:DO$162)*($C$25:$C$162=$C11))</f>
        <v>630450.44663999998</v>
      </c>
      <c r="DP11" s="79" cm="1">
        <f t="array" ref="DP11">SUMPRODUCT((DP$25:DP$162)*($C$25:$C$162=$C11))</f>
        <v>651421.46152799996</v>
      </c>
      <c r="DQ11" s="79" cm="1">
        <f t="array" ref="DQ11">SUMPRODUCT((DQ$25:DQ$162)*($C$25:$C$162=$C11))</f>
        <v>651421.46152799996</v>
      </c>
      <c r="DR11" s="79" cm="1">
        <f t="array" ref="DR11">SUMPRODUCT((DR$25:DR$162)*($C$25:$C$162=$C11))</f>
        <v>630450.44663999998</v>
      </c>
      <c r="DS11" s="79" cm="1">
        <f t="array" ref="DS11">SUMPRODUCT((DS$25:DS$162)*($C$25:$C$162=$C11))</f>
        <v>651421.46152799996</v>
      </c>
      <c r="DT11" s="79" cm="1">
        <f t="array" ref="DT11">SUMPRODUCT((DT$25:DT$162)*($C$25:$C$162=$C11))</f>
        <v>630450.44663999998</v>
      </c>
      <c r="DU11" s="79" cm="1">
        <f t="array" ref="DU11">SUMPRODUCT((DU$25:DU$162)*($C$25:$C$162=$C11))</f>
        <v>651421.46152799996</v>
      </c>
      <c r="DV11" s="79" cm="1">
        <f t="array" ref="DV11">SUMPRODUCT((DV$25:DV$162)*($C$25:$C$162=$C11))</f>
        <v>651421.46152799996</v>
      </c>
      <c r="DW11" s="79" cm="1">
        <f t="array" ref="DW11">SUMPRODUCT((DW$25:DW$162)*($C$25:$C$162=$C11))</f>
        <v>588508.41686400003</v>
      </c>
      <c r="DX11" s="79" cm="1">
        <f t="array" ref="DX11">SUMPRODUCT((DX$25:DX$162)*($C$25:$C$162=$C11))</f>
        <v>651421.46152799996</v>
      </c>
      <c r="DY11" s="79" cm="1">
        <f t="array" ref="DY11">SUMPRODUCT((DY$25:DY$162)*($C$25:$C$162=$C11))</f>
        <v>630450.44663999998</v>
      </c>
      <c r="DZ11" s="79" cm="1">
        <f t="array" ref="DZ11">SUMPRODUCT((DZ$25:DZ$162)*($C$25:$C$162=$C11))</f>
        <v>651421.46152799996</v>
      </c>
      <c r="EA11" s="79" cm="1">
        <f t="array" ref="EA11">SUMPRODUCT((EA$25:EA$162)*($C$25:$C$162=$C11))</f>
        <v>630450.44663999998</v>
      </c>
      <c r="EB11" s="79" cm="1">
        <f t="array" ref="EB11">SUMPRODUCT((EB$25:EB$162)*($C$25:$C$162=$C11))</f>
        <v>651421.46152799996</v>
      </c>
      <c r="EC11" s="79" cm="1">
        <f t="array" ref="EC11">SUMPRODUCT((EC$25:EC$162)*($C$25:$C$162=$C11))</f>
        <v>651421.46152799996</v>
      </c>
      <c r="ED11" s="79" cm="1">
        <f t="array" ref="ED11">SUMPRODUCT((ED$25:ED$162)*($C$25:$C$162=$C11))</f>
        <v>630450.44663999998</v>
      </c>
      <c r="EE11" s="79" cm="1">
        <f t="array" ref="EE11">SUMPRODUCT((EE$25:EE$162)*($C$25:$C$162=$C11))</f>
        <v>651421.46152799996</v>
      </c>
      <c r="EF11" s="79" cm="1">
        <f t="array" ref="EF11">SUMPRODUCT((EF$25:EF$162)*($C$25:$C$162=$C11))</f>
        <v>630450.44663999998</v>
      </c>
      <c r="EG11" s="79" cm="1">
        <f t="array" ref="EG11">SUMPRODUCT((EG$25:EG$162)*($C$25:$C$162=$C11))</f>
        <v>651421.46152799996</v>
      </c>
      <c r="EH11" s="79" cm="1">
        <f t="array" ref="EH11">SUMPRODUCT((EH$25:EH$162)*($C$25:$C$162=$C11))</f>
        <v>651421.46152799996</v>
      </c>
      <c r="EI11" s="79" cm="1">
        <f t="array" ref="EI11">SUMPRODUCT((EI$25:EI$162)*($C$25:$C$162=$C11))</f>
        <v>588508.41686400003</v>
      </c>
      <c r="EJ11" s="79" cm="1">
        <f t="array" ref="EJ11">SUMPRODUCT((EJ$25:EJ$162)*($C$25:$C$162=$C11))</f>
        <v>651421.46152799996</v>
      </c>
      <c r="EK11" s="79" cm="1">
        <f t="array" ref="EK11">SUMPRODUCT((EK$25:EK$162)*($C$25:$C$162=$C11))</f>
        <v>630450.44663999998</v>
      </c>
      <c r="EL11" s="79" cm="1">
        <f t="array" ref="EL11">SUMPRODUCT((EL$25:EL$162)*($C$25:$C$162=$C11))</f>
        <v>651421.46152799996</v>
      </c>
      <c r="EM11" s="79" cm="1">
        <f t="array" ref="EM11">SUMPRODUCT((EM$25:EM$162)*($C$25:$C$162=$C11))</f>
        <v>630450.44663999998</v>
      </c>
      <c r="EN11" s="79" cm="1">
        <f t="array" ref="EN11">SUMPRODUCT((EN$25:EN$162)*($C$25:$C$162=$C11))</f>
        <v>651421.46152799996</v>
      </c>
      <c r="EO11" s="79" cm="1">
        <f t="array" ref="EO11">SUMPRODUCT((EO$25:EO$162)*($C$25:$C$162=$C11))</f>
        <v>651421.46152799996</v>
      </c>
      <c r="EP11" s="79" cm="1">
        <f t="array" ref="EP11">SUMPRODUCT((EP$25:EP$162)*($C$25:$C$162=$C11))</f>
        <v>630450.44663999998</v>
      </c>
      <c r="EQ11" s="79" cm="1">
        <f t="array" ref="EQ11">SUMPRODUCT((EQ$25:EQ$162)*($C$25:$C$162=$C11))</f>
        <v>651421.46152799996</v>
      </c>
      <c r="ER11" s="79" cm="1">
        <f t="array" ref="ER11">SUMPRODUCT((ER$25:ER$162)*($C$25:$C$162=$C11))</f>
        <v>630450.44663999998</v>
      </c>
      <c r="ES11" s="79" cm="1">
        <f t="array" ref="ES11">SUMPRODUCT((ES$25:ES$162)*($C$25:$C$162=$C11))</f>
        <v>651421.46152799996</v>
      </c>
      <c r="ET11" s="79" cm="1">
        <f t="array" ref="ET11">SUMPRODUCT((ET$25:ET$162)*($C$25:$C$162=$C11))</f>
        <v>651421.46152799996</v>
      </c>
      <c r="EU11" s="79" cm="1">
        <f t="array" ref="EU11">SUMPRODUCT((EU$25:EU$162)*($C$25:$C$162=$C11))</f>
        <v>588508.41686400003</v>
      </c>
      <c r="EV11" s="79" cm="1">
        <f t="array" ref="EV11">SUMPRODUCT((EV$25:EV$162)*($C$25:$C$162=$C11))</f>
        <v>651421.46152799996</v>
      </c>
      <c r="EW11" s="79" cm="1">
        <f t="array" ref="EW11">SUMPRODUCT((EW$25:EW$162)*($C$25:$C$162=$C11))</f>
        <v>630450.44663999998</v>
      </c>
      <c r="EX11" s="79" cm="1">
        <f t="array" ref="EX11">SUMPRODUCT((EX$25:EX$162)*($C$25:$C$162=$C11))</f>
        <v>651421.46152799996</v>
      </c>
      <c r="EY11" s="79" cm="1">
        <f t="array" ref="EY11">SUMPRODUCT((EY$25:EY$162)*($C$25:$C$162=$C11))</f>
        <v>630450.44663999998</v>
      </c>
      <c r="EZ11" s="79" cm="1">
        <f t="array" ref="EZ11">SUMPRODUCT((EZ$25:EZ$162)*($C$25:$C$162=$C11))</f>
        <v>651421.46152799996</v>
      </c>
      <c r="FA11" s="79" cm="1">
        <f t="array" ref="FA11">SUMPRODUCT((FA$25:FA$162)*($C$25:$C$162=$C11))</f>
        <v>651421.46152799996</v>
      </c>
      <c r="FB11" s="79" cm="1">
        <f t="array" ref="FB11">SUMPRODUCT((FB$25:FB$162)*($C$25:$C$162=$C11))</f>
        <v>630450.44663999998</v>
      </c>
      <c r="FC11" s="79" cm="1">
        <f t="array" ref="FC11">SUMPRODUCT((FC$25:FC$162)*($C$25:$C$162=$C11))</f>
        <v>651421.46152799996</v>
      </c>
      <c r="FD11" s="79" cm="1">
        <f t="array" ref="FD11">SUMPRODUCT((FD$25:FD$162)*($C$25:$C$162=$C11))</f>
        <v>630450.44663999998</v>
      </c>
      <c r="FE11" s="79" cm="1">
        <f t="array" ref="FE11">SUMPRODUCT((FE$25:FE$162)*($C$25:$C$162=$C11))</f>
        <v>651421.46152799996</v>
      </c>
      <c r="FF11" s="79" cm="1">
        <f t="array" ref="FF11">SUMPRODUCT((FF$25:FF$162)*($C$25:$C$162=$C11))</f>
        <v>651421.46152799996</v>
      </c>
      <c r="FG11" s="79" cm="1">
        <f t="array" ref="FG11">SUMPRODUCT((FG$25:FG$162)*($C$25:$C$162=$C11))</f>
        <v>588508.41686400003</v>
      </c>
      <c r="FH11" s="79" cm="1">
        <f t="array" ref="FH11">SUMPRODUCT((FH$25:FH$162)*($C$25:$C$162=$C11))</f>
        <v>651421.46152799996</v>
      </c>
      <c r="FI11" s="79" cm="1">
        <f t="array" ref="FI11">SUMPRODUCT((FI$25:FI$162)*($C$25:$C$162=$C11))</f>
        <v>630450.44663999998</v>
      </c>
      <c r="FJ11" s="79" cm="1">
        <f t="array" ref="FJ11">SUMPRODUCT((FJ$25:FJ$162)*($C$25:$C$162=$C11))</f>
        <v>651421.46152799996</v>
      </c>
      <c r="FK11" s="79" cm="1">
        <f t="array" ref="FK11">SUMPRODUCT((FK$25:FK$162)*($C$25:$C$162=$C11))</f>
        <v>630450.44663999998</v>
      </c>
      <c r="FL11" s="79" cm="1">
        <f t="array" ref="FL11">SUMPRODUCT((FL$25:FL$162)*($C$25:$C$162=$C11))</f>
        <v>651421.46152799996</v>
      </c>
      <c r="FM11" s="79" cm="1">
        <f t="array" ref="FM11">SUMPRODUCT((FM$25:FM$162)*($C$25:$C$162=$C11))</f>
        <v>651421.46152799996</v>
      </c>
      <c r="FN11" s="79" cm="1">
        <f t="array" ref="FN11">SUMPRODUCT((FN$25:FN$162)*($C$25:$C$162=$C11))</f>
        <v>630450.44663999998</v>
      </c>
      <c r="FO11" s="79" cm="1">
        <f t="array" ref="FO11">SUMPRODUCT((FO$25:FO$162)*($C$25:$C$162=$C11))</f>
        <v>651421.46152799996</v>
      </c>
      <c r="FP11" s="79" cm="1">
        <f t="array" ref="FP11">SUMPRODUCT((FP$25:FP$162)*($C$25:$C$162=$C11))</f>
        <v>630450.44663999998</v>
      </c>
      <c r="FQ11" s="79" cm="1">
        <f t="array" ref="FQ11">SUMPRODUCT((FQ$25:FQ$162)*($C$25:$C$162=$C11))</f>
        <v>651421.46152799996</v>
      </c>
      <c r="FR11" s="79" cm="1">
        <f t="array" ref="FR11">SUMPRODUCT((FR$25:FR$162)*($C$25:$C$162=$C11))</f>
        <v>651421.46152799996</v>
      </c>
      <c r="FS11" s="79" cm="1">
        <f t="array" ref="FS11">SUMPRODUCT((FS$25:FS$162)*($C$25:$C$162=$C11))</f>
        <v>588508.41686400003</v>
      </c>
      <c r="FT11" s="79" cm="1">
        <f t="array" ref="FT11">SUMPRODUCT((FT$25:FT$162)*($C$25:$C$162=$C11))</f>
        <v>651421.46152799996</v>
      </c>
      <c r="FU11" s="79" cm="1">
        <f t="array" ref="FU11">SUMPRODUCT((FU$25:FU$162)*($C$25:$C$162=$C11))</f>
        <v>630450.44663999998</v>
      </c>
      <c r="FV11" s="79" cm="1">
        <f t="array" ref="FV11">SUMPRODUCT((FV$25:FV$162)*($C$25:$C$162=$C11))</f>
        <v>651421.46152799996</v>
      </c>
      <c r="FW11" s="79" cm="1">
        <f t="array" ref="FW11">SUMPRODUCT((FW$25:FW$162)*($C$25:$C$162=$C11))</f>
        <v>630450.44663999998</v>
      </c>
      <c r="FX11" s="79" cm="1">
        <f t="array" ref="FX11">SUMPRODUCT((FX$25:FX$162)*($C$25:$C$162=$C11))</f>
        <v>651421.46152799996</v>
      </c>
      <c r="FY11" s="79" cm="1">
        <f t="array" ref="FY11">SUMPRODUCT((FY$25:FY$162)*($C$25:$C$162=$C11))</f>
        <v>651421.46152799996</v>
      </c>
      <c r="FZ11" s="79" cm="1">
        <f t="array" ref="FZ11">SUMPRODUCT((FZ$25:FZ$162)*($C$25:$C$162=$C11))</f>
        <v>630450.44663999998</v>
      </c>
      <c r="GA11" s="79" cm="1">
        <f t="array" ref="GA11">SUMPRODUCT((GA$25:GA$162)*($C$25:$C$162=$C11))</f>
        <v>651421.46152799996</v>
      </c>
      <c r="GB11" s="79" cm="1">
        <f t="array" ref="GB11">SUMPRODUCT((GB$25:GB$162)*($C$25:$C$162=$C11))</f>
        <v>630450.44663999998</v>
      </c>
      <c r="GC11" s="79" cm="1">
        <f t="array" ref="GC11">SUMPRODUCT((GC$25:GC$162)*($C$25:$C$162=$C11))</f>
        <v>651421.46152799996</v>
      </c>
    </row>
    <row r="12" spans="1:185">
      <c r="A12" s="80"/>
      <c r="B12" s="80" t="s">
        <v>34</v>
      </c>
      <c r="C12" s="80" t="s">
        <v>35</v>
      </c>
      <c r="D12" s="80"/>
      <c r="E12" s="82">
        <f t="shared" si="0"/>
        <v>18234178.066399995</v>
      </c>
      <c r="F12" s="79" cm="1">
        <f t="array" ref="F12">SUMPRODUCT((F$25:F$162)*($C$25:$C$162=$C12))</f>
        <v>0</v>
      </c>
      <c r="G12" s="79" cm="1">
        <f t="array" ref="G12">SUMPRODUCT((G$25:G$162)*($C$25:$C$162=$C12))</f>
        <v>0</v>
      </c>
      <c r="H12" s="79" cm="1">
        <f t="array" ref="H12">SUMPRODUCT((H$25:H$162)*($C$25:$C$162=$C12))</f>
        <v>0</v>
      </c>
      <c r="I12" s="79" cm="1">
        <f t="array" ref="I12">SUMPRODUCT((I$25:I$162)*($C$25:$C$162=$C12))</f>
        <v>0</v>
      </c>
      <c r="J12" s="79" cm="1">
        <f t="array" ref="J12">SUMPRODUCT((J$25:J$162)*($C$25:$C$162=$C12))</f>
        <v>0</v>
      </c>
      <c r="K12" s="79" cm="1">
        <f t="array" ref="K12">SUMPRODUCT((K$25:K$162)*($C$25:$C$162=$C12))</f>
        <v>0</v>
      </c>
      <c r="L12" s="79" cm="1">
        <f t="array" ref="L12">SUMPRODUCT((L$25:L$162)*($C$25:$C$162=$C12))</f>
        <v>0</v>
      </c>
      <c r="M12" s="79" cm="1">
        <f t="array" ref="M12">SUMPRODUCT((M$25:M$162)*($C$25:$C$162=$C12))</f>
        <v>106266.2968</v>
      </c>
      <c r="N12" s="79" cm="1">
        <f t="array" ref="N12">SUMPRODUCT((N$25:N$162)*($C$25:$C$162=$C12))</f>
        <v>104767.38400000001</v>
      </c>
      <c r="O12" s="79" cm="1">
        <f t="array" ref="O12">SUMPRODUCT((O$25:O$162)*($C$25:$C$162=$C12))</f>
        <v>106266.2968</v>
      </c>
      <c r="P12" s="79" cm="1">
        <f t="array" ref="P12">SUMPRODUCT((P$25:P$162)*($C$25:$C$162=$C12))</f>
        <v>104767.38400000001</v>
      </c>
      <c r="Q12" s="79" cm="1">
        <f t="array" ref="Q12">SUMPRODUCT((Q$25:Q$162)*($C$25:$C$162=$C12))</f>
        <v>106266.2968</v>
      </c>
      <c r="R12" s="79" cm="1">
        <f t="array" ref="R12">SUMPRODUCT((R$25:R$162)*($C$25:$C$162=$C12))</f>
        <v>106266.2968</v>
      </c>
      <c r="S12" s="79" cm="1">
        <f t="array" ref="S12">SUMPRODUCT((S$25:S$162)*($C$25:$C$162=$C12))</f>
        <v>101769.55839999999</v>
      </c>
      <c r="T12" s="79" cm="1">
        <f t="array" ref="T12">SUMPRODUCT((T$25:T$162)*($C$25:$C$162=$C12))</f>
        <v>106266.2968</v>
      </c>
      <c r="U12" s="79" cm="1">
        <f t="array" ref="U12">SUMPRODUCT((U$25:U$162)*($C$25:$C$162=$C12))</f>
        <v>104767.38400000001</v>
      </c>
      <c r="V12" s="79" cm="1">
        <f t="array" ref="V12">SUMPRODUCT((V$25:V$162)*($C$25:$C$162=$C12))</f>
        <v>106266.2968</v>
      </c>
      <c r="W12" s="79" cm="1">
        <f t="array" ref="W12">SUMPRODUCT((W$25:W$162)*($C$25:$C$162=$C12))</f>
        <v>104767.38400000001</v>
      </c>
      <c r="X12" s="79" cm="1">
        <f t="array" ref="X12">SUMPRODUCT((X$25:X$162)*($C$25:$C$162=$C12))</f>
        <v>106266.2968</v>
      </c>
      <c r="Y12" s="79" cm="1">
        <f t="array" ref="Y12">SUMPRODUCT((Y$25:Y$162)*($C$25:$C$162=$C12))</f>
        <v>106266.2968</v>
      </c>
      <c r="Z12" s="79" cm="1">
        <f t="array" ref="Z12">SUMPRODUCT((Z$25:Z$162)*($C$25:$C$162=$C12))</f>
        <v>104767.38400000001</v>
      </c>
      <c r="AA12" s="79" cm="1">
        <f t="array" ref="AA12">SUMPRODUCT((AA$25:AA$162)*($C$25:$C$162=$C12))</f>
        <v>106266.2968</v>
      </c>
      <c r="AB12" s="79" cm="1">
        <f t="array" ref="AB12">SUMPRODUCT((AB$25:AB$162)*($C$25:$C$162=$C12))</f>
        <v>104767.38400000001</v>
      </c>
      <c r="AC12" s="79" cm="1">
        <f t="array" ref="AC12">SUMPRODUCT((AC$25:AC$162)*($C$25:$C$162=$C12))</f>
        <v>106266.2968</v>
      </c>
      <c r="AD12" s="79" cm="1">
        <f t="array" ref="AD12">SUMPRODUCT((AD$25:AD$162)*($C$25:$C$162=$C12))</f>
        <v>106266.2968</v>
      </c>
      <c r="AE12" s="79" cm="1">
        <f t="array" ref="AE12">SUMPRODUCT((AE$25:AE$162)*($C$25:$C$162=$C12))</f>
        <v>101769.55839999999</v>
      </c>
      <c r="AF12" s="79" cm="1">
        <f t="array" ref="AF12">SUMPRODUCT((AF$25:AF$162)*($C$25:$C$162=$C12))</f>
        <v>106266.2968</v>
      </c>
      <c r="AG12" s="79" cm="1">
        <f t="array" ref="AG12">SUMPRODUCT((AG$25:AG$162)*($C$25:$C$162=$C12))</f>
        <v>104767.38400000001</v>
      </c>
      <c r="AH12" s="79" cm="1">
        <f t="array" ref="AH12">SUMPRODUCT((AH$25:AH$162)*($C$25:$C$162=$C12))</f>
        <v>106266.2968</v>
      </c>
      <c r="AI12" s="79" cm="1">
        <f t="array" ref="AI12">SUMPRODUCT((AI$25:AI$162)*($C$25:$C$162=$C12))</f>
        <v>104767.38400000001</v>
      </c>
      <c r="AJ12" s="79" cm="1">
        <f t="array" ref="AJ12">SUMPRODUCT((AJ$25:AJ$162)*($C$25:$C$162=$C12))</f>
        <v>106266.2968</v>
      </c>
      <c r="AK12" s="79" cm="1">
        <f t="array" ref="AK12">SUMPRODUCT((AK$25:AK$162)*($C$25:$C$162=$C12))</f>
        <v>106266.2968</v>
      </c>
      <c r="AL12" s="79" cm="1">
        <f t="array" ref="AL12">SUMPRODUCT((AL$25:AL$162)*($C$25:$C$162=$C12))</f>
        <v>104767.38400000001</v>
      </c>
      <c r="AM12" s="79" cm="1">
        <f t="array" ref="AM12">SUMPRODUCT((AM$25:AM$162)*($C$25:$C$162=$C12))</f>
        <v>106266.2968</v>
      </c>
      <c r="AN12" s="79" cm="1">
        <f t="array" ref="AN12">SUMPRODUCT((AN$25:AN$162)*($C$25:$C$162=$C12))</f>
        <v>104767.38400000001</v>
      </c>
      <c r="AO12" s="79" cm="1">
        <f t="array" ref="AO12">SUMPRODUCT((AO$25:AO$162)*($C$25:$C$162=$C12))</f>
        <v>106266.2968</v>
      </c>
      <c r="AP12" s="79" cm="1">
        <f t="array" ref="AP12">SUMPRODUCT((AP$25:AP$162)*($C$25:$C$162=$C12))</f>
        <v>106266.2968</v>
      </c>
      <c r="AQ12" s="79" cm="1">
        <f t="array" ref="AQ12">SUMPRODUCT((AQ$25:AQ$162)*($C$25:$C$162=$C12))</f>
        <v>101769.55839999999</v>
      </c>
      <c r="AR12" s="79" cm="1">
        <f t="array" ref="AR12">SUMPRODUCT((AR$25:AR$162)*($C$25:$C$162=$C12))</f>
        <v>106266.2968</v>
      </c>
      <c r="AS12" s="79" cm="1">
        <f t="array" ref="AS12">SUMPRODUCT((AS$25:AS$162)*($C$25:$C$162=$C12))</f>
        <v>104767.38400000001</v>
      </c>
      <c r="AT12" s="79" cm="1">
        <f t="array" ref="AT12">SUMPRODUCT((AT$25:AT$162)*($C$25:$C$162=$C12))</f>
        <v>106266.2968</v>
      </c>
      <c r="AU12" s="79" cm="1">
        <f t="array" ref="AU12">SUMPRODUCT((AU$25:AU$162)*($C$25:$C$162=$C12))</f>
        <v>104767.38400000001</v>
      </c>
      <c r="AV12" s="79" cm="1">
        <f t="array" ref="AV12">SUMPRODUCT((AV$25:AV$162)*($C$25:$C$162=$C12))</f>
        <v>106266.2968</v>
      </c>
      <c r="AW12" s="79" cm="1">
        <f t="array" ref="AW12">SUMPRODUCT((AW$25:AW$162)*($C$25:$C$162=$C12))</f>
        <v>106266.2968</v>
      </c>
      <c r="AX12" s="79" cm="1">
        <f t="array" ref="AX12">SUMPRODUCT((AX$25:AX$162)*($C$25:$C$162=$C12))</f>
        <v>104767.38400000001</v>
      </c>
      <c r="AY12" s="79" cm="1">
        <f t="array" ref="AY12">SUMPRODUCT((AY$25:AY$162)*($C$25:$C$162=$C12))</f>
        <v>106266.2968</v>
      </c>
      <c r="AZ12" s="79" cm="1">
        <f t="array" ref="AZ12">SUMPRODUCT((AZ$25:AZ$162)*($C$25:$C$162=$C12))</f>
        <v>104767.38400000001</v>
      </c>
      <c r="BA12" s="79" cm="1">
        <f t="array" ref="BA12">SUMPRODUCT((BA$25:BA$162)*($C$25:$C$162=$C12))</f>
        <v>106266.2968</v>
      </c>
      <c r="BB12" s="79" cm="1">
        <f t="array" ref="BB12">SUMPRODUCT((BB$25:BB$162)*($C$25:$C$162=$C12))</f>
        <v>106266.2968</v>
      </c>
      <c r="BC12" s="79" cm="1">
        <f t="array" ref="BC12">SUMPRODUCT((BC$25:BC$162)*($C$25:$C$162=$C12))</f>
        <v>101769.55839999999</v>
      </c>
      <c r="BD12" s="79" cm="1">
        <f t="array" ref="BD12">SUMPRODUCT((BD$25:BD$162)*($C$25:$C$162=$C12))</f>
        <v>106266.2968</v>
      </c>
      <c r="BE12" s="79" cm="1">
        <f t="array" ref="BE12">SUMPRODUCT((BE$25:BE$162)*($C$25:$C$162=$C12))</f>
        <v>104767.38400000001</v>
      </c>
      <c r="BF12" s="79" cm="1">
        <f t="array" ref="BF12">SUMPRODUCT((BF$25:BF$162)*($C$25:$C$162=$C12))</f>
        <v>106266.2968</v>
      </c>
      <c r="BG12" s="79" cm="1">
        <f t="array" ref="BG12">SUMPRODUCT((BG$25:BG$162)*($C$25:$C$162=$C12))</f>
        <v>104767.38400000001</v>
      </c>
      <c r="BH12" s="79" cm="1">
        <f t="array" ref="BH12">SUMPRODUCT((BH$25:BH$162)*($C$25:$C$162=$C12))</f>
        <v>106266.2968</v>
      </c>
      <c r="BI12" s="79" cm="1">
        <f t="array" ref="BI12">SUMPRODUCT((BI$25:BI$162)*($C$25:$C$162=$C12))</f>
        <v>106266.2968</v>
      </c>
      <c r="BJ12" s="79" cm="1">
        <f t="array" ref="BJ12">SUMPRODUCT((BJ$25:BJ$162)*($C$25:$C$162=$C12))</f>
        <v>104767.38400000001</v>
      </c>
      <c r="BK12" s="79" cm="1">
        <f t="array" ref="BK12">SUMPRODUCT((BK$25:BK$162)*($C$25:$C$162=$C12))</f>
        <v>106266.2968</v>
      </c>
      <c r="BL12" s="79" cm="1">
        <f t="array" ref="BL12">SUMPRODUCT((BL$25:BL$162)*($C$25:$C$162=$C12))</f>
        <v>104767.38400000001</v>
      </c>
      <c r="BM12" s="79" cm="1">
        <f t="array" ref="BM12">SUMPRODUCT((BM$25:BM$162)*($C$25:$C$162=$C12))</f>
        <v>106266.2968</v>
      </c>
      <c r="BN12" s="79" cm="1">
        <f t="array" ref="BN12">SUMPRODUCT((BN$25:BN$162)*($C$25:$C$162=$C12))</f>
        <v>106266.2968</v>
      </c>
      <c r="BO12" s="79" cm="1">
        <f t="array" ref="BO12">SUMPRODUCT((BO$25:BO$162)*($C$25:$C$162=$C12))</f>
        <v>101769.55839999999</v>
      </c>
      <c r="BP12" s="79" cm="1">
        <f t="array" ref="BP12">SUMPRODUCT((BP$25:BP$162)*($C$25:$C$162=$C12))</f>
        <v>106266.2968</v>
      </c>
      <c r="BQ12" s="79" cm="1">
        <f t="array" ref="BQ12">SUMPRODUCT((BQ$25:BQ$162)*($C$25:$C$162=$C12))</f>
        <v>104767.38400000001</v>
      </c>
      <c r="BR12" s="79" cm="1">
        <f t="array" ref="BR12">SUMPRODUCT((BR$25:BR$162)*($C$25:$C$162=$C12))</f>
        <v>106266.2968</v>
      </c>
      <c r="BS12" s="79" cm="1">
        <f t="array" ref="BS12">SUMPRODUCT((BS$25:BS$162)*($C$25:$C$162=$C12))</f>
        <v>104767.38400000001</v>
      </c>
      <c r="BT12" s="79" cm="1">
        <f t="array" ref="BT12">SUMPRODUCT((BT$25:BT$162)*($C$25:$C$162=$C12))</f>
        <v>106266.2968</v>
      </c>
      <c r="BU12" s="79" cm="1">
        <f t="array" ref="BU12">SUMPRODUCT((BU$25:BU$162)*($C$25:$C$162=$C12))</f>
        <v>106266.2968</v>
      </c>
      <c r="BV12" s="79" cm="1">
        <f t="array" ref="BV12">SUMPRODUCT((BV$25:BV$162)*($C$25:$C$162=$C12))</f>
        <v>104767.38400000001</v>
      </c>
      <c r="BW12" s="79" cm="1">
        <f t="array" ref="BW12">SUMPRODUCT((BW$25:BW$162)*($C$25:$C$162=$C12))</f>
        <v>106266.2968</v>
      </c>
      <c r="BX12" s="79" cm="1">
        <f t="array" ref="BX12">SUMPRODUCT((BX$25:BX$162)*($C$25:$C$162=$C12))</f>
        <v>104767.38400000001</v>
      </c>
      <c r="BY12" s="79" cm="1">
        <f t="array" ref="BY12">SUMPRODUCT((BY$25:BY$162)*($C$25:$C$162=$C12))</f>
        <v>106266.2968</v>
      </c>
      <c r="BZ12" s="79" cm="1">
        <f t="array" ref="BZ12">SUMPRODUCT((BZ$25:BZ$162)*($C$25:$C$162=$C12))</f>
        <v>106266.2968</v>
      </c>
      <c r="CA12" s="79" cm="1">
        <f t="array" ref="CA12">SUMPRODUCT((CA$25:CA$162)*($C$25:$C$162=$C12))</f>
        <v>101769.55839999999</v>
      </c>
      <c r="CB12" s="79" cm="1">
        <f t="array" ref="CB12">SUMPRODUCT((CB$25:CB$162)*($C$25:$C$162=$C12))</f>
        <v>106266.2968</v>
      </c>
      <c r="CC12" s="79" cm="1">
        <f t="array" ref="CC12">SUMPRODUCT((CC$25:CC$162)*($C$25:$C$162=$C12))</f>
        <v>104767.38400000001</v>
      </c>
      <c r="CD12" s="79" cm="1">
        <f t="array" ref="CD12">SUMPRODUCT((CD$25:CD$162)*($C$25:$C$162=$C12))</f>
        <v>106266.2968</v>
      </c>
      <c r="CE12" s="79" cm="1">
        <f t="array" ref="CE12">SUMPRODUCT((CE$25:CE$162)*($C$25:$C$162=$C12))</f>
        <v>104767.38400000001</v>
      </c>
      <c r="CF12" s="79" cm="1">
        <f t="array" ref="CF12">SUMPRODUCT((CF$25:CF$162)*($C$25:$C$162=$C12))</f>
        <v>106266.2968</v>
      </c>
      <c r="CG12" s="79" cm="1">
        <f t="array" ref="CG12">SUMPRODUCT((CG$25:CG$162)*($C$25:$C$162=$C12))</f>
        <v>106266.2968</v>
      </c>
      <c r="CH12" s="79" cm="1">
        <f t="array" ref="CH12">SUMPRODUCT((CH$25:CH$162)*($C$25:$C$162=$C12))</f>
        <v>104767.38400000001</v>
      </c>
      <c r="CI12" s="79" cm="1">
        <f t="array" ref="CI12">SUMPRODUCT((CI$25:CI$162)*($C$25:$C$162=$C12))</f>
        <v>106266.2968</v>
      </c>
      <c r="CJ12" s="79" cm="1">
        <f t="array" ref="CJ12">SUMPRODUCT((CJ$25:CJ$162)*($C$25:$C$162=$C12))</f>
        <v>104767.38400000001</v>
      </c>
      <c r="CK12" s="79" cm="1">
        <f t="array" ref="CK12">SUMPRODUCT((CK$25:CK$162)*($C$25:$C$162=$C12))</f>
        <v>106266.2968</v>
      </c>
      <c r="CL12" s="79" cm="1">
        <f t="array" ref="CL12">SUMPRODUCT((CL$25:CL$162)*($C$25:$C$162=$C12))</f>
        <v>106266.2968</v>
      </c>
      <c r="CM12" s="79" cm="1">
        <f t="array" ref="CM12">SUMPRODUCT((CM$25:CM$162)*($C$25:$C$162=$C12))</f>
        <v>101769.55839999999</v>
      </c>
      <c r="CN12" s="79" cm="1">
        <f t="array" ref="CN12">SUMPRODUCT((CN$25:CN$162)*($C$25:$C$162=$C12))</f>
        <v>106266.2968</v>
      </c>
      <c r="CO12" s="79" cm="1">
        <f t="array" ref="CO12">SUMPRODUCT((CO$25:CO$162)*($C$25:$C$162=$C12))</f>
        <v>104767.38400000001</v>
      </c>
      <c r="CP12" s="79" cm="1">
        <f t="array" ref="CP12">SUMPRODUCT((CP$25:CP$162)*($C$25:$C$162=$C12))</f>
        <v>106266.2968</v>
      </c>
      <c r="CQ12" s="79" cm="1">
        <f t="array" ref="CQ12">SUMPRODUCT((CQ$25:CQ$162)*($C$25:$C$162=$C12))</f>
        <v>104767.38400000001</v>
      </c>
      <c r="CR12" s="79" cm="1">
        <f t="array" ref="CR12">SUMPRODUCT((CR$25:CR$162)*($C$25:$C$162=$C12))</f>
        <v>106266.2968</v>
      </c>
      <c r="CS12" s="79" cm="1">
        <f t="array" ref="CS12">SUMPRODUCT((CS$25:CS$162)*($C$25:$C$162=$C12))</f>
        <v>106266.2968</v>
      </c>
      <c r="CT12" s="79" cm="1">
        <f t="array" ref="CT12">SUMPRODUCT((CT$25:CT$162)*($C$25:$C$162=$C12))</f>
        <v>104767.38400000001</v>
      </c>
      <c r="CU12" s="79" cm="1">
        <f t="array" ref="CU12">SUMPRODUCT((CU$25:CU$162)*($C$25:$C$162=$C12))</f>
        <v>106266.2968</v>
      </c>
      <c r="CV12" s="79" cm="1">
        <f t="array" ref="CV12">SUMPRODUCT((CV$25:CV$162)*($C$25:$C$162=$C12))</f>
        <v>104767.38400000001</v>
      </c>
      <c r="CW12" s="79" cm="1">
        <f t="array" ref="CW12">SUMPRODUCT((CW$25:CW$162)*($C$25:$C$162=$C12))</f>
        <v>106266.2968</v>
      </c>
      <c r="CX12" s="79" cm="1">
        <f t="array" ref="CX12">SUMPRODUCT((CX$25:CX$162)*($C$25:$C$162=$C12))</f>
        <v>106266.2968</v>
      </c>
      <c r="CY12" s="79" cm="1">
        <f t="array" ref="CY12">SUMPRODUCT((CY$25:CY$162)*($C$25:$C$162=$C12))</f>
        <v>101769.55839999999</v>
      </c>
      <c r="CZ12" s="79" cm="1">
        <f t="array" ref="CZ12">SUMPRODUCT((CZ$25:CZ$162)*($C$25:$C$162=$C12))</f>
        <v>106266.2968</v>
      </c>
      <c r="DA12" s="79" cm="1">
        <f t="array" ref="DA12">SUMPRODUCT((DA$25:DA$162)*($C$25:$C$162=$C12))</f>
        <v>104767.38400000001</v>
      </c>
      <c r="DB12" s="79" cm="1">
        <f t="array" ref="DB12">SUMPRODUCT((DB$25:DB$162)*($C$25:$C$162=$C12))</f>
        <v>106266.2968</v>
      </c>
      <c r="DC12" s="79" cm="1">
        <f t="array" ref="DC12">SUMPRODUCT((DC$25:DC$162)*($C$25:$C$162=$C12))</f>
        <v>104767.38400000001</v>
      </c>
      <c r="DD12" s="79" cm="1">
        <f t="array" ref="DD12">SUMPRODUCT((DD$25:DD$162)*($C$25:$C$162=$C12))</f>
        <v>106266.2968</v>
      </c>
      <c r="DE12" s="79" cm="1">
        <f t="array" ref="DE12">SUMPRODUCT((DE$25:DE$162)*($C$25:$C$162=$C12))</f>
        <v>106266.2968</v>
      </c>
      <c r="DF12" s="79" cm="1">
        <f t="array" ref="DF12">SUMPRODUCT((DF$25:DF$162)*($C$25:$C$162=$C12))</f>
        <v>104767.38400000001</v>
      </c>
      <c r="DG12" s="79" cm="1">
        <f t="array" ref="DG12">SUMPRODUCT((DG$25:DG$162)*($C$25:$C$162=$C12))</f>
        <v>106266.2968</v>
      </c>
      <c r="DH12" s="79" cm="1">
        <f t="array" ref="DH12">SUMPRODUCT((DH$25:DH$162)*($C$25:$C$162=$C12))</f>
        <v>104767.38400000001</v>
      </c>
      <c r="DI12" s="79" cm="1">
        <f t="array" ref="DI12">SUMPRODUCT((DI$25:DI$162)*($C$25:$C$162=$C12))</f>
        <v>106266.2968</v>
      </c>
      <c r="DJ12" s="79" cm="1">
        <f t="array" ref="DJ12">SUMPRODUCT((DJ$25:DJ$162)*($C$25:$C$162=$C12))</f>
        <v>106266.2968</v>
      </c>
      <c r="DK12" s="79" cm="1">
        <f t="array" ref="DK12">SUMPRODUCT((DK$25:DK$162)*($C$25:$C$162=$C12))</f>
        <v>101769.55839999999</v>
      </c>
      <c r="DL12" s="79" cm="1">
        <f t="array" ref="DL12">SUMPRODUCT((DL$25:DL$162)*($C$25:$C$162=$C12))</f>
        <v>106266.2968</v>
      </c>
      <c r="DM12" s="79" cm="1">
        <f t="array" ref="DM12">SUMPRODUCT((DM$25:DM$162)*($C$25:$C$162=$C12))</f>
        <v>104767.38400000001</v>
      </c>
      <c r="DN12" s="79" cm="1">
        <f t="array" ref="DN12">SUMPRODUCT((DN$25:DN$162)*($C$25:$C$162=$C12))</f>
        <v>106266.2968</v>
      </c>
      <c r="DO12" s="79" cm="1">
        <f t="array" ref="DO12">SUMPRODUCT((DO$25:DO$162)*($C$25:$C$162=$C12))</f>
        <v>104767.38400000001</v>
      </c>
      <c r="DP12" s="79" cm="1">
        <f t="array" ref="DP12">SUMPRODUCT((DP$25:DP$162)*($C$25:$C$162=$C12))</f>
        <v>106266.2968</v>
      </c>
      <c r="DQ12" s="79" cm="1">
        <f t="array" ref="DQ12">SUMPRODUCT((DQ$25:DQ$162)*($C$25:$C$162=$C12))</f>
        <v>106266.2968</v>
      </c>
      <c r="DR12" s="79" cm="1">
        <f t="array" ref="DR12">SUMPRODUCT((DR$25:DR$162)*($C$25:$C$162=$C12))</f>
        <v>104767.38400000001</v>
      </c>
      <c r="DS12" s="79" cm="1">
        <f t="array" ref="DS12">SUMPRODUCT((DS$25:DS$162)*($C$25:$C$162=$C12))</f>
        <v>106266.2968</v>
      </c>
      <c r="DT12" s="79" cm="1">
        <f t="array" ref="DT12">SUMPRODUCT((DT$25:DT$162)*($C$25:$C$162=$C12))</f>
        <v>104767.38400000001</v>
      </c>
      <c r="DU12" s="79" cm="1">
        <f t="array" ref="DU12">SUMPRODUCT((DU$25:DU$162)*($C$25:$C$162=$C12))</f>
        <v>106266.2968</v>
      </c>
      <c r="DV12" s="79" cm="1">
        <f t="array" ref="DV12">SUMPRODUCT((DV$25:DV$162)*($C$25:$C$162=$C12))</f>
        <v>106266.2968</v>
      </c>
      <c r="DW12" s="79" cm="1">
        <f t="array" ref="DW12">SUMPRODUCT((DW$25:DW$162)*($C$25:$C$162=$C12))</f>
        <v>101769.55839999999</v>
      </c>
      <c r="DX12" s="79" cm="1">
        <f t="array" ref="DX12">SUMPRODUCT((DX$25:DX$162)*($C$25:$C$162=$C12))</f>
        <v>106266.2968</v>
      </c>
      <c r="DY12" s="79" cm="1">
        <f t="array" ref="DY12">SUMPRODUCT((DY$25:DY$162)*($C$25:$C$162=$C12))</f>
        <v>104767.38400000001</v>
      </c>
      <c r="DZ12" s="79" cm="1">
        <f t="array" ref="DZ12">SUMPRODUCT((DZ$25:DZ$162)*($C$25:$C$162=$C12))</f>
        <v>106266.2968</v>
      </c>
      <c r="EA12" s="79" cm="1">
        <f t="array" ref="EA12">SUMPRODUCT((EA$25:EA$162)*($C$25:$C$162=$C12))</f>
        <v>104767.38400000001</v>
      </c>
      <c r="EB12" s="79" cm="1">
        <f t="array" ref="EB12">SUMPRODUCT((EB$25:EB$162)*($C$25:$C$162=$C12))</f>
        <v>106266.2968</v>
      </c>
      <c r="EC12" s="79" cm="1">
        <f t="array" ref="EC12">SUMPRODUCT((EC$25:EC$162)*($C$25:$C$162=$C12))</f>
        <v>106266.2968</v>
      </c>
      <c r="ED12" s="79" cm="1">
        <f t="array" ref="ED12">SUMPRODUCT((ED$25:ED$162)*($C$25:$C$162=$C12))</f>
        <v>104767.38400000001</v>
      </c>
      <c r="EE12" s="79" cm="1">
        <f t="array" ref="EE12">SUMPRODUCT((EE$25:EE$162)*($C$25:$C$162=$C12))</f>
        <v>106266.2968</v>
      </c>
      <c r="EF12" s="79" cm="1">
        <f t="array" ref="EF12">SUMPRODUCT((EF$25:EF$162)*($C$25:$C$162=$C12))</f>
        <v>104767.38400000001</v>
      </c>
      <c r="EG12" s="79" cm="1">
        <f t="array" ref="EG12">SUMPRODUCT((EG$25:EG$162)*($C$25:$C$162=$C12))</f>
        <v>106266.2968</v>
      </c>
      <c r="EH12" s="79" cm="1">
        <f t="array" ref="EH12">SUMPRODUCT((EH$25:EH$162)*($C$25:$C$162=$C12))</f>
        <v>106266.2968</v>
      </c>
      <c r="EI12" s="79" cm="1">
        <f t="array" ref="EI12">SUMPRODUCT((EI$25:EI$162)*($C$25:$C$162=$C12))</f>
        <v>101769.55839999999</v>
      </c>
      <c r="EJ12" s="79" cm="1">
        <f t="array" ref="EJ12">SUMPRODUCT((EJ$25:EJ$162)*($C$25:$C$162=$C12))</f>
        <v>106266.2968</v>
      </c>
      <c r="EK12" s="79" cm="1">
        <f t="array" ref="EK12">SUMPRODUCT((EK$25:EK$162)*($C$25:$C$162=$C12))</f>
        <v>104767.38400000001</v>
      </c>
      <c r="EL12" s="79" cm="1">
        <f t="array" ref="EL12">SUMPRODUCT((EL$25:EL$162)*($C$25:$C$162=$C12))</f>
        <v>106266.2968</v>
      </c>
      <c r="EM12" s="79" cm="1">
        <f t="array" ref="EM12">SUMPRODUCT((EM$25:EM$162)*($C$25:$C$162=$C12))</f>
        <v>104767.38400000001</v>
      </c>
      <c r="EN12" s="79" cm="1">
        <f t="array" ref="EN12">SUMPRODUCT((EN$25:EN$162)*($C$25:$C$162=$C12))</f>
        <v>106266.2968</v>
      </c>
      <c r="EO12" s="79" cm="1">
        <f t="array" ref="EO12">SUMPRODUCT((EO$25:EO$162)*($C$25:$C$162=$C12))</f>
        <v>106266.2968</v>
      </c>
      <c r="EP12" s="79" cm="1">
        <f t="array" ref="EP12">SUMPRODUCT((EP$25:EP$162)*($C$25:$C$162=$C12))</f>
        <v>104767.38400000001</v>
      </c>
      <c r="EQ12" s="79" cm="1">
        <f t="array" ref="EQ12">SUMPRODUCT((EQ$25:EQ$162)*($C$25:$C$162=$C12))</f>
        <v>106266.2968</v>
      </c>
      <c r="ER12" s="79" cm="1">
        <f t="array" ref="ER12">SUMPRODUCT((ER$25:ER$162)*($C$25:$C$162=$C12))</f>
        <v>104767.38400000001</v>
      </c>
      <c r="ES12" s="79" cm="1">
        <f t="array" ref="ES12">SUMPRODUCT((ES$25:ES$162)*($C$25:$C$162=$C12))</f>
        <v>106266.2968</v>
      </c>
      <c r="ET12" s="79" cm="1">
        <f t="array" ref="ET12">SUMPRODUCT((ET$25:ET$162)*($C$25:$C$162=$C12))</f>
        <v>106266.2968</v>
      </c>
      <c r="EU12" s="79" cm="1">
        <f t="array" ref="EU12">SUMPRODUCT((EU$25:EU$162)*($C$25:$C$162=$C12))</f>
        <v>101769.55839999999</v>
      </c>
      <c r="EV12" s="79" cm="1">
        <f t="array" ref="EV12">SUMPRODUCT((EV$25:EV$162)*($C$25:$C$162=$C12))</f>
        <v>106266.2968</v>
      </c>
      <c r="EW12" s="79" cm="1">
        <f t="array" ref="EW12">SUMPRODUCT((EW$25:EW$162)*($C$25:$C$162=$C12))</f>
        <v>104767.38400000001</v>
      </c>
      <c r="EX12" s="79" cm="1">
        <f t="array" ref="EX12">SUMPRODUCT((EX$25:EX$162)*($C$25:$C$162=$C12))</f>
        <v>106266.2968</v>
      </c>
      <c r="EY12" s="79" cm="1">
        <f t="array" ref="EY12">SUMPRODUCT((EY$25:EY$162)*($C$25:$C$162=$C12))</f>
        <v>104767.38400000001</v>
      </c>
      <c r="EZ12" s="79" cm="1">
        <f t="array" ref="EZ12">SUMPRODUCT((EZ$25:EZ$162)*($C$25:$C$162=$C12))</f>
        <v>106266.2968</v>
      </c>
      <c r="FA12" s="79" cm="1">
        <f t="array" ref="FA12">SUMPRODUCT((FA$25:FA$162)*($C$25:$C$162=$C12))</f>
        <v>106266.2968</v>
      </c>
      <c r="FB12" s="79" cm="1">
        <f t="array" ref="FB12">SUMPRODUCT((FB$25:FB$162)*($C$25:$C$162=$C12))</f>
        <v>104767.38400000001</v>
      </c>
      <c r="FC12" s="79" cm="1">
        <f t="array" ref="FC12">SUMPRODUCT((FC$25:FC$162)*($C$25:$C$162=$C12))</f>
        <v>106266.2968</v>
      </c>
      <c r="FD12" s="79" cm="1">
        <f t="array" ref="FD12">SUMPRODUCT((FD$25:FD$162)*($C$25:$C$162=$C12))</f>
        <v>104767.38400000001</v>
      </c>
      <c r="FE12" s="79" cm="1">
        <f t="array" ref="FE12">SUMPRODUCT((FE$25:FE$162)*($C$25:$C$162=$C12))</f>
        <v>106266.2968</v>
      </c>
      <c r="FF12" s="79" cm="1">
        <f t="array" ref="FF12">SUMPRODUCT((FF$25:FF$162)*($C$25:$C$162=$C12))</f>
        <v>106266.2968</v>
      </c>
      <c r="FG12" s="79" cm="1">
        <f t="array" ref="FG12">SUMPRODUCT((FG$25:FG$162)*($C$25:$C$162=$C12))</f>
        <v>101769.55839999999</v>
      </c>
      <c r="FH12" s="79" cm="1">
        <f t="array" ref="FH12">SUMPRODUCT((FH$25:FH$162)*($C$25:$C$162=$C12))</f>
        <v>106266.2968</v>
      </c>
      <c r="FI12" s="79" cm="1">
        <f t="array" ref="FI12">SUMPRODUCT((FI$25:FI$162)*($C$25:$C$162=$C12))</f>
        <v>104767.38400000001</v>
      </c>
      <c r="FJ12" s="79" cm="1">
        <f t="array" ref="FJ12">SUMPRODUCT((FJ$25:FJ$162)*($C$25:$C$162=$C12))</f>
        <v>106266.2968</v>
      </c>
      <c r="FK12" s="79" cm="1">
        <f t="array" ref="FK12">SUMPRODUCT((FK$25:FK$162)*($C$25:$C$162=$C12))</f>
        <v>104767.38400000001</v>
      </c>
      <c r="FL12" s="79" cm="1">
        <f t="array" ref="FL12">SUMPRODUCT((FL$25:FL$162)*($C$25:$C$162=$C12))</f>
        <v>106266.2968</v>
      </c>
      <c r="FM12" s="79" cm="1">
        <f t="array" ref="FM12">SUMPRODUCT((FM$25:FM$162)*($C$25:$C$162=$C12))</f>
        <v>106266.2968</v>
      </c>
      <c r="FN12" s="79" cm="1">
        <f t="array" ref="FN12">SUMPRODUCT((FN$25:FN$162)*($C$25:$C$162=$C12))</f>
        <v>104767.38400000001</v>
      </c>
      <c r="FO12" s="79" cm="1">
        <f t="array" ref="FO12">SUMPRODUCT((FO$25:FO$162)*($C$25:$C$162=$C12))</f>
        <v>106266.2968</v>
      </c>
      <c r="FP12" s="79" cm="1">
        <f t="array" ref="FP12">SUMPRODUCT((FP$25:FP$162)*($C$25:$C$162=$C12))</f>
        <v>104767.38400000001</v>
      </c>
      <c r="FQ12" s="79" cm="1">
        <f t="array" ref="FQ12">SUMPRODUCT((FQ$25:FQ$162)*($C$25:$C$162=$C12))</f>
        <v>106266.2968</v>
      </c>
      <c r="FR12" s="79" cm="1">
        <f t="array" ref="FR12">SUMPRODUCT((FR$25:FR$162)*($C$25:$C$162=$C12))</f>
        <v>106266.2968</v>
      </c>
      <c r="FS12" s="79" cm="1">
        <f t="array" ref="FS12">SUMPRODUCT((FS$25:FS$162)*($C$25:$C$162=$C12))</f>
        <v>101769.55839999999</v>
      </c>
      <c r="FT12" s="79" cm="1">
        <f t="array" ref="FT12">SUMPRODUCT((FT$25:FT$162)*($C$25:$C$162=$C12))</f>
        <v>106266.2968</v>
      </c>
      <c r="FU12" s="79" cm="1">
        <f t="array" ref="FU12">SUMPRODUCT((FU$25:FU$162)*($C$25:$C$162=$C12))</f>
        <v>104767.38400000001</v>
      </c>
      <c r="FV12" s="79" cm="1">
        <f t="array" ref="FV12">SUMPRODUCT((FV$25:FV$162)*($C$25:$C$162=$C12))</f>
        <v>106266.2968</v>
      </c>
      <c r="FW12" s="79" cm="1">
        <f t="array" ref="FW12">SUMPRODUCT((FW$25:FW$162)*($C$25:$C$162=$C12))</f>
        <v>104767.38400000001</v>
      </c>
      <c r="FX12" s="79" cm="1">
        <f t="array" ref="FX12">SUMPRODUCT((FX$25:FX$162)*($C$25:$C$162=$C12))</f>
        <v>106266.2968</v>
      </c>
      <c r="FY12" s="79" cm="1">
        <f t="array" ref="FY12">SUMPRODUCT((FY$25:FY$162)*($C$25:$C$162=$C12))</f>
        <v>106266.2968</v>
      </c>
      <c r="FZ12" s="79" cm="1">
        <f t="array" ref="FZ12">SUMPRODUCT((FZ$25:FZ$162)*($C$25:$C$162=$C12))</f>
        <v>104767.38400000001</v>
      </c>
      <c r="GA12" s="79" cm="1">
        <f t="array" ref="GA12">SUMPRODUCT((GA$25:GA$162)*($C$25:$C$162=$C12))</f>
        <v>106266.2968</v>
      </c>
      <c r="GB12" s="79" cm="1">
        <f t="array" ref="GB12">SUMPRODUCT((GB$25:GB$162)*($C$25:$C$162=$C12))</f>
        <v>104767.38400000001</v>
      </c>
      <c r="GC12" s="79" cm="1">
        <f t="array" ref="GC12">SUMPRODUCT((GC$25:GC$162)*($C$25:$C$162=$C12))</f>
        <v>106266.2968</v>
      </c>
    </row>
    <row r="13" spans="1:185">
      <c r="A13" s="80"/>
      <c r="B13" s="80" t="s">
        <v>41</v>
      </c>
      <c r="C13" s="80" t="s">
        <v>42</v>
      </c>
      <c r="D13" s="80"/>
      <c r="E13" s="82">
        <f t="shared" si="0"/>
        <v>15843456.575999999</v>
      </c>
      <c r="F13" s="79" cm="1">
        <f t="array" ref="F13">SUMPRODUCT((F$25:F$162)*($C$25:$C$162=$C13))</f>
        <v>6697158.3253333326</v>
      </c>
      <c r="G13" s="79" cm="1">
        <f t="array" ref="G13">SUMPRODUCT((G$25:G$162)*($C$25:$C$162=$C13))</f>
        <v>3337788.9173333328</v>
      </c>
      <c r="H13" s="79" cm="1">
        <f t="array" ref="H13">SUMPRODUCT((H$25:H$162)*($C$25:$C$162=$C13))</f>
        <v>3077158.3253333331</v>
      </c>
      <c r="I13" s="79" cm="1">
        <f t="array" ref="I13">SUMPRODUCT((I$25:I$162)*($C$25:$C$162=$C13))</f>
        <v>735585.85600000003</v>
      </c>
      <c r="J13" s="79" cm="1">
        <f t="array" ref="J13">SUMPRODUCT((J$25:J$162)*($C$25:$C$162=$C13))</f>
        <v>398442.91200000001</v>
      </c>
      <c r="K13" s="79" cm="1">
        <f t="array" ref="K13">SUMPRODUCT((K$25:K$162)*($C$25:$C$162=$C13))</f>
        <v>553103.08266666671</v>
      </c>
      <c r="L13" s="79" cm="1">
        <f t="array" ref="L13">SUMPRODUCT((L$25:L$162)*($C$25:$C$162=$C13))</f>
        <v>510109.5786666667</v>
      </c>
      <c r="M13" s="79" cm="1">
        <f t="array" ref="M13">SUMPRODUCT((M$25:M$162)*($C$25:$C$162=$C13))</f>
        <v>510109.5786666667</v>
      </c>
      <c r="N13" s="79" cm="1">
        <f t="array" ref="N13">SUMPRODUCT((N$25:N$162)*($C$25:$C$162=$C13))</f>
        <v>6000</v>
      </c>
      <c r="O13" s="79" cm="1">
        <f t="array" ref="O13">SUMPRODUCT((O$25:O$162)*($C$25:$C$162=$C13))</f>
        <v>6000</v>
      </c>
      <c r="P13" s="79" cm="1">
        <f t="array" ref="P13">SUMPRODUCT((P$25:P$162)*($C$25:$C$162=$C13))</f>
        <v>6000</v>
      </c>
      <c r="Q13" s="79" cm="1">
        <f t="array" ref="Q13">SUMPRODUCT((Q$25:Q$162)*($C$25:$C$162=$C13))</f>
        <v>6000</v>
      </c>
      <c r="R13" s="79" cm="1">
        <f t="array" ref="R13">SUMPRODUCT((R$25:R$162)*($C$25:$C$162=$C13))</f>
        <v>0</v>
      </c>
      <c r="S13" s="79" cm="1">
        <f t="array" ref="S13">SUMPRODUCT((S$25:S$162)*($C$25:$C$162=$C13))</f>
        <v>0</v>
      </c>
      <c r="T13" s="79" cm="1">
        <f t="array" ref="T13">SUMPRODUCT((T$25:T$162)*($C$25:$C$162=$C13))</f>
        <v>0</v>
      </c>
      <c r="U13" s="79" cm="1">
        <f t="array" ref="U13">SUMPRODUCT((U$25:U$162)*($C$25:$C$162=$C13))</f>
        <v>0</v>
      </c>
      <c r="V13" s="79" cm="1">
        <f t="array" ref="V13">SUMPRODUCT((V$25:V$162)*($C$25:$C$162=$C13))</f>
        <v>0</v>
      </c>
      <c r="W13" s="79" cm="1">
        <f t="array" ref="W13">SUMPRODUCT((W$25:W$162)*($C$25:$C$162=$C13))</f>
        <v>0</v>
      </c>
      <c r="X13" s="79" cm="1">
        <f t="array" ref="X13">SUMPRODUCT((X$25:X$162)*($C$25:$C$162=$C13))</f>
        <v>0</v>
      </c>
      <c r="Y13" s="79" cm="1">
        <f t="array" ref="Y13">SUMPRODUCT((Y$25:Y$162)*($C$25:$C$162=$C13))</f>
        <v>0</v>
      </c>
      <c r="Z13" s="79" cm="1">
        <f t="array" ref="Z13">SUMPRODUCT((Z$25:Z$162)*($C$25:$C$162=$C13))</f>
        <v>0</v>
      </c>
      <c r="AA13" s="79" cm="1">
        <f t="array" ref="AA13">SUMPRODUCT((AA$25:AA$162)*($C$25:$C$162=$C13))</f>
        <v>0</v>
      </c>
      <c r="AB13" s="79" cm="1">
        <f t="array" ref="AB13">SUMPRODUCT((AB$25:AB$162)*($C$25:$C$162=$C13))</f>
        <v>0</v>
      </c>
      <c r="AC13" s="79" cm="1">
        <f t="array" ref="AC13">SUMPRODUCT((AC$25:AC$162)*($C$25:$C$162=$C13))</f>
        <v>0</v>
      </c>
      <c r="AD13" s="79" cm="1">
        <f t="array" ref="AD13">SUMPRODUCT((AD$25:AD$162)*($C$25:$C$162=$C13))</f>
        <v>0</v>
      </c>
      <c r="AE13" s="79" cm="1">
        <f t="array" ref="AE13">SUMPRODUCT((AE$25:AE$162)*($C$25:$C$162=$C13))</f>
        <v>0</v>
      </c>
      <c r="AF13" s="79" cm="1">
        <f t="array" ref="AF13">SUMPRODUCT((AF$25:AF$162)*($C$25:$C$162=$C13))</f>
        <v>0</v>
      </c>
      <c r="AG13" s="79" cm="1">
        <f t="array" ref="AG13">SUMPRODUCT((AG$25:AG$162)*($C$25:$C$162=$C13))</f>
        <v>0</v>
      </c>
      <c r="AH13" s="79" cm="1">
        <f t="array" ref="AH13">SUMPRODUCT((AH$25:AH$162)*($C$25:$C$162=$C13))</f>
        <v>0</v>
      </c>
      <c r="AI13" s="79" cm="1">
        <f t="array" ref="AI13">SUMPRODUCT((AI$25:AI$162)*($C$25:$C$162=$C13))</f>
        <v>0</v>
      </c>
      <c r="AJ13" s="79" cm="1">
        <f t="array" ref="AJ13">SUMPRODUCT((AJ$25:AJ$162)*($C$25:$C$162=$C13))</f>
        <v>0</v>
      </c>
      <c r="AK13" s="79" cm="1">
        <f t="array" ref="AK13">SUMPRODUCT((AK$25:AK$162)*($C$25:$C$162=$C13))</f>
        <v>0</v>
      </c>
      <c r="AL13" s="79" cm="1">
        <f t="array" ref="AL13">SUMPRODUCT((AL$25:AL$162)*($C$25:$C$162=$C13))</f>
        <v>0</v>
      </c>
      <c r="AM13" s="79" cm="1">
        <f t="array" ref="AM13">SUMPRODUCT((AM$25:AM$162)*($C$25:$C$162=$C13))</f>
        <v>0</v>
      </c>
      <c r="AN13" s="79" cm="1">
        <f t="array" ref="AN13">SUMPRODUCT((AN$25:AN$162)*($C$25:$C$162=$C13))</f>
        <v>0</v>
      </c>
      <c r="AO13" s="79" cm="1">
        <f t="array" ref="AO13">SUMPRODUCT((AO$25:AO$162)*($C$25:$C$162=$C13))</f>
        <v>0</v>
      </c>
      <c r="AP13" s="79" cm="1">
        <f t="array" ref="AP13">SUMPRODUCT((AP$25:AP$162)*($C$25:$C$162=$C13))</f>
        <v>0</v>
      </c>
      <c r="AQ13" s="79" cm="1">
        <f t="array" ref="AQ13">SUMPRODUCT((AQ$25:AQ$162)*($C$25:$C$162=$C13))</f>
        <v>0</v>
      </c>
      <c r="AR13" s="79" cm="1">
        <f t="array" ref="AR13">SUMPRODUCT((AR$25:AR$162)*($C$25:$C$162=$C13))</f>
        <v>0</v>
      </c>
      <c r="AS13" s="79" cm="1">
        <f t="array" ref="AS13">SUMPRODUCT((AS$25:AS$162)*($C$25:$C$162=$C13))</f>
        <v>0</v>
      </c>
      <c r="AT13" s="79" cm="1">
        <f t="array" ref="AT13">SUMPRODUCT((AT$25:AT$162)*($C$25:$C$162=$C13))</f>
        <v>0</v>
      </c>
      <c r="AU13" s="79" cm="1">
        <f t="array" ref="AU13">SUMPRODUCT((AU$25:AU$162)*($C$25:$C$162=$C13))</f>
        <v>0</v>
      </c>
      <c r="AV13" s="79" cm="1">
        <f t="array" ref="AV13">SUMPRODUCT((AV$25:AV$162)*($C$25:$C$162=$C13))</f>
        <v>0</v>
      </c>
      <c r="AW13" s="79" cm="1">
        <f t="array" ref="AW13">SUMPRODUCT((AW$25:AW$162)*($C$25:$C$162=$C13))</f>
        <v>0</v>
      </c>
      <c r="AX13" s="79" cm="1">
        <f t="array" ref="AX13">SUMPRODUCT((AX$25:AX$162)*($C$25:$C$162=$C13))</f>
        <v>0</v>
      </c>
      <c r="AY13" s="79" cm="1">
        <f t="array" ref="AY13">SUMPRODUCT((AY$25:AY$162)*($C$25:$C$162=$C13))</f>
        <v>0</v>
      </c>
      <c r="AZ13" s="79" cm="1">
        <f t="array" ref="AZ13">SUMPRODUCT((AZ$25:AZ$162)*($C$25:$C$162=$C13))</f>
        <v>0</v>
      </c>
      <c r="BA13" s="79" cm="1">
        <f t="array" ref="BA13">SUMPRODUCT((BA$25:BA$162)*($C$25:$C$162=$C13))</f>
        <v>0</v>
      </c>
      <c r="BB13" s="79" cm="1">
        <f t="array" ref="BB13">SUMPRODUCT((BB$25:BB$162)*($C$25:$C$162=$C13))</f>
        <v>0</v>
      </c>
      <c r="BC13" s="79" cm="1">
        <f t="array" ref="BC13">SUMPRODUCT((BC$25:BC$162)*($C$25:$C$162=$C13))</f>
        <v>0</v>
      </c>
      <c r="BD13" s="79" cm="1">
        <f t="array" ref="BD13">SUMPRODUCT((BD$25:BD$162)*($C$25:$C$162=$C13))</f>
        <v>0</v>
      </c>
      <c r="BE13" s="79" cm="1">
        <f t="array" ref="BE13">SUMPRODUCT((BE$25:BE$162)*($C$25:$C$162=$C13))</f>
        <v>0</v>
      </c>
      <c r="BF13" s="79" cm="1">
        <f t="array" ref="BF13">SUMPRODUCT((BF$25:BF$162)*($C$25:$C$162=$C13))</f>
        <v>0</v>
      </c>
      <c r="BG13" s="79" cm="1">
        <f t="array" ref="BG13">SUMPRODUCT((BG$25:BG$162)*($C$25:$C$162=$C13))</f>
        <v>0</v>
      </c>
      <c r="BH13" s="79" cm="1">
        <f t="array" ref="BH13">SUMPRODUCT((BH$25:BH$162)*($C$25:$C$162=$C13))</f>
        <v>0</v>
      </c>
      <c r="BI13" s="79" cm="1">
        <f t="array" ref="BI13">SUMPRODUCT((BI$25:BI$162)*($C$25:$C$162=$C13))</f>
        <v>0</v>
      </c>
      <c r="BJ13" s="79" cm="1">
        <f t="array" ref="BJ13">SUMPRODUCT((BJ$25:BJ$162)*($C$25:$C$162=$C13))</f>
        <v>0</v>
      </c>
      <c r="BK13" s="79" cm="1">
        <f t="array" ref="BK13">SUMPRODUCT((BK$25:BK$162)*($C$25:$C$162=$C13))</f>
        <v>0</v>
      </c>
      <c r="BL13" s="79" cm="1">
        <f t="array" ref="BL13">SUMPRODUCT((BL$25:BL$162)*($C$25:$C$162=$C13))</f>
        <v>0</v>
      </c>
      <c r="BM13" s="79" cm="1">
        <f t="array" ref="BM13">SUMPRODUCT((BM$25:BM$162)*($C$25:$C$162=$C13))</f>
        <v>0</v>
      </c>
      <c r="BN13" s="79" cm="1">
        <f t="array" ref="BN13">SUMPRODUCT((BN$25:BN$162)*($C$25:$C$162=$C13))</f>
        <v>0</v>
      </c>
      <c r="BO13" s="79" cm="1">
        <f t="array" ref="BO13">SUMPRODUCT((BO$25:BO$162)*($C$25:$C$162=$C13))</f>
        <v>0</v>
      </c>
      <c r="BP13" s="79" cm="1">
        <f t="array" ref="BP13">SUMPRODUCT((BP$25:BP$162)*($C$25:$C$162=$C13))</f>
        <v>0</v>
      </c>
      <c r="BQ13" s="79" cm="1">
        <f t="array" ref="BQ13">SUMPRODUCT((BQ$25:BQ$162)*($C$25:$C$162=$C13))</f>
        <v>0</v>
      </c>
      <c r="BR13" s="79" cm="1">
        <f t="array" ref="BR13">SUMPRODUCT((BR$25:BR$162)*($C$25:$C$162=$C13))</f>
        <v>0</v>
      </c>
      <c r="BS13" s="79" cm="1">
        <f t="array" ref="BS13">SUMPRODUCT((BS$25:BS$162)*($C$25:$C$162=$C13))</f>
        <v>0</v>
      </c>
      <c r="BT13" s="79" cm="1">
        <f t="array" ref="BT13">SUMPRODUCT((BT$25:BT$162)*($C$25:$C$162=$C13))</f>
        <v>0</v>
      </c>
      <c r="BU13" s="79" cm="1">
        <f t="array" ref="BU13">SUMPRODUCT((BU$25:BU$162)*($C$25:$C$162=$C13))</f>
        <v>0</v>
      </c>
      <c r="BV13" s="79" cm="1">
        <f t="array" ref="BV13">SUMPRODUCT((BV$25:BV$162)*($C$25:$C$162=$C13))</f>
        <v>0</v>
      </c>
      <c r="BW13" s="79" cm="1">
        <f t="array" ref="BW13">SUMPRODUCT((BW$25:BW$162)*($C$25:$C$162=$C13))</f>
        <v>0</v>
      </c>
      <c r="BX13" s="79" cm="1">
        <f t="array" ref="BX13">SUMPRODUCT((BX$25:BX$162)*($C$25:$C$162=$C13))</f>
        <v>0</v>
      </c>
      <c r="BY13" s="79" cm="1">
        <f t="array" ref="BY13">SUMPRODUCT((BY$25:BY$162)*($C$25:$C$162=$C13))</f>
        <v>0</v>
      </c>
      <c r="BZ13" s="79" cm="1">
        <f t="array" ref="BZ13">SUMPRODUCT((BZ$25:BZ$162)*($C$25:$C$162=$C13))</f>
        <v>0</v>
      </c>
      <c r="CA13" s="79" cm="1">
        <f t="array" ref="CA13">SUMPRODUCT((CA$25:CA$162)*($C$25:$C$162=$C13))</f>
        <v>0</v>
      </c>
      <c r="CB13" s="79" cm="1">
        <f t="array" ref="CB13">SUMPRODUCT((CB$25:CB$162)*($C$25:$C$162=$C13))</f>
        <v>0</v>
      </c>
      <c r="CC13" s="79" cm="1">
        <f t="array" ref="CC13">SUMPRODUCT((CC$25:CC$162)*($C$25:$C$162=$C13))</f>
        <v>0</v>
      </c>
      <c r="CD13" s="79" cm="1">
        <f t="array" ref="CD13">SUMPRODUCT((CD$25:CD$162)*($C$25:$C$162=$C13))</f>
        <v>0</v>
      </c>
      <c r="CE13" s="79" cm="1">
        <f t="array" ref="CE13">SUMPRODUCT((CE$25:CE$162)*($C$25:$C$162=$C13))</f>
        <v>0</v>
      </c>
      <c r="CF13" s="79" cm="1">
        <f t="array" ref="CF13">SUMPRODUCT((CF$25:CF$162)*($C$25:$C$162=$C13))</f>
        <v>0</v>
      </c>
      <c r="CG13" s="79" cm="1">
        <f t="array" ref="CG13">SUMPRODUCT((CG$25:CG$162)*($C$25:$C$162=$C13))</f>
        <v>0</v>
      </c>
      <c r="CH13" s="79" cm="1">
        <f t="array" ref="CH13">SUMPRODUCT((CH$25:CH$162)*($C$25:$C$162=$C13))</f>
        <v>0</v>
      </c>
      <c r="CI13" s="79" cm="1">
        <f t="array" ref="CI13">SUMPRODUCT((CI$25:CI$162)*($C$25:$C$162=$C13))</f>
        <v>0</v>
      </c>
      <c r="CJ13" s="79" cm="1">
        <f t="array" ref="CJ13">SUMPRODUCT((CJ$25:CJ$162)*($C$25:$C$162=$C13))</f>
        <v>0</v>
      </c>
      <c r="CK13" s="79" cm="1">
        <f t="array" ref="CK13">SUMPRODUCT((CK$25:CK$162)*($C$25:$C$162=$C13))</f>
        <v>0</v>
      </c>
      <c r="CL13" s="79" cm="1">
        <f t="array" ref="CL13">SUMPRODUCT((CL$25:CL$162)*($C$25:$C$162=$C13))</f>
        <v>0</v>
      </c>
      <c r="CM13" s="79" cm="1">
        <f t="array" ref="CM13">SUMPRODUCT((CM$25:CM$162)*($C$25:$C$162=$C13))</f>
        <v>0</v>
      </c>
      <c r="CN13" s="79" cm="1">
        <f t="array" ref="CN13">SUMPRODUCT((CN$25:CN$162)*($C$25:$C$162=$C13))</f>
        <v>0</v>
      </c>
      <c r="CO13" s="79" cm="1">
        <f t="array" ref="CO13">SUMPRODUCT((CO$25:CO$162)*($C$25:$C$162=$C13))</f>
        <v>0</v>
      </c>
      <c r="CP13" s="79" cm="1">
        <f t="array" ref="CP13">SUMPRODUCT((CP$25:CP$162)*($C$25:$C$162=$C13))</f>
        <v>0</v>
      </c>
      <c r="CQ13" s="79" cm="1">
        <f t="array" ref="CQ13">SUMPRODUCT((CQ$25:CQ$162)*($C$25:$C$162=$C13))</f>
        <v>0</v>
      </c>
      <c r="CR13" s="79" cm="1">
        <f t="array" ref="CR13">SUMPRODUCT((CR$25:CR$162)*($C$25:$C$162=$C13))</f>
        <v>0</v>
      </c>
      <c r="CS13" s="79" cm="1">
        <f t="array" ref="CS13">SUMPRODUCT((CS$25:CS$162)*($C$25:$C$162=$C13))</f>
        <v>0</v>
      </c>
      <c r="CT13" s="79" cm="1">
        <f t="array" ref="CT13">SUMPRODUCT((CT$25:CT$162)*($C$25:$C$162=$C13))</f>
        <v>0</v>
      </c>
      <c r="CU13" s="79" cm="1">
        <f t="array" ref="CU13">SUMPRODUCT((CU$25:CU$162)*($C$25:$C$162=$C13))</f>
        <v>0</v>
      </c>
      <c r="CV13" s="79" cm="1">
        <f t="array" ref="CV13">SUMPRODUCT((CV$25:CV$162)*($C$25:$C$162=$C13))</f>
        <v>0</v>
      </c>
      <c r="CW13" s="79" cm="1">
        <f t="array" ref="CW13">SUMPRODUCT((CW$25:CW$162)*($C$25:$C$162=$C13))</f>
        <v>0</v>
      </c>
      <c r="CX13" s="79" cm="1">
        <f t="array" ref="CX13">SUMPRODUCT((CX$25:CX$162)*($C$25:$C$162=$C13))</f>
        <v>0</v>
      </c>
      <c r="CY13" s="79" cm="1">
        <f t="array" ref="CY13">SUMPRODUCT((CY$25:CY$162)*($C$25:$C$162=$C13))</f>
        <v>0</v>
      </c>
      <c r="CZ13" s="79" cm="1">
        <f t="array" ref="CZ13">SUMPRODUCT((CZ$25:CZ$162)*($C$25:$C$162=$C13))</f>
        <v>0</v>
      </c>
      <c r="DA13" s="79" cm="1">
        <f t="array" ref="DA13">SUMPRODUCT((DA$25:DA$162)*($C$25:$C$162=$C13))</f>
        <v>0</v>
      </c>
      <c r="DB13" s="79" cm="1">
        <f t="array" ref="DB13">SUMPRODUCT((DB$25:DB$162)*($C$25:$C$162=$C13))</f>
        <v>0</v>
      </c>
      <c r="DC13" s="79" cm="1">
        <f t="array" ref="DC13">SUMPRODUCT((DC$25:DC$162)*($C$25:$C$162=$C13))</f>
        <v>0</v>
      </c>
      <c r="DD13" s="79" cm="1">
        <f t="array" ref="DD13">SUMPRODUCT((DD$25:DD$162)*($C$25:$C$162=$C13))</f>
        <v>0</v>
      </c>
      <c r="DE13" s="79" cm="1">
        <f t="array" ref="DE13">SUMPRODUCT((DE$25:DE$162)*($C$25:$C$162=$C13))</f>
        <v>0</v>
      </c>
      <c r="DF13" s="79" cm="1">
        <f t="array" ref="DF13">SUMPRODUCT((DF$25:DF$162)*($C$25:$C$162=$C13))</f>
        <v>0</v>
      </c>
      <c r="DG13" s="79" cm="1">
        <f t="array" ref="DG13">SUMPRODUCT((DG$25:DG$162)*($C$25:$C$162=$C13))</f>
        <v>0</v>
      </c>
      <c r="DH13" s="79" cm="1">
        <f t="array" ref="DH13">SUMPRODUCT((DH$25:DH$162)*($C$25:$C$162=$C13))</f>
        <v>0</v>
      </c>
      <c r="DI13" s="79" cm="1">
        <f t="array" ref="DI13">SUMPRODUCT((DI$25:DI$162)*($C$25:$C$162=$C13))</f>
        <v>0</v>
      </c>
      <c r="DJ13" s="79" cm="1">
        <f t="array" ref="DJ13">SUMPRODUCT((DJ$25:DJ$162)*($C$25:$C$162=$C13))</f>
        <v>0</v>
      </c>
      <c r="DK13" s="79" cm="1">
        <f t="array" ref="DK13">SUMPRODUCT((DK$25:DK$162)*($C$25:$C$162=$C13))</f>
        <v>0</v>
      </c>
      <c r="DL13" s="79" cm="1">
        <f t="array" ref="DL13">SUMPRODUCT((DL$25:DL$162)*($C$25:$C$162=$C13))</f>
        <v>0</v>
      </c>
      <c r="DM13" s="79" cm="1">
        <f t="array" ref="DM13">SUMPRODUCT((DM$25:DM$162)*($C$25:$C$162=$C13))</f>
        <v>0</v>
      </c>
      <c r="DN13" s="79" cm="1">
        <f t="array" ref="DN13">SUMPRODUCT((DN$25:DN$162)*($C$25:$C$162=$C13))</f>
        <v>0</v>
      </c>
      <c r="DO13" s="79" cm="1">
        <f t="array" ref="DO13">SUMPRODUCT((DO$25:DO$162)*($C$25:$C$162=$C13))</f>
        <v>0</v>
      </c>
      <c r="DP13" s="79" cm="1">
        <f t="array" ref="DP13">SUMPRODUCT((DP$25:DP$162)*($C$25:$C$162=$C13))</f>
        <v>0</v>
      </c>
      <c r="DQ13" s="79" cm="1">
        <f t="array" ref="DQ13">SUMPRODUCT((DQ$25:DQ$162)*($C$25:$C$162=$C13))</f>
        <v>0</v>
      </c>
      <c r="DR13" s="79" cm="1">
        <f t="array" ref="DR13">SUMPRODUCT((DR$25:DR$162)*($C$25:$C$162=$C13))</f>
        <v>0</v>
      </c>
      <c r="DS13" s="79" cm="1">
        <f t="array" ref="DS13">SUMPRODUCT((DS$25:DS$162)*($C$25:$C$162=$C13))</f>
        <v>0</v>
      </c>
      <c r="DT13" s="79" cm="1">
        <f t="array" ref="DT13">SUMPRODUCT((DT$25:DT$162)*($C$25:$C$162=$C13))</f>
        <v>0</v>
      </c>
      <c r="DU13" s="79" cm="1">
        <f t="array" ref="DU13">SUMPRODUCT((DU$25:DU$162)*($C$25:$C$162=$C13))</f>
        <v>0</v>
      </c>
      <c r="DV13" s="79" cm="1">
        <f t="array" ref="DV13">SUMPRODUCT((DV$25:DV$162)*($C$25:$C$162=$C13))</f>
        <v>0</v>
      </c>
      <c r="DW13" s="79" cm="1">
        <f t="array" ref="DW13">SUMPRODUCT((DW$25:DW$162)*($C$25:$C$162=$C13))</f>
        <v>0</v>
      </c>
      <c r="DX13" s="79" cm="1">
        <f t="array" ref="DX13">SUMPRODUCT((DX$25:DX$162)*($C$25:$C$162=$C13))</f>
        <v>0</v>
      </c>
      <c r="DY13" s="79" cm="1">
        <f t="array" ref="DY13">SUMPRODUCT((DY$25:DY$162)*($C$25:$C$162=$C13))</f>
        <v>0</v>
      </c>
      <c r="DZ13" s="79" cm="1">
        <f t="array" ref="DZ13">SUMPRODUCT((DZ$25:DZ$162)*($C$25:$C$162=$C13))</f>
        <v>0</v>
      </c>
      <c r="EA13" s="79" cm="1">
        <f t="array" ref="EA13">SUMPRODUCT((EA$25:EA$162)*($C$25:$C$162=$C13))</f>
        <v>0</v>
      </c>
      <c r="EB13" s="79" cm="1">
        <f t="array" ref="EB13">SUMPRODUCT((EB$25:EB$162)*($C$25:$C$162=$C13))</f>
        <v>0</v>
      </c>
      <c r="EC13" s="79" cm="1">
        <f t="array" ref="EC13">SUMPRODUCT((EC$25:EC$162)*($C$25:$C$162=$C13))</f>
        <v>0</v>
      </c>
      <c r="ED13" s="79" cm="1">
        <f t="array" ref="ED13">SUMPRODUCT((ED$25:ED$162)*($C$25:$C$162=$C13))</f>
        <v>0</v>
      </c>
      <c r="EE13" s="79" cm="1">
        <f t="array" ref="EE13">SUMPRODUCT((EE$25:EE$162)*($C$25:$C$162=$C13))</f>
        <v>0</v>
      </c>
      <c r="EF13" s="79" cm="1">
        <f t="array" ref="EF13">SUMPRODUCT((EF$25:EF$162)*($C$25:$C$162=$C13))</f>
        <v>0</v>
      </c>
      <c r="EG13" s="79" cm="1">
        <f t="array" ref="EG13">SUMPRODUCT((EG$25:EG$162)*($C$25:$C$162=$C13))</f>
        <v>0</v>
      </c>
      <c r="EH13" s="79" cm="1">
        <f t="array" ref="EH13">SUMPRODUCT((EH$25:EH$162)*($C$25:$C$162=$C13))</f>
        <v>0</v>
      </c>
      <c r="EI13" s="79" cm="1">
        <f t="array" ref="EI13">SUMPRODUCT((EI$25:EI$162)*($C$25:$C$162=$C13))</f>
        <v>0</v>
      </c>
      <c r="EJ13" s="79" cm="1">
        <f t="array" ref="EJ13">SUMPRODUCT((EJ$25:EJ$162)*($C$25:$C$162=$C13))</f>
        <v>0</v>
      </c>
      <c r="EK13" s="79" cm="1">
        <f t="array" ref="EK13">SUMPRODUCT((EK$25:EK$162)*($C$25:$C$162=$C13))</f>
        <v>0</v>
      </c>
      <c r="EL13" s="79" cm="1">
        <f t="array" ref="EL13">SUMPRODUCT((EL$25:EL$162)*($C$25:$C$162=$C13))</f>
        <v>0</v>
      </c>
      <c r="EM13" s="79" cm="1">
        <f t="array" ref="EM13">SUMPRODUCT((EM$25:EM$162)*($C$25:$C$162=$C13))</f>
        <v>0</v>
      </c>
      <c r="EN13" s="79" cm="1">
        <f t="array" ref="EN13">SUMPRODUCT((EN$25:EN$162)*($C$25:$C$162=$C13))</f>
        <v>0</v>
      </c>
      <c r="EO13" s="79" cm="1">
        <f t="array" ref="EO13">SUMPRODUCT((EO$25:EO$162)*($C$25:$C$162=$C13))</f>
        <v>0</v>
      </c>
      <c r="EP13" s="79" cm="1">
        <f t="array" ref="EP13">SUMPRODUCT((EP$25:EP$162)*($C$25:$C$162=$C13))</f>
        <v>0</v>
      </c>
      <c r="EQ13" s="79" cm="1">
        <f t="array" ref="EQ13">SUMPRODUCT((EQ$25:EQ$162)*($C$25:$C$162=$C13))</f>
        <v>0</v>
      </c>
      <c r="ER13" s="79" cm="1">
        <f t="array" ref="ER13">SUMPRODUCT((ER$25:ER$162)*($C$25:$C$162=$C13))</f>
        <v>0</v>
      </c>
      <c r="ES13" s="79" cm="1">
        <f t="array" ref="ES13">SUMPRODUCT((ES$25:ES$162)*($C$25:$C$162=$C13))</f>
        <v>0</v>
      </c>
      <c r="ET13" s="79" cm="1">
        <f t="array" ref="ET13">SUMPRODUCT((ET$25:ET$162)*($C$25:$C$162=$C13))</f>
        <v>0</v>
      </c>
      <c r="EU13" s="79" cm="1">
        <f t="array" ref="EU13">SUMPRODUCT((EU$25:EU$162)*($C$25:$C$162=$C13))</f>
        <v>0</v>
      </c>
      <c r="EV13" s="79" cm="1">
        <f t="array" ref="EV13">SUMPRODUCT((EV$25:EV$162)*($C$25:$C$162=$C13))</f>
        <v>0</v>
      </c>
      <c r="EW13" s="79" cm="1">
        <f t="array" ref="EW13">SUMPRODUCT((EW$25:EW$162)*($C$25:$C$162=$C13))</f>
        <v>0</v>
      </c>
      <c r="EX13" s="79" cm="1">
        <f t="array" ref="EX13">SUMPRODUCT((EX$25:EX$162)*($C$25:$C$162=$C13))</f>
        <v>0</v>
      </c>
      <c r="EY13" s="79" cm="1">
        <f t="array" ref="EY13">SUMPRODUCT((EY$25:EY$162)*($C$25:$C$162=$C13))</f>
        <v>0</v>
      </c>
      <c r="EZ13" s="79" cm="1">
        <f t="array" ref="EZ13">SUMPRODUCT((EZ$25:EZ$162)*($C$25:$C$162=$C13))</f>
        <v>0</v>
      </c>
      <c r="FA13" s="79" cm="1">
        <f t="array" ref="FA13">SUMPRODUCT((FA$25:FA$162)*($C$25:$C$162=$C13))</f>
        <v>0</v>
      </c>
      <c r="FB13" s="79" cm="1">
        <f t="array" ref="FB13">SUMPRODUCT((FB$25:FB$162)*($C$25:$C$162=$C13))</f>
        <v>0</v>
      </c>
      <c r="FC13" s="79" cm="1">
        <f t="array" ref="FC13">SUMPRODUCT((FC$25:FC$162)*($C$25:$C$162=$C13))</f>
        <v>0</v>
      </c>
      <c r="FD13" s="79" cm="1">
        <f t="array" ref="FD13">SUMPRODUCT((FD$25:FD$162)*($C$25:$C$162=$C13))</f>
        <v>0</v>
      </c>
      <c r="FE13" s="79" cm="1">
        <f t="array" ref="FE13">SUMPRODUCT((FE$25:FE$162)*($C$25:$C$162=$C13))</f>
        <v>0</v>
      </c>
      <c r="FF13" s="79" cm="1">
        <f t="array" ref="FF13">SUMPRODUCT((FF$25:FF$162)*($C$25:$C$162=$C13))</f>
        <v>0</v>
      </c>
      <c r="FG13" s="79" cm="1">
        <f t="array" ref="FG13">SUMPRODUCT((FG$25:FG$162)*($C$25:$C$162=$C13))</f>
        <v>0</v>
      </c>
      <c r="FH13" s="79" cm="1">
        <f t="array" ref="FH13">SUMPRODUCT((FH$25:FH$162)*($C$25:$C$162=$C13))</f>
        <v>0</v>
      </c>
      <c r="FI13" s="79" cm="1">
        <f t="array" ref="FI13">SUMPRODUCT((FI$25:FI$162)*($C$25:$C$162=$C13))</f>
        <v>0</v>
      </c>
      <c r="FJ13" s="79" cm="1">
        <f t="array" ref="FJ13">SUMPRODUCT((FJ$25:FJ$162)*($C$25:$C$162=$C13))</f>
        <v>0</v>
      </c>
      <c r="FK13" s="79" cm="1">
        <f t="array" ref="FK13">SUMPRODUCT((FK$25:FK$162)*($C$25:$C$162=$C13))</f>
        <v>0</v>
      </c>
      <c r="FL13" s="79" cm="1">
        <f t="array" ref="FL13">SUMPRODUCT((FL$25:FL$162)*($C$25:$C$162=$C13))</f>
        <v>0</v>
      </c>
      <c r="FM13" s="79" cm="1">
        <f t="array" ref="FM13">SUMPRODUCT((FM$25:FM$162)*($C$25:$C$162=$C13))</f>
        <v>0</v>
      </c>
      <c r="FN13" s="79" cm="1">
        <f t="array" ref="FN13">SUMPRODUCT((FN$25:FN$162)*($C$25:$C$162=$C13))</f>
        <v>0</v>
      </c>
      <c r="FO13" s="79" cm="1">
        <f t="array" ref="FO13">SUMPRODUCT((FO$25:FO$162)*($C$25:$C$162=$C13))</f>
        <v>0</v>
      </c>
      <c r="FP13" s="79" cm="1">
        <f t="array" ref="FP13">SUMPRODUCT((FP$25:FP$162)*($C$25:$C$162=$C13))</f>
        <v>0</v>
      </c>
      <c r="FQ13" s="79" cm="1">
        <f t="array" ref="FQ13">SUMPRODUCT((FQ$25:FQ$162)*($C$25:$C$162=$C13))</f>
        <v>0</v>
      </c>
      <c r="FR13" s="79" cm="1">
        <f t="array" ref="FR13">SUMPRODUCT((FR$25:FR$162)*($C$25:$C$162=$C13))</f>
        <v>0</v>
      </c>
      <c r="FS13" s="79" cm="1">
        <f t="array" ref="FS13">SUMPRODUCT((FS$25:FS$162)*($C$25:$C$162=$C13))</f>
        <v>0</v>
      </c>
      <c r="FT13" s="79" cm="1">
        <f t="array" ref="FT13">SUMPRODUCT((FT$25:FT$162)*($C$25:$C$162=$C13))</f>
        <v>0</v>
      </c>
      <c r="FU13" s="79" cm="1">
        <f t="array" ref="FU13">SUMPRODUCT((FU$25:FU$162)*($C$25:$C$162=$C13))</f>
        <v>0</v>
      </c>
      <c r="FV13" s="79" cm="1">
        <f t="array" ref="FV13">SUMPRODUCT((FV$25:FV$162)*($C$25:$C$162=$C13))</f>
        <v>0</v>
      </c>
      <c r="FW13" s="79" cm="1">
        <f t="array" ref="FW13">SUMPRODUCT((FW$25:FW$162)*($C$25:$C$162=$C13))</f>
        <v>0</v>
      </c>
      <c r="FX13" s="79" cm="1">
        <f t="array" ref="FX13">SUMPRODUCT((FX$25:FX$162)*($C$25:$C$162=$C13))</f>
        <v>0</v>
      </c>
      <c r="FY13" s="79" cm="1">
        <f t="array" ref="FY13">SUMPRODUCT((FY$25:FY$162)*($C$25:$C$162=$C13))</f>
        <v>0</v>
      </c>
      <c r="FZ13" s="79" cm="1">
        <f t="array" ref="FZ13">SUMPRODUCT((FZ$25:FZ$162)*($C$25:$C$162=$C13))</f>
        <v>0</v>
      </c>
      <c r="GA13" s="79" cm="1">
        <f t="array" ref="GA13">SUMPRODUCT((GA$25:GA$162)*($C$25:$C$162=$C13))</f>
        <v>0</v>
      </c>
      <c r="GB13" s="79" cm="1">
        <f t="array" ref="GB13">SUMPRODUCT((GB$25:GB$162)*($C$25:$C$162=$C13))</f>
        <v>0</v>
      </c>
      <c r="GC13" s="79" cm="1">
        <f t="array" ref="GC13">SUMPRODUCT((GC$25:GC$162)*($C$25:$C$162=$C13))</f>
        <v>0</v>
      </c>
    </row>
    <row r="14" spans="1:185">
      <c r="A14" s="80"/>
      <c r="B14" s="80" t="s">
        <v>62</v>
      </c>
      <c r="C14" s="80" t="s">
        <v>73</v>
      </c>
      <c r="D14" s="80"/>
      <c r="E14" s="82">
        <f t="shared" si="0"/>
        <v>0</v>
      </c>
      <c r="F14" s="79" cm="1">
        <f t="array" ref="F14">SUMPRODUCT((F$25:F$162)*($C$25:$C$162=$C14))</f>
        <v>0</v>
      </c>
      <c r="G14" s="79" cm="1">
        <f t="array" ref="G14">SUMPRODUCT((G$25:G$162)*($C$25:$C$162=$C14))</f>
        <v>0</v>
      </c>
      <c r="H14" s="79" cm="1">
        <f t="array" ref="H14">SUMPRODUCT((H$25:H$162)*($C$25:$C$162=$C14))</f>
        <v>0</v>
      </c>
      <c r="I14" s="79" cm="1">
        <f t="array" ref="I14">SUMPRODUCT((I$25:I$162)*($C$25:$C$162=$C14))</f>
        <v>0</v>
      </c>
      <c r="J14" s="79" cm="1">
        <f t="array" ref="J14">SUMPRODUCT((J$25:J$162)*($C$25:$C$162=$C14))</f>
        <v>0</v>
      </c>
      <c r="K14" s="79" cm="1">
        <f t="array" ref="K14">SUMPRODUCT((K$25:K$162)*($C$25:$C$162=$C14))</f>
        <v>0</v>
      </c>
      <c r="L14" s="79" cm="1">
        <f t="array" ref="L14">SUMPRODUCT((L$25:L$162)*($C$25:$C$162=$C14))</f>
        <v>0</v>
      </c>
      <c r="M14" s="79" cm="1">
        <f t="array" ref="M14">SUMPRODUCT((M$25:M$162)*($C$25:$C$162=$C14))</f>
        <v>0</v>
      </c>
      <c r="N14" s="79" cm="1">
        <f t="array" ref="N14">SUMPRODUCT((N$25:N$162)*($C$25:$C$162=$C14))</f>
        <v>0</v>
      </c>
      <c r="O14" s="79" cm="1">
        <f t="array" ref="O14">SUMPRODUCT((O$25:O$162)*($C$25:$C$162=$C14))</f>
        <v>0</v>
      </c>
      <c r="P14" s="79" cm="1">
        <f t="array" ref="P14">SUMPRODUCT((P$25:P$162)*($C$25:$C$162=$C14))</f>
        <v>0</v>
      </c>
      <c r="Q14" s="79" cm="1">
        <f t="array" ref="Q14">SUMPRODUCT((Q$25:Q$162)*($C$25:$C$162=$C14))</f>
        <v>0</v>
      </c>
      <c r="R14" s="79" cm="1">
        <f t="array" ref="R14">SUMPRODUCT((R$25:R$162)*($C$25:$C$162=$C14))</f>
        <v>0</v>
      </c>
      <c r="S14" s="79" cm="1">
        <f t="array" ref="S14">SUMPRODUCT((S$25:S$162)*($C$25:$C$162=$C14))</f>
        <v>0</v>
      </c>
      <c r="T14" s="79" cm="1">
        <f t="array" ref="T14">SUMPRODUCT((T$25:T$162)*($C$25:$C$162=$C14))</f>
        <v>0</v>
      </c>
      <c r="U14" s="79" cm="1">
        <f t="array" ref="U14">SUMPRODUCT((U$25:U$162)*($C$25:$C$162=$C14))</f>
        <v>0</v>
      </c>
      <c r="V14" s="79" cm="1">
        <f t="array" ref="V14">SUMPRODUCT((V$25:V$162)*($C$25:$C$162=$C14))</f>
        <v>0</v>
      </c>
      <c r="W14" s="79" cm="1">
        <f t="array" ref="W14">SUMPRODUCT((W$25:W$162)*($C$25:$C$162=$C14))</f>
        <v>0</v>
      </c>
      <c r="X14" s="79" cm="1">
        <f t="array" ref="X14">SUMPRODUCT((X$25:X$162)*($C$25:$C$162=$C14))</f>
        <v>0</v>
      </c>
      <c r="Y14" s="79" cm="1">
        <f t="array" ref="Y14">SUMPRODUCT((Y$25:Y$162)*($C$25:$C$162=$C14))</f>
        <v>0</v>
      </c>
      <c r="Z14" s="79" cm="1">
        <f t="array" ref="Z14">SUMPRODUCT((Z$25:Z$162)*($C$25:$C$162=$C14))</f>
        <v>0</v>
      </c>
      <c r="AA14" s="79" cm="1">
        <f t="array" ref="AA14">SUMPRODUCT((AA$25:AA$162)*($C$25:$C$162=$C14))</f>
        <v>0</v>
      </c>
      <c r="AB14" s="79" cm="1">
        <f t="array" ref="AB14">SUMPRODUCT((AB$25:AB$162)*($C$25:$C$162=$C14))</f>
        <v>0</v>
      </c>
      <c r="AC14" s="79" cm="1">
        <f t="array" ref="AC14">SUMPRODUCT((AC$25:AC$162)*($C$25:$C$162=$C14))</f>
        <v>0</v>
      </c>
      <c r="AD14" s="79" cm="1">
        <f t="array" ref="AD14">SUMPRODUCT((AD$25:AD$162)*($C$25:$C$162=$C14))</f>
        <v>0</v>
      </c>
      <c r="AE14" s="79" cm="1">
        <f t="array" ref="AE14">SUMPRODUCT((AE$25:AE$162)*($C$25:$C$162=$C14))</f>
        <v>0</v>
      </c>
      <c r="AF14" s="79" cm="1">
        <f t="array" ref="AF14">SUMPRODUCT((AF$25:AF$162)*($C$25:$C$162=$C14))</f>
        <v>0</v>
      </c>
      <c r="AG14" s="79" cm="1">
        <f t="array" ref="AG14">SUMPRODUCT((AG$25:AG$162)*($C$25:$C$162=$C14))</f>
        <v>0</v>
      </c>
      <c r="AH14" s="79" cm="1">
        <f t="array" ref="AH14">SUMPRODUCT((AH$25:AH$162)*($C$25:$C$162=$C14))</f>
        <v>0</v>
      </c>
      <c r="AI14" s="79" cm="1">
        <f t="array" ref="AI14">SUMPRODUCT((AI$25:AI$162)*($C$25:$C$162=$C14))</f>
        <v>0</v>
      </c>
      <c r="AJ14" s="79" cm="1">
        <f t="array" ref="AJ14">SUMPRODUCT((AJ$25:AJ$162)*($C$25:$C$162=$C14))</f>
        <v>0</v>
      </c>
      <c r="AK14" s="79" cm="1">
        <f t="array" ref="AK14">SUMPRODUCT((AK$25:AK$162)*($C$25:$C$162=$C14))</f>
        <v>0</v>
      </c>
      <c r="AL14" s="79" cm="1">
        <f t="array" ref="AL14">SUMPRODUCT((AL$25:AL$162)*($C$25:$C$162=$C14))</f>
        <v>0</v>
      </c>
      <c r="AM14" s="79" cm="1">
        <f t="array" ref="AM14">SUMPRODUCT((AM$25:AM$162)*($C$25:$C$162=$C14))</f>
        <v>0</v>
      </c>
      <c r="AN14" s="79" cm="1">
        <f t="array" ref="AN14">SUMPRODUCT((AN$25:AN$162)*($C$25:$C$162=$C14))</f>
        <v>0</v>
      </c>
      <c r="AO14" s="79" cm="1">
        <f t="array" ref="AO14">SUMPRODUCT((AO$25:AO$162)*($C$25:$C$162=$C14))</f>
        <v>0</v>
      </c>
      <c r="AP14" s="79" cm="1">
        <f t="array" ref="AP14">SUMPRODUCT((AP$25:AP$162)*($C$25:$C$162=$C14))</f>
        <v>0</v>
      </c>
      <c r="AQ14" s="79" cm="1">
        <f t="array" ref="AQ14">SUMPRODUCT((AQ$25:AQ$162)*($C$25:$C$162=$C14))</f>
        <v>0</v>
      </c>
      <c r="AR14" s="79" cm="1">
        <f t="array" ref="AR14">SUMPRODUCT((AR$25:AR$162)*($C$25:$C$162=$C14))</f>
        <v>0</v>
      </c>
      <c r="AS14" s="79" cm="1">
        <f t="array" ref="AS14">SUMPRODUCT((AS$25:AS$162)*($C$25:$C$162=$C14))</f>
        <v>0</v>
      </c>
      <c r="AT14" s="79" cm="1">
        <f t="array" ref="AT14">SUMPRODUCT((AT$25:AT$162)*($C$25:$C$162=$C14))</f>
        <v>0</v>
      </c>
      <c r="AU14" s="79" cm="1">
        <f t="array" ref="AU14">SUMPRODUCT((AU$25:AU$162)*($C$25:$C$162=$C14))</f>
        <v>0</v>
      </c>
      <c r="AV14" s="79" cm="1">
        <f t="array" ref="AV14">SUMPRODUCT((AV$25:AV$162)*($C$25:$C$162=$C14))</f>
        <v>0</v>
      </c>
      <c r="AW14" s="79" cm="1">
        <f t="array" ref="AW14">SUMPRODUCT((AW$25:AW$162)*($C$25:$C$162=$C14))</f>
        <v>0</v>
      </c>
      <c r="AX14" s="79" cm="1">
        <f t="array" ref="AX14">SUMPRODUCT((AX$25:AX$162)*($C$25:$C$162=$C14))</f>
        <v>0</v>
      </c>
      <c r="AY14" s="79" cm="1">
        <f t="array" ref="AY14">SUMPRODUCT((AY$25:AY$162)*($C$25:$C$162=$C14))</f>
        <v>0</v>
      </c>
      <c r="AZ14" s="79" cm="1">
        <f t="array" ref="AZ14">SUMPRODUCT((AZ$25:AZ$162)*($C$25:$C$162=$C14))</f>
        <v>0</v>
      </c>
      <c r="BA14" s="79" cm="1">
        <f t="array" ref="BA14">SUMPRODUCT((BA$25:BA$162)*($C$25:$C$162=$C14))</f>
        <v>0</v>
      </c>
      <c r="BB14" s="79" cm="1">
        <f t="array" ref="BB14">SUMPRODUCT((BB$25:BB$162)*($C$25:$C$162=$C14))</f>
        <v>0</v>
      </c>
      <c r="BC14" s="79" cm="1">
        <f t="array" ref="BC14">SUMPRODUCT((BC$25:BC$162)*($C$25:$C$162=$C14))</f>
        <v>0</v>
      </c>
      <c r="BD14" s="79" cm="1">
        <f t="array" ref="BD14">SUMPRODUCT((BD$25:BD$162)*($C$25:$C$162=$C14))</f>
        <v>0</v>
      </c>
      <c r="BE14" s="79" cm="1">
        <f t="array" ref="BE14">SUMPRODUCT((BE$25:BE$162)*($C$25:$C$162=$C14))</f>
        <v>0</v>
      </c>
      <c r="BF14" s="79" cm="1">
        <f t="array" ref="BF14">SUMPRODUCT((BF$25:BF$162)*($C$25:$C$162=$C14))</f>
        <v>0</v>
      </c>
      <c r="BG14" s="79" cm="1">
        <f t="array" ref="BG14">SUMPRODUCT((BG$25:BG$162)*($C$25:$C$162=$C14))</f>
        <v>0</v>
      </c>
      <c r="BH14" s="79" cm="1">
        <f t="array" ref="BH14">SUMPRODUCT((BH$25:BH$162)*($C$25:$C$162=$C14))</f>
        <v>0</v>
      </c>
      <c r="BI14" s="79" cm="1">
        <f t="array" ref="BI14">SUMPRODUCT((BI$25:BI$162)*($C$25:$C$162=$C14))</f>
        <v>0</v>
      </c>
      <c r="BJ14" s="79" cm="1">
        <f t="array" ref="BJ14">SUMPRODUCT((BJ$25:BJ$162)*($C$25:$C$162=$C14))</f>
        <v>0</v>
      </c>
      <c r="BK14" s="79" cm="1">
        <f t="array" ref="BK14">SUMPRODUCT((BK$25:BK$162)*($C$25:$C$162=$C14))</f>
        <v>0</v>
      </c>
      <c r="BL14" s="79" cm="1">
        <f t="array" ref="BL14">SUMPRODUCT((BL$25:BL$162)*($C$25:$C$162=$C14))</f>
        <v>0</v>
      </c>
      <c r="BM14" s="79" cm="1">
        <f t="array" ref="BM14">SUMPRODUCT((BM$25:BM$162)*($C$25:$C$162=$C14))</f>
        <v>0</v>
      </c>
      <c r="BN14" s="79" cm="1">
        <f t="array" ref="BN14">SUMPRODUCT((BN$25:BN$162)*($C$25:$C$162=$C14))</f>
        <v>0</v>
      </c>
      <c r="BO14" s="79" cm="1">
        <f t="array" ref="BO14">SUMPRODUCT((BO$25:BO$162)*($C$25:$C$162=$C14))</f>
        <v>0</v>
      </c>
      <c r="BP14" s="79" cm="1">
        <f t="array" ref="BP14">SUMPRODUCT((BP$25:BP$162)*($C$25:$C$162=$C14))</f>
        <v>0</v>
      </c>
      <c r="BQ14" s="79" cm="1">
        <f t="array" ref="BQ14">SUMPRODUCT((BQ$25:BQ$162)*($C$25:$C$162=$C14))</f>
        <v>0</v>
      </c>
      <c r="BR14" s="79" cm="1">
        <f t="array" ref="BR14">SUMPRODUCT((BR$25:BR$162)*($C$25:$C$162=$C14))</f>
        <v>0</v>
      </c>
      <c r="BS14" s="79" cm="1">
        <f t="array" ref="BS14">SUMPRODUCT((BS$25:BS$162)*($C$25:$C$162=$C14))</f>
        <v>0</v>
      </c>
      <c r="BT14" s="79" cm="1">
        <f t="array" ref="BT14">SUMPRODUCT((BT$25:BT$162)*($C$25:$C$162=$C14))</f>
        <v>0</v>
      </c>
      <c r="BU14" s="79" cm="1">
        <f t="array" ref="BU14">SUMPRODUCT((BU$25:BU$162)*($C$25:$C$162=$C14))</f>
        <v>0</v>
      </c>
      <c r="BV14" s="79" cm="1">
        <f t="array" ref="BV14">SUMPRODUCT((BV$25:BV$162)*($C$25:$C$162=$C14))</f>
        <v>0</v>
      </c>
      <c r="BW14" s="79" cm="1">
        <f t="array" ref="BW14">SUMPRODUCT((BW$25:BW$162)*($C$25:$C$162=$C14))</f>
        <v>0</v>
      </c>
      <c r="BX14" s="79" cm="1">
        <f t="array" ref="BX14">SUMPRODUCT((BX$25:BX$162)*($C$25:$C$162=$C14))</f>
        <v>0</v>
      </c>
      <c r="BY14" s="79" cm="1">
        <f t="array" ref="BY14">SUMPRODUCT((BY$25:BY$162)*($C$25:$C$162=$C14))</f>
        <v>0</v>
      </c>
      <c r="BZ14" s="79" cm="1">
        <f t="array" ref="BZ14">SUMPRODUCT((BZ$25:BZ$162)*($C$25:$C$162=$C14))</f>
        <v>0</v>
      </c>
      <c r="CA14" s="79" cm="1">
        <f t="array" ref="CA14">SUMPRODUCT((CA$25:CA$162)*($C$25:$C$162=$C14))</f>
        <v>0</v>
      </c>
      <c r="CB14" s="79" cm="1">
        <f t="array" ref="CB14">SUMPRODUCT((CB$25:CB$162)*($C$25:$C$162=$C14))</f>
        <v>0</v>
      </c>
      <c r="CC14" s="79" cm="1">
        <f t="array" ref="CC14">SUMPRODUCT((CC$25:CC$162)*($C$25:$C$162=$C14))</f>
        <v>0</v>
      </c>
      <c r="CD14" s="79" cm="1">
        <f t="array" ref="CD14">SUMPRODUCT((CD$25:CD$162)*($C$25:$C$162=$C14))</f>
        <v>0</v>
      </c>
      <c r="CE14" s="79" cm="1">
        <f t="array" ref="CE14">SUMPRODUCT((CE$25:CE$162)*($C$25:$C$162=$C14))</f>
        <v>0</v>
      </c>
      <c r="CF14" s="79" cm="1">
        <f t="array" ref="CF14">SUMPRODUCT((CF$25:CF$162)*($C$25:$C$162=$C14))</f>
        <v>0</v>
      </c>
      <c r="CG14" s="79" cm="1">
        <f t="array" ref="CG14">SUMPRODUCT((CG$25:CG$162)*($C$25:$C$162=$C14))</f>
        <v>0</v>
      </c>
      <c r="CH14" s="79" cm="1">
        <f t="array" ref="CH14">SUMPRODUCT((CH$25:CH$162)*($C$25:$C$162=$C14))</f>
        <v>0</v>
      </c>
      <c r="CI14" s="79" cm="1">
        <f t="array" ref="CI14">SUMPRODUCT((CI$25:CI$162)*($C$25:$C$162=$C14))</f>
        <v>0</v>
      </c>
      <c r="CJ14" s="79" cm="1">
        <f t="array" ref="CJ14">SUMPRODUCT((CJ$25:CJ$162)*($C$25:$C$162=$C14))</f>
        <v>0</v>
      </c>
      <c r="CK14" s="79" cm="1">
        <f t="array" ref="CK14">SUMPRODUCT((CK$25:CK$162)*($C$25:$C$162=$C14))</f>
        <v>0</v>
      </c>
      <c r="CL14" s="79" cm="1">
        <f t="array" ref="CL14">SUMPRODUCT((CL$25:CL$162)*($C$25:$C$162=$C14))</f>
        <v>0</v>
      </c>
      <c r="CM14" s="79" cm="1">
        <f t="array" ref="CM14">SUMPRODUCT((CM$25:CM$162)*($C$25:$C$162=$C14))</f>
        <v>0</v>
      </c>
      <c r="CN14" s="79" cm="1">
        <f t="array" ref="CN14">SUMPRODUCT((CN$25:CN$162)*($C$25:$C$162=$C14))</f>
        <v>0</v>
      </c>
      <c r="CO14" s="79" cm="1">
        <f t="array" ref="CO14">SUMPRODUCT((CO$25:CO$162)*($C$25:$C$162=$C14))</f>
        <v>0</v>
      </c>
      <c r="CP14" s="79" cm="1">
        <f t="array" ref="CP14">SUMPRODUCT((CP$25:CP$162)*($C$25:$C$162=$C14))</f>
        <v>0</v>
      </c>
      <c r="CQ14" s="79" cm="1">
        <f t="array" ref="CQ14">SUMPRODUCT((CQ$25:CQ$162)*($C$25:$C$162=$C14))</f>
        <v>0</v>
      </c>
      <c r="CR14" s="79" cm="1">
        <f t="array" ref="CR14">SUMPRODUCT((CR$25:CR$162)*($C$25:$C$162=$C14))</f>
        <v>0</v>
      </c>
      <c r="CS14" s="79" cm="1">
        <f t="array" ref="CS14">SUMPRODUCT((CS$25:CS$162)*($C$25:$C$162=$C14))</f>
        <v>0</v>
      </c>
      <c r="CT14" s="79" cm="1">
        <f t="array" ref="CT14">SUMPRODUCT((CT$25:CT$162)*($C$25:$C$162=$C14))</f>
        <v>0</v>
      </c>
      <c r="CU14" s="79" cm="1">
        <f t="array" ref="CU14">SUMPRODUCT((CU$25:CU$162)*($C$25:$C$162=$C14))</f>
        <v>0</v>
      </c>
      <c r="CV14" s="79" cm="1">
        <f t="array" ref="CV14">SUMPRODUCT((CV$25:CV$162)*($C$25:$C$162=$C14))</f>
        <v>0</v>
      </c>
      <c r="CW14" s="79" cm="1">
        <f t="array" ref="CW14">SUMPRODUCT((CW$25:CW$162)*($C$25:$C$162=$C14))</f>
        <v>0</v>
      </c>
      <c r="CX14" s="79" cm="1">
        <f t="array" ref="CX14">SUMPRODUCT((CX$25:CX$162)*($C$25:$C$162=$C14))</f>
        <v>0</v>
      </c>
      <c r="CY14" s="79" cm="1">
        <f t="array" ref="CY14">SUMPRODUCT((CY$25:CY$162)*($C$25:$C$162=$C14))</f>
        <v>0</v>
      </c>
      <c r="CZ14" s="79" cm="1">
        <f t="array" ref="CZ14">SUMPRODUCT((CZ$25:CZ$162)*($C$25:$C$162=$C14))</f>
        <v>0</v>
      </c>
      <c r="DA14" s="79" cm="1">
        <f t="array" ref="DA14">SUMPRODUCT((DA$25:DA$162)*($C$25:$C$162=$C14))</f>
        <v>0</v>
      </c>
      <c r="DB14" s="79" cm="1">
        <f t="array" ref="DB14">SUMPRODUCT((DB$25:DB$162)*($C$25:$C$162=$C14))</f>
        <v>0</v>
      </c>
      <c r="DC14" s="79" cm="1">
        <f t="array" ref="DC14">SUMPRODUCT((DC$25:DC$162)*($C$25:$C$162=$C14))</f>
        <v>0</v>
      </c>
      <c r="DD14" s="79" cm="1">
        <f t="array" ref="DD14">SUMPRODUCT((DD$25:DD$162)*($C$25:$C$162=$C14))</f>
        <v>0</v>
      </c>
      <c r="DE14" s="79" cm="1">
        <f t="array" ref="DE14">SUMPRODUCT((DE$25:DE$162)*($C$25:$C$162=$C14))</f>
        <v>0</v>
      </c>
      <c r="DF14" s="79" cm="1">
        <f t="array" ref="DF14">SUMPRODUCT((DF$25:DF$162)*($C$25:$C$162=$C14))</f>
        <v>0</v>
      </c>
      <c r="DG14" s="79" cm="1">
        <f t="array" ref="DG14">SUMPRODUCT((DG$25:DG$162)*($C$25:$C$162=$C14))</f>
        <v>0</v>
      </c>
      <c r="DH14" s="79" cm="1">
        <f t="array" ref="DH14">SUMPRODUCT((DH$25:DH$162)*($C$25:$C$162=$C14))</f>
        <v>0</v>
      </c>
      <c r="DI14" s="79" cm="1">
        <f t="array" ref="DI14">SUMPRODUCT((DI$25:DI$162)*($C$25:$C$162=$C14))</f>
        <v>0</v>
      </c>
      <c r="DJ14" s="79" cm="1">
        <f t="array" ref="DJ14">SUMPRODUCT((DJ$25:DJ$162)*($C$25:$C$162=$C14))</f>
        <v>0</v>
      </c>
      <c r="DK14" s="79" cm="1">
        <f t="array" ref="DK14">SUMPRODUCT((DK$25:DK$162)*($C$25:$C$162=$C14))</f>
        <v>0</v>
      </c>
      <c r="DL14" s="79" cm="1">
        <f t="array" ref="DL14">SUMPRODUCT((DL$25:DL$162)*($C$25:$C$162=$C14))</f>
        <v>0</v>
      </c>
      <c r="DM14" s="79" cm="1">
        <f t="array" ref="DM14">SUMPRODUCT((DM$25:DM$162)*($C$25:$C$162=$C14))</f>
        <v>0</v>
      </c>
      <c r="DN14" s="79" cm="1">
        <f t="array" ref="DN14">SUMPRODUCT((DN$25:DN$162)*($C$25:$C$162=$C14))</f>
        <v>0</v>
      </c>
      <c r="DO14" s="79" cm="1">
        <f t="array" ref="DO14">SUMPRODUCT((DO$25:DO$162)*($C$25:$C$162=$C14))</f>
        <v>0</v>
      </c>
      <c r="DP14" s="79" cm="1">
        <f t="array" ref="DP14">SUMPRODUCT((DP$25:DP$162)*($C$25:$C$162=$C14))</f>
        <v>0</v>
      </c>
      <c r="DQ14" s="79" cm="1">
        <f t="array" ref="DQ14">SUMPRODUCT((DQ$25:DQ$162)*($C$25:$C$162=$C14))</f>
        <v>0</v>
      </c>
      <c r="DR14" s="79" cm="1">
        <f t="array" ref="DR14">SUMPRODUCT((DR$25:DR$162)*($C$25:$C$162=$C14))</f>
        <v>0</v>
      </c>
      <c r="DS14" s="79" cm="1">
        <f t="array" ref="DS14">SUMPRODUCT((DS$25:DS$162)*($C$25:$C$162=$C14))</f>
        <v>0</v>
      </c>
      <c r="DT14" s="79" cm="1">
        <f t="array" ref="DT14">SUMPRODUCT((DT$25:DT$162)*($C$25:$C$162=$C14))</f>
        <v>0</v>
      </c>
      <c r="DU14" s="79" cm="1">
        <f t="array" ref="DU14">SUMPRODUCT((DU$25:DU$162)*($C$25:$C$162=$C14))</f>
        <v>0</v>
      </c>
      <c r="DV14" s="79" cm="1">
        <f t="array" ref="DV14">SUMPRODUCT((DV$25:DV$162)*($C$25:$C$162=$C14))</f>
        <v>0</v>
      </c>
      <c r="DW14" s="79" cm="1">
        <f t="array" ref="DW14">SUMPRODUCT((DW$25:DW$162)*($C$25:$C$162=$C14))</f>
        <v>0</v>
      </c>
      <c r="DX14" s="79" cm="1">
        <f t="array" ref="DX14">SUMPRODUCT((DX$25:DX$162)*($C$25:$C$162=$C14))</f>
        <v>0</v>
      </c>
      <c r="DY14" s="79" cm="1">
        <f t="array" ref="DY14">SUMPRODUCT((DY$25:DY$162)*($C$25:$C$162=$C14))</f>
        <v>0</v>
      </c>
      <c r="DZ14" s="79" cm="1">
        <f t="array" ref="DZ14">SUMPRODUCT((DZ$25:DZ$162)*($C$25:$C$162=$C14))</f>
        <v>0</v>
      </c>
      <c r="EA14" s="79" cm="1">
        <f t="array" ref="EA14">SUMPRODUCT((EA$25:EA$162)*($C$25:$C$162=$C14))</f>
        <v>0</v>
      </c>
      <c r="EB14" s="79" cm="1">
        <f t="array" ref="EB14">SUMPRODUCT((EB$25:EB$162)*($C$25:$C$162=$C14))</f>
        <v>0</v>
      </c>
      <c r="EC14" s="79" cm="1">
        <f t="array" ref="EC14">SUMPRODUCT((EC$25:EC$162)*($C$25:$C$162=$C14))</f>
        <v>0</v>
      </c>
      <c r="ED14" s="79" cm="1">
        <f t="array" ref="ED14">SUMPRODUCT((ED$25:ED$162)*($C$25:$C$162=$C14))</f>
        <v>0</v>
      </c>
      <c r="EE14" s="79" cm="1">
        <f t="array" ref="EE14">SUMPRODUCT((EE$25:EE$162)*($C$25:$C$162=$C14))</f>
        <v>0</v>
      </c>
      <c r="EF14" s="79" cm="1">
        <f t="array" ref="EF14">SUMPRODUCT((EF$25:EF$162)*($C$25:$C$162=$C14))</f>
        <v>0</v>
      </c>
      <c r="EG14" s="79" cm="1">
        <f t="array" ref="EG14">SUMPRODUCT((EG$25:EG$162)*($C$25:$C$162=$C14))</f>
        <v>0</v>
      </c>
      <c r="EH14" s="79" cm="1">
        <f t="array" ref="EH14">SUMPRODUCT((EH$25:EH$162)*($C$25:$C$162=$C14))</f>
        <v>0</v>
      </c>
      <c r="EI14" s="79" cm="1">
        <f t="array" ref="EI14">SUMPRODUCT((EI$25:EI$162)*($C$25:$C$162=$C14))</f>
        <v>0</v>
      </c>
      <c r="EJ14" s="79" cm="1">
        <f t="array" ref="EJ14">SUMPRODUCT((EJ$25:EJ$162)*($C$25:$C$162=$C14))</f>
        <v>0</v>
      </c>
      <c r="EK14" s="79" cm="1">
        <f t="array" ref="EK14">SUMPRODUCT((EK$25:EK$162)*($C$25:$C$162=$C14))</f>
        <v>0</v>
      </c>
      <c r="EL14" s="79" cm="1">
        <f t="array" ref="EL14">SUMPRODUCT((EL$25:EL$162)*($C$25:$C$162=$C14))</f>
        <v>0</v>
      </c>
      <c r="EM14" s="79" cm="1">
        <f t="array" ref="EM14">SUMPRODUCT((EM$25:EM$162)*($C$25:$C$162=$C14))</f>
        <v>0</v>
      </c>
      <c r="EN14" s="79" cm="1">
        <f t="array" ref="EN14">SUMPRODUCT((EN$25:EN$162)*($C$25:$C$162=$C14))</f>
        <v>0</v>
      </c>
      <c r="EO14" s="79" cm="1">
        <f t="array" ref="EO14">SUMPRODUCT((EO$25:EO$162)*($C$25:$C$162=$C14))</f>
        <v>0</v>
      </c>
      <c r="EP14" s="79" cm="1">
        <f t="array" ref="EP14">SUMPRODUCT((EP$25:EP$162)*($C$25:$C$162=$C14))</f>
        <v>0</v>
      </c>
      <c r="EQ14" s="79" cm="1">
        <f t="array" ref="EQ14">SUMPRODUCT((EQ$25:EQ$162)*($C$25:$C$162=$C14))</f>
        <v>0</v>
      </c>
      <c r="ER14" s="79" cm="1">
        <f t="array" ref="ER14">SUMPRODUCT((ER$25:ER$162)*($C$25:$C$162=$C14))</f>
        <v>0</v>
      </c>
      <c r="ES14" s="79" cm="1">
        <f t="array" ref="ES14">SUMPRODUCT((ES$25:ES$162)*($C$25:$C$162=$C14))</f>
        <v>0</v>
      </c>
      <c r="ET14" s="79" cm="1">
        <f t="array" ref="ET14">SUMPRODUCT((ET$25:ET$162)*($C$25:$C$162=$C14))</f>
        <v>0</v>
      </c>
      <c r="EU14" s="79" cm="1">
        <f t="array" ref="EU14">SUMPRODUCT((EU$25:EU$162)*($C$25:$C$162=$C14))</f>
        <v>0</v>
      </c>
      <c r="EV14" s="79" cm="1">
        <f t="array" ref="EV14">SUMPRODUCT((EV$25:EV$162)*($C$25:$C$162=$C14))</f>
        <v>0</v>
      </c>
      <c r="EW14" s="79" cm="1">
        <f t="array" ref="EW14">SUMPRODUCT((EW$25:EW$162)*($C$25:$C$162=$C14))</f>
        <v>0</v>
      </c>
      <c r="EX14" s="79" cm="1">
        <f t="array" ref="EX14">SUMPRODUCT((EX$25:EX$162)*($C$25:$C$162=$C14))</f>
        <v>0</v>
      </c>
      <c r="EY14" s="79" cm="1">
        <f t="array" ref="EY14">SUMPRODUCT((EY$25:EY$162)*($C$25:$C$162=$C14))</f>
        <v>0</v>
      </c>
      <c r="EZ14" s="79" cm="1">
        <f t="array" ref="EZ14">SUMPRODUCT((EZ$25:EZ$162)*($C$25:$C$162=$C14))</f>
        <v>0</v>
      </c>
      <c r="FA14" s="79" cm="1">
        <f t="array" ref="FA14">SUMPRODUCT((FA$25:FA$162)*($C$25:$C$162=$C14))</f>
        <v>0</v>
      </c>
      <c r="FB14" s="79" cm="1">
        <f t="array" ref="FB14">SUMPRODUCT((FB$25:FB$162)*($C$25:$C$162=$C14))</f>
        <v>0</v>
      </c>
      <c r="FC14" s="79" cm="1">
        <f t="array" ref="FC14">SUMPRODUCT((FC$25:FC$162)*($C$25:$C$162=$C14))</f>
        <v>0</v>
      </c>
      <c r="FD14" s="79" cm="1">
        <f t="array" ref="FD14">SUMPRODUCT((FD$25:FD$162)*($C$25:$C$162=$C14))</f>
        <v>0</v>
      </c>
      <c r="FE14" s="79" cm="1">
        <f t="array" ref="FE14">SUMPRODUCT((FE$25:FE$162)*($C$25:$C$162=$C14))</f>
        <v>0</v>
      </c>
      <c r="FF14" s="79" cm="1">
        <f t="array" ref="FF14">SUMPRODUCT((FF$25:FF$162)*($C$25:$C$162=$C14))</f>
        <v>0</v>
      </c>
      <c r="FG14" s="79" cm="1">
        <f t="array" ref="FG14">SUMPRODUCT((FG$25:FG$162)*($C$25:$C$162=$C14))</f>
        <v>0</v>
      </c>
      <c r="FH14" s="79" cm="1">
        <f t="array" ref="FH14">SUMPRODUCT((FH$25:FH$162)*($C$25:$C$162=$C14))</f>
        <v>0</v>
      </c>
      <c r="FI14" s="79" cm="1">
        <f t="array" ref="FI14">SUMPRODUCT((FI$25:FI$162)*($C$25:$C$162=$C14))</f>
        <v>0</v>
      </c>
      <c r="FJ14" s="79" cm="1">
        <f t="array" ref="FJ14">SUMPRODUCT((FJ$25:FJ$162)*($C$25:$C$162=$C14))</f>
        <v>0</v>
      </c>
      <c r="FK14" s="79" cm="1">
        <f t="array" ref="FK14">SUMPRODUCT((FK$25:FK$162)*($C$25:$C$162=$C14))</f>
        <v>0</v>
      </c>
      <c r="FL14" s="79" cm="1">
        <f t="array" ref="FL14">SUMPRODUCT((FL$25:FL$162)*($C$25:$C$162=$C14))</f>
        <v>0</v>
      </c>
      <c r="FM14" s="79" cm="1">
        <f t="array" ref="FM14">SUMPRODUCT((FM$25:FM$162)*($C$25:$C$162=$C14))</f>
        <v>0</v>
      </c>
      <c r="FN14" s="79" cm="1">
        <f t="array" ref="FN14">SUMPRODUCT((FN$25:FN$162)*($C$25:$C$162=$C14))</f>
        <v>0</v>
      </c>
      <c r="FO14" s="79" cm="1">
        <f t="array" ref="FO14">SUMPRODUCT((FO$25:FO$162)*($C$25:$C$162=$C14))</f>
        <v>0</v>
      </c>
      <c r="FP14" s="79" cm="1">
        <f t="array" ref="FP14">SUMPRODUCT((FP$25:FP$162)*($C$25:$C$162=$C14))</f>
        <v>0</v>
      </c>
      <c r="FQ14" s="79" cm="1">
        <f t="array" ref="FQ14">SUMPRODUCT((FQ$25:FQ$162)*($C$25:$C$162=$C14))</f>
        <v>0</v>
      </c>
      <c r="FR14" s="79" cm="1">
        <f t="array" ref="FR14">SUMPRODUCT((FR$25:FR$162)*($C$25:$C$162=$C14))</f>
        <v>0</v>
      </c>
      <c r="FS14" s="79" cm="1">
        <f t="array" ref="FS14">SUMPRODUCT((FS$25:FS$162)*($C$25:$C$162=$C14))</f>
        <v>0</v>
      </c>
      <c r="FT14" s="79" cm="1">
        <f t="array" ref="FT14">SUMPRODUCT((FT$25:FT$162)*($C$25:$C$162=$C14))</f>
        <v>0</v>
      </c>
      <c r="FU14" s="79" cm="1">
        <f t="array" ref="FU14">SUMPRODUCT((FU$25:FU$162)*($C$25:$C$162=$C14))</f>
        <v>0</v>
      </c>
      <c r="FV14" s="79" cm="1">
        <f t="array" ref="FV14">SUMPRODUCT((FV$25:FV$162)*($C$25:$C$162=$C14))</f>
        <v>0</v>
      </c>
      <c r="FW14" s="79" cm="1">
        <f t="array" ref="FW14">SUMPRODUCT((FW$25:FW$162)*($C$25:$C$162=$C14))</f>
        <v>0</v>
      </c>
      <c r="FX14" s="79" cm="1">
        <f t="array" ref="FX14">SUMPRODUCT((FX$25:FX$162)*($C$25:$C$162=$C14))</f>
        <v>0</v>
      </c>
      <c r="FY14" s="79" cm="1">
        <f t="array" ref="FY14">SUMPRODUCT((FY$25:FY$162)*($C$25:$C$162=$C14))</f>
        <v>0</v>
      </c>
      <c r="FZ14" s="79" cm="1">
        <f t="array" ref="FZ14">SUMPRODUCT((FZ$25:FZ$162)*($C$25:$C$162=$C14))</f>
        <v>0</v>
      </c>
      <c r="GA14" s="79" cm="1">
        <f t="array" ref="GA14">SUMPRODUCT((GA$25:GA$162)*($C$25:$C$162=$C14))</f>
        <v>0</v>
      </c>
      <c r="GB14" s="79" cm="1">
        <f t="array" ref="GB14">SUMPRODUCT((GB$25:GB$162)*($C$25:$C$162=$C14))</f>
        <v>0</v>
      </c>
      <c r="GC14" s="79" cm="1">
        <f t="array" ref="GC14">SUMPRODUCT((GC$25:GC$162)*($C$25:$C$162=$C14))</f>
        <v>0</v>
      </c>
    </row>
    <row r="15" spans="1:185">
      <c r="A15" s="80"/>
      <c r="B15" s="80" t="s">
        <v>43</v>
      </c>
      <c r="C15" s="80" t="s">
        <v>44</v>
      </c>
      <c r="D15" s="80"/>
      <c r="E15" s="82">
        <f t="shared" si="0"/>
        <v>14805969.617066635</v>
      </c>
      <c r="F15" s="79" cm="1">
        <f t="array" ref="F15">SUMPRODUCT((F$25:F$162)*($C$25:$C$162=$C15))</f>
        <v>0</v>
      </c>
      <c r="G15" s="79" cm="1">
        <f t="array" ref="G15">SUMPRODUCT((G$25:G$162)*($C$25:$C$162=$C15))</f>
        <v>0</v>
      </c>
      <c r="H15" s="79" cm="1">
        <f t="array" ref="H15">SUMPRODUCT((H$25:H$162)*($C$25:$C$162=$C15))</f>
        <v>0</v>
      </c>
      <c r="I15" s="79" cm="1">
        <f t="array" ref="I15">SUMPRODUCT((I$25:I$162)*($C$25:$C$162=$C15))</f>
        <v>0</v>
      </c>
      <c r="J15" s="79" cm="1">
        <f t="array" ref="J15">SUMPRODUCT((J$25:J$162)*($C$25:$C$162=$C15))</f>
        <v>0</v>
      </c>
      <c r="K15" s="79" cm="1">
        <f t="array" ref="K15">SUMPRODUCT((K$25:K$162)*($C$25:$C$162=$C15))</f>
        <v>0</v>
      </c>
      <c r="L15" s="79" cm="1">
        <f t="array" ref="L15">SUMPRODUCT((L$25:L$162)*($C$25:$C$162=$C15))</f>
        <v>0</v>
      </c>
      <c r="M15" s="79" cm="1">
        <f t="array" ref="M15">SUMPRODUCT((M$25:M$162)*($C$25:$C$162=$C15))</f>
        <v>0</v>
      </c>
      <c r="N15" s="79" cm="1">
        <f t="array" ref="N15">SUMPRODUCT((N$25:N$162)*($C$25:$C$162=$C15))</f>
        <v>4685.8698666666633</v>
      </c>
      <c r="O15" s="79" cm="1">
        <f t="array" ref="O15">SUMPRODUCT((O$25:O$162)*($C$25:$C$162=$C15))</f>
        <v>4685.8698666666633</v>
      </c>
      <c r="P15" s="79" cm="1">
        <f t="array" ref="P15">SUMPRODUCT((P$25:P$162)*($C$25:$C$162=$C15))</f>
        <v>4685.8698666666633</v>
      </c>
      <c r="Q15" s="79" cm="1">
        <f t="array" ref="Q15">SUMPRODUCT((Q$25:Q$162)*($C$25:$C$162=$C15))</f>
        <v>4685.8698666666633</v>
      </c>
      <c r="R15" s="79" cm="1">
        <f t="array" ref="R15">SUMPRODUCT((R$25:R$162)*($C$25:$C$162=$C15))</f>
        <v>88019.203199999989</v>
      </c>
      <c r="S15" s="79" cm="1">
        <f t="array" ref="S15">SUMPRODUCT((S$25:S$162)*($C$25:$C$162=$C15))</f>
        <v>88019.203199999989</v>
      </c>
      <c r="T15" s="79" cm="1">
        <f t="array" ref="T15">SUMPRODUCT((T$25:T$162)*($C$25:$C$162=$C15))</f>
        <v>88019.203199999989</v>
      </c>
      <c r="U15" s="79" cm="1">
        <f t="array" ref="U15">SUMPRODUCT((U$25:U$162)*($C$25:$C$162=$C15))</f>
        <v>88019.203199999989</v>
      </c>
      <c r="V15" s="79" cm="1">
        <f t="array" ref="V15">SUMPRODUCT((V$25:V$162)*($C$25:$C$162=$C15))</f>
        <v>88019.203199999989</v>
      </c>
      <c r="W15" s="79" cm="1">
        <f t="array" ref="W15">SUMPRODUCT((W$25:W$162)*($C$25:$C$162=$C15))</f>
        <v>88019.203199999989</v>
      </c>
      <c r="X15" s="79" cm="1">
        <f t="array" ref="X15">SUMPRODUCT((X$25:X$162)*($C$25:$C$162=$C15))</f>
        <v>88019.203199999989</v>
      </c>
      <c r="Y15" s="79" cm="1">
        <f t="array" ref="Y15">SUMPRODUCT((Y$25:Y$162)*($C$25:$C$162=$C15))</f>
        <v>88019.203199999989</v>
      </c>
      <c r="Z15" s="79" cm="1">
        <f t="array" ref="Z15">SUMPRODUCT((Z$25:Z$162)*($C$25:$C$162=$C15))</f>
        <v>88019.203199999989</v>
      </c>
      <c r="AA15" s="79" cm="1">
        <f t="array" ref="AA15">SUMPRODUCT((AA$25:AA$162)*($C$25:$C$162=$C15))</f>
        <v>88019.203199999989</v>
      </c>
      <c r="AB15" s="79" cm="1">
        <f t="array" ref="AB15">SUMPRODUCT((AB$25:AB$162)*($C$25:$C$162=$C15))</f>
        <v>88019.203199999989</v>
      </c>
      <c r="AC15" s="79" cm="1">
        <f t="array" ref="AC15">SUMPRODUCT((AC$25:AC$162)*($C$25:$C$162=$C15))</f>
        <v>88019.203199999989</v>
      </c>
      <c r="AD15" s="79" cm="1">
        <f t="array" ref="AD15">SUMPRODUCT((AD$25:AD$162)*($C$25:$C$162=$C15))</f>
        <v>88019.203199999989</v>
      </c>
      <c r="AE15" s="79" cm="1">
        <f t="array" ref="AE15">SUMPRODUCT((AE$25:AE$162)*($C$25:$C$162=$C15))</f>
        <v>88019.203199999989</v>
      </c>
      <c r="AF15" s="79" cm="1">
        <f t="array" ref="AF15">SUMPRODUCT((AF$25:AF$162)*($C$25:$C$162=$C15))</f>
        <v>88019.203199999989</v>
      </c>
      <c r="AG15" s="79" cm="1">
        <f t="array" ref="AG15">SUMPRODUCT((AG$25:AG$162)*($C$25:$C$162=$C15))</f>
        <v>88019.203199999989</v>
      </c>
      <c r="AH15" s="79" cm="1">
        <f t="array" ref="AH15">SUMPRODUCT((AH$25:AH$162)*($C$25:$C$162=$C15))</f>
        <v>88019.203199999989</v>
      </c>
      <c r="AI15" s="79" cm="1">
        <f t="array" ref="AI15">SUMPRODUCT((AI$25:AI$162)*($C$25:$C$162=$C15))</f>
        <v>88019.203199999989</v>
      </c>
      <c r="AJ15" s="79" cm="1">
        <f t="array" ref="AJ15">SUMPRODUCT((AJ$25:AJ$162)*($C$25:$C$162=$C15))</f>
        <v>88019.203199999989</v>
      </c>
      <c r="AK15" s="79" cm="1">
        <f t="array" ref="AK15">SUMPRODUCT((AK$25:AK$162)*($C$25:$C$162=$C15))</f>
        <v>88019.203199999989</v>
      </c>
      <c r="AL15" s="79" cm="1">
        <f t="array" ref="AL15">SUMPRODUCT((AL$25:AL$162)*($C$25:$C$162=$C15))</f>
        <v>88019.203199999989</v>
      </c>
      <c r="AM15" s="79" cm="1">
        <f t="array" ref="AM15">SUMPRODUCT((AM$25:AM$162)*($C$25:$C$162=$C15))</f>
        <v>88019.203199999989</v>
      </c>
      <c r="AN15" s="79" cm="1">
        <f t="array" ref="AN15">SUMPRODUCT((AN$25:AN$162)*($C$25:$C$162=$C15))</f>
        <v>88019.203199999989</v>
      </c>
      <c r="AO15" s="79" cm="1">
        <f t="array" ref="AO15">SUMPRODUCT((AO$25:AO$162)*($C$25:$C$162=$C15))</f>
        <v>88019.203199999989</v>
      </c>
      <c r="AP15" s="79" cm="1">
        <f t="array" ref="AP15">SUMPRODUCT((AP$25:AP$162)*($C$25:$C$162=$C15))</f>
        <v>88019.203199999989</v>
      </c>
      <c r="AQ15" s="79" cm="1">
        <f t="array" ref="AQ15">SUMPRODUCT((AQ$25:AQ$162)*($C$25:$C$162=$C15))</f>
        <v>88019.203199999989</v>
      </c>
      <c r="AR15" s="79" cm="1">
        <f t="array" ref="AR15">SUMPRODUCT((AR$25:AR$162)*($C$25:$C$162=$C15))</f>
        <v>88019.203199999989</v>
      </c>
      <c r="AS15" s="79" cm="1">
        <f t="array" ref="AS15">SUMPRODUCT((AS$25:AS$162)*($C$25:$C$162=$C15))</f>
        <v>88019.203199999989</v>
      </c>
      <c r="AT15" s="79" cm="1">
        <f t="array" ref="AT15">SUMPRODUCT((AT$25:AT$162)*($C$25:$C$162=$C15))</f>
        <v>88019.203199999989</v>
      </c>
      <c r="AU15" s="79" cm="1">
        <f t="array" ref="AU15">SUMPRODUCT((AU$25:AU$162)*($C$25:$C$162=$C15))</f>
        <v>88019.203199999989</v>
      </c>
      <c r="AV15" s="79" cm="1">
        <f t="array" ref="AV15">SUMPRODUCT((AV$25:AV$162)*($C$25:$C$162=$C15))</f>
        <v>88019.203199999989</v>
      </c>
      <c r="AW15" s="79" cm="1">
        <f t="array" ref="AW15">SUMPRODUCT((AW$25:AW$162)*($C$25:$C$162=$C15))</f>
        <v>88019.203199999989</v>
      </c>
      <c r="AX15" s="79" cm="1">
        <f t="array" ref="AX15">SUMPRODUCT((AX$25:AX$162)*($C$25:$C$162=$C15))</f>
        <v>88019.203199999989</v>
      </c>
      <c r="AY15" s="79" cm="1">
        <f t="array" ref="AY15">SUMPRODUCT((AY$25:AY$162)*($C$25:$C$162=$C15))</f>
        <v>88019.203199999989</v>
      </c>
      <c r="AZ15" s="79" cm="1">
        <f t="array" ref="AZ15">SUMPRODUCT((AZ$25:AZ$162)*($C$25:$C$162=$C15))</f>
        <v>88019.203199999989</v>
      </c>
      <c r="BA15" s="79" cm="1">
        <f t="array" ref="BA15">SUMPRODUCT((BA$25:BA$162)*($C$25:$C$162=$C15))</f>
        <v>88019.203199999989</v>
      </c>
      <c r="BB15" s="79" cm="1">
        <f t="array" ref="BB15">SUMPRODUCT((BB$25:BB$162)*($C$25:$C$162=$C15))</f>
        <v>88019.203199999989</v>
      </c>
      <c r="BC15" s="79" cm="1">
        <f t="array" ref="BC15">SUMPRODUCT((BC$25:BC$162)*($C$25:$C$162=$C15))</f>
        <v>88019.203199999989</v>
      </c>
      <c r="BD15" s="79" cm="1">
        <f t="array" ref="BD15">SUMPRODUCT((BD$25:BD$162)*($C$25:$C$162=$C15))</f>
        <v>88019.203199999989</v>
      </c>
      <c r="BE15" s="79" cm="1">
        <f t="array" ref="BE15">SUMPRODUCT((BE$25:BE$162)*($C$25:$C$162=$C15))</f>
        <v>88019.203199999989</v>
      </c>
      <c r="BF15" s="79" cm="1">
        <f t="array" ref="BF15">SUMPRODUCT((BF$25:BF$162)*($C$25:$C$162=$C15))</f>
        <v>88019.203199999989</v>
      </c>
      <c r="BG15" s="79" cm="1">
        <f t="array" ref="BG15">SUMPRODUCT((BG$25:BG$162)*($C$25:$C$162=$C15))</f>
        <v>88019.203199999989</v>
      </c>
      <c r="BH15" s="79" cm="1">
        <f t="array" ref="BH15">SUMPRODUCT((BH$25:BH$162)*($C$25:$C$162=$C15))</f>
        <v>88019.203199999989</v>
      </c>
      <c r="BI15" s="79" cm="1">
        <f t="array" ref="BI15">SUMPRODUCT((BI$25:BI$162)*($C$25:$C$162=$C15))</f>
        <v>88019.203199999989</v>
      </c>
      <c r="BJ15" s="79" cm="1">
        <f t="array" ref="BJ15">SUMPRODUCT((BJ$25:BJ$162)*($C$25:$C$162=$C15))</f>
        <v>88019.203199999989</v>
      </c>
      <c r="BK15" s="79" cm="1">
        <f t="array" ref="BK15">SUMPRODUCT((BK$25:BK$162)*($C$25:$C$162=$C15))</f>
        <v>88019.203199999989</v>
      </c>
      <c r="BL15" s="79" cm="1">
        <f t="array" ref="BL15">SUMPRODUCT((BL$25:BL$162)*($C$25:$C$162=$C15))</f>
        <v>88019.203199999989</v>
      </c>
      <c r="BM15" s="79" cm="1">
        <f t="array" ref="BM15">SUMPRODUCT((BM$25:BM$162)*($C$25:$C$162=$C15))</f>
        <v>88019.203199999989</v>
      </c>
      <c r="BN15" s="79" cm="1">
        <f t="array" ref="BN15">SUMPRODUCT((BN$25:BN$162)*($C$25:$C$162=$C15))</f>
        <v>88019.203199999989</v>
      </c>
      <c r="BO15" s="79" cm="1">
        <f t="array" ref="BO15">SUMPRODUCT((BO$25:BO$162)*($C$25:$C$162=$C15))</f>
        <v>88019.203199999989</v>
      </c>
      <c r="BP15" s="79" cm="1">
        <f t="array" ref="BP15">SUMPRODUCT((BP$25:BP$162)*($C$25:$C$162=$C15))</f>
        <v>88019.203199999989</v>
      </c>
      <c r="BQ15" s="79" cm="1">
        <f t="array" ref="BQ15">SUMPRODUCT((BQ$25:BQ$162)*($C$25:$C$162=$C15))</f>
        <v>88019.203199999989</v>
      </c>
      <c r="BR15" s="79" cm="1">
        <f t="array" ref="BR15">SUMPRODUCT((BR$25:BR$162)*($C$25:$C$162=$C15))</f>
        <v>88019.203199999989</v>
      </c>
      <c r="BS15" s="79" cm="1">
        <f t="array" ref="BS15">SUMPRODUCT((BS$25:BS$162)*($C$25:$C$162=$C15))</f>
        <v>88019.203199999989</v>
      </c>
      <c r="BT15" s="79" cm="1">
        <f t="array" ref="BT15">SUMPRODUCT((BT$25:BT$162)*($C$25:$C$162=$C15))</f>
        <v>88019.203199999989</v>
      </c>
      <c r="BU15" s="79" cm="1">
        <f t="array" ref="BU15">SUMPRODUCT((BU$25:BU$162)*($C$25:$C$162=$C15))</f>
        <v>88019.203199999989</v>
      </c>
      <c r="BV15" s="79" cm="1">
        <f t="array" ref="BV15">SUMPRODUCT((BV$25:BV$162)*($C$25:$C$162=$C15))</f>
        <v>88019.203199999989</v>
      </c>
      <c r="BW15" s="79" cm="1">
        <f t="array" ref="BW15">SUMPRODUCT((BW$25:BW$162)*($C$25:$C$162=$C15))</f>
        <v>88019.203199999989</v>
      </c>
      <c r="BX15" s="79" cm="1">
        <f t="array" ref="BX15">SUMPRODUCT((BX$25:BX$162)*($C$25:$C$162=$C15))</f>
        <v>88019.203199999989</v>
      </c>
      <c r="BY15" s="79" cm="1">
        <f t="array" ref="BY15">SUMPRODUCT((BY$25:BY$162)*($C$25:$C$162=$C15))</f>
        <v>88019.203199999989</v>
      </c>
      <c r="BZ15" s="79" cm="1">
        <f t="array" ref="BZ15">SUMPRODUCT((BZ$25:BZ$162)*($C$25:$C$162=$C15))</f>
        <v>88019.203199999989</v>
      </c>
      <c r="CA15" s="79" cm="1">
        <f t="array" ref="CA15">SUMPRODUCT((CA$25:CA$162)*($C$25:$C$162=$C15))</f>
        <v>88019.203199999989</v>
      </c>
      <c r="CB15" s="79" cm="1">
        <f t="array" ref="CB15">SUMPRODUCT((CB$25:CB$162)*($C$25:$C$162=$C15))</f>
        <v>88019.203199999989</v>
      </c>
      <c r="CC15" s="79" cm="1">
        <f t="array" ref="CC15">SUMPRODUCT((CC$25:CC$162)*($C$25:$C$162=$C15))</f>
        <v>88019.203199999989</v>
      </c>
      <c r="CD15" s="79" cm="1">
        <f t="array" ref="CD15">SUMPRODUCT((CD$25:CD$162)*($C$25:$C$162=$C15))</f>
        <v>88019.203199999989</v>
      </c>
      <c r="CE15" s="79" cm="1">
        <f t="array" ref="CE15">SUMPRODUCT((CE$25:CE$162)*($C$25:$C$162=$C15))</f>
        <v>88019.203199999989</v>
      </c>
      <c r="CF15" s="79" cm="1">
        <f t="array" ref="CF15">SUMPRODUCT((CF$25:CF$162)*($C$25:$C$162=$C15))</f>
        <v>88019.203199999989</v>
      </c>
      <c r="CG15" s="79" cm="1">
        <f t="array" ref="CG15">SUMPRODUCT((CG$25:CG$162)*($C$25:$C$162=$C15))</f>
        <v>88019.203199999989</v>
      </c>
      <c r="CH15" s="79" cm="1">
        <f t="array" ref="CH15">SUMPRODUCT((CH$25:CH$162)*($C$25:$C$162=$C15))</f>
        <v>88019.203199999989</v>
      </c>
      <c r="CI15" s="79" cm="1">
        <f t="array" ref="CI15">SUMPRODUCT((CI$25:CI$162)*($C$25:$C$162=$C15))</f>
        <v>88019.203199999989</v>
      </c>
      <c r="CJ15" s="79" cm="1">
        <f t="array" ref="CJ15">SUMPRODUCT((CJ$25:CJ$162)*($C$25:$C$162=$C15))</f>
        <v>88019.203199999989</v>
      </c>
      <c r="CK15" s="79" cm="1">
        <f t="array" ref="CK15">SUMPRODUCT((CK$25:CK$162)*($C$25:$C$162=$C15))</f>
        <v>88019.203199999989</v>
      </c>
      <c r="CL15" s="79" cm="1">
        <f t="array" ref="CL15">SUMPRODUCT((CL$25:CL$162)*($C$25:$C$162=$C15))</f>
        <v>88019.203199999989</v>
      </c>
      <c r="CM15" s="79" cm="1">
        <f t="array" ref="CM15">SUMPRODUCT((CM$25:CM$162)*($C$25:$C$162=$C15))</f>
        <v>88019.203199999989</v>
      </c>
      <c r="CN15" s="79" cm="1">
        <f t="array" ref="CN15">SUMPRODUCT((CN$25:CN$162)*($C$25:$C$162=$C15))</f>
        <v>88019.203199999989</v>
      </c>
      <c r="CO15" s="79" cm="1">
        <f t="array" ref="CO15">SUMPRODUCT((CO$25:CO$162)*($C$25:$C$162=$C15))</f>
        <v>88019.203199999989</v>
      </c>
      <c r="CP15" s="79" cm="1">
        <f t="array" ref="CP15">SUMPRODUCT((CP$25:CP$162)*($C$25:$C$162=$C15))</f>
        <v>88019.203199999989</v>
      </c>
      <c r="CQ15" s="79" cm="1">
        <f t="array" ref="CQ15">SUMPRODUCT((CQ$25:CQ$162)*($C$25:$C$162=$C15))</f>
        <v>88019.203199999989</v>
      </c>
      <c r="CR15" s="79" cm="1">
        <f t="array" ref="CR15">SUMPRODUCT((CR$25:CR$162)*($C$25:$C$162=$C15))</f>
        <v>88019.203199999989</v>
      </c>
      <c r="CS15" s="79" cm="1">
        <f t="array" ref="CS15">SUMPRODUCT((CS$25:CS$162)*($C$25:$C$162=$C15))</f>
        <v>88019.203199999989</v>
      </c>
      <c r="CT15" s="79" cm="1">
        <f t="array" ref="CT15">SUMPRODUCT((CT$25:CT$162)*($C$25:$C$162=$C15))</f>
        <v>88019.203199999989</v>
      </c>
      <c r="CU15" s="79" cm="1">
        <f t="array" ref="CU15">SUMPRODUCT((CU$25:CU$162)*($C$25:$C$162=$C15))</f>
        <v>88019.203199999989</v>
      </c>
      <c r="CV15" s="79" cm="1">
        <f t="array" ref="CV15">SUMPRODUCT((CV$25:CV$162)*($C$25:$C$162=$C15))</f>
        <v>88019.203199999989</v>
      </c>
      <c r="CW15" s="79" cm="1">
        <f t="array" ref="CW15">SUMPRODUCT((CW$25:CW$162)*($C$25:$C$162=$C15))</f>
        <v>88019.203199999989</v>
      </c>
      <c r="CX15" s="79" cm="1">
        <f t="array" ref="CX15">SUMPRODUCT((CX$25:CX$162)*($C$25:$C$162=$C15))</f>
        <v>88019.203199999989</v>
      </c>
      <c r="CY15" s="79" cm="1">
        <f t="array" ref="CY15">SUMPRODUCT((CY$25:CY$162)*($C$25:$C$162=$C15))</f>
        <v>88019.203199999989</v>
      </c>
      <c r="CZ15" s="79" cm="1">
        <f t="array" ref="CZ15">SUMPRODUCT((CZ$25:CZ$162)*($C$25:$C$162=$C15))</f>
        <v>88019.203199999989</v>
      </c>
      <c r="DA15" s="79" cm="1">
        <f t="array" ref="DA15">SUMPRODUCT((DA$25:DA$162)*($C$25:$C$162=$C15))</f>
        <v>88019.203199999989</v>
      </c>
      <c r="DB15" s="79" cm="1">
        <f t="array" ref="DB15">SUMPRODUCT((DB$25:DB$162)*($C$25:$C$162=$C15))</f>
        <v>88019.203199999989</v>
      </c>
      <c r="DC15" s="79" cm="1">
        <f t="array" ref="DC15">SUMPRODUCT((DC$25:DC$162)*($C$25:$C$162=$C15))</f>
        <v>88019.203199999989</v>
      </c>
      <c r="DD15" s="79" cm="1">
        <f t="array" ref="DD15">SUMPRODUCT((DD$25:DD$162)*($C$25:$C$162=$C15))</f>
        <v>88019.203199999989</v>
      </c>
      <c r="DE15" s="79" cm="1">
        <f t="array" ref="DE15">SUMPRODUCT((DE$25:DE$162)*($C$25:$C$162=$C15))</f>
        <v>88019.203199999989</v>
      </c>
      <c r="DF15" s="79" cm="1">
        <f t="array" ref="DF15">SUMPRODUCT((DF$25:DF$162)*($C$25:$C$162=$C15))</f>
        <v>88019.203199999989</v>
      </c>
      <c r="DG15" s="79" cm="1">
        <f t="array" ref="DG15">SUMPRODUCT((DG$25:DG$162)*($C$25:$C$162=$C15))</f>
        <v>88019.203199999989</v>
      </c>
      <c r="DH15" s="79" cm="1">
        <f t="array" ref="DH15">SUMPRODUCT((DH$25:DH$162)*($C$25:$C$162=$C15))</f>
        <v>88019.203199999989</v>
      </c>
      <c r="DI15" s="79" cm="1">
        <f t="array" ref="DI15">SUMPRODUCT((DI$25:DI$162)*($C$25:$C$162=$C15))</f>
        <v>88019.203199999989</v>
      </c>
      <c r="DJ15" s="79" cm="1">
        <f t="array" ref="DJ15">SUMPRODUCT((DJ$25:DJ$162)*($C$25:$C$162=$C15))</f>
        <v>88019.203199999989</v>
      </c>
      <c r="DK15" s="79" cm="1">
        <f t="array" ref="DK15">SUMPRODUCT((DK$25:DK$162)*($C$25:$C$162=$C15))</f>
        <v>88019.203199999989</v>
      </c>
      <c r="DL15" s="79" cm="1">
        <f t="array" ref="DL15">SUMPRODUCT((DL$25:DL$162)*($C$25:$C$162=$C15))</f>
        <v>88019.203199999989</v>
      </c>
      <c r="DM15" s="79" cm="1">
        <f t="array" ref="DM15">SUMPRODUCT((DM$25:DM$162)*($C$25:$C$162=$C15))</f>
        <v>88019.203199999989</v>
      </c>
      <c r="DN15" s="79" cm="1">
        <f t="array" ref="DN15">SUMPRODUCT((DN$25:DN$162)*($C$25:$C$162=$C15))</f>
        <v>88019.203199999989</v>
      </c>
      <c r="DO15" s="79" cm="1">
        <f t="array" ref="DO15">SUMPRODUCT((DO$25:DO$162)*($C$25:$C$162=$C15))</f>
        <v>88019.203199999989</v>
      </c>
      <c r="DP15" s="79" cm="1">
        <f t="array" ref="DP15">SUMPRODUCT((DP$25:DP$162)*($C$25:$C$162=$C15))</f>
        <v>88019.203199999989</v>
      </c>
      <c r="DQ15" s="79" cm="1">
        <f t="array" ref="DQ15">SUMPRODUCT((DQ$25:DQ$162)*($C$25:$C$162=$C15))</f>
        <v>88019.203199999989</v>
      </c>
      <c r="DR15" s="79" cm="1">
        <f t="array" ref="DR15">SUMPRODUCT((DR$25:DR$162)*($C$25:$C$162=$C15))</f>
        <v>88019.203199999989</v>
      </c>
      <c r="DS15" s="79" cm="1">
        <f t="array" ref="DS15">SUMPRODUCT((DS$25:DS$162)*($C$25:$C$162=$C15))</f>
        <v>88019.203199999989</v>
      </c>
      <c r="DT15" s="79" cm="1">
        <f t="array" ref="DT15">SUMPRODUCT((DT$25:DT$162)*($C$25:$C$162=$C15))</f>
        <v>88019.203199999989</v>
      </c>
      <c r="DU15" s="79" cm="1">
        <f t="array" ref="DU15">SUMPRODUCT((DU$25:DU$162)*($C$25:$C$162=$C15))</f>
        <v>88019.203199999989</v>
      </c>
      <c r="DV15" s="79" cm="1">
        <f t="array" ref="DV15">SUMPRODUCT((DV$25:DV$162)*($C$25:$C$162=$C15))</f>
        <v>88019.203199999989</v>
      </c>
      <c r="DW15" s="79" cm="1">
        <f t="array" ref="DW15">SUMPRODUCT((DW$25:DW$162)*($C$25:$C$162=$C15))</f>
        <v>88019.203199999989</v>
      </c>
      <c r="DX15" s="79" cm="1">
        <f t="array" ref="DX15">SUMPRODUCT((DX$25:DX$162)*($C$25:$C$162=$C15))</f>
        <v>88019.203199999989</v>
      </c>
      <c r="DY15" s="79" cm="1">
        <f t="array" ref="DY15">SUMPRODUCT((DY$25:DY$162)*($C$25:$C$162=$C15))</f>
        <v>88019.203199999989</v>
      </c>
      <c r="DZ15" s="79" cm="1">
        <f t="array" ref="DZ15">SUMPRODUCT((DZ$25:DZ$162)*($C$25:$C$162=$C15))</f>
        <v>88019.203199999989</v>
      </c>
      <c r="EA15" s="79" cm="1">
        <f t="array" ref="EA15">SUMPRODUCT((EA$25:EA$162)*($C$25:$C$162=$C15))</f>
        <v>88019.203199999989</v>
      </c>
      <c r="EB15" s="79" cm="1">
        <f t="array" ref="EB15">SUMPRODUCT((EB$25:EB$162)*($C$25:$C$162=$C15))</f>
        <v>88019.203199999989</v>
      </c>
      <c r="EC15" s="79" cm="1">
        <f t="array" ref="EC15">SUMPRODUCT((EC$25:EC$162)*($C$25:$C$162=$C15))</f>
        <v>88019.203199999989</v>
      </c>
      <c r="ED15" s="79" cm="1">
        <f t="array" ref="ED15">SUMPRODUCT((ED$25:ED$162)*($C$25:$C$162=$C15))</f>
        <v>88019.203199999989</v>
      </c>
      <c r="EE15" s="79" cm="1">
        <f t="array" ref="EE15">SUMPRODUCT((EE$25:EE$162)*($C$25:$C$162=$C15))</f>
        <v>88019.203199999989</v>
      </c>
      <c r="EF15" s="79" cm="1">
        <f t="array" ref="EF15">SUMPRODUCT((EF$25:EF$162)*($C$25:$C$162=$C15))</f>
        <v>88019.203199999989</v>
      </c>
      <c r="EG15" s="79" cm="1">
        <f t="array" ref="EG15">SUMPRODUCT((EG$25:EG$162)*($C$25:$C$162=$C15))</f>
        <v>88019.203199999989</v>
      </c>
      <c r="EH15" s="79" cm="1">
        <f t="array" ref="EH15">SUMPRODUCT((EH$25:EH$162)*($C$25:$C$162=$C15))</f>
        <v>88019.203199999989</v>
      </c>
      <c r="EI15" s="79" cm="1">
        <f t="array" ref="EI15">SUMPRODUCT((EI$25:EI$162)*($C$25:$C$162=$C15))</f>
        <v>88019.203199999989</v>
      </c>
      <c r="EJ15" s="79" cm="1">
        <f t="array" ref="EJ15">SUMPRODUCT((EJ$25:EJ$162)*($C$25:$C$162=$C15))</f>
        <v>88019.203199999989</v>
      </c>
      <c r="EK15" s="79" cm="1">
        <f t="array" ref="EK15">SUMPRODUCT((EK$25:EK$162)*($C$25:$C$162=$C15))</f>
        <v>88019.203199999989</v>
      </c>
      <c r="EL15" s="79" cm="1">
        <f t="array" ref="EL15">SUMPRODUCT((EL$25:EL$162)*($C$25:$C$162=$C15))</f>
        <v>88019.203199999989</v>
      </c>
      <c r="EM15" s="79" cm="1">
        <f t="array" ref="EM15">SUMPRODUCT((EM$25:EM$162)*($C$25:$C$162=$C15))</f>
        <v>88019.203199999989</v>
      </c>
      <c r="EN15" s="79" cm="1">
        <f t="array" ref="EN15">SUMPRODUCT((EN$25:EN$162)*($C$25:$C$162=$C15))</f>
        <v>88019.203199999989</v>
      </c>
      <c r="EO15" s="79" cm="1">
        <f t="array" ref="EO15">SUMPRODUCT((EO$25:EO$162)*($C$25:$C$162=$C15))</f>
        <v>88019.203199999989</v>
      </c>
      <c r="EP15" s="79" cm="1">
        <f t="array" ref="EP15">SUMPRODUCT((EP$25:EP$162)*($C$25:$C$162=$C15))</f>
        <v>88019.203199999989</v>
      </c>
      <c r="EQ15" s="79" cm="1">
        <f t="array" ref="EQ15">SUMPRODUCT((EQ$25:EQ$162)*($C$25:$C$162=$C15))</f>
        <v>88019.203199999989</v>
      </c>
      <c r="ER15" s="79" cm="1">
        <f t="array" ref="ER15">SUMPRODUCT((ER$25:ER$162)*($C$25:$C$162=$C15))</f>
        <v>88019.203199999989</v>
      </c>
      <c r="ES15" s="79" cm="1">
        <f t="array" ref="ES15">SUMPRODUCT((ES$25:ES$162)*($C$25:$C$162=$C15))</f>
        <v>88019.203199999989</v>
      </c>
      <c r="ET15" s="79" cm="1">
        <f t="array" ref="ET15">SUMPRODUCT((ET$25:ET$162)*($C$25:$C$162=$C15))</f>
        <v>88019.203199999989</v>
      </c>
      <c r="EU15" s="79" cm="1">
        <f t="array" ref="EU15">SUMPRODUCT((EU$25:EU$162)*($C$25:$C$162=$C15))</f>
        <v>88019.203199999989</v>
      </c>
      <c r="EV15" s="79" cm="1">
        <f t="array" ref="EV15">SUMPRODUCT((EV$25:EV$162)*($C$25:$C$162=$C15))</f>
        <v>88019.203199999989</v>
      </c>
      <c r="EW15" s="79" cm="1">
        <f t="array" ref="EW15">SUMPRODUCT((EW$25:EW$162)*($C$25:$C$162=$C15))</f>
        <v>88019.203199999989</v>
      </c>
      <c r="EX15" s="79" cm="1">
        <f t="array" ref="EX15">SUMPRODUCT((EX$25:EX$162)*($C$25:$C$162=$C15))</f>
        <v>88019.203199999989</v>
      </c>
      <c r="EY15" s="79" cm="1">
        <f t="array" ref="EY15">SUMPRODUCT((EY$25:EY$162)*($C$25:$C$162=$C15))</f>
        <v>88019.203199999989</v>
      </c>
      <c r="EZ15" s="79" cm="1">
        <f t="array" ref="EZ15">SUMPRODUCT((EZ$25:EZ$162)*($C$25:$C$162=$C15))</f>
        <v>88019.203199999989</v>
      </c>
      <c r="FA15" s="79" cm="1">
        <f t="array" ref="FA15">SUMPRODUCT((FA$25:FA$162)*($C$25:$C$162=$C15))</f>
        <v>88019.203199999989</v>
      </c>
      <c r="FB15" s="79" cm="1">
        <f t="array" ref="FB15">SUMPRODUCT((FB$25:FB$162)*($C$25:$C$162=$C15))</f>
        <v>88019.203199999989</v>
      </c>
      <c r="FC15" s="79" cm="1">
        <f t="array" ref="FC15">SUMPRODUCT((FC$25:FC$162)*($C$25:$C$162=$C15))</f>
        <v>88019.203199999989</v>
      </c>
      <c r="FD15" s="79" cm="1">
        <f t="array" ref="FD15">SUMPRODUCT((FD$25:FD$162)*($C$25:$C$162=$C15))</f>
        <v>88019.203199999989</v>
      </c>
      <c r="FE15" s="79" cm="1">
        <f t="array" ref="FE15">SUMPRODUCT((FE$25:FE$162)*($C$25:$C$162=$C15))</f>
        <v>88019.203199999989</v>
      </c>
      <c r="FF15" s="79" cm="1">
        <f t="array" ref="FF15">SUMPRODUCT((FF$25:FF$162)*($C$25:$C$162=$C15))</f>
        <v>88019.203199999989</v>
      </c>
      <c r="FG15" s="79" cm="1">
        <f t="array" ref="FG15">SUMPRODUCT((FG$25:FG$162)*($C$25:$C$162=$C15))</f>
        <v>88019.203199999989</v>
      </c>
      <c r="FH15" s="79" cm="1">
        <f t="array" ref="FH15">SUMPRODUCT((FH$25:FH$162)*($C$25:$C$162=$C15))</f>
        <v>88019.203199999989</v>
      </c>
      <c r="FI15" s="79" cm="1">
        <f t="array" ref="FI15">SUMPRODUCT((FI$25:FI$162)*($C$25:$C$162=$C15))</f>
        <v>88019.203199999989</v>
      </c>
      <c r="FJ15" s="79" cm="1">
        <f t="array" ref="FJ15">SUMPRODUCT((FJ$25:FJ$162)*($C$25:$C$162=$C15))</f>
        <v>88019.203199999989</v>
      </c>
      <c r="FK15" s="79" cm="1">
        <f t="array" ref="FK15">SUMPRODUCT((FK$25:FK$162)*($C$25:$C$162=$C15))</f>
        <v>88019.203199999989</v>
      </c>
      <c r="FL15" s="79" cm="1">
        <f t="array" ref="FL15">SUMPRODUCT((FL$25:FL$162)*($C$25:$C$162=$C15))</f>
        <v>88019.203199999989</v>
      </c>
      <c r="FM15" s="79" cm="1">
        <f t="array" ref="FM15">SUMPRODUCT((FM$25:FM$162)*($C$25:$C$162=$C15))</f>
        <v>88019.203199999989</v>
      </c>
      <c r="FN15" s="79" cm="1">
        <f t="array" ref="FN15">SUMPRODUCT((FN$25:FN$162)*($C$25:$C$162=$C15))</f>
        <v>88019.203199999989</v>
      </c>
      <c r="FO15" s="79" cm="1">
        <f t="array" ref="FO15">SUMPRODUCT((FO$25:FO$162)*($C$25:$C$162=$C15))</f>
        <v>88019.203199999989</v>
      </c>
      <c r="FP15" s="79" cm="1">
        <f t="array" ref="FP15">SUMPRODUCT((FP$25:FP$162)*($C$25:$C$162=$C15))</f>
        <v>88019.203199999989</v>
      </c>
      <c r="FQ15" s="79" cm="1">
        <f t="array" ref="FQ15">SUMPRODUCT((FQ$25:FQ$162)*($C$25:$C$162=$C15))</f>
        <v>88019.203199999989</v>
      </c>
      <c r="FR15" s="79" cm="1">
        <f t="array" ref="FR15">SUMPRODUCT((FR$25:FR$162)*($C$25:$C$162=$C15))</f>
        <v>88019.203199999989</v>
      </c>
      <c r="FS15" s="79" cm="1">
        <f t="array" ref="FS15">SUMPRODUCT((FS$25:FS$162)*($C$25:$C$162=$C15))</f>
        <v>88019.203199999989</v>
      </c>
      <c r="FT15" s="79" cm="1">
        <f t="array" ref="FT15">SUMPRODUCT((FT$25:FT$162)*($C$25:$C$162=$C15))</f>
        <v>88019.203199999989</v>
      </c>
      <c r="FU15" s="79" cm="1">
        <f t="array" ref="FU15">SUMPRODUCT((FU$25:FU$162)*($C$25:$C$162=$C15))</f>
        <v>88019.203199999989</v>
      </c>
      <c r="FV15" s="79" cm="1">
        <f t="array" ref="FV15">SUMPRODUCT((FV$25:FV$162)*($C$25:$C$162=$C15))</f>
        <v>88019.203199999989</v>
      </c>
      <c r="FW15" s="79" cm="1">
        <f t="array" ref="FW15">SUMPRODUCT((FW$25:FW$162)*($C$25:$C$162=$C15))</f>
        <v>88019.203199999989</v>
      </c>
      <c r="FX15" s="79" cm="1">
        <f t="array" ref="FX15">SUMPRODUCT((FX$25:FX$162)*($C$25:$C$162=$C15))</f>
        <v>88019.203199999989</v>
      </c>
      <c r="FY15" s="79" cm="1">
        <f t="array" ref="FY15">SUMPRODUCT((FY$25:FY$162)*($C$25:$C$162=$C15))</f>
        <v>88019.203199999989</v>
      </c>
      <c r="FZ15" s="79" cm="1">
        <f t="array" ref="FZ15">SUMPRODUCT((FZ$25:FZ$162)*($C$25:$C$162=$C15))</f>
        <v>88019.203199999989</v>
      </c>
      <c r="GA15" s="79" cm="1">
        <f t="array" ref="GA15">SUMPRODUCT((GA$25:GA$162)*($C$25:$C$162=$C15))</f>
        <v>88019.203199999989</v>
      </c>
      <c r="GB15" s="79" cm="1">
        <f t="array" ref="GB15">SUMPRODUCT((GB$25:GB$162)*($C$25:$C$162=$C15))</f>
        <v>88019.203199999989</v>
      </c>
      <c r="GC15" s="79" cm="1">
        <f t="array" ref="GC15">SUMPRODUCT((GC$25:GC$162)*($C$25:$C$162=$C15))</f>
        <v>88019.203199999989</v>
      </c>
    </row>
    <row r="16" spans="1:185">
      <c r="A16" s="80"/>
      <c r="B16" s="83" t="s">
        <v>74</v>
      </c>
      <c r="C16" s="83"/>
      <c r="D16" s="83"/>
      <c r="E16" s="84"/>
      <c r="F16" s="85">
        <f t="shared" ref="F16:AK16" si="1">SUM(F9:F10)-SUM(F11:F14)</f>
        <v>8302841.6746666674</v>
      </c>
      <c r="G16" s="85">
        <f t="shared" si="1"/>
        <v>-3337788.9173333328</v>
      </c>
      <c r="H16" s="85">
        <f t="shared" si="1"/>
        <v>-3077158.3253333331</v>
      </c>
      <c r="I16" s="85">
        <f t="shared" si="1"/>
        <v>-735585.85600000003</v>
      </c>
      <c r="J16" s="85">
        <f t="shared" si="1"/>
        <v>-398442.91200000001</v>
      </c>
      <c r="K16" s="85">
        <f t="shared" si="1"/>
        <v>-553103.08266666671</v>
      </c>
      <c r="L16" s="85">
        <f t="shared" si="1"/>
        <v>-510109.5786666667</v>
      </c>
      <c r="M16" s="85">
        <f t="shared" si="1"/>
        <v>494589.86300533335</v>
      </c>
      <c r="N16" s="85">
        <f t="shared" si="1"/>
        <v>1013288.6054464675</v>
      </c>
      <c r="O16" s="85">
        <f t="shared" si="1"/>
        <v>1066169.820280022</v>
      </c>
      <c r="P16" s="85">
        <f t="shared" si="1"/>
        <v>1029612.0841419568</v>
      </c>
      <c r="Q16" s="85">
        <f t="shared" si="1"/>
        <v>1066169.820280022</v>
      </c>
      <c r="R16" s="85">
        <f t="shared" si="1"/>
        <v>1072169.820280022</v>
      </c>
      <c r="S16" s="85">
        <f t="shared" si="1"/>
        <v>962496.61186582642</v>
      </c>
      <c r="T16" s="85">
        <f t="shared" si="1"/>
        <v>1072169.820280022</v>
      </c>
      <c r="U16" s="85">
        <f t="shared" si="1"/>
        <v>1035612.0841419568</v>
      </c>
      <c r="V16" s="85">
        <f t="shared" si="1"/>
        <v>1072169.820280022</v>
      </c>
      <c r="W16" s="85">
        <f t="shared" si="1"/>
        <v>1035612.0841419568</v>
      </c>
      <c r="X16" s="85">
        <f t="shared" si="1"/>
        <v>1072169.820280022</v>
      </c>
      <c r="Y16" s="85">
        <f t="shared" si="1"/>
        <v>1072169.820280022</v>
      </c>
      <c r="Z16" s="85">
        <f t="shared" si="1"/>
        <v>1035612.0841419568</v>
      </c>
      <c r="AA16" s="85">
        <f t="shared" si="1"/>
        <v>1072169.820280022</v>
      </c>
      <c r="AB16" s="85">
        <f t="shared" si="1"/>
        <v>1035612.0841419568</v>
      </c>
      <c r="AC16" s="85">
        <f t="shared" si="1"/>
        <v>1072169.820280022</v>
      </c>
      <c r="AD16" s="85">
        <f t="shared" si="1"/>
        <v>1072169.820280022</v>
      </c>
      <c r="AE16" s="85">
        <f t="shared" si="1"/>
        <v>962496.61186582642</v>
      </c>
      <c r="AF16" s="85">
        <f t="shared" si="1"/>
        <v>1072169.820280022</v>
      </c>
      <c r="AG16" s="85">
        <f t="shared" si="1"/>
        <v>1035612.0841419568</v>
      </c>
      <c r="AH16" s="85">
        <f t="shared" si="1"/>
        <v>1072169.820280022</v>
      </c>
      <c r="AI16" s="85">
        <f t="shared" si="1"/>
        <v>1035612.0841419568</v>
      </c>
      <c r="AJ16" s="85">
        <f t="shared" si="1"/>
        <v>1072169.820280022</v>
      </c>
      <c r="AK16" s="85">
        <f t="shared" si="1"/>
        <v>1072169.820280022</v>
      </c>
      <c r="AL16" s="85">
        <f t="shared" ref="AL16:BQ16" si="2">SUM(AL9:AL10)-SUM(AL11:AL14)</f>
        <v>1035612.0841419568</v>
      </c>
      <c r="AM16" s="85">
        <f t="shared" si="2"/>
        <v>1072169.820280022</v>
      </c>
      <c r="AN16" s="85">
        <f t="shared" si="2"/>
        <v>1035612.0841419568</v>
      </c>
      <c r="AO16" s="85">
        <f t="shared" si="2"/>
        <v>1072169.820280022</v>
      </c>
      <c r="AP16" s="85">
        <f t="shared" si="2"/>
        <v>1072169.820280022</v>
      </c>
      <c r="AQ16" s="85">
        <f t="shared" si="2"/>
        <v>962496.61186582642</v>
      </c>
      <c r="AR16" s="85">
        <f t="shared" si="2"/>
        <v>1072169.820280022</v>
      </c>
      <c r="AS16" s="85">
        <f t="shared" si="2"/>
        <v>1035612.0841419568</v>
      </c>
      <c r="AT16" s="85">
        <f t="shared" si="2"/>
        <v>1072169.820280022</v>
      </c>
      <c r="AU16" s="85">
        <f t="shared" si="2"/>
        <v>1035612.0841419568</v>
      </c>
      <c r="AV16" s="85">
        <f t="shared" si="2"/>
        <v>1072169.820280022</v>
      </c>
      <c r="AW16" s="85">
        <f t="shared" si="2"/>
        <v>1072169.820280022</v>
      </c>
      <c r="AX16" s="85">
        <f t="shared" si="2"/>
        <v>1035612.0841419568</v>
      </c>
      <c r="AY16" s="85">
        <f t="shared" si="2"/>
        <v>1072169.820280022</v>
      </c>
      <c r="AZ16" s="85">
        <f t="shared" si="2"/>
        <v>1035612.0841419568</v>
      </c>
      <c r="BA16" s="85">
        <f t="shared" si="2"/>
        <v>1072169.820280022</v>
      </c>
      <c r="BB16" s="85">
        <f t="shared" si="2"/>
        <v>1072169.820280022</v>
      </c>
      <c r="BC16" s="85">
        <f t="shared" si="2"/>
        <v>962496.61186582642</v>
      </c>
      <c r="BD16" s="85">
        <f t="shared" si="2"/>
        <v>1072169.820280022</v>
      </c>
      <c r="BE16" s="85">
        <f t="shared" si="2"/>
        <v>1035612.0841419568</v>
      </c>
      <c r="BF16" s="85">
        <f t="shared" si="2"/>
        <v>1072169.820280022</v>
      </c>
      <c r="BG16" s="85">
        <f t="shared" si="2"/>
        <v>1035612.0841419568</v>
      </c>
      <c r="BH16" s="85">
        <f t="shared" si="2"/>
        <v>1072169.820280022</v>
      </c>
      <c r="BI16" s="85">
        <f t="shared" si="2"/>
        <v>1072169.820280022</v>
      </c>
      <c r="BJ16" s="85">
        <f t="shared" si="2"/>
        <v>1035612.0841419568</v>
      </c>
      <c r="BK16" s="85">
        <f t="shared" si="2"/>
        <v>1072169.820280022</v>
      </c>
      <c r="BL16" s="85">
        <f t="shared" si="2"/>
        <v>1035612.0841419568</v>
      </c>
      <c r="BM16" s="85">
        <f t="shared" si="2"/>
        <v>1072169.820280022</v>
      </c>
      <c r="BN16" s="85">
        <f t="shared" si="2"/>
        <v>1072169.820280022</v>
      </c>
      <c r="BO16" s="85">
        <f t="shared" si="2"/>
        <v>962496.61186582642</v>
      </c>
      <c r="BP16" s="85">
        <f t="shared" si="2"/>
        <v>1072169.820280022</v>
      </c>
      <c r="BQ16" s="85">
        <f t="shared" si="2"/>
        <v>1035612.0841419568</v>
      </c>
      <c r="BR16" s="85">
        <f t="shared" ref="BR16:CW16" si="3">SUM(BR9:BR10)-SUM(BR11:BR14)</f>
        <v>1072169.820280022</v>
      </c>
      <c r="BS16" s="85">
        <f t="shared" si="3"/>
        <v>1035612.0841419568</v>
      </c>
      <c r="BT16" s="85">
        <f t="shared" si="3"/>
        <v>1072169.820280022</v>
      </c>
      <c r="BU16" s="85">
        <f t="shared" si="3"/>
        <v>1072169.820280022</v>
      </c>
      <c r="BV16" s="85">
        <f t="shared" si="3"/>
        <v>1035612.0841419568</v>
      </c>
      <c r="BW16" s="85">
        <f t="shared" si="3"/>
        <v>1072169.820280022</v>
      </c>
      <c r="BX16" s="85">
        <f t="shared" si="3"/>
        <v>1035612.0841419568</v>
      </c>
      <c r="BY16" s="85">
        <f t="shared" si="3"/>
        <v>1072169.820280022</v>
      </c>
      <c r="BZ16" s="85">
        <f t="shared" si="3"/>
        <v>1072169.820280022</v>
      </c>
      <c r="CA16" s="85">
        <f t="shared" si="3"/>
        <v>962496.61186582642</v>
      </c>
      <c r="CB16" s="85">
        <f t="shared" si="3"/>
        <v>1072169.820280022</v>
      </c>
      <c r="CC16" s="85">
        <f t="shared" si="3"/>
        <v>1035612.0841419568</v>
      </c>
      <c r="CD16" s="85">
        <f t="shared" si="3"/>
        <v>1072169.820280022</v>
      </c>
      <c r="CE16" s="85">
        <f t="shared" si="3"/>
        <v>1035612.0841419568</v>
      </c>
      <c r="CF16" s="85">
        <f t="shared" si="3"/>
        <v>1072169.820280022</v>
      </c>
      <c r="CG16" s="85">
        <f t="shared" si="3"/>
        <v>1072169.820280022</v>
      </c>
      <c r="CH16" s="85">
        <f t="shared" si="3"/>
        <v>1035612.0841419568</v>
      </c>
      <c r="CI16" s="85">
        <f t="shared" si="3"/>
        <v>1072169.820280022</v>
      </c>
      <c r="CJ16" s="85">
        <f t="shared" si="3"/>
        <v>1035612.0841419568</v>
      </c>
      <c r="CK16" s="85">
        <f t="shared" si="3"/>
        <v>1072169.820280022</v>
      </c>
      <c r="CL16" s="85">
        <f t="shared" si="3"/>
        <v>1072169.820280022</v>
      </c>
      <c r="CM16" s="85">
        <f t="shared" si="3"/>
        <v>962496.61186582642</v>
      </c>
      <c r="CN16" s="85">
        <f t="shared" si="3"/>
        <v>1072169.820280022</v>
      </c>
      <c r="CO16" s="85">
        <f t="shared" si="3"/>
        <v>1035612.0841419568</v>
      </c>
      <c r="CP16" s="85">
        <f t="shared" si="3"/>
        <v>1072169.820280022</v>
      </c>
      <c r="CQ16" s="85">
        <f t="shared" si="3"/>
        <v>1035612.0841419568</v>
      </c>
      <c r="CR16" s="85">
        <f t="shared" si="3"/>
        <v>1072169.820280022</v>
      </c>
      <c r="CS16" s="85">
        <f t="shared" si="3"/>
        <v>1072169.820280022</v>
      </c>
      <c r="CT16" s="85">
        <f t="shared" si="3"/>
        <v>1035612.0841419568</v>
      </c>
      <c r="CU16" s="85">
        <f t="shared" si="3"/>
        <v>1072169.820280022</v>
      </c>
      <c r="CV16" s="85">
        <f t="shared" si="3"/>
        <v>1035612.0841419568</v>
      </c>
      <c r="CW16" s="85">
        <f t="shared" si="3"/>
        <v>1072169.820280022</v>
      </c>
      <c r="CX16" s="85">
        <f t="shared" ref="CX16:EC16" si="4">SUM(CX9:CX10)-SUM(CX11:CX14)</f>
        <v>1072169.820280022</v>
      </c>
      <c r="CY16" s="85">
        <f t="shared" si="4"/>
        <v>962496.61186582642</v>
      </c>
      <c r="CZ16" s="85">
        <f t="shared" si="4"/>
        <v>1072169.820280022</v>
      </c>
      <c r="DA16" s="85">
        <f t="shared" si="4"/>
        <v>1035612.0841419568</v>
      </c>
      <c r="DB16" s="85">
        <f t="shared" si="4"/>
        <v>1072169.820280022</v>
      </c>
      <c r="DC16" s="85">
        <f t="shared" si="4"/>
        <v>1035612.0841419568</v>
      </c>
      <c r="DD16" s="85">
        <f t="shared" si="4"/>
        <v>1072169.820280022</v>
      </c>
      <c r="DE16" s="85">
        <f t="shared" si="4"/>
        <v>1072169.820280022</v>
      </c>
      <c r="DF16" s="85">
        <f t="shared" si="4"/>
        <v>1035612.0841419568</v>
      </c>
      <c r="DG16" s="85">
        <f t="shared" si="4"/>
        <v>1072169.820280022</v>
      </c>
      <c r="DH16" s="85">
        <f t="shared" si="4"/>
        <v>1035612.0841419568</v>
      </c>
      <c r="DI16" s="85">
        <f t="shared" si="4"/>
        <v>1072169.820280022</v>
      </c>
      <c r="DJ16" s="85">
        <f t="shared" si="4"/>
        <v>1072169.820280022</v>
      </c>
      <c r="DK16" s="85">
        <f t="shared" si="4"/>
        <v>962496.61186582642</v>
      </c>
      <c r="DL16" s="85">
        <f t="shared" si="4"/>
        <v>1072169.820280022</v>
      </c>
      <c r="DM16" s="85">
        <f t="shared" si="4"/>
        <v>1035612.0841419568</v>
      </c>
      <c r="DN16" s="85">
        <f t="shared" si="4"/>
        <v>1072169.820280022</v>
      </c>
      <c r="DO16" s="85">
        <f t="shared" si="4"/>
        <v>1035612.0841419568</v>
      </c>
      <c r="DP16" s="85">
        <f t="shared" si="4"/>
        <v>1072169.820280022</v>
      </c>
      <c r="DQ16" s="85">
        <f t="shared" si="4"/>
        <v>1072169.820280022</v>
      </c>
      <c r="DR16" s="85">
        <f t="shared" si="4"/>
        <v>1035612.0841419568</v>
      </c>
      <c r="DS16" s="85">
        <f t="shared" si="4"/>
        <v>1072169.820280022</v>
      </c>
      <c r="DT16" s="85">
        <f t="shared" si="4"/>
        <v>1035612.0841419568</v>
      </c>
      <c r="DU16" s="85">
        <f t="shared" si="4"/>
        <v>1072169.820280022</v>
      </c>
      <c r="DV16" s="85">
        <f t="shared" si="4"/>
        <v>1072169.820280022</v>
      </c>
      <c r="DW16" s="85">
        <f t="shared" si="4"/>
        <v>962496.61186582642</v>
      </c>
      <c r="DX16" s="85">
        <f t="shared" si="4"/>
        <v>1072169.820280022</v>
      </c>
      <c r="DY16" s="85">
        <f t="shared" si="4"/>
        <v>1035612.0841419568</v>
      </c>
      <c r="DZ16" s="85">
        <f t="shared" si="4"/>
        <v>1072169.820280022</v>
      </c>
      <c r="EA16" s="85">
        <f t="shared" si="4"/>
        <v>1035612.0841419568</v>
      </c>
      <c r="EB16" s="85">
        <f t="shared" si="4"/>
        <v>1072169.820280022</v>
      </c>
      <c r="EC16" s="85">
        <f t="shared" si="4"/>
        <v>1072169.820280022</v>
      </c>
      <c r="ED16" s="85">
        <f t="shared" ref="ED16:FI16" si="5">SUM(ED9:ED10)-SUM(ED11:ED14)</f>
        <v>1035612.0841419568</v>
      </c>
      <c r="EE16" s="85">
        <f t="shared" si="5"/>
        <v>1072169.820280022</v>
      </c>
      <c r="EF16" s="85">
        <f t="shared" si="5"/>
        <v>1035612.0841419568</v>
      </c>
      <c r="EG16" s="85">
        <f t="shared" si="5"/>
        <v>1072169.820280022</v>
      </c>
      <c r="EH16" s="85">
        <f t="shared" si="5"/>
        <v>1072169.820280022</v>
      </c>
      <c r="EI16" s="85">
        <f t="shared" si="5"/>
        <v>962496.61186582642</v>
      </c>
      <c r="EJ16" s="85">
        <f t="shared" si="5"/>
        <v>1072169.820280022</v>
      </c>
      <c r="EK16" s="85">
        <f t="shared" si="5"/>
        <v>1035612.0841419568</v>
      </c>
      <c r="EL16" s="85">
        <f t="shared" si="5"/>
        <v>1072169.820280022</v>
      </c>
      <c r="EM16" s="85">
        <f t="shared" si="5"/>
        <v>1035612.0841419568</v>
      </c>
      <c r="EN16" s="85">
        <f t="shared" si="5"/>
        <v>1072169.820280022</v>
      </c>
      <c r="EO16" s="85">
        <f t="shared" si="5"/>
        <v>1072169.820280022</v>
      </c>
      <c r="EP16" s="85">
        <f t="shared" si="5"/>
        <v>1035612.0841419568</v>
      </c>
      <c r="EQ16" s="85">
        <f t="shared" si="5"/>
        <v>1072169.820280022</v>
      </c>
      <c r="ER16" s="85">
        <f t="shared" si="5"/>
        <v>1035612.0841419568</v>
      </c>
      <c r="ES16" s="85">
        <f t="shared" si="5"/>
        <v>1072169.820280022</v>
      </c>
      <c r="ET16" s="85">
        <f t="shared" si="5"/>
        <v>1072169.820280022</v>
      </c>
      <c r="EU16" s="85">
        <f t="shared" si="5"/>
        <v>962496.61186582642</v>
      </c>
      <c r="EV16" s="85">
        <f t="shared" si="5"/>
        <v>1072169.820280022</v>
      </c>
      <c r="EW16" s="85">
        <f t="shared" si="5"/>
        <v>1035612.0841419568</v>
      </c>
      <c r="EX16" s="85">
        <f t="shared" si="5"/>
        <v>1072169.820280022</v>
      </c>
      <c r="EY16" s="85">
        <f t="shared" si="5"/>
        <v>1035612.0841419568</v>
      </c>
      <c r="EZ16" s="85">
        <f t="shared" si="5"/>
        <v>1072169.820280022</v>
      </c>
      <c r="FA16" s="85">
        <f t="shared" si="5"/>
        <v>1072169.820280022</v>
      </c>
      <c r="FB16" s="85">
        <f t="shared" si="5"/>
        <v>1035612.0841419568</v>
      </c>
      <c r="FC16" s="85">
        <f t="shared" si="5"/>
        <v>1072169.820280022</v>
      </c>
      <c r="FD16" s="85">
        <f t="shared" si="5"/>
        <v>1035612.0841419568</v>
      </c>
      <c r="FE16" s="85">
        <f t="shared" si="5"/>
        <v>1072169.820280022</v>
      </c>
      <c r="FF16" s="85">
        <f t="shared" si="5"/>
        <v>1072169.820280022</v>
      </c>
      <c r="FG16" s="85">
        <f t="shared" si="5"/>
        <v>962496.61186582642</v>
      </c>
      <c r="FH16" s="85">
        <f t="shared" si="5"/>
        <v>1072169.820280022</v>
      </c>
      <c r="FI16" s="85">
        <f t="shared" si="5"/>
        <v>1035612.0841419568</v>
      </c>
      <c r="FJ16" s="85">
        <f t="shared" ref="FJ16:GC16" si="6">SUM(FJ9:FJ10)-SUM(FJ11:FJ14)</f>
        <v>1072169.820280022</v>
      </c>
      <c r="FK16" s="85">
        <f t="shared" si="6"/>
        <v>1035612.0841419568</v>
      </c>
      <c r="FL16" s="85">
        <f t="shared" si="6"/>
        <v>1072169.820280022</v>
      </c>
      <c r="FM16" s="85">
        <f t="shared" si="6"/>
        <v>1072169.820280022</v>
      </c>
      <c r="FN16" s="85">
        <f t="shared" si="6"/>
        <v>1035612.0841419568</v>
      </c>
      <c r="FO16" s="85">
        <f t="shared" si="6"/>
        <v>1072169.820280022</v>
      </c>
      <c r="FP16" s="85">
        <f t="shared" si="6"/>
        <v>1035612.0841419568</v>
      </c>
      <c r="FQ16" s="85">
        <f t="shared" si="6"/>
        <v>1072169.820280022</v>
      </c>
      <c r="FR16" s="85">
        <f t="shared" si="6"/>
        <v>1072169.820280022</v>
      </c>
      <c r="FS16" s="85">
        <f t="shared" si="6"/>
        <v>962496.61186582642</v>
      </c>
      <c r="FT16" s="85">
        <f t="shared" si="6"/>
        <v>1072169.820280022</v>
      </c>
      <c r="FU16" s="85">
        <f t="shared" si="6"/>
        <v>1035612.0841419568</v>
      </c>
      <c r="FV16" s="85">
        <f t="shared" si="6"/>
        <v>1072169.820280022</v>
      </c>
      <c r="FW16" s="85">
        <f t="shared" si="6"/>
        <v>1035612.0841419568</v>
      </c>
      <c r="FX16" s="85">
        <f t="shared" si="6"/>
        <v>1072169.820280022</v>
      </c>
      <c r="FY16" s="85">
        <f t="shared" si="6"/>
        <v>1072169.820280022</v>
      </c>
      <c r="FZ16" s="85">
        <f t="shared" si="6"/>
        <v>1035612.0841419568</v>
      </c>
      <c r="GA16" s="85">
        <f t="shared" si="6"/>
        <v>1072169.820280022</v>
      </c>
      <c r="GB16" s="85">
        <f t="shared" si="6"/>
        <v>1035612.0841419568</v>
      </c>
      <c r="GC16" s="85">
        <f t="shared" si="6"/>
        <v>1072169.820280022</v>
      </c>
    </row>
    <row r="17" spans="1:185">
      <c r="A17" s="80"/>
      <c r="B17" s="86" t="s">
        <v>75</v>
      </c>
      <c r="C17" s="86"/>
      <c r="D17" s="86"/>
      <c r="E17" s="87"/>
      <c r="F17" s="88">
        <f t="shared" ref="F17:AK17" si="7">E17+F16</f>
        <v>8302841.6746666674</v>
      </c>
      <c r="G17" s="88">
        <f t="shared" si="7"/>
        <v>4965052.7573333345</v>
      </c>
      <c r="H17" s="88">
        <f t="shared" si="7"/>
        <v>1887894.4320000014</v>
      </c>
      <c r="I17" s="88">
        <f t="shared" si="7"/>
        <v>1152308.5760000013</v>
      </c>
      <c r="J17" s="88">
        <f t="shared" si="7"/>
        <v>753865.66400000127</v>
      </c>
      <c r="K17" s="88">
        <f t="shared" si="7"/>
        <v>200762.58133333456</v>
      </c>
      <c r="L17" s="88">
        <f t="shared" si="7"/>
        <v>-309346.99733333214</v>
      </c>
      <c r="M17" s="88">
        <f t="shared" si="7"/>
        <v>185242.86567200121</v>
      </c>
      <c r="N17" s="88">
        <f t="shared" si="7"/>
        <v>1198531.4711184688</v>
      </c>
      <c r="O17" s="88">
        <f t="shared" si="7"/>
        <v>2264701.2913984908</v>
      </c>
      <c r="P17" s="88">
        <f t="shared" si="7"/>
        <v>3294313.3755404474</v>
      </c>
      <c r="Q17" s="88">
        <f t="shared" si="7"/>
        <v>4360483.1958204694</v>
      </c>
      <c r="R17" s="88">
        <f t="shared" si="7"/>
        <v>5432653.0161004914</v>
      </c>
      <c r="S17" s="88">
        <f t="shared" si="7"/>
        <v>6395149.6279663183</v>
      </c>
      <c r="T17" s="88">
        <f t="shared" si="7"/>
        <v>7467319.4482463403</v>
      </c>
      <c r="U17" s="88">
        <f t="shared" si="7"/>
        <v>8502931.5323882978</v>
      </c>
      <c r="V17" s="88">
        <f t="shared" si="7"/>
        <v>9575101.3526683189</v>
      </c>
      <c r="W17" s="88">
        <f t="shared" si="7"/>
        <v>10610713.436810276</v>
      </c>
      <c r="X17" s="88">
        <f t="shared" si="7"/>
        <v>11682883.257090297</v>
      </c>
      <c r="Y17" s="88">
        <f t="shared" si="7"/>
        <v>12755053.07737032</v>
      </c>
      <c r="Z17" s="88">
        <f t="shared" si="7"/>
        <v>13790665.161512276</v>
      </c>
      <c r="AA17" s="88">
        <f t="shared" si="7"/>
        <v>14862834.981792297</v>
      </c>
      <c r="AB17" s="88">
        <f t="shared" si="7"/>
        <v>15898447.065934254</v>
      </c>
      <c r="AC17" s="88">
        <f t="shared" si="7"/>
        <v>16970616.886214275</v>
      </c>
      <c r="AD17" s="88">
        <f t="shared" si="7"/>
        <v>18042786.706494298</v>
      </c>
      <c r="AE17" s="88">
        <f t="shared" si="7"/>
        <v>19005283.318360124</v>
      </c>
      <c r="AF17" s="88">
        <f t="shared" si="7"/>
        <v>20077453.138640147</v>
      </c>
      <c r="AG17" s="88">
        <f t="shared" si="7"/>
        <v>21113065.222782105</v>
      </c>
      <c r="AH17" s="88">
        <f t="shared" si="7"/>
        <v>22185235.043062128</v>
      </c>
      <c r="AI17" s="88">
        <f t="shared" si="7"/>
        <v>23220847.127204087</v>
      </c>
      <c r="AJ17" s="88">
        <f t="shared" si="7"/>
        <v>24293016.94748411</v>
      </c>
      <c r="AK17" s="88">
        <f t="shared" si="7"/>
        <v>25365186.767764132</v>
      </c>
      <c r="AL17" s="88">
        <f t="shared" ref="AL17:BQ17" si="8">AK17+AL16</f>
        <v>26400798.851906091</v>
      </c>
      <c r="AM17" s="88">
        <f t="shared" si="8"/>
        <v>27472968.672186114</v>
      </c>
      <c r="AN17" s="88">
        <f t="shared" si="8"/>
        <v>28508580.756328072</v>
      </c>
      <c r="AO17" s="88">
        <f t="shared" si="8"/>
        <v>29580750.576608095</v>
      </c>
      <c r="AP17" s="88">
        <f t="shared" si="8"/>
        <v>30652920.396888118</v>
      </c>
      <c r="AQ17" s="88">
        <f t="shared" si="8"/>
        <v>31615417.008753944</v>
      </c>
      <c r="AR17" s="88">
        <f t="shared" si="8"/>
        <v>32687586.829033967</v>
      </c>
      <c r="AS17" s="88">
        <f t="shared" si="8"/>
        <v>33723198.913175926</v>
      </c>
      <c r="AT17" s="88">
        <f t="shared" si="8"/>
        <v>34795368.733455949</v>
      </c>
      <c r="AU17" s="88">
        <f t="shared" si="8"/>
        <v>35830980.817597903</v>
      </c>
      <c r="AV17" s="88">
        <f t="shared" si="8"/>
        <v>36903150.637877926</v>
      </c>
      <c r="AW17" s="88">
        <f t="shared" si="8"/>
        <v>37975320.458157949</v>
      </c>
      <c r="AX17" s="88">
        <f t="shared" si="8"/>
        <v>39010932.542299904</v>
      </c>
      <c r="AY17" s="88">
        <f t="shared" si="8"/>
        <v>40083102.362579927</v>
      </c>
      <c r="AZ17" s="88">
        <f t="shared" si="8"/>
        <v>41118714.446721882</v>
      </c>
      <c r="BA17" s="88">
        <f t="shared" si="8"/>
        <v>42190884.267001905</v>
      </c>
      <c r="BB17" s="88">
        <f t="shared" si="8"/>
        <v>43263054.087281927</v>
      </c>
      <c r="BC17" s="88">
        <f t="shared" si="8"/>
        <v>44225550.699147753</v>
      </c>
      <c r="BD17" s="88">
        <f t="shared" si="8"/>
        <v>45297720.519427776</v>
      </c>
      <c r="BE17" s="88">
        <f t="shared" si="8"/>
        <v>46333332.603569731</v>
      </c>
      <c r="BF17" s="88">
        <f t="shared" si="8"/>
        <v>47405502.423849754</v>
      </c>
      <c r="BG17" s="88">
        <f t="shared" si="8"/>
        <v>48441114.507991709</v>
      </c>
      <c r="BH17" s="88">
        <f t="shared" si="8"/>
        <v>49513284.328271732</v>
      </c>
      <c r="BI17" s="88">
        <f t="shared" si="8"/>
        <v>50585454.148551755</v>
      </c>
      <c r="BJ17" s="88">
        <f t="shared" si="8"/>
        <v>51621066.232693709</v>
      </c>
      <c r="BK17" s="88">
        <f t="shared" si="8"/>
        <v>52693236.052973732</v>
      </c>
      <c r="BL17" s="88">
        <f t="shared" si="8"/>
        <v>53728848.137115687</v>
      </c>
      <c r="BM17" s="88">
        <f t="shared" si="8"/>
        <v>54801017.95739571</v>
      </c>
      <c r="BN17" s="88">
        <f t="shared" si="8"/>
        <v>55873187.777675733</v>
      </c>
      <c r="BO17" s="88">
        <f t="shared" si="8"/>
        <v>56835684.389541559</v>
      </c>
      <c r="BP17" s="88">
        <f t="shared" si="8"/>
        <v>57907854.209821582</v>
      </c>
      <c r="BQ17" s="88">
        <f t="shared" si="8"/>
        <v>58943466.293963537</v>
      </c>
      <c r="BR17" s="88">
        <f t="shared" ref="BR17:CW17" si="9">BQ17+BR16</f>
        <v>60015636.11424356</v>
      </c>
      <c r="BS17" s="88">
        <f t="shared" si="9"/>
        <v>61051248.198385514</v>
      </c>
      <c r="BT17" s="88">
        <f t="shared" si="9"/>
        <v>62123418.018665537</v>
      </c>
      <c r="BU17" s="88">
        <f t="shared" si="9"/>
        <v>63195587.83894556</v>
      </c>
      <c r="BV17" s="88">
        <f t="shared" si="9"/>
        <v>64231199.923087515</v>
      </c>
      <c r="BW17" s="88">
        <f t="shared" si="9"/>
        <v>65303369.743367538</v>
      </c>
      <c r="BX17" s="88">
        <f t="shared" si="9"/>
        <v>66338981.827509493</v>
      </c>
      <c r="BY17" s="88">
        <f t="shared" si="9"/>
        <v>67411151.647789508</v>
      </c>
      <c r="BZ17" s="88">
        <f t="shared" si="9"/>
        <v>68483321.468069524</v>
      </c>
      <c r="CA17" s="88">
        <f t="shared" si="9"/>
        <v>69445818.079935357</v>
      </c>
      <c r="CB17" s="88">
        <f t="shared" si="9"/>
        <v>70517987.900215372</v>
      </c>
      <c r="CC17" s="88">
        <f t="shared" si="9"/>
        <v>71553599.984357327</v>
      </c>
      <c r="CD17" s="88">
        <f t="shared" si="9"/>
        <v>72625769.804637343</v>
      </c>
      <c r="CE17" s="88">
        <f t="shared" si="9"/>
        <v>73661381.888779297</v>
      </c>
      <c r="CF17" s="88">
        <f t="shared" si="9"/>
        <v>74733551.709059313</v>
      </c>
      <c r="CG17" s="88">
        <f t="shared" si="9"/>
        <v>75805721.529339328</v>
      </c>
      <c r="CH17" s="88">
        <f t="shared" si="9"/>
        <v>76841333.613481283</v>
      </c>
      <c r="CI17" s="88">
        <f t="shared" si="9"/>
        <v>77913503.433761299</v>
      </c>
      <c r="CJ17" s="88">
        <f t="shared" si="9"/>
        <v>78949115.517903253</v>
      </c>
      <c r="CK17" s="88">
        <f t="shared" si="9"/>
        <v>80021285.338183269</v>
      </c>
      <c r="CL17" s="88">
        <f t="shared" si="9"/>
        <v>81093455.158463284</v>
      </c>
      <c r="CM17" s="88">
        <f t="shared" si="9"/>
        <v>82055951.770329118</v>
      </c>
      <c r="CN17" s="88">
        <f t="shared" si="9"/>
        <v>83128121.590609133</v>
      </c>
      <c r="CO17" s="88">
        <f t="shared" si="9"/>
        <v>84163733.674751088</v>
      </c>
      <c r="CP17" s="88">
        <f t="shared" si="9"/>
        <v>85235903.495031103</v>
      </c>
      <c r="CQ17" s="88">
        <f t="shared" si="9"/>
        <v>86271515.579173058</v>
      </c>
      <c r="CR17" s="88">
        <f t="shared" si="9"/>
        <v>87343685.399453074</v>
      </c>
      <c r="CS17" s="88">
        <f t="shared" si="9"/>
        <v>88415855.219733089</v>
      </c>
      <c r="CT17" s="88">
        <f t="shared" si="9"/>
        <v>89451467.303875044</v>
      </c>
      <c r="CU17" s="88">
        <f t="shared" si="9"/>
        <v>90523637.124155059</v>
      </c>
      <c r="CV17" s="88">
        <f t="shared" si="9"/>
        <v>91559249.208297014</v>
      </c>
      <c r="CW17" s="88">
        <f t="shared" si="9"/>
        <v>92631419.02857703</v>
      </c>
      <c r="CX17" s="88">
        <f t="shared" ref="CX17:EC17" si="10">CW17+CX16</f>
        <v>93703588.848857045</v>
      </c>
      <c r="CY17" s="88">
        <f t="shared" si="10"/>
        <v>94666085.460722879</v>
      </c>
      <c r="CZ17" s="88">
        <f t="shared" si="10"/>
        <v>95738255.281002894</v>
      </c>
      <c r="DA17" s="88">
        <f t="shared" si="10"/>
        <v>96773867.365144849</v>
      </c>
      <c r="DB17" s="88">
        <f t="shared" si="10"/>
        <v>97846037.185424864</v>
      </c>
      <c r="DC17" s="88">
        <f t="shared" si="10"/>
        <v>98881649.269566819</v>
      </c>
      <c r="DD17" s="88">
        <f t="shared" si="10"/>
        <v>99953819.089846835</v>
      </c>
      <c r="DE17" s="88">
        <f t="shared" si="10"/>
        <v>101025988.91012685</v>
      </c>
      <c r="DF17" s="88">
        <f t="shared" si="10"/>
        <v>102061600.9942688</v>
      </c>
      <c r="DG17" s="88">
        <f t="shared" si="10"/>
        <v>103133770.81454882</v>
      </c>
      <c r="DH17" s="88">
        <f t="shared" si="10"/>
        <v>104169382.89869078</v>
      </c>
      <c r="DI17" s="88">
        <f t="shared" si="10"/>
        <v>105241552.71897079</v>
      </c>
      <c r="DJ17" s="88">
        <f t="shared" si="10"/>
        <v>106313722.53925081</v>
      </c>
      <c r="DK17" s="88">
        <f t="shared" si="10"/>
        <v>107276219.15111664</v>
      </c>
      <c r="DL17" s="88">
        <f t="shared" si="10"/>
        <v>108348388.97139665</v>
      </c>
      <c r="DM17" s="88">
        <f t="shared" si="10"/>
        <v>109384001.05553861</v>
      </c>
      <c r="DN17" s="88">
        <f t="shared" si="10"/>
        <v>110456170.87581863</v>
      </c>
      <c r="DO17" s="88">
        <f t="shared" si="10"/>
        <v>111491782.95996058</v>
      </c>
      <c r="DP17" s="88">
        <f t="shared" si="10"/>
        <v>112563952.7802406</v>
      </c>
      <c r="DQ17" s="88">
        <f t="shared" si="10"/>
        <v>113636122.60052061</v>
      </c>
      <c r="DR17" s="88">
        <f t="shared" si="10"/>
        <v>114671734.68466257</v>
      </c>
      <c r="DS17" s="88">
        <f t="shared" si="10"/>
        <v>115743904.50494258</v>
      </c>
      <c r="DT17" s="88">
        <f t="shared" si="10"/>
        <v>116779516.58908454</v>
      </c>
      <c r="DU17" s="88">
        <f t="shared" si="10"/>
        <v>117851686.40936455</v>
      </c>
      <c r="DV17" s="88">
        <f t="shared" si="10"/>
        <v>118923856.22964457</v>
      </c>
      <c r="DW17" s="88">
        <f t="shared" si="10"/>
        <v>119886352.8415104</v>
      </c>
      <c r="DX17" s="88">
        <f t="shared" si="10"/>
        <v>120958522.66179042</v>
      </c>
      <c r="DY17" s="88">
        <f t="shared" si="10"/>
        <v>121994134.74593237</v>
      </c>
      <c r="DZ17" s="88">
        <f t="shared" si="10"/>
        <v>123066304.56621239</v>
      </c>
      <c r="EA17" s="88">
        <f t="shared" si="10"/>
        <v>124101916.65035434</v>
      </c>
      <c r="EB17" s="88">
        <f t="shared" si="10"/>
        <v>125174086.47063436</v>
      </c>
      <c r="EC17" s="88">
        <f t="shared" si="10"/>
        <v>126246256.29091437</v>
      </c>
      <c r="ED17" s="88">
        <f t="shared" ref="ED17:FI17" si="11">EC17+ED16</f>
        <v>127281868.37505633</v>
      </c>
      <c r="EE17" s="88">
        <f t="shared" si="11"/>
        <v>128354038.19533634</v>
      </c>
      <c r="EF17" s="88">
        <f t="shared" si="11"/>
        <v>129389650.2794783</v>
      </c>
      <c r="EG17" s="88">
        <f t="shared" si="11"/>
        <v>130461820.09975831</v>
      </c>
      <c r="EH17" s="88">
        <f t="shared" si="11"/>
        <v>131533989.92003833</v>
      </c>
      <c r="EI17" s="88">
        <f t="shared" si="11"/>
        <v>132496486.53190416</v>
      </c>
      <c r="EJ17" s="88">
        <f t="shared" si="11"/>
        <v>133568656.35218418</v>
      </c>
      <c r="EK17" s="88">
        <f t="shared" si="11"/>
        <v>134604268.43632615</v>
      </c>
      <c r="EL17" s="88">
        <f t="shared" si="11"/>
        <v>135676438.25660616</v>
      </c>
      <c r="EM17" s="88">
        <f t="shared" si="11"/>
        <v>136712050.34074813</v>
      </c>
      <c r="EN17" s="88">
        <f t="shared" si="11"/>
        <v>137784220.16102815</v>
      </c>
      <c r="EO17" s="88">
        <f t="shared" si="11"/>
        <v>138856389.98130816</v>
      </c>
      <c r="EP17" s="88">
        <f t="shared" si="11"/>
        <v>139892002.06545013</v>
      </c>
      <c r="EQ17" s="88">
        <f t="shared" si="11"/>
        <v>140964171.88573015</v>
      </c>
      <c r="ER17" s="88">
        <f t="shared" si="11"/>
        <v>141999783.96987212</v>
      </c>
      <c r="ES17" s="88">
        <f t="shared" si="11"/>
        <v>143071953.79015213</v>
      </c>
      <c r="ET17" s="88">
        <f t="shared" si="11"/>
        <v>144144123.61043215</v>
      </c>
      <c r="EU17" s="88">
        <f t="shared" si="11"/>
        <v>145106620.22229797</v>
      </c>
      <c r="EV17" s="88">
        <f t="shared" si="11"/>
        <v>146178790.04257798</v>
      </c>
      <c r="EW17" s="88">
        <f t="shared" si="11"/>
        <v>147214402.12671995</v>
      </c>
      <c r="EX17" s="88">
        <f t="shared" si="11"/>
        <v>148286571.94699997</v>
      </c>
      <c r="EY17" s="88">
        <f t="shared" si="11"/>
        <v>149322184.03114194</v>
      </c>
      <c r="EZ17" s="88">
        <f t="shared" si="11"/>
        <v>150394353.85142195</v>
      </c>
      <c r="FA17" s="88">
        <f t="shared" si="11"/>
        <v>151466523.67170197</v>
      </c>
      <c r="FB17" s="88">
        <f t="shared" si="11"/>
        <v>152502135.75584394</v>
      </c>
      <c r="FC17" s="88">
        <f t="shared" si="11"/>
        <v>153574305.57612395</v>
      </c>
      <c r="FD17" s="88">
        <f t="shared" si="11"/>
        <v>154609917.66026592</v>
      </c>
      <c r="FE17" s="88">
        <f t="shared" si="11"/>
        <v>155682087.48054594</v>
      </c>
      <c r="FF17" s="88">
        <f t="shared" si="11"/>
        <v>156754257.30082595</v>
      </c>
      <c r="FG17" s="88">
        <f t="shared" si="11"/>
        <v>157716753.91269177</v>
      </c>
      <c r="FH17" s="88">
        <f t="shared" si="11"/>
        <v>158788923.73297179</v>
      </c>
      <c r="FI17" s="88">
        <f t="shared" si="11"/>
        <v>159824535.81711376</v>
      </c>
      <c r="FJ17" s="88">
        <f t="shared" ref="FJ17:GC17" si="12">FI17+FJ16</f>
        <v>160896705.63739377</v>
      </c>
      <c r="FK17" s="88">
        <f t="shared" si="12"/>
        <v>161932317.72153574</v>
      </c>
      <c r="FL17" s="88">
        <f t="shared" si="12"/>
        <v>163004487.54181576</v>
      </c>
      <c r="FM17" s="88">
        <f t="shared" si="12"/>
        <v>164076657.36209577</v>
      </c>
      <c r="FN17" s="88">
        <f t="shared" si="12"/>
        <v>165112269.44623774</v>
      </c>
      <c r="FO17" s="88">
        <f t="shared" si="12"/>
        <v>166184439.26651776</v>
      </c>
      <c r="FP17" s="88">
        <f t="shared" si="12"/>
        <v>167220051.35065973</v>
      </c>
      <c r="FQ17" s="88">
        <f t="shared" si="12"/>
        <v>168292221.17093974</v>
      </c>
      <c r="FR17" s="88">
        <f t="shared" si="12"/>
        <v>169364390.99121976</v>
      </c>
      <c r="FS17" s="88">
        <f t="shared" si="12"/>
        <v>170326887.60308558</v>
      </c>
      <c r="FT17" s="88">
        <f t="shared" si="12"/>
        <v>171399057.42336559</v>
      </c>
      <c r="FU17" s="88">
        <f t="shared" si="12"/>
        <v>172434669.50750756</v>
      </c>
      <c r="FV17" s="88">
        <f t="shared" si="12"/>
        <v>173506839.32778758</v>
      </c>
      <c r="FW17" s="88">
        <f t="shared" si="12"/>
        <v>174542451.41192955</v>
      </c>
      <c r="FX17" s="88">
        <f t="shared" si="12"/>
        <v>175614621.23220956</v>
      </c>
      <c r="FY17" s="88">
        <f t="shared" si="12"/>
        <v>176686791.05248958</v>
      </c>
      <c r="FZ17" s="88">
        <f t="shared" si="12"/>
        <v>177722403.13663155</v>
      </c>
      <c r="GA17" s="88">
        <f t="shared" si="12"/>
        <v>178794572.95691156</v>
      </c>
      <c r="GB17" s="88">
        <f t="shared" si="12"/>
        <v>179830185.04105353</v>
      </c>
      <c r="GC17" s="88">
        <f t="shared" si="12"/>
        <v>180902354.86133355</v>
      </c>
    </row>
    <row r="18" spans="1:185">
      <c r="A18" s="80"/>
      <c r="B18" s="80"/>
      <c r="C18" s="80"/>
      <c r="D18" s="80"/>
      <c r="E18" s="81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  <c r="DV18" s="89"/>
      <c r="DW18" s="89"/>
      <c r="DX18" s="89"/>
      <c r="DY18" s="89"/>
      <c r="DZ18" s="89"/>
      <c r="EA18" s="89"/>
      <c r="EB18" s="89"/>
      <c r="EC18" s="89"/>
      <c r="ED18" s="89"/>
      <c r="EE18" s="89"/>
      <c r="EF18" s="89"/>
      <c r="EG18" s="89"/>
      <c r="EH18" s="89"/>
      <c r="EI18" s="89"/>
      <c r="EJ18" s="89"/>
      <c r="EK18" s="89"/>
      <c r="EL18" s="89"/>
      <c r="EM18" s="89"/>
      <c r="EN18" s="89"/>
      <c r="EO18" s="89"/>
      <c r="EP18" s="89"/>
      <c r="EQ18" s="89"/>
      <c r="ER18" s="89"/>
      <c r="ES18" s="89"/>
      <c r="ET18" s="89"/>
      <c r="EU18" s="89"/>
      <c r="EV18" s="89"/>
      <c r="EW18" s="89"/>
      <c r="EX18" s="89"/>
      <c r="EY18" s="89"/>
      <c r="EZ18" s="89"/>
      <c r="FA18" s="89"/>
      <c r="FB18" s="89"/>
      <c r="FC18" s="89"/>
      <c r="FD18" s="89"/>
      <c r="FE18" s="89"/>
      <c r="FF18" s="89"/>
      <c r="FG18" s="89"/>
      <c r="FH18" s="89"/>
      <c r="FI18" s="89"/>
      <c r="FJ18" s="89"/>
      <c r="FK18" s="89"/>
      <c r="FL18" s="89"/>
      <c r="FM18" s="89"/>
      <c r="FN18" s="89"/>
      <c r="FO18" s="89"/>
      <c r="FP18" s="89"/>
      <c r="FQ18" s="89"/>
      <c r="FR18" s="89"/>
      <c r="FS18" s="89"/>
      <c r="FT18" s="89"/>
      <c r="FU18" s="89"/>
      <c r="FV18" s="89"/>
      <c r="FW18" s="89"/>
      <c r="FX18" s="89"/>
      <c r="FY18" s="89"/>
      <c r="FZ18" s="89"/>
      <c r="GA18" s="89"/>
      <c r="GB18" s="89"/>
      <c r="GC18" s="89"/>
    </row>
    <row r="19" spans="1:185" s="75" customFormat="1">
      <c r="A19" s="90"/>
      <c r="B19" s="90"/>
      <c r="C19" s="90"/>
      <c r="D19" s="90"/>
      <c r="E19" s="91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  <c r="DL19" s="90"/>
      <c r="DM19" s="90"/>
      <c r="DN19" s="90"/>
      <c r="DO19" s="90"/>
      <c r="DP19" s="90"/>
      <c r="DQ19" s="90"/>
      <c r="DR19" s="90"/>
      <c r="DS19" s="90"/>
      <c r="DT19" s="90"/>
      <c r="DU19" s="90"/>
      <c r="DV19" s="90"/>
      <c r="DW19" s="90"/>
      <c r="DX19" s="90"/>
      <c r="DY19" s="90"/>
      <c r="DZ19" s="90"/>
      <c r="EA19" s="90"/>
      <c r="EB19" s="90"/>
      <c r="EC19" s="90"/>
      <c r="ED19" s="90"/>
      <c r="EE19" s="90"/>
      <c r="EF19" s="90"/>
      <c r="EG19" s="90"/>
      <c r="EH19" s="90"/>
      <c r="EI19" s="90"/>
      <c r="EJ19" s="90"/>
      <c r="EK19" s="90"/>
      <c r="EL19" s="90"/>
      <c r="EM19" s="90"/>
      <c r="EN19" s="90"/>
      <c r="EO19" s="90"/>
      <c r="EP19" s="90"/>
      <c r="EQ19" s="90"/>
      <c r="ER19" s="90"/>
      <c r="ES19" s="90"/>
      <c r="ET19" s="90"/>
      <c r="EU19" s="90"/>
      <c r="EV19" s="90"/>
      <c r="EW19" s="90"/>
      <c r="EX19" s="90"/>
      <c r="EY19" s="90"/>
      <c r="EZ19" s="90"/>
      <c r="FA19" s="90"/>
      <c r="FB19" s="90"/>
      <c r="FC19" s="90"/>
      <c r="FD19" s="90"/>
      <c r="FE19" s="90"/>
      <c r="FF19" s="90"/>
      <c r="FG19" s="90"/>
      <c r="FH19" s="90"/>
      <c r="FI19" s="90"/>
      <c r="FJ19" s="90"/>
      <c r="FK19" s="90"/>
      <c r="FL19" s="90"/>
      <c r="FM19" s="90"/>
      <c r="FN19" s="90"/>
      <c r="FO19" s="90"/>
      <c r="FP19" s="90"/>
      <c r="FQ19" s="90"/>
      <c r="FR19" s="90"/>
      <c r="FS19" s="90"/>
      <c r="FT19" s="90"/>
      <c r="FU19" s="90"/>
      <c r="FV19" s="90"/>
      <c r="FW19" s="90"/>
      <c r="FX19" s="90"/>
      <c r="FY19" s="90"/>
      <c r="FZ19" s="90"/>
      <c r="GA19" s="90"/>
      <c r="GB19" s="90"/>
      <c r="GC19" s="90"/>
    </row>
    <row r="20" spans="1:185">
      <c r="A20" s="6"/>
      <c r="B20" s="80"/>
      <c r="C20" s="80"/>
      <c r="D20" s="80"/>
      <c r="E20" s="82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80"/>
      <c r="EA20" s="80"/>
      <c r="EB20" s="80"/>
      <c r="EC20" s="80"/>
      <c r="ED20" s="80"/>
      <c r="EE20" s="80"/>
      <c r="EF20" s="80"/>
      <c r="EG20" s="80"/>
      <c r="EH20" s="80"/>
      <c r="EI20" s="80"/>
      <c r="EJ20" s="80"/>
      <c r="EK20" s="80"/>
      <c r="EL20" s="80"/>
      <c r="EM20" s="80"/>
      <c r="EN20" s="80"/>
      <c r="EO20" s="80"/>
      <c r="EP20" s="80"/>
      <c r="EQ20" s="80"/>
      <c r="ER20" s="80"/>
      <c r="ES20" s="80"/>
      <c r="ET20" s="80"/>
      <c r="EU20" s="80"/>
      <c r="EV20" s="80"/>
      <c r="EW20" s="80"/>
      <c r="EX20" s="80"/>
      <c r="EY20" s="80"/>
      <c r="EZ20" s="80"/>
      <c r="FA20" s="80"/>
      <c r="FB20" s="80"/>
      <c r="FC20" s="80"/>
      <c r="FD20" s="80"/>
      <c r="FE20" s="80"/>
      <c r="FF20" s="80"/>
      <c r="FG20" s="80"/>
      <c r="FH20" s="80"/>
      <c r="FI20" s="80"/>
      <c r="FJ20" s="80"/>
      <c r="FK20" s="80"/>
      <c r="FL20" s="80"/>
      <c r="FM20" s="80"/>
      <c r="FN20" s="80"/>
      <c r="FO20" s="80"/>
      <c r="FP20" s="80"/>
      <c r="FQ20" s="80"/>
      <c r="FR20" s="80"/>
      <c r="FS20" s="80"/>
      <c r="FT20" s="80"/>
      <c r="FU20" s="80"/>
      <c r="FV20" s="80"/>
      <c r="FW20" s="80"/>
      <c r="FX20" s="80"/>
      <c r="FY20" s="80"/>
      <c r="FZ20" s="80"/>
      <c r="GA20" s="80"/>
      <c r="GB20" s="80"/>
      <c r="GC20" s="80"/>
    </row>
    <row r="21" spans="1:185">
      <c r="A21" s="80"/>
      <c r="B21" s="80" t="s">
        <v>76</v>
      </c>
      <c r="C21" s="80"/>
      <c r="D21" s="80"/>
      <c r="E21" s="82"/>
      <c r="F21" s="123" t="str">
        <f>IF(Assumptions!$D$24=Proforma!F5, Assumptions!$B$24, IF(AND(ModelDescription!$D$23=Assumptions!$E$28, Assumptions!$D$29=Proforma!F5), Assumptions!$B$29, ""))</f>
        <v>Series A</v>
      </c>
      <c r="G21" s="123" t="str">
        <f>IF(Assumptions!$D$24=Proforma!G5, Assumptions!$B$24, IF(AND(ModelDescription!$D$23=Assumptions!$E$28, Assumptions!$D$29=Proforma!G5), Assumptions!$B$29, ""))</f>
        <v/>
      </c>
      <c r="H21" s="123" t="str">
        <f>IF(Assumptions!$D$24=Proforma!H5, Assumptions!$B$24, IF(AND(ModelDescription!$D$23=Assumptions!$E$28, Assumptions!$D$29=Proforma!H5), Assumptions!$B$29, ""))</f>
        <v/>
      </c>
      <c r="I21" s="123" t="str">
        <f>IF(Assumptions!$D$24=Proforma!I5, Assumptions!$B$24, IF(AND(ModelDescription!$D$23=Assumptions!$E$28, Assumptions!$D$29=Proforma!I5), Assumptions!$B$29, ""))</f>
        <v/>
      </c>
      <c r="J21" s="123" t="str">
        <f>IF(Assumptions!$D$24=Proforma!J5, Assumptions!$B$24, IF(AND(ModelDescription!$D$23=Assumptions!$E$28, Assumptions!$D$29=Proforma!J5), Assumptions!$B$29, ""))</f>
        <v/>
      </c>
      <c r="K21" s="123" t="str">
        <f>IF(Assumptions!$D$24=Proforma!K5, Assumptions!$B$24, IF(AND(ModelDescription!$D$23=Assumptions!$E$28, Assumptions!$D$29=Proforma!K5), Assumptions!$B$29, ""))</f>
        <v/>
      </c>
      <c r="L21" s="123" t="str">
        <f>IF(Assumptions!$D$24=Proforma!L5, Assumptions!$B$24, IF(AND(ModelDescription!$D$23=Assumptions!$E$28, Assumptions!$D$29=Proforma!L5), Assumptions!$B$29, ""))</f>
        <v/>
      </c>
      <c r="M21" s="123" t="str">
        <f>IF(Assumptions!$D$24=Proforma!M5, Assumptions!$B$24, IF(AND(ModelDescription!$D$23=Assumptions!$E$28, Assumptions!$D$29=Proforma!M5), Assumptions!$B$29, ""))</f>
        <v/>
      </c>
      <c r="N21" s="123" t="str">
        <f>IF(Assumptions!$D$24=Proforma!N5, Assumptions!$B$24, IF(AND(ModelDescription!$D$23=Assumptions!$E$28, Assumptions!$D$29=Proforma!N5), Assumptions!$B$29, ""))</f>
        <v/>
      </c>
      <c r="O21" s="123" t="str">
        <f>IF(Assumptions!$D$24=Proforma!O5, Assumptions!$B$24, IF(AND(ModelDescription!$D$23=Assumptions!$E$28, Assumptions!$D$29=Proforma!O5), Assumptions!$B$29, ""))</f>
        <v/>
      </c>
      <c r="P21" s="123" t="str">
        <f>IF(Assumptions!$D$24=Proforma!P5, Assumptions!$B$24, IF(AND(ModelDescription!$D$23=Assumptions!$E$28, Assumptions!$D$29=Proforma!P5), Assumptions!$B$29, ""))</f>
        <v/>
      </c>
      <c r="Q21" s="123" t="str">
        <f>IF(Assumptions!$D$24=Proforma!Q5, Assumptions!$B$24, IF(AND(ModelDescription!$D$23=Assumptions!$E$28, Assumptions!$D$29=Proforma!Q5), Assumptions!$B$29, ""))</f>
        <v/>
      </c>
      <c r="R21" s="123" t="str">
        <f>IF(Assumptions!$D$24=Proforma!R5, Assumptions!$B$24, IF(AND(ModelDescription!$D$23=Assumptions!$E$28, Assumptions!$D$29=Proforma!R5), Assumptions!$B$29, ""))</f>
        <v/>
      </c>
      <c r="S21" s="123" t="str">
        <f>IF(Assumptions!$D$24=Proforma!S5, Assumptions!$B$24, IF(AND(ModelDescription!$D$23=Assumptions!$E$28, Assumptions!$D$29=Proforma!S5), Assumptions!$B$29, ""))</f>
        <v/>
      </c>
      <c r="T21" s="123" t="str">
        <f>IF(Assumptions!$D$24=Proforma!T5, Assumptions!$B$24, IF(AND(ModelDescription!$D$23=Assumptions!$E$28, Assumptions!$D$29=Proforma!T5), Assumptions!$B$29, ""))</f>
        <v/>
      </c>
      <c r="U21" s="123" t="str">
        <f>IF(Assumptions!$D$24=Proforma!U5, Assumptions!$B$24, IF(AND(ModelDescription!$D$23=Assumptions!$E$28, Assumptions!$D$29=Proforma!U5), Assumptions!$B$29, ""))</f>
        <v/>
      </c>
      <c r="V21" s="123" t="str">
        <f>IF(Assumptions!$D$24=Proforma!V5, Assumptions!$B$24, IF(AND(ModelDescription!$D$23=Assumptions!$E$28, Assumptions!$D$29=Proforma!V5), Assumptions!$B$29, ""))</f>
        <v/>
      </c>
      <c r="W21" s="123" t="str">
        <f>IF(Assumptions!$D$24=Proforma!W5, Assumptions!$B$24, IF(AND(ModelDescription!$D$23=Assumptions!$E$28, Assumptions!$D$29=Proforma!W5), Assumptions!$B$29, ""))</f>
        <v/>
      </c>
      <c r="X21" s="123" t="str">
        <f>IF(Assumptions!$D$24=Proforma!X5, Assumptions!$B$24, IF(AND(ModelDescription!$D$23=Assumptions!$E$28, Assumptions!$D$29=Proforma!X5), Assumptions!$B$29, ""))</f>
        <v/>
      </c>
      <c r="Y21" s="123" t="str">
        <f>IF(Assumptions!$D$24=Proforma!Y5, Assumptions!$B$24, IF(AND(ModelDescription!$D$23=Assumptions!$E$28, Assumptions!$D$29=Proforma!Y5), Assumptions!$B$29, ""))</f>
        <v/>
      </c>
      <c r="Z21" s="123" t="str">
        <f>IF(Assumptions!$D$24=Proforma!Z5, Assumptions!$B$24, IF(AND(ModelDescription!$D$23=Assumptions!$E$28, Assumptions!$D$29=Proforma!Z5), Assumptions!$B$29, ""))</f>
        <v/>
      </c>
      <c r="AA21" s="123" t="str">
        <f>IF(Assumptions!$D$24=Proforma!AA5, Assumptions!$B$24, IF(AND(ModelDescription!$D$23=Assumptions!$E$28, Assumptions!$D$29=Proforma!AA5), Assumptions!$B$29, ""))</f>
        <v/>
      </c>
      <c r="AB21" s="123" t="str">
        <f>IF(Assumptions!$D$24=Proforma!AB5, Assumptions!$B$24, IF(AND(ModelDescription!$D$23=Assumptions!$E$28, Assumptions!$D$29=Proforma!AB5), Assumptions!$B$29, ""))</f>
        <v/>
      </c>
      <c r="AC21" s="123" t="str">
        <f>IF(Assumptions!$D$24=Proforma!AC5, Assumptions!$B$24, IF(AND(ModelDescription!$D$23=Assumptions!$E$28, Assumptions!$D$29=Proforma!AC5), Assumptions!$B$29, ""))</f>
        <v/>
      </c>
      <c r="AD21" s="123" t="str">
        <f>IF(Assumptions!$D$24=Proforma!AD5, Assumptions!$B$24, IF(AND(ModelDescription!$D$23=Assumptions!$E$28, Assumptions!$D$29=Proforma!AD5), Assumptions!$B$29, ""))</f>
        <v/>
      </c>
      <c r="AE21" s="123" t="str">
        <f>IF(Assumptions!$D$24=Proforma!AE5, Assumptions!$B$24, IF(AND(ModelDescription!$D$23=Assumptions!$E$28, Assumptions!$D$29=Proforma!AE5), Assumptions!$B$29, ""))</f>
        <v/>
      </c>
      <c r="AF21" s="123" t="str">
        <f>IF(Assumptions!$D$24=Proforma!AF5, Assumptions!$B$24, IF(AND(ModelDescription!$D$23=Assumptions!$E$28, Assumptions!$D$29=Proforma!AF5), Assumptions!$B$29, ""))</f>
        <v/>
      </c>
      <c r="AG21" s="123" t="str">
        <f>IF(Assumptions!$D$24=Proforma!AG5, Assumptions!$B$24, IF(AND(ModelDescription!$D$23=Assumptions!$E$28, Assumptions!$D$29=Proforma!AG5), Assumptions!$B$29, ""))</f>
        <v/>
      </c>
      <c r="AH21" s="123" t="str">
        <f>IF(Assumptions!$D$24=Proforma!AH5, Assumptions!$B$24, IF(AND(ModelDescription!$D$23=Assumptions!$E$28, Assumptions!$D$29=Proforma!AH5), Assumptions!$B$29, ""))</f>
        <v/>
      </c>
      <c r="AI21" s="123" t="str">
        <f>IF(Assumptions!$D$24=Proforma!AI5, Assumptions!$B$24, IF(AND(ModelDescription!$D$23=Assumptions!$E$28, Assumptions!$D$29=Proforma!AI5), Assumptions!$B$29, ""))</f>
        <v/>
      </c>
      <c r="AJ21" s="123" t="str">
        <f>IF(Assumptions!$D$24=Proforma!AJ5, Assumptions!$B$24, IF(AND(ModelDescription!$D$23=Assumptions!$E$28, Assumptions!$D$29=Proforma!AJ5), Assumptions!$B$29, ""))</f>
        <v/>
      </c>
      <c r="AK21" s="123" t="str">
        <f>IF(Assumptions!$D$24=Proforma!AK5, Assumptions!$B$24, IF(AND(ModelDescription!$D$23=Assumptions!$E$28, Assumptions!$D$29=Proforma!AK5), Assumptions!$B$29, ""))</f>
        <v/>
      </c>
      <c r="AL21" s="123" t="str">
        <f>IF(Assumptions!$D$24=Proforma!AL5, Assumptions!$B$24, IF(AND(ModelDescription!$D$23=Assumptions!$E$28, Assumptions!$D$29=Proforma!AL5), Assumptions!$B$29, ""))</f>
        <v/>
      </c>
      <c r="AM21" s="123" t="str">
        <f>IF(Assumptions!$D$24=Proforma!AM5, Assumptions!$B$24, IF(AND(ModelDescription!$D$23=Assumptions!$E$28, Assumptions!$D$29=Proforma!AM5), Assumptions!$B$29, ""))</f>
        <v/>
      </c>
      <c r="AN21" s="123" t="str">
        <f>IF(Assumptions!$D$24=Proforma!AN5, Assumptions!$B$24, IF(AND(ModelDescription!$D$23=Assumptions!$E$28, Assumptions!$D$29=Proforma!AN5), Assumptions!$B$29, ""))</f>
        <v/>
      </c>
      <c r="AO21" s="123" t="str">
        <f>IF(Assumptions!$D$24=Proforma!AO5, Assumptions!$B$24, IF(AND(ModelDescription!$D$23=Assumptions!$E$28, Assumptions!$D$29=Proforma!AO5), Assumptions!$B$29, ""))</f>
        <v/>
      </c>
      <c r="AP21" s="123" t="str">
        <f>IF(Assumptions!$D$24=Proforma!AP5, Assumptions!$B$24, IF(AND(ModelDescription!$D$23=Assumptions!$E$28, Assumptions!$D$29=Proforma!AP5), Assumptions!$B$29, ""))</f>
        <v/>
      </c>
      <c r="AQ21" s="123" t="str">
        <f>IF(Assumptions!$D$24=Proforma!AQ5, Assumptions!$B$24, IF(AND(ModelDescription!$D$23=Assumptions!$E$28, Assumptions!$D$29=Proforma!AQ5), Assumptions!$B$29, ""))</f>
        <v/>
      </c>
      <c r="AR21" s="123" t="str">
        <f>IF(Assumptions!$D$24=Proforma!AR5, Assumptions!$B$24, IF(AND(ModelDescription!$D$23=Assumptions!$E$28, Assumptions!$D$29=Proforma!AR5), Assumptions!$B$29, ""))</f>
        <v/>
      </c>
      <c r="AS21" s="123" t="str">
        <f>IF(Assumptions!$D$24=Proforma!AS5, Assumptions!$B$24, IF(AND(ModelDescription!$D$23=Assumptions!$E$28, Assumptions!$D$29=Proforma!AS5), Assumptions!$B$29, ""))</f>
        <v/>
      </c>
      <c r="AT21" s="123" t="str">
        <f>IF(Assumptions!$D$24=Proforma!AT5, Assumptions!$B$24, IF(AND(ModelDescription!$D$23=Assumptions!$E$28, Assumptions!$D$29=Proforma!AT5), Assumptions!$B$29, ""))</f>
        <v/>
      </c>
      <c r="AU21" s="123" t="str">
        <f>IF(Assumptions!$D$24=Proforma!AU5, Assumptions!$B$24, IF(AND(ModelDescription!$D$23=Assumptions!$E$28, Assumptions!$D$29=Proforma!AU5), Assumptions!$B$29, ""))</f>
        <v/>
      </c>
      <c r="AV21" s="123" t="str">
        <f>IF(Assumptions!$D$24=Proforma!AV5, Assumptions!$B$24, IF(AND(ModelDescription!$D$23=Assumptions!$E$28, Assumptions!$D$29=Proforma!AV5), Assumptions!$B$29, ""))</f>
        <v/>
      </c>
      <c r="AW21" s="123" t="str">
        <f>IF(Assumptions!$D$24=Proforma!AW5, Assumptions!$B$24, IF(AND(ModelDescription!$D$23=Assumptions!$E$28, Assumptions!$D$29=Proforma!AW5), Assumptions!$B$29, ""))</f>
        <v/>
      </c>
      <c r="AX21" s="123" t="str">
        <f>IF(Assumptions!$D$24=Proforma!AX5, Assumptions!$B$24, IF(AND(ModelDescription!$D$23=Assumptions!$E$28, Assumptions!$D$29=Proforma!AX5), Assumptions!$B$29, ""))</f>
        <v/>
      </c>
      <c r="AY21" s="123" t="str">
        <f>IF(Assumptions!$D$24=Proforma!AY5, Assumptions!$B$24, IF(AND(ModelDescription!$D$23=Assumptions!$E$28, Assumptions!$D$29=Proforma!AY5), Assumptions!$B$29, ""))</f>
        <v/>
      </c>
      <c r="AZ21" s="123" t="str">
        <f>IF(Assumptions!$D$24=Proforma!AZ5, Assumptions!$B$24, IF(AND(ModelDescription!$D$23=Assumptions!$E$28, Assumptions!$D$29=Proforma!AZ5), Assumptions!$B$29, ""))</f>
        <v/>
      </c>
      <c r="BA21" s="123" t="str">
        <f>IF(Assumptions!$D$24=Proforma!BA5, Assumptions!$B$24, IF(AND(ModelDescription!$D$23=Assumptions!$E$28, Assumptions!$D$29=Proforma!BA5), Assumptions!$B$29, ""))</f>
        <v/>
      </c>
      <c r="BB21" s="123" t="str">
        <f>IF(Assumptions!$D$24=Proforma!BB5, Assumptions!$B$24, IF(AND(ModelDescription!$D$23=Assumptions!$E$28, Assumptions!$D$29=Proforma!BB5), Assumptions!$B$29, ""))</f>
        <v/>
      </c>
      <c r="BC21" s="123" t="str">
        <f>IF(Assumptions!$D$24=Proforma!BC5, Assumptions!$B$24, IF(AND(ModelDescription!$D$23=Assumptions!$E$28, Assumptions!$D$29=Proforma!BC5), Assumptions!$B$29, ""))</f>
        <v/>
      </c>
      <c r="BD21" s="123" t="str">
        <f>IF(Assumptions!$D$24=Proforma!BD5, Assumptions!$B$24, IF(AND(ModelDescription!$D$23=Assumptions!$E$28, Assumptions!$D$29=Proforma!BD5), Assumptions!$B$29, ""))</f>
        <v/>
      </c>
      <c r="BE21" s="123" t="str">
        <f>IF(Assumptions!$D$24=Proforma!BE5, Assumptions!$B$24, IF(AND(ModelDescription!$D$23=Assumptions!$E$28, Assumptions!$D$29=Proforma!BE5), Assumptions!$B$29, ""))</f>
        <v/>
      </c>
      <c r="BF21" s="123" t="str">
        <f>IF(Assumptions!$D$24=Proforma!BF5, Assumptions!$B$24, IF(AND(ModelDescription!$D$23=Assumptions!$E$28, Assumptions!$D$29=Proforma!BF5), Assumptions!$B$29, ""))</f>
        <v/>
      </c>
      <c r="BG21" s="123" t="str">
        <f>IF(Assumptions!$D$24=Proforma!BG5, Assumptions!$B$24, IF(AND(ModelDescription!$D$23=Assumptions!$E$28, Assumptions!$D$29=Proforma!BG5), Assumptions!$B$29, ""))</f>
        <v/>
      </c>
      <c r="BH21" s="123" t="str">
        <f>IF(Assumptions!$D$24=Proforma!BH5, Assumptions!$B$24, IF(AND(ModelDescription!$D$23=Assumptions!$E$28, Assumptions!$D$29=Proforma!BH5), Assumptions!$B$29, ""))</f>
        <v/>
      </c>
      <c r="BI21" s="123" t="str">
        <f>IF(Assumptions!$D$24=Proforma!BI5, Assumptions!$B$24, IF(AND(ModelDescription!$D$23=Assumptions!$E$28, Assumptions!$D$29=Proforma!BI5), Assumptions!$B$29, ""))</f>
        <v/>
      </c>
      <c r="BJ21" s="123" t="str">
        <f>IF(Assumptions!$D$24=Proforma!BJ5, Assumptions!$B$24, IF(AND(ModelDescription!$D$23=Assumptions!$E$28, Assumptions!$D$29=Proforma!BJ5), Assumptions!$B$29, ""))</f>
        <v/>
      </c>
      <c r="BK21" s="123" t="str">
        <f>IF(Assumptions!$D$24=Proforma!BK5, Assumptions!$B$24, IF(AND(ModelDescription!$D$23=Assumptions!$E$28, Assumptions!$D$29=Proforma!BK5), Assumptions!$B$29, ""))</f>
        <v/>
      </c>
      <c r="BL21" s="123" t="str">
        <f>IF(Assumptions!$D$24=Proforma!BL5, Assumptions!$B$24, IF(AND(ModelDescription!$D$23=Assumptions!$E$28, Assumptions!$D$29=Proforma!BL5), Assumptions!$B$29, ""))</f>
        <v/>
      </c>
      <c r="BM21" s="123" t="str">
        <f>IF(Assumptions!$D$24=Proforma!BM5, Assumptions!$B$24, IF(AND(ModelDescription!$D$23=Assumptions!$E$28, Assumptions!$D$29=Proforma!BM5), Assumptions!$B$29, ""))</f>
        <v/>
      </c>
      <c r="BN21" s="123" t="str">
        <f>IF(Assumptions!$D$24=Proforma!BN5, Assumptions!$B$24, IF(AND(ModelDescription!$D$23=Assumptions!$E$28, Assumptions!$D$29=Proforma!BN5), Assumptions!$B$29, ""))</f>
        <v/>
      </c>
      <c r="BO21" s="123" t="str">
        <f>IF(Assumptions!$D$24=Proforma!BO5, Assumptions!$B$24, IF(AND(ModelDescription!$D$23=Assumptions!$E$28, Assumptions!$D$29=Proforma!BO5), Assumptions!$B$29, ""))</f>
        <v/>
      </c>
      <c r="BP21" s="123" t="str">
        <f>IF(Assumptions!$D$24=Proforma!BP5, Assumptions!$B$24, IF(AND(ModelDescription!$D$23=Assumptions!$E$28, Assumptions!$D$29=Proforma!BP5), Assumptions!$B$29, ""))</f>
        <v/>
      </c>
      <c r="BQ21" s="123" t="str">
        <f>IF(Assumptions!$D$24=Proforma!BQ5, Assumptions!$B$24, IF(AND(ModelDescription!$D$23=Assumptions!$E$28, Assumptions!$D$29=Proforma!BQ5), Assumptions!$B$29, ""))</f>
        <v/>
      </c>
      <c r="BR21" s="123" t="str">
        <f>IF(Assumptions!$D$24=Proforma!BR5, Assumptions!$B$24, IF(AND(ModelDescription!$D$23=Assumptions!$E$28, Assumptions!$D$29=Proforma!BR5), Assumptions!$B$29, ""))</f>
        <v/>
      </c>
      <c r="BS21" s="123" t="str">
        <f>IF(Assumptions!$D$24=Proforma!BS5, Assumptions!$B$24, IF(AND(ModelDescription!$D$23=Assumptions!$E$28, Assumptions!$D$29=Proforma!BS5), Assumptions!$B$29, ""))</f>
        <v/>
      </c>
      <c r="BT21" s="123" t="str">
        <f>IF(Assumptions!$D$24=Proforma!BT5, Assumptions!$B$24, IF(AND(ModelDescription!$D$23=Assumptions!$E$28, Assumptions!$D$29=Proforma!BT5), Assumptions!$B$29, ""))</f>
        <v/>
      </c>
      <c r="BU21" s="123" t="str">
        <f>IF(Assumptions!$D$24=Proforma!BU5, Assumptions!$B$24, IF(AND(ModelDescription!$D$23=Assumptions!$E$28, Assumptions!$D$29=Proforma!BU5), Assumptions!$B$29, ""))</f>
        <v/>
      </c>
      <c r="BV21" s="123" t="str">
        <f>IF(Assumptions!$D$24=Proforma!BV5, Assumptions!$B$24, IF(AND(ModelDescription!$D$23=Assumptions!$E$28, Assumptions!$D$29=Proforma!BV5), Assumptions!$B$29, ""))</f>
        <v/>
      </c>
      <c r="BW21" s="123" t="str">
        <f>IF(Assumptions!$D$24=Proforma!BW5, Assumptions!$B$24, IF(AND(ModelDescription!$D$23=Assumptions!$E$28, Assumptions!$D$29=Proforma!BW5), Assumptions!$B$29, ""))</f>
        <v/>
      </c>
      <c r="BX21" s="123" t="str">
        <f>IF(Assumptions!$D$24=Proforma!BX5, Assumptions!$B$24, IF(AND(ModelDescription!$D$23=Assumptions!$E$28, Assumptions!$D$29=Proforma!BX5), Assumptions!$B$29, ""))</f>
        <v/>
      </c>
      <c r="BY21" s="123" t="str">
        <f>IF(Assumptions!$D$24=Proforma!BY5, Assumptions!$B$24, IF(AND(ModelDescription!$D$23=Assumptions!$E$28, Assumptions!$D$29=Proforma!BY5), Assumptions!$B$29, ""))</f>
        <v/>
      </c>
      <c r="BZ21" s="123" t="str">
        <f>IF(Assumptions!$D$24=Proforma!BZ5, Assumptions!$B$24, IF(AND(ModelDescription!$D$23=Assumptions!$E$28, Assumptions!$D$29=Proforma!BZ5), Assumptions!$B$29, ""))</f>
        <v/>
      </c>
      <c r="CA21" s="123" t="str">
        <f>IF(Assumptions!$D$24=Proforma!CA5, Assumptions!$B$24, IF(AND(ModelDescription!$D$23=Assumptions!$E$28, Assumptions!$D$29=Proforma!CA5), Assumptions!$B$29, ""))</f>
        <v/>
      </c>
      <c r="CB21" s="123" t="str">
        <f>IF(Assumptions!$D$24=Proforma!CB5, Assumptions!$B$24, IF(AND(ModelDescription!$D$23=Assumptions!$E$28, Assumptions!$D$29=Proforma!CB5), Assumptions!$B$29, ""))</f>
        <v/>
      </c>
      <c r="CC21" s="123" t="str">
        <f>IF(Assumptions!$D$24=Proforma!CC5, Assumptions!$B$24, IF(AND(ModelDescription!$D$23=Assumptions!$E$28, Assumptions!$D$29=Proforma!CC5), Assumptions!$B$29, ""))</f>
        <v/>
      </c>
      <c r="CD21" s="123" t="str">
        <f>IF(Assumptions!$D$24=Proforma!CD5, Assumptions!$B$24, IF(AND(ModelDescription!$D$23=Assumptions!$E$28, Assumptions!$D$29=Proforma!CD5), Assumptions!$B$29, ""))</f>
        <v/>
      </c>
      <c r="CE21" s="123" t="str">
        <f>IF(Assumptions!$D$24=Proforma!CE5, Assumptions!$B$24, IF(AND(ModelDescription!$D$23=Assumptions!$E$28, Assumptions!$D$29=Proforma!CE5), Assumptions!$B$29, ""))</f>
        <v/>
      </c>
      <c r="CF21" s="123" t="str">
        <f>IF(Assumptions!$D$24=Proforma!CF5, Assumptions!$B$24, IF(AND(ModelDescription!$D$23=Assumptions!$E$28, Assumptions!$D$29=Proforma!CF5), Assumptions!$B$29, ""))</f>
        <v/>
      </c>
      <c r="CG21" s="123" t="str">
        <f>IF(Assumptions!$D$24=Proforma!CG5, Assumptions!$B$24, IF(AND(ModelDescription!$D$23=Assumptions!$E$28, Assumptions!$D$29=Proforma!CG5), Assumptions!$B$29, ""))</f>
        <v/>
      </c>
      <c r="CH21" s="123" t="str">
        <f>IF(Assumptions!$D$24=Proforma!CH5, Assumptions!$B$24, IF(AND(ModelDescription!$D$23=Assumptions!$E$28, Assumptions!$D$29=Proforma!CH5), Assumptions!$B$29, ""))</f>
        <v/>
      </c>
      <c r="CI21" s="123" t="str">
        <f>IF(Assumptions!$D$24=Proforma!CI5, Assumptions!$B$24, IF(AND(ModelDescription!$D$23=Assumptions!$E$28, Assumptions!$D$29=Proforma!CI5), Assumptions!$B$29, ""))</f>
        <v/>
      </c>
      <c r="CJ21" s="123" t="str">
        <f>IF(Assumptions!$D$24=Proforma!CJ5, Assumptions!$B$24, IF(AND(ModelDescription!$D$23=Assumptions!$E$28, Assumptions!$D$29=Proforma!CJ5), Assumptions!$B$29, ""))</f>
        <v/>
      </c>
      <c r="CK21" s="123" t="str">
        <f>IF(Assumptions!$D$24=Proforma!CK5, Assumptions!$B$24, IF(AND(ModelDescription!$D$23=Assumptions!$E$28, Assumptions!$D$29=Proforma!CK5), Assumptions!$B$29, ""))</f>
        <v/>
      </c>
      <c r="CL21" s="123" t="str">
        <f>IF(Assumptions!$D$24=Proforma!CL5, Assumptions!$B$24, IF(AND(ModelDescription!$D$23=Assumptions!$E$28, Assumptions!$D$29=Proforma!CL5), Assumptions!$B$29, ""))</f>
        <v/>
      </c>
      <c r="CM21" s="123" t="str">
        <f>IF(Assumptions!$D$24=Proforma!CM5, Assumptions!$B$24, IF(AND(ModelDescription!$D$23=Assumptions!$E$28, Assumptions!$D$29=Proforma!CM5), Assumptions!$B$29, ""))</f>
        <v/>
      </c>
      <c r="CN21" s="123" t="str">
        <f>IF(Assumptions!$D$24=Proforma!CN5, Assumptions!$B$24, IF(AND(ModelDescription!$D$23=Assumptions!$E$28, Assumptions!$D$29=Proforma!CN5), Assumptions!$B$29, ""))</f>
        <v/>
      </c>
      <c r="CO21" s="123" t="str">
        <f>IF(Assumptions!$D$24=Proforma!CO5, Assumptions!$B$24, IF(AND(ModelDescription!$D$23=Assumptions!$E$28, Assumptions!$D$29=Proforma!CO5), Assumptions!$B$29, ""))</f>
        <v/>
      </c>
      <c r="CP21" s="123" t="str">
        <f>IF(Assumptions!$D$24=Proforma!CP5, Assumptions!$B$24, IF(AND(ModelDescription!$D$23=Assumptions!$E$28, Assumptions!$D$29=Proforma!CP5), Assumptions!$B$29, ""))</f>
        <v/>
      </c>
      <c r="CQ21" s="123" t="str">
        <f>IF(Assumptions!$D$24=Proforma!CQ5, Assumptions!$B$24, IF(AND(ModelDescription!$D$23=Assumptions!$E$28, Assumptions!$D$29=Proforma!CQ5), Assumptions!$B$29, ""))</f>
        <v/>
      </c>
      <c r="CR21" s="123" t="str">
        <f>IF(Assumptions!$D$24=Proforma!CR5, Assumptions!$B$24, IF(AND(ModelDescription!$D$23=Assumptions!$E$28, Assumptions!$D$29=Proforma!CR5), Assumptions!$B$29, ""))</f>
        <v/>
      </c>
      <c r="CS21" s="123" t="str">
        <f>IF(Assumptions!$D$24=Proforma!CS5, Assumptions!$B$24, IF(AND(ModelDescription!$D$23=Assumptions!$E$28, Assumptions!$D$29=Proforma!CS5), Assumptions!$B$29, ""))</f>
        <v/>
      </c>
      <c r="CT21" s="123" t="str">
        <f>IF(Assumptions!$D$24=Proforma!CT5, Assumptions!$B$24, IF(AND(ModelDescription!$D$23=Assumptions!$E$28, Assumptions!$D$29=Proforma!CT5), Assumptions!$B$29, ""))</f>
        <v/>
      </c>
      <c r="CU21" s="123" t="str">
        <f>IF(Assumptions!$D$24=Proforma!CU5, Assumptions!$B$24, IF(AND(ModelDescription!$D$23=Assumptions!$E$28, Assumptions!$D$29=Proforma!CU5), Assumptions!$B$29, ""))</f>
        <v/>
      </c>
      <c r="CV21" s="123" t="str">
        <f>IF(Assumptions!$D$24=Proforma!CV5, Assumptions!$B$24, IF(AND(ModelDescription!$D$23=Assumptions!$E$28, Assumptions!$D$29=Proforma!CV5), Assumptions!$B$29, ""))</f>
        <v/>
      </c>
      <c r="CW21" s="123" t="str">
        <f>IF(Assumptions!$D$24=Proforma!CW5, Assumptions!$B$24, IF(AND(ModelDescription!$D$23=Assumptions!$E$28, Assumptions!$D$29=Proforma!CW5), Assumptions!$B$29, ""))</f>
        <v/>
      </c>
      <c r="CX21" s="123" t="str">
        <f>IF(Assumptions!$D$24=Proforma!CX5, Assumptions!$B$24, IF(AND(ModelDescription!$D$23=Assumptions!$E$28, Assumptions!$D$29=Proforma!CX5), Assumptions!$B$29, ""))</f>
        <v/>
      </c>
      <c r="CY21" s="123" t="str">
        <f>IF(Assumptions!$D$24=Proforma!CY5, Assumptions!$B$24, IF(AND(ModelDescription!$D$23=Assumptions!$E$28, Assumptions!$D$29=Proforma!CY5), Assumptions!$B$29, ""))</f>
        <v/>
      </c>
      <c r="CZ21" s="123" t="str">
        <f>IF(Assumptions!$D$24=Proforma!CZ5, Assumptions!$B$24, IF(AND(ModelDescription!$D$23=Assumptions!$E$28, Assumptions!$D$29=Proforma!CZ5), Assumptions!$B$29, ""))</f>
        <v/>
      </c>
      <c r="DA21" s="123" t="str">
        <f>IF(Assumptions!$D$24=Proforma!DA5, Assumptions!$B$24, IF(AND(ModelDescription!$D$23=Assumptions!$E$28, Assumptions!$D$29=Proforma!DA5), Assumptions!$B$29, ""))</f>
        <v/>
      </c>
      <c r="DB21" s="123" t="str">
        <f>IF(Assumptions!$D$24=Proforma!DB5, Assumptions!$B$24, IF(AND(ModelDescription!$D$23=Assumptions!$E$28, Assumptions!$D$29=Proforma!DB5), Assumptions!$B$29, ""))</f>
        <v/>
      </c>
      <c r="DC21" s="123" t="str">
        <f>IF(Assumptions!$D$24=Proforma!DC5, Assumptions!$B$24, IF(AND(ModelDescription!$D$23=Assumptions!$E$28, Assumptions!$D$29=Proforma!DC5), Assumptions!$B$29, ""))</f>
        <v/>
      </c>
      <c r="DD21" s="123" t="str">
        <f>IF(Assumptions!$D$24=Proforma!DD5, Assumptions!$B$24, IF(AND(ModelDescription!$D$23=Assumptions!$E$28, Assumptions!$D$29=Proforma!DD5), Assumptions!$B$29, ""))</f>
        <v/>
      </c>
      <c r="DE21" s="123" t="str">
        <f>IF(Assumptions!$D$24=Proforma!DE5, Assumptions!$B$24, IF(AND(ModelDescription!$D$23=Assumptions!$E$28, Assumptions!$D$29=Proforma!DE5), Assumptions!$B$29, ""))</f>
        <v/>
      </c>
      <c r="DF21" s="123" t="str">
        <f>IF(Assumptions!$D$24=Proforma!DF5, Assumptions!$B$24, IF(AND(ModelDescription!$D$23=Assumptions!$E$28, Assumptions!$D$29=Proforma!DF5), Assumptions!$B$29, ""))</f>
        <v/>
      </c>
      <c r="DG21" s="123" t="str">
        <f>IF(Assumptions!$D$24=Proforma!DG5, Assumptions!$B$24, IF(AND(ModelDescription!$D$23=Assumptions!$E$28, Assumptions!$D$29=Proforma!DG5), Assumptions!$B$29, ""))</f>
        <v/>
      </c>
      <c r="DH21" s="123" t="str">
        <f>IF(Assumptions!$D$24=Proforma!DH5, Assumptions!$B$24, IF(AND(ModelDescription!$D$23=Assumptions!$E$28, Assumptions!$D$29=Proforma!DH5), Assumptions!$B$29, ""))</f>
        <v/>
      </c>
      <c r="DI21" s="123" t="str">
        <f>IF(Assumptions!$D$24=Proforma!DI5, Assumptions!$B$24, IF(AND(ModelDescription!$D$23=Assumptions!$E$28, Assumptions!$D$29=Proforma!DI5), Assumptions!$B$29, ""))</f>
        <v/>
      </c>
      <c r="DJ21" s="123" t="str">
        <f>IF(Assumptions!$D$24=Proforma!DJ5, Assumptions!$B$24, IF(AND(ModelDescription!$D$23=Assumptions!$E$28, Assumptions!$D$29=Proforma!DJ5), Assumptions!$B$29, ""))</f>
        <v/>
      </c>
      <c r="DK21" s="123" t="str">
        <f>IF(Assumptions!$D$24=Proforma!DK5, Assumptions!$B$24, IF(AND(ModelDescription!$D$23=Assumptions!$E$28, Assumptions!$D$29=Proforma!DK5), Assumptions!$B$29, ""))</f>
        <v/>
      </c>
      <c r="DL21" s="123" t="str">
        <f>IF(Assumptions!$D$24=Proforma!DL5, Assumptions!$B$24, IF(AND(ModelDescription!$D$23=Assumptions!$E$28, Assumptions!$D$29=Proforma!DL5), Assumptions!$B$29, ""))</f>
        <v/>
      </c>
      <c r="DM21" s="123" t="str">
        <f>IF(Assumptions!$D$24=Proforma!DM5, Assumptions!$B$24, IF(AND(ModelDescription!$D$23=Assumptions!$E$28, Assumptions!$D$29=Proforma!DM5), Assumptions!$B$29, ""))</f>
        <v/>
      </c>
      <c r="DN21" s="123" t="str">
        <f>IF(Assumptions!$D$24=Proforma!DN5, Assumptions!$B$24, IF(AND(ModelDescription!$D$23=Assumptions!$E$28, Assumptions!$D$29=Proforma!DN5), Assumptions!$B$29, ""))</f>
        <v/>
      </c>
      <c r="DO21" s="123" t="str">
        <f>IF(Assumptions!$D$24=Proforma!DO5, Assumptions!$B$24, IF(AND(ModelDescription!$D$23=Assumptions!$E$28, Assumptions!$D$29=Proforma!DO5), Assumptions!$B$29, ""))</f>
        <v/>
      </c>
      <c r="DP21" s="123" t="str">
        <f>IF(Assumptions!$D$24=Proforma!DP5, Assumptions!$B$24, IF(AND(ModelDescription!$D$23=Assumptions!$E$28, Assumptions!$D$29=Proforma!DP5), Assumptions!$B$29, ""))</f>
        <v/>
      </c>
      <c r="DQ21" s="123" t="str">
        <f>IF(Assumptions!$D$24=Proforma!DQ5, Assumptions!$B$24, IF(AND(ModelDescription!$D$23=Assumptions!$E$28, Assumptions!$D$29=Proforma!DQ5), Assumptions!$B$29, ""))</f>
        <v/>
      </c>
      <c r="DR21" s="123" t="str">
        <f>IF(Assumptions!$D$24=Proforma!DR5, Assumptions!$B$24, IF(AND(ModelDescription!$D$23=Assumptions!$E$28, Assumptions!$D$29=Proforma!DR5), Assumptions!$B$29, ""))</f>
        <v/>
      </c>
      <c r="DS21" s="123" t="str">
        <f>IF(Assumptions!$D$24=Proforma!DS5, Assumptions!$B$24, IF(AND(ModelDescription!$D$23=Assumptions!$E$28, Assumptions!$D$29=Proforma!DS5), Assumptions!$B$29, ""))</f>
        <v/>
      </c>
      <c r="DT21" s="123" t="str">
        <f>IF(Assumptions!$D$24=Proforma!DT5, Assumptions!$B$24, IF(AND(ModelDescription!$D$23=Assumptions!$E$28, Assumptions!$D$29=Proforma!DT5), Assumptions!$B$29, ""))</f>
        <v/>
      </c>
      <c r="DU21" s="123" t="str">
        <f>IF(Assumptions!$D$24=Proforma!DU5, Assumptions!$B$24, IF(AND(ModelDescription!$D$23=Assumptions!$E$28, Assumptions!$D$29=Proforma!DU5), Assumptions!$B$29, ""))</f>
        <v/>
      </c>
      <c r="DV21" s="123" t="str">
        <f>IF(Assumptions!$D$24=Proforma!DV5, Assumptions!$B$24, IF(AND(ModelDescription!$D$23=Assumptions!$E$28, Assumptions!$D$29=Proforma!DV5), Assumptions!$B$29, ""))</f>
        <v/>
      </c>
      <c r="DW21" s="123" t="str">
        <f>IF(Assumptions!$D$24=Proforma!DW5, Assumptions!$B$24, IF(AND(ModelDescription!$D$23=Assumptions!$E$28, Assumptions!$D$29=Proforma!DW5), Assumptions!$B$29, ""))</f>
        <v/>
      </c>
      <c r="DX21" s="123" t="str">
        <f>IF(Assumptions!$D$24=Proforma!DX5, Assumptions!$B$24, IF(AND(ModelDescription!$D$23=Assumptions!$E$28, Assumptions!$D$29=Proforma!DX5), Assumptions!$B$29, ""))</f>
        <v/>
      </c>
      <c r="DY21" s="123" t="str">
        <f>IF(Assumptions!$D$24=Proforma!DY5, Assumptions!$B$24, IF(AND(ModelDescription!$D$23=Assumptions!$E$28, Assumptions!$D$29=Proforma!DY5), Assumptions!$B$29, ""))</f>
        <v/>
      </c>
      <c r="DZ21" s="123" t="str">
        <f>IF(Assumptions!$D$24=Proforma!DZ5, Assumptions!$B$24, IF(AND(ModelDescription!$D$23=Assumptions!$E$28, Assumptions!$D$29=Proforma!DZ5), Assumptions!$B$29, ""))</f>
        <v/>
      </c>
      <c r="EA21" s="123" t="str">
        <f>IF(Assumptions!$D$24=Proforma!EA5, Assumptions!$B$24, IF(AND(ModelDescription!$D$23=Assumptions!$E$28, Assumptions!$D$29=Proforma!EA5), Assumptions!$B$29, ""))</f>
        <v/>
      </c>
      <c r="EB21" s="123" t="str">
        <f>IF(Assumptions!$D$24=Proforma!EB5, Assumptions!$B$24, IF(AND(ModelDescription!$D$23=Assumptions!$E$28, Assumptions!$D$29=Proforma!EB5), Assumptions!$B$29, ""))</f>
        <v/>
      </c>
      <c r="EC21" s="123" t="str">
        <f>IF(Assumptions!$D$24=Proforma!EC5, Assumptions!$B$24, IF(AND(ModelDescription!$D$23=Assumptions!$E$28, Assumptions!$D$29=Proforma!EC5), Assumptions!$B$29, ""))</f>
        <v/>
      </c>
      <c r="ED21" s="123" t="str">
        <f>IF(Assumptions!$D$24=Proforma!ED5, Assumptions!$B$24, IF(AND(ModelDescription!$D$23=Assumptions!$E$28, Assumptions!$D$29=Proforma!ED5), Assumptions!$B$29, ""))</f>
        <v/>
      </c>
      <c r="EE21" s="123" t="str">
        <f>IF(Assumptions!$D$24=Proforma!EE5, Assumptions!$B$24, IF(AND(ModelDescription!$D$23=Assumptions!$E$28, Assumptions!$D$29=Proforma!EE5), Assumptions!$B$29, ""))</f>
        <v/>
      </c>
      <c r="EF21" s="123" t="str">
        <f>IF(Assumptions!$D$24=Proforma!EF5, Assumptions!$B$24, IF(AND(ModelDescription!$D$23=Assumptions!$E$28, Assumptions!$D$29=Proforma!EF5), Assumptions!$B$29, ""))</f>
        <v/>
      </c>
      <c r="EG21" s="123" t="str">
        <f>IF(Assumptions!$D$24=Proforma!EG5, Assumptions!$B$24, IF(AND(ModelDescription!$D$23=Assumptions!$E$28, Assumptions!$D$29=Proforma!EG5), Assumptions!$B$29, ""))</f>
        <v/>
      </c>
      <c r="EH21" s="123" t="str">
        <f>IF(Assumptions!$D$24=Proforma!EH5, Assumptions!$B$24, IF(AND(ModelDescription!$D$23=Assumptions!$E$28, Assumptions!$D$29=Proforma!EH5), Assumptions!$B$29, ""))</f>
        <v/>
      </c>
      <c r="EI21" s="123" t="str">
        <f>IF(Assumptions!$D$24=Proforma!EI5, Assumptions!$B$24, IF(AND(ModelDescription!$D$23=Assumptions!$E$28, Assumptions!$D$29=Proforma!EI5), Assumptions!$B$29, ""))</f>
        <v/>
      </c>
      <c r="EJ21" s="123" t="str">
        <f>IF(Assumptions!$D$24=Proforma!EJ5, Assumptions!$B$24, IF(AND(ModelDescription!$D$23=Assumptions!$E$28, Assumptions!$D$29=Proforma!EJ5), Assumptions!$B$29, ""))</f>
        <v/>
      </c>
      <c r="EK21" s="123" t="str">
        <f>IF(Assumptions!$D$24=Proforma!EK5, Assumptions!$B$24, IF(AND(ModelDescription!$D$23=Assumptions!$E$28, Assumptions!$D$29=Proforma!EK5), Assumptions!$B$29, ""))</f>
        <v/>
      </c>
      <c r="EL21" s="123" t="str">
        <f>IF(Assumptions!$D$24=Proforma!EL5, Assumptions!$B$24, IF(AND(ModelDescription!$D$23=Assumptions!$E$28, Assumptions!$D$29=Proforma!EL5), Assumptions!$B$29, ""))</f>
        <v/>
      </c>
      <c r="EM21" s="123" t="str">
        <f>IF(Assumptions!$D$24=Proforma!EM5, Assumptions!$B$24, IF(AND(ModelDescription!$D$23=Assumptions!$E$28, Assumptions!$D$29=Proforma!EM5), Assumptions!$B$29, ""))</f>
        <v/>
      </c>
      <c r="EN21" s="123" t="str">
        <f>IF(Assumptions!$D$24=Proforma!EN5, Assumptions!$B$24, IF(AND(ModelDescription!$D$23=Assumptions!$E$28, Assumptions!$D$29=Proforma!EN5), Assumptions!$B$29, ""))</f>
        <v/>
      </c>
      <c r="EO21" s="123" t="str">
        <f>IF(Assumptions!$D$24=Proforma!EO5, Assumptions!$B$24, IF(AND(ModelDescription!$D$23=Assumptions!$E$28, Assumptions!$D$29=Proforma!EO5), Assumptions!$B$29, ""))</f>
        <v/>
      </c>
      <c r="EP21" s="123" t="str">
        <f>IF(Assumptions!$D$24=Proforma!EP5, Assumptions!$B$24, IF(AND(ModelDescription!$D$23=Assumptions!$E$28, Assumptions!$D$29=Proforma!EP5), Assumptions!$B$29, ""))</f>
        <v/>
      </c>
      <c r="EQ21" s="123" t="str">
        <f>IF(Assumptions!$D$24=Proforma!EQ5, Assumptions!$B$24, IF(AND(ModelDescription!$D$23=Assumptions!$E$28, Assumptions!$D$29=Proforma!EQ5), Assumptions!$B$29, ""))</f>
        <v/>
      </c>
      <c r="ER21" s="123" t="str">
        <f>IF(Assumptions!$D$24=Proforma!ER5, Assumptions!$B$24, IF(AND(ModelDescription!$D$23=Assumptions!$E$28, Assumptions!$D$29=Proforma!ER5), Assumptions!$B$29, ""))</f>
        <v/>
      </c>
      <c r="ES21" s="123" t="str">
        <f>IF(Assumptions!$D$24=Proforma!ES5, Assumptions!$B$24, IF(AND(ModelDescription!$D$23=Assumptions!$E$28, Assumptions!$D$29=Proforma!ES5), Assumptions!$B$29, ""))</f>
        <v/>
      </c>
      <c r="ET21" s="123" t="str">
        <f>IF(Assumptions!$D$24=Proforma!ET5, Assumptions!$B$24, IF(AND(ModelDescription!$D$23=Assumptions!$E$28, Assumptions!$D$29=Proforma!ET5), Assumptions!$B$29, ""))</f>
        <v/>
      </c>
      <c r="EU21" s="123" t="str">
        <f>IF(Assumptions!$D$24=Proforma!EU5, Assumptions!$B$24, IF(AND(ModelDescription!$D$23=Assumptions!$E$28, Assumptions!$D$29=Proforma!EU5), Assumptions!$B$29, ""))</f>
        <v/>
      </c>
      <c r="EV21" s="123" t="str">
        <f>IF(Assumptions!$D$24=Proforma!EV5, Assumptions!$B$24, IF(AND(ModelDescription!$D$23=Assumptions!$E$28, Assumptions!$D$29=Proforma!EV5), Assumptions!$B$29, ""))</f>
        <v/>
      </c>
      <c r="EW21" s="123" t="str">
        <f>IF(Assumptions!$D$24=Proforma!EW5, Assumptions!$B$24, IF(AND(ModelDescription!$D$23=Assumptions!$E$28, Assumptions!$D$29=Proforma!EW5), Assumptions!$B$29, ""))</f>
        <v/>
      </c>
      <c r="EX21" s="123" t="str">
        <f>IF(Assumptions!$D$24=Proforma!EX5, Assumptions!$B$24, IF(AND(ModelDescription!$D$23=Assumptions!$E$28, Assumptions!$D$29=Proforma!EX5), Assumptions!$B$29, ""))</f>
        <v/>
      </c>
      <c r="EY21" s="123" t="str">
        <f>IF(Assumptions!$D$24=Proforma!EY5, Assumptions!$B$24, IF(AND(ModelDescription!$D$23=Assumptions!$E$28, Assumptions!$D$29=Proforma!EY5), Assumptions!$B$29, ""))</f>
        <v/>
      </c>
      <c r="EZ21" s="123" t="str">
        <f>IF(Assumptions!$D$24=Proforma!EZ5, Assumptions!$B$24, IF(AND(ModelDescription!$D$23=Assumptions!$E$28, Assumptions!$D$29=Proforma!EZ5), Assumptions!$B$29, ""))</f>
        <v/>
      </c>
      <c r="FA21" s="123" t="str">
        <f>IF(Assumptions!$D$24=Proforma!FA5, Assumptions!$B$24, IF(AND(ModelDescription!$D$23=Assumptions!$E$28, Assumptions!$D$29=Proforma!FA5), Assumptions!$B$29, ""))</f>
        <v/>
      </c>
      <c r="FB21" s="123" t="str">
        <f>IF(Assumptions!$D$24=Proforma!FB5, Assumptions!$B$24, IF(AND(ModelDescription!$D$23=Assumptions!$E$28, Assumptions!$D$29=Proforma!FB5), Assumptions!$B$29, ""))</f>
        <v/>
      </c>
      <c r="FC21" s="123" t="str">
        <f>IF(Assumptions!$D$24=Proforma!FC5, Assumptions!$B$24, IF(AND(ModelDescription!$D$23=Assumptions!$E$28, Assumptions!$D$29=Proforma!FC5), Assumptions!$B$29, ""))</f>
        <v/>
      </c>
      <c r="FD21" s="123" t="str">
        <f>IF(Assumptions!$D$24=Proforma!FD5, Assumptions!$B$24, IF(AND(ModelDescription!$D$23=Assumptions!$E$28, Assumptions!$D$29=Proforma!FD5), Assumptions!$B$29, ""))</f>
        <v/>
      </c>
      <c r="FE21" s="123" t="str">
        <f>IF(Assumptions!$D$24=Proforma!FE5, Assumptions!$B$24, IF(AND(ModelDescription!$D$23=Assumptions!$E$28, Assumptions!$D$29=Proforma!FE5), Assumptions!$B$29, ""))</f>
        <v/>
      </c>
      <c r="FF21" s="123" t="str">
        <f>IF(Assumptions!$D$24=Proforma!FF5, Assumptions!$B$24, IF(AND(ModelDescription!$D$23=Assumptions!$E$28, Assumptions!$D$29=Proforma!FF5), Assumptions!$B$29, ""))</f>
        <v/>
      </c>
      <c r="FG21" s="123" t="str">
        <f>IF(Assumptions!$D$24=Proforma!FG5, Assumptions!$B$24, IF(AND(ModelDescription!$D$23=Assumptions!$E$28, Assumptions!$D$29=Proforma!FG5), Assumptions!$B$29, ""))</f>
        <v/>
      </c>
      <c r="FH21" s="123" t="str">
        <f>IF(Assumptions!$D$24=Proforma!FH5, Assumptions!$B$24, IF(AND(ModelDescription!$D$23=Assumptions!$E$28, Assumptions!$D$29=Proforma!FH5), Assumptions!$B$29, ""))</f>
        <v/>
      </c>
      <c r="FI21" s="123" t="str">
        <f>IF(Assumptions!$D$24=Proforma!FI5, Assumptions!$B$24, IF(AND(ModelDescription!$D$23=Assumptions!$E$28, Assumptions!$D$29=Proforma!FI5), Assumptions!$B$29, ""))</f>
        <v/>
      </c>
      <c r="FJ21" s="123" t="str">
        <f>IF(Assumptions!$D$24=Proforma!FJ5, Assumptions!$B$24, IF(AND(ModelDescription!$D$23=Assumptions!$E$28, Assumptions!$D$29=Proforma!FJ5), Assumptions!$B$29, ""))</f>
        <v/>
      </c>
      <c r="FK21" s="123" t="str">
        <f>IF(Assumptions!$D$24=Proforma!FK5, Assumptions!$B$24, IF(AND(ModelDescription!$D$23=Assumptions!$E$28, Assumptions!$D$29=Proforma!FK5), Assumptions!$B$29, ""))</f>
        <v/>
      </c>
      <c r="FL21" s="123" t="str">
        <f>IF(Assumptions!$D$24=Proforma!FL5, Assumptions!$B$24, IF(AND(ModelDescription!$D$23=Assumptions!$E$28, Assumptions!$D$29=Proforma!FL5), Assumptions!$B$29, ""))</f>
        <v/>
      </c>
      <c r="FM21" s="123" t="str">
        <f>IF(Assumptions!$D$24=Proforma!FM5, Assumptions!$B$24, IF(AND(ModelDescription!$D$23=Assumptions!$E$28, Assumptions!$D$29=Proforma!FM5), Assumptions!$B$29, ""))</f>
        <v/>
      </c>
      <c r="FN21" s="123" t="str">
        <f>IF(Assumptions!$D$24=Proforma!FN5, Assumptions!$B$24, IF(AND(ModelDescription!$D$23=Assumptions!$E$28, Assumptions!$D$29=Proforma!FN5), Assumptions!$B$29, ""))</f>
        <v/>
      </c>
      <c r="FO21" s="123" t="str">
        <f>IF(Assumptions!$D$24=Proforma!FO5, Assumptions!$B$24, IF(AND(ModelDescription!$D$23=Assumptions!$E$28, Assumptions!$D$29=Proforma!FO5), Assumptions!$B$29, ""))</f>
        <v/>
      </c>
      <c r="FP21" s="123" t="str">
        <f>IF(Assumptions!$D$24=Proforma!FP5, Assumptions!$B$24, IF(AND(ModelDescription!$D$23=Assumptions!$E$28, Assumptions!$D$29=Proforma!FP5), Assumptions!$B$29, ""))</f>
        <v/>
      </c>
      <c r="FQ21" s="123" t="str">
        <f>IF(Assumptions!$D$24=Proforma!FQ5, Assumptions!$B$24, IF(AND(ModelDescription!$D$23=Assumptions!$E$28, Assumptions!$D$29=Proforma!FQ5), Assumptions!$B$29, ""))</f>
        <v/>
      </c>
      <c r="FR21" s="123" t="str">
        <f>IF(Assumptions!$D$24=Proforma!FR5, Assumptions!$B$24, IF(AND(ModelDescription!$D$23=Assumptions!$E$28, Assumptions!$D$29=Proforma!FR5), Assumptions!$B$29, ""))</f>
        <v/>
      </c>
      <c r="FS21" s="123" t="str">
        <f>IF(Assumptions!$D$24=Proforma!FS5, Assumptions!$B$24, IF(AND(ModelDescription!$D$23=Assumptions!$E$28, Assumptions!$D$29=Proforma!FS5), Assumptions!$B$29, ""))</f>
        <v/>
      </c>
      <c r="FT21" s="123" t="str">
        <f>IF(Assumptions!$D$24=Proforma!FT5, Assumptions!$B$24, IF(AND(ModelDescription!$D$23=Assumptions!$E$28, Assumptions!$D$29=Proforma!FT5), Assumptions!$B$29, ""))</f>
        <v/>
      </c>
      <c r="FU21" s="123" t="str">
        <f>IF(Assumptions!$D$24=Proforma!FU5, Assumptions!$B$24, IF(AND(ModelDescription!$D$23=Assumptions!$E$28, Assumptions!$D$29=Proforma!FU5), Assumptions!$B$29, ""))</f>
        <v/>
      </c>
      <c r="FV21" s="123" t="str">
        <f>IF(Assumptions!$D$24=Proforma!FV5, Assumptions!$B$24, IF(AND(ModelDescription!$D$23=Assumptions!$E$28, Assumptions!$D$29=Proforma!FV5), Assumptions!$B$29, ""))</f>
        <v/>
      </c>
      <c r="FW21" s="123" t="str">
        <f>IF(Assumptions!$D$24=Proforma!FW5, Assumptions!$B$24, IF(AND(ModelDescription!$D$23=Assumptions!$E$28, Assumptions!$D$29=Proforma!FW5), Assumptions!$B$29, ""))</f>
        <v/>
      </c>
      <c r="FX21" s="123" t="str">
        <f>IF(Assumptions!$D$24=Proforma!FX5, Assumptions!$B$24, IF(AND(ModelDescription!$D$23=Assumptions!$E$28, Assumptions!$D$29=Proforma!FX5), Assumptions!$B$29, ""))</f>
        <v/>
      </c>
      <c r="FY21" s="123" t="str">
        <f>IF(Assumptions!$D$24=Proforma!FY5, Assumptions!$B$24, IF(AND(ModelDescription!$D$23=Assumptions!$E$28, Assumptions!$D$29=Proforma!FY5), Assumptions!$B$29, ""))</f>
        <v/>
      </c>
      <c r="FZ21" s="123" t="str">
        <f>IF(Assumptions!$D$24=Proforma!FZ5, Assumptions!$B$24, IF(AND(ModelDescription!$D$23=Assumptions!$E$28, Assumptions!$D$29=Proforma!FZ5), Assumptions!$B$29, ""))</f>
        <v/>
      </c>
      <c r="GA21" s="123" t="str">
        <f>IF(Assumptions!$D$24=Proforma!GA5, Assumptions!$B$24, IF(AND(ModelDescription!$D$23=Assumptions!$E$28, Assumptions!$D$29=Proforma!GA5), Assumptions!$B$29, ""))</f>
        <v/>
      </c>
      <c r="GB21" s="123" t="str">
        <f>IF(Assumptions!$D$24=Proforma!GB5, Assumptions!$B$24, IF(AND(ModelDescription!$D$23=Assumptions!$E$28, Assumptions!$D$29=Proforma!GB5), Assumptions!$B$29, ""))</f>
        <v/>
      </c>
      <c r="GC21" s="123" t="str">
        <f>IF(Assumptions!$D$24=Proforma!GC5, Assumptions!$B$24, IF(AND(ModelDescription!$D$23=Assumptions!$E$28, Assumptions!$D$29=Proforma!GC5), Assumptions!$B$29, ""))</f>
        <v/>
      </c>
    </row>
    <row r="22" spans="1:185">
      <c r="A22" s="6"/>
      <c r="B22" s="80" t="s">
        <v>77</v>
      </c>
      <c r="C22" s="80"/>
      <c r="D22" s="80"/>
      <c r="E22" s="82"/>
      <c r="F22" s="77">
        <f>COUNTIF(Assumptions!D81:D88, 1)</f>
        <v>1</v>
      </c>
      <c r="G22" s="77">
        <f>COUNTIF(Assumptions!E81:E88, 1)</f>
        <v>0</v>
      </c>
      <c r="H22" s="77">
        <f>COUNTIF(Assumptions!F81:F88, 1)</f>
        <v>0</v>
      </c>
      <c r="I22" s="77">
        <f>COUNTIF(Assumptions!G81:G88, 1)</f>
        <v>0</v>
      </c>
      <c r="J22" s="77">
        <f>COUNTIF(Assumptions!H81:H88, 1)</f>
        <v>0</v>
      </c>
      <c r="K22" s="77">
        <f>COUNTIF(Assumptions!I81:I88, 1)</f>
        <v>0</v>
      </c>
      <c r="L22" s="77">
        <f>COUNTIF(Assumptions!J81:J88, 1)</f>
        <v>0</v>
      </c>
      <c r="M22" s="77">
        <f>COUNTIF(Assumptions!K81:K88, 1)</f>
        <v>0</v>
      </c>
      <c r="N22" s="77">
        <f>COUNTIF(Assumptions!L81:L88, 1)</f>
        <v>0</v>
      </c>
      <c r="O22" s="77">
        <f>COUNTIF(Assumptions!M81:M88, 1)</f>
        <v>0</v>
      </c>
      <c r="P22" s="77">
        <f>COUNTIF(Assumptions!N81:N88, 1)</f>
        <v>0</v>
      </c>
      <c r="Q22" s="77">
        <f>COUNTIF(Assumptions!O81:O88, 1)</f>
        <v>0</v>
      </c>
      <c r="R22" s="77">
        <f>COUNTIF(Assumptions!P81:P88, 1)</f>
        <v>0</v>
      </c>
      <c r="S22" s="77">
        <f>COUNTIF(Assumptions!Q81:Q88, 1)</f>
        <v>0</v>
      </c>
      <c r="T22" s="77">
        <f>COUNTIF(Assumptions!R81:R88, 1)</f>
        <v>0</v>
      </c>
      <c r="U22" s="77">
        <f>COUNTIF(Assumptions!S81:S88, 1)</f>
        <v>0</v>
      </c>
      <c r="V22" s="77">
        <f>COUNTIF(Assumptions!T81:T88, 1)</f>
        <v>0</v>
      </c>
      <c r="W22" s="77">
        <f>COUNTIF(Assumptions!U81:U88, 1)</f>
        <v>0</v>
      </c>
      <c r="X22" s="77">
        <f>COUNTIF(Assumptions!V81:V88, 1)</f>
        <v>0</v>
      </c>
      <c r="Y22" s="77">
        <f>COUNTIF(Assumptions!W81:W88, 1)</f>
        <v>0</v>
      </c>
      <c r="Z22" s="77">
        <f>COUNTIF(Assumptions!X81:X88, 1)</f>
        <v>0</v>
      </c>
      <c r="AA22" s="77">
        <f>COUNTIF(Assumptions!Y81:Y88, 1)</f>
        <v>0</v>
      </c>
      <c r="AB22" s="77">
        <f>COUNTIF(Assumptions!Z81:Z88, 1)</f>
        <v>0</v>
      </c>
      <c r="AC22" s="77">
        <f>COUNTIF(Assumptions!AA81:AA88, 1)</f>
        <v>0</v>
      </c>
      <c r="AD22" s="77">
        <f>COUNTIF(Assumptions!AB81:AB88, 1)</f>
        <v>0</v>
      </c>
      <c r="AE22" s="77">
        <f>COUNTIF(Assumptions!AC81:AC88, 1)</f>
        <v>0</v>
      </c>
      <c r="AF22" s="77">
        <f>COUNTIF(Assumptions!AD81:AD88, 1)</f>
        <v>0</v>
      </c>
      <c r="AG22" s="77">
        <f>COUNTIF(Assumptions!AE81:AE88, 1)</f>
        <v>0</v>
      </c>
      <c r="AH22" s="77">
        <f>COUNTIF(Assumptions!AF81:AF88, 1)</f>
        <v>0</v>
      </c>
      <c r="AI22" s="77">
        <f>COUNTIF(Assumptions!AG81:AG88, 1)</f>
        <v>0</v>
      </c>
      <c r="AJ22" s="77">
        <f>COUNTIF(Assumptions!AH81:AH88, 1)</f>
        <v>0</v>
      </c>
      <c r="AK22" s="77">
        <f>COUNTIF(Assumptions!AI81:AI88, 1)</f>
        <v>0</v>
      </c>
      <c r="AL22" s="77">
        <f>COUNTIF(Assumptions!AJ81:AJ88, 1)</f>
        <v>0</v>
      </c>
      <c r="AM22" s="77">
        <f>COUNTIF(Assumptions!AK81:AK88, 1)</f>
        <v>0</v>
      </c>
      <c r="AN22" s="77">
        <f>COUNTIF(Assumptions!AL81:AL88, 1)</f>
        <v>0</v>
      </c>
      <c r="AO22" s="77">
        <f>COUNTIF(Assumptions!AM81:AM88, 1)</f>
        <v>0</v>
      </c>
      <c r="AP22" s="77">
        <f>COUNTIF(Assumptions!AN81:AN88, 1)</f>
        <v>0</v>
      </c>
      <c r="AQ22" s="77">
        <f>COUNTIF(Assumptions!AO81:AO88, 1)</f>
        <v>0</v>
      </c>
      <c r="AR22" s="77">
        <f>COUNTIF(Assumptions!AP81:AP88, 1)</f>
        <v>0</v>
      </c>
      <c r="AS22" s="77">
        <f>COUNTIF(Assumptions!AQ81:AQ88, 1)</f>
        <v>0</v>
      </c>
      <c r="AT22" s="77">
        <f>COUNTIF(Assumptions!AR81:AR88, 1)</f>
        <v>0</v>
      </c>
      <c r="AU22" s="77">
        <f>COUNTIF(Assumptions!AS81:AS88, 1)</f>
        <v>0</v>
      </c>
      <c r="AV22" s="77">
        <f>COUNTIF(Assumptions!AT81:AT88, 1)</f>
        <v>0</v>
      </c>
      <c r="AW22" s="77">
        <f>COUNTIF(Assumptions!AU81:AU88, 1)</f>
        <v>0</v>
      </c>
      <c r="AX22" s="77">
        <f>COUNTIF(Assumptions!AV81:AV88, 1)</f>
        <v>0</v>
      </c>
      <c r="AY22" s="77">
        <f>COUNTIF(Assumptions!AW81:AW88, 1)</f>
        <v>0</v>
      </c>
      <c r="AZ22" s="77">
        <f>COUNTIF(Assumptions!AX81:AX88, 1)</f>
        <v>0</v>
      </c>
      <c r="BA22" s="77">
        <f>COUNTIF(Assumptions!AY81:AY88, 1)</f>
        <v>0</v>
      </c>
      <c r="BB22" s="77">
        <f>COUNTIF(Assumptions!AZ81:AZ88, 1)</f>
        <v>0</v>
      </c>
      <c r="BC22" s="77">
        <f>COUNTIF(Assumptions!BA81:BA88, 1)</f>
        <v>0</v>
      </c>
      <c r="BD22" s="77">
        <f>COUNTIF(Assumptions!BB81:BB88, 1)</f>
        <v>0</v>
      </c>
      <c r="BE22" s="77">
        <f>COUNTIF(Assumptions!BC81:BC88, 1)</f>
        <v>0</v>
      </c>
      <c r="BF22" s="77">
        <f>COUNTIF(Assumptions!BD81:BD88, 1)</f>
        <v>0</v>
      </c>
      <c r="BG22" s="77">
        <f>COUNTIF(Assumptions!BE81:BE88, 1)</f>
        <v>0</v>
      </c>
      <c r="BH22" s="77">
        <f>COUNTIF(Assumptions!BF81:BF88, 1)</f>
        <v>0</v>
      </c>
      <c r="BI22" s="77">
        <f>COUNTIF(Assumptions!BG81:BG88, 1)</f>
        <v>0</v>
      </c>
      <c r="BJ22" s="77">
        <f>COUNTIF(Assumptions!BH81:BH88, 1)</f>
        <v>0</v>
      </c>
      <c r="BK22" s="77">
        <f>COUNTIF(Assumptions!BI81:BI88, 1)</f>
        <v>0</v>
      </c>
      <c r="BL22" s="77">
        <f>COUNTIF(Assumptions!BJ81:BJ88, 1)</f>
        <v>0</v>
      </c>
      <c r="BM22" s="77">
        <f>COUNTIF(Assumptions!BK81:BK88, 1)</f>
        <v>0</v>
      </c>
      <c r="BN22" s="77">
        <f>COUNTIF(Assumptions!BL81:BL88, 1)</f>
        <v>0</v>
      </c>
      <c r="BO22" s="77">
        <f>COUNTIF(Assumptions!BM81:BM88, 1)</f>
        <v>0</v>
      </c>
      <c r="BP22" s="77">
        <f>COUNTIF(Assumptions!BN81:BN88, 1)</f>
        <v>0</v>
      </c>
      <c r="BQ22" s="77">
        <f>COUNTIF(Assumptions!BO81:BO88, 1)</f>
        <v>0</v>
      </c>
      <c r="BR22" s="77">
        <f>COUNTIF(Assumptions!BP81:BP88, 1)</f>
        <v>0</v>
      </c>
      <c r="BS22" s="77">
        <f>COUNTIF(Assumptions!BQ81:BQ88, 1)</f>
        <v>0</v>
      </c>
      <c r="BT22" s="77">
        <f>COUNTIF(Assumptions!BR81:BR88, 1)</f>
        <v>0</v>
      </c>
      <c r="BU22" s="77">
        <f>COUNTIF(Assumptions!BS81:BS88, 1)</f>
        <v>0</v>
      </c>
      <c r="BV22" s="77">
        <f>COUNTIF(Assumptions!BT81:BT88, 1)</f>
        <v>0</v>
      </c>
      <c r="BW22" s="77">
        <f>COUNTIF(Assumptions!BU81:BU88, 1)</f>
        <v>0</v>
      </c>
      <c r="BX22" s="77">
        <f>COUNTIF(Assumptions!BV81:BV88, 1)</f>
        <v>0</v>
      </c>
      <c r="BY22" s="77">
        <f>COUNTIF(Assumptions!BW81:BW88, 1)</f>
        <v>0</v>
      </c>
      <c r="BZ22" s="77">
        <f>COUNTIF(Assumptions!BX81:BX88, 1)</f>
        <v>0</v>
      </c>
      <c r="CA22" s="77">
        <f>COUNTIF(Assumptions!BY81:BY88, 1)</f>
        <v>0</v>
      </c>
      <c r="CB22" s="77">
        <f>COUNTIF(Assumptions!BZ81:BZ88, 1)</f>
        <v>0</v>
      </c>
      <c r="CC22" s="77">
        <f>COUNTIF(Assumptions!CA81:CA88, 1)</f>
        <v>0</v>
      </c>
      <c r="CD22" s="77">
        <f>COUNTIF(Assumptions!CB81:CB88, 1)</f>
        <v>0</v>
      </c>
      <c r="CE22" s="77">
        <f>COUNTIF(Assumptions!CC81:CC88, 1)</f>
        <v>0</v>
      </c>
      <c r="CF22" s="77">
        <f>COUNTIF(Assumptions!CD81:CD88, 1)</f>
        <v>0</v>
      </c>
      <c r="CG22" s="77">
        <f>COUNTIF(Assumptions!CE81:CE88, 1)</f>
        <v>0</v>
      </c>
      <c r="CH22" s="77">
        <f>COUNTIF(Assumptions!CF81:CF88, 1)</f>
        <v>0</v>
      </c>
      <c r="CI22" s="77">
        <f>COUNTIF(Assumptions!CG81:CG88, 1)</f>
        <v>0</v>
      </c>
      <c r="CJ22" s="77">
        <f>COUNTIF(Assumptions!CH81:CH88, 1)</f>
        <v>0</v>
      </c>
      <c r="CK22" s="77">
        <f>COUNTIF(Assumptions!CI81:CI88, 1)</f>
        <v>0</v>
      </c>
      <c r="CL22" s="77">
        <f>COUNTIF(Assumptions!CJ81:CJ88, 1)</f>
        <v>0</v>
      </c>
      <c r="CM22" s="77">
        <f>COUNTIF(Assumptions!CK81:CK88, 1)</f>
        <v>0</v>
      </c>
      <c r="CN22" s="77">
        <f>COUNTIF(Assumptions!CL81:CL88, 1)</f>
        <v>0</v>
      </c>
      <c r="CO22" s="77">
        <f>COUNTIF(Assumptions!CM81:CM88, 1)</f>
        <v>0</v>
      </c>
      <c r="CP22" s="77">
        <f>COUNTIF(Assumptions!CN81:CN88, 1)</f>
        <v>0</v>
      </c>
      <c r="CQ22" s="77">
        <f>COUNTIF(Assumptions!CO81:CO88, 1)</f>
        <v>0</v>
      </c>
      <c r="CR22" s="77">
        <f>COUNTIF(Assumptions!CP81:CP88, 1)</f>
        <v>0</v>
      </c>
      <c r="CS22" s="77">
        <f>COUNTIF(Assumptions!CQ81:CQ88, 1)</f>
        <v>0</v>
      </c>
      <c r="CT22" s="77">
        <f>COUNTIF(Assumptions!CR81:CR88, 1)</f>
        <v>0</v>
      </c>
      <c r="CU22" s="77">
        <f>COUNTIF(Assumptions!CS81:CS88, 1)</f>
        <v>0</v>
      </c>
      <c r="CV22" s="77">
        <f>COUNTIF(Assumptions!CT81:CT88, 1)</f>
        <v>0</v>
      </c>
      <c r="CW22" s="77">
        <f>COUNTIF(Assumptions!CU81:CU88, 1)</f>
        <v>0</v>
      </c>
      <c r="CX22" s="77">
        <f>COUNTIF(Assumptions!CV81:CV88, 1)</f>
        <v>0</v>
      </c>
      <c r="CY22" s="77">
        <f>COUNTIF(Assumptions!CW81:CW88, 1)</f>
        <v>0</v>
      </c>
      <c r="CZ22" s="77">
        <f>COUNTIF(Assumptions!CX81:CX88, 1)</f>
        <v>0</v>
      </c>
      <c r="DA22" s="77">
        <f>COUNTIF(Assumptions!CY81:CY88, 1)</f>
        <v>0</v>
      </c>
      <c r="DB22" s="77">
        <f>COUNTIF(Assumptions!CZ81:CZ88, 1)</f>
        <v>0</v>
      </c>
      <c r="DC22" s="77">
        <f>COUNTIF(Assumptions!DA81:DA88, 1)</f>
        <v>0</v>
      </c>
      <c r="DD22" s="77">
        <f>COUNTIF(Assumptions!DB81:DB88, 1)</f>
        <v>0</v>
      </c>
      <c r="DE22" s="77">
        <f>COUNTIF(Assumptions!DC81:DC88, 1)</f>
        <v>0</v>
      </c>
      <c r="DF22" s="77">
        <f>COUNTIF(Assumptions!DD81:DD88, 1)</f>
        <v>0</v>
      </c>
      <c r="DG22" s="77">
        <f>COUNTIF(Assumptions!DE81:DE88, 1)</f>
        <v>0</v>
      </c>
      <c r="DH22" s="77">
        <f>COUNTIF(Assumptions!DF81:DF88, 1)</f>
        <v>0</v>
      </c>
      <c r="DI22" s="77">
        <f>COUNTIF(Assumptions!DG81:DG88, 1)</f>
        <v>0</v>
      </c>
      <c r="DJ22" s="77">
        <f>COUNTIF(Assumptions!DH81:DH88, 1)</f>
        <v>0</v>
      </c>
      <c r="DK22" s="77">
        <f>COUNTIF(Assumptions!DI81:DI88, 1)</f>
        <v>0</v>
      </c>
      <c r="DL22" s="77">
        <f>COUNTIF(Assumptions!DJ81:DJ88, 1)</f>
        <v>0</v>
      </c>
      <c r="DM22" s="77">
        <f>COUNTIF(Assumptions!DK81:DK88, 1)</f>
        <v>0</v>
      </c>
      <c r="DN22" s="77">
        <f>COUNTIF(Assumptions!DL81:DL88, 1)</f>
        <v>0</v>
      </c>
      <c r="DO22" s="77">
        <f>COUNTIF(Assumptions!DM81:DM88, 1)</f>
        <v>0</v>
      </c>
      <c r="DP22" s="77">
        <f>COUNTIF(Assumptions!DN81:DN88, 1)</f>
        <v>0</v>
      </c>
      <c r="DQ22" s="77">
        <f>COUNTIF(Assumptions!DO81:DO88, 1)</f>
        <v>0</v>
      </c>
      <c r="DR22" s="77">
        <f>COUNTIF(Assumptions!DP81:DP88, 1)</f>
        <v>0</v>
      </c>
      <c r="DS22" s="77">
        <f>COUNTIF(Assumptions!DQ81:DQ88, 1)</f>
        <v>0</v>
      </c>
      <c r="DT22" s="77">
        <f>COUNTIF(Assumptions!DR81:DR88, 1)</f>
        <v>0</v>
      </c>
      <c r="DU22" s="77">
        <f>COUNTIF(Assumptions!DS81:DS88, 1)</f>
        <v>0</v>
      </c>
      <c r="DV22" s="77">
        <f>COUNTIF(Assumptions!DT81:DT88, 1)</f>
        <v>0</v>
      </c>
      <c r="DW22" s="77">
        <f>COUNTIF(Assumptions!DU81:DU88, 1)</f>
        <v>0</v>
      </c>
      <c r="DX22" s="77">
        <f>COUNTIF(Assumptions!DV81:DV88, 1)</f>
        <v>0</v>
      </c>
      <c r="DY22" s="77">
        <f>COUNTIF(Assumptions!DW81:DW88, 1)</f>
        <v>0</v>
      </c>
      <c r="DZ22" s="77">
        <f>COUNTIF(Assumptions!DX81:DX88, 1)</f>
        <v>0</v>
      </c>
      <c r="EA22" s="77">
        <f>COUNTIF(Assumptions!DY81:DY88, 1)</f>
        <v>0</v>
      </c>
      <c r="EB22" s="77">
        <f>COUNTIF(Assumptions!DZ81:DZ88, 1)</f>
        <v>0</v>
      </c>
      <c r="EC22" s="77">
        <f>COUNTIF(Assumptions!EA81:EA88, 1)</f>
        <v>0</v>
      </c>
      <c r="ED22" s="77">
        <f>COUNTIF(Assumptions!EB81:EB88, 1)</f>
        <v>0</v>
      </c>
      <c r="EE22" s="77">
        <f>COUNTIF(Assumptions!EC81:EC88, 1)</f>
        <v>0</v>
      </c>
      <c r="EF22" s="77">
        <f>COUNTIF(Assumptions!ED81:ED88, 1)</f>
        <v>0</v>
      </c>
      <c r="EG22" s="77">
        <f>COUNTIF(Assumptions!EE81:EE88, 1)</f>
        <v>0</v>
      </c>
      <c r="EH22" s="77">
        <f>COUNTIF(Assumptions!EF81:EF88, 1)</f>
        <v>0</v>
      </c>
      <c r="EI22" s="77">
        <f>COUNTIF(Assumptions!EG81:EG88, 1)</f>
        <v>0</v>
      </c>
      <c r="EJ22" s="77">
        <f>COUNTIF(Assumptions!EH81:EH88, 1)</f>
        <v>0</v>
      </c>
      <c r="EK22" s="77">
        <f>COUNTIF(Assumptions!EI81:EI88, 1)</f>
        <v>0</v>
      </c>
      <c r="EL22" s="77">
        <f>COUNTIF(Assumptions!EJ81:EJ88, 1)</f>
        <v>0</v>
      </c>
      <c r="EM22" s="77">
        <f>COUNTIF(Assumptions!EK81:EK88, 1)</f>
        <v>0</v>
      </c>
      <c r="EN22" s="77">
        <f>COUNTIF(Assumptions!EL81:EL88, 1)</f>
        <v>0</v>
      </c>
      <c r="EO22" s="77">
        <f>COUNTIF(Assumptions!EM81:EM88, 1)</f>
        <v>0</v>
      </c>
      <c r="EP22" s="77">
        <f>COUNTIF(Assumptions!EN81:EN88, 1)</f>
        <v>0</v>
      </c>
      <c r="EQ22" s="77">
        <f>COUNTIF(Assumptions!EO81:EO88, 1)</f>
        <v>0</v>
      </c>
      <c r="ER22" s="77">
        <f>COUNTIF(Assumptions!EP81:EP88, 1)</f>
        <v>0</v>
      </c>
      <c r="ES22" s="77">
        <f>COUNTIF(Assumptions!EQ81:EQ88, 1)</f>
        <v>0</v>
      </c>
      <c r="ET22" s="77">
        <f>COUNTIF(Assumptions!ER81:ER88, 1)</f>
        <v>0</v>
      </c>
      <c r="EU22" s="77">
        <f>COUNTIF(Assumptions!ES81:ES88, 1)</f>
        <v>0</v>
      </c>
      <c r="EV22" s="77">
        <f>COUNTIF(Assumptions!ET81:ET88, 1)</f>
        <v>0</v>
      </c>
      <c r="EW22" s="77">
        <f>COUNTIF(Assumptions!EU81:EU88, 1)</f>
        <v>0</v>
      </c>
      <c r="EX22" s="77">
        <f>COUNTIF(Assumptions!EV81:EV88, 1)</f>
        <v>0</v>
      </c>
      <c r="EY22" s="77">
        <f>COUNTIF(Assumptions!EW81:EW88, 1)</f>
        <v>0</v>
      </c>
      <c r="EZ22" s="77">
        <f>COUNTIF(Assumptions!EX81:EX88, 1)</f>
        <v>0</v>
      </c>
      <c r="FA22" s="77">
        <f>COUNTIF(Assumptions!EY81:EY88, 1)</f>
        <v>0</v>
      </c>
      <c r="FB22" s="77">
        <f>COUNTIF(Assumptions!EZ81:EZ88, 1)</f>
        <v>0</v>
      </c>
      <c r="FC22" s="77">
        <f>COUNTIF(Assumptions!FA81:FA88, 1)</f>
        <v>0</v>
      </c>
      <c r="FD22" s="77">
        <f>COUNTIF(Assumptions!FB81:FB88, 1)</f>
        <v>0</v>
      </c>
      <c r="FE22" s="77">
        <f>COUNTIF(Assumptions!FC81:FC88, 1)</f>
        <v>0</v>
      </c>
      <c r="FF22" s="77">
        <f>COUNTIF(Assumptions!FD81:FD88, 1)</f>
        <v>0</v>
      </c>
      <c r="FG22" s="77">
        <f>COUNTIF(Assumptions!FE81:FE88, 1)</f>
        <v>0</v>
      </c>
      <c r="FH22" s="77">
        <f>COUNTIF(Assumptions!FF81:FF88, 1)</f>
        <v>0</v>
      </c>
      <c r="FI22" s="77">
        <f>COUNTIF(Assumptions!FG81:FG88, 1)</f>
        <v>0</v>
      </c>
      <c r="FJ22" s="77">
        <f>COUNTIF(Assumptions!FH81:FH88, 1)</f>
        <v>0</v>
      </c>
      <c r="FK22" s="77">
        <f>COUNTIF(Assumptions!FI81:FI88, 1)</f>
        <v>0</v>
      </c>
      <c r="FL22" s="77">
        <f>COUNTIF(Assumptions!FJ81:FJ88, 1)</f>
        <v>0</v>
      </c>
      <c r="FM22" s="77">
        <f>COUNTIF(Assumptions!FK81:FK88, 1)</f>
        <v>0</v>
      </c>
      <c r="FN22" s="77">
        <f>COUNTIF(Assumptions!FL81:FL88, 1)</f>
        <v>0</v>
      </c>
      <c r="FO22" s="77">
        <f>COUNTIF(Assumptions!FM81:FM88, 1)</f>
        <v>0</v>
      </c>
      <c r="FP22" s="77">
        <f>COUNTIF(Assumptions!FN81:FN88, 1)</f>
        <v>0</v>
      </c>
      <c r="FQ22" s="77">
        <f>COUNTIF(Assumptions!FO81:FO88, 1)</f>
        <v>0</v>
      </c>
      <c r="FR22" s="77">
        <f>COUNTIF(Assumptions!FP81:FP88, 1)</f>
        <v>0</v>
      </c>
      <c r="FS22" s="77">
        <f>COUNTIF(Assumptions!FQ81:FQ88, 1)</f>
        <v>0</v>
      </c>
      <c r="FT22" s="77">
        <f>COUNTIF(Assumptions!FR81:FR88, 1)</f>
        <v>0</v>
      </c>
      <c r="FU22" s="77">
        <f>COUNTIF(Assumptions!FS81:FS88, 1)</f>
        <v>0</v>
      </c>
      <c r="FV22" s="77">
        <f>COUNTIF(Assumptions!FT81:FT88, 1)</f>
        <v>0</v>
      </c>
      <c r="FW22" s="77">
        <f>COUNTIF(Assumptions!FU81:FU88, 1)</f>
        <v>0</v>
      </c>
      <c r="FX22" s="77">
        <f>COUNTIF(Assumptions!FV81:FV88, 1)</f>
        <v>0</v>
      </c>
      <c r="FY22" s="77">
        <f>COUNTIF(Assumptions!FW81:FW88, 1)</f>
        <v>0</v>
      </c>
      <c r="FZ22" s="77">
        <f>COUNTIF(Assumptions!FX81:FX88, 1)</f>
        <v>0</v>
      </c>
      <c r="GA22" s="77">
        <f>COUNTIF(Assumptions!FY81:FY88, 1)</f>
        <v>0</v>
      </c>
      <c r="GB22" s="77">
        <f>COUNTIF(Assumptions!FZ81:FZ88, 1)</f>
        <v>0</v>
      </c>
      <c r="GC22" s="77">
        <f>COUNTIF(Assumptions!GA81:GA88, 1)</f>
        <v>0</v>
      </c>
    </row>
    <row r="23" spans="1:185">
      <c r="A23" s="80"/>
      <c r="B23" s="80" t="s">
        <v>78</v>
      </c>
      <c r="C23" s="80"/>
      <c r="D23" s="80"/>
      <c r="E23" s="82"/>
      <c r="F23" s="77">
        <f>E23+COUNTIF(Assumptions!D81:D88, Assumptions!$D$33)</f>
        <v>0</v>
      </c>
      <c r="G23" s="77">
        <f>F23+COUNTIF(Assumptions!E81:E88, Assumptions!$D$33)</f>
        <v>0</v>
      </c>
      <c r="H23" s="77">
        <f>G23+COUNTIF(Assumptions!F81:F88, Assumptions!$D$33)</f>
        <v>0</v>
      </c>
      <c r="I23" s="77">
        <f>H23+COUNTIF(Assumptions!G81:G88, Assumptions!$D$33)</f>
        <v>0</v>
      </c>
      <c r="J23" s="77">
        <f>I23+COUNTIF(Assumptions!H81:H88, Assumptions!$D$33)</f>
        <v>0</v>
      </c>
      <c r="K23" s="77">
        <f>J23+COUNTIF(Assumptions!I81:I88, Assumptions!$D$33)</f>
        <v>0</v>
      </c>
      <c r="L23" s="77">
        <f>K23+COUNTIF(Assumptions!J81:J88, Assumptions!$D$33)</f>
        <v>0</v>
      </c>
      <c r="M23" s="77">
        <f>L23+COUNTIF(Assumptions!K81:K88, Assumptions!$D$33)</f>
        <v>1</v>
      </c>
      <c r="N23" s="77">
        <f>M23+COUNTIF(Assumptions!L81:L88, Assumptions!$D$33)</f>
        <v>1</v>
      </c>
      <c r="O23" s="77">
        <f>N23+COUNTIF(Assumptions!M81:M88, Assumptions!$D$33)</f>
        <v>1</v>
      </c>
      <c r="P23" s="77">
        <f>O23+COUNTIF(Assumptions!N81:N88, Assumptions!$D$33)</f>
        <v>1</v>
      </c>
      <c r="Q23" s="77">
        <f>P23+COUNTIF(Assumptions!O81:O88, Assumptions!$D$33)</f>
        <v>1</v>
      </c>
      <c r="R23" s="77">
        <f>Q23+COUNTIF(Assumptions!P81:P88, Assumptions!$D$33)</f>
        <v>1</v>
      </c>
      <c r="S23" s="77">
        <f>R23+COUNTIF(Assumptions!Q81:Q88, Assumptions!$D$33)</f>
        <v>1</v>
      </c>
      <c r="T23" s="77">
        <f>S23+COUNTIF(Assumptions!R81:R88, Assumptions!$D$33)</f>
        <v>1</v>
      </c>
      <c r="U23" s="77">
        <f>T23+COUNTIF(Assumptions!S81:S88, Assumptions!$D$33)</f>
        <v>1</v>
      </c>
      <c r="V23" s="77">
        <f>U23+COUNTIF(Assumptions!T81:T88, Assumptions!$D$33)</f>
        <v>1</v>
      </c>
      <c r="W23" s="77">
        <f>V23+COUNTIF(Assumptions!U81:U88, Assumptions!$D$33)</f>
        <v>1</v>
      </c>
      <c r="X23" s="77">
        <f>W23+COUNTIF(Assumptions!V81:V88, Assumptions!$D$33)</f>
        <v>1</v>
      </c>
      <c r="Y23" s="77">
        <f>X23+COUNTIF(Assumptions!W81:W88, Assumptions!$D$33)</f>
        <v>1</v>
      </c>
      <c r="Z23" s="77">
        <f>Y23+COUNTIF(Assumptions!X81:X88, Assumptions!$D$33)</f>
        <v>1</v>
      </c>
      <c r="AA23" s="77">
        <f>Z23+COUNTIF(Assumptions!Y81:Y88, Assumptions!$D$33)</f>
        <v>1</v>
      </c>
      <c r="AB23" s="77">
        <f>AA23+COUNTIF(Assumptions!Z81:Z88, Assumptions!$D$33)</f>
        <v>1</v>
      </c>
      <c r="AC23" s="77">
        <f>AB23+COUNTIF(Assumptions!AA81:AA88, Assumptions!$D$33)</f>
        <v>1</v>
      </c>
      <c r="AD23" s="77">
        <f>AC23+COUNTIF(Assumptions!AB81:AB88, Assumptions!$D$33)</f>
        <v>1</v>
      </c>
      <c r="AE23" s="77">
        <f>AD23+COUNTIF(Assumptions!AC81:AC88, Assumptions!$D$33)</f>
        <v>1</v>
      </c>
      <c r="AF23" s="77">
        <f>AE23+COUNTIF(Assumptions!AD81:AD88, Assumptions!$D$33)</f>
        <v>1</v>
      </c>
      <c r="AG23" s="77">
        <f>AF23+COUNTIF(Assumptions!AE81:AE88, Assumptions!$D$33)</f>
        <v>1</v>
      </c>
      <c r="AH23" s="77">
        <f>AG23+COUNTIF(Assumptions!AF81:AF88, Assumptions!$D$33)</f>
        <v>1</v>
      </c>
      <c r="AI23" s="77">
        <f>AH23+COUNTIF(Assumptions!AG81:AG88, Assumptions!$D$33)</f>
        <v>1</v>
      </c>
      <c r="AJ23" s="77">
        <f>AI23+COUNTIF(Assumptions!AH81:AH88, Assumptions!$D$33)</f>
        <v>1</v>
      </c>
      <c r="AK23" s="77">
        <f>AJ23+COUNTIF(Assumptions!AI81:AI88, Assumptions!$D$33)</f>
        <v>1</v>
      </c>
      <c r="AL23" s="77">
        <f>AK23+COUNTIF(Assumptions!AJ81:AJ88, Assumptions!$D$33)</f>
        <v>1</v>
      </c>
      <c r="AM23" s="77">
        <f>AL23+COUNTIF(Assumptions!AK81:AK88, Assumptions!$D$33)</f>
        <v>1</v>
      </c>
      <c r="AN23" s="77">
        <f>AM23+COUNTIF(Assumptions!AL81:AL88, Assumptions!$D$33)</f>
        <v>1</v>
      </c>
      <c r="AO23" s="77">
        <f>AN23+COUNTIF(Assumptions!AM81:AM88, Assumptions!$D$33)</f>
        <v>1</v>
      </c>
      <c r="AP23" s="77">
        <f>AO23+COUNTIF(Assumptions!AN81:AN88, Assumptions!$D$33)</f>
        <v>1</v>
      </c>
      <c r="AQ23" s="77">
        <f>AP23+COUNTIF(Assumptions!AO81:AO88, Assumptions!$D$33)</f>
        <v>1</v>
      </c>
      <c r="AR23" s="77">
        <f>AQ23+COUNTIF(Assumptions!AP81:AP88, Assumptions!$D$33)</f>
        <v>1</v>
      </c>
      <c r="AS23" s="77">
        <f>AR23+COUNTIF(Assumptions!AQ81:AQ88, Assumptions!$D$33)</f>
        <v>1</v>
      </c>
      <c r="AT23" s="77">
        <f>AS23+COUNTIF(Assumptions!AR81:AR88, Assumptions!$D$33)</f>
        <v>1</v>
      </c>
      <c r="AU23" s="77">
        <f>AT23+COUNTIF(Assumptions!AS81:AS88, Assumptions!$D$33)</f>
        <v>1</v>
      </c>
      <c r="AV23" s="77">
        <f>AU23+COUNTIF(Assumptions!AT81:AT88, Assumptions!$D$33)</f>
        <v>1</v>
      </c>
      <c r="AW23" s="77">
        <f>AV23+COUNTIF(Assumptions!AU81:AU88, Assumptions!$D$33)</f>
        <v>1</v>
      </c>
      <c r="AX23" s="77">
        <f>AW23+COUNTIF(Assumptions!AV81:AV88, Assumptions!$D$33)</f>
        <v>1</v>
      </c>
      <c r="AY23" s="77">
        <f>AX23+COUNTIF(Assumptions!AW81:AW88, Assumptions!$D$33)</f>
        <v>1</v>
      </c>
      <c r="AZ23" s="77">
        <f>AY23+COUNTIF(Assumptions!AX81:AX88, Assumptions!$D$33)</f>
        <v>1</v>
      </c>
      <c r="BA23" s="77">
        <f>AZ23+COUNTIF(Assumptions!AY81:AY88, Assumptions!$D$33)</f>
        <v>1</v>
      </c>
      <c r="BB23" s="77">
        <f>BA23+COUNTIF(Assumptions!AZ81:AZ88, Assumptions!$D$33)</f>
        <v>1</v>
      </c>
      <c r="BC23" s="77">
        <f>BB23+COUNTIF(Assumptions!BA81:BA88, Assumptions!$D$33)</f>
        <v>1</v>
      </c>
      <c r="BD23" s="77">
        <f>BC23+COUNTIF(Assumptions!BB81:BB88, Assumptions!$D$33)</f>
        <v>1</v>
      </c>
      <c r="BE23" s="77">
        <f>BD23+COUNTIF(Assumptions!BC81:BC88, Assumptions!$D$33)</f>
        <v>1</v>
      </c>
      <c r="BF23" s="77">
        <f>BE23+COUNTIF(Assumptions!BD81:BD88, Assumptions!$D$33)</f>
        <v>1</v>
      </c>
      <c r="BG23" s="77">
        <f>BF23+COUNTIF(Assumptions!BE81:BE88, Assumptions!$D$33)</f>
        <v>1</v>
      </c>
      <c r="BH23" s="77">
        <f>BG23+COUNTIF(Assumptions!BF81:BF88, Assumptions!$D$33)</f>
        <v>1</v>
      </c>
      <c r="BI23" s="77">
        <f>BH23+COUNTIF(Assumptions!BG81:BG88, Assumptions!$D$33)</f>
        <v>1</v>
      </c>
      <c r="BJ23" s="77">
        <f>BI23+COUNTIF(Assumptions!BH81:BH88, Assumptions!$D$33)</f>
        <v>1</v>
      </c>
      <c r="BK23" s="77">
        <f>BJ23+COUNTIF(Assumptions!BI81:BI88, Assumptions!$D$33)</f>
        <v>1</v>
      </c>
      <c r="BL23" s="77">
        <f>BK23+COUNTIF(Assumptions!BJ81:BJ88, Assumptions!$D$33)</f>
        <v>1</v>
      </c>
      <c r="BM23" s="77">
        <f>BL23+COUNTIF(Assumptions!BK81:BK88, Assumptions!$D$33)</f>
        <v>1</v>
      </c>
      <c r="BN23" s="77">
        <f>BM23+COUNTIF(Assumptions!BL81:BL88, Assumptions!$D$33)</f>
        <v>1</v>
      </c>
      <c r="BO23" s="77">
        <f>BN23+COUNTIF(Assumptions!BM81:BM88, Assumptions!$D$33)</f>
        <v>1</v>
      </c>
      <c r="BP23" s="77">
        <f>BO23+COUNTIF(Assumptions!BN81:BN88, Assumptions!$D$33)</f>
        <v>1</v>
      </c>
      <c r="BQ23" s="77">
        <f>BP23+COUNTIF(Assumptions!BO81:BO88, Assumptions!$D$33)</f>
        <v>1</v>
      </c>
      <c r="BR23" s="77">
        <f>BQ23+COUNTIF(Assumptions!BP81:BP88, Assumptions!$D$33)</f>
        <v>1</v>
      </c>
      <c r="BS23" s="77">
        <f>BR23+COUNTIF(Assumptions!BQ81:BQ88, Assumptions!$D$33)</f>
        <v>1</v>
      </c>
      <c r="BT23" s="77">
        <f>BS23+COUNTIF(Assumptions!BR81:BR88, Assumptions!$D$33)</f>
        <v>1</v>
      </c>
      <c r="BU23" s="77">
        <f>BT23+COUNTIF(Assumptions!BS81:BS88, Assumptions!$D$33)</f>
        <v>1</v>
      </c>
      <c r="BV23" s="77">
        <f>BU23+COUNTIF(Assumptions!BT81:BT88, Assumptions!$D$33)</f>
        <v>1</v>
      </c>
      <c r="BW23" s="77">
        <f>BV23+COUNTIF(Assumptions!BU81:BU88, Assumptions!$D$33)</f>
        <v>1</v>
      </c>
      <c r="BX23" s="77">
        <f>BW23+COUNTIF(Assumptions!BV81:BV88, Assumptions!$D$33)</f>
        <v>1</v>
      </c>
      <c r="BY23" s="77">
        <f>BX23+COUNTIF(Assumptions!BW81:BW88, Assumptions!$D$33)</f>
        <v>1</v>
      </c>
      <c r="BZ23" s="77">
        <f>BY23+COUNTIF(Assumptions!BX81:BX88, Assumptions!$D$33)</f>
        <v>1</v>
      </c>
      <c r="CA23" s="77">
        <f>BZ23+COUNTIF(Assumptions!BY81:BY88, Assumptions!$D$33)</f>
        <v>1</v>
      </c>
      <c r="CB23" s="77">
        <f>CA23+COUNTIF(Assumptions!BZ81:BZ88, Assumptions!$D$33)</f>
        <v>1</v>
      </c>
      <c r="CC23" s="77">
        <f>CB23+COUNTIF(Assumptions!CA81:CA88, Assumptions!$D$33)</f>
        <v>1</v>
      </c>
      <c r="CD23" s="77">
        <f>CC23+COUNTIF(Assumptions!CB81:CB88, Assumptions!$D$33)</f>
        <v>1</v>
      </c>
      <c r="CE23" s="77">
        <f>CD23+COUNTIF(Assumptions!CC81:CC88, Assumptions!$D$33)</f>
        <v>1</v>
      </c>
      <c r="CF23" s="77">
        <f>CE23+COUNTIF(Assumptions!CD81:CD88, Assumptions!$D$33)</f>
        <v>1</v>
      </c>
      <c r="CG23" s="77">
        <f>CF23+COUNTIF(Assumptions!CE81:CE88, Assumptions!$D$33)</f>
        <v>1</v>
      </c>
      <c r="CH23" s="77">
        <f>CG23+COUNTIF(Assumptions!CF81:CF88, Assumptions!$D$33)</f>
        <v>1</v>
      </c>
      <c r="CI23" s="77">
        <f>CH23+COUNTIF(Assumptions!CG81:CG88, Assumptions!$D$33)</f>
        <v>1</v>
      </c>
      <c r="CJ23" s="77">
        <f>CI23+COUNTIF(Assumptions!CH81:CH88, Assumptions!$D$33)</f>
        <v>1</v>
      </c>
      <c r="CK23" s="77">
        <f>CJ23+COUNTIF(Assumptions!CI81:CI88, Assumptions!$D$33)</f>
        <v>1</v>
      </c>
      <c r="CL23" s="77">
        <f>CK23+COUNTIF(Assumptions!CJ81:CJ88, Assumptions!$D$33)</f>
        <v>1</v>
      </c>
      <c r="CM23" s="77">
        <f>CL23+COUNTIF(Assumptions!CK81:CK88, Assumptions!$D$33)</f>
        <v>1</v>
      </c>
      <c r="CN23" s="77">
        <f>CM23+COUNTIF(Assumptions!CL81:CL88, Assumptions!$D$33)</f>
        <v>1</v>
      </c>
      <c r="CO23" s="77">
        <f>CN23+COUNTIF(Assumptions!CM81:CM88, Assumptions!$D$33)</f>
        <v>1</v>
      </c>
      <c r="CP23" s="77">
        <f>CO23+COUNTIF(Assumptions!CN81:CN88, Assumptions!$D$33)</f>
        <v>1</v>
      </c>
      <c r="CQ23" s="77">
        <f>CP23+COUNTIF(Assumptions!CO81:CO88, Assumptions!$D$33)</f>
        <v>1</v>
      </c>
      <c r="CR23" s="77">
        <f>CQ23+COUNTIF(Assumptions!CP81:CP88, Assumptions!$D$33)</f>
        <v>1</v>
      </c>
      <c r="CS23" s="77">
        <f>CR23+COUNTIF(Assumptions!CQ81:CQ88, Assumptions!$D$33)</f>
        <v>1</v>
      </c>
      <c r="CT23" s="77">
        <f>CS23+COUNTIF(Assumptions!CR81:CR88, Assumptions!$D$33)</f>
        <v>1</v>
      </c>
      <c r="CU23" s="77">
        <f>CT23+COUNTIF(Assumptions!CS81:CS88, Assumptions!$D$33)</f>
        <v>1</v>
      </c>
      <c r="CV23" s="77">
        <f>CU23+COUNTIF(Assumptions!CT81:CT88, Assumptions!$D$33)</f>
        <v>1</v>
      </c>
      <c r="CW23" s="77">
        <f>CV23+COUNTIF(Assumptions!CU81:CU88, Assumptions!$D$33)</f>
        <v>1</v>
      </c>
      <c r="CX23" s="77">
        <f>CW23+COUNTIF(Assumptions!CV81:CV88, Assumptions!$D$33)</f>
        <v>1</v>
      </c>
      <c r="CY23" s="77">
        <f>CX23+COUNTIF(Assumptions!CW81:CW88, Assumptions!$D$33)</f>
        <v>1</v>
      </c>
      <c r="CZ23" s="77">
        <f>CY23+COUNTIF(Assumptions!CX81:CX88, Assumptions!$D$33)</f>
        <v>1</v>
      </c>
      <c r="DA23" s="77">
        <f>CZ23+COUNTIF(Assumptions!CY81:CY88, Assumptions!$D$33)</f>
        <v>1</v>
      </c>
      <c r="DB23" s="77">
        <f>DA23+COUNTIF(Assumptions!CZ81:CZ88, Assumptions!$D$33)</f>
        <v>1</v>
      </c>
      <c r="DC23" s="77">
        <f>DB23+COUNTIF(Assumptions!DA81:DA88, Assumptions!$D$33)</f>
        <v>1</v>
      </c>
      <c r="DD23" s="77">
        <f>DC23+COUNTIF(Assumptions!DB81:DB88, Assumptions!$D$33)</f>
        <v>1</v>
      </c>
      <c r="DE23" s="77">
        <f>DD23+COUNTIF(Assumptions!DC81:DC88, Assumptions!$D$33)</f>
        <v>1</v>
      </c>
      <c r="DF23" s="77">
        <f>DE23+COUNTIF(Assumptions!DD81:DD88, Assumptions!$D$33)</f>
        <v>1</v>
      </c>
      <c r="DG23" s="77">
        <f>DF23+COUNTIF(Assumptions!DE81:DE88, Assumptions!$D$33)</f>
        <v>1</v>
      </c>
      <c r="DH23" s="77">
        <f>DG23+COUNTIF(Assumptions!DF81:DF88, Assumptions!$D$33)</f>
        <v>1</v>
      </c>
      <c r="DI23" s="77">
        <f>DH23+COUNTIF(Assumptions!DG81:DG88, Assumptions!$D$33)</f>
        <v>1</v>
      </c>
      <c r="DJ23" s="77">
        <f>DI23+COUNTIF(Assumptions!DH81:DH88, Assumptions!$D$33)</f>
        <v>1</v>
      </c>
      <c r="DK23" s="77">
        <f>DJ23+COUNTIF(Assumptions!DI81:DI88, Assumptions!$D$33)</f>
        <v>1</v>
      </c>
      <c r="DL23" s="77">
        <f>DK23+COUNTIF(Assumptions!DJ81:DJ88, Assumptions!$D$33)</f>
        <v>1</v>
      </c>
      <c r="DM23" s="77">
        <f>DL23+COUNTIF(Assumptions!DK81:DK88, Assumptions!$D$33)</f>
        <v>1</v>
      </c>
      <c r="DN23" s="77">
        <f>DM23+COUNTIF(Assumptions!DL81:DL88, Assumptions!$D$33)</f>
        <v>1</v>
      </c>
      <c r="DO23" s="77">
        <f>DN23+COUNTIF(Assumptions!DM81:DM88, Assumptions!$D$33)</f>
        <v>1</v>
      </c>
      <c r="DP23" s="77">
        <f>DO23+COUNTIF(Assumptions!DN81:DN88, Assumptions!$D$33)</f>
        <v>1</v>
      </c>
      <c r="DQ23" s="77">
        <f>DP23+COUNTIF(Assumptions!DO81:DO88, Assumptions!$D$33)</f>
        <v>1</v>
      </c>
      <c r="DR23" s="77">
        <f>DQ23+COUNTIF(Assumptions!DP81:DP88, Assumptions!$D$33)</f>
        <v>1</v>
      </c>
      <c r="DS23" s="77">
        <f>DR23+COUNTIF(Assumptions!DQ81:DQ88, Assumptions!$D$33)</f>
        <v>1</v>
      </c>
      <c r="DT23" s="77">
        <f>DS23+COUNTIF(Assumptions!DR81:DR88, Assumptions!$D$33)</f>
        <v>1</v>
      </c>
      <c r="DU23" s="77">
        <f>DT23+COUNTIF(Assumptions!DS81:DS88, Assumptions!$D$33)</f>
        <v>1</v>
      </c>
      <c r="DV23" s="77">
        <f>DU23+COUNTIF(Assumptions!DT81:DT88, Assumptions!$D$33)</f>
        <v>1</v>
      </c>
      <c r="DW23" s="77">
        <f>DV23+COUNTIF(Assumptions!DU81:DU88, Assumptions!$D$33)</f>
        <v>1</v>
      </c>
      <c r="DX23" s="77">
        <f>DW23+COUNTIF(Assumptions!DV81:DV88, Assumptions!$D$33)</f>
        <v>1</v>
      </c>
      <c r="DY23" s="77">
        <f>DX23+COUNTIF(Assumptions!DW81:DW88, Assumptions!$D$33)</f>
        <v>1</v>
      </c>
      <c r="DZ23" s="77">
        <f>DY23+COUNTIF(Assumptions!DX81:DX88, Assumptions!$D$33)</f>
        <v>1</v>
      </c>
      <c r="EA23" s="77">
        <f>DZ23+COUNTIF(Assumptions!DY81:DY88, Assumptions!$D$33)</f>
        <v>1</v>
      </c>
      <c r="EB23" s="77">
        <f>EA23+COUNTIF(Assumptions!DZ81:DZ88, Assumptions!$D$33)</f>
        <v>1</v>
      </c>
      <c r="EC23" s="77">
        <f>EB23+COUNTIF(Assumptions!EA81:EA88, Assumptions!$D$33)</f>
        <v>1</v>
      </c>
      <c r="ED23" s="77">
        <f>EC23+COUNTIF(Assumptions!EB81:EB88, Assumptions!$D$33)</f>
        <v>1</v>
      </c>
      <c r="EE23" s="77">
        <f>ED23+COUNTIF(Assumptions!EC81:EC88, Assumptions!$D$33)</f>
        <v>1</v>
      </c>
      <c r="EF23" s="77">
        <f>EE23+COUNTIF(Assumptions!ED81:ED88, Assumptions!$D$33)</f>
        <v>1</v>
      </c>
      <c r="EG23" s="77">
        <f>EF23+COUNTIF(Assumptions!EE81:EE88, Assumptions!$D$33)</f>
        <v>1</v>
      </c>
      <c r="EH23" s="77">
        <f>EG23+COUNTIF(Assumptions!EF81:EF88, Assumptions!$D$33)</f>
        <v>1</v>
      </c>
      <c r="EI23" s="77">
        <f>EH23+COUNTIF(Assumptions!EG81:EG88, Assumptions!$D$33)</f>
        <v>1</v>
      </c>
      <c r="EJ23" s="77">
        <f>EI23+COUNTIF(Assumptions!EH81:EH88, Assumptions!$D$33)</f>
        <v>1</v>
      </c>
      <c r="EK23" s="77">
        <f>EJ23+COUNTIF(Assumptions!EI81:EI88, Assumptions!$D$33)</f>
        <v>1</v>
      </c>
      <c r="EL23" s="77">
        <f>EK23+COUNTIF(Assumptions!EJ81:EJ88, Assumptions!$D$33)</f>
        <v>1</v>
      </c>
      <c r="EM23" s="77">
        <f>EL23+COUNTIF(Assumptions!EK81:EK88, Assumptions!$D$33)</f>
        <v>1</v>
      </c>
      <c r="EN23" s="77">
        <f>EM23+COUNTIF(Assumptions!EL81:EL88, Assumptions!$D$33)</f>
        <v>1</v>
      </c>
      <c r="EO23" s="77">
        <f>EN23+COUNTIF(Assumptions!EM81:EM88, Assumptions!$D$33)</f>
        <v>1</v>
      </c>
      <c r="EP23" s="77">
        <f>EO23+COUNTIF(Assumptions!EN81:EN88, Assumptions!$D$33)</f>
        <v>1</v>
      </c>
      <c r="EQ23" s="77">
        <f>EP23+COUNTIF(Assumptions!EO81:EO88, Assumptions!$D$33)</f>
        <v>1</v>
      </c>
      <c r="ER23" s="77">
        <f>EQ23+COUNTIF(Assumptions!EP81:EP88, Assumptions!$D$33)</f>
        <v>1</v>
      </c>
      <c r="ES23" s="77">
        <f>ER23+COUNTIF(Assumptions!EQ81:EQ88, Assumptions!$D$33)</f>
        <v>1</v>
      </c>
      <c r="ET23" s="77">
        <f>ES23+COUNTIF(Assumptions!ER81:ER88, Assumptions!$D$33)</f>
        <v>1</v>
      </c>
      <c r="EU23" s="77">
        <f>ET23+COUNTIF(Assumptions!ES81:ES88, Assumptions!$D$33)</f>
        <v>1</v>
      </c>
      <c r="EV23" s="77">
        <f>EU23+COUNTIF(Assumptions!ET81:ET88, Assumptions!$D$33)</f>
        <v>1</v>
      </c>
      <c r="EW23" s="77">
        <f>EV23+COUNTIF(Assumptions!EU81:EU88, Assumptions!$D$33)</f>
        <v>1</v>
      </c>
      <c r="EX23" s="77">
        <f>EW23+COUNTIF(Assumptions!EV81:EV88, Assumptions!$D$33)</f>
        <v>1</v>
      </c>
      <c r="EY23" s="77">
        <f>EX23+COUNTIF(Assumptions!EW81:EW88, Assumptions!$D$33)</f>
        <v>1</v>
      </c>
      <c r="EZ23" s="77">
        <f>EY23+COUNTIF(Assumptions!EX81:EX88, Assumptions!$D$33)</f>
        <v>1</v>
      </c>
      <c r="FA23" s="77">
        <f>EZ23+COUNTIF(Assumptions!EY81:EY88, Assumptions!$D$33)</f>
        <v>1</v>
      </c>
      <c r="FB23" s="77">
        <f>FA23+COUNTIF(Assumptions!EZ81:EZ88, Assumptions!$D$33)</f>
        <v>1</v>
      </c>
      <c r="FC23" s="77">
        <f>FB23+COUNTIF(Assumptions!FA81:FA88, Assumptions!$D$33)</f>
        <v>1</v>
      </c>
      <c r="FD23" s="77">
        <f>FC23+COUNTIF(Assumptions!FB81:FB88, Assumptions!$D$33)</f>
        <v>1</v>
      </c>
      <c r="FE23" s="77">
        <f>FD23+COUNTIF(Assumptions!FC81:FC88, Assumptions!$D$33)</f>
        <v>1</v>
      </c>
      <c r="FF23" s="77">
        <f>FE23+COUNTIF(Assumptions!FD81:FD88, Assumptions!$D$33)</f>
        <v>1</v>
      </c>
      <c r="FG23" s="77">
        <f>FF23+COUNTIF(Assumptions!FE81:FE88, Assumptions!$D$33)</f>
        <v>1</v>
      </c>
      <c r="FH23" s="77">
        <f>FG23+COUNTIF(Assumptions!FF81:FF88, Assumptions!$D$33)</f>
        <v>1</v>
      </c>
      <c r="FI23" s="77">
        <f>FH23+COUNTIF(Assumptions!FG81:FG88, Assumptions!$D$33)</f>
        <v>1</v>
      </c>
      <c r="FJ23" s="77">
        <f>FI23+COUNTIF(Assumptions!FH81:FH88, Assumptions!$D$33)</f>
        <v>1</v>
      </c>
      <c r="FK23" s="77">
        <f>FJ23+COUNTIF(Assumptions!FI81:FI88, Assumptions!$D$33)</f>
        <v>1</v>
      </c>
      <c r="FL23" s="77">
        <f>FK23+COUNTIF(Assumptions!FJ81:FJ88, Assumptions!$D$33)</f>
        <v>1</v>
      </c>
      <c r="FM23" s="77">
        <f>FL23+COUNTIF(Assumptions!FK81:FK88, Assumptions!$D$33)</f>
        <v>1</v>
      </c>
      <c r="FN23" s="77">
        <f>FM23+COUNTIF(Assumptions!FL81:FL88, Assumptions!$D$33)</f>
        <v>1</v>
      </c>
      <c r="FO23" s="77">
        <f>FN23+COUNTIF(Assumptions!FM81:FM88, Assumptions!$D$33)</f>
        <v>1</v>
      </c>
      <c r="FP23" s="77">
        <f>FO23+COUNTIF(Assumptions!FN81:FN88, Assumptions!$D$33)</f>
        <v>1</v>
      </c>
      <c r="FQ23" s="77">
        <f>FP23+COUNTIF(Assumptions!FO81:FO88, Assumptions!$D$33)</f>
        <v>1</v>
      </c>
      <c r="FR23" s="77">
        <f>FQ23+COUNTIF(Assumptions!FP81:FP88, Assumptions!$D$33)</f>
        <v>1</v>
      </c>
      <c r="FS23" s="77">
        <f>FR23+COUNTIF(Assumptions!FQ81:FQ88, Assumptions!$D$33)</f>
        <v>1</v>
      </c>
      <c r="FT23" s="77">
        <f>FS23+COUNTIF(Assumptions!FR81:FR88, Assumptions!$D$33)</f>
        <v>1</v>
      </c>
      <c r="FU23" s="77">
        <f>FT23+COUNTIF(Assumptions!FS81:FS88, Assumptions!$D$33)</f>
        <v>1</v>
      </c>
      <c r="FV23" s="77">
        <f>FU23+COUNTIF(Assumptions!FT81:FT88, Assumptions!$D$33)</f>
        <v>1</v>
      </c>
      <c r="FW23" s="77">
        <f>FV23+COUNTIF(Assumptions!FU81:FU88, Assumptions!$D$33)</f>
        <v>1</v>
      </c>
      <c r="FX23" s="77">
        <f>FW23+COUNTIF(Assumptions!FV81:FV88, Assumptions!$D$33)</f>
        <v>1</v>
      </c>
      <c r="FY23" s="77">
        <f>FX23+COUNTIF(Assumptions!FW81:FW88, Assumptions!$D$33)</f>
        <v>1</v>
      </c>
      <c r="FZ23" s="77">
        <f>FY23+COUNTIF(Assumptions!FX81:FX88, Assumptions!$D$33)</f>
        <v>1</v>
      </c>
      <c r="GA23" s="77">
        <f>FZ23+COUNTIF(Assumptions!FY81:FY88, Assumptions!$D$33)</f>
        <v>1</v>
      </c>
      <c r="GB23" s="77">
        <f>GA23+COUNTIF(Assumptions!FZ81:FZ88, Assumptions!$D$33)</f>
        <v>1</v>
      </c>
      <c r="GC23" s="77">
        <f>GB23+COUNTIF(Assumptions!GA81:GA88, Assumptions!$D$33)</f>
        <v>1</v>
      </c>
    </row>
    <row r="24" spans="1:185">
      <c r="A24" s="80"/>
      <c r="B24" s="80"/>
      <c r="C24" s="80"/>
      <c r="D24" s="80"/>
      <c r="E24" s="82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77"/>
      <c r="DQ24" s="77"/>
      <c r="DR24" s="77"/>
      <c r="DS24" s="77"/>
      <c r="DT24" s="77"/>
      <c r="DU24" s="77"/>
      <c r="DV24" s="77"/>
      <c r="DW24" s="77"/>
      <c r="DX24" s="77"/>
      <c r="DY24" s="77"/>
      <c r="DZ24" s="77"/>
      <c r="EA24" s="77"/>
      <c r="EB24" s="77"/>
      <c r="EC24" s="77"/>
      <c r="ED24" s="77"/>
      <c r="EE24" s="77"/>
      <c r="EF24" s="77"/>
      <c r="EG24" s="77"/>
      <c r="EH24" s="77"/>
      <c r="EI24" s="77"/>
      <c r="EJ24" s="77"/>
      <c r="EK24" s="77"/>
      <c r="EL24" s="77"/>
      <c r="EM24" s="77"/>
      <c r="EN24" s="77"/>
      <c r="EO24" s="77"/>
      <c r="EP24" s="77"/>
      <c r="EQ24" s="77"/>
      <c r="ER24" s="77"/>
      <c r="ES24" s="77"/>
      <c r="ET24" s="77"/>
      <c r="EU24" s="77"/>
      <c r="EV24" s="77"/>
      <c r="EW24" s="77"/>
      <c r="EX24" s="77"/>
      <c r="EY24" s="77"/>
      <c r="EZ24" s="77"/>
      <c r="FA24" s="77"/>
      <c r="FB24" s="77"/>
      <c r="FC24" s="77"/>
      <c r="FD24" s="77"/>
      <c r="FE24" s="77"/>
      <c r="FF24" s="77"/>
      <c r="FG24" s="77"/>
      <c r="FH24" s="77"/>
      <c r="FI24" s="77"/>
      <c r="FJ24" s="77"/>
      <c r="FK24" s="77"/>
      <c r="FL24" s="77"/>
      <c r="FM24" s="77"/>
      <c r="FN24" s="77"/>
      <c r="FO24" s="77"/>
      <c r="FP24" s="77"/>
      <c r="FQ24" s="77"/>
      <c r="FR24" s="77"/>
      <c r="FS24" s="77"/>
      <c r="FT24" s="77"/>
      <c r="FU24" s="77"/>
      <c r="FV24" s="77"/>
      <c r="FW24" s="77"/>
      <c r="FX24" s="77"/>
      <c r="FY24" s="77"/>
      <c r="FZ24" s="77"/>
      <c r="GA24" s="77"/>
      <c r="GB24" s="77"/>
      <c r="GC24" s="77"/>
    </row>
    <row r="25" spans="1:185">
      <c r="A25" s="10" t="s">
        <v>79</v>
      </c>
      <c r="B25" s="80"/>
      <c r="C25" s="80"/>
      <c r="D25" s="80"/>
      <c r="E25" s="82"/>
      <c r="F25" s="92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92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  <c r="DA25" s="80"/>
      <c r="DB25" s="80"/>
      <c r="DC25" s="80"/>
      <c r="DD25" s="80"/>
      <c r="DE25" s="80"/>
      <c r="DF25" s="80"/>
      <c r="DG25" s="80"/>
      <c r="DH25" s="80"/>
      <c r="DI25" s="80"/>
      <c r="DJ25" s="80"/>
      <c r="DK25" s="80"/>
      <c r="DL25" s="80"/>
      <c r="DM25" s="80"/>
      <c r="DN25" s="80"/>
      <c r="DO25" s="80"/>
      <c r="DP25" s="80"/>
      <c r="DQ25" s="80"/>
      <c r="DR25" s="80"/>
      <c r="DS25" s="80"/>
      <c r="DT25" s="80"/>
      <c r="DU25" s="80"/>
      <c r="DV25" s="80"/>
      <c r="DW25" s="80"/>
      <c r="DX25" s="80"/>
      <c r="DY25" s="80"/>
      <c r="DZ25" s="80"/>
      <c r="EA25" s="80"/>
      <c r="EB25" s="80"/>
      <c r="EC25" s="80"/>
      <c r="ED25" s="80"/>
      <c r="EE25" s="80"/>
      <c r="EF25" s="80"/>
      <c r="EG25" s="80"/>
      <c r="EH25" s="80"/>
      <c r="EI25" s="80"/>
      <c r="EJ25" s="80"/>
      <c r="EK25" s="80"/>
      <c r="EL25" s="80"/>
      <c r="EM25" s="80"/>
      <c r="EN25" s="80"/>
      <c r="EO25" s="80"/>
      <c r="EP25" s="80"/>
      <c r="EQ25" s="80"/>
      <c r="ER25" s="80"/>
      <c r="ES25" s="80"/>
      <c r="ET25" s="80"/>
      <c r="EU25" s="80"/>
      <c r="EV25" s="80"/>
      <c r="EW25" s="80"/>
      <c r="EX25" s="80"/>
      <c r="EY25" s="80"/>
      <c r="EZ25" s="80"/>
      <c r="FA25" s="80"/>
      <c r="FB25" s="80"/>
      <c r="FC25" s="80"/>
      <c r="FD25" s="80"/>
      <c r="FE25" s="80"/>
      <c r="FF25" s="80"/>
      <c r="FG25" s="80"/>
      <c r="FH25" s="80"/>
      <c r="FI25" s="80"/>
      <c r="FJ25" s="80"/>
      <c r="FK25" s="80"/>
      <c r="FL25" s="80"/>
      <c r="FM25" s="80"/>
      <c r="FN25" s="80"/>
      <c r="FO25" s="80"/>
      <c r="FP25" s="80"/>
      <c r="FQ25" s="80"/>
      <c r="FR25" s="80"/>
      <c r="FS25" s="80"/>
      <c r="FT25" s="80"/>
      <c r="FU25" s="80"/>
      <c r="FV25" s="80"/>
      <c r="FW25" s="80"/>
      <c r="FX25" s="80"/>
      <c r="FY25" s="80"/>
      <c r="FZ25" s="80"/>
      <c r="GA25" s="80"/>
      <c r="GB25" s="80"/>
      <c r="GC25" s="80"/>
    </row>
    <row r="26" spans="1:185">
      <c r="A26" s="80"/>
      <c r="B26" t="s">
        <v>80</v>
      </c>
      <c r="C26" s="80" t="s">
        <v>61</v>
      </c>
      <c r="D26" s="80"/>
      <c r="E26" s="82">
        <f>SUM(F26:GC26)</f>
        <v>15000000</v>
      </c>
      <c r="F26" s="79">
        <f>IF(F21="Series A", Assumptions!$D$23, IF(F21="Series B", Assumptions!$D$28, 0))</f>
        <v>15000000</v>
      </c>
      <c r="G26" s="79">
        <f>IF(G21="Series A", Assumptions!$D$23, IF(G21="Series B", Assumptions!$D$28, 0))</f>
        <v>0</v>
      </c>
      <c r="H26" s="79">
        <f>IF(H21="Series A", Assumptions!$D$23, IF(H21="Series B", Assumptions!$D$28, 0))</f>
        <v>0</v>
      </c>
      <c r="I26" s="79">
        <f>IF(I21="Series A", Assumptions!$D$23, IF(I21="Series B", Assumptions!$D$28, 0))</f>
        <v>0</v>
      </c>
      <c r="J26" s="79">
        <f>IF(J21="Series A", Assumptions!$D$23, IF(J21="Series B", Assumptions!$D$28, 0))</f>
        <v>0</v>
      </c>
      <c r="K26" s="79">
        <f>IF(K21="Series A", Assumptions!$D$23, IF(K21="Series B", Assumptions!$D$28, 0))</f>
        <v>0</v>
      </c>
      <c r="L26" s="79">
        <f>IF(L21="Series A", Assumptions!$D$23, IF(L21="Series B", Assumptions!$D$28, 0))</f>
        <v>0</v>
      </c>
      <c r="M26" s="79">
        <f>IF(M21="Series A", Assumptions!$D$23, IF(M21="Series B", Assumptions!$D$28, 0))</f>
        <v>0</v>
      </c>
      <c r="N26" s="79">
        <f>IF(N21="Series A", Assumptions!$D$23, IF(N21="Series B", Assumptions!$D$28, 0))</f>
        <v>0</v>
      </c>
      <c r="O26" s="79">
        <f>IF(O21="Series A", Assumptions!$D$23, IF(O21="Series B", Assumptions!$D$28, 0))</f>
        <v>0</v>
      </c>
      <c r="P26" s="79">
        <f>IF(P21="Series A", Assumptions!$D$23, IF(P21="Series B", Assumptions!$D$28, 0))</f>
        <v>0</v>
      </c>
      <c r="Q26" s="79">
        <f>IF(Q21="Series A", Assumptions!$D$23, IF(Q21="Series B", Assumptions!$D$28, 0))</f>
        <v>0</v>
      </c>
      <c r="R26" s="79">
        <f>IF(R21="Series A", Assumptions!$D$23, IF(R21="Series B", Assumptions!$D$28, 0))</f>
        <v>0</v>
      </c>
      <c r="S26" s="79">
        <f>IF(S21="Series A", Assumptions!$D$23, IF(S21="Series B", Assumptions!$D$28, 0))</f>
        <v>0</v>
      </c>
      <c r="T26" s="79">
        <f>IF(T21="Series A", Assumptions!$D$23, IF(T21="Series B", Assumptions!$D$28, 0))</f>
        <v>0</v>
      </c>
      <c r="U26" s="79">
        <f>IF(U21="Series A", Assumptions!$D$23, IF(U21="Series B", Assumptions!$D$28, 0))</f>
        <v>0</v>
      </c>
      <c r="V26" s="79">
        <f>IF(V21="Series A", Assumptions!$D$23, IF(V21="Series B", Assumptions!$D$28, 0))</f>
        <v>0</v>
      </c>
      <c r="W26" s="79">
        <f>IF(W21="Series A", Assumptions!$D$23, IF(W21="Series B", Assumptions!$D$28, 0))</f>
        <v>0</v>
      </c>
      <c r="X26" s="79">
        <f>IF(X21="Series A", Assumptions!$D$23, IF(X21="Series B", Assumptions!$D$28, 0))</f>
        <v>0</v>
      </c>
      <c r="Y26" s="79">
        <f>IF(Y21="Series A", Assumptions!$D$23, IF(Y21="Series B", Assumptions!$D$28, 0))</f>
        <v>0</v>
      </c>
      <c r="Z26" s="79">
        <f>IF(Z21="Series A", Assumptions!$D$23, IF(Z21="Series B", Assumptions!$D$28, 0))</f>
        <v>0</v>
      </c>
      <c r="AA26" s="79">
        <f>IF(AA21="Series A", Assumptions!$D$23, IF(AA21="Series B", Assumptions!$D$28, 0))</f>
        <v>0</v>
      </c>
      <c r="AB26" s="79">
        <f>IF(AB21="Series A", Assumptions!$D$23, IF(AB21="Series B", Assumptions!$D$28, 0))</f>
        <v>0</v>
      </c>
      <c r="AC26" s="79">
        <f>IF(AC21="Series A", Assumptions!$D$23, IF(AC21="Series B", Assumptions!$D$28, 0))</f>
        <v>0</v>
      </c>
      <c r="AD26" s="79">
        <f>IF(AD21="Series A", Assumptions!$D$23, IF(AD21="Series B", Assumptions!$D$28, 0))</f>
        <v>0</v>
      </c>
      <c r="AE26" s="79">
        <f>IF(AE21="Series A", Assumptions!$D$23, IF(AE21="Series B", Assumptions!$D$28, 0))</f>
        <v>0</v>
      </c>
      <c r="AF26" s="79">
        <f>IF(AF21="Series A", Assumptions!$D$23, IF(AF21="Series B", Assumptions!$D$28, 0))</f>
        <v>0</v>
      </c>
      <c r="AG26" s="79">
        <f>IF(AG21="Series A", Assumptions!$D$23, IF(AG21="Series B", Assumptions!$D$28, 0))</f>
        <v>0</v>
      </c>
      <c r="AH26" s="79">
        <f>IF(AH21="Series A", Assumptions!$D$23, IF(AH21="Series B", Assumptions!$D$28, 0))</f>
        <v>0</v>
      </c>
      <c r="AI26" s="79">
        <f>IF(AI21="Series A", Assumptions!$D$23, IF(AI21="Series B", Assumptions!$D$28, 0))</f>
        <v>0</v>
      </c>
      <c r="AJ26" s="79">
        <f>IF(AJ21="Series A", Assumptions!$D$23, IF(AJ21="Series B", Assumptions!$D$28, 0))</f>
        <v>0</v>
      </c>
      <c r="AK26" s="79">
        <f>IF(AK21="Series A", Assumptions!$D$23, IF(AK21="Series B", Assumptions!$D$28, 0))</f>
        <v>0</v>
      </c>
      <c r="AL26" s="79">
        <f>IF(AL21="Series A", Assumptions!$D$23, IF(AL21="Series B", Assumptions!$D$28, 0))</f>
        <v>0</v>
      </c>
      <c r="AM26" s="79">
        <f>IF(AM21="Series A", Assumptions!$D$23, IF(AM21="Series B", Assumptions!$D$28, 0))</f>
        <v>0</v>
      </c>
      <c r="AN26" s="79">
        <f>IF(AN21="Series A", Assumptions!$D$23, IF(AN21="Series B", Assumptions!$D$28, 0))</f>
        <v>0</v>
      </c>
      <c r="AO26" s="79">
        <f>IF(AO21="Series A", Assumptions!$D$23, IF(AO21="Series B", Assumptions!$D$28, 0))</f>
        <v>0</v>
      </c>
      <c r="AP26" s="79">
        <f>IF(AP21="Series A", Assumptions!$D$23, IF(AP21="Series B", Assumptions!$D$28, 0))</f>
        <v>0</v>
      </c>
      <c r="AQ26" s="79">
        <f>IF(AQ21="Series A", Assumptions!$D$23, IF(AQ21="Series B", Assumptions!$D$28, 0))</f>
        <v>0</v>
      </c>
      <c r="AR26" s="79">
        <f>IF(AR21="Series A", Assumptions!$D$23, IF(AR21="Series B", Assumptions!$D$28, 0))</f>
        <v>0</v>
      </c>
      <c r="AS26" s="79">
        <f>IF(AS21="Series A", Assumptions!$D$23, IF(AS21="Series B", Assumptions!$D$28, 0))</f>
        <v>0</v>
      </c>
      <c r="AT26" s="79">
        <f>IF(AT21="Series A", Assumptions!$D$23, IF(AT21="Series B", Assumptions!$D$28, 0))</f>
        <v>0</v>
      </c>
      <c r="AU26" s="79">
        <f>IF(AU21="Series A", Assumptions!$D$23, IF(AU21="Series B", Assumptions!$D$28, 0))</f>
        <v>0</v>
      </c>
      <c r="AV26" s="79">
        <f>IF(AV21="Series A", Assumptions!$D$23, IF(AV21="Series B", Assumptions!$D$28, 0))</f>
        <v>0</v>
      </c>
      <c r="AW26" s="79">
        <f>IF(AW21="Series A", Assumptions!$D$23, IF(AW21="Series B", Assumptions!$D$28, 0))</f>
        <v>0</v>
      </c>
      <c r="AX26" s="79">
        <f>IF(AX21="Series A", Assumptions!$D$23, IF(AX21="Series B", Assumptions!$D$28, 0))</f>
        <v>0</v>
      </c>
      <c r="AY26" s="79">
        <f>IF(AY21="Series A", Assumptions!$D$23, IF(AY21="Series B", Assumptions!$D$28, 0))</f>
        <v>0</v>
      </c>
      <c r="AZ26" s="79">
        <f>IF(AZ21="Series A", Assumptions!$D$23, IF(AZ21="Series B", Assumptions!$D$28, 0))</f>
        <v>0</v>
      </c>
      <c r="BA26" s="79">
        <f>IF(BA21="Series A", Assumptions!$D$23, IF(BA21="Series B", Assumptions!$D$28, 0))</f>
        <v>0</v>
      </c>
      <c r="BB26" s="79">
        <f>IF(BB21="Series A", Assumptions!$D$23, IF(BB21="Series B", Assumptions!$D$28, 0))</f>
        <v>0</v>
      </c>
      <c r="BC26" s="79">
        <f>IF(BC21="Series A", Assumptions!$D$23, IF(BC21="Series B", Assumptions!$D$28, 0))</f>
        <v>0</v>
      </c>
      <c r="BD26" s="79">
        <f>IF(BD21="Series A", Assumptions!$D$23, IF(BD21="Series B", Assumptions!$D$28, 0))</f>
        <v>0</v>
      </c>
      <c r="BE26" s="79">
        <f>IF(BE21="Series A", Assumptions!$D$23, IF(BE21="Series B", Assumptions!$D$28, 0))</f>
        <v>0</v>
      </c>
      <c r="BF26" s="79">
        <f>IF(BF21="Series A", Assumptions!$D$23, IF(BF21="Series B", Assumptions!$D$28, 0))</f>
        <v>0</v>
      </c>
      <c r="BG26" s="79">
        <f>IF(BG21="Series A", Assumptions!$D$23, IF(BG21="Series B", Assumptions!$D$28, 0))</f>
        <v>0</v>
      </c>
      <c r="BH26" s="79">
        <f>IF(BH21="Series A", Assumptions!$D$23, IF(BH21="Series B", Assumptions!$D$28, 0))</f>
        <v>0</v>
      </c>
      <c r="BI26" s="79">
        <f>IF(BI21="Series A", Assumptions!$D$23, IF(BI21="Series B", Assumptions!$D$28, 0))</f>
        <v>0</v>
      </c>
      <c r="BJ26" s="79">
        <f>IF(BJ21="Series A", Assumptions!$D$23, IF(BJ21="Series B", Assumptions!$D$28, 0))</f>
        <v>0</v>
      </c>
      <c r="BK26" s="79">
        <f>IF(BK21="Series A", Assumptions!$D$23, IF(BK21="Series B", Assumptions!$D$28, 0))</f>
        <v>0</v>
      </c>
      <c r="BL26" s="79">
        <f>IF(BL21="Series A", Assumptions!$D$23, IF(BL21="Series B", Assumptions!$D$28, 0))</f>
        <v>0</v>
      </c>
      <c r="BM26" s="79">
        <f>IF(BM21="Series A", Assumptions!$D$23, IF(BM21="Series B", Assumptions!$D$28, 0))</f>
        <v>0</v>
      </c>
      <c r="BN26" s="79">
        <f>IF(BN21="Series A", Assumptions!$D$23, IF(BN21="Series B", Assumptions!$D$28, 0))</f>
        <v>0</v>
      </c>
      <c r="BO26" s="79">
        <f>IF(BO21="Series A", Assumptions!$D$23, IF(BO21="Series B", Assumptions!$D$28, 0))</f>
        <v>0</v>
      </c>
      <c r="BP26" s="79">
        <f>IF(BP21="Series A", Assumptions!$D$23, IF(BP21="Series B", Assumptions!$D$28, 0))</f>
        <v>0</v>
      </c>
      <c r="BQ26" s="79">
        <f>IF(BQ21="Series A", Assumptions!$D$23, IF(BQ21="Series B", Assumptions!$D$28, 0))</f>
        <v>0</v>
      </c>
      <c r="BR26" s="79">
        <f>IF(BR21="Series A", Assumptions!$D$23, IF(BR21="Series B", Assumptions!$D$28, 0))</f>
        <v>0</v>
      </c>
      <c r="BS26" s="79">
        <f>IF(BS21="Series A", Assumptions!$D$23, IF(BS21="Series B", Assumptions!$D$28, 0))</f>
        <v>0</v>
      </c>
      <c r="BT26" s="79">
        <f>IF(BT21="Series A", Assumptions!$D$23, IF(BT21="Series B", Assumptions!$D$28, 0))</f>
        <v>0</v>
      </c>
      <c r="BU26" s="79">
        <f>IF(BU21="Series A", Assumptions!$D$23, IF(BU21="Series B", Assumptions!$D$28, 0))</f>
        <v>0</v>
      </c>
      <c r="BV26" s="79">
        <f>IF(BV21="Series A", Assumptions!$D$23, IF(BV21="Series B", Assumptions!$D$28, 0))</f>
        <v>0</v>
      </c>
      <c r="BW26" s="79">
        <f>IF(BW21="Series A", Assumptions!$D$23, IF(BW21="Series B", Assumptions!$D$28, 0))</f>
        <v>0</v>
      </c>
      <c r="BX26" s="79">
        <f>IF(BX21="Series A", Assumptions!$D$23, IF(BX21="Series B", Assumptions!$D$28, 0))</f>
        <v>0</v>
      </c>
      <c r="BY26" s="79">
        <f>IF(BY21="Series A", Assumptions!$D$23, IF(BY21="Series B", Assumptions!$D$28, 0))</f>
        <v>0</v>
      </c>
      <c r="BZ26" s="79">
        <f>IF(BZ21="Series A", Assumptions!$D$23, IF(BZ21="Series B", Assumptions!$D$28, 0))</f>
        <v>0</v>
      </c>
      <c r="CA26" s="79">
        <f>IF(CA21="Series A", Assumptions!$D$23, IF(CA21="Series B", Assumptions!$D$28, 0))</f>
        <v>0</v>
      </c>
      <c r="CB26" s="79">
        <f>IF(CB21="Series A", Assumptions!$D$23, IF(CB21="Series B", Assumptions!$D$28, 0))</f>
        <v>0</v>
      </c>
      <c r="CC26" s="79">
        <f>IF(CC21="Series A", Assumptions!$D$23, IF(CC21="Series B", Assumptions!$D$28, 0))</f>
        <v>0</v>
      </c>
      <c r="CD26" s="79">
        <f>IF(CD21="Series A", Assumptions!$D$23, IF(CD21="Series B", Assumptions!$D$28, 0))</f>
        <v>0</v>
      </c>
      <c r="CE26" s="79">
        <f>IF(CE21="Series A", Assumptions!$D$23, IF(CE21="Series B", Assumptions!$D$28, 0))</f>
        <v>0</v>
      </c>
      <c r="CF26" s="79">
        <f>IF(CF21="Series A", Assumptions!$D$23, IF(CF21="Series B", Assumptions!$D$28, 0))</f>
        <v>0</v>
      </c>
      <c r="CG26" s="79">
        <f>IF(CG21="Series A", Assumptions!$D$23, IF(CG21="Series B", Assumptions!$D$28, 0))</f>
        <v>0</v>
      </c>
      <c r="CH26" s="79">
        <f>IF(CH21="Series A", Assumptions!$D$23, IF(CH21="Series B", Assumptions!$D$28, 0))</f>
        <v>0</v>
      </c>
      <c r="CI26" s="79">
        <f>IF(CI21="Series A", Assumptions!$D$23, IF(CI21="Series B", Assumptions!$D$28, 0))</f>
        <v>0</v>
      </c>
      <c r="CJ26" s="79">
        <f>IF(CJ21="Series A", Assumptions!$D$23, IF(CJ21="Series B", Assumptions!$D$28, 0))</f>
        <v>0</v>
      </c>
      <c r="CK26" s="79">
        <f>IF(CK21="Series A", Assumptions!$D$23, IF(CK21="Series B", Assumptions!$D$28, 0))</f>
        <v>0</v>
      </c>
      <c r="CL26" s="79">
        <f>IF(CL21="Series A", Assumptions!$D$23, IF(CL21="Series B", Assumptions!$D$28, 0))</f>
        <v>0</v>
      </c>
      <c r="CM26" s="79">
        <f>IF(CM21="Series A", Assumptions!$D$23, IF(CM21="Series B", Assumptions!$D$28, 0))</f>
        <v>0</v>
      </c>
      <c r="CN26" s="79">
        <f>IF(CN21="Series A", Assumptions!$D$23, IF(CN21="Series B", Assumptions!$D$28, 0))</f>
        <v>0</v>
      </c>
      <c r="CO26" s="79">
        <f>IF(CO21="Series A", Assumptions!$D$23, IF(CO21="Series B", Assumptions!$D$28, 0))</f>
        <v>0</v>
      </c>
      <c r="CP26" s="79">
        <f>IF(CP21="Series A", Assumptions!$D$23, IF(CP21="Series B", Assumptions!$D$28, 0))</f>
        <v>0</v>
      </c>
      <c r="CQ26" s="79">
        <f>IF(CQ21="Series A", Assumptions!$D$23, IF(CQ21="Series B", Assumptions!$D$28, 0))</f>
        <v>0</v>
      </c>
      <c r="CR26" s="79">
        <f>IF(CR21="Series A", Assumptions!$D$23, IF(CR21="Series B", Assumptions!$D$28, 0))</f>
        <v>0</v>
      </c>
      <c r="CS26" s="79">
        <f>IF(CS21="Series A", Assumptions!$D$23, IF(CS21="Series B", Assumptions!$D$28, 0))</f>
        <v>0</v>
      </c>
      <c r="CT26" s="79">
        <f>IF(CT21="Series A", Assumptions!$D$23, IF(CT21="Series B", Assumptions!$D$28, 0))</f>
        <v>0</v>
      </c>
      <c r="CU26" s="79">
        <f>IF(CU21="Series A", Assumptions!$D$23, IF(CU21="Series B", Assumptions!$D$28, 0))</f>
        <v>0</v>
      </c>
      <c r="CV26" s="79">
        <f>IF(CV21="Series A", Assumptions!$D$23, IF(CV21="Series B", Assumptions!$D$28, 0))</f>
        <v>0</v>
      </c>
      <c r="CW26" s="79">
        <f>IF(CW21="Series A", Assumptions!$D$23, IF(CW21="Series B", Assumptions!$D$28, 0))</f>
        <v>0</v>
      </c>
      <c r="CX26" s="79">
        <f>IF(CX21="Series A", Assumptions!$D$23, IF(CX21="Series B", Assumptions!$D$28, 0))</f>
        <v>0</v>
      </c>
      <c r="CY26" s="79">
        <f>IF(CY21="Series A", Assumptions!$D$23, IF(CY21="Series B", Assumptions!$D$28, 0))</f>
        <v>0</v>
      </c>
      <c r="CZ26" s="79">
        <f>IF(CZ21="Series A", Assumptions!$D$23, IF(CZ21="Series B", Assumptions!$D$28, 0))</f>
        <v>0</v>
      </c>
      <c r="DA26" s="79">
        <f>IF(DA21="Series A", Assumptions!$D$23, IF(DA21="Series B", Assumptions!$D$28, 0))</f>
        <v>0</v>
      </c>
      <c r="DB26" s="79">
        <f>IF(DB21="Series A", Assumptions!$D$23, IF(DB21="Series B", Assumptions!$D$28, 0))</f>
        <v>0</v>
      </c>
      <c r="DC26" s="79">
        <f>IF(DC21="Series A", Assumptions!$D$23, IF(DC21="Series B", Assumptions!$D$28, 0))</f>
        <v>0</v>
      </c>
      <c r="DD26" s="79">
        <f>IF(DD21="Series A", Assumptions!$D$23, IF(DD21="Series B", Assumptions!$D$28, 0))</f>
        <v>0</v>
      </c>
      <c r="DE26" s="79">
        <f>IF(DE21="Series A", Assumptions!$D$23, IF(DE21="Series B", Assumptions!$D$28, 0))</f>
        <v>0</v>
      </c>
      <c r="DF26" s="79">
        <f>IF(DF21="Series A", Assumptions!$D$23, IF(DF21="Series B", Assumptions!$D$28, 0))</f>
        <v>0</v>
      </c>
      <c r="DG26" s="79">
        <f>IF(DG21="Series A", Assumptions!$D$23, IF(DG21="Series B", Assumptions!$D$28, 0))</f>
        <v>0</v>
      </c>
      <c r="DH26" s="79">
        <f>IF(DH21="Series A", Assumptions!$D$23, IF(DH21="Series B", Assumptions!$D$28, 0))</f>
        <v>0</v>
      </c>
      <c r="DI26" s="79">
        <f>IF(DI21="Series A", Assumptions!$D$23, IF(DI21="Series B", Assumptions!$D$28, 0))</f>
        <v>0</v>
      </c>
      <c r="DJ26" s="79">
        <f>IF(DJ21="Series A", Assumptions!$D$23, IF(DJ21="Series B", Assumptions!$D$28, 0))</f>
        <v>0</v>
      </c>
      <c r="DK26" s="79">
        <f>IF(DK21="Series A", Assumptions!$D$23, IF(DK21="Series B", Assumptions!$D$28, 0))</f>
        <v>0</v>
      </c>
      <c r="DL26" s="79">
        <f>IF(DL21="Series A", Assumptions!$D$23, IF(DL21="Series B", Assumptions!$D$28, 0))</f>
        <v>0</v>
      </c>
      <c r="DM26" s="79">
        <f>IF(DM21="Series A", Assumptions!$D$23, IF(DM21="Series B", Assumptions!$D$28, 0))</f>
        <v>0</v>
      </c>
      <c r="DN26" s="79">
        <f>IF(DN21="Series A", Assumptions!$D$23, IF(DN21="Series B", Assumptions!$D$28, 0))</f>
        <v>0</v>
      </c>
      <c r="DO26" s="79">
        <f>IF(DO21="Series A", Assumptions!$D$23, IF(DO21="Series B", Assumptions!$D$28, 0))</f>
        <v>0</v>
      </c>
      <c r="DP26" s="79">
        <f>IF(DP21="Series A", Assumptions!$D$23, IF(DP21="Series B", Assumptions!$D$28, 0))</f>
        <v>0</v>
      </c>
      <c r="DQ26" s="79">
        <f>IF(DQ21="Series A", Assumptions!$D$23, IF(DQ21="Series B", Assumptions!$D$28, 0))</f>
        <v>0</v>
      </c>
      <c r="DR26" s="79">
        <f>IF(DR21="Series A", Assumptions!$D$23, IF(DR21="Series B", Assumptions!$D$28, 0))</f>
        <v>0</v>
      </c>
      <c r="DS26" s="79">
        <f>IF(DS21="Series A", Assumptions!$D$23, IF(DS21="Series B", Assumptions!$D$28, 0))</f>
        <v>0</v>
      </c>
      <c r="DT26" s="79">
        <f>IF(DT21="Series A", Assumptions!$D$23, IF(DT21="Series B", Assumptions!$D$28, 0))</f>
        <v>0</v>
      </c>
      <c r="DU26" s="79">
        <f>IF(DU21="Series A", Assumptions!$D$23, IF(DU21="Series B", Assumptions!$D$28, 0))</f>
        <v>0</v>
      </c>
      <c r="DV26" s="79">
        <f>IF(DV21="Series A", Assumptions!$D$23, IF(DV21="Series B", Assumptions!$D$28, 0))</f>
        <v>0</v>
      </c>
      <c r="DW26" s="79">
        <f>IF(DW21="Series A", Assumptions!$D$23, IF(DW21="Series B", Assumptions!$D$28, 0))</f>
        <v>0</v>
      </c>
      <c r="DX26" s="79">
        <f>IF(DX21="Series A", Assumptions!$D$23, IF(DX21="Series B", Assumptions!$D$28, 0))</f>
        <v>0</v>
      </c>
      <c r="DY26" s="79">
        <f>IF(DY21="Series A", Assumptions!$D$23, IF(DY21="Series B", Assumptions!$D$28, 0))</f>
        <v>0</v>
      </c>
      <c r="DZ26" s="79">
        <f>IF(DZ21="Series A", Assumptions!$D$23, IF(DZ21="Series B", Assumptions!$D$28, 0))</f>
        <v>0</v>
      </c>
      <c r="EA26" s="79">
        <f>IF(EA21="Series A", Assumptions!$D$23, IF(EA21="Series B", Assumptions!$D$28, 0))</f>
        <v>0</v>
      </c>
      <c r="EB26" s="79">
        <f>IF(EB21="Series A", Assumptions!$D$23, IF(EB21="Series B", Assumptions!$D$28, 0))</f>
        <v>0</v>
      </c>
      <c r="EC26" s="79">
        <f>IF(EC21="Series A", Assumptions!$D$23, IF(EC21="Series B", Assumptions!$D$28, 0))</f>
        <v>0</v>
      </c>
      <c r="ED26" s="79">
        <f>IF(ED21="Series A", Assumptions!$D$23, IF(ED21="Series B", Assumptions!$D$28, 0))</f>
        <v>0</v>
      </c>
      <c r="EE26" s="79">
        <f>IF(EE21="Series A", Assumptions!$D$23, IF(EE21="Series B", Assumptions!$D$28, 0))</f>
        <v>0</v>
      </c>
      <c r="EF26" s="79">
        <f>IF(EF21="Series A", Assumptions!$D$23, IF(EF21="Series B", Assumptions!$D$28, 0))</f>
        <v>0</v>
      </c>
      <c r="EG26" s="79">
        <f>IF(EG21="Series A", Assumptions!$D$23, IF(EG21="Series B", Assumptions!$D$28, 0))</f>
        <v>0</v>
      </c>
      <c r="EH26" s="79">
        <f>IF(EH21="Series A", Assumptions!$D$23, IF(EH21="Series B", Assumptions!$D$28, 0))</f>
        <v>0</v>
      </c>
      <c r="EI26" s="79">
        <f>IF(EI21="Series A", Assumptions!$D$23, IF(EI21="Series B", Assumptions!$D$28, 0))</f>
        <v>0</v>
      </c>
      <c r="EJ26" s="79">
        <f>IF(EJ21="Series A", Assumptions!$D$23, IF(EJ21="Series B", Assumptions!$D$28, 0))</f>
        <v>0</v>
      </c>
      <c r="EK26" s="79">
        <f>IF(EK21="Series A", Assumptions!$D$23, IF(EK21="Series B", Assumptions!$D$28, 0))</f>
        <v>0</v>
      </c>
      <c r="EL26" s="79">
        <f>IF(EL21="Series A", Assumptions!$D$23, IF(EL21="Series B", Assumptions!$D$28, 0))</f>
        <v>0</v>
      </c>
      <c r="EM26" s="79">
        <f>IF(EM21="Series A", Assumptions!$D$23, IF(EM21="Series B", Assumptions!$D$28, 0))</f>
        <v>0</v>
      </c>
      <c r="EN26" s="79">
        <f>IF(EN21="Series A", Assumptions!$D$23, IF(EN21="Series B", Assumptions!$D$28, 0))</f>
        <v>0</v>
      </c>
      <c r="EO26" s="79">
        <f>IF(EO21="Series A", Assumptions!$D$23, IF(EO21="Series B", Assumptions!$D$28, 0))</f>
        <v>0</v>
      </c>
      <c r="EP26" s="79">
        <f>IF(EP21="Series A", Assumptions!$D$23, IF(EP21="Series B", Assumptions!$D$28, 0))</f>
        <v>0</v>
      </c>
      <c r="EQ26" s="79">
        <f>IF(EQ21="Series A", Assumptions!$D$23, IF(EQ21="Series B", Assumptions!$D$28, 0))</f>
        <v>0</v>
      </c>
      <c r="ER26" s="79">
        <f>IF(ER21="Series A", Assumptions!$D$23, IF(ER21="Series B", Assumptions!$D$28, 0))</f>
        <v>0</v>
      </c>
      <c r="ES26" s="79">
        <f>IF(ES21="Series A", Assumptions!$D$23, IF(ES21="Series B", Assumptions!$D$28, 0))</f>
        <v>0</v>
      </c>
      <c r="ET26" s="79">
        <f>IF(ET21="Series A", Assumptions!$D$23, IF(ET21="Series B", Assumptions!$D$28, 0))</f>
        <v>0</v>
      </c>
      <c r="EU26" s="79">
        <f>IF(EU21="Series A", Assumptions!$D$23, IF(EU21="Series B", Assumptions!$D$28, 0))</f>
        <v>0</v>
      </c>
      <c r="EV26" s="79">
        <f>IF(EV21="Series A", Assumptions!$D$23, IF(EV21="Series B", Assumptions!$D$28, 0))</f>
        <v>0</v>
      </c>
      <c r="EW26" s="79">
        <f>IF(EW21="Series A", Assumptions!$D$23, IF(EW21="Series B", Assumptions!$D$28, 0))</f>
        <v>0</v>
      </c>
      <c r="EX26" s="79">
        <f>IF(EX21="Series A", Assumptions!$D$23, IF(EX21="Series B", Assumptions!$D$28, 0))</f>
        <v>0</v>
      </c>
      <c r="EY26" s="79">
        <f>IF(EY21="Series A", Assumptions!$D$23, IF(EY21="Series B", Assumptions!$D$28, 0))</f>
        <v>0</v>
      </c>
      <c r="EZ26" s="79">
        <f>IF(EZ21="Series A", Assumptions!$D$23, IF(EZ21="Series B", Assumptions!$D$28, 0))</f>
        <v>0</v>
      </c>
      <c r="FA26" s="79">
        <f>IF(FA21="Series A", Assumptions!$D$23, IF(FA21="Series B", Assumptions!$D$28, 0))</f>
        <v>0</v>
      </c>
      <c r="FB26" s="79">
        <f>IF(FB21="Series A", Assumptions!$D$23, IF(FB21="Series B", Assumptions!$D$28, 0))</f>
        <v>0</v>
      </c>
      <c r="FC26" s="79">
        <f>IF(FC21="Series A", Assumptions!$D$23, IF(FC21="Series B", Assumptions!$D$28, 0))</f>
        <v>0</v>
      </c>
      <c r="FD26" s="79">
        <f>IF(FD21="Series A", Assumptions!$D$23, IF(FD21="Series B", Assumptions!$D$28, 0))</f>
        <v>0</v>
      </c>
      <c r="FE26" s="79">
        <f>IF(FE21="Series A", Assumptions!$D$23, IF(FE21="Series B", Assumptions!$D$28, 0))</f>
        <v>0</v>
      </c>
      <c r="FF26" s="79">
        <f>IF(FF21="Series A", Assumptions!$D$23, IF(FF21="Series B", Assumptions!$D$28, 0))</f>
        <v>0</v>
      </c>
      <c r="FG26" s="79">
        <f>IF(FG21="Series A", Assumptions!$D$23, IF(FG21="Series B", Assumptions!$D$28, 0))</f>
        <v>0</v>
      </c>
      <c r="FH26" s="79">
        <f>IF(FH21="Series A", Assumptions!$D$23, IF(FH21="Series B", Assumptions!$D$28, 0))</f>
        <v>0</v>
      </c>
      <c r="FI26" s="79">
        <f>IF(FI21="Series A", Assumptions!$D$23, IF(FI21="Series B", Assumptions!$D$28, 0))</f>
        <v>0</v>
      </c>
      <c r="FJ26" s="79">
        <f>IF(FJ21="Series A", Assumptions!$D$23, IF(FJ21="Series B", Assumptions!$D$28, 0))</f>
        <v>0</v>
      </c>
      <c r="FK26" s="79">
        <f>IF(FK21="Series A", Assumptions!$D$23, IF(FK21="Series B", Assumptions!$D$28, 0))</f>
        <v>0</v>
      </c>
      <c r="FL26" s="79">
        <f>IF(FL21="Series A", Assumptions!$D$23, IF(FL21="Series B", Assumptions!$D$28, 0))</f>
        <v>0</v>
      </c>
      <c r="FM26" s="79">
        <f>IF(FM21="Series A", Assumptions!$D$23, IF(FM21="Series B", Assumptions!$D$28, 0))</f>
        <v>0</v>
      </c>
      <c r="FN26" s="79">
        <f>IF(FN21="Series A", Assumptions!$D$23, IF(FN21="Series B", Assumptions!$D$28, 0))</f>
        <v>0</v>
      </c>
      <c r="FO26" s="79">
        <f>IF(FO21="Series A", Assumptions!$D$23, IF(FO21="Series B", Assumptions!$D$28, 0))</f>
        <v>0</v>
      </c>
      <c r="FP26" s="79">
        <f>IF(FP21="Series A", Assumptions!$D$23, IF(FP21="Series B", Assumptions!$D$28, 0))</f>
        <v>0</v>
      </c>
      <c r="FQ26" s="79">
        <f>IF(FQ21="Series A", Assumptions!$D$23, IF(FQ21="Series B", Assumptions!$D$28, 0))</f>
        <v>0</v>
      </c>
      <c r="FR26" s="79">
        <f>IF(FR21="Series A", Assumptions!$D$23, IF(FR21="Series B", Assumptions!$D$28, 0))</f>
        <v>0</v>
      </c>
      <c r="FS26" s="79">
        <f>IF(FS21="Series A", Assumptions!$D$23, IF(FS21="Series B", Assumptions!$D$28, 0))</f>
        <v>0</v>
      </c>
      <c r="FT26" s="79">
        <f>IF(FT21="Series A", Assumptions!$D$23, IF(FT21="Series B", Assumptions!$D$28, 0))</f>
        <v>0</v>
      </c>
      <c r="FU26" s="79">
        <f>IF(FU21="Series A", Assumptions!$D$23, IF(FU21="Series B", Assumptions!$D$28, 0))</f>
        <v>0</v>
      </c>
      <c r="FV26" s="79">
        <f>IF(FV21="Series A", Assumptions!$D$23, IF(FV21="Series B", Assumptions!$D$28, 0))</f>
        <v>0</v>
      </c>
      <c r="FW26" s="79">
        <f>IF(FW21="Series A", Assumptions!$D$23, IF(FW21="Series B", Assumptions!$D$28, 0))</f>
        <v>0</v>
      </c>
      <c r="FX26" s="79">
        <f>IF(FX21="Series A", Assumptions!$D$23, IF(FX21="Series B", Assumptions!$D$28, 0))</f>
        <v>0</v>
      </c>
      <c r="FY26" s="79">
        <f>IF(FY21="Series A", Assumptions!$D$23, IF(FY21="Series B", Assumptions!$D$28, 0))</f>
        <v>0</v>
      </c>
      <c r="FZ26" s="79">
        <f>IF(FZ21="Series A", Assumptions!$D$23, IF(FZ21="Series B", Assumptions!$D$28, 0))</f>
        <v>0</v>
      </c>
      <c r="GA26" s="79">
        <f>IF(GA21="Series A", Assumptions!$D$23, IF(GA21="Series B", Assumptions!$D$28, 0))</f>
        <v>0</v>
      </c>
      <c r="GB26" s="79">
        <f>IF(GB21="Series A", Assumptions!$D$23, IF(GB21="Series B", Assumptions!$D$28, 0))</f>
        <v>0</v>
      </c>
      <c r="GC26" s="79">
        <f>IF(GC21="Series A", Assumptions!$D$23, IF(GC21="Series B", Assumptions!$D$28, 0))</f>
        <v>0</v>
      </c>
    </row>
    <row r="27" spans="1:185">
      <c r="A27" s="80"/>
      <c r="B27" s="80"/>
      <c r="C27" s="80"/>
      <c r="D27" s="10"/>
      <c r="E27" s="96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  <c r="CH27" s="97"/>
      <c r="CI27" s="97"/>
      <c r="CJ27" s="97"/>
      <c r="CK27" s="97"/>
      <c r="CL27" s="97"/>
      <c r="CM27" s="97"/>
      <c r="CN27" s="97"/>
      <c r="CO27" s="97"/>
      <c r="CP27" s="97"/>
      <c r="CQ27" s="97"/>
      <c r="CR27" s="97"/>
      <c r="CS27" s="97"/>
      <c r="CT27" s="97"/>
      <c r="CU27" s="97"/>
      <c r="CV27" s="97"/>
      <c r="CW27" s="97"/>
      <c r="CX27" s="97"/>
      <c r="CY27" s="97"/>
      <c r="CZ27" s="97"/>
      <c r="DA27" s="97"/>
      <c r="DB27" s="97"/>
      <c r="DC27" s="97"/>
      <c r="DD27" s="97"/>
      <c r="DE27" s="97"/>
      <c r="DF27" s="97"/>
      <c r="DG27" s="97"/>
      <c r="DH27" s="97"/>
      <c r="DI27" s="97"/>
      <c r="DJ27" s="97"/>
      <c r="DK27" s="97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7"/>
      <c r="DX27" s="97"/>
      <c r="DY27" s="97"/>
      <c r="DZ27" s="97"/>
      <c r="EA27" s="97"/>
      <c r="EB27" s="97"/>
      <c r="EC27" s="97"/>
      <c r="ED27" s="97"/>
      <c r="EE27" s="97"/>
      <c r="EF27" s="97"/>
      <c r="EG27" s="97"/>
      <c r="EH27" s="97"/>
      <c r="EI27" s="97"/>
      <c r="EJ27" s="97"/>
      <c r="EK27" s="97"/>
      <c r="EL27" s="97"/>
      <c r="EM27" s="97"/>
      <c r="EN27" s="97"/>
      <c r="EO27" s="97"/>
      <c r="EP27" s="97"/>
      <c r="EQ27" s="97"/>
      <c r="ER27" s="97"/>
      <c r="ES27" s="97"/>
      <c r="ET27" s="97"/>
      <c r="EU27" s="97"/>
      <c r="EV27" s="97"/>
      <c r="EW27" s="97"/>
      <c r="EX27" s="97"/>
      <c r="EY27" s="97"/>
      <c r="EZ27" s="97"/>
      <c r="FA27" s="97"/>
      <c r="FB27" s="97"/>
      <c r="FC27" s="97"/>
      <c r="FD27" s="97"/>
      <c r="FE27" s="97"/>
      <c r="FF27" s="97"/>
      <c r="FG27" s="97"/>
      <c r="FH27" s="97"/>
      <c r="FI27" s="97"/>
      <c r="FJ27" s="97"/>
      <c r="FK27" s="97"/>
      <c r="FL27" s="97"/>
      <c r="FM27" s="97"/>
      <c r="FN27" s="97"/>
      <c r="FO27" s="97"/>
      <c r="FP27" s="97"/>
      <c r="FQ27" s="97"/>
      <c r="FR27" s="97"/>
      <c r="FS27" s="97"/>
      <c r="FT27" s="97"/>
      <c r="FU27" s="97"/>
      <c r="FV27" s="97"/>
      <c r="FW27" s="97"/>
      <c r="FX27" s="97"/>
      <c r="FY27" s="97"/>
      <c r="FZ27" s="97"/>
      <c r="GA27" s="97"/>
      <c r="GB27" s="97"/>
      <c r="GC27" s="97"/>
    </row>
    <row r="28" spans="1:185">
      <c r="A28" s="121" t="s">
        <v>81</v>
      </c>
      <c r="B28" s="80"/>
      <c r="C28" s="80"/>
      <c r="D28" s="10"/>
      <c r="E28" s="96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7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97"/>
      <c r="DN28" s="97"/>
      <c r="DO28" s="97"/>
      <c r="DP28" s="97"/>
      <c r="DQ28" s="97"/>
      <c r="DR28" s="97"/>
      <c r="DS28" s="97"/>
      <c r="DT28" s="97"/>
      <c r="DU28" s="97"/>
      <c r="DV28" s="97"/>
      <c r="DW28" s="97"/>
      <c r="DX28" s="97"/>
      <c r="DY28" s="97"/>
      <c r="DZ28" s="97"/>
      <c r="EA28" s="97"/>
      <c r="EB28" s="97"/>
      <c r="EC28" s="97"/>
      <c r="ED28" s="97"/>
      <c r="EE28" s="97"/>
      <c r="EF28" s="97"/>
      <c r="EG28" s="97"/>
      <c r="EH28" s="97"/>
      <c r="EI28" s="97"/>
      <c r="EJ28" s="97"/>
      <c r="EK28" s="97"/>
      <c r="EL28" s="97"/>
      <c r="EM28" s="97"/>
      <c r="EN28" s="97"/>
      <c r="EO28" s="97"/>
      <c r="EP28" s="97"/>
      <c r="EQ28" s="97"/>
      <c r="ER28" s="97"/>
      <c r="ES28" s="97"/>
      <c r="ET28" s="97"/>
      <c r="EU28" s="97"/>
      <c r="EV28" s="97"/>
      <c r="EW28" s="97"/>
      <c r="EX28" s="97"/>
      <c r="EY28" s="97"/>
      <c r="EZ28" s="97"/>
      <c r="FA28" s="97"/>
      <c r="FB28" s="97"/>
      <c r="FC28" s="97"/>
      <c r="FD28" s="97"/>
      <c r="FE28" s="97"/>
      <c r="FF28" s="97"/>
      <c r="FG28" s="97"/>
      <c r="FH28" s="97"/>
      <c r="FI28" s="97"/>
      <c r="FJ28" s="97"/>
      <c r="FK28" s="97"/>
      <c r="FL28" s="97"/>
      <c r="FM28" s="97"/>
      <c r="FN28" s="97"/>
      <c r="FO28" s="97"/>
      <c r="FP28" s="97"/>
      <c r="FQ28" s="97"/>
      <c r="FR28" s="97"/>
      <c r="FS28" s="97"/>
      <c r="FT28" s="97"/>
      <c r="FU28" s="97"/>
      <c r="FV28" s="97"/>
      <c r="FW28" s="97"/>
      <c r="FX28" s="97"/>
      <c r="FY28" s="97"/>
      <c r="FZ28" s="97"/>
      <c r="GA28" s="97"/>
      <c r="GB28" s="97"/>
      <c r="GC28" s="97"/>
    </row>
    <row r="29" spans="1:185">
      <c r="A29" s="80"/>
      <c r="B29" s="80"/>
      <c r="C29" s="80"/>
      <c r="D29" s="10"/>
      <c r="E29" s="96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7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97"/>
      <c r="DN29" s="97"/>
      <c r="DO29" s="97"/>
      <c r="DP29" s="97"/>
      <c r="DQ29" s="97"/>
      <c r="DR29" s="97"/>
      <c r="DS29" s="97"/>
      <c r="DT29" s="97"/>
      <c r="DU29" s="97"/>
      <c r="DV29" s="97"/>
      <c r="DW29" s="97"/>
      <c r="DX29" s="97"/>
      <c r="DY29" s="97"/>
      <c r="DZ29" s="97"/>
      <c r="EA29" s="97"/>
      <c r="EB29" s="97"/>
      <c r="EC29" s="97"/>
      <c r="ED29" s="97"/>
      <c r="EE29" s="97"/>
      <c r="EF29" s="97"/>
      <c r="EG29" s="97"/>
      <c r="EH29" s="97"/>
      <c r="EI29" s="97"/>
      <c r="EJ29" s="97"/>
      <c r="EK29" s="97"/>
      <c r="EL29" s="97"/>
      <c r="EM29" s="97"/>
      <c r="EN29" s="97"/>
      <c r="EO29" s="97"/>
      <c r="EP29" s="97"/>
      <c r="EQ29" s="97"/>
      <c r="ER29" s="97"/>
      <c r="ES29" s="97"/>
      <c r="ET29" s="97"/>
      <c r="EU29" s="97"/>
      <c r="EV29" s="97"/>
      <c r="EW29" s="97"/>
      <c r="EX29" s="97"/>
      <c r="EY29" s="97"/>
      <c r="EZ29" s="97"/>
      <c r="FA29" s="97"/>
      <c r="FB29" s="97"/>
      <c r="FC29" s="97"/>
      <c r="FD29" s="97"/>
      <c r="FE29" s="97"/>
      <c r="FF29" s="97"/>
      <c r="FG29" s="97"/>
      <c r="FH29" s="97"/>
      <c r="FI29" s="97"/>
      <c r="FJ29" s="97"/>
      <c r="FK29" s="97"/>
      <c r="FL29" s="97"/>
      <c r="FM29" s="97"/>
      <c r="FN29" s="97"/>
      <c r="FO29" s="97"/>
      <c r="FP29" s="97"/>
      <c r="FQ29" s="97"/>
      <c r="FR29" s="97"/>
      <c r="FS29" s="97"/>
      <c r="FT29" s="97"/>
      <c r="FU29" s="97"/>
      <c r="FV29" s="97"/>
      <c r="FW29" s="97"/>
      <c r="FX29" s="97"/>
      <c r="FY29" s="97"/>
      <c r="FZ29" s="97"/>
      <c r="GA29" s="97"/>
      <c r="GB29" s="97"/>
      <c r="GC29" s="97"/>
    </row>
    <row r="30" spans="1:185">
      <c r="A30" s="80"/>
      <c r="B30" s="120" t="s">
        <v>82</v>
      </c>
      <c r="C30" s="80"/>
      <c r="D30" s="10"/>
      <c r="E30" s="82">
        <f t="shared" ref="E30:E34" si="13">SUM(F30:GC30)</f>
        <v>7290597.9999999991</v>
      </c>
      <c r="F30" s="97">
        <f>SUM(_xlfn.IFNA(_xlfn.XLOOKUP(Assumptions!D$81, '1 Machine Build'!$F$11:$Q$11, '1 Machine Build'!$F12:$Q12), 0), _xlfn.IFNA(_xlfn.XLOOKUP(Assumptions!D$82, '1 Machine Build'!$F$11:$Q$11, '1 Machine Build'!$F12:$Q12), 0), _xlfn.IFNA(_xlfn.XLOOKUP(Assumptions!D$83, '1 Machine Build'!$F$11:$Q$11, '1 Machine Build'!$F12:$Q12), 0), _xlfn.IFNA(_xlfn.XLOOKUP(Assumptions!D$84, '1 Machine Build'!$F$11:$Q$11, '1 Machine Build'!$F12:$Q12), 0), _xlfn.IFNA(_xlfn.XLOOKUP(Assumptions!D$85, '1 Machine Build'!$F$11:$Q$11, '1 Machine Build'!$F12:$Q12), 0), _xlfn.IFNA(_xlfn.XLOOKUP(Assumptions!D$86, '1 Machine Build'!$F$11:$Q$11, '1 Machine Build'!$F12:$Q12), 0), _xlfn.IFNA(_xlfn.XLOOKUP(Assumptions!D$87, '1 Machine Build'!$F$11:$Q$11, '1 Machine Build'!$F12:$Q12), 0), _xlfn.IFNA(_xlfn.XLOOKUP(Assumptions!D$88, '1 Machine Build'!$F$11:$Q$11, '1 Machine Build'!$F12:$Q12), 0))</f>
        <v>4200199.333333333</v>
      </c>
      <c r="G30" s="97">
        <f>SUM(_xlfn.IFNA(_xlfn.XLOOKUP(Assumptions!E$81, '1 Machine Build'!$F$11:$Q$11, '1 Machine Build'!$F12:$Q12), 0), _xlfn.IFNA(_xlfn.XLOOKUP(Assumptions!E$82, '1 Machine Build'!$F$11:$Q$11, '1 Machine Build'!$F12:$Q12), 0), _xlfn.IFNA(_xlfn.XLOOKUP(Assumptions!E$83, '1 Machine Build'!$F$11:$Q$11, '1 Machine Build'!$F12:$Q12), 0), _xlfn.IFNA(_xlfn.XLOOKUP(Assumptions!E$84, '1 Machine Build'!$F$11:$Q$11, '1 Machine Build'!$F12:$Q12), 0), _xlfn.IFNA(_xlfn.XLOOKUP(Assumptions!E$85, '1 Machine Build'!$F$11:$Q$11, '1 Machine Build'!$F12:$Q12), 0), _xlfn.IFNA(_xlfn.XLOOKUP(Assumptions!E$86, '1 Machine Build'!$F$11:$Q$11, '1 Machine Build'!$F12:$Q12), 0), _xlfn.IFNA(_xlfn.XLOOKUP(Assumptions!E$87, '1 Machine Build'!$F$11:$Q$11, '1 Machine Build'!$F12:$Q12), 0), _xlfn.IFNA(_xlfn.XLOOKUP(Assumptions!E$88, '1 Machine Build'!$F$11:$Q$11, '1 Machine Build'!$F12:$Q12), 0))</f>
        <v>1698949.3333333333</v>
      </c>
      <c r="H30" s="97">
        <f>SUM(_xlfn.IFNA(_xlfn.XLOOKUP(Assumptions!F$81, '1 Machine Build'!$F$11:$Q$11, '1 Machine Build'!$F12:$Q12), 0), _xlfn.IFNA(_xlfn.XLOOKUP(Assumptions!F$82, '1 Machine Build'!$F$11:$Q$11, '1 Machine Build'!$F12:$Q12), 0), _xlfn.IFNA(_xlfn.XLOOKUP(Assumptions!F$83, '1 Machine Build'!$F$11:$Q$11, '1 Machine Build'!$F12:$Q12), 0), _xlfn.IFNA(_xlfn.XLOOKUP(Assumptions!F$84, '1 Machine Build'!$F$11:$Q$11, '1 Machine Build'!$F12:$Q12), 0), _xlfn.IFNA(_xlfn.XLOOKUP(Assumptions!F$85, '1 Machine Build'!$F$11:$Q$11, '1 Machine Build'!$F12:$Q12), 0), _xlfn.IFNA(_xlfn.XLOOKUP(Assumptions!F$86, '1 Machine Build'!$F$11:$Q$11, '1 Machine Build'!$F12:$Q12), 0), _xlfn.IFNA(_xlfn.XLOOKUP(Assumptions!F$87, '1 Machine Build'!$F$11:$Q$11, '1 Machine Build'!$F12:$Q12), 0), _xlfn.IFNA(_xlfn.XLOOKUP(Assumptions!F$88, '1 Machine Build'!$F$11:$Q$11, '1 Machine Build'!$F12:$Q12), 0))</f>
        <v>1391449.3333333333</v>
      </c>
      <c r="I30" s="97">
        <f>SUM(_xlfn.IFNA(_xlfn.XLOOKUP(Assumptions!G$81, '1 Machine Build'!$F$11:$Q$11, '1 Machine Build'!$F12:$Q12), 0), _xlfn.IFNA(_xlfn.XLOOKUP(Assumptions!G$82, '1 Machine Build'!$F$11:$Q$11, '1 Machine Build'!$F12:$Q12), 0), _xlfn.IFNA(_xlfn.XLOOKUP(Assumptions!G$83, '1 Machine Build'!$F$11:$Q$11, '1 Machine Build'!$F12:$Q12), 0), _xlfn.IFNA(_xlfn.XLOOKUP(Assumptions!G$84, '1 Machine Build'!$F$11:$Q$11, '1 Machine Build'!$F12:$Q12), 0), _xlfn.IFNA(_xlfn.XLOOKUP(Assumptions!G$85, '1 Machine Build'!$F$11:$Q$11, '1 Machine Build'!$F12:$Q12), 0), _xlfn.IFNA(_xlfn.XLOOKUP(Assumptions!G$86, '1 Machine Build'!$F$11:$Q$11, '1 Machine Build'!$F12:$Q12), 0), _xlfn.IFNA(_xlfn.XLOOKUP(Assumptions!G$87, '1 Machine Build'!$F$11:$Q$11, '1 Machine Build'!$F12:$Q12), 0), _xlfn.IFNA(_xlfn.XLOOKUP(Assumptions!G$88, '1 Machine Build'!$F$11:$Q$11, '1 Machine Build'!$F12:$Q12), 0))</f>
        <v>0</v>
      </c>
      <c r="J30" s="97">
        <f>SUM(_xlfn.IFNA(_xlfn.XLOOKUP(Assumptions!H$81, '1 Machine Build'!$F$11:$Q$11, '1 Machine Build'!$F12:$Q12), 0), _xlfn.IFNA(_xlfn.XLOOKUP(Assumptions!H$82, '1 Machine Build'!$F$11:$Q$11, '1 Machine Build'!$F12:$Q12), 0), _xlfn.IFNA(_xlfn.XLOOKUP(Assumptions!H$83, '1 Machine Build'!$F$11:$Q$11, '1 Machine Build'!$F12:$Q12), 0), _xlfn.IFNA(_xlfn.XLOOKUP(Assumptions!H$84, '1 Machine Build'!$F$11:$Q$11, '1 Machine Build'!$F12:$Q12), 0), _xlfn.IFNA(_xlfn.XLOOKUP(Assumptions!H$85, '1 Machine Build'!$F$11:$Q$11, '1 Machine Build'!$F12:$Q12), 0), _xlfn.IFNA(_xlfn.XLOOKUP(Assumptions!H$86, '1 Machine Build'!$F$11:$Q$11, '1 Machine Build'!$F12:$Q12), 0), _xlfn.IFNA(_xlfn.XLOOKUP(Assumptions!H$87, '1 Machine Build'!$F$11:$Q$11, '1 Machine Build'!$F12:$Q12), 0), _xlfn.IFNA(_xlfn.XLOOKUP(Assumptions!H$88, '1 Machine Build'!$F$11:$Q$11, '1 Machine Build'!$F12:$Q12), 0))</f>
        <v>0</v>
      </c>
      <c r="K30" s="97">
        <f>SUM(_xlfn.IFNA(_xlfn.XLOOKUP(Assumptions!I$81, '1 Machine Build'!$F$11:$Q$11, '1 Machine Build'!$F12:$Q12), 0), _xlfn.IFNA(_xlfn.XLOOKUP(Assumptions!I$82, '1 Machine Build'!$F$11:$Q$11, '1 Machine Build'!$F12:$Q12), 0), _xlfn.IFNA(_xlfn.XLOOKUP(Assumptions!I$83, '1 Machine Build'!$F$11:$Q$11, '1 Machine Build'!$F12:$Q12), 0), _xlfn.IFNA(_xlfn.XLOOKUP(Assumptions!I$84, '1 Machine Build'!$F$11:$Q$11, '1 Machine Build'!$F12:$Q12), 0), _xlfn.IFNA(_xlfn.XLOOKUP(Assumptions!I$85, '1 Machine Build'!$F$11:$Q$11, '1 Machine Build'!$F12:$Q12), 0), _xlfn.IFNA(_xlfn.XLOOKUP(Assumptions!I$86, '1 Machine Build'!$F$11:$Q$11, '1 Machine Build'!$F12:$Q12), 0), _xlfn.IFNA(_xlfn.XLOOKUP(Assumptions!I$87, '1 Machine Build'!$F$11:$Q$11, '1 Machine Build'!$F12:$Q12), 0), _xlfn.IFNA(_xlfn.XLOOKUP(Assumptions!I$88, '1 Machine Build'!$F$11:$Q$11, '1 Machine Build'!$F12:$Q12), 0))</f>
        <v>0</v>
      </c>
      <c r="L30" s="97">
        <f>SUM(_xlfn.IFNA(_xlfn.XLOOKUP(Assumptions!J$81, '1 Machine Build'!$F$11:$Q$11, '1 Machine Build'!$F12:$Q12), 0), _xlfn.IFNA(_xlfn.XLOOKUP(Assumptions!J$82, '1 Machine Build'!$F$11:$Q$11, '1 Machine Build'!$F12:$Q12), 0), _xlfn.IFNA(_xlfn.XLOOKUP(Assumptions!J$83, '1 Machine Build'!$F$11:$Q$11, '1 Machine Build'!$F12:$Q12), 0), _xlfn.IFNA(_xlfn.XLOOKUP(Assumptions!J$84, '1 Machine Build'!$F$11:$Q$11, '1 Machine Build'!$F12:$Q12), 0), _xlfn.IFNA(_xlfn.XLOOKUP(Assumptions!J$85, '1 Machine Build'!$F$11:$Q$11, '1 Machine Build'!$F12:$Q12), 0), _xlfn.IFNA(_xlfn.XLOOKUP(Assumptions!J$86, '1 Machine Build'!$F$11:$Q$11, '1 Machine Build'!$F12:$Q12), 0), _xlfn.IFNA(_xlfn.XLOOKUP(Assumptions!J$87, '1 Machine Build'!$F$11:$Q$11, '1 Machine Build'!$F12:$Q12), 0), _xlfn.IFNA(_xlfn.XLOOKUP(Assumptions!J$88, '1 Machine Build'!$F$11:$Q$11, '1 Machine Build'!$F12:$Q12), 0))</f>
        <v>0</v>
      </c>
      <c r="M30" s="97">
        <f>SUM(_xlfn.IFNA(_xlfn.XLOOKUP(Assumptions!K$81, '1 Machine Build'!$F$11:$Q$11, '1 Machine Build'!$F12:$Q12), 0), _xlfn.IFNA(_xlfn.XLOOKUP(Assumptions!K$82, '1 Machine Build'!$F$11:$Q$11, '1 Machine Build'!$F12:$Q12), 0), _xlfn.IFNA(_xlfn.XLOOKUP(Assumptions!K$83, '1 Machine Build'!$F$11:$Q$11, '1 Machine Build'!$F12:$Q12), 0), _xlfn.IFNA(_xlfn.XLOOKUP(Assumptions!K$84, '1 Machine Build'!$F$11:$Q$11, '1 Machine Build'!$F12:$Q12), 0), _xlfn.IFNA(_xlfn.XLOOKUP(Assumptions!K$85, '1 Machine Build'!$F$11:$Q$11, '1 Machine Build'!$F12:$Q12), 0), _xlfn.IFNA(_xlfn.XLOOKUP(Assumptions!K$86, '1 Machine Build'!$F$11:$Q$11, '1 Machine Build'!$F12:$Q12), 0), _xlfn.IFNA(_xlfn.XLOOKUP(Assumptions!K$87, '1 Machine Build'!$F$11:$Q$11, '1 Machine Build'!$F12:$Q12), 0), _xlfn.IFNA(_xlfn.XLOOKUP(Assumptions!K$88, '1 Machine Build'!$F$11:$Q$11, '1 Machine Build'!$F12:$Q12), 0))</f>
        <v>0</v>
      </c>
      <c r="N30" s="97">
        <f>SUM(_xlfn.IFNA(_xlfn.XLOOKUP(Assumptions!L$81, '1 Machine Build'!$F$11:$Q$11, '1 Machine Build'!$F12:$Q12), 0), _xlfn.IFNA(_xlfn.XLOOKUP(Assumptions!L$82, '1 Machine Build'!$F$11:$Q$11, '1 Machine Build'!$F12:$Q12), 0), _xlfn.IFNA(_xlfn.XLOOKUP(Assumptions!L$83, '1 Machine Build'!$F$11:$Q$11, '1 Machine Build'!$F12:$Q12), 0), _xlfn.IFNA(_xlfn.XLOOKUP(Assumptions!L$84, '1 Machine Build'!$F$11:$Q$11, '1 Machine Build'!$F12:$Q12), 0), _xlfn.IFNA(_xlfn.XLOOKUP(Assumptions!L$85, '1 Machine Build'!$F$11:$Q$11, '1 Machine Build'!$F12:$Q12), 0), _xlfn.IFNA(_xlfn.XLOOKUP(Assumptions!L$86, '1 Machine Build'!$F$11:$Q$11, '1 Machine Build'!$F12:$Q12), 0), _xlfn.IFNA(_xlfn.XLOOKUP(Assumptions!L$87, '1 Machine Build'!$F$11:$Q$11, '1 Machine Build'!$F12:$Q12), 0), _xlfn.IFNA(_xlfn.XLOOKUP(Assumptions!L$88, '1 Machine Build'!$F$11:$Q$11, '1 Machine Build'!$F12:$Q12), 0))</f>
        <v>0</v>
      </c>
      <c r="O30" s="97">
        <f>SUM(_xlfn.IFNA(_xlfn.XLOOKUP(Assumptions!M$81, '1 Machine Build'!$F$11:$Q$11, '1 Machine Build'!$F12:$Q12), 0), _xlfn.IFNA(_xlfn.XLOOKUP(Assumptions!M$82, '1 Machine Build'!$F$11:$Q$11, '1 Machine Build'!$F12:$Q12), 0), _xlfn.IFNA(_xlfn.XLOOKUP(Assumptions!M$83, '1 Machine Build'!$F$11:$Q$11, '1 Machine Build'!$F12:$Q12), 0), _xlfn.IFNA(_xlfn.XLOOKUP(Assumptions!M$84, '1 Machine Build'!$F$11:$Q$11, '1 Machine Build'!$F12:$Q12), 0), _xlfn.IFNA(_xlfn.XLOOKUP(Assumptions!M$85, '1 Machine Build'!$F$11:$Q$11, '1 Machine Build'!$F12:$Q12), 0), _xlfn.IFNA(_xlfn.XLOOKUP(Assumptions!M$86, '1 Machine Build'!$F$11:$Q$11, '1 Machine Build'!$F12:$Q12), 0), _xlfn.IFNA(_xlfn.XLOOKUP(Assumptions!M$87, '1 Machine Build'!$F$11:$Q$11, '1 Machine Build'!$F12:$Q12), 0), _xlfn.IFNA(_xlfn.XLOOKUP(Assumptions!M$88, '1 Machine Build'!$F$11:$Q$11, '1 Machine Build'!$F12:$Q12), 0))</f>
        <v>0</v>
      </c>
      <c r="P30" s="97">
        <f>SUM(_xlfn.IFNA(_xlfn.XLOOKUP(Assumptions!N$81, '1 Machine Build'!$F$11:$Q$11, '1 Machine Build'!$F12:$Q12), 0), _xlfn.IFNA(_xlfn.XLOOKUP(Assumptions!N$82, '1 Machine Build'!$F$11:$Q$11, '1 Machine Build'!$F12:$Q12), 0), _xlfn.IFNA(_xlfn.XLOOKUP(Assumptions!N$83, '1 Machine Build'!$F$11:$Q$11, '1 Machine Build'!$F12:$Q12), 0), _xlfn.IFNA(_xlfn.XLOOKUP(Assumptions!N$84, '1 Machine Build'!$F$11:$Q$11, '1 Machine Build'!$F12:$Q12), 0), _xlfn.IFNA(_xlfn.XLOOKUP(Assumptions!N$85, '1 Machine Build'!$F$11:$Q$11, '1 Machine Build'!$F12:$Q12), 0), _xlfn.IFNA(_xlfn.XLOOKUP(Assumptions!N$86, '1 Machine Build'!$F$11:$Q$11, '1 Machine Build'!$F12:$Q12), 0), _xlfn.IFNA(_xlfn.XLOOKUP(Assumptions!N$87, '1 Machine Build'!$F$11:$Q$11, '1 Machine Build'!$F12:$Q12), 0), _xlfn.IFNA(_xlfn.XLOOKUP(Assumptions!N$88, '1 Machine Build'!$F$11:$Q$11, '1 Machine Build'!$F12:$Q12), 0))</f>
        <v>0</v>
      </c>
      <c r="Q30" s="97">
        <f>SUM(_xlfn.IFNA(_xlfn.XLOOKUP(Assumptions!O$81, '1 Machine Build'!$F$11:$Q$11, '1 Machine Build'!$F12:$Q12), 0), _xlfn.IFNA(_xlfn.XLOOKUP(Assumptions!O$82, '1 Machine Build'!$F$11:$Q$11, '1 Machine Build'!$F12:$Q12), 0), _xlfn.IFNA(_xlfn.XLOOKUP(Assumptions!O$83, '1 Machine Build'!$F$11:$Q$11, '1 Machine Build'!$F12:$Q12), 0), _xlfn.IFNA(_xlfn.XLOOKUP(Assumptions!O$84, '1 Machine Build'!$F$11:$Q$11, '1 Machine Build'!$F12:$Q12), 0), _xlfn.IFNA(_xlfn.XLOOKUP(Assumptions!O$85, '1 Machine Build'!$F$11:$Q$11, '1 Machine Build'!$F12:$Q12), 0), _xlfn.IFNA(_xlfn.XLOOKUP(Assumptions!O$86, '1 Machine Build'!$F$11:$Q$11, '1 Machine Build'!$F12:$Q12), 0), _xlfn.IFNA(_xlfn.XLOOKUP(Assumptions!O$87, '1 Machine Build'!$F$11:$Q$11, '1 Machine Build'!$F12:$Q12), 0), _xlfn.IFNA(_xlfn.XLOOKUP(Assumptions!O$88, '1 Machine Build'!$F$11:$Q$11, '1 Machine Build'!$F12:$Q12), 0))</f>
        <v>0</v>
      </c>
      <c r="R30" s="97">
        <f>SUM(_xlfn.IFNA(_xlfn.XLOOKUP(Assumptions!P$81, '1 Machine Build'!$F$11:$Q$11, '1 Machine Build'!$F12:$Q12), 0), _xlfn.IFNA(_xlfn.XLOOKUP(Assumptions!P$82, '1 Machine Build'!$F$11:$Q$11, '1 Machine Build'!$F12:$Q12), 0), _xlfn.IFNA(_xlfn.XLOOKUP(Assumptions!P$83, '1 Machine Build'!$F$11:$Q$11, '1 Machine Build'!$F12:$Q12), 0), _xlfn.IFNA(_xlfn.XLOOKUP(Assumptions!P$84, '1 Machine Build'!$F$11:$Q$11, '1 Machine Build'!$F12:$Q12), 0), _xlfn.IFNA(_xlfn.XLOOKUP(Assumptions!P$85, '1 Machine Build'!$F$11:$Q$11, '1 Machine Build'!$F12:$Q12), 0), _xlfn.IFNA(_xlfn.XLOOKUP(Assumptions!P$86, '1 Machine Build'!$F$11:$Q$11, '1 Machine Build'!$F12:$Q12), 0), _xlfn.IFNA(_xlfn.XLOOKUP(Assumptions!P$87, '1 Machine Build'!$F$11:$Q$11, '1 Machine Build'!$F12:$Q12), 0), _xlfn.IFNA(_xlfn.XLOOKUP(Assumptions!P$88, '1 Machine Build'!$F$11:$Q$11, '1 Machine Build'!$F12:$Q12), 0))</f>
        <v>0</v>
      </c>
      <c r="S30" s="97">
        <f>SUM(_xlfn.IFNA(_xlfn.XLOOKUP(Assumptions!Q$81, '1 Machine Build'!$F$11:$Q$11, '1 Machine Build'!$F12:$Q12), 0), _xlfn.IFNA(_xlfn.XLOOKUP(Assumptions!Q$82, '1 Machine Build'!$F$11:$Q$11, '1 Machine Build'!$F12:$Q12), 0), _xlfn.IFNA(_xlfn.XLOOKUP(Assumptions!Q$83, '1 Machine Build'!$F$11:$Q$11, '1 Machine Build'!$F12:$Q12), 0), _xlfn.IFNA(_xlfn.XLOOKUP(Assumptions!Q$84, '1 Machine Build'!$F$11:$Q$11, '1 Machine Build'!$F12:$Q12), 0), _xlfn.IFNA(_xlfn.XLOOKUP(Assumptions!Q$85, '1 Machine Build'!$F$11:$Q$11, '1 Machine Build'!$F12:$Q12), 0), _xlfn.IFNA(_xlfn.XLOOKUP(Assumptions!Q$86, '1 Machine Build'!$F$11:$Q$11, '1 Machine Build'!$F12:$Q12), 0), _xlfn.IFNA(_xlfn.XLOOKUP(Assumptions!Q$87, '1 Machine Build'!$F$11:$Q$11, '1 Machine Build'!$F12:$Q12), 0), _xlfn.IFNA(_xlfn.XLOOKUP(Assumptions!Q$88, '1 Machine Build'!$F$11:$Q$11, '1 Machine Build'!$F12:$Q12), 0))</f>
        <v>0</v>
      </c>
      <c r="T30" s="97">
        <f>SUM(_xlfn.IFNA(_xlfn.XLOOKUP(Assumptions!R$81, '1 Machine Build'!$F$11:$Q$11, '1 Machine Build'!$F12:$Q12), 0), _xlfn.IFNA(_xlfn.XLOOKUP(Assumptions!R$82, '1 Machine Build'!$F$11:$Q$11, '1 Machine Build'!$F12:$Q12), 0), _xlfn.IFNA(_xlfn.XLOOKUP(Assumptions!R$83, '1 Machine Build'!$F$11:$Q$11, '1 Machine Build'!$F12:$Q12), 0), _xlfn.IFNA(_xlfn.XLOOKUP(Assumptions!R$84, '1 Machine Build'!$F$11:$Q$11, '1 Machine Build'!$F12:$Q12), 0), _xlfn.IFNA(_xlfn.XLOOKUP(Assumptions!R$85, '1 Machine Build'!$F$11:$Q$11, '1 Machine Build'!$F12:$Q12), 0), _xlfn.IFNA(_xlfn.XLOOKUP(Assumptions!R$86, '1 Machine Build'!$F$11:$Q$11, '1 Machine Build'!$F12:$Q12), 0), _xlfn.IFNA(_xlfn.XLOOKUP(Assumptions!R$87, '1 Machine Build'!$F$11:$Q$11, '1 Machine Build'!$F12:$Q12), 0), _xlfn.IFNA(_xlfn.XLOOKUP(Assumptions!R$88, '1 Machine Build'!$F$11:$Q$11, '1 Machine Build'!$F12:$Q12), 0))</f>
        <v>0</v>
      </c>
      <c r="U30" s="97">
        <f>SUM(_xlfn.IFNA(_xlfn.XLOOKUP(Assumptions!S$81, '1 Machine Build'!$F$11:$Q$11, '1 Machine Build'!$F12:$Q12), 0), _xlfn.IFNA(_xlfn.XLOOKUP(Assumptions!S$82, '1 Machine Build'!$F$11:$Q$11, '1 Machine Build'!$F12:$Q12), 0), _xlfn.IFNA(_xlfn.XLOOKUP(Assumptions!S$83, '1 Machine Build'!$F$11:$Q$11, '1 Machine Build'!$F12:$Q12), 0), _xlfn.IFNA(_xlfn.XLOOKUP(Assumptions!S$84, '1 Machine Build'!$F$11:$Q$11, '1 Machine Build'!$F12:$Q12), 0), _xlfn.IFNA(_xlfn.XLOOKUP(Assumptions!S$85, '1 Machine Build'!$F$11:$Q$11, '1 Machine Build'!$F12:$Q12), 0), _xlfn.IFNA(_xlfn.XLOOKUP(Assumptions!S$86, '1 Machine Build'!$F$11:$Q$11, '1 Machine Build'!$F12:$Q12), 0), _xlfn.IFNA(_xlfn.XLOOKUP(Assumptions!S$87, '1 Machine Build'!$F$11:$Q$11, '1 Machine Build'!$F12:$Q12), 0), _xlfn.IFNA(_xlfn.XLOOKUP(Assumptions!S$88, '1 Machine Build'!$F$11:$Q$11, '1 Machine Build'!$F12:$Q12), 0))</f>
        <v>0</v>
      </c>
      <c r="V30" s="97">
        <f>SUM(_xlfn.IFNA(_xlfn.XLOOKUP(Assumptions!T$81, '1 Machine Build'!$F$11:$Q$11, '1 Machine Build'!$F12:$Q12), 0), _xlfn.IFNA(_xlfn.XLOOKUP(Assumptions!T$82, '1 Machine Build'!$F$11:$Q$11, '1 Machine Build'!$F12:$Q12), 0), _xlfn.IFNA(_xlfn.XLOOKUP(Assumptions!T$83, '1 Machine Build'!$F$11:$Q$11, '1 Machine Build'!$F12:$Q12), 0), _xlfn.IFNA(_xlfn.XLOOKUP(Assumptions!T$84, '1 Machine Build'!$F$11:$Q$11, '1 Machine Build'!$F12:$Q12), 0), _xlfn.IFNA(_xlfn.XLOOKUP(Assumptions!T$85, '1 Machine Build'!$F$11:$Q$11, '1 Machine Build'!$F12:$Q12), 0), _xlfn.IFNA(_xlfn.XLOOKUP(Assumptions!T$86, '1 Machine Build'!$F$11:$Q$11, '1 Machine Build'!$F12:$Q12), 0), _xlfn.IFNA(_xlfn.XLOOKUP(Assumptions!T$87, '1 Machine Build'!$F$11:$Q$11, '1 Machine Build'!$F12:$Q12), 0), _xlfn.IFNA(_xlfn.XLOOKUP(Assumptions!T$88, '1 Machine Build'!$F$11:$Q$11, '1 Machine Build'!$F12:$Q12), 0))</f>
        <v>0</v>
      </c>
      <c r="W30" s="97">
        <f>SUM(_xlfn.IFNA(_xlfn.XLOOKUP(Assumptions!U$81, '1 Machine Build'!$F$11:$Q$11, '1 Machine Build'!$F12:$Q12), 0), _xlfn.IFNA(_xlfn.XLOOKUP(Assumptions!U$82, '1 Machine Build'!$F$11:$Q$11, '1 Machine Build'!$F12:$Q12), 0), _xlfn.IFNA(_xlfn.XLOOKUP(Assumptions!U$83, '1 Machine Build'!$F$11:$Q$11, '1 Machine Build'!$F12:$Q12), 0), _xlfn.IFNA(_xlfn.XLOOKUP(Assumptions!U$84, '1 Machine Build'!$F$11:$Q$11, '1 Machine Build'!$F12:$Q12), 0), _xlfn.IFNA(_xlfn.XLOOKUP(Assumptions!U$85, '1 Machine Build'!$F$11:$Q$11, '1 Machine Build'!$F12:$Q12), 0), _xlfn.IFNA(_xlfn.XLOOKUP(Assumptions!U$86, '1 Machine Build'!$F$11:$Q$11, '1 Machine Build'!$F12:$Q12), 0), _xlfn.IFNA(_xlfn.XLOOKUP(Assumptions!U$87, '1 Machine Build'!$F$11:$Q$11, '1 Machine Build'!$F12:$Q12), 0), _xlfn.IFNA(_xlfn.XLOOKUP(Assumptions!U$88, '1 Machine Build'!$F$11:$Q$11, '1 Machine Build'!$F12:$Q12), 0))</f>
        <v>0</v>
      </c>
      <c r="X30" s="97">
        <f>SUM(_xlfn.IFNA(_xlfn.XLOOKUP(Assumptions!V$81, '1 Machine Build'!$F$11:$Q$11, '1 Machine Build'!$F12:$Q12), 0), _xlfn.IFNA(_xlfn.XLOOKUP(Assumptions!V$82, '1 Machine Build'!$F$11:$Q$11, '1 Machine Build'!$F12:$Q12), 0), _xlfn.IFNA(_xlfn.XLOOKUP(Assumptions!V$83, '1 Machine Build'!$F$11:$Q$11, '1 Machine Build'!$F12:$Q12), 0), _xlfn.IFNA(_xlfn.XLOOKUP(Assumptions!V$84, '1 Machine Build'!$F$11:$Q$11, '1 Machine Build'!$F12:$Q12), 0), _xlfn.IFNA(_xlfn.XLOOKUP(Assumptions!V$85, '1 Machine Build'!$F$11:$Q$11, '1 Machine Build'!$F12:$Q12), 0), _xlfn.IFNA(_xlfn.XLOOKUP(Assumptions!V$86, '1 Machine Build'!$F$11:$Q$11, '1 Machine Build'!$F12:$Q12), 0), _xlfn.IFNA(_xlfn.XLOOKUP(Assumptions!V$87, '1 Machine Build'!$F$11:$Q$11, '1 Machine Build'!$F12:$Q12), 0), _xlfn.IFNA(_xlfn.XLOOKUP(Assumptions!V$88, '1 Machine Build'!$F$11:$Q$11, '1 Machine Build'!$F12:$Q12), 0))</f>
        <v>0</v>
      </c>
      <c r="Y30" s="97">
        <f>SUM(_xlfn.IFNA(_xlfn.XLOOKUP(Assumptions!W$81, '1 Machine Build'!$F$11:$Q$11, '1 Machine Build'!$F12:$Q12), 0), _xlfn.IFNA(_xlfn.XLOOKUP(Assumptions!W$82, '1 Machine Build'!$F$11:$Q$11, '1 Machine Build'!$F12:$Q12), 0), _xlfn.IFNA(_xlfn.XLOOKUP(Assumptions!W$83, '1 Machine Build'!$F$11:$Q$11, '1 Machine Build'!$F12:$Q12), 0), _xlfn.IFNA(_xlfn.XLOOKUP(Assumptions!W$84, '1 Machine Build'!$F$11:$Q$11, '1 Machine Build'!$F12:$Q12), 0), _xlfn.IFNA(_xlfn.XLOOKUP(Assumptions!W$85, '1 Machine Build'!$F$11:$Q$11, '1 Machine Build'!$F12:$Q12), 0), _xlfn.IFNA(_xlfn.XLOOKUP(Assumptions!W$86, '1 Machine Build'!$F$11:$Q$11, '1 Machine Build'!$F12:$Q12), 0), _xlfn.IFNA(_xlfn.XLOOKUP(Assumptions!W$87, '1 Machine Build'!$F$11:$Q$11, '1 Machine Build'!$F12:$Q12), 0), _xlfn.IFNA(_xlfn.XLOOKUP(Assumptions!W$88, '1 Machine Build'!$F$11:$Q$11, '1 Machine Build'!$F12:$Q12), 0))</f>
        <v>0</v>
      </c>
      <c r="Z30" s="97">
        <f>SUM(_xlfn.IFNA(_xlfn.XLOOKUP(Assumptions!X$81, '1 Machine Build'!$F$11:$Q$11, '1 Machine Build'!$F12:$Q12), 0), _xlfn.IFNA(_xlfn.XLOOKUP(Assumptions!X$82, '1 Machine Build'!$F$11:$Q$11, '1 Machine Build'!$F12:$Q12), 0), _xlfn.IFNA(_xlfn.XLOOKUP(Assumptions!X$83, '1 Machine Build'!$F$11:$Q$11, '1 Machine Build'!$F12:$Q12), 0), _xlfn.IFNA(_xlfn.XLOOKUP(Assumptions!X$84, '1 Machine Build'!$F$11:$Q$11, '1 Machine Build'!$F12:$Q12), 0), _xlfn.IFNA(_xlfn.XLOOKUP(Assumptions!X$85, '1 Machine Build'!$F$11:$Q$11, '1 Machine Build'!$F12:$Q12), 0), _xlfn.IFNA(_xlfn.XLOOKUP(Assumptions!X$86, '1 Machine Build'!$F$11:$Q$11, '1 Machine Build'!$F12:$Q12), 0), _xlfn.IFNA(_xlfn.XLOOKUP(Assumptions!X$87, '1 Machine Build'!$F$11:$Q$11, '1 Machine Build'!$F12:$Q12), 0), _xlfn.IFNA(_xlfn.XLOOKUP(Assumptions!X$88, '1 Machine Build'!$F$11:$Q$11, '1 Machine Build'!$F12:$Q12), 0))</f>
        <v>0</v>
      </c>
      <c r="AA30" s="97">
        <f>SUM(_xlfn.IFNA(_xlfn.XLOOKUP(Assumptions!Y$81, '1 Machine Build'!$F$11:$Q$11, '1 Machine Build'!$F12:$Q12), 0), _xlfn.IFNA(_xlfn.XLOOKUP(Assumptions!Y$82, '1 Machine Build'!$F$11:$Q$11, '1 Machine Build'!$F12:$Q12), 0), _xlfn.IFNA(_xlfn.XLOOKUP(Assumptions!Y$83, '1 Machine Build'!$F$11:$Q$11, '1 Machine Build'!$F12:$Q12), 0), _xlfn.IFNA(_xlfn.XLOOKUP(Assumptions!Y$84, '1 Machine Build'!$F$11:$Q$11, '1 Machine Build'!$F12:$Q12), 0), _xlfn.IFNA(_xlfn.XLOOKUP(Assumptions!Y$85, '1 Machine Build'!$F$11:$Q$11, '1 Machine Build'!$F12:$Q12), 0), _xlfn.IFNA(_xlfn.XLOOKUP(Assumptions!Y$86, '1 Machine Build'!$F$11:$Q$11, '1 Machine Build'!$F12:$Q12), 0), _xlfn.IFNA(_xlfn.XLOOKUP(Assumptions!Y$87, '1 Machine Build'!$F$11:$Q$11, '1 Machine Build'!$F12:$Q12), 0), _xlfn.IFNA(_xlfn.XLOOKUP(Assumptions!Y$88, '1 Machine Build'!$F$11:$Q$11, '1 Machine Build'!$F12:$Q12), 0))</f>
        <v>0</v>
      </c>
      <c r="AB30" s="97">
        <f>SUM(_xlfn.IFNA(_xlfn.XLOOKUP(Assumptions!Z$81, '1 Machine Build'!$F$11:$Q$11, '1 Machine Build'!$F12:$Q12), 0), _xlfn.IFNA(_xlfn.XLOOKUP(Assumptions!Z$82, '1 Machine Build'!$F$11:$Q$11, '1 Machine Build'!$F12:$Q12), 0), _xlfn.IFNA(_xlfn.XLOOKUP(Assumptions!Z$83, '1 Machine Build'!$F$11:$Q$11, '1 Machine Build'!$F12:$Q12), 0), _xlfn.IFNA(_xlfn.XLOOKUP(Assumptions!Z$84, '1 Machine Build'!$F$11:$Q$11, '1 Machine Build'!$F12:$Q12), 0), _xlfn.IFNA(_xlfn.XLOOKUP(Assumptions!Z$85, '1 Machine Build'!$F$11:$Q$11, '1 Machine Build'!$F12:$Q12), 0), _xlfn.IFNA(_xlfn.XLOOKUP(Assumptions!Z$86, '1 Machine Build'!$F$11:$Q$11, '1 Machine Build'!$F12:$Q12), 0), _xlfn.IFNA(_xlfn.XLOOKUP(Assumptions!Z$87, '1 Machine Build'!$F$11:$Q$11, '1 Machine Build'!$F12:$Q12), 0), _xlfn.IFNA(_xlfn.XLOOKUP(Assumptions!Z$88, '1 Machine Build'!$F$11:$Q$11, '1 Machine Build'!$F12:$Q12), 0))</f>
        <v>0</v>
      </c>
      <c r="AC30" s="97">
        <f>SUM(_xlfn.IFNA(_xlfn.XLOOKUP(Assumptions!AA$81, '1 Machine Build'!$F$11:$Q$11, '1 Machine Build'!$F12:$Q12), 0), _xlfn.IFNA(_xlfn.XLOOKUP(Assumptions!AA$82, '1 Machine Build'!$F$11:$Q$11, '1 Machine Build'!$F12:$Q12), 0), _xlfn.IFNA(_xlfn.XLOOKUP(Assumptions!AA$83, '1 Machine Build'!$F$11:$Q$11, '1 Machine Build'!$F12:$Q12), 0), _xlfn.IFNA(_xlfn.XLOOKUP(Assumptions!AA$84, '1 Machine Build'!$F$11:$Q$11, '1 Machine Build'!$F12:$Q12), 0), _xlfn.IFNA(_xlfn.XLOOKUP(Assumptions!AA$85, '1 Machine Build'!$F$11:$Q$11, '1 Machine Build'!$F12:$Q12), 0), _xlfn.IFNA(_xlfn.XLOOKUP(Assumptions!AA$86, '1 Machine Build'!$F$11:$Q$11, '1 Machine Build'!$F12:$Q12), 0), _xlfn.IFNA(_xlfn.XLOOKUP(Assumptions!AA$87, '1 Machine Build'!$F$11:$Q$11, '1 Machine Build'!$F12:$Q12), 0), _xlfn.IFNA(_xlfn.XLOOKUP(Assumptions!AA$88, '1 Machine Build'!$F$11:$Q$11, '1 Machine Build'!$F12:$Q12), 0))</f>
        <v>0</v>
      </c>
      <c r="AD30" s="97">
        <f>SUM(_xlfn.IFNA(_xlfn.XLOOKUP(Assumptions!AB$81, '1 Machine Build'!$F$11:$Q$11, '1 Machine Build'!$F12:$Q12), 0), _xlfn.IFNA(_xlfn.XLOOKUP(Assumptions!AB$82, '1 Machine Build'!$F$11:$Q$11, '1 Machine Build'!$F12:$Q12), 0), _xlfn.IFNA(_xlfn.XLOOKUP(Assumptions!AB$83, '1 Machine Build'!$F$11:$Q$11, '1 Machine Build'!$F12:$Q12), 0), _xlfn.IFNA(_xlfn.XLOOKUP(Assumptions!AB$84, '1 Machine Build'!$F$11:$Q$11, '1 Machine Build'!$F12:$Q12), 0), _xlfn.IFNA(_xlfn.XLOOKUP(Assumptions!AB$85, '1 Machine Build'!$F$11:$Q$11, '1 Machine Build'!$F12:$Q12), 0), _xlfn.IFNA(_xlfn.XLOOKUP(Assumptions!AB$86, '1 Machine Build'!$F$11:$Q$11, '1 Machine Build'!$F12:$Q12), 0), _xlfn.IFNA(_xlfn.XLOOKUP(Assumptions!AB$87, '1 Machine Build'!$F$11:$Q$11, '1 Machine Build'!$F12:$Q12), 0), _xlfn.IFNA(_xlfn.XLOOKUP(Assumptions!AB$88, '1 Machine Build'!$F$11:$Q$11, '1 Machine Build'!$F12:$Q12), 0))</f>
        <v>0</v>
      </c>
      <c r="AE30" s="97">
        <f>SUM(_xlfn.IFNA(_xlfn.XLOOKUP(Assumptions!AC$81, '1 Machine Build'!$F$11:$Q$11, '1 Machine Build'!$F12:$Q12), 0), _xlfn.IFNA(_xlfn.XLOOKUP(Assumptions!AC$82, '1 Machine Build'!$F$11:$Q$11, '1 Machine Build'!$F12:$Q12), 0), _xlfn.IFNA(_xlfn.XLOOKUP(Assumptions!AC$83, '1 Machine Build'!$F$11:$Q$11, '1 Machine Build'!$F12:$Q12), 0), _xlfn.IFNA(_xlfn.XLOOKUP(Assumptions!AC$84, '1 Machine Build'!$F$11:$Q$11, '1 Machine Build'!$F12:$Q12), 0), _xlfn.IFNA(_xlfn.XLOOKUP(Assumptions!AC$85, '1 Machine Build'!$F$11:$Q$11, '1 Machine Build'!$F12:$Q12), 0), _xlfn.IFNA(_xlfn.XLOOKUP(Assumptions!AC$86, '1 Machine Build'!$F$11:$Q$11, '1 Machine Build'!$F12:$Q12), 0), _xlfn.IFNA(_xlfn.XLOOKUP(Assumptions!AC$87, '1 Machine Build'!$F$11:$Q$11, '1 Machine Build'!$F12:$Q12), 0), _xlfn.IFNA(_xlfn.XLOOKUP(Assumptions!AC$88, '1 Machine Build'!$F$11:$Q$11, '1 Machine Build'!$F12:$Q12), 0))</f>
        <v>0</v>
      </c>
      <c r="AF30" s="97">
        <f>SUM(_xlfn.IFNA(_xlfn.XLOOKUP(Assumptions!AD$81, '1 Machine Build'!$F$11:$Q$11, '1 Machine Build'!$F12:$Q12), 0), _xlfn.IFNA(_xlfn.XLOOKUP(Assumptions!AD$82, '1 Machine Build'!$F$11:$Q$11, '1 Machine Build'!$F12:$Q12), 0), _xlfn.IFNA(_xlfn.XLOOKUP(Assumptions!AD$83, '1 Machine Build'!$F$11:$Q$11, '1 Machine Build'!$F12:$Q12), 0), _xlfn.IFNA(_xlfn.XLOOKUP(Assumptions!AD$84, '1 Machine Build'!$F$11:$Q$11, '1 Machine Build'!$F12:$Q12), 0), _xlfn.IFNA(_xlfn.XLOOKUP(Assumptions!AD$85, '1 Machine Build'!$F$11:$Q$11, '1 Machine Build'!$F12:$Q12), 0), _xlfn.IFNA(_xlfn.XLOOKUP(Assumptions!AD$86, '1 Machine Build'!$F$11:$Q$11, '1 Machine Build'!$F12:$Q12), 0), _xlfn.IFNA(_xlfn.XLOOKUP(Assumptions!AD$87, '1 Machine Build'!$F$11:$Q$11, '1 Machine Build'!$F12:$Q12), 0), _xlfn.IFNA(_xlfn.XLOOKUP(Assumptions!AD$88, '1 Machine Build'!$F$11:$Q$11, '1 Machine Build'!$F12:$Q12), 0))</f>
        <v>0</v>
      </c>
      <c r="AG30" s="97">
        <f>SUM(_xlfn.IFNA(_xlfn.XLOOKUP(Assumptions!AE$81, '1 Machine Build'!$F$11:$Q$11, '1 Machine Build'!$F12:$Q12), 0), _xlfn.IFNA(_xlfn.XLOOKUP(Assumptions!AE$82, '1 Machine Build'!$F$11:$Q$11, '1 Machine Build'!$F12:$Q12), 0), _xlfn.IFNA(_xlfn.XLOOKUP(Assumptions!AE$83, '1 Machine Build'!$F$11:$Q$11, '1 Machine Build'!$F12:$Q12), 0), _xlfn.IFNA(_xlfn.XLOOKUP(Assumptions!AE$84, '1 Machine Build'!$F$11:$Q$11, '1 Machine Build'!$F12:$Q12), 0), _xlfn.IFNA(_xlfn.XLOOKUP(Assumptions!AE$85, '1 Machine Build'!$F$11:$Q$11, '1 Machine Build'!$F12:$Q12), 0), _xlfn.IFNA(_xlfn.XLOOKUP(Assumptions!AE$86, '1 Machine Build'!$F$11:$Q$11, '1 Machine Build'!$F12:$Q12), 0), _xlfn.IFNA(_xlfn.XLOOKUP(Assumptions!AE$87, '1 Machine Build'!$F$11:$Q$11, '1 Machine Build'!$F12:$Q12), 0), _xlfn.IFNA(_xlfn.XLOOKUP(Assumptions!AE$88, '1 Machine Build'!$F$11:$Q$11, '1 Machine Build'!$F12:$Q12), 0))</f>
        <v>0</v>
      </c>
      <c r="AH30" s="97">
        <f>SUM(_xlfn.IFNA(_xlfn.XLOOKUP(Assumptions!AF$81, '1 Machine Build'!$F$11:$Q$11, '1 Machine Build'!$F12:$Q12), 0), _xlfn.IFNA(_xlfn.XLOOKUP(Assumptions!AF$82, '1 Machine Build'!$F$11:$Q$11, '1 Machine Build'!$F12:$Q12), 0), _xlfn.IFNA(_xlfn.XLOOKUP(Assumptions!AF$83, '1 Machine Build'!$F$11:$Q$11, '1 Machine Build'!$F12:$Q12), 0), _xlfn.IFNA(_xlfn.XLOOKUP(Assumptions!AF$84, '1 Machine Build'!$F$11:$Q$11, '1 Machine Build'!$F12:$Q12), 0), _xlfn.IFNA(_xlfn.XLOOKUP(Assumptions!AF$85, '1 Machine Build'!$F$11:$Q$11, '1 Machine Build'!$F12:$Q12), 0), _xlfn.IFNA(_xlfn.XLOOKUP(Assumptions!AF$86, '1 Machine Build'!$F$11:$Q$11, '1 Machine Build'!$F12:$Q12), 0), _xlfn.IFNA(_xlfn.XLOOKUP(Assumptions!AF$87, '1 Machine Build'!$F$11:$Q$11, '1 Machine Build'!$F12:$Q12), 0), _xlfn.IFNA(_xlfn.XLOOKUP(Assumptions!AF$88, '1 Machine Build'!$F$11:$Q$11, '1 Machine Build'!$F12:$Q12), 0))</f>
        <v>0</v>
      </c>
      <c r="AI30" s="97">
        <f>SUM(_xlfn.IFNA(_xlfn.XLOOKUP(Assumptions!AG$81, '1 Machine Build'!$F$11:$Q$11, '1 Machine Build'!$F12:$Q12), 0), _xlfn.IFNA(_xlfn.XLOOKUP(Assumptions!AG$82, '1 Machine Build'!$F$11:$Q$11, '1 Machine Build'!$F12:$Q12), 0), _xlfn.IFNA(_xlfn.XLOOKUP(Assumptions!AG$83, '1 Machine Build'!$F$11:$Q$11, '1 Machine Build'!$F12:$Q12), 0), _xlfn.IFNA(_xlfn.XLOOKUP(Assumptions!AG$84, '1 Machine Build'!$F$11:$Q$11, '1 Machine Build'!$F12:$Q12), 0), _xlfn.IFNA(_xlfn.XLOOKUP(Assumptions!AG$85, '1 Machine Build'!$F$11:$Q$11, '1 Machine Build'!$F12:$Q12), 0), _xlfn.IFNA(_xlfn.XLOOKUP(Assumptions!AG$86, '1 Machine Build'!$F$11:$Q$11, '1 Machine Build'!$F12:$Q12), 0), _xlfn.IFNA(_xlfn.XLOOKUP(Assumptions!AG$87, '1 Machine Build'!$F$11:$Q$11, '1 Machine Build'!$F12:$Q12), 0), _xlfn.IFNA(_xlfn.XLOOKUP(Assumptions!AG$88, '1 Machine Build'!$F$11:$Q$11, '1 Machine Build'!$F12:$Q12), 0))</f>
        <v>0</v>
      </c>
      <c r="AJ30" s="97">
        <f>SUM(_xlfn.IFNA(_xlfn.XLOOKUP(Assumptions!AH$81, '1 Machine Build'!$F$11:$Q$11, '1 Machine Build'!$F12:$Q12), 0), _xlfn.IFNA(_xlfn.XLOOKUP(Assumptions!AH$82, '1 Machine Build'!$F$11:$Q$11, '1 Machine Build'!$F12:$Q12), 0), _xlfn.IFNA(_xlfn.XLOOKUP(Assumptions!AH$83, '1 Machine Build'!$F$11:$Q$11, '1 Machine Build'!$F12:$Q12), 0), _xlfn.IFNA(_xlfn.XLOOKUP(Assumptions!AH$84, '1 Machine Build'!$F$11:$Q$11, '1 Machine Build'!$F12:$Q12), 0), _xlfn.IFNA(_xlfn.XLOOKUP(Assumptions!AH$85, '1 Machine Build'!$F$11:$Q$11, '1 Machine Build'!$F12:$Q12), 0), _xlfn.IFNA(_xlfn.XLOOKUP(Assumptions!AH$86, '1 Machine Build'!$F$11:$Q$11, '1 Machine Build'!$F12:$Q12), 0), _xlfn.IFNA(_xlfn.XLOOKUP(Assumptions!AH$87, '1 Machine Build'!$F$11:$Q$11, '1 Machine Build'!$F12:$Q12), 0), _xlfn.IFNA(_xlfn.XLOOKUP(Assumptions!AH$88, '1 Machine Build'!$F$11:$Q$11, '1 Machine Build'!$F12:$Q12), 0))</f>
        <v>0</v>
      </c>
      <c r="AK30" s="97">
        <f>SUM(_xlfn.IFNA(_xlfn.XLOOKUP(Assumptions!AI$81, '1 Machine Build'!$F$11:$Q$11, '1 Machine Build'!$F12:$Q12), 0), _xlfn.IFNA(_xlfn.XLOOKUP(Assumptions!AI$82, '1 Machine Build'!$F$11:$Q$11, '1 Machine Build'!$F12:$Q12), 0), _xlfn.IFNA(_xlfn.XLOOKUP(Assumptions!AI$83, '1 Machine Build'!$F$11:$Q$11, '1 Machine Build'!$F12:$Q12), 0), _xlfn.IFNA(_xlfn.XLOOKUP(Assumptions!AI$84, '1 Machine Build'!$F$11:$Q$11, '1 Machine Build'!$F12:$Q12), 0), _xlfn.IFNA(_xlfn.XLOOKUP(Assumptions!AI$85, '1 Machine Build'!$F$11:$Q$11, '1 Machine Build'!$F12:$Q12), 0), _xlfn.IFNA(_xlfn.XLOOKUP(Assumptions!AI$86, '1 Machine Build'!$F$11:$Q$11, '1 Machine Build'!$F12:$Q12), 0), _xlfn.IFNA(_xlfn.XLOOKUP(Assumptions!AI$87, '1 Machine Build'!$F$11:$Q$11, '1 Machine Build'!$F12:$Q12), 0), _xlfn.IFNA(_xlfn.XLOOKUP(Assumptions!AI$88, '1 Machine Build'!$F$11:$Q$11, '1 Machine Build'!$F12:$Q12), 0))</f>
        <v>0</v>
      </c>
      <c r="AL30" s="97">
        <f>SUM(_xlfn.IFNA(_xlfn.XLOOKUP(Assumptions!AJ$81, '1 Machine Build'!$F$11:$Q$11, '1 Machine Build'!$F12:$Q12), 0), _xlfn.IFNA(_xlfn.XLOOKUP(Assumptions!AJ$82, '1 Machine Build'!$F$11:$Q$11, '1 Machine Build'!$F12:$Q12), 0), _xlfn.IFNA(_xlfn.XLOOKUP(Assumptions!AJ$83, '1 Machine Build'!$F$11:$Q$11, '1 Machine Build'!$F12:$Q12), 0), _xlfn.IFNA(_xlfn.XLOOKUP(Assumptions!AJ$84, '1 Machine Build'!$F$11:$Q$11, '1 Machine Build'!$F12:$Q12), 0), _xlfn.IFNA(_xlfn.XLOOKUP(Assumptions!AJ$85, '1 Machine Build'!$F$11:$Q$11, '1 Machine Build'!$F12:$Q12), 0), _xlfn.IFNA(_xlfn.XLOOKUP(Assumptions!AJ$86, '1 Machine Build'!$F$11:$Q$11, '1 Machine Build'!$F12:$Q12), 0), _xlfn.IFNA(_xlfn.XLOOKUP(Assumptions!AJ$87, '1 Machine Build'!$F$11:$Q$11, '1 Machine Build'!$F12:$Q12), 0), _xlfn.IFNA(_xlfn.XLOOKUP(Assumptions!AJ$88, '1 Machine Build'!$F$11:$Q$11, '1 Machine Build'!$F12:$Q12), 0))</f>
        <v>0</v>
      </c>
      <c r="AM30" s="97">
        <f>SUM(_xlfn.IFNA(_xlfn.XLOOKUP(Assumptions!AK$81, '1 Machine Build'!$F$11:$Q$11, '1 Machine Build'!$F12:$Q12), 0), _xlfn.IFNA(_xlfn.XLOOKUP(Assumptions!AK$82, '1 Machine Build'!$F$11:$Q$11, '1 Machine Build'!$F12:$Q12), 0), _xlfn.IFNA(_xlfn.XLOOKUP(Assumptions!AK$83, '1 Machine Build'!$F$11:$Q$11, '1 Machine Build'!$F12:$Q12), 0), _xlfn.IFNA(_xlfn.XLOOKUP(Assumptions!AK$84, '1 Machine Build'!$F$11:$Q$11, '1 Machine Build'!$F12:$Q12), 0), _xlfn.IFNA(_xlfn.XLOOKUP(Assumptions!AK$85, '1 Machine Build'!$F$11:$Q$11, '1 Machine Build'!$F12:$Q12), 0), _xlfn.IFNA(_xlfn.XLOOKUP(Assumptions!AK$86, '1 Machine Build'!$F$11:$Q$11, '1 Machine Build'!$F12:$Q12), 0), _xlfn.IFNA(_xlfn.XLOOKUP(Assumptions!AK$87, '1 Machine Build'!$F$11:$Q$11, '1 Machine Build'!$F12:$Q12), 0), _xlfn.IFNA(_xlfn.XLOOKUP(Assumptions!AK$88, '1 Machine Build'!$F$11:$Q$11, '1 Machine Build'!$F12:$Q12), 0))</f>
        <v>0</v>
      </c>
      <c r="AN30" s="97">
        <f>SUM(_xlfn.IFNA(_xlfn.XLOOKUP(Assumptions!AL$81, '1 Machine Build'!$F$11:$Q$11, '1 Machine Build'!$F12:$Q12), 0), _xlfn.IFNA(_xlfn.XLOOKUP(Assumptions!AL$82, '1 Machine Build'!$F$11:$Q$11, '1 Machine Build'!$F12:$Q12), 0), _xlfn.IFNA(_xlfn.XLOOKUP(Assumptions!AL$83, '1 Machine Build'!$F$11:$Q$11, '1 Machine Build'!$F12:$Q12), 0), _xlfn.IFNA(_xlfn.XLOOKUP(Assumptions!AL$84, '1 Machine Build'!$F$11:$Q$11, '1 Machine Build'!$F12:$Q12), 0), _xlfn.IFNA(_xlfn.XLOOKUP(Assumptions!AL$85, '1 Machine Build'!$F$11:$Q$11, '1 Machine Build'!$F12:$Q12), 0), _xlfn.IFNA(_xlfn.XLOOKUP(Assumptions!AL$86, '1 Machine Build'!$F$11:$Q$11, '1 Machine Build'!$F12:$Q12), 0), _xlfn.IFNA(_xlfn.XLOOKUP(Assumptions!AL$87, '1 Machine Build'!$F$11:$Q$11, '1 Machine Build'!$F12:$Q12), 0), _xlfn.IFNA(_xlfn.XLOOKUP(Assumptions!AL$88, '1 Machine Build'!$F$11:$Q$11, '1 Machine Build'!$F12:$Q12), 0))</f>
        <v>0</v>
      </c>
      <c r="AO30" s="97">
        <f>SUM(_xlfn.IFNA(_xlfn.XLOOKUP(Assumptions!AM$81, '1 Machine Build'!$F$11:$Q$11, '1 Machine Build'!$F12:$Q12), 0), _xlfn.IFNA(_xlfn.XLOOKUP(Assumptions!AM$82, '1 Machine Build'!$F$11:$Q$11, '1 Machine Build'!$F12:$Q12), 0), _xlfn.IFNA(_xlfn.XLOOKUP(Assumptions!AM$83, '1 Machine Build'!$F$11:$Q$11, '1 Machine Build'!$F12:$Q12), 0), _xlfn.IFNA(_xlfn.XLOOKUP(Assumptions!AM$84, '1 Machine Build'!$F$11:$Q$11, '1 Machine Build'!$F12:$Q12), 0), _xlfn.IFNA(_xlfn.XLOOKUP(Assumptions!AM$85, '1 Machine Build'!$F$11:$Q$11, '1 Machine Build'!$F12:$Q12), 0), _xlfn.IFNA(_xlfn.XLOOKUP(Assumptions!AM$86, '1 Machine Build'!$F$11:$Q$11, '1 Machine Build'!$F12:$Q12), 0), _xlfn.IFNA(_xlfn.XLOOKUP(Assumptions!AM$87, '1 Machine Build'!$F$11:$Q$11, '1 Machine Build'!$F12:$Q12), 0), _xlfn.IFNA(_xlfn.XLOOKUP(Assumptions!AM$88, '1 Machine Build'!$F$11:$Q$11, '1 Machine Build'!$F12:$Q12), 0))</f>
        <v>0</v>
      </c>
      <c r="AP30" s="97">
        <f>SUM(_xlfn.IFNA(_xlfn.XLOOKUP(Assumptions!AN$81, '1 Machine Build'!$F$11:$Q$11, '1 Machine Build'!$F12:$Q12), 0), _xlfn.IFNA(_xlfn.XLOOKUP(Assumptions!AN$82, '1 Machine Build'!$F$11:$Q$11, '1 Machine Build'!$F12:$Q12), 0), _xlfn.IFNA(_xlfn.XLOOKUP(Assumptions!AN$83, '1 Machine Build'!$F$11:$Q$11, '1 Machine Build'!$F12:$Q12), 0), _xlfn.IFNA(_xlfn.XLOOKUP(Assumptions!AN$84, '1 Machine Build'!$F$11:$Q$11, '1 Machine Build'!$F12:$Q12), 0), _xlfn.IFNA(_xlfn.XLOOKUP(Assumptions!AN$85, '1 Machine Build'!$F$11:$Q$11, '1 Machine Build'!$F12:$Q12), 0), _xlfn.IFNA(_xlfn.XLOOKUP(Assumptions!AN$86, '1 Machine Build'!$F$11:$Q$11, '1 Machine Build'!$F12:$Q12), 0), _xlfn.IFNA(_xlfn.XLOOKUP(Assumptions!AN$87, '1 Machine Build'!$F$11:$Q$11, '1 Machine Build'!$F12:$Q12), 0), _xlfn.IFNA(_xlfn.XLOOKUP(Assumptions!AN$88, '1 Machine Build'!$F$11:$Q$11, '1 Machine Build'!$F12:$Q12), 0))</f>
        <v>0</v>
      </c>
      <c r="AQ30" s="97">
        <f>SUM(_xlfn.IFNA(_xlfn.XLOOKUP(Assumptions!AO$81, '1 Machine Build'!$F$11:$Q$11, '1 Machine Build'!$F12:$Q12), 0), _xlfn.IFNA(_xlfn.XLOOKUP(Assumptions!AO$82, '1 Machine Build'!$F$11:$Q$11, '1 Machine Build'!$F12:$Q12), 0), _xlfn.IFNA(_xlfn.XLOOKUP(Assumptions!AO$83, '1 Machine Build'!$F$11:$Q$11, '1 Machine Build'!$F12:$Q12), 0), _xlfn.IFNA(_xlfn.XLOOKUP(Assumptions!AO$84, '1 Machine Build'!$F$11:$Q$11, '1 Machine Build'!$F12:$Q12), 0), _xlfn.IFNA(_xlfn.XLOOKUP(Assumptions!AO$85, '1 Machine Build'!$F$11:$Q$11, '1 Machine Build'!$F12:$Q12), 0), _xlfn.IFNA(_xlfn.XLOOKUP(Assumptions!AO$86, '1 Machine Build'!$F$11:$Q$11, '1 Machine Build'!$F12:$Q12), 0), _xlfn.IFNA(_xlfn.XLOOKUP(Assumptions!AO$87, '1 Machine Build'!$F$11:$Q$11, '1 Machine Build'!$F12:$Q12), 0), _xlfn.IFNA(_xlfn.XLOOKUP(Assumptions!AO$88, '1 Machine Build'!$F$11:$Q$11, '1 Machine Build'!$F12:$Q12), 0))</f>
        <v>0</v>
      </c>
      <c r="AR30" s="97">
        <f>SUM(_xlfn.IFNA(_xlfn.XLOOKUP(Assumptions!AP$81, '1 Machine Build'!$F$11:$Q$11, '1 Machine Build'!$F12:$Q12), 0), _xlfn.IFNA(_xlfn.XLOOKUP(Assumptions!AP$82, '1 Machine Build'!$F$11:$Q$11, '1 Machine Build'!$F12:$Q12), 0), _xlfn.IFNA(_xlfn.XLOOKUP(Assumptions!AP$83, '1 Machine Build'!$F$11:$Q$11, '1 Machine Build'!$F12:$Q12), 0), _xlfn.IFNA(_xlfn.XLOOKUP(Assumptions!AP$84, '1 Machine Build'!$F$11:$Q$11, '1 Machine Build'!$F12:$Q12), 0), _xlfn.IFNA(_xlfn.XLOOKUP(Assumptions!AP$85, '1 Machine Build'!$F$11:$Q$11, '1 Machine Build'!$F12:$Q12), 0), _xlfn.IFNA(_xlfn.XLOOKUP(Assumptions!AP$86, '1 Machine Build'!$F$11:$Q$11, '1 Machine Build'!$F12:$Q12), 0), _xlfn.IFNA(_xlfn.XLOOKUP(Assumptions!AP$87, '1 Machine Build'!$F$11:$Q$11, '1 Machine Build'!$F12:$Q12), 0), _xlfn.IFNA(_xlfn.XLOOKUP(Assumptions!AP$88, '1 Machine Build'!$F$11:$Q$11, '1 Machine Build'!$F12:$Q12), 0))</f>
        <v>0</v>
      </c>
      <c r="AS30" s="97">
        <f>SUM(_xlfn.IFNA(_xlfn.XLOOKUP(Assumptions!AQ$81, '1 Machine Build'!$F$11:$Q$11, '1 Machine Build'!$F12:$Q12), 0), _xlfn.IFNA(_xlfn.XLOOKUP(Assumptions!AQ$82, '1 Machine Build'!$F$11:$Q$11, '1 Machine Build'!$F12:$Q12), 0), _xlfn.IFNA(_xlfn.XLOOKUP(Assumptions!AQ$83, '1 Machine Build'!$F$11:$Q$11, '1 Machine Build'!$F12:$Q12), 0), _xlfn.IFNA(_xlfn.XLOOKUP(Assumptions!AQ$84, '1 Machine Build'!$F$11:$Q$11, '1 Machine Build'!$F12:$Q12), 0), _xlfn.IFNA(_xlfn.XLOOKUP(Assumptions!AQ$85, '1 Machine Build'!$F$11:$Q$11, '1 Machine Build'!$F12:$Q12), 0), _xlfn.IFNA(_xlfn.XLOOKUP(Assumptions!AQ$86, '1 Machine Build'!$F$11:$Q$11, '1 Machine Build'!$F12:$Q12), 0), _xlfn.IFNA(_xlfn.XLOOKUP(Assumptions!AQ$87, '1 Machine Build'!$F$11:$Q$11, '1 Machine Build'!$F12:$Q12), 0), _xlfn.IFNA(_xlfn.XLOOKUP(Assumptions!AQ$88, '1 Machine Build'!$F$11:$Q$11, '1 Machine Build'!$F12:$Q12), 0))</f>
        <v>0</v>
      </c>
      <c r="AT30" s="97">
        <f>SUM(_xlfn.IFNA(_xlfn.XLOOKUP(Assumptions!AR$81, '1 Machine Build'!$F$11:$Q$11, '1 Machine Build'!$F12:$Q12), 0), _xlfn.IFNA(_xlfn.XLOOKUP(Assumptions!AR$82, '1 Machine Build'!$F$11:$Q$11, '1 Machine Build'!$F12:$Q12), 0), _xlfn.IFNA(_xlfn.XLOOKUP(Assumptions!AR$83, '1 Machine Build'!$F$11:$Q$11, '1 Machine Build'!$F12:$Q12), 0), _xlfn.IFNA(_xlfn.XLOOKUP(Assumptions!AR$84, '1 Machine Build'!$F$11:$Q$11, '1 Machine Build'!$F12:$Q12), 0), _xlfn.IFNA(_xlfn.XLOOKUP(Assumptions!AR$85, '1 Machine Build'!$F$11:$Q$11, '1 Machine Build'!$F12:$Q12), 0), _xlfn.IFNA(_xlfn.XLOOKUP(Assumptions!AR$86, '1 Machine Build'!$F$11:$Q$11, '1 Machine Build'!$F12:$Q12), 0), _xlfn.IFNA(_xlfn.XLOOKUP(Assumptions!AR$87, '1 Machine Build'!$F$11:$Q$11, '1 Machine Build'!$F12:$Q12), 0), _xlfn.IFNA(_xlfn.XLOOKUP(Assumptions!AR$88, '1 Machine Build'!$F$11:$Q$11, '1 Machine Build'!$F12:$Q12), 0))</f>
        <v>0</v>
      </c>
      <c r="AU30" s="97">
        <f>SUM(_xlfn.IFNA(_xlfn.XLOOKUP(Assumptions!AS$81, '1 Machine Build'!$F$11:$Q$11, '1 Machine Build'!$F12:$Q12), 0), _xlfn.IFNA(_xlfn.XLOOKUP(Assumptions!AS$82, '1 Machine Build'!$F$11:$Q$11, '1 Machine Build'!$F12:$Q12), 0), _xlfn.IFNA(_xlfn.XLOOKUP(Assumptions!AS$83, '1 Machine Build'!$F$11:$Q$11, '1 Machine Build'!$F12:$Q12), 0), _xlfn.IFNA(_xlfn.XLOOKUP(Assumptions!AS$84, '1 Machine Build'!$F$11:$Q$11, '1 Machine Build'!$F12:$Q12), 0), _xlfn.IFNA(_xlfn.XLOOKUP(Assumptions!AS$85, '1 Machine Build'!$F$11:$Q$11, '1 Machine Build'!$F12:$Q12), 0), _xlfn.IFNA(_xlfn.XLOOKUP(Assumptions!AS$86, '1 Machine Build'!$F$11:$Q$11, '1 Machine Build'!$F12:$Q12), 0), _xlfn.IFNA(_xlfn.XLOOKUP(Assumptions!AS$87, '1 Machine Build'!$F$11:$Q$11, '1 Machine Build'!$F12:$Q12), 0), _xlfn.IFNA(_xlfn.XLOOKUP(Assumptions!AS$88, '1 Machine Build'!$F$11:$Q$11, '1 Machine Build'!$F12:$Q12), 0))</f>
        <v>0</v>
      </c>
      <c r="AV30" s="97">
        <f>SUM(_xlfn.IFNA(_xlfn.XLOOKUP(Assumptions!AT$81, '1 Machine Build'!$F$11:$Q$11, '1 Machine Build'!$F12:$Q12), 0), _xlfn.IFNA(_xlfn.XLOOKUP(Assumptions!AT$82, '1 Machine Build'!$F$11:$Q$11, '1 Machine Build'!$F12:$Q12), 0), _xlfn.IFNA(_xlfn.XLOOKUP(Assumptions!AT$83, '1 Machine Build'!$F$11:$Q$11, '1 Machine Build'!$F12:$Q12), 0), _xlfn.IFNA(_xlfn.XLOOKUP(Assumptions!AT$84, '1 Machine Build'!$F$11:$Q$11, '1 Machine Build'!$F12:$Q12), 0), _xlfn.IFNA(_xlfn.XLOOKUP(Assumptions!AT$85, '1 Machine Build'!$F$11:$Q$11, '1 Machine Build'!$F12:$Q12), 0), _xlfn.IFNA(_xlfn.XLOOKUP(Assumptions!AT$86, '1 Machine Build'!$F$11:$Q$11, '1 Machine Build'!$F12:$Q12), 0), _xlfn.IFNA(_xlfn.XLOOKUP(Assumptions!AT$87, '1 Machine Build'!$F$11:$Q$11, '1 Machine Build'!$F12:$Q12), 0), _xlfn.IFNA(_xlfn.XLOOKUP(Assumptions!AT$88, '1 Machine Build'!$F$11:$Q$11, '1 Machine Build'!$F12:$Q12), 0))</f>
        <v>0</v>
      </c>
      <c r="AW30" s="97">
        <f>SUM(_xlfn.IFNA(_xlfn.XLOOKUP(Assumptions!AU$81, '1 Machine Build'!$F$11:$Q$11, '1 Machine Build'!$F12:$Q12), 0), _xlfn.IFNA(_xlfn.XLOOKUP(Assumptions!AU$82, '1 Machine Build'!$F$11:$Q$11, '1 Machine Build'!$F12:$Q12), 0), _xlfn.IFNA(_xlfn.XLOOKUP(Assumptions!AU$83, '1 Machine Build'!$F$11:$Q$11, '1 Machine Build'!$F12:$Q12), 0), _xlfn.IFNA(_xlfn.XLOOKUP(Assumptions!AU$84, '1 Machine Build'!$F$11:$Q$11, '1 Machine Build'!$F12:$Q12), 0), _xlfn.IFNA(_xlfn.XLOOKUP(Assumptions!AU$85, '1 Machine Build'!$F$11:$Q$11, '1 Machine Build'!$F12:$Q12), 0), _xlfn.IFNA(_xlfn.XLOOKUP(Assumptions!AU$86, '1 Machine Build'!$F$11:$Q$11, '1 Machine Build'!$F12:$Q12), 0), _xlfn.IFNA(_xlfn.XLOOKUP(Assumptions!AU$87, '1 Machine Build'!$F$11:$Q$11, '1 Machine Build'!$F12:$Q12), 0), _xlfn.IFNA(_xlfn.XLOOKUP(Assumptions!AU$88, '1 Machine Build'!$F$11:$Q$11, '1 Machine Build'!$F12:$Q12), 0))</f>
        <v>0</v>
      </c>
      <c r="AX30" s="97">
        <f>SUM(_xlfn.IFNA(_xlfn.XLOOKUP(Assumptions!AV$81, '1 Machine Build'!$F$11:$Q$11, '1 Machine Build'!$F12:$Q12), 0), _xlfn.IFNA(_xlfn.XLOOKUP(Assumptions!AV$82, '1 Machine Build'!$F$11:$Q$11, '1 Machine Build'!$F12:$Q12), 0), _xlfn.IFNA(_xlfn.XLOOKUP(Assumptions!AV$83, '1 Machine Build'!$F$11:$Q$11, '1 Machine Build'!$F12:$Q12), 0), _xlfn.IFNA(_xlfn.XLOOKUP(Assumptions!AV$84, '1 Machine Build'!$F$11:$Q$11, '1 Machine Build'!$F12:$Q12), 0), _xlfn.IFNA(_xlfn.XLOOKUP(Assumptions!AV$85, '1 Machine Build'!$F$11:$Q$11, '1 Machine Build'!$F12:$Q12), 0), _xlfn.IFNA(_xlfn.XLOOKUP(Assumptions!AV$86, '1 Machine Build'!$F$11:$Q$11, '1 Machine Build'!$F12:$Q12), 0), _xlfn.IFNA(_xlfn.XLOOKUP(Assumptions!AV$87, '1 Machine Build'!$F$11:$Q$11, '1 Machine Build'!$F12:$Q12), 0), _xlfn.IFNA(_xlfn.XLOOKUP(Assumptions!AV$88, '1 Machine Build'!$F$11:$Q$11, '1 Machine Build'!$F12:$Q12), 0))</f>
        <v>0</v>
      </c>
      <c r="AY30" s="97">
        <f>SUM(_xlfn.IFNA(_xlfn.XLOOKUP(Assumptions!AW$81, '1 Machine Build'!$F$11:$Q$11, '1 Machine Build'!$F12:$Q12), 0), _xlfn.IFNA(_xlfn.XLOOKUP(Assumptions!AW$82, '1 Machine Build'!$F$11:$Q$11, '1 Machine Build'!$F12:$Q12), 0), _xlfn.IFNA(_xlfn.XLOOKUP(Assumptions!AW$83, '1 Machine Build'!$F$11:$Q$11, '1 Machine Build'!$F12:$Q12), 0), _xlfn.IFNA(_xlfn.XLOOKUP(Assumptions!AW$84, '1 Machine Build'!$F$11:$Q$11, '1 Machine Build'!$F12:$Q12), 0), _xlfn.IFNA(_xlfn.XLOOKUP(Assumptions!AW$85, '1 Machine Build'!$F$11:$Q$11, '1 Machine Build'!$F12:$Q12), 0), _xlfn.IFNA(_xlfn.XLOOKUP(Assumptions!AW$86, '1 Machine Build'!$F$11:$Q$11, '1 Machine Build'!$F12:$Q12), 0), _xlfn.IFNA(_xlfn.XLOOKUP(Assumptions!AW$87, '1 Machine Build'!$F$11:$Q$11, '1 Machine Build'!$F12:$Q12), 0), _xlfn.IFNA(_xlfn.XLOOKUP(Assumptions!AW$88, '1 Machine Build'!$F$11:$Q$11, '1 Machine Build'!$F12:$Q12), 0))</f>
        <v>0</v>
      </c>
      <c r="AZ30" s="97">
        <f>SUM(_xlfn.IFNA(_xlfn.XLOOKUP(Assumptions!AX$81, '1 Machine Build'!$F$11:$Q$11, '1 Machine Build'!$F12:$Q12), 0), _xlfn.IFNA(_xlfn.XLOOKUP(Assumptions!AX$82, '1 Machine Build'!$F$11:$Q$11, '1 Machine Build'!$F12:$Q12), 0), _xlfn.IFNA(_xlfn.XLOOKUP(Assumptions!AX$83, '1 Machine Build'!$F$11:$Q$11, '1 Machine Build'!$F12:$Q12), 0), _xlfn.IFNA(_xlfn.XLOOKUP(Assumptions!AX$84, '1 Machine Build'!$F$11:$Q$11, '1 Machine Build'!$F12:$Q12), 0), _xlfn.IFNA(_xlfn.XLOOKUP(Assumptions!AX$85, '1 Machine Build'!$F$11:$Q$11, '1 Machine Build'!$F12:$Q12), 0), _xlfn.IFNA(_xlfn.XLOOKUP(Assumptions!AX$86, '1 Machine Build'!$F$11:$Q$11, '1 Machine Build'!$F12:$Q12), 0), _xlfn.IFNA(_xlfn.XLOOKUP(Assumptions!AX$87, '1 Machine Build'!$F$11:$Q$11, '1 Machine Build'!$F12:$Q12), 0), _xlfn.IFNA(_xlfn.XLOOKUP(Assumptions!AX$88, '1 Machine Build'!$F$11:$Q$11, '1 Machine Build'!$F12:$Q12), 0))</f>
        <v>0</v>
      </c>
      <c r="BA30" s="97">
        <f>SUM(_xlfn.IFNA(_xlfn.XLOOKUP(Assumptions!AY$81, '1 Machine Build'!$F$11:$Q$11, '1 Machine Build'!$F12:$Q12), 0), _xlfn.IFNA(_xlfn.XLOOKUP(Assumptions!AY$82, '1 Machine Build'!$F$11:$Q$11, '1 Machine Build'!$F12:$Q12), 0), _xlfn.IFNA(_xlfn.XLOOKUP(Assumptions!AY$83, '1 Machine Build'!$F$11:$Q$11, '1 Machine Build'!$F12:$Q12), 0), _xlfn.IFNA(_xlfn.XLOOKUP(Assumptions!AY$84, '1 Machine Build'!$F$11:$Q$11, '1 Machine Build'!$F12:$Q12), 0), _xlfn.IFNA(_xlfn.XLOOKUP(Assumptions!AY$85, '1 Machine Build'!$F$11:$Q$11, '1 Machine Build'!$F12:$Q12), 0), _xlfn.IFNA(_xlfn.XLOOKUP(Assumptions!AY$86, '1 Machine Build'!$F$11:$Q$11, '1 Machine Build'!$F12:$Q12), 0), _xlfn.IFNA(_xlfn.XLOOKUP(Assumptions!AY$87, '1 Machine Build'!$F$11:$Q$11, '1 Machine Build'!$F12:$Q12), 0), _xlfn.IFNA(_xlfn.XLOOKUP(Assumptions!AY$88, '1 Machine Build'!$F$11:$Q$11, '1 Machine Build'!$F12:$Q12), 0))</f>
        <v>0</v>
      </c>
      <c r="BB30" s="97">
        <f>SUM(_xlfn.IFNA(_xlfn.XLOOKUP(Assumptions!AZ$81, '1 Machine Build'!$F$11:$Q$11, '1 Machine Build'!$F12:$Q12), 0), _xlfn.IFNA(_xlfn.XLOOKUP(Assumptions!AZ$82, '1 Machine Build'!$F$11:$Q$11, '1 Machine Build'!$F12:$Q12), 0), _xlfn.IFNA(_xlfn.XLOOKUP(Assumptions!AZ$83, '1 Machine Build'!$F$11:$Q$11, '1 Machine Build'!$F12:$Q12), 0), _xlfn.IFNA(_xlfn.XLOOKUP(Assumptions!AZ$84, '1 Machine Build'!$F$11:$Q$11, '1 Machine Build'!$F12:$Q12), 0), _xlfn.IFNA(_xlfn.XLOOKUP(Assumptions!AZ$85, '1 Machine Build'!$F$11:$Q$11, '1 Machine Build'!$F12:$Q12), 0), _xlfn.IFNA(_xlfn.XLOOKUP(Assumptions!AZ$86, '1 Machine Build'!$F$11:$Q$11, '1 Machine Build'!$F12:$Q12), 0), _xlfn.IFNA(_xlfn.XLOOKUP(Assumptions!AZ$87, '1 Machine Build'!$F$11:$Q$11, '1 Machine Build'!$F12:$Q12), 0), _xlfn.IFNA(_xlfn.XLOOKUP(Assumptions!AZ$88, '1 Machine Build'!$F$11:$Q$11, '1 Machine Build'!$F12:$Q12), 0))</f>
        <v>0</v>
      </c>
      <c r="BC30" s="97">
        <f>SUM(_xlfn.IFNA(_xlfn.XLOOKUP(Assumptions!BA$81, '1 Machine Build'!$F$11:$Q$11, '1 Machine Build'!$F12:$Q12), 0), _xlfn.IFNA(_xlfn.XLOOKUP(Assumptions!BA$82, '1 Machine Build'!$F$11:$Q$11, '1 Machine Build'!$F12:$Q12), 0), _xlfn.IFNA(_xlfn.XLOOKUP(Assumptions!BA$83, '1 Machine Build'!$F$11:$Q$11, '1 Machine Build'!$F12:$Q12), 0), _xlfn.IFNA(_xlfn.XLOOKUP(Assumptions!BA$84, '1 Machine Build'!$F$11:$Q$11, '1 Machine Build'!$F12:$Q12), 0), _xlfn.IFNA(_xlfn.XLOOKUP(Assumptions!BA$85, '1 Machine Build'!$F$11:$Q$11, '1 Machine Build'!$F12:$Q12), 0), _xlfn.IFNA(_xlfn.XLOOKUP(Assumptions!BA$86, '1 Machine Build'!$F$11:$Q$11, '1 Machine Build'!$F12:$Q12), 0), _xlfn.IFNA(_xlfn.XLOOKUP(Assumptions!BA$87, '1 Machine Build'!$F$11:$Q$11, '1 Machine Build'!$F12:$Q12), 0), _xlfn.IFNA(_xlfn.XLOOKUP(Assumptions!BA$88, '1 Machine Build'!$F$11:$Q$11, '1 Machine Build'!$F12:$Q12), 0))</f>
        <v>0</v>
      </c>
      <c r="BD30" s="97">
        <f>SUM(_xlfn.IFNA(_xlfn.XLOOKUP(Assumptions!BB$81, '1 Machine Build'!$F$11:$Q$11, '1 Machine Build'!$F12:$Q12), 0), _xlfn.IFNA(_xlfn.XLOOKUP(Assumptions!BB$82, '1 Machine Build'!$F$11:$Q$11, '1 Machine Build'!$F12:$Q12), 0), _xlfn.IFNA(_xlfn.XLOOKUP(Assumptions!BB$83, '1 Machine Build'!$F$11:$Q$11, '1 Machine Build'!$F12:$Q12), 0), _xlfn.IFNA(_xlfn.XLOOKUP(Assumptions!BB$84, '1 Machine Build'!$F$11:$Q$11, '1 Machine Build'!$F12:$Q12), 0), _xlfn.IFNA(_xlfn.XLOOKUP(Assumptions!BB$85, '1 Machine Build'!$F$11:$Q$11, '1 Machine Build'!$F12:$Q12), 0), _xlfn.IFNA(_xlfn.XLOOKUP(Assumptions!BB$86, '1 Machine Build'!$F$11:$Q$11, '1 Machine Build'!$F12:$Q12), 0), _xlfn.IFNA(_xlfn.XLOOKUP(Assumptions!BB$87, '1 Machine Build'!$F$11:$Q$11, '1 Machine Build'!$F12:$Q12), 0), _xlfn.IFNA(_xlfn.XLOOKUP(Assumptions!BB$88, '1 Machine Build'!$F$11:$Q$11, '1 Machine Build'!$F12:$Q12), 0))</f>
        <v>0</v>
      </c>
      <c r="BE30" s="97">
        <f>SUM(_xlfn.IFNA(_xlfn.XLOOKUP(Assumptions!BC$81, '1 Machine Build'!$F$11:$Q$11, '1 Machine Build'!$F12:$Q12), 0), _xlfn.IFNA(_xlfn.XLOOKUP(Assumptions!BC$82, '1 Machine Build'!$F$11:$Q$11, '1 Machine Build'!$F12:$Q12), 0), _xlfn.IFNA(_xlfn.XLOOKUP(Assumptions!BC$83, '1 Machine Build'!$F$11:$Q$11, '1 Machine Build'!$F12:$Q12), 0), _xlfn.IFNA(_xlfn.XLOOKUP(Assumptions!BC$84, '1 Machine Build'!$F$11:$Q$11, '1 Machine Build'!$F12:$Q12), 0), _xlfn.IFNA(_xlfn.XLOOKUP(Assumptions!BC$85, '1 Machine Build'!$F$11:$Q$11, '1 Machine Build'!$F12:$Q12), 0), _xlfn.IFNA(_xlfn.XLOOKUP(Assumptions!BC$86, '1 Machine Build'!$F$11:$Q$11, '1 Machine Build'!$F12:$Q12), 0), _xlfn.IFNA(_xlfn.XLOOKUP(Assumptions!BC$87, '1 Machine Build'!$F$11:$Q$11, '1 Machine Build'!$F12:$Q12), 0), _xlfn.IFNA(_xlfn.XLOOKUP(Assumptions!BC$88, '1 Machine Build'!$F$11:$Q$11, '1 Machine Build'!$F12:$Q12), 0))</f>
        <v>0</v>
      </c>
      <c r="BF30" s="97">
        <f>SUM(_xlfn.IFNA(_xlfn.XLOOKUP(Assumptions!BD$81, '1 Machine Build'!$F$11:$Q$11, '1 Machine Build'!$F12:$Q12), 0), _xlfn.IFNA(_xlfn.XLOOKUP(Assumptions!BD$82, '1 Machine Build'!$F$11:$Q$11, '1 Machine Build'!$F12:$Q12), 0), _xlfn.IFNA(_xlfn.XLOOKUP(Assumptions!BD$83, '1 Machine Build'!$F$11:$Q$11, '1 Machine Build'!$F12:$Q12), 0), _xlfn.IFNA(_xlfn.XLOOKUP(Assumptions!BD$84, '1 Machine Build'!$F$11:$Q$11, '1 Machine Build'!$F12:$Q12), 0), _xlfn.IFNA(_xlfn.XLOOKUP(Assumptions!BD$85, '1 Machine Build'!$F$11:$Q$11, '1 Machine Build'!$F12:$Q12), 0), _xlfn.IFNA(_xlfn.XLOOKUP(Assumptions!BD$86, '1 Machine Build'!$F$11:$Q$11, '1 Machine Build'!$F12:$Q12), 0), _xlfn.IFNA(_xlfn.XLOOKUP(Assumptions!BD$87, '1 Machine Build'!$F$11:$Q$11, '1 Machine Build'!$F12:$Q12), 0), _xlfn.IFNA(_xlfn.XLOOKUP(Assumptions!BD$88, '1 Machine Build'!$F$11:$Q$11, '1 Machine Build'!$F12:$Q12), 0))</f>
        <v>0</v>
      </c>
      <c r="BG30" s="97">
        <f>SUM(_xlfn.IFNA(_xlfn.XLOOKUP(Assumptions!BE$81, '1 Machine Build'!$F$11:$Q$11, '1 Machine Build'!$F12:$Q12), 0), _xlfn.IFNA(_xlfn.XLOOKUP(Assumptions!BE$82, '1 Machine Build'!$F$11:$Q$11, '1 Machine Build'!$F12:$Q12), 0), _xlfn.IFNA(_xlfn.XLOOKUP(Assumptions!BE$83, '1 Machine Build'!$F$11:$Q$11, '1 Machine Build'!$F12:$Q12), 0), _xlfn.IFNA(_xlfn.XLOOKUP(Assumptions!BE$84, '1 Machine Build'!$F$11:$Q$11, '1 Machine Build'!$F12:$Q12), 0), _xlfn.IFNA(_xlfn.XLOOKUP(Assumptions!BE$85, '1 Machine Build'!$F$11:$Q$11, '1 Machine Build'!$F12:$Q12), 0), _xlfn.IFNA(_xlfn.XLOOKUP(Assumptions!BE$86, '1 Machine Build'!$F$11:$Q$11, '1 Machine Build'!$F12:$Q12), 0), _xlfn.IFNA(_xlfn.XLOOKUP(Assumptions!BE$87, '1 Machine Build'!$F$11:$Q$11, '1 Machine Build'!$F12:$Q12), 0), _xlfn.IFNA(_xlfn.XLOOKUP(Assumptions!BE$88, '1 Machine Build'!$F$11:$Q$11, '1 Machine Build'!$F12:$Q12), 0))</f>
        <v>0</v>
      </c>
      <c r="BH30" s="97">
        <f>SUM(_xlfn.IFNA(_xlfn.XLOOKUP(Assumptions!BF$81, '1 Machine Build'!$F$11:$Q$11, '1 Machine Build'!$F12:$Q12), 0), _xlfn.IFNA(_xlfn.XLOOKUP(Assumptions!BF$82, '1 Machine Build'!$F$11:$Q$11, '1 Machine Build'!$F12:$Q12), 0), _xlfn.IFNA(_xlfn.XLOOKUP(Assumptions!BF$83, '1 Machine Build'!$F$11:$Q$11, '1 Machine Build'!$F12:$Q12), 0), _xlfn.IFNA(_xlfn.XLOOKUP(Assumptions!BF$84, '1 Machine Build'!$F$11:$Q$11, '1 Machine Build'!$F12:$Q12), 0), _xlfn.IFNA(_xlfn.XLOOKUP(Assumptions!BF$85, '1 Machine Build'!$F$11:$Q$11, '1 Machine Build'!$F12:$Q12), 0), _xlfn.IFNA(_xlfn.XLOOKUP(Assumptions!BF$86, '1 Machine Build'!$F$11:$Q$11, '1 Machine Build'!$F12:$Q12), 0), _xlfn.IFNA(_xlfn.XLOOKUP(Assumptions!BF$87, '1 Machine Build'!$F$11:$Q$11, '1 Machine Build'!$F12:$Q12), 0), _xlfn.IFNA(_xlfn.XLOOKUP(Assumptions!BF$88, '1 Machine Build'!$F$11:$Q$11, '1 Machine Build'!$F12:$Q12), 0))</f>
        <v>0</v>
      </c>
      <c r="BI30" s="97">
        <f>SUM(_xlfn.IFNA(_xlfn.XLOOKUP(Assumptions!BG$81, '1 Machine Build'!$F$11:$Q$11, '1 Machine Build'!$F12:$Q12), 0), _xlfn.IFNA(_xlfn.XLOOKUP(Assumptions!BG$82, '1 Machine Build'!$F$11:$Q$11, '1 Machine Build'!$F12:$Q12), 0), _xlfn.IFNA(_xlfn.XLOOKUP(Assumptions!BG$83, '1 Machine Build'!$F$11:$Q$11, '1 Machine Build'!$F12:$Q12), 0), _xlfn.IFNA(_xlfn.XLOOKUP(Assumptions!BG$84, '1 Machine Build'!$F$11:$Q$11, '1 Machine Build'!$F12:$Q12), 0), _xlfn.IFNA(_xlfn.XLOOKUP(Assumptions!BG$85, '1 Machine Build'!$F$11:$Q$11, '1 Machine Build'!$F12:$Q12), 0), _xlfn.IFNA(_xlfn.XLOOKUP(Assumptions!BG$86, '1 Machine Build'!$F$11:$Q$11, '1 Machine Build'!$F12:$Q12), 0), _xlfn.IFNA(_xlfn.XLOOKUP(Assumptions!BG$87, '1 Machine Build'!$F$11:$Q$11, '1 Machine Build'!$F12:$Q12), 0), _xlfn.IFNA(_xlfn.XLOOKUP(Assumptions!BG$88, '1 Machine Build'!$F$11:$Q$11, '1 Machine Build'!$F12:$Q12), 0))</f>
        <v>0</v>
      </c>
      <c r="BJ30" s="97">
        <f>SUM(_xlfn.IFNA(_xlfn.XLOOKUP(Assumptions!BH$81, '1 Machine Build'!$F$11:$Q$11, '1 Machine Build'!$F12:$Q12), 0), _xlfn.IFNA(_xlfn.XLOOKUP(Assumptions!BH$82, '1 Machine Build'!$F$11:$Q$11, '1 Machine Build'!$F12:$Q12), 0), _xlfn.IFNA(_xlfn.XLOOKUP(Assumptions!BH$83, '1 Machine Build'!$F$11:$Q$11, '1 Machine Build'!$F12:$Q12), 0), _xlfn.IFNA(_xlfn.XLOOKUP(Assumptions!BH$84, '1 Machine Build'!$F$11:$Q$11, '1 Machine Build'!$F12:$Q12), 0), _xlfn.IFNA(_xlfn.XLOOKUP(Assumptions!BH$85, '1 Machine Build'!$F$11:$Q$11, '1 Machine Build'!$F12:$Q12), 0), _xlfn.IFNA(_xlfn.XLOOKUP(Assumptions!BH$86, '1 Machine Build'!$F$11:$Q$11, '1 Machine Build'!$F12:$Q12), 0), _xlfn.IFNA(_xlfn.XLOOKUP(Assumptions!BH$87, '1 Machine Build'!$F$11:$Q$11, '1 Machine Build'!$F12:$Q12), 0), _xlfn.IFNA(_xlfn.XLOOKUP(Assumptions!BH$88, '1 Machine Build'!$F$11:$Q$11, '1 Machine Build'!$F12:$Q12), 0))</f>
        <v>0</v>
      </c>
      <c r="BK30" s="97">
        <f>SUM(_xlfn.IFNA(_xlfn.XLOOKUP(Assumptions!BI$81, '1 Machine Build'!$F$11:$Q$11, '1 Machine Build'!$F12:$Q12), 0), _xlfn.IFNA(_xlfn.XLOOKUP(Assumptions!BI$82, '1 Machine Build'!$F$11:$Q$11, '1 Machine Build'!$F12:$Q12), 0), _xlfn.IFNA(_xlfn.XLOOKUP(Assumptions!BI$83, '1 Machine Build'!$F$11:$Q$11, '1 Machine Build'!$F12:$Q12), 0), _xlfn.IFNA(_xlfn.XLOOKUP(Assumptions!BI$84, '1 Machine Build'!$F$11:$Q$11, '1 Machine Build'!$F12:$Q12), 0), _xlfn.IFNA(_xlfn.XLOOKUP(Assumptions!BI$85, '1 Machine Build'!$F$11:$Q$11, '1 Machine Build'!$F12:$Q12), 0), _xlfn.IFNA(_xlfn.XLOOKUP(Assumptions!BI$86, '1 Machine Build'!$F$11:$Q$11, '1 Machine Build'!$F12:$Q12), 0), _xlfn.IFNA(_xlfn.XLOOKUP(Assumptions!BI$87, '1 Machine Build'!$F$11:$Q$11, '1 Machine Build'!$F12:$Q12), 0), _xlfn.IFNA(_xlfn.XLOOKUP(Assumptions!BI$88, '1 Machine Build'!$F$11:$Q$11, '1 Machine Build'!$F12:$Q12), 0))</f>
        <v>0</v>
      </c>
      <c r="BL30" s="97">
        <f>SUM(_xlfn.IFNA(_xlfn.XLOOKUP(Assumptions!BJ$81, '1 Machine Build'!$F$11:$Q$11, '1 Machine Build'!$F12:$Q12), 0), _xlfn.IFNA(_xlfn.XLOOKUP(Assumptions!BJ$82, '1 Machine Build'!$F$11:$Q$11, '1 Machine Build'!$F12:$Q12), 0), _xlfn.IFNA(_xlfn.XLOOKUP(Assumptions!BJ$83, '1 Machine Build'!$F$11:$Q$11, '1 Machine Build'!$F12:$Q12), 0), _xlfn.IFNA(_xlfn.XLOOKUP(Assumptions!BJ$84, '1 Machine Build'!$F$11:$Q$11, '1 Machine Build'!$F12:$Q12), 0), _xlfn.IFNA(_xlfn.XLOOKUP(Assumptions!BJ$85, '1 Machine Build'!$F$11:$Q$11, '1 Machine Build'!$F12:$Q12), 0), _xlfn.IFNA(_xlfn.XLOOKUP(Assumptions!BJ$86, '1 Machine Build'!$F$11:$Q$11, '1 Machine Build'!$F12:$Q12), 0), _xlfn.IFNA(_xlfn.XLOOKUP(Assumptions!BJ$87, '1 Machine Build'!$F$11:$Q$11, '1 Machine Build'!$F12:$Q12), 0), _xlfn.IFNA(_xlfn.XLOOKUP(Assumptions!BJ$88, '1 Machine Build'!$F$11:$Q$11, '1 Machine Build'!$F12:$Q12), 0))</f>
        <v>0</v>
      </c>
      <c r="BM30" s="97">
        <f>SUM(_xlfn.IFNA(_xlfn.XLOOKUP(Assumptions!BK$81, '1 Machine Build'!$F$11:$Q$11, '1 Machine Build'!$F12:$Q12), 0), _xlfn.IFNA(_xlfn.XLOOKUP(Assumptions!BK$82, '1 Machine Build'!$F$11:$Q$11, '1 Machine Build'!$F12:$Q12), 0), _xlfn.IFNA(_xlfn.XLOOKUP(Assumptions!BK$83, '1 Machine Build'!$F$11:$Q$11, '1 Machine Build'!$F12:$Q12), 0), _xlfn.IFNA(_xlfn.XLOOKUP(Assumptions!BK$84, '1 Machine Build'!$F$11:$Q$11, '1 Machine Build'!$F12:$Q12), 0), _xlfn.IFNA(_xlfn.XLOOKUP(Assumptions!BK$85, '1 Machine Build'!$F$11:$Q$11, '1 Machine Build'!$F12:$Q12), 0), _xlfn.IFNA(_xlfn.XLOOKUP(Assumptions!BK$86, '1 Machine Build'!$F$11:$Q$11, '1 Machine Build'!$F12:$Q12), 0), _xlfn.IFNA(_xlfn.XLOOKUP(Assumptions!BK$87, '1 Machine Build'!$F$11:$Q$11, '1 Machine Build'!$F12:$Q12), 0), _xlfn.IFNA(_xlfn.XLOOKUP(Assumptions!BK$88, '1 Machine Build'!$F$11:$Q$11, '1 Machine Build'!$F12:$Q12), 0))</f>
        <v>0</v>
      </c>
      <c r="BN30" s="97">
        <f>SUM(_xlfn.IFNA(_xlfn.XLOOKUP(Assumptions!BL$81, '1 Machine Build'!$F$11:$Q$11, '1 Machine Build'!$F12:$Q12), 0), _xlfn.IFNA(_xlfn.XLOOKUP(Assumptions!BL$82, '1 Machine Build'!$F$11:$Q$11, '1 Machine Build'!$F12:$Q12), 0), _xlfn.IFNA(_xlfn.XLOOKUP(Assumptions!BL$83, '1 Machine Build'!$F$11:$Q$11, '1 Machine Build'!$F12:$Q12), 0), _xlfn.IFNA(_xlfn.XLOOKUP(Assumptions!BL$84, '1 Machine Build'!$F$11:$Q$11, '1 Machine Build'!$F12:$Q12), 0), _xlfn.IFNA(_xlfn.XLOOKUP(Assumptions!BL$85, '1 Machine Build'!$F$11:$Q$11, '1 Machine Build'!$F12:$Q12), 0), _xlfn.IFNA(_xlfn.XLOOKUP(Assumptions!BL$86, '1 Machine Build'!$F$11:$Q$11, '1 Machine Build'!$F12:$Q12), 0), _xlfn.IFNA(_xlfn.XLOOKUP(Assumptions!BL$87, '1 Machine Build'!$F$11:$Q$11, '1 Machine Build'!$F12:$Q12), 0), _xlfn.IFNA(_xlfn.XLOOKUP(Assumptions!BL$88, '1 Machine Build'!$F$11:$Q$11, '1 Machine Build'!$F12:$Q12), 0))</f>
        <v>0</v>
      </c>
      <c r="BO30" s="97">
        <f>SUM(_xlfn.IFNA(_xlfn.XLOOKUP(Assumptions!BM$81, '1 Machine Build'!$F$11:$Q$11, '1 Machine Build'!$F12:$Q12), 0), _xlfn.IFNA(_xlfn.XLOOKUP(Assumptions!BM$82, '1 Machine Build'!$F$11:$Q$11, '1 Machine Build'!$F12:$Q12), 0), _xlfn.IFNA(_xlfn.XLOOKUP(Assumptions!BM$83, '1 Machine Build'!$F$11:$Q$11, '1 Machine Build'!$F12:$Q12), 0), _xlfn.IFNA(_xlfn.XLOOKUP(Assumptions!BM$84, '1 Machine Build'!$F$11:$Q$11, '1 Machine Build'!$F12:$Q12), 0), _xlfn.IFNA(_xlfn.XLOOKUP(Assumptions!BM$85, '1 Machine Build'!$F$11:$Q$11, '1 Machine Build'!$F12:$Q12), 0), _xlfn.IFNA(_xlfn.XLOOKUP(Assumptions!BM$86, '1 Machine Build'!$F$11:$Q$11, '1 Machine Build'!$F12:$Q12), 0), _xlfn.IFNA(_xlfn.XLOOKUP(Assumptions!BM$87, '1 Machine Build'!$F$11:$Q$11, '1 Machine Build'!$F12:$Q12), 0), _xlfn.IFNA(_xlfn.XLOOKUP(Assumptions!BM$88, '1 Machine Build'!$F$11:$Q$11, '1 Machine Build'!$F12:$Q12), 0))</f>
        <v>0</v>
      </c>
      <c r="BP30" s="97">
        <f>SUM(_xlfn.IFNA(_xlfn.XLOOKUP(Assumptions!BN$81, '1 Machine Build'!$F$11:$Q$11, '1 Machine Build'!$F12:$Q12), 0), _xlfn.IFNA(_xlfn.XLOOKUP(Assumptions!BN$82, '1 Machine Build'!$F$11:$Q$11, '1 Machine Build'!$F12:$Q12), 0), _xlfn.IFNA(_xlfn.XLOOKUP(Assumptions!BN$83, '1 Machine Build'!$F$11:$Q$11, '1 Machine Build'!$F12:$Q12), 0), _xlfn.IFNA(_xlfn.XLOOKUP(Assumptions!BN$84, '1 Machine Build'!$F$11:$Q$11, '1 Machine Build'!$F12:$Q12), 0), _xlfn.IFNA(_xlfn.XLOOKUP(Assumptions!BN$85, '1 Machine Build'!$F$11:$Q$11, '1 Machine Build'!$F12:$Q12), 0), _xlfn.IFNA(_xlfn.XLOOKUP(Assumptions!BN$86, '1 Machine Build'!$F$11:$Q$11, '1 Machine Build'!$F12:$Q12), 0), _xlfn.IFNA(_xlfn.XLOOKUP(Assumptions!BN$87, '1 Machine Build'!$F$11:$Q$11, '1 Machine Build'!$F12:$Q12), 0), _xlfn.IFNA(_xlfn.XLOOKUP(Assumptions!BN$88, '1 Machine Build'!$F$11:$Q$11, '1 Machine Build'!$F12:$Q12), 0))</f>
        <v>0</v>
      </c>
      <c r="BQ30" s="97">
        <f>SUM(_xlfn.IFNA(_xlfn.XLOOKUP(Assumptions!BO$81, '1 Machine Build'!$F$11:$Q$11, '1 Machine Build'!$F12:$Q12), 0), _xlfn.IFNA(_xlfn.XLOOKUP(Assumptions!BO$82, '1 Machine Build'!$F$11:$Q$11, '1 Machine Build'!$F12:$Q12), 0), _xlfn.IFNA(_xlfn.XLOOKUP(Assumptions!BO$83, '1 Machine Build'!$F$11:$Q$11, '1 Machine Build'!$F12:$Q12), 0), _xlfn.IFNA(_xlfn.XLOOKUP(Assumptions!BO$84, '1 Machine Build'!$F$11:$Q$11, '1 Machine Build'!$F12:$Q12), 0), _xlfn.IFNA(_xlfn.XLOOKUP(Assumptions!BO$85, '1 Machine Build'!$F$11:$Q$11, '1 Machine Build'!$F12:$Q12), 0), _xlfn.IFNA(_xlfn.XLOOKUP(Assumptions!BO$86, '1 Machine Build'!$F$11:$Q$11, '1 Machine Build'!$F12:$Q12), 0), _xlfn.IFNA(_xlfn.XLOOKUP(Assumptions!BO$87, '1 Machine Build'!$F$11:$Q$11, '1 Machine Build'!$F12:$Q12), 0), _xlfn.IFNA(_xlfn.XLOOKUP(Assumptions!BO$88, '1 Machine Build'!$F$11:$Q$11, '1 Machine Build'!$F12:$Q12), 0))</f>
        <v>0</v>
      </c>
      <c r="BR30" s="97">
        <f>SUM(_xlfn.IFNA(_xlfn.XLOOKUP(Assumptions!BP$81, '1 Machine Build'!$F$11:$Q$11, '1 Machine Build'!$F12:$Q12), 0), _xlfn.IFNA(_xlfn.XLOOKUP(Assumptions!BP$82, '1 Machine Build'!$F$11:$Q$11, '1 Machine Build'!$F12:$Q12), 0), _xlfn.IFNA(_xlfn.XLOOKUP(Assumptions!BP$83, '1 Machine Build'!$F$11:$Q$11, '1 Machine Build'!$F12:$Q12), 0), _xlfn.IFNA(_xlfn.XLOOKUP(Assumptions!BP$84, '1 Machine Build'!$F$11:$Q$11, '1 Machine Build'!$F12:$Q12), 0), _xlfn.IFNA(_xlfn.XLOOKUP(Assumptions!BP$85, '1 Machine Build'!$F$11:$Q$11, '1 Machine Build'!$F12:$Q12), 0), _xlfn.IFNA(_xlfn.XLOOKUP(Assumptions!BP$86, '1 Machine Build'!$F$11:$Q$11, '1 Machine Build'!$F12:$Q12), 0), _xlfn.IFNA(_xlfn.XLOOKUP(Assumptions!BP$87, '1 Machine Build'!$F$11:$Q$11, '1 Machine Build'!$F12:$Q12), 0), _xlfn.IFNA(_xlfn.XLOOKUP(Assumptions!BP$88, '1 Machine Build'!$F$11:$Q$11, '1 Machine Build'!$F12:$Q12), 0))</f>
        <v>0</v>
      </c>
      <c r="BS30" s="97">
        <f>SUM(_xlfn.IFNA(_xlfn.XLOOKUP(Assumptions!BQ$81, '1 Machine Build'!$F$11:$Q$11, '1 Machine Build'!$F12:$Q12), 0), _xlfn.IFNA(_xlfn.XLOOKUP(Assumptions!BQ$82, '1 Machine Build'!$F$11:$Q$11, '1 Machine Build'!$F12:$Q12), 0), _xlfn.IFNA(_xlfn.XLOOKUP(Assumptions!BQ$83, '1 Machine Build'!$F$11:$Q$11, '1 Machine Build'!$F12:$Q12), 0), _xlfn.IFNA(_xlfn.XLOOKUP(Assumptions!BQ$84, '1 Machine Build'!$F$11:$Q$11, '1 Machine Build'!$F12:$Q12), 0), _xlfn.IFNA(_xlfn.XLOOKUP(Assumptions!BQ$85, '1 Machine Build'!$F$11:$Q$11, '1 Machine Build'!$F12:$Q12), 0), _xlfn.IFNA(_xlfn.XLOOKUP(Assumptions!BQ$86, '1 Machine Build'!$F$11:$Q$11, '1 Machine Build'!$F12:$Q12), 0), _xlfn.IFNA(_xlfn.XLOOKUP(Assumptions!BQ$87, '1 Machine Build'!$F$11:$Q$11, '1 Machine Build'!$F12:$Q12), 0), _xlfn.IFNA(_xlfn.XLOOKUP(Assumptions!BQ$88, '1 Machine Build'!$F$11:$Q$11, '1 Machine Build'!$F12:$Q12), 0))</f>
        <v>0</v>
      </c>
      <c r="BT30" s="97">
        <f>SUM(_xlfn.IFNA(_xlfn.XLOOKUP(Assumptions!BR$81, '1 Machine Build'!$F$11:$Q$11, '1 Machine Build'!$F12:$Q12), 0), _xlfn.IFNA(_xlfn.XLOOKUP(Assumptions!BR$82, '1 Machine Build'!$F$11:$Q$11, '1 Machine Build'!$F12:$Q12), 0), _xlfn.IFNA(_xlfn.XLOOKUP(Assumptions!BR$83, '1 Machine Build'!$F$11:$Q$11, '1 Machine Build'!$F12:$Q12), 0), _xlfn.IFNA(_xlfn.XLOOKUP(Assumptions!BR$84, '1 Machine Build'!$F$11:$Q$11, '1 Machine Build'!$F12:$Q12), 0), _xlfn.IFNA(_xlfn.XLOOKUP(Assumptions!BR$85, '1 Machine Build'!$F$11:$Q$11, '1 Machine Build'!$F12:$Q12), 0), _xlfn.IFNA(_xlfn.XLOOKUP(Assumptions!BR$86, '1 Machine Build'!$F$11:$Q$11, '1 Machine Build'!$F12:$Q12), 0), _xlfn.IFNA(_xlfn.XLOOKUP(Assumptions!BR$87, '1 Machine Build'!$F$11:$Q$11, '1 Machine Build'!$F12:$Q12), 0), _xlfn.IFNA(_xlfn.XLOOKUP(Assumptions!BR$88, '1 Machine Build'!$F$11:$Q$11, '1 Machine Build'!$F12:$Q12), 0))</f>
        <v>0</v>
      </c>
      <c r="BU30" s="97">
        <f>SUM(_xlfn.IFNA(_xlfn.XLOOKUP(Assumptions!BS$81, '1 Machine Build'!$F$11:$Q$11, '1 Machine Build'!$F12:$Q12), 0), _xlfn.IFNA(_xlfn.XLOOKUP(Assumptions!BS$82, '1 Machine Build'!$F$11:$Q$11, '1 Machine Build'!$F12:$Q12), 0), _xlfn.IFNA(_xlfn.XLOOKUP(Assumptions!BS$83, '1 Machine Build'!$F$11:$Q$11, '1 Machine Build'!$F12:$Q12), 0), _xlfn.IFNA(_xlfn.XLOOKUP(Assumptions!BS$84, '1 Machine Build'!$F$11:$Q$11, '1 Machine Build'!$F12:$Q12), 0), _xlfn.IFNA(_xlfn.XLOOKUP(Assumptions!BS$85, '1 Machine Build'!$F$11:$Q$11, '1 Machine Build'!$F12:$Q12), 0), _xlfn.IFNA(_xlfn.XLOOKUP(Assumptions!BS$86, '1 Machine Build'!$F$11:$Q$11, '1 Machine Build'!$F12:$Q12), 0), _xlfn.IFNA(_xlfn.XLOOKUP(Assumptions!BS$87, '1 Machine Build'!$F$11:$Q$11, '1 Machine Build'!$F12:$Q12), 0), _xlfn.IFNA(_xlfn.XLOOKUP(Assumptions!BS$88, '1 Machine Build'!$F$11:$Q$11, '1 Machine Build'!$F12:$Q12), 0))</f>
        <v>0</v>
      </c>
      <c r="BV30" s="97">
        <f>SUM(_xlfn.IFNA(_xlfn.XLOOKUP(Assumptions!BT$81, '1 Machine Build'!$F$11:$Q$11, '1 Machine Build'!$F12:$Q12), 0), _xlfn.IFNA(_xlfn.XLOOKUP(Assumptions!BT$82, '1 Machine Build'!$F$11:$Q$11, '1 Machine Build'!$F12:$Q12), 0), _xlfn.IFNA(_xlfn.XLOOKUP(Assumptions!BT$83, '1 Machine Build'!$F$11:$Q$11, '1 Machine Build'!$F12:$Q12), 0), _xlfn.IFNA(_xlfn.XLOOKUP(Assumptions!BT$84, '1 Machine Build'!$F$11:$Q$11, '1 Machine Build'!$F12:$Q12), 0), _xlfn.IFNA(_xlfn.XLOOKUP(Assumptions!BT$85, '1 Machine Build'!$F$11:$Q$11, '1 Machine Build'!$F12:$Q12), 0), _xlfn.IFNA(_xlfn.XLOOKUP(Assumptions!BT$86, '1 Machine Build'!$F$11:$Q$11, '1 Machine Build'!$F12:$Q12), 0), _xlfn.IFNA(_xlfn.XLOOKUP(Assumptions!BT$87, '1 Machine Build'!$F$11:$Q$11, '1 Machine Build'!$F12:$Q12), 0), _xlfn.IFNA(_xlfn.XLOOKUP(Assumptions!BT$88, '1 Machine Build'!$F$11:$Q$11, '1 Machine Build'!$F12:$Q12), 0))</f>
        <v>0</v>
      </c>
      <c r="BW30" s="97">
        <f>SUM(_xlfn.IFNA(_xlfn.XLOOKUP(Assumptions!BU$81, '1 Machine Build'!$F$11:$Q$11, '1 Machine Build'!$F12:$Q12), 0), _xlfn.IFNA(_xlfn.XLOOKUP(Assumptions!BU$82, '1 Machine Build'!$F$11:$Q$11, '1 Machine Build'!$F12:$Q12), 0), _xlfn.IFNA(_xlfn.XLOOKUP(Assumptions!BU$83, '1 Machine Build'!$F$11:$Q$11, '1 Machine Build'!$F12:$Q12), 0), _xlfn.IFNA(_xlfn.XLOOKUP(Assumptions!BU$84, '1 Machine Build'!$F$11:$Q$11, '1 Machine Build'!$F12:$Q12), 0), _xlfn.IFNA(_xlfn.XLOOKUP(Assumptions!BU$85, '1 Machine Build'!$F$11:$Q$11, '1 Machine Build'!$F12:$Q12), 0), _xlfn.IFNA(_xlfn.XLOOKUP(Assumptions!BU$86, '1 Machine Build'!$F$11:$Q$11, '1 Machine Build'!$F12:$Q12), 0), _xlfn.IFNA(_xlfn.XLOOKUP(Assumptions!BU$87, '1 Machine Build'!$F$11:$Q$11, '1 Machine Build'!$F12:$Q12), 0), _xlfn.IFNA(_xlfn.XLOOKUP(Assumptions!BU$88, '1 Machine Build'!$F$11:$Q$11, '1 Machine Build'!$F12:$Q12), 0))</f>
        <v>0</v>
      </c>
      <c r="BX30" s="97">
        <f>SUM(_xlfn.IFNA(_xlfn.XLOOKUP(Assumptions!BV$81, '1 Machine Build'!$F$11:$Q$11, '1 Machine Build'!$F12:$Q12), 0), _xlfn.IFNA(_xlfn.XLOOKUP(Assumptions!BV$82, '1 Machine Build'!$F$11:$Q$11, '1 Machine Build'!$F12:$Q12), 0), _xlfn.IFNA(_xlfn.XLOOKUP(Assumptions!BV$83, '1 Machine Build'!$F$11:$Q$11, '1 Machine Build'!$F12:$Q12), 0), _xlfn.IFNA(_xlfn.XLOOKUP(Assumptions!BV$84, '1 Machine Build'!$F$11:$Q$11, '1 Machine Build'!$F12:$Q12), 0), _xlfn.IFNA(_xlfn.XLOOKUP(Assumptions!BV$85, '1 Machine Build'!$F$11:$Q$11, '1 Machine Build'!$F12:$Q12), 0), _xlfn.IFNA(_xlfn.XLOOKUP(Assumptions!BV$86, '1 Machine Build'!$F$11:$Q$11, '1 Machine Build'!$F12:$Q12), 0), _xlfn.IFNA(_xlfn.XLOOKUP(Assumptions!BV$87, '1 Machine Build'!$F$11:$Q$11, '1 Machine Build'!$F12:$Q12), 0), _xlfn.IFNA(_xlfn.XLOOKUP(Assumptions!BV$88, '1 Machine Build'!$F$11:$Q$11, '1 Machine Build'!$F12:$Q12), 0))</f>
        <v>0</v>
      </c>
      <c r="BY30" s="97">
        <f>SUM(_xlfn.IFNA(_xlfn.XLOOKUP(Assumptions!BW$81, '1 Machine Build'!$F$11:$Q$11, '1 Machine Build'!$F12:$Q12), 0), _xlfn.IFNA(_xlfn.XLOOKUP(Assumptions!BW$82, '1 Machine Build'!$F$11:$Q$11, '1 Machine Build'!$F12:$Q12), 0), _xlfn.IFNA(_xlfn.XLOOKUP(Assumptions!BW$83, '1 Machine Build'!$F$11:$Q$11, '1 Machine Build'!$F12:$Q12), 0), _xlfn.IFNA(_xlfn.XLOOKUP(Assumptions!BW$84, '1 Machine Build'!$F$11:$Q$11, '1 Machine Build'!$F12:$Q12), 0), _xlfn.IFNA(_xlfn.XLOOKUP(Assumptions!BW$85, '1 Machine Build'!$F$11:$Q$11, '1 Machine Build'!$F12:$Q12), 0), _xlfn.IFNA(_xlfn.XLOOKUP(Assumptions!BW$86, '1 Machine Build'!$F$11:$Q$11, '1 Machine Build'!$F12:$Q12), 0), _xlfn.IFNA(_xlfn.XLOOKUP(Assumptions!BW$87, '1 Machine Build'!$F$11:$Q$11, '1 Machine Build'!$F12:$Q12), 0), _xlfn.IFNA(_xlfn.XLOOKUP(Assumptions!BW$88, '1 Machine Build'!$F$11:$Q$11, '1 Machine Build'!$F12:$Q12), 0))</f>
        <v>0</v>
      </c>
      <c r="BZ30" s="97">
        <f>SUM(_xlfn.IFNA(_xlfn.XLOOKUP(Assumptions!BX$81, '1 Machine Build'!$F$11:$Q$11, '1 Machine Build'!$F12:$Q12), 0), _xlfn.IFNA(_xlfn.XLOOKUP(Assumptions!BX$82, '1 Machine Build'!$F$11:$Q$11, '1 Machine Build'!$F12:$Q12), 0), _xlfn.IFNA(_xlfn.XLOOKUP(Assumptions!BX$83, '1 Machine Build'!$F$11:$Q$11, '1 Machine Build'!$F12:$Q12), 0), _xlfn.IFNA(_xlfn.XLOOKUP(Assumptions!BX$84, '1 Machine Build'!$F$11:$Q$11, '1 Machine Build'!$F12:$Q12), 0), _xlfn.IFNA(_xlfn.XLOOKUP(Assumptions!BX$85, '1 Machine Build'!$F$11:$Q$11, '1 Machine Build'!$F12:$Q12), 0), _xlfn.IFNA(_xlfn.XLOOKUP(Assumptions!BX$86, '1 Machine Build'!$F$11:$Q$11, '1 Machine Build'!$F12:$Q12), 0), _xlfn.IFNA(_xlfn.XLOOKUP(Assumptions!BX$87, '1 Machine Build'!$F$11:$Q$11, '1 Machine Build'!$F12:$Q12), 0), _xlfn.IFNA(_xlfn.XLOOKUP(Assumptions!BX$88, '1 Machine Build'!$F$11:$Q$11, '1 Machine Build'!$F12:$Q12), 0))</f>
        <v>0</v>
      </c>
      <c r="CA30" s="97">
        <f>SUM(_xlfn.IFNA(_xlfn.XLOOKUP(Assumptions!BY$81, '1 Machine Build'!$F$11:$Q$11, '1 Machine Build'!$F12:$Q12), 0), _xlfn.IFNA(_xlfn.XLOOKUP(Assumptions!BY$82, '1 Machine Build'!$F$11:$Q$11, '1 Machine Build'!$F12:$Q12), 0), _xlfn.IFNA(_xlfn.XLOOKUP(Assumptions!BY$83, '1 Machine Build'!$F$11:$Q$11, '1 Machine Build'!$F12:$Q12), 0), _xlfn.IFNA(_xlfn.XLOOKUP(Assumptions!BY$84, '1 Machine Build'!$F$11:$Q$11, '1 Machine Build'!$F12:$Q12), 0), _xlfn.IFNA(_xlfn.XLOOKUP(Assumptions!BY$85, '1 Machine Build'!$F$11:$Q$11, '1 Machine Build'!$F12:$Q12), 0), _xlfn.IFNA(_xlfn.XLOOKUP(Assumptions!BY$86, '1 Machine Build'!$F$11:$Q$11, '1 Machine Build'!$F12:$Q12), 0), _xlfn.IFNA(_xlfn.XLOOKUP(Assumptions!BY$87, '1 Machine Build'!$F$11:$Q$11, '1 Machine Build'!$F12:$Q12), 0), _xlfn.IFNA(_xlfn.XLOOKUP(Assumptions!BY$88, '1 Machine Build'!$F$11:$Q$11, '1 Machine Build'!$F12:$Q12), 0))</f>
        <v>0</v>
      </c>
      <c r="CB30" s="97">
        <f>SUM(_xlfn.IFNA(_xlfn.XLOOKUP(Assumptions!BZ$81, '1 Machine Build'!$F$11:$Q$11, '1 Machine Build'!$F12:$Q12), 0), _xlfn.IFNA(_xlfn.XLOOKUP(Assumptions!BZ$82, '1 Machine Build'!$F$11:$Q$11, '1 Machine Build'!$F12:$Q12), 0), _xlfn.IFNA(_xlfn.XLOOKUP(Assumptions!BZ$83, '1 Machine Build'!$F$11:$Q$11, '1 Machine Build'!$F12:$Q12), 0), _xlfn.IFNA(_xlfn.XLOOKUP(Assumptions!BZ$84, '1 Machine Build'!$F$11:$Q$11, '1 Machine Build'!$F12:$Q12), 0), _xlfn.IFNA(_xlfn.XLOOKUP(Assumptions!BZ$85, '1 Machine Build'!$F$11:$Q$11, '1 Machine Build'!$F12:$Q12), 0), _xlfn.IFNA(_xlfn.XLOOKUP(Assumptions!BZ$86, '1 Machine Build'!$F$11:$Q$11, '1 Machine Build'!$F12:$Q12), 0), _xlfn.IFNA(_xlfn.XLOOKUP(Assumptions!BZ$87, '1 Machine Build'!$F$11:$Q$11, '1 Machine Build'!$F12:$Q12), 0), _xlfn.IFNA(_xlfn.XLOOKUP(Assumptions!BZ$88, '1 Machine Build'!$F$11:$Q$11, '1 Machine Build'!$F12:$Q12), 0))</f>
        <v>0</v>
      </c>
      <c r="CC30" s="97">
        <f>SUM(_xlfn.IFNA(_xlfn.XLOOKUP(Assumptions!CA$81, '1 Machine Build'!$F$11:$Q$11, '1 Machine Build'!$F12:$Q12), 0), _xlfn.IFNA(_xlfn.XLOOKUP(Assumptions!CA$82, '1 Machine Build'!$F$11:$Q$11, '1 Machine Build'!$F12:$Q12), 0), _xlfn.IFNA(_xlfn.XLOOKUP(Assumptions!CA$83, '1 Machine Build'!$F$11:$Q$11, '1 Machine Build'!$F12:$Q12), 0), _xlfn.IFNA(_xlfn.XLOOKUP(Assumptions!CA$84, '1 Machine Build'!$F$11:$Q$11, '1 Machine Build'!$F12:$Q12), 0), _xlfn.IFNA(_xlfn.XLOOKUP(Assumptions!CA$85, '1 Machine Build'!$F$11:$Q$11, '1 Machine Build'!$F12:$Q12), 0), _xlfn.IFNA(_xlfn.XLOOKUP(Assumptions!CA$86, '1 Machine Build'!$F$11:$Q$11, '1 Machine Build'!$F12:$Q12), 0), _xlfn.IFNA(_xlfn.XLOOKUP(Assumptions!CA$87, '1 Machine Build'!$F$11:$Q$11, '1 Machine Build'!$F12:$Q12), 0), _xlfn.IFNA(_xlfn.XLOOKUP(Assumptions!CA$88, '1 Machine Build'!$F$11:$Q$11, '1 Machine Build'!$F12:$Q12), 0))</f>
        <v>0</v>
      </c>
      <c r="CD30" s="97">
        <f>SUM(_xlfn.IFNA(_xlfn.XLOOKUP(Assumptions!CB$81, '1 Machine Build'!$F$11:$Q$11, '1 Machine Build'!$F12:$Q12), 0), _xlfn.IFNA(_xlfn.XLOOKUP(Assumptions!CB$82, '1 Machine Build'!$F$11:$Q$11, '1 Machine Build'!$F12:$Q12), 0), _xlfn.IFNA(_xlfn.XLOOKUP(Assumptions!CB$83, '1 Machine Build'!$F$11:$Q$11, '1 Machine Build'!$F12:$Q12), 0), _xlfn.IFNA(_xlfn.XLOOKUP(Assumptions!CB$84, '1 Machine Build'!$F$11:$Q$11, '1 Machine Build'!$F12:$Q12), 0), _xlfn.IFNA(_xlfn.XLOOKUP(Assumptions!CB$85, '1 Machine Build'!$F$11:$Q$11, '1 Machine Build'!$F12:$Q12), 0), _xlfn.IFNA(_xlfn.XLOOKUP(Assumptions!CB$86, '1 Machine Build'!$F$11:$Q$11, '1 Machine Build'!$F12:$Q12), 0), _xlfn.IFNA(_xlfn.XLOOKUP(Assumptions!CB$87, '1 Machine Build'!$F$11:$Q$11, '1 Machine Build'!$F12:$Q12), 0), _xlfn.IFNA(_xlfn.XLOOKUP(Assumptions!CB$88, '1 Machine Build'!$F$11:$Q$11, '1 Machine Build'!$F12:$Q12), 0))</f>
        <v>0</v>
      </c>
      <c r="CE30" s="97">
        <f>SUM(_xlfn.IFNA(_xlfn.XLOOKUP(Assumptions!CC$81, '1 Machine Build'!$F$11:$Q$11, '1 Machine Build'!$F12:$Q12), 0), _xlfn.IFNA(_xlfn.XLOOKUP(Assumptions!CC$82, '1 Machine Build'!$F$11:$Q$11, '1 Machine Build'!$F12:$Q12), 0), _xlfn.IFNA(_xlfn.XLOOKUP(Assumptions!CC$83, '1 Machine Build'!$F$11:$Q$11, '1 Machine Build'!$F12:$Q12), 0), _xlfn.IFNA(_xlfn.XLOOKUP(Assumptions!CC$84, '1 Machine Build'!$F$11:$Q$11, '1 Machine Build'!$F12:$Q12), 0), _xlfn.IFNA(_xlfn.XLOOKUP(Assumptions!CC$85, '1 Machine Build'!$F$11:$Q$11, '1 Machine Build'!$F12:$Q12), 0), _xlfn.IFNA(_xlfn.XLOOKUP(Assumptions!CC$86, '1 Machine Build'!$F$11:$Q$11, '1 Machine Build'!$F12:$Q12), 0), _xlfn.IFNA(_xlfn.XLOOKUP(Assumptions!CC$87, '1 Machine Build'!$F$11:$Q$11, '1 Machine Build'!$F12:$Q12), 0), _xlfn.IFNA(_xlfn.XLOOKUP(Assumptions!CC$88, '1 Machine Build'!$F$11:$Q$11, '1 Machine Build'!$F12:$Q12), 0))</f>
        <v>0</v>
      </c>
      <c r="CF30" s="97">
        <f>SUM(_xlfn.IFNA(_xlfn.XLOOKUP(Assumptions!CD$81, '1 Machine Build'!$F$11:$Q$11, '1 Machine Build'!$F12:$Q12), 0), _xlfn.IFNA(_xlfn.XLOOKUP(Assumptions!CD$82, '1 Machine Build'!$F$11:$Q$11, '1 Machine Build'!$F12:$Q12), 0), _xlfn.IFNA(_xlfn.XLOOKUP(Assumptions!CD$83, '1 Machine Build'!$F$11:$Q$11, '1 Machine Build'!$F12:$Q12), 0), _xlfn.IFNA(_xlfn.XLOOKUP(Assumptions!CD$84, '1 Machine Build'!$F$11:$Q$11, '1 Machine Build'!$F12:$Q12), 0), _xlfn.IFNA(_xlfn.XLOOKUP(Assumptions!CD$85, '1 Machine Build'!$F$11:$Q$11, '1 Machine Build'!$F12:$Q12), 0), _xlfn.IFNA(_xlfn.XLOOKUP(Assumptions!CD$86, '1 Machine Build'!$F$11:$Q$11, '1 Machine Build'!$F12:$Q12), 0), _xlfn.IFNA(_xlfn.XLOOKUP(Assumptions!CD$87, '1 Machine Build'!$F$11:$Q$11, '1 Machine Build'!$F12:$Q12), 0), _xlfn.IFNA(_xlfn.XLOOKUP(Assumptions!CD$88, '1 Machine Build'!$F$11:$Q$11, '1 Machine Build'!$F12:$Q12), 0))</f>
        <v>0</v>
      </c>
      <c r="CG30" s="97">
        <f>SUM(_xlfn.IFNA(_xlfn.XLOOKUP(Assumptions!CE$81, '1 Machine Build'!$F$11:$Q$11, '1 Machine Build'!$F12:$Q12), 0), _xlfn.IFNA(_xlfn.XLOOKUP(Assumptions!CE$82, '1 Machine Build'!$F$11:$Q$11, '1 Machine Build'!$F12:$Q12), 0), _xlfn.IFNA(_xlfn.XLOOKUP(Assumptions!CE$83, '1 Machine Build'!$F$11:$Q$11, '1 Machine Build'!$F12:$Q12), 0), _xlfn.IFNA(_xlfn.XLOOKUP(Assumptions!CE$84, '1 Machine Build'!$F$11:$Q$11, '1 Machine Build'!$F12:$Q12), 0), _xlfn.IFNA(_xlfn.XLOOKUP(Assumptions!CE$85, '1 Machine Build'!$F$11:$Q$11, '1 Machine Build'!$F12:$Q12), 0), _xlfn.IFNA(_xlfn.XLOOKUP(Assumptions!CE$86, '1 Machine Build'!$F$11:$Q$11, '1 Machine Build'!$F12:$Q12), 0), _xlfn.IFNA(_xlfn.XLOOKUP(Assumptions!CE$87, '1 Machine Build'!$F$11:$Q$11, '1 Machine Build'!$F12:$Q12), 0), _xlfn.IFNA(_xlfn.XLOOKUP(Assumptions!CE$88, '1 Machine Build'!$F$11:$Q$11, '1 Machine Build'!$F12:$Q12), 0))</f>
        <v>0</v>
      </c>
      <c r="CH30" s="97">
        <f>SUM(_xlfn.IFNA(_xlfn.XLOOKUP(Assumptions!CF$81, '1 Machine Build'!$F$11:$Q$11, '1 Machine Build'!$F12:$Q12), 0), _xlfn.IFNA(_xlfn.XLOOKUP(Assumptions!CF$82, '1 Machine Build'!$F$11:$Q$11, '1 Machine Build'!$F12:$Q12), 0), _xlfn.IFNA(_xlfn.XLOOKUP(Assumptions!CF$83, '1 Machine Build'!$F$11:$Q$11, '1 Machine Build'!$F12:$Q12), 0), _xlfn.IFNA(_xlfn.XLOOKUP(Assumptions!CF$84, '1 Machine Build'!$F$11:$Q$11, '1 Machine Build'!$F12:$Q12), 0), _xlfn.IFNA(_xlfn.XLOOKUP(Assumptions!CF$85, '1 Machine Build'!$F$11:$Q$11, '1 Machine Build'!$F12:$Q12), 0), _xlfn.IFNA(_xlfn.XLOOKUP(Assumptions!CF$86, '1 Machine Build'!$F$11:$Q$11, '1 Machine Build'!$F12:$Q12), 0), _xlfn.IFNA(_xlfn.XLOOKUP(Assumptions!CF$87, '1 Machine Build'!$F$11:$Q$11, '1 Machine Build'!$F12:$Q12), 0), _xlfn.IFNA(_xlfn.XLOOKUP(Assumptions!CF$88, '1 Machine Build'!$F$11:$Q$11, '1 Machine Build'!$F12:$Q12), 0))</f>
        <v>0</v>
      </c>
      <c r="CI30" s="97">
        <f>SUM(_xlfn.IFNA(_xlfn.XLOOKUP(Assumptions!CG$81, '1 Machine Build'!$F$11:$Q$11, '1 Machine Build'!$F12:$Q12), 0), _xlfn.IFNA(_xlfn.XLOOKUP(Assumptions!CG$82, '1 Machine Build'!$F$11:$Q$11, '1 Machine Build'!$F12:$Q12), 0), _xlfn.IFNA(_xlfn.XLOOKUP(Assumptions!CG$83, '1 Machine Build'!$F$11:$Q$11, '1 Machine Build'!$F12:$Q12), 0), _xlfn.IFNA(_xlfn.XLOOKUP(Assumptions!CG$84, '1 Machine Build'!$F$11:$Q$11, '1 Machine Build'!$F12:$Q12), 0), _xlfn.IFNA(_xlfn.XLOOKUP(Assumptions!CG$85, '1 Machine Build'!$F$11:$Q$11, '1 Machine Build'!$F12:$Q12), 0), _xlfn.IFNA(_xlfn.XLOOKUP(Assumptions!CG$86, '1 Machine Build'!$F$11:$Q$11, '1 Machine Build'!$F12:$Q12), 0), _xlfn.IFNA(_xlfn.XLOOKUP(Assumptions!CG$87, '1 Machine Build'!$F$11:$Q$11, '1 Machine Build'!$F12:$Q12), 0), _xlfn.IFNA(_xlfn.XLOOKUP(Assumptions!CG$88, '1 Machine Build'!$F$11:$Q$11, '1 Machine Build'!$F12:$Q12), 0))</f>
        <v>0</v>
      </c>
      <c r="CJ30" s="97">
        <f>SUM(_xlfn.IFNA(_xlfn.XLOOKUP(Assumptions!CH$81, '1 Machine Build'!$F$11:$Q$11, '1 Machine Build'!$F12:$Q12), 0), _xlfn.IFNA(_xlfn.XLOOKUP(Assumptions!CH$82, '1 Machine Build'!$F$11:$Q$11, '1 Machine Build'!$F12:$Q12), 0), _xlfn.IFNA(_xlfn.XLOOKUP(Assumptions!CH$83, '1 Machine Build'!$F$11:$Q$11, '1 Machine Build'!$F12:$Q12), 0), _xlfn.IFNA(_xlfn.XLOOKUP(Assumptions!CH$84, '1 Machine Build'!$F$11:$Q$11, '1 Machine Build'!$F12:$Q12), 0), _xlfn.IFNA(_xlfn.XLOOKUP(Assumptions!CH$85, '1 Machine Build'!$F$11:$Q$11, '1 Machine Build'!$F12:$Q12), 0), _xlfn.IFNA(_xlfn.XLOOKUP(Assumptions!CH$86, '1 Machine Build'!$F$11:$Q$11, '1 Machine Build'!$F12:$Q12), 0), _xlfn.IFNA(_xlfn.XLOOKUP(Assumptions!CH$87, '1 Machine Build'!$F$11:$Q$11, '1 Machine Build'!$F12:$Q12), 0), _xlfn.IFNA(_xlfn.XLOOKUP(Assumptions!CH$88, '1 Machine Build'!$F$11:$Q$11, '1 Machine Build'!$F12:$Q12), 0))</f>
        <v>0</v>
      </c>
      <c r="CK30" s="97">
        <f>SUM(_xlfn.IFNA(_xlfn.XLOOKUP(Assumptions!CI$81, '1 Machine Build'!$F$11:$Q$11, '1 Machine Build'!$F12:$Q12), 0), _xlfn.IFNA(_xlfn.XLOOKUP(Assumptions!CI$82, '1 Machine Build'!$F$11:$Q$11, '1 Machine Build'!$F12:$Q12), 0), _xlfn.IFNA(_xlfn.XLOOKUP(Assumptions!CI$83, '1 Machine Build'!$F$11:$Q$11, '1 Machine Build'!$F12:$Q12), 0), _xlfn.IFNA(_xlfn.XLOOKUP(Assumptions!CI$84, '1 Machine Build'!$F$11:$Q$11, '1 Machine Build'!$F12:$Q12), 0), _xlfn.IFNA(_xlfn.XLOOKUP(Assumptions!CI$85, '1 Machine Build'!$F$11:$Q$11, '1 Machine Build'!$F12:$Q12), 0), _xlfn.IFNA(_xlfn.XLOOKUP(Assumptions!CI$86, '1 Machine Build'!$F$11:$Q$11, '1 Machine Build'!$F12:$Q12), 0), _xlfn.IFNA(_xlfn.XLOOKUP(Assumptions!CI$87, '1 Machine Build'!$F$11:$Q$11, '1 Machine Build'!$F12:$Q12), 0), _xlfn.IFNA(_xlfn.XLOOKUP(Assumptions!CI$88, '1 Machine Build'!$F$11:$Q$11, '1 Machine Build'!$F12:$Q12), 0))</f>
        <v>0</v>
      </c>
      <c r="CL30" s="97">
        <f>SUM(_xlfn.IFNA(_xlfn.XLOOKUP(Assumptions!CJ$81, '1 Machine Build'!$F$11:$Q$11, '1 Machine Build'!$F12:$Q12), 0), _xlfn.IFNA(_xlfn.XLOOKUP(Assumptions!CJ$82, '1 Machine Build'!$F$11:$Q$11, '1 Machine Build'!$F12:$Q12), 0), _xlfn.IFNA(_xlfn.XLOOKUP(Assumptions!CJ$83, '1 Machine Build'!$F$11:$Q$11, '1 Machine Build'!$F12:$Q12), 0), _xlfn.IFNA(_xlfn.XLOOKUP(Assumptions!CJ$84, '1 Machine Build'!$F$11:$Q$11, '1 Machine Build'!$F12:$Q12), 0), _xlfn.IFNA(_xlfn.XLOOKUP(Assumptions!CJ$85, '1 Machine Build'!$F$11:$Q$11, '1 Machine Build'!$F12:$Q12), 0), _xlfn.IFNA(_xlfn.XLOOKUP(Assumptions!CJ$86, '1 Machine Build'!$F$11:$Q$11, '1 Machine Build'!$F12:$Q12), 0), _xlfn.IFNA(_xlfn.XLOOKUP(Assumptions!CJ$87, '1 Machine Build'!$F$11:$Q$11, '1 Machine Build'!$F12:$Q12), 0), _xlfn.IFNA(_xlfn.XLOOKUP(Assumptions!CJ$88, '1 Machine Build'!$F$11:$Q$11, '1 Machine Build'!$F12:$Q12), 0))</f>
        <v>0</v>
      </c>
      <c r="CM30" s="97">
        <f>SUM(_xlfn.IFNA(_xlfn.XLOOKUP(Assumptions!CK$81, '1 Machine Build'!$F$11:$Q$11, '1 Machine Build'!$F12:$Q12), 0), _xlfn.IFNA(_xlfn.XLOOKUP(Assumptions!CK$82, '1 Machine Build'!$F$11:$Q$11, '1 Machine Build'!$F12:$Q12), 0), _xlfn.IFNA(_xlfn.XLOOKUP(Assumptions!CK$83, '1 Machine Build'!$F$11:$Q$11, '1 Machine Build'!$F12:$Q12), 0), _xlfn.IFNA(_xlfn.XLOOKUP(Assumptions!CK$84, '1 Machine Build'!$F$11:$Q$11, '1 Machine Build'!$F12:$Q12), 0), _xlfn.IFNA(_xlfn.XLOOKUP(Assumptions!CK$85, '1 Machine Build'!$F$11:$Q$11, '1 Machine Build'!$F12:$Q12), 0), _xlfn.IFNA(_xlfn.XLOOKUP(Assumptions!CK$86, '1 Machine Build'!$F$11:$Q$11, '1 Machine Build'!$F12:$Q12), 0), _xlfn.IFNA(_xlfn.XLOOKUP(Assumptions!CK$87, '1 Machine Build'!$F$11:$Q$11, '1 Machine Build'!$F12:$Q12), 0), _xlfn.IFNA(_xlfn.XLOOKUP(Assumptions!CK$88, '1 Machine Build'!$F$11:$Q$11, '1 Machine Build'!$F12:$Q12), 0))</f>
        <v>0</v>
      </c>
      <c r="CN30" s="97">
        <f>SUM(_xlfn.IFNA(_xlfn.XLOOKUP(Assumptions!CL$81, '1 Machine Build'!$F$11:$Q$11, '1 Machine Build'!$F12:$Q12), 0), _xlfn.IFNA(_xlfn.XLOOKUP(Assumptions!CL$82, '1 Machine Build'!$F$11:$Q$11, '1 Machine Build'!$F12:$Q12), 0), _xlfn.IFNA(_xlfn.XLOOKUP(Assumptions!CL$83, '1 Machine Build'!$F$11:$Q$11, '1 Machine Build'!$F12:$Q12), 0), _xlfn.IFNA(_xlfn.XLOOKUP(Assumptions!CL$84, '1 Machine Build'!$F$11:$Q$11, '1 Machine Build'!$F12:$Q12), 0), _xlfn.IFNA(_xlfn.XLOOKUP(Assumptions!CL$85, '1 Machine Build'!$F$11:$Q$11, '1 Machine Build'!$F12:$Q12), 0), _xlfn.IFNA(_xlfn.XLOOKUP(Assumptions!CL$86, '1 Machine Build'!$F$11:$Q$11, '1 Machine Build'!$F12:$Q12), 0), _xlfn.IFNA(_xlfn.XLOOKUP(Assumptions!CL$87, '1 Machine Build'!$F$11:$Q$11, '1 Machine Build'!$F12:$Q12), 0), _xlfn.IFNA(_xlfn.XLOOKUP(Assumptions!CL$88, '1 Machine Build'!$F$11:$Q$11, '1 Machine Build'!$F12:$Q12), 0))</f>
        <v>0</v>
      </c>
      <c r="CO30" s="97">
        <f>SUM(_xlfn.IFNA(_xlfn.XLOOKUP(Assumptions!CM$81, '1 Machine Build'!$F$11:$Q$11, '1 Machine Build'!$F12:$Q12), 0), _xlfn.IFNA(_xlfn.XLOOKUP(Assumptions!CM$82, '1 Machine Build'!$F$11:$Q$11, '1 Machine Build'!$F12:$Q12), 0), _xlfn.IFNA(_xlfn.XLOOKUP(Assumptions!CM$83, '1 Machine Build'!$F$11:$Q$11, '1 Machine Build'!$F12:$Q12), 0), _xlfn.IFNA(_xlfn.XLOOKUP(Assumptions!CM$84, '1 Machine Build'!$F$11:$Q$11, '1 Machine Build'!$F12:$Q12), 0), _xlfn.IFNA(_xlfn.XLOOKUP(Assumptions!CM$85, '1 Machine Build'!$F$11:$Q$11, '1 Machine Build'!$F12:$Q12), 0), _xlfn.IFNA(_xlfn.XLOOKUP(Assumptions!CM$86, '1 Machine Build'!$F$11:$Q$11, '1 Machine Build'!$F12:$Q12), 0), _xlfn.IFNA(_xlfn.XLOOKUP(Assumptions!CM$87, '1 Machine Build'!$F$11:$Q$11, '1 Machine Build'!$F12:$Q12), 0), _xlfn.IFNA(_xlfn.XLOOKUP(Assumptions!CM$88, '1 Machine Build'!$F$11:$Q$11, '1 Machine Build'!$F12:$Q12), 0))</f>
        <v>0</v>
      </c>
      <c r="CP30" s="97">
        <f>SUM(_xlfn.IFNA(_xlfn.XLOOKUP(Assumptions!CN$81, '1 Machine Build'!$F$11:$Q$11, '1 Machine Build'!$F12:$Q12), 0), _xlfn.IFNA(_xlfn.XLOOKUP(Assumptions!CN$82, '1 Machine Build'!$F$11:$Q$11, '1 Machine Build'!$F12:$Q12), 0), _xlfn.IFNA(_xlfn.XLOOKUP(Assumptions!CN$83, '1 Machine Build'!$F$11:$Q$11, '1 Machine Build'!$F12:$Q12), 0), _xlfn.IFNA(_xlfn.XLOOKUP(Assumptions!CN$84, '1 Machine Build'!$F$11:$Q$11, '1 Machine Build'!$F12:$Q12), 0), _xlfn.IFNA(_xlfn.XLOOKUP(Assumptions!CN$85, '1 Machine Build'!$F$11:$Q$11, '1 Machine Build'!$F12:$Q12), 0), _xlfn.IFNA(_xlfn.XLOOKUP(Assumptions!CN$86, '1 Machine Build'!$F$11:$Q$11, '1 Machine Build'!$F12:$Q12), 0), _xlfn.IFNA(_xlfn.XLOOKUP(Assumptions!CN$87, '1 Machine Build'!$F$11:$Q$11, '1 Machine Build'!$F12:$Q12), 0), _xlfn.IFNA(_xlfn.XLOOKUP(Assumptions!CN$88, '1 Machine Build'!$F$11:$Q$11, '1 Machine Build'!$F12:$Q12), 0))</f>
        <v>0</v>
      </c>
      <c r="CQ30" s="97">
        <f>SUM(_xlfn.IFNA(_xlfn.XLOOKUP(Assumptions!CO$81, '1 Machine Build'!$F$11:$Q$11, '1 Machine Build'!$F12:$Q12), 0), _xlfn.IFNA(_xlfn.XLOOKUP(Assumptions!CO$82, '1 Machine Build'!$F$11:$Q$11, '1 Machine Build'!$F12:$Q12), 0), _xlfn.IFNA(_xlfn.XLOOKUP(Assumptions!CO$83, '1 Machine Build'!$F$11:$Q$11, '1 Machine Build'!$F12:$Q12), 0), _xlfn.IFNA(_xlfn.XLOOKUP(Assumptions!CO$84, '1 Machine Build'!$F$11:$Q$11, '1 Machine Build'!$F12:$Q12), 0), _xlfn.IFNA(_xlfn.XLOOKUP(Assumptions!CO$85, '1 Machine Build'!$F$11:$Q$11, '1 Machine Build'!$F12:$Q12), 0), _xlfn.IFNA(_xlfn.XLOOKUP(Assumptions!CO$86, '1 Machine Build'!$F$11:$Q$11, '1 Machine Build'!$F12:$Q12), 0), _xlfn.IFNA(_xlfn.XLOOKUP(Assumptions!CO$87, '1 Machine Build'!$F$11:$Q$11, '1 Machine Build'!$F12:$Q12), 0), _xlfn.IFNA(_xlfn.XLOOKUP(Assumptions!CO$88, '1 Machine Build'!$F$11:$Q$11, '1 Machine Build'!$F12:$Q12), 0))</f>
        <v>0</v>
      </c>
      <c r="CR30" s="97">
        <f>SUM(_xlfn.IFNA(_xlfn.XLOOKUP(Assumptions!CP$81, '1 Machine Build'!$F$11:$Q$11, '1 Machine Build'!$F12:$Q12), 0), _xlfn.IFNA(_xlfn.XLOOKUP(Assumptions!CP$82, '1 Machine Build'!$F$11:$Q$11, '1 Machine Build'!$F12:$Q12), 0), _xlfn.IFNA(_xlfn.XLOOKUP(Assumptions!CP$83, '1 Machine Build'!$F$11:$Q$11, '1 Machine Build'!$F12:$Q12), 0), _xlfn.IFNA(_xlfn.XLOOKUP(Assumptions!CP$84, '1 Machine Build'!$F$11:$Q$11, '1 Machine Build'!$F12:$Q12), 0), _xlfn.IFNA(_xlfn.XLOOKUP(Assumptions!CP$85, '1 Machine Build'!$F$11:$Q$11, '1 Machine Build'!$F12:$Q12), 0), _xlfn.IFNA(_xlfn.XLOOKUP(Assumptions!CP$86, '1 Machine Build'!$F$11:$Q$11, '1 Machine Build'!$F12:$Q12), 0), _xlfn.IFNA(_xlfn.XLOOKUP(Assumptions!CP$87, '1 Machine Build'!$F$11:$Q$11, '1 Machine Build'!$F12:$Q12), 0), _xlfn.IFNA(_xlfn.XLOOKUP(Assumptions!CP$88, '1 Machine Build'!$F$11:$Q$11, '1 Machine Build'!$F12:$Q12), 0))</f>
        <v>0</v>
      </c>
      <c r="CS30" s="97">
        <f>SUM(_xlfn.IFNA(_xlfn.XLOOKUP(Assumptions!CQ$81, '1 Machine Build'!$F$11:$Q$11, '1 Machine Build'!$F12:$Q12), 0), _xlfn.IFNA(_xlfn.XLOOKUP(Assumptions!CQ$82, '1 Machine Build'!$F$11:$Q$11, '1 Machine Build'!$F12:$Q12), 0), _xlfn.IFNA(_xlfn.XLOOKUP(Assumptions!CQ$83, '1 Machine Build'!$F$11:$Q$11, '1 Machine Build'!$F12:$Q12), 0), _xlfn.IFNA(_xlfn.XLOOKUP(Assumptions!CQ$84, '1 Machine Build'!$F$11:$Q$11, '1 Machine Build'!$F12:$Q12), 0), _xlfn.IFNA(_xlfn.XLOOKUP(Assumptions!CQ$85, '1 Machine Build'!$F$11:$Q$11, '1 Machine Build'!$F12:$Q12), 0), _xlfn.IFNA(_xlfn.XLOOKUP(Assumptions!CQ$86, '1 Machine Build'!$F$11:$Q$11, '1 Machine Build'!$F12:$Q12), 0), _xlfn.IFNA(_xlfn.XLOOKUP(Assumptions!CQ$87, '1 Machine Build'!$F$11:$Q$11, '1 Machine Build'!$F12:$Q12), 0), _xlfn.IFNA(_xlfn.XLOOKUP(Assumptions!CQ$88, '1 Machine Build'!$F$11:$Q$11, '1 Machine Build'!$F12:$Q12), 0))</f>
        <v>0</v>
      </c>
      <c r="CT30" s="97">
        <f>SUM(_xlfn.IFNA(_xlfn.XLOOKUP(Assumptions!CR$81, '1 Machine Build'!$F$11:$Q$11, '1 Machine Build'!$F12:$Q12), 0), _xlfn.IFNA(_xlfn.XLOOKUP(Assumptions!CR$82, '1 Machine Build'!$F$11:$Q$11, '1 Machine Build'!$F12:$Q12), 0), _xlfn.IFNA(_xlfn.XLOOKUP(Assumptions!CR$83, '1 Machine Build'!$F$11:$Q$11, '1 Machine Build'!$F12:$Q12), 0), _xlfn.IFNA(_xlfn.XLOOKUP(Assumptions!CR$84, '1 Machine Build'!$F$11:$Q$11, '1 Machine Build'!$F12:$Q12), 0), _xlfn.IFNA(_xlfn.XLOOKUP(Assumptions!CR$85, '1 Machine Build'!$F$11:$Q$11, '1 Machine Build'!$F12:$Q12), 0), _xlfn.IFNA(_xlfn.XLOOKUP(Assumptions!CR$86, '1 Machine Build'!$F$11:$Q$11, '1 Machine Build'!$F12:$Q12), 0), _xlfn.IFNA(_xlfn.XLOOKUP(Assumptions!CR$87, '1 Machine Build'!$F$11:$Q$11, '1 Machine Build'!$F12:$Q12), 0), _xlfn.IFNA(_xlfn.XLOOKUP(Assumptions!CR$88, '1 Machine Build'!$F$11:$Q$11, '1 Machine Build'!$F12:$Q12), 0))</f>
        <v>0</v>
      </c>
      <c r="CU30" s="97">
        <f>SUM(_xlfn.IFNA(_xlfn.XLOOKUP(Assumptions!CS$81, '1 Machine Build'!$F$11:$Q$11, '1 Machine Build'!$F12:$Q12), 0), _xlfn.IFNA(_xlfn.XLOOKUP(Assumptions!CS$82, '1 Machine Build'!$F$11:$Q$11, '1 Machine Build'!$F12:$Q12), 0), _xlfn.IFNA(_xlfn.XLOOKUP(Assumptions!CS$83, '1 Machine Build'!$F$11:$Q$11, '1 Machine Build'!$F12:$Q12), 0), _xlfn.IFNA(_xlfn.XLOOKUP(Assumptions!CS$84, '1 Machine Build'!$F$11:$Q$11, '1 Machine Build'!$F12:$Q12), 0), _xlfn.IFNA(_xlfn.XLOOKUP(Assumptions!CS$85, '1 Machine Build'!$F$11:$Q$11, '1 Machine Build'!$F12:$Q12), 0), _xlfn.IFNA(_xlfn.XLOOKUP(Assumptions!CS$86, '1 Machine Build'!$F$11:$Q$11, '1 Machine Build'!$F12:$Q12), 0), _xlfn.IFNA(_xlfn.XLOOKUP(Assumptions!CS$87, '1 Machine Build'!$F$11:$Q$11, '1 Machine Build'!$F12:$Q12), 0), _xlfn.IFNA(_xlfn.XLOOKUP(Assumptions!CS$88, '1 Machine Build'!$F$11:$Q$11, '1 Machine Build'!$F12:$Q12), 0))</f>
        <v>0</v>
      </c>
      <c r="CV30" s="97">
        <f>SUM(_xlfn.IFNA(_xlfn.XLOOKUP(Assumptions!CT$81, '1 Machine Build'!$F$11:$Q$11, '1 Machine Build'!$F12:$Q12), 0), _xlfn.IFNA(_xlfn.XLOOKUP(Assumptions!CT$82, '1 Machine Build'!$F$11:$Q$11, '1 Machine Build'!$F12:$Q12), 0), _xlfn.IFNA(_xlfn.XLOOKUP(Assumptions!CT$83, '1 Machine Build'!$F$11:$Q$11, '1 Machine Build'!$F12:$Q12), 0), _xlfn.IFNA(_xlfn.XLOOKUP(Assumptions!CT$84, '1 Machine Build'!$F$11:$Q$11, '1 Machine Build'!$F12:$Q12), 0), _xlfn.IFNA(_xlfn.XLOOKUP(Assumptions!CT$85, '1 Machine Build'!$F$11:$Q$11, '1 Machine Build'!$F12:$Q12), 0), _xlfn.IFNA(_xlfn.XLOOKUP(Assumptions!CT$86, '1 Machine Build'!$F$11:$Q$11, '1 Machine Build'!$F12:$Q12), 0), _xlfn.IFNA(_xlfn.XLOOKUP(Assumptions!CT$87, '1 Machine Build'!$F$11:$Q$11, '1 Machine Build'!$F12:$Q12), 0), _xlfn.IFNA(_xlfn.XLOOKUP(Assumptions!CT$88, '1 Machine Build'!$F$11:$Q$11, '1 Machine Build'!$F12:$Q12), 0))</f>
        <v>0</v>
      </c>
      <c r="CW30" s="97">
        <f>SUM(_xlfn.IFNA(_xlfn.XLOOKUP(Assumptions!CU$81, '1 Machine Build'!$F$11:$Q$11, '1 Machine Build'!$F12:$Q12), 0), _xlfn.IFNA(_xlfn.XLOOKUP(Assumptions!CU$82, '1 Machine Build'!$F$11:$Q$11, '1 Machine Build'!$F12:$Q12), 0), _xlfn.IFNA(_xlfn.XLOOKUP(Assumptions!CU$83, '1 Machine Build'!$F$11:$Q$11, '1 Machine Build'!$F12:$Q12), 0), _xlfn.IFNA(_xlfn.XLOOKUP(Assumptions!CU$84, '1 Machine Build'!$F$11:$Q$11, '1 Machine Build'!$F12:$Q12), 0), _xlfn.IFNA(_xlfn.XLOOKUP(Assumptions!CU$85, '1 Machine Build'!$F$11:$Q$11, '1 Machine Build'!$F12:$Q12), 0), _xlfn.IFNA(_xlfn.XLOOKUP(Assumptions!CU$86, '1 Machine Build'!$F$11:$Q$11, '1 Machine Build'!$F12:$Q12), 0), _xlfn.IFNA(_xlfn.XLOOKUP(Assumptions!CU$87, '1 Machine Build'!$F$11:$Q$11, '1 Machine Build'!$F12:$Q12), 0), _xlfn.IFNA(_xlfn.XLOOKUP(Assumptions!CU$88, '1 Machine Build'!$F$11:$Q$11, '1 Machine Build'!$F12:$Q12), 0))</f>
        <v>0</v>
      </c>
      <c r="CX30" s="97">
        <f>SUM(_xlfn.IFNA(_xlfn.XLOOKUP(Assumptions!CV$81, '1 Machine Build'!$F$11:$Q$11, '1 Machine Build'!$F12:$Q12), 0), _xlfn.IFNA(_xlfn.XLOOKUP(Assumptions!CV$82, '1 Machine Build'!$F$11:$Q$11, '1 Machine Build'!$F12:$Q12), 0), _xlfn.IFNA(_xlfn.XLOOKUP(Assumptions!CV$83, '1 Machine Build'!$F$11:$Q$11, '1 Machine Build'!$F12:$Q12), 0), _xlfn.IFNA(_xlfn.XLOOKUP(Assumptions!CV$84, '1 Machine Build'!$F$11:$Q$11, '1 Machine Build'!$F12:$Q12), 0), _xlfn.IFNA(_xlfn.XLOOKUP(Assumptions!CV$85, '1 Machine Build'!$F$11:$Q$11, '1 Machine Build'!$F12:$Q12), 0), _xlfn.IFNA(_xlfn.XLOOKUP(Assumptions!CV$86, '1 Machine Build'!$F$11:$Q$11, '1 Machine Build'!$F12:$Q12), 0), _xlfn.IFNA(_xlfn.XLOOKUP(Assumptions!CV$87, '1 Machine Build'!$F$11:$Q$11, '1 Machine Build'!$F12:$Q12), 0), _xlfn.IFNA(_xlfn.XLOOKUP(Assumptions!CV$88, '1 Machine Build'!$F$11:$Q$11, '1 Machine Build'!$F12:$Q12), 0))</f>
        <v>0</v>
      </c>
      <c r="CY30" s="97">
        <f>SUM(_xlfn.IFNA(_xlfn.XLOOKUP(Assumptions!CW$81, '1 Machine Build'!$F$11:$Q$11, '1 Machine Build'!$F12:$Q12), 0), _xlfn.IFNA(_xlfn.XLOOKUP(Assumptions!CW$82, '1 Machine Build'!$F$11:$Q$11, '1 Machine Build'!$F12:$Q12), 0), _xlfn.IFNA(_xlfn.XLOOKUP(Assumptions!CW$83, '1 Machine Build'!$F$11:$Q$11, '1 Machine Build'!$F12:$Q12), 0), _xlfn.IFNA(_xlfn.XLOOKUP(Assumptions!CW$84, '1 Machine Build'!$F$11:$Q$11, '1 Machine Build'!$F12:$Q12), 0), _xlfn.IFNA(_xlfn.XLOOKUP(Assumptions!CW$85, '1 Machine Build'!$F$11:$Q$11, '1 Machine Build'!$F12:$Q12), 0), _xlfn.IFNA(_xlfn.XLOOKUP(Assumptions!CW$86, '1 Machine Build'!$F$11:$Q$11, '1 Machine Build'!$F12:$Q12), 0), _xlfn.IFNA(_xlfn.XLOOKUP(Assumptions!CW$87, '1 Machine Build'!$F$11:$Q$11, '1 Machine Build'!$F12:$Q12), 0), _xlfn.IFNA(_xlfn.XLOOKUP(Assumptions!CW$88, '1 Machine Build'!$F$11:$Q$11, '1 Machine Build'!$F12:$Q12), 0))</f>
        <v>0</v>
      </c>
      <c r="CZ30" s="97">
        <f>SUM(_xlfn.IFNA(_xlfn.XLOOKUP(Assumptions!CX$81, '1 Machine Build'!$F$11:$Q$11, '1 Machine Build'!$F12:$Q12), 0), _xlfn.IFNA(_xlfn.XLOOKUP(Assumptions!CX$82, '1 Machine Build'!$F$11:$Q$11, '1 Machine Build'!$F12:$Q12), 0), _xlfn.IFNA(_xlfn.XLOOKUP(Assumptions!CX$83, '1 Machine Build'!$F$11:$Q$11, '1 Machine Build'!$F12:$Q12), 0), _xlfn.IFNA(_xlfn.XLOOKUP(Assumptions!CX$84, '1 Machine Build'!$F$11:$Q$11, '1 Machine Build'!$F12:$Q12), 0), _xlfn.IFNA(_xlfn.XLOOKUP(Assumptions!CX$85, '1 Machine Build'!$F$11:$Q$11, '1 Machine Build'!$F12:$Q12), 0), _xlfn.IFNA(_xlfn.XLOOKUP(Assumptions!CX$86, '1 Machine Build'!$F$11:$Q$11, '1 Machine Build'!$F12:$Q12), 0), _xlfn.IFNA(_xlfn.XLOOKUP(Assumptions!CX$87, '1 Machine Build'!$F$11:$Q$11, '1 Machine Build'!$F12:$Q12), 0), _xlfn.IFNA(_xlfn.XLOOKUP(Assumptions!CX$88, '1 Machine Build'!$F$11:$Q$11, '1 Machine Build'!$F12:$Q12), 0))</f>
        <v>0</v>
      </c>
      <c r="DA30" s="97">
        <f>SUM(_xlfn.IFNA(_xlfn.XLOOKUP(Assumptions!CY$81, '1 Machine Build'!$F$11:$Q$11, '1 Machine Build'!$F12:$Q12), 0), _xlfn.IFNA(_xlfn.XLOOKUP(Assumptions!CY$82, '1 Machine Build'!$F$11:$Q$11, '1 Machine Build'!$F12:$Q12), 0), _xlfn.IFNA(_xlfn.XLOOKUP(Assumptions!CY$83, '1 Machine Build'!$F$11:$Q$11, '1 Machine Build'!$F12:$Q12), 0), _xlfn.IFNA(_xlfn.XLOOKUP(Assumptions!CY$84, '1 Machine Build'!$F$11:$Q$11, '1 Machine Build'!$F12:$Q12), 0), _xlfn.IFNA(_xlfn.XLOOKUP(Assumptions!CY$85, '1 Machine Build'!$F$11:$Q$11, '1 Machine Build'!$F12:$Q12), 0), _xlfn.IFNA(_xlfn.XLOOKUP(Assumptions!CY$86, '1 Machine Build'!$F$11:$Q$11, '1 Machine Build'!$F12:$Q12), 0), _xlfn.IFNA(_xlfn.XLOOKUP(Assumptions!CY$87, '1 Machine Build'!$F$11:$Q$11, '1 Machine Build'!$F12:$Q12), 0), _xlfn.IFNA(_xlfn.XLOOKUP(Assumptions!CY$88, '1 Machine Build'!$F$11:$Q$11, '1 Machine Build'!$F12:$Q12), 0))</f>
        <v>0</v>
      </c>
      <c r="DB30" s="97">
        <f>SUM(_xlfn.IFNA(_xlfn.XLOOKUP(Assumptions!CZ$81, '1 Machine Build'!$F$11:$Q$11, '1 Machine Build'!$F12:$Q12), 0), _xlfn.IFNA(_xlfn.XLOOKUP(Assumptions!CZ$82, '1 Machine Build'!$F$11:$Q$11, '1 Machine Build'!$F12:$Q12), 0), _xlfn.IFNA(_xlfn.XLOOKUP(Assumptions!CZ$83, '1 Machine Build'!$F$11:$Q$11, '1 Machine Build'!$F12:$Q12), 0), _xlfn.IFNA(_xlfn.XLOOKUP(Assumptions!CZ$84, '1 Machine Build'!$F$11:$Q$11, '1 Machine Build'!$F12:$Q12), 0), _xlfn.IFNA(_xlfn.XLOOKUP(Assumptions!CZ$85, '1 Machine Build'!$F$11:$Q$11, '1 Machine Build'!$F12:$Q12), 0), _xlfn.IFNA(_xlfn.XLOOKUP(Assumptions!CZ$86, '1 Machine Build'!$F$11:$Q$11, '1 Machine Build'!$F12:$Q12), 0), _xlfn.IFNA(_xlfn.XLOOKUP(Assumptions!CZ$87, '1 Machine Build'!$F$11:$Q$11, '1 Machine Build'!$F12:$Q12), 0), _xlfn.IFNA(_xlfn.XLOOKUP(Assumptions!CZ$88, '1 Machine Build'!$F$11:$Q$11, '1 Machine Build'!$F12:$Q12), 0))</f>
        <v>0</v>
      </c>
      <c r="DC30" s="97">
        <f>SUM(_xlfn.IFNA(_xlfn.XLOOKUP(Assumptions!DA$81, '1 Machine Build'!$F$11:$Q$11, '1 Machine Build'!$F12:$Q12), 0), _xlfn.IFNA(_xlfn.XLOOKUP(Assumptions!DA$82, '1 Machine Build'!$F$11:$Q$11, '1 Machine Build'!$F12:$Q12), 0), _xlfn.IFNA(_xlfn.XLOOKUP(Assumptions!DA$83, '1 Machine Build'!$F$11:$Q$11, '1 Machine Build'!$F12:$Q12), 0), _xlfn.IFNA(_xlfn.XLOOKUP(Assumptions!DA$84, '1 Machine Build'!$F$11:$Q$11, '1 Machine Build'!$F12:$Q12), 0), _xlfn.IFNA(_xlfn.XLOOKUP(Assumptions!DA$85, '1 Machine Build'!$F$11:$Q$11, '1 Machine Build'!$F12:$Q12), 0), _xlfn.IFNA(_xlfn.XLOOKUP(Assumptions!DA$86, '1 Machine Build'!$F$11:$Q$11, '1 Machine Build'!$F12:$Q12), 0), _xlfn.IFNA(_xlfn.XLOOKUP(Assumptions!DA$87, '1 Machine Build'!$F$11:$Q$11, '1 Machine Build'!$F12:$Q12), 0), _xlfn.IFNA(_xlfn.XLOOKUP(Assumptions!DA$88, '1 Machine Build'!$F$11:$Q$11, '1 Machine Build'!$F12:$Q12), 0))</f>
        <v>0</v>
      </c>
      <c r="DD30" s="97">
        <f>SUM(_xlfn.IFNA(_xlfn.XLOOKUP(Assumptions!DB$81, '1 Machine Build'!$F$11:$Q$11, '1 Machine Build'!$F12:$Q12), 0), _xlfn.IFNA(_xlfn.XLOOKUP(Assumptions!DB$82, '1 Machine Build'!$F$11:$Q$11, '1 Machine Build'!$F12:$Q12), 0), _xlfn.IFNA(_xlfn.XLOOKUP(Assumptions!DB$83, '1 Machine Build'!$F$11:$Q$11, '1 Machine Build'!$F12:$Q12), 0), _xlfn.IFNA(_xlfn.XLOOKUP(Assumptions!DB$84, '1 Machine Build'!$F$11:$Q$11, '1 Machine Build'!$F12:$Q12), 0), _xlfn.IFNA(_xlfn.XLOOKUP(Assumptions!DB$85, '1 Machine Build'!$F$11:$Q$11, '1 Machine Build'!$F12:$Q12), 0), _xlfn.IFNA(_xlfn.XLOOKUP(Assumptions!DB$86, '1 Machine Build'!$F$11:$Q$11, '1 Machine Build'!$F12:$Q12), 0), _xlfn.IFNA(_xlfn.XLOOKUP(Assumptions!DB$87, '1 Machine Build'!$F$11:$Q$11, '1 Machine Build'!$F12:$Q12), 0), _xlfn.IFNA(_xlfn.XLOOKUP(Assumptions!DB$88, '1 Machine Build'!$F$11:$Q$11, '1 Machine Build'!$F12:$Q12), 0))</f>
        <v>0</v>
      </c>
      <c r="DE30" s="97">
        <f>SUM(_xlfn.IFNA(_xlfn.XLOOKUP(Assumptions!DC$81, '1 Machine Build'!$F$11:$Q$11, '1 Machine Build'!$F12:$Q12), 0), _xlfn.IFNA(_xlfn.XLOOKUP(Assumptions!DC$82, '1 Machine Build'!$F$11:$Q$11, '1 Machine Build'!$F12:$Q12), 0), _xlfn.IFNA(_xlfn.XLOOKUP(Assumptions!DC$83, '1 Machine Build'!$F$11:$Q$11, '1 Machine Build'!$F12:$Q12), 0), _xlfn.IFNA(_xlfn.XLOOKUP(Assumptions!DC$84, '1 Machine Build'!$F$11:$Q$11, '1 Machine Build'!$F12:$Q12), 0), _xlfn.IFNA(_xlfn.XLOOKUP(Assumptions!DC$85, '1 Machine Build'!$F$11:$Q$11, '1 Machine Build'!$F12:$Q12), 0), _xlfn.IFNA(_xlfn.XLOOKUP(Assumptions!DC$86, '1 Machine Build'!$F$11:$Q$11, '1 Machine Build'!$F12:$Q12), 0), _xlfn.IFNA(_xlfn.XLOOKUP(Assumptions!DC$87, '1 Machine Build'!$F$11:$Q$11, '1 Machine Build'!$F12:$Q12), 0), _xlfn.IFNA(_xlfn.XLOOKUP(Assumptions!DC$88, '1 Machine Build'!$F$11:$Q$11, '1 Machine Build'!$F12:$Q12), 0))</f>
        <v>0</v>
      </c>
      <c r="DF30" s="97">
        <f>SUM(_xlfn.IFNA(_xlfn.XLOOKUP(Assumptions!DD$81, '1 Machine Build'!$F$11:$Q$11, '1 Machine Build'!$F12:$Q12), 0), _xlfn.IFNA(_xlfn.XLOOKUP(Assumptions!DD$82, '1 Machine Build'!$F$11:$Q$11, '1 Machine Build'!$F12:$Q12), 0), _xlfn.IFNA(_xlfn.XLOOKUP(Assumptions!DD$83, '1 Machine Build'!$F$11:$Q$11, '1 Machine Build'!$F12:$Q12), 0), _xlfn.IFNA(_xlfn.XLOOKUP(Assumptions!DD$84, '1 Machine Build'!$F$11:$Q$11, '1 Machine Build'!$F12:$Q12), 0), _xlfn.IFNA(_xlfn.XLOOKUP(Assumptions!DD$85, '1 Machine Build'!$F$11:$Q$11, '1 Machine Build'!$F12:$Q12), 0), _xlfn.IFNA(_xlfn.XLOOKUP(Assumptions!DD$86, '1 Machine Build'!$F$11:$Q$11, '1 Machine Build'!$F12:$Q12), 0), _xlfn.IFNA(_xlfn.XLOOKUP(Assumptions!DD$87, '1 Machine Build'!$F$11:$Q$11, '1 Machine Build'!$F12:$Q12), 0), _xlfn.IFNA(_xlfn.XLOOKUP(Assumptions!DD$88, '1 Machine Build'!$F$11:$Q$11, '1 Machine Build'!$F12:$Q12), 0))</f>
        <v>0</v>
      </c>
      <c r="DG30" s="97">
        <f>SUM(_xlfn.IFNA(_xlfn.XLOOKUP(Assumptions!DE$81, '1 Machine Build'!$F$11:$Q$11, '1 Machine Build'!$F12:$Q12), 0), _xlfn.IFNA(_xlfn.XLOOKUP(Assumptions!DE$82, '1 Machine Build'!$F$11:$Q$11, '1 Machine Build'!$F12:$Q12), 0), _xlfn.IFNA(_xlfn.XLOOKUP(Assumptions!DE$83, '1 Machine Build'!$F$11:$Q$11, '1 Machine Build'!$F12:$Q12), 0), _xlfn.IFNA(_xlfn.XLOOKUP(Assumptions!DE$84, '1 Machine Build'!$F$11:$Q$11, '1 Machine Build'!$F12:$Q12), 0), _xlfn.IFNA(_xlfn.XLOOKUP(Assumptions!DE$85, '1 Machine Build'!$F$11:$Q$11, '1 Machine Build'!$F12:$Q12), 0), _xlfn.IFNA(_xlfn.XLOOKUP(Assumptions!DE$86, '1 Machine Build'!$F$11:$Q$11, '1 Machine Build'!$F12:$Q12), 0), _xlfn.IFNA(_xlfn.XLOOKUP(Assumptions!DE$87, '1 Machine Build'!$F$11:$Q$11, '1 Machine Build'!$F12:$Q12), 0), _xlfn.IFNA(_xlfn.XLOOKUP(Assumptions!DE$88, '1 Machine Build'!$F$11:$Q$11, '1 Machine Build'!$F12:$Q12), 0))</f>
        <v>0</v>
      </c>
      <c r="DH30" s="97">
        <f>SUM(_xlfn.IFNA(_xlfn.XLOOKUP(Assumptions!DF$81, '1 Machine Build'!$F$11:$Q$11, '1 Machine Build'!$F12:$Q12), 0), _xlfn.IFNA(_xlfn.XLOOKUP(Assumptions!DF$82, '1 Machine Build'!$F$11:$Q$11, '1 Machine Build'!$F12:$Q12), 0), _xlfn.IFNA(_xlfn.XLOOKUP(Assumptions!DF$83, '1 Machine Build'!$F$11:$Q$11, '1 Machine Build'!$F12:$Q12), 0), _xlfn.IFNA(_xlfn.XLOOKUP(Assumptions!DF$84, '1 Machine Build'!$F$11:$Q$11, '1 Machine Build'!$F12:$Q12), 0), _xlfn.IFNA(_xlfn.XLOOKUP(Assumptions!DF$85, '1 Machine Build'!$F$11:$Q$11, '1 Machine Build'!$F12:$Q12), 0), _xlfn.IFNA(_xlfn.XLOOKUP(Assumptions!DF$86, '1 Machine Build'!$F$11:$Q$11, '1 Machine Build'!$F12:$Q12), 0), _xlfn.IFNA(_xlfn.XLOOKUP(Assumptions!DF$87, '1 Machine Build'!$F$11:$Q$11, '1 Machine Build'!$F12:$Q12), 0), _xlfn.IFNA(_xlfn.XLOOKUP(Assumptions!DF$88, '1 Machine Build'!$F$11:$Q$11, '1 Machine Build'!$F12:$Q12), 0))</f>
        <v>0</v>
      </c>
      <c r="DI30" s="97">
        <f>SUM(_xlfn.IFNA(_xlfn.XLOOKUP(Assumptions!DG$81, '1 Machine Build'!$F$11:$Q$11, '1 Machine Build'!$F12:$Q12), 0), _xlfn.IFNA(_xlfn.XLOOKUP(Assumptions!DG$82, '1 Machine Build'!$F$11:$Q$11, '1 Machine Build'!$F12:$Q12), 0), _xlfn.IFNA(_xlfn.XLOOKUP(Assumptions!DG$83, '1 Machine Build'!$F$11:$Q$11, '1 Machine Build'!$F12:$Q12), 0), _xlfn.IFNA(_xlfn.XLOOKUP(Assumptions!DG$84, '1 Machine Build'!$F$11:$Q$11, '1 Machine Build'!$F12:$Q12), 0), _xlfn.IFNA(_xlfn.XLOOKUP(Assumptions!DG$85, '1 Machine Build'!$F$11:$Q$11, '1 Machine Build'!$F12:$Q12), 0), _xlfn.IFNA(_xlfn.XLOOKUP(Assumptions!DG$86, '1 Machine Build'!$F$11:$Q$11, '1 Machine Build'!$F12:$Q12), 0), _xlfn.IFNA(_xlfn.XLOOKUP(Assumptions!DG$87, '1 Machine Build'!$F$11:$Q$11, '1 Machine Build'!$F12:$Q12), 0), _xlfn.IFNA(_xlfn.XLOOKUP(Assumptions!DG$88, '1 Machine Build'!$F$11:$Q$11, '1 Machine Build'!$F12:$Q12), 0))</f>
        <v>0</v>
      </c>
      <c r="DJ30" s="97">
        <f>SUM(_xlfn.IFNA(_xlfn.XLOOKUP(Assumptions!DH$81, '1 Machine Build'!$F$11:$Q$11, '1 Machine Build'!$F12:$Q12), 0), _xlfn.IFNA(_xlfn.XLOOKUP(Assumptions!DH$82, '1 Machine Build'!$F$11:$Q$11, '1 Machine Build'!$F12:$Q12), 0), _xlfn.IFNA(_xlfn.XLOOKUP(Assumptions!DH$83, '1 Machine Build'!$F$11:$Q$11, '1 Machine Build'!$F12:$Q12), 0), _xlfn.IFNA(_xlfn.XLOOKUP(Assumptions!DH$84, '1 Machine Build'!$F$11:$Q$11, '1 Machine Build'!$F12:$Q12), 0), _xlfn.IFNA(_xlfn.XLOOKUP(Assumptions!DH$85, '1 Machine Build'!$F$11:$Q$11, '1 Machine Build'!$F12:$Q12), 0), _xlfn.IFNA(_xlfn.XLOOKUP(Assumptions!DH$86, '1 Machine Build'!$F$11:$Q$11, '1 Machine Build'!$F12:$Q12), 0), _xlfn.IFNA(_xlfn.XLOOKUP(Assumptions!DH$87, '1 Machine Build'!$F$11:$Q$11, '1 Machine Build'!$F12:$Q12), 0), _xlfn.IFNA(_xlfn.XLOOKUP(Assumptions!DH$88, '1 Machine Build'!$F$11:$Q$11, '1 Machine Build'!$F12:$Q12), 0))</f>
        <v>0</v>
      </c>
      <c r="DK30" s="97">
        <f>SUM(_xlfn.IFNA(_xlfn.XLOOKUP(Assumptions!DI$81, '1 Machine Build'!$F$11:$Q$11, '1 Machine Build'!$F12:$Q12), 0), _xlfn.IFNA(_xlfn.XLOOKUP(Assumptions!DI$82, '1 Machine Build'!$F$11:$Q$11, '1 Machine Build'!$F12:$Q12), 0), _xlfn.IFNA(_xlfn.XLOOKUP(Assumptions!DI$83, '1 Machine Build'!$F$11:$Q$11, '1 Machine Build'!$F12:$Q12), 0), _xlfn.IFNA(_xlfn.XLOOKUP(Assumptions!DI$84, '1 Machine Build'!$F$11:$Q$11, '1 Machine Build'!$F12:$Q12), 0), _xlfn.IFNA(_xlfn.XLOOKUP(Assumptions!DI$85, '1 Machine Build'!$F$11:$Q$11, '1 Machine Build'!$F12:$Q12), 0), _xlfn.IFNA(_xlfn.XLOOKUP(Assumptions!DI$86, '1 Machine Build'!$F$11:$Q$11, '1 Machine Build'!$F12:$Q12), 0), _xlfn.IFNA(_xlfn.XLOOKUP(Assumptions!DI$87, '1 Machine Build'!$F$11:$Q$11, '1 Machine Build'!$F12:$Q12), 0), _xlfn.IFNA(_xlfn.XLOOKUP(Assumptions!DI$88, '1 Machine Build'!$F$11:$Q$11, '1 Machine Build'!$F12:$Q12), 0))</f>
        <v>0</v>
      </c>
      <c r="DL30" s="97">
        <f>SUM(_xlfn.IFNA(_xlfn.XLOOKUP(Assumptions!DJ$81, '1 Machine Build'!$F$11:$Q$11, '1 Machine Build'!$F12:$Q12), 0), _xlfn.IFNA(_xlfn.XLOOKUP(Assumptions!DJ$82, '1 Machine Build'!$F$11:$Q$11, '1 Machine Build'!$F12:$Q12), 0), _xlfn.IFNA(_xlfn.XLOOKUP(Assumptions!DJ$83, '1 Machine Build'!$F$11:$Q$11, '1 Machine Build'!$F12:$Q12), 0), _xlfn.IFNA(_xlfn.XLOOKUP(Assumptions!DJ$84, '1 Machine Build'!$F$11:$Q$11, '1 Machine Build'!$F12:$Q12), 0), _xlfn.IFNA(_xlfn.XLOOKUP(Assumptions!DJ$85, '1 Machine Build'!$F$11:$Q$11, '1 Machine Build'!$F12:$Q12), 0), _xlfn.IFNA(_xlfn.XLOOKUP(Assumptions!DJ$86, '1 Machine Build'!$F$11:$Q$11, '1 Machine Build'!$F12:$Q12), 0), _xlfn.IFNA(_xlfn.XLOOKUP(Assumptions!DJ$87, '1 Machine Build'!$F$11:$Q$11, '1 Machine Build'!$F12:$Q12), 0), _xlfn.IFNA(_xlfn.XLOOKUP(Assumptions!DJ$88, '1 Machine Build'!$F$11:$Q$11, '1 Machine Build'!$F12:$Q12), 0))</f>
        <v>0</v>
      </c>
      <c r="DM30" s="97">
        <f>SUM(_xlfn.IFNA(_xlfn.XLOOKUP(Assumptions!DK$81, '1 Machine Build'!$F$11:$Q$11, '1 Machine Build'!$F12:$Q12), 0), _xlfn.IFNA(_xlfn.XLOOKUP(Assumptions!DK$82, '1 Machine Build'!$F$11:$Q$11, '1 Machine Build'!$F12:$Q12), 0), _xlfn.IFNA(_xlfn.XLOOKUP(Assumptions!DK$83, '1 Machine Build'!$F$11:$Q$11, '1 Machine Build'!$F12:$Q12), 0), _xlfn.IFNA(_xlfn.XLOOKUP(Assumptions!DK$84, '1 Machine Build'!$F$11:$Q$11, '1 Machine Build'!$F12:$Q12), 0), _xlfn.IFNA(_xlfn.XLOOKUP(Assumptions!DK$85, '1 Machine Build'!$F$11:$Q$11, '1 Machine Build'!$F12:$Q12), 0), _xlfn.IFNA(_xlfn.XLOOKUP(Assumptions!DK$86, '1 Machine Build'!$F$11:$Q$11, '1 Machine Build'!$F12:$Q12), 0), _xlfn.IFNA(_xlfn.XLOOKUP(Assumptions!DK$87, '1 Machine Build'!$F$11:$Q$11, '1 Machine Build'!$F12:$Q12), 0), _xlfn.IFNA(_xlfn.XLOOKUP(Assumptions!DK$88, '1 Machine Build'!$F$11:$Q$11, '1 Machine Build'!$F12:$Q12), 0))</f>
        <v>0</v>
      </c>
      <c r="DN30" s="97">
        <f>SUM(_xlfn.IFNA(_xlfn.XLOOKUP(Assumptions!DL$81, '1 Machine Build'!$F$11:$Q$11, '1 Machine Build'!$F12:$Q12), 0), _xlfn.IFNA(_xlfn.XLOOKUP(Assumptions!DL$82, '1 Machine Build'!$F$11:$Q$11, '1 Machine Build'!$F12:$Q12), 0), _xlfn.IFNA(_xlfn.XLOOKUP(Assumptions!DL$83, '1 Machine Build'!$F$11:$Q$11, '1 Machine Build'!$F12:$Q12), 0), _xlfn.IFNA(_xlfn.XLOOKUP(Assumptions!DL$84, '1 Machine Build'!$F$11:$Q$11, '1 Machine Build'!$F12:$Q12), 0), _xlfn.IFNA(_xlfn.XLOOKUP(Assumptions!DL$85, '1 Machine Build'!$F$11:$Q$11, '1 Machine Build'!$F12:$Q12), 0), _xlfn.IFNA(_xlfn.XLOOKUP(Assumptions!DL$86, '1 Machine Build'!$F$11:$Q$11, '1 Machine Build'!$F12:$Q12), 0), _xlfn.IFNA(_xlfn.XLOOKUP(Assumptions!DL$87, '1 Machine Build'!$F$11:$Q$11, '1 Machine Build'!$F12:$Q12), 0), _xlfn.IFNA(_xlfn.XLOOKUP(Assumptions!DL$88, '1 Machine Build'!$F$11:$Q$11, '1 Machine Build'!$F12:$Q12), 0))</f>
        <v>0</v>
      </c>
      <c r="DO30" s="97">
        <f>SUM(_xlfn.IFNA(_xlfn.XLOOKUP(Assumptions!DM$81, '1 Machine Build'!$F$11:$Q$11, '1 Machine Build'!$F12:$Q12), 0), _xlfn.IFNA(_xlfn.XLOOKUP(Assumptions!DM$82, '1 Machine Build'!$F$11:$Q$11, '1 Machine Build'!$F12:$Q12), 0), _xlfn.IFNA(_xlfn.XLOOKUP(Assumptions!DM$83, '1 Machine Build'!$F$11:$Q$11, '1 Machine Build'!$F12:$Q12), 0), _xlfn.IFNA(_xlfn.XLOOKUP(Assumptions!DM$84, '1 Machine Build'!$F$11:$Q$11, '1 Machine Build'!$F12:$Q12), 0), _xlfn.IFNA(_xlfn.XLOOKUP(Assumptions!DM$85, '1 Machine Build'!$F$11:$Q$11, '1 Machine Build'!$F12:$Q12), 0), _xlfn.IFNA(_xlfn.XLOOKUP(Assumptions!DM$86, '1 Machine Build'!$F$11:$Q$11, '1 Machine Build'!$F12:$Q12), 0), _xlfn.IFNA(_xlfn.XLOOKUP(Assumptions!DM$87, '1 Machine Build'!$F$11:$Q$11, '1 Machine Build'!$F12:$Q12), 0), _xlfn.IFNA(_xlfn.XLOOKUP(Assumptions!DM$88, '1 Machine Build'!$F$11:$Q$11, '1 Machine Build'!$F12:$Q12), 0))</f>
        <v>0</v>
      </c>
      <c r="DP30" s="97">
        <f>SUM(_xlfn.IFNA(_xlfn.XLOOKUP(Assumptions!DN$81, '1 Machine Build'!$F$11:$Q$11, '1 Machine Build'!$F12:$Q12), 0), _xlfn.IFNA(_xlfn.XLOOKUP(Assumptions!DN$82, '1 Machine Build'!$F$11:$Q$11, '1 Machine Build'!$F12:$Q12), 0), _xlfn.IFNA(_xlfn.XLOOKUP(Assumptions!DN$83, '1 Machine Build'!$F$11:$Q$11, '1 Machine Build'!$F12:$Q12), 0), _xlfn.IFNA(_xlfn.XLOOKUP(Assumptions!DN$84, '1 Machine Build'!$F$11:$Q$11, '1 Machine Build'!$F12:$Q12), 0), _xlfn.IFNA(_xlfn.XLOOKUP(Assumptions!DN$85, '1 Machine Build'!$F$11:$Q$11, '1 Machine Build'!$F12:$Q12), 0), _xlfn.IFNA(_xlfn.XLOOKUP(Assumptions!DN$86, '1 Machine Build'!$F$11:$Q$11, '1 Machine Build'!$F12:$Q12), 0), _xlfn.IFNA(_xlfn.XLOOKUP(Assumptions!DN$87, '1 Machine Build'!$F$11:$Q$11, '1 Machine Build'!$F12:$Q12), 0), _xlfn.IFNA(_xlfn.XLOOKUP(Assumptions!DN$88, '1 Machine Build'!$F$11:$Q$11, '1 Machine Build'!$F12:$Q12), 0))</f>
        <v>0</v>
      </c>
      <c r="DQ30" s="97">
        <f>SUM(_xlfn.IFNA(_xlfn.XLOOKUP(Assumptions!DO$81, '1 Machine Build'!$F$11:$Q$11, '1 Machine Build'!$F12:$Q12), 0), _xlfn.IFNA(_xlfn.XLOOKUP(Assumptions!DO$82, '1 Machine Build'!$F$11:$Q$11, '1 Machine Build'!$F12:$Q12), 0), _xlfn.IFNA(_xlfn.XLOOKUP(Assumptions!DO$83, '1 Machine Build'!$F$11:$Q$11, '1 Machine Build'!$F12:$Q12), 0), _xlfn.IFNA(_xlfn.XLOOKUP(Assumptions!DO$84, '1 Machine Build'!$F$11:$Q$11, '1 Machine Build'!$F12:$Q12), 0), _xlfn.IFNA(_xlfn.XLOOKUP(Assumptions!DO$85, '1 Machine Build'!$F$11:$Q$11, '1 Machine Build'!$F12:$Q12), 0), _xlfn.IFNA(_xlfn.XLOOKUP(Assumptions!DO$86, '1 Machine Build'!$F$11:$Q$11, '1 Machine Build'!$F12:$Q12), 0), _xlfn.IFNA(_xlfn.XLOOKUP(Assumptions!DO$87, '1 Machine Build'!$F$11:$Q$11, '1 Machine Build'!$F12:$Q12), 0), _xlfn.IFNA(_xlfn.XLOOKUP(Assumptions!DO$88, '1 Machine Build'!$F$11:$Q$11, '1 Machine Build'!$F12:$Q12), 0))</f>
        <v>0</v>
      </c>
      <c r="DR30" s="97">
        <f>SUM(_xlfn.IFNA(_xlfn.XLOOKUP(Assumptions!DP$81, '1 Machine Build'!$F$11:$Q$11, '1 Machine Build'!$F12:$Q12), 0), _xlfn.IFNA(_xlfn.XLOOKUP(Assumptions!DP$82, '1 Machine Build'!$F$11:$Q$11, '1 Machine Build'!$F12:$Q12), 0), _xlfn.IFNA(_xlfn.XLOOKUP(Assumptions!DP$83, '1 Machine Build'!$F$11:$Q$11, '1 Machine Build'!$F12:$Q12), 0), _xlfn.IFNA(_xlfn.XLOOKUP(Assumptions!DP$84, '1 Machine Build'!$F$11:$Q$11, '1 Machine Build'!$F12:$Q12), 0), _xlfn.IFNA(_xlfn.XLOOKUP(Assumptions!DP$85, '1 Machine Build'!$F$11:$Q$11, '1 Machine Build'!$F12:$Q12), 0), _xlfn.IFNA(_xlfn.XLOOKUP(Assumptions!DP$86, '1 Machine Build'!$F$11:$Q$11, '1 Machine Build'!$F12:$Q12), 0), _xlfn.IFNA(_xlfn.XLOOKUP(Assumptions!DP$87, '1 Machine Build'!$F$11:$Q$11, '1 Machine Build'!$F12:$Q12), 0), _xlfn.IFNA(_xlfn.XLOOKUP(Assumptions!DP$88, '1 Machine Build'!$F$11:$Q$11, '1 Machine Build'!$F12:$Q12), 0))</f>
        <v>0</v>
      </c>
      <c r="DS30" s="97">
        <f>SUM(_xlfn.IFNA(_xlfn.XLOOKUP(Assumptions!DQ$81, '1 Machine Build'!$F$11:$Q$11, '1 Machine Build'!$F12:$Q12), 0), _xlfn.IFNA(_xlfn.XLOOKUP(Assumptions!DQ$82, '1 Machine Build'!$F$11:$Q$11, '1 Machine Build'!$F12:$Q12), 0), _xlfn.IFNA(_xlfn.XLOOKUP(Assumptions!DQ$83, '1 Machine Build'!$F$11:$Q$11, '1 Machine Build'!$F12:$Q12), 0), _xlfn.IFNA(_xlfn.XLOOKUP(Assumptions!DQ$84, '1 Machine Build'!$F$11:$Q$11, '1 Machine Build'!$F12:$Q12), 0), _xlfn.IFNA(_xlfn.XLOOKUP(Assumptions!DQ$85, '1 Machine Build'!$F$11:$Q$11, '1 Machine Build'!$F12:$Q12), 0), _xlfn.IFNA(_xlfn.XLOOKUP(Assumptions!DQ$86, '1 Machine Build'!$F$11:$Q$11, '1 Machine Build'!$F12:$Q12), 0), _xlfn.IFNA(_xlfn.XLOOKUP(Assumptions!DQ$87, '1 Machine Build'!$F$11:$Q$11, '1 Machine Build'!$F12:$Q12), 0), _xlfn.IFNA(_xlfn.XLOOKUP(Assumptions!DQ$88, '1 Machine Build'!$F$11:$Q$11, '1 Machine Build'!$F12:$Q12), 0))</f>
        <v>0</v>
      </c>
      <c r="DT30" s="97">
        <f>SUM(_xlfn.IFNA(_xlfn.XLOOKUP(Assumptions!DR$81, '1 Machine Build'!$F$11:$Q$11, '1 Machine Build'!$F12:$Q12), 0), _xlfn.IFNA(_xlfn.XLOOKUP(Assumptions!DR$82, '1 Machine Build'!$F$11:$Q$11, '1 Machine Build'!$F12:$Q12), 0), _xlfn.IFNA(_xlfn.XLOOKUP(Assumptions!DR$83, '1 Machine Build'!$F$11:$Q$11, '1 Machine Build'!$F12:$Q12), 0), _xlfn.IFNA(_xlfn.XLOOKUP(Assumptions!DR$84, '1 Machine Build'!$F$11:$Q$11, '1 Machine Build'!$F12:$Q12), 0), _xlfn.IFNA(_xlfn.XLOOKUP(Assumptions!DR$85, '1 Machine Build'!$F$11:$Q$11, '1 Machine Build'!$F12:$Q12), 0), _xlfn.IFNA(_xlfn.XLOOKUP(Assumptions!DR$86, '1 Machine Build'!$F$11:$Q$11, '1 Machine Build'!$F12:$Q12), 0), _xlfn.IFNA(_xlfn.XLOOKUP(Assumptions!DR$87, '1 Machine Build'!$F$11:$Q$11, '1 Machine Build'!$F12:$Q12), 0), _xlfn.IFNA(_xlfn.XLOOKUP(Assumptions!DR$88, '1 Machine Build'!$F$11:$Q$11, '1 Machine Build'!$F12:$Q12), 0))</f>
        <v>0</v>
      </c>
      <c r="DU30" s="97">
        <f>SUM(_xlfn.IFNA(_xlfn.XLOOKUP(Assumptions!DS$81, '1 Machine Build'!$F$11:$Q$11, '1 Machine Build'!$F12:$Q12), 0), _xlfn.IFNA(_xlfn.XLOOKUP(Assumptions!DS$82, '1 Machine Build'!$F$11:$Q$11, '1 Machine Build'!$F12:$Q12), 0), _xlfn.IFNA(_xlfn.XLOOKUP(Assumptions!DS$83, '1 Machine Build'!$F$11:$Q$11, '1 Machine Build'!$F12:$Q12), 0), _xlfn.IFNA(_xlfn.XLOOKUP(Assumptions!DS$84, '1 Machine Build'!$F$11:$Q$11, '1 Machine Build'!$F12:$Q12), 0), _xlfn.IFNA(_xlfn.XLOOKUP(Assumptions!DS$85, '1 Machine Build'!$F$11:$Q$11, '1 Machine Build'!$F12:$Q12), 0), _xlfn.IFNA(_xlfn.XLOOKUP(Assumptions!DS$86, '1 Machine Build'!$F$11:$Q$11, '1 Machine Build'!$F12:$Q12), 0), _xlfn.IFNA(_xlfn.XLOOKUP(Assumptions!DS$87, '1 Machine Build'!$F$11:$Q$11, '1 Machine Build'!$F12:$Q12), 0), _xlfn.IFNA(_xlfn.XLOOKUP(Assumptions!DS$88, '1 Machine Build'!$F$11:$Q$11, '1 Machine Build'!$F12:$Q12), 0))</f>
        <v>0</v>
      </c>
      <c r="DV30" s="97">
        <f>SUM(_xlfn.IFNA(_xlfn.XLOOKUP(Assumptions!DT$81, '1 Machine Build'!$F$11:$Q$11, '1 Machine Build'!$F12:$Q12), 0), _xlfn.IFNA(_xlfn.XLOOKUP(Assumptions!DT$82, '1 Machine Build'!$F$11:$Q$11, '1 Machine Build'!$F12:$Q12), 0), _xlfn.IFNA(_xlfn.XLOOKUP(Assumptions!DT$83, '1 Machine Build'!$F$11:$Q$11, '1 Machine Build'!$F12:$Q12), 0), _xlfn.IFNA(_xlfn.XLOOKUP(Assumptions!DT$84, '1 Machine Build'!$F$11:$Q$11, '1 Machine Build'!$F12:$Q12), 0), _xlfn.IFNA(_xlfn.XLOOKUP(Assumptions!DT$85, '1 Machine Build'!$F$11:$Q$11, '1 Machine Build'!$F12:$Q12), 0), _xlfn.IFNA(_xlfn.XLOOKUP(Assumptions!DT$86, '1 Machine Build'!$F$11:$Q$11, '1 Machine Build'!$F12:$Q12), 0), _xlfn.IFNA(_xlfn.XLOOKUP(Assumptions!DT$87, '1 Machine Build'!$F$11:$Q$11, '1 Machine Build'!$F12:$Q12), 0), _xlfn.IFNA(_xlfn.XLOOKUP(Assumptions!DT$88, '1 Machine Build'!$F$11:$Q$11, '1 Machine Build'!$F12:$Q12), 0))</f>
        <v>0</v>
      </c>
      <c r="DW30" s="97">
        <f>SUM(_xlfn.IFNA(_xlfn.XLOOKUP(Assumptions!DU$81, '1 Machine Build'!$F$11:$Q$11, '1 Machine Build'!$F12:$Q12), 0), _xlfn.IFNA(_xlfn.XLOOKUP(Assumptions!DU$82, '1 Machine Build'!$F$11:$Q$11, '1 Machine Build'!$F12:$Q12), 0), _xlfn.IFNA(_xlfn.XLOOKUP(Assumptions!DU$83, '1 Machine Build'!$F$11:$Q$11, '1 Machine Build'!$F12:$Q12), 0), _xlfn.IFNA(_xlfn.XLOOKUP(Assumptions!DU$84, '1 Machine Build'!$F$11:$Q$11, '1 Machine Build'!$F12:$Q12), 0), _xlfn.IFNA(_xlfn.XLOOKUP(Assumptions!DU$85, '1 Machine Build'!$F$11:$Q$11, '1 Machine Build'!$F12:$Q12), 0), _xlfn.IFNA(_xlfn.XLOOKUP(Assumptions!DU$86, '1 Machine Build'!$F$11:$Q$11, '1 Machine Build'!$F12:$Q12), 0), _xlfn.IFNA(_xlfn.XLOOKUP(Assumptions!DU$87, '1 Machine Build'!$F$11:$Q$11, '1 Machine Build'!$F12:$Q12), 0), _xlfn.IFNA(_xlfn.XLOOKUP(Assumptions!DU$88, '1 Machine Build'!$F$11:$Q$11, '1 Machine Build'!$F12:$Q12), 0))</f>
        <v>0</v>
      </c>
      <c r="DX30" s="97">
        <f>SUM(_xlfn.IFNA(_xlfn.XLOOKUP(Assumptions!DV$81, '1 Machine Build'!$F$11:$Q$11, '1 Machine Build'!$F12:$Q12), 0), _xlfn.IFNA(_xlfn.XLOOKUP(Assumptions!DV$82, '1 Machine Build'!$F$11:$Q$11, '1 Machine Build'!$F12:$Q12), 0), _xlfn.IFNA(_xlfn.XLOOKUP(Assumptions!DV$83, '1 Machine Build'!$F$11:$Q$11, '1 Machine Build'!$F12:$Q12), 0), _xlfn.IFNA(_xlfn.XLOOKUP(Assumptions!DV$84, '1 Machine Build'!$F$11:$Q$11, '1 Machine Build'!$F12:$Q12), 0), _xlfn.IFNA(_xlfn.XLOOKUP(Assumptions!DV$85, '1 Machine Build'!$F$11:$Q$11, '1 Machine Build'!$F12:$Q12), 0), _xlfn.IFNA(_xlfn.XLOOKUP(Assumptions!DV$86, '1 Machine Build'!$F$11:$Q$11, '1 Machine Build'!$F12:$Q12), 0), _xlfn.IFNA(_xlfn.XLOOKUP(Assumptions!DV$87, '1 Machine Build'!$F$11:$Q$11, '1 Machine Build'!$F12:$Q12), 0), _xlfn.IFNA(_xlfn.XLOOKUP(Assumptions!DV$88, '1 Machine Build'!$F$11:$Q$11, '1 Machine Build'!$F12:$Q12), 0))</f>
        <v>0</v>
      </c>
      <c r="DY30" s="97">
        <f>SUM(_xlfn.IFNA(_xlfn.XLOOKUP(Assumptions!DW$81, '1 Machine Build'!$F$11:$Q$11, '1 Machine Build'!$F12:$Q12), 0), _xlfn.IFNA(_xlfn.XLOOKUP(Assumptions!DW$82, '1 Machine Build'!$F$11:$Q$11, '1 Machine Build'!$F12:$Q12), 0), _xlfn.IFNA(_xlfn.XLOOKUP(Assumptions!DW$83, '1 Machine Build'!$F$11:$Q$11, '1 Machine Build'!$F12:$Q12), 0), _xlfn.IFNA(_xlfn.XLOOKUP(Assumptions!DW$84, '1 Machine Build'!$F$11:$Q$11, '1 Machine Build'!$F12:$Q12), 0), _xlfn.IFNA(_xlfn.XLOOKUP(Assumptions!DW$85, '1 Machine Build'!$F$11:$Q$11, '1 Machine Build'!$F12:$Q12), 0), _xlfn.IFNA(_xlfn.XLOOKUP(Assumptions!DW$86, '1 Machine Build'!$F$11:$Q$11, '1 Machine Build'!$F12:$Q12), 0), _xlfn.IFNA(_xlfn.XLOOKUP(Assumptions!DW$87, '1 Machine Build'!$F$11:$Q$11, '1 Machine Build'!$F12:$Q12), 0), _xlfn.IFNA(_xlfn.XLOOKUP(Assumptions!DW$88, '1 Machine Build'!$F$11:$Q$11, '1 Machine Build'!$F12:$Q12), 0))</f>
        <v>0</v>
      </c>
      <c r="DZ30" s="97">
        <f>SUM(_xlfn.IFNA(_xlfn.XLOOKUP(Assumptions!DX$81, '1 Machine Build'!$F$11:$Q$11, '1 Machine Build'!$F12:$Q12), 0), _xlfn.IFNA(_xlfn.XLOOKUP(Assumptions!DX$82, '1 Machine Build'!$F$11:$Q$11, '1 Machine Build'!$F12:$Q12), 0), _xlfn.IFNA(_xlfn.XLOOKUP(Assumptions!DX$83, '1 Machine Build'!$F$11:$Q$11, '1 Machine Build'!$F12:$Q12), 0), _xlfn.IFNA(_xlfn.XLOOKUP(Assumptions!DX$84, '1 Machine Build'!$F$11:$Q$11, '1 Machine Build'!$F12:$Q12), 0), _xlfn.IFNA(_xlfn.XLOOKUP(Assumptions!DX$85, '1 Machine Build'!$F$11:$Q$11, '1 Machine Build'!$F12:$Q12), 0), _xlfn.IFNA(_xlfn.XLOOKUP(Assumptions!DX$86, '1 Machine Build'!$F$11:$Q$11, '1 Machine Build'!$F12:$Q12), 0), _xlfn.IFNA(_xlfn.XLOOKUP(Assumptions!DX$87, '1 Machine Build'!$F$11:$Q$11, '1 Machine Build'!$F12:$Q12), 0), _xlfn.IFNA(_xlfn.XLOOKUP(Assumptions!DX$88, '1 Machine Build'!$F$11:$Q$11, '1 Machine Build'!$F12:$Q12), 0))</f>
        <v>0</v>
      </c>
      <c r="EA30" s="97">
        <f>SUM(_xlfn.IFNA(_xlfn.XLOOKUP(Assumptions!DY$81, '1 Machine Build'!$F$11:$Q$11, '1 Machine Build'!$F12:$Q12), 0), _xlfn.IFNA(_xlfn.XLOOKUP(Assumptions!DY$82, '1 Machine Build'!$F$11:$Q$11, '1 Machine Build'!$F12:$Q12), 0), _xlfn.IFNA(_xlfn.XLOOKUP(Assumptions!DY$83, '1 Machine Build'!$F$11:$Q$11, '1 Machine Build'!$F12:$Q12), 0), _xlfn.IFNA(_xlfn.XLOOKUP(Assumptions!DY$84, '1 Machine Build'!$F$11:$Q$11, '1 Machine Build'!$F12:$Q12), 0), _xlfn.IFNA(_xlfn.XLOOKUP(Assumptions!DY$85, '1 Machine Build'!$F$11:$Q$11, '1 Machine Build'!$F12:$Q12), 0), _xlfn.IFNA(_xlfn.XLOOKUP(Assumptions!DY$86, '1 Machine Build'!$F$11:$Q$11, '1 Machine Build'!$F12:$Q12), 0), _xlfn.IFNA(_xlfn.XLOOKUP(Assumptions!DY$87, '1 Machine Build'!$F$11:$Q$11, '1 Machine Build'!$F12:$Q12), 0), _xlfn.IFNA(_xlfn.XLOOKUP(Assumptions!DY$88, '1 Machine Build'!$F$11:$Q$11, '1 Machine Build'!$F12:$Q12), 0))</f>
        <v>0</v>
      </c>
      <c r="EB30" s="97">
        <f>SUM(_xlfn.IFNA(_xlfn.XLOOKUP(Assumptions!DZ$81, '1 Machine Build'!$F$11:$Q$11, '1 Machine Build'!$F12:$Q12), 0), _xlfn.IFNA(_xlfn.XLOOKUP(Assumptions!DZ$82, '1 Machine Build'!$F$11:$Q$11, '1 Machine Build'!$F12:$Q12), 0), _xlfn.IFNA(_xlfn.XLOOKUP(Assumptions!DZ$83, '1 Machine Build'!$F$11:$Q$11, '1 Machine Build'!$F12:$Q12), 0), _xlfn.IFNA(_xlfn.XLOOKUP(Assumptions!DZ$84, '1 Machine Build'!$F$11:$Q$11, '1 Machine Build'!$F12:$Q12), 0), _xlfn.IFNA(_xlfn.XLOOKUP(Assumptions!DZ$85, '1 Machine Build'!$F$11:$Q$11, '1 Machine Build'!$F12:$Q12), 0), _xlfn.IFNA(_xlfn.XLOOKUP(Assumptions!DZ$86, '1 Machine Build'!$F$11:$Q$11, '1 Machine Build'!$F12:$Q12), 0), _xlfn.IFNA(_xlfn.XLOOKUP(Assumptions!DZ$87, '1 Machine Build'!$F$11:$Q$11, '1 Machine Build'!$F12:$Q12), 0), _xlfn.IFNA(_xlfn.XLOOKUP(Assumptions!DZ$88, '1 Machine Build'!$F$11:$Q$11, '1 Machine Build'!$F12:$Q12), 0))</f>
        <v>0</v>
      </c>
      <c r="EC30" s="97">
        <f>SUM(_xlfn.IFNA(_xlfn.XLOOKUP(Assumptions!EA$81, '1 Machine Build'!$F$11:$Q$11, '1 Machine Build'!$F12:$Q12), 0), _xlfn.IFNA(_xlfn.XLOOKUP(Assumptions!EA$82, '1 Machine Build'!$F$11:$Q$11, '1 Machine Build'!$F12:$Q12), 0), _xlfn.IFNA(_xlfn.XLOOKUP(Assumptions!EA$83, '1 Machine Build'!$F$11:$Q$11, '1 Machine Build'!$F12:$Q12), 0), _xlfn.IFNA(_xlfn.XLOOKUP(Assumptions!EA$84, '1 Machine Build'!$F$11:$Q$11, '1 Machine Build'!$F12:$Q12), 0), _xlfn.IFNA(_xlfn.XLOOKUP(Assumptions!EA$85, '1 Machine Build'!$F$11:$Q$11, '1 Machine Build'!$F12:$Q12), 0), _xlfn.IFNA(_xlfn.XLOOKUP(Assumptions!EA$86, '1 Machine Build'!$F$11:$Q$11, '1 Machine Build'!$F12:$Q12), 0), _xlfn.IFNA(_xlfn.XLOOKUP(Assumptions!EA$87, '1 Machine Build'!$F$11:$Q$11, '1 Machine Build'!$F12:$Q12), 0), _xlfn.IFNA(_xlfn.XLOOKUP(Assumptions!EA$88, '1 Machine Build'!$F$11:$Q$11, '1 Machine Build'!$F12:$Q12), 0))</f>
        <v>0</v>
      </c>
      <c r="ED30" s="97">
        <f>SUM(_xlfn.IFNA(_xlfn.XLOOKUP(Assumptions!EB$81, '1 Machine Build'!$F$11:$Q$11, '1 Machine Build'!$F12:$Q12), 0), _xlfn.IFNA(_xlfn.XLOOKUP(Assumptions!EB$82, '1 Machine Build'!$F$11:$Q$11, '1 Machine Build'!$F12:$Q12), 0), _xlfn.IFNA(_xlfn.XLOOKUP(Assumptions!EB$83, '1 Machine Build'!$F$11:$Q$11, '1 Machine Build'!$F12:$Q12), 0), _xlfn.IFNA(_xlfn.XLOOKUP(Assumptions!EB$84, '1 Machine Build'!$F$11:$Q$11, '1 Machine Build'!$F12:$Q12), 0), _xlfn.IFNA(_xlfn.XLOOKUP(Assumptions!EB$85, '1 Machine Build'!$F$11:$Q$11, '1 Machine Build'!$F12:$Q12), 0), _xlfn.IFNA(_xlfn.XLOOKUP(Assumptions!EB$86, '1 Machine Build'!$F$11:$Q$11, '1 Machine Build'!$F12:$Q12), 0), _xlfn.IFNA(_xlfn.XLOOKUP(Assumptions!EB$87, '1 Machine Build'!$F$11:$Q$11, '1 Machine Build'!$F12:$Q12), 0), _xlfn.IFNA(_xlfn.XLOOKUP(Assumptions!EB$88, '1 Machine Build'!$F$11:$Q$11, '1 Machine Build'!$F12:$Q12), 0))</f>
        <v>0</v>
      </c>
      <c r="EE30" s="97">
        <f>SUM(_xlfn.IFNA(_xlfn.XLOOKUP(Assumptions!EC$81, '1 Machine Build'!$F$11:$Q$11, '1 Machine Build'!$F12:$Q12), 0), _xlfn.IFNA(_xlfn.XLOOKUP(Assumptions!EC$82, '1 Machine Build'!$F$11:$Q$11, '1 Machine Build'!$F12:$Q12), 0), _xlfn.IFNA(_xlfn.XLOOKUP(Assumptions!EC$83, '1 Machine Build'!$F$11:$Q$11, '1 Machine Build'!$F12:$Q12), 0), _xlfn.IFNA(_xlfn.XLOOKUP(Assumptions!EC$84, '1 Machine Build'!$F$11:$Q$11, '1 Machine Build'!$F12:$Q12), 0), _xlfn.IFNA(_xlfn.XLOOKUP(Assumptions!EC$85, '1 Machine Build'!$F$11:$Q$11, '1 Machine Build'!$F12:$Q12), 0), _xlfn.IFNA(_xlfn.XLOOKUP(Assumptions!EC$86, '1 Machine Build'!$F$11:$Q$11, '1 Machine Build'!$F12:$Q12), 0), _xlfn.IFNA(_xlfn.XLOOKUP(Assumptions!EC$87, '1 Machine Build'!$F$11:$Q$11, '1 Machine Build'!$F12:$Q12), 0), _xlfn.IFNA(_xlfn.XLOOKUP(Assumptions!EC$88, '1 Machine Build'!$F$11:$Q$11, '1 Machine Build'!$F12:$Q12), 0))</f>
        <v>0</v>
      </c>
      <c r="EF30" s="97">
        <f>SUM(_xlfn.IFNA(_xlfn.XLOOKUP(Assumptions!ED$81, '1 Machine Build'!$F$11:$Q$11, '1 Machine Build'!$F12:$Q12), 0), _xlfn.IFNA(_xlfn.XLOOKUP(Assumptions!ED$82, '1 Machine Build'!$F$11:$Q$11, '1 Machine Build'!$F12:$Q12), 0), _xlfn.IFNA(_xlfn.XLOOKUP(Assumptions!ED$83, '1 Machine Build'!$F$11:$Q$11, '1 Machine Build'!$F12:$Q12), 0), _xlfn.IFNA(_xlfn.XLOOKUP(Assumptions!ED$84, '1 Machine Build'!$F$11:$Q$11, '1 Machine Build'!$F12:$Q12), 0), _xlfn.IFNA(_xlfn.XLOOKUP(Assumptions!ED$85, '1 Machine Build'!$F$11:$Q$11, '1 Machine Build'!$F12:$Q12), 0), _xlfn.IFNA(_xlfn.XLOOKUP(Assumptions!ED$86, '1 Machine Build'!$F$11:$Q$11, '1 Machine Build'!$F12:$Q12), 0), _xlfn.IFNA(_xlfn.XLOOKUP(Assumptions!ED$87, '1 Machine Build'!$F$11:$Q$11, '1 Machine Build'!$F12:$Q12), 0), _xlfn.IFNA(_xlfn.XLOOKUP(Assumptions!ED$88, '1 Machine Build'!$F$11:$Q$11, '1 Machine Build'!$F12:$Q12), 0))</f>
        <v>0</v>
      </c>
      <c r="EG30" s="97">
        <f>SUM(_xlfn.IFNA(_xlfn.XLOOKUP(Assumptions!EE$81, '1 Machine Build'!$F$11:$Q$11, '1 Machine Build'!$F12:$Q12), 0), _xlfn.IFNA(_xlfn.XLOOKUP(Assumptions!EE$82, '1 Machine Build'!$F$11:$Q$11, '1 Machine Build'!$F12:$Q12), 0), _xlfn.IFNA(_xlfn.XLOOKUP(Assumptions!EE$83, '1 Machine Build'!$F$11:$Q$11, '1 Machine Build'!$F12:$Q12), 0), _xlfn.IFNA(_xlfn.XLOOKUP(Assumptions!EE$84, '1 Machine Build'!$F$11:$Q$11, '1 Machine Build'!$F12:$Q12), 0), _xlfn.IFNA(_xlfn.XLOOKUP(Assumptions!EE$85, '1 Machine Build'!$F$11:$Q$11, '1 Machine Build'!$F12:$Q12), 0), _xlfn.IFNA(_xlfn.XLOOKUP(Assumptions!EE$86, '1 Machine Build'!$F$11:$Q$11, '1 Machine Build'!$F12:$Q12), 0), _xlfn.IFNA(_xlfn.XLOOKUP(Assumptions!EE$87, '1 Machine Build'!$F$11:$Q$11, '1 Machine Build'!$F12:$Q12), 0), _xlfn.IFNA(_xlfn.XLOOKUP(Assumptions!EE$88, '1 Machine Build'!$F$11:$Q$11, '1 Machine Build'!$F12:$Q12), 0))</f>
        <v>0</v>
      </c>
      <c r="EH30" s="97">
        <f>SUM(_xlfn.IFNA(_xlfn.XLOOKUP(Assumptions!EF$81, '1 Machine Build'!$F$11:$Q$11, '1 Machine Build'!$F12:$Q12), 0), _xlfn.IFNA(_xlfn.XLOOKUP(Assumptions!EF$82, '1 Machine Build'!$F$11:$Q$11, '1 Machine Build'!$F12:$Q12), 0), _xlfn.IFNA(_xlfn.XLOOKUP(Assumptions!EF$83, '1 Machine Build'!$F$11:$Q$11, '1 Machine Build'!$F12:$Q12), 0), _xlfn.IFNA(_xlfn.XLOOKUP(Assumptions!EF$84, '1 Machine Build'!$F$11:$Q$11, '1 Machine Build'!$F12:$Q12), 0), _xlfn.IFNA(_xlfn.XLOOKUP(Assumptions!EF$85, '1 Machine Build'!$F$11:$Q$11, '1 Machine Build'!$F12:$Q12), 0), _xlfn.IFNA(_xlfn.XLOOKUP(Assumptions!EF$86, '1 Machine Build'!$F$11:$Q$11, '1 Machine Build'!$F12:$Q12), 0), _xlfn.IFNA(_xlfn.XLOOKUP(Assumptions!EF$87, '1 Machine Build'!$F$11:$Q$11, '1 Machine Build'!$F12:$Q12), 0), _xlfn.IFNA(_xlfn.XLOOKUP(Assumptions!EF$88, '1 Machine Build'!$F$11:$Q$11, '1 Machine Build'!$F12:$Q12), 0))</f>
        <v>0</v>
      </c>
      <c r="EI30" s="97">
        <f>SUM(_xlfn.IFNA(_xlfn.XLOOKUP(Assumptions!EG$81, '1 Machine Build'!$F$11:$Q$11, '1 Machine Build'!$F12:$Q12), 0), _xlfn.IFNA(_xlfn.XLOOKUP(Assumptions!EG$82, '1 Machine Build'!$F$11:$Q$11, '1 Machine Build'!$F12:$Q12), 0), _xlfn.IFNA(_xlfn.XLOOKUP(Assumptions!EG$83, '1 Machine Build'!$F$11:$Q$11, '1 Machine Build'!$F12:$Q12), 0), _xlfn.IFNA(_xlfn.XLOOKUP(Assumptions!EG$84, '1 Machine Build'!$F$11:$Q$11, '1 Machine Build'!$F12:$Q12), 0), _xlfn.IFNA(_xlfn.XLOOKUP(Assumptions!EG$85, '1 Machine Build'!$F$11:$Q$11, '1 Machine Build'!$F12:$Q12), 0), _xlfn.IFNA(_xlfn.XLOOKUP(Assumptions!EG$86, '1 Machine Build'!$F$11:$Q$11, '1 Machine Build'!$F12:$Q12), 0), _xlfn.IFNA(_xlfn.XLOOKUP(Assumptions!EG$87, '1 Machine Build'!$F$11:$Q$11, '1 Machine Build'!$F12:$Q12), 0), _xlfn.IFNA(_xlfn.XLOOKUP(Assumptions!EG$88, '1 Machine Build'!$F$11:$Q$11, '1 Machine Build'!$F12:$Q12), 0))</f>
        <v>0</v>
      </c>
      <c r="EJ30" s="97">
        <f>SUM(_xlfn.IFNA(_xlfn.XLOOKUP(Assumptions!EH$81, '1 Machine Build'!$F$11:$Q$11, '1 Machine Build'!$F12:$Q12), 0), _xlfn.IFNA(_xlfn.XLOOKUP(Assumptions!EH$82, '1 Machine Build'!$F$11:$Q$11, '1 Machine Build'!$F12:$Q12), 0), _xlfn.IFNA(_xlfn.XLOOKUP(Assumptions!EH$83, '1 Machine Build'!$F$11:$Q$11, '1 Machine Build'!$F12:$Q12), 0), _xlfn.IFNA(_xlfn.XLOOKUP(Assumptions!EH$84, '1 Machine Build'!$F$11:$Q$11, '1 Machine Build'!$F12:$Q12), 0), _xlfn.IFNA(_xlfn.XLOOKUP(Assumptions!EH$85, '1 Machine Build'!$F$11:$Q$11, '1 Machine Build'!$F12:$Q12), 0), _xlfn.IFNA(_xlfn.XLOOKUP(Assumptions!EH$86, '1 Machine Build'!$F$11:$Q$11, '1 Machine Build'!$F12:$Q12), 0), _xlfn.IFNA(_xlfn.XLOOKUP(Assumptions!EH$87, '1 Machine Build'!$F$11:$Q$11, '1 Machine Build'!$F12:$Q12), 0), _xlfn.IFNA(_xlfn.XLOOKUP(Assumptions!EH$88, '1 Machine Build'!$F$11:$Q$11, '1 Machine Build'!$F12:$Q12), 0))</f>
        <v>0</v>
      </c>
      <c r="EK30" s="97">
        <f>SUM(_xlfn.IFNA(_xlfn.XLOOKUP(Assumptions!EI$81, '1 Machine Build'!$F$11:$Q$11, '1 Machine Build'!$F12:$Q12), 0), _xlfn.IFNA(_xlfn.XLOOKUP(Assumptions!EI$82, '1 Machine Build'!$F$11:$Q$11, '1 Machine Build'!$F12:$Q12), 0), _xlfn.IFNA(_xlfn.XLOOKUP(Assumptions!EI$83, '1 Machine Build'!$F$11:$Q$11, '1 Machine Build'!$F12:$Q12), 0), _xlfn.IFNA(_xlfn.XLOOKUP(Assumptions!EI$84, '1 Machine Build'!$F$11:$Q$11, '1 Machine Build'!$F12:$Q12), 0), _xlfn.IFNA(_xlfn.XLOOKUP(Assumptions!EI$85, '1 Machine Build'!$F$11:$Q$11, '1 Machine Build'!$F12:$Q12), 0), _xlfn.IFNA(_xlfn.XLOOKUP(Assumptions!EI$86, '1 Machine Build'!$F$11:$Q$11, '1 Machine Build'!$F12:$Q12), 0), _xlfn.IFNA(_xlfn.XLOOKUP(Assumptions!EI$87, '1 Machine Build'!$F$11:$Q$11, '1 Machine Build'!$F12:$Q12), 0), _xlfn.IFNA(_xlfn.XLOOKUP(Assumptions!EI$88, '1 Machine Build'!$F$11:$Q$11, '1 Machine Build'!$F12:$Q12), 0))</f>
        <v>0</v>
      </c>
      <c r="EL30" s="97">
        <f>SUM(_xlfn.IFNA(_xlfn.XLOOKUP(Assumptions!EJ$81, '1 Machine Build'!$F$11:$Q$11, '1 Machine Build'!$F12:$Q12), 0), _xlfn.IFNA(_xlfn.XLOOKUP(Assumptions!EJ$82, '1 Machine Build'!$F$11:$Q$11, '1 Machine Build'!$F12:$Q12), 0), _xlfn.IFNA(_xlfn.XLOOKUP(Assumptions!EJ$83, '1 Machine Build'!$F$11:$Q$11, '1 Machine Build'!$F12:$Q12), 0), _xlfn.IFNA(_xlfn.XLOOKUP(Assumptions!EJ$84, '1 Machine Build'!$F$11:$Q$11, '1 Machine Build'!$F12:$Q12), 0), _xlfn.IFNA(_xlfn.XLOOKUP(Assumptions!EJ$85, '1 Machine Build'!$F$11:$Q$11, '1 Machine Build'!$F12:$Q12), 0), _xlfn.IFNA(_xlfn.XLOOKUP(Assumptions!EJ$86, '1 Machine Build'!$F$11:$Q$11, '1 Machine Build'!$F12:$Q12), 0), _xlfn.IFNA(_xlfn.XLOOKUP(Assumptions!EJ$87, '1 Machine Build'!$F$11:$Q$11, '1 Machine Build'!$F12:$Q12), 0), _xlfn.IFNA(_xlfn.XLOOKUP(Assumptions!EJ$88, '1 Machine Build'!$F$11:$Q$11, '1 Machine Build'!$F12:$Q12), 0))</f>
        <v>0</v>
      </c>
      <c r="EM30" s="97">
        <f>SUM(_xlfn.IFNA(_xlfn.XLOOKUP(Assumptions!EK$81, '1 Machine Build'!$F$11:$Q$11, '1 Machine Build'!$F12:$Q12), 0), _xlfn.IFNA(_xlfn.XLOOKUP(Assumptions!EK$82, '1 Machine Build'!$F$11:$Q$11, '1 Machine Build'!$F12:$Q12), 0), _xlfn.IFNA(_xlfn.XLOOKUP(Assumptions!EK$83, '1 Machine Build'!$F$11:$Q$11, '1 Machine Build'!$F12:$Q12), 0), _xlfn.IFNA(_xlfn.XLOOKUP(Assumptions!EK$84, '1 Machine Build'!$F$11:$Q$11, '1 Machine Build'!$F12:$Q12), 0), _xlfn.IFNA(_xlfn.XLOOKUP(Assumptions!EK$85, '1 Machine Build'!$F$11:$Q$11, '1 Machine Build'!$F12:$Q12), 0), _xlfn.IFNA(_xlfn.XLOOKUP(Assumptions!EK$86, '1 Machine Build'!$F$11:$Q$11, '1 Machine Build'!$F12:$Q12), 0), _xlfn.IFNA(_xlfn.XLOOKUP(Assumptions!EK$87, '1 Machine Build'!$F$11:$Q$11, '1 Machine Build'!$F12:$Q12), 0), _xlfn.IFNA(_xlfn.XLOOKUP(Assumptions!EK$88, '1 Machine Build'!$F$11:$Q$11, '1 Machine Build'!$F12:$Q12), 0))</f>
        <v>0</v>
      </c>
      <c r="EN30" s="97">
        <f>SUM(_xlfn.IFNA(_xlfn.XLOOKUP(Assumptions!EL$81, '1 Machine Build'!$F$11:$Q$11, '1 Machine Build'!$F12:$Q12), 0), _xlfn.IFNA(_xlfn.XLOOKUP(Assumptions!EL$82, '1 Machine Build'!$F$11:$Q$11, '1 Machine Build'!$F12:$Q12), 0), _xlfn.IFNA(_xlfn.XLOOKUP(Assumptions!EL$83, '1 Machine Build'!$F$11:$Q$11, '1 Machine Build'!$F12:$Q12), 0), _xlfn.IFNA(_xlfn.XLOOKUP(Assumptions!EL$84, '1 Machine Build'!$F$11:$Q$11, '1 Machine Build'!$F12:$Q12), 0), _xlfn.IFNA(_xlfn.XLOOKUP(Assumptions!EL$85, '1 Machine Build'!$F$11:$Q$11, '1 Machine Build'!$F12:$Q12), 0), _xlfn.IFNA(_xlfn.XLOOKUP(Assumptions!EL$86, '1 Machine Build'!$F$11:$Q$11, '1 Machine Build'!$F12:$Q12), 0), _xlfn.IFNA(_xlfn.XLOOKUP(Assumptions!EL$87, '1 Machine Build'!$F$11:$Q$11, '1 Machine Build'!$F12:$Q12), 0), _xlfn.IFNA(_xlfn.XLOOKUP(Assumptions!EL$88, '1 Machine Build'!$F$11:$Q$11, '1 Machine Build'!$F12:$Q12), 0))</f>
        <v>0</v>
      </c>
      <c r="EO30" s="97">
        <f>SUM(_xlfn.IFNA(_xlfn.XLOOKUP(Assumptions!EM$81, '1 Machine Build'!$F$11:$Q$11, '1 Machine Build'!$F12:$Q12), 0), _xlfn.IFNA(_xlfn.XLOOKUP(Assumptions!EM$82, '1 Machine Build'!$F$11:$Q$11, '1 Machine Build'!$F12:$Q12), 0), _xlfn.IFNA(_xlfn.XLOOKUP(Assumptions!EM$83, '1 Machine Build'!$F$11:$Q$11, '1 Machine Build'!$F12:$Q12), 0), _xlfn.IFNA(_xlfn.XLOOKUP(Assumptions!EM$84, '1 Machine Build'!$F$11:$Q$11, '1 Machine Build'!$F12:$Q12), 0), _xlfn.IFNA(_xlfn.XLOOKUP(Assumptions!EM$85, '1 Machine Build'!$F$11:$Q$11, '1 Machine Build'!$F12:$Q12), 0), _xlfn.IFNA(_xlfn.XLOOKUP(Assumptions!EM$86, '1 Machine Build'!$F$11:$Q$11, '1 Machine Build'!$F12:$Q12), 0), _xlfn.IFNA(_xlfn.XLOOKUP(Assumptions!EM$87, '1 Machine Build'!$F$11:$Q$11, '1 Machine Build'!$F12:$Q12), 0), _xlfn.IFNA(_xlfn.XLOOKUP(Assumptions!EM$88, '1 Machine Build'!$F$11:$Q$11, '1 Machine Build'!$F12:$Q12), 0))</f>
        <v>0</v>
      </c>
      <c r="EP30" s="97">
        <f>SUM(_xlfn.IFNA(_xlfn.XLOOKUP(Assumptions!EN$81, '1 Machine Build'!$F$11:$Q$11, '1 Machine Build'!$F12:$Q12), 0), _xlfn.IFNA(_xlfn.XLOOKUP(Assumptions!EN$82, '1 Machine Build'!$F$11:$Q$11, '1 Machine Build'!$F12:$Q12), 0), _xlfn.IFNA(_xlfn.XLOOKUP(Assumptions!EN$83, '1 Machine Build'!$F$11:$Q$11, '1 Machine Build'!$F12:$Q12), 0), _xlfn.IFNA(_xlfn.XLOOKUP(Assumptions!EN$84, '1 Machine Build'!$F$11:$Q$11, '1 Machine Build'!$F12:$Q12), 0), _xlfn.IFNA(_xlfn.XLOOKUP(Assumptions!EN$85, '1 Machine Build'!$F$11:$Q$11, '1 Machine Build'!$F12:$Q12), 0), _xlfn.IFNA(_xlfn.XLOOKUP(Assumptions!EN$86, '1 Machine Build'!$F$11:$Q$11, '1 Machine Build'!$F12:$Q12), 0), _xlfn.IFNA(_xlfn.XLOOKUP(Assumptions!EN$87, '1 Machine Build'!$F$11:$Q$11, '1 Machine Build'!$F12:$Q12), 0), _xlfn.IFNA(_xlfn.XLOOKUP(Assumptions!EN$88, '1 Machine Build'!$F$11:$Q$11, '1 Machine Build'!$F12:$Q12), 0))</f>
        <v>0</v>
      </c>
      <c r="EQ30" s="97">
        <f>SUM(_xlfn.IFNA(_xlfn.XLOOKUP(Assumptions!EO$81, '1 Machine Build'!$F$11:$Q$11, '1 Machine Build'!$F12:$Q12), 0), _xlfn.IFNA(_xlfn.XLOOKUP(Assumptions!EO$82, '1 Machine Build'!$F$11:$Q$11, '1 Machine Build'!$F12:$Q12), 0), _xlfn.IFNA(_xlfn.XLOOKUP(Assumptions!EO$83, '1 Machine Build'!$F$11:$Q$11, '1 Machine Build'!$F12:$Q12), 0), _xlfn.IFNA(_xlfn.XLOOKUP(Assumptions!EO$84, '1 Machine Build'!$F$11:$Q$11, '1 Machine Build'!$F12:$Q12), 0), _xlfn.IFNA(_xlfn.XLOOKUP(Assumptions!EO$85, '1 Machine Build'!$F$11:$Q$11, '1 Machine Build'!$F12:$Q12), 0), _xlfn.IFNA(_xlfn.XLOOKUP(Assumptions!EO$86, '1 Machine Build'!$F$11:$Q$11, '1 Machine Build'!$F12:$Q12), 0), _xlfn.IFNA(_xlfn.XLOOKUP(Assumptions!EO$87, '1 Machine Build'!$F$11:$Q$11, '1 Machine Build'!$F12:$Q12), 0), _xlfn.IFNA(_xlfn.XLOOKUP(Assumptions!EO$88, '1 Machine Build'!$F$11:$Q$11, '1 Machine Build'!$F12:$Q12), 0))</f>
        <v>0</v>
      </c>
      <c r="ER30" s="97">
        <f>SUM(_xlfn.IFNA(_xlfn.XLOOKUP(Assumptions!EP$81, '1 Machine Build'!$F$11:$Q$11, '1 Machine Build'!$F12:$Q12), 0), _xlfn.IFNA(_xlfn.XLOOKUP(Assumptions!EP$82, '1 Machine Build'!$F$11:$Q$11, '1 Machine Build'!$F12:$Q12), 0), _xlfn.IFNA(_xlfn.XLOOKUP(Assumptions!EP$83, '1 Machine Build'!$F$11:$Q$11, '1 Machine Build'!$F12:$Q12), 0), _xlfn.IFNA(_xlfn.XLOOKUP(Assumptions!EP$84, '1 Machine Build'!$F$11:$Q$11, '1 Machine Build'!$F12:$Q12), 0), _xlfn.IFNA(_xlfn.XLOOKUP(Assumptions!EP$85, '1 Machine Build'!$F$11:$Q$11, '1 Machine Build'!$F12:$Q12), 0), _xlfn.IFNA(_xlfn.XLOOKUP(Assumptions!EP$86, '1 Machine Build'!$F$11:$Q$11, '1 Machine Build'!$F12:$Q12), 0), _xlfn.IFNA(_xlfn.XLOOKUP(Assumptions!EP$87, '1 Machine Build'!$F$11:$Q$11, '1 Machine Build'!$F12:$Q12), 0), _xlfn.IFNA(_xlfn.XLOOKUP(Assumptions!EP$88, '1 Machine Build'!$F$11:$Q$11, '1 Machine Build'!$F12:$Q12), 0))</f>
        <v>0</v>
      </c>
      <c r="ES30" s="97">
        <f>SUM(_xlfn.IFNA(_xlfn.XLOOKUP(Assumptions!EQ$81, '1 Machine Build'!$F$11:$Q$11, '1 Machine Build'!$F12:$Q12), 0), _xlfn.IFNA(_xlfn.XLOOKUP(Assumptions!EQ$82, '1 Machine Build'!$F$11:$Q$11, '1 Machine Build'!$F12:$Q12), 0), _xlfn.IFNA(_xlfn.XLOOKUP(Assumptions!EQ$83, '1 Machine Build'!$F$11:$Q$11, '1 Machine Build'!$F12:$Q12), 0), _xlfn.IFNA(_xlfn.XLOOKUP(Assumptions!EQ$84, '1 Machine Build'!$F$11:$Q$11, '1 Machine Build'!$F12:$Q12), 0), _xlfn.IFNA(_xlfn.XLOOKUP(Assumptions!EQ$85, '1 Machine Build'!$F$11:$Q$11, '1 Machine Build'!$F12:$Q12), 0), _xlfn.IFNA(_xlfn.XLOOKUP(Assumptions!EQ$86, '1 Machine Build'!$F$11:$Q$11, '1 Machine Build'!$F12:$Q12), 0), _xlfn.IFNA(_xlfn.XLOOKUP(Assumptions!EQ$87, '1 Machine Build'!$F$11:$Q$11, '1 Machine Build'!$F12:$Q12), 0), _xlfn.IFNA(_xlfn.XLOOKUP(Assumptions!EQ$88, '1 Machine Build'!$F$11:$Q$11, '1 Machine Build'!$F12:$Q12), 0))</f>
        <v>0</v>
      </c>
      <c r="ET30" s="97">
        <f>SUM(_xlfn.IFNA(_xlfn.XLOOKUP(Assumptions!ER$81, '1 Machine Build'!$F$11:$Q$11, '1 Machine Build'!$F12:$Q12), 0), _xlfn.IFNA(_xlfn.XLOOKUP(Assumptions!ER$82, '1 Machine Build'!$F$11:$Q$11, '1 Machine Build'!$F12:$Q12), 0), _xlfn.IFNA(_xlfn.XLOOKUP(Assumptions!ER$83, '1 Machine Build'!$F$11:$Q$11, '1 Machine Build'!$F12:$Q12), 0), _xlfn.IFNA(_xlfn.XLOOKUP(Assumptions!ER$84, '1 Machine Build'!$F$11:$Q$11, '1 Machine Build'!$F12:$Q12), 0), _xlfn.IFNA(_xlfn.XLOOKUP(Assumptions!ER$85, '1 Machine Build'!$F$11:$Q$11, '1 Machine Build'!$F12:$Q12), 0), _xlfn.IFNA(_xlfn.XLOOKUP(Assumptions!ER$86, '1 Machine Build'!$F$11:$Q$11, '1 Machine Build'!$F12:$Q12), 0), _xlfn.IFNA(_xlfn.XLOOKUP(Assumptions!ER$87, '1 Machine Build'!$F$11:$Q$11, '1 Machine Build'!$F12:$Q12), 0), _xlfn.IFNA(_xlfn.XLOOKUP(Assumptions!ER$88, '1 Machine Build'!$F$11:$Q$11, '1 Machine Build'!$F12:$Q12), 0))</f>
        <v>0</v>
      </c>
      <c r="EU30" s="97">
        <f>SUM(_xlfn.IFNA(_xlfn.XLOOKUP(Assumptions!ES$81, '1 Machine Build'!$F$11:$Q$11, '1 Machine Build'!$F12:$Q12), 0), _xlfn.IFNA(_xlfn.XLOOKUP(Assumptions!ES$82, '1 Machine Build'!$F$11:$Q$11, '1 Machine Build'!$F12:$Q12), 0), _xlfn.IFNA(_xlfn.XLOOKUP(Assumptions!ES$83, '1 Machine Build'!$F$11:$Q$11, '1 Machine Build'!$F12:$Q12), 0), _xlfn.IFNA(_xlfn.XLOOKUP(Assumptions!ES$84, '1 Machine Build'!$F$11:$Q$11, '1 Machine Build'!$F12:$Q12), 0), _xlfn.IFNA(_xlfn.XLOOKUP(Assumptions!ES$85, '1 Machine Build'!$F$11:$Q$11, '1 Machine Build'!$F12:$Q12), 0), _xlfn.IFNA(_xlfn.XLOOKUP(Assumptions!ES$86, '1 Machine Build'!$F$11:$Q$11, '1 Machine Build'!$F12:$Q12), 0), _xlfn.IFNA(_xlfn.XLOOKUP(Assumptions!ES$87, '1 Machine Build'!$F$11:$Q$11, '1 Machine Build'!$F12:$Q12), 0), _xlfn.IFNA(_xlfn.XLOOKUP(Assumptions!ES$88, '1 Machine Build'!$F$11:$Q$11, '1 Machine Build'!$F12:$Q12), 0))</f>
        <v>0</v>
      </c>
      <c r="EV30" s="97">
        <f>SUM(_xlfn.IFNA(_xlfn.XLOOKUP(Assumptions!ET$81, '1 Machine Build'!$F$11:$Q$11, '1 Machine Build'!$F12:$Q12), 0), _xlfn.IFNA(_xlfn.XLOOKUP(Assumptions!ET$82, '1 Machine Build'!$F$11:$Q$11, '1 Machine Build'!$F12:$Q12), 0), _xlfn.IFNA(_xlfn.XLOOKUP(Assumptions!ET$83, '1 Machine Build'!$F$11:$Q$11, '1 Machine Build'!$F12:$Q12), 0), _xlfn.IFNA(_xlfn.XLOOKUP(Assumptions!ET$84, '1 Machine Build'!$F$11:$Q$11, '1 Machine Build'!$F12:$Q12), 0), _xlfn.IFNA(_xlfn.XLOOKUP(Assumptions!ET$85, '1 Machine Build'!$F$11:$Q$11, '1 Machine Build'!$F12:$Q12), 0), _xlfn.IFNA(_xlfn.XLOOKUP(Assumptions!ET$86, '1 Machine Build'!$F$11:$Q$11, '1 Machine Build'!$F12:$Q12), 0), _xlfn.IFNA(_xlfn.XLOOKUP(Assumptions!ET$87, '1 Machine Build'!$F$11:$Q$11, '1 Machine Build'!$F12:$Q12), 0), _xlfn.IFNA(_xlfn.XLOOKUP(Assumptions!ET$88, '1 Machine Build'!$F$11:$Q$11, '1 Machine Build'!$F12:$Q12), 0))</f>
        <v>0</v>
      </c>
      <c r="EW30" s="97">
        <f>SUM(_xlfn.IFNA(_xlfn.XLOOKUP(Assumptions!EU$81, '1 Machine Build'!$F$11:$Q$11, '1 Machine Build'!$F12:$Q12), 0), _xlfn.IFNA(_xlfn.XLOOKUP(Assumptions!EU$82, '1 Machine Build'!$F$11:$Q$11, '1 Machine Build'!$F12:$Q12), 0), _xlfn.IFNA(_xlfn.XLOOKUP(Assumptions!EU$83, '1 Machine Build'!$F$11:$Q$11, '1 Machine Build'!$F12:$Q12), 0), _xlfn.IFNA(_xlfn.XLOOKUP(Assumptions!EU$84, '1 Machine Build'!$F$11:$Q$11, '1 Machine Build'!$F12:$Q12), 0), _xlfn.IFNA(_xlfn.XLOOKUP(Assumptions!EU$85, '1 Machine Build'!$F$11:$Q$11, '1 Machine Build'!$F12:$Q12), 0), _xlfn.IFNA(_xlfn.XLOOKUP(Assumptions!EU$86, '1 Machine Build'!$F$11:$Q$11, '1 Machine Build'!$F12:$Q12), 0), _xlfn.IFNA(_xlfn.XLOOKUP(Assumptions!EU$87, '1 Machine Build'!$F$11:$Q$11, '1 Machine Build'!$F12:$Q12), 0), _xlfn.IFNA(_xlfn.XLOOKUP(Assumptions!EU$88, '1 Machine Build'!$F$11:$Q$11, '1 Machine Build'!$F12:$Q12), 0))</f>
        <v>0</v>
      </c>
      <c r="EX30" s="97">
        <f>SUM(_xlfn.IFNA(_xlfn.XLOOKUP(Assumptions!EV$81, '1 Machine Build'!$F$11:$Q$11, '1 Machine Build'!$F12:$Q12), 0), _xlfn.IFNA(_xlfn.XLOOKUP(Assumptions!EV$82, '1 Machine Build'!$F$11:$Q$11, '1 Machine Build'!$F12:$Q12), 0), _xlfn.IFNA(_xlfn.XLOOKUP(Assumptions!EV$83, '1 Machine Build'!$F$11:$Q$11, '1 Machine Build'!$F12:$Q12), 0), _xlfn.IFNA(_xlfn.XLOOKUP(Assumptions!EV$84, '1 Machine Build'!$F$11:$Q$11, '1 Machine Build'!$F12:$Q12), 0), _xlfn.IFNA(_xlfn.XLOOKUP(Assumptions!EV$85, '1 Machine Build'!$F$11:$Q$11, '1 Machine Build'!$F12:$Q12), 0), _xlfn.IFNA(_xlfn.XLOOKUP(Assumptions!EV$86, '1 Machine Build'!$F$11:$Q$11, '1 Machine Build'!$F12:$Q12), 0), _xlfn.IFNA(_xlfn.XLOOKUP(Assumptions!EV$87, '1 Machine Build'!$F$11:$Q$11, '1 Machine Build'!$F12:$Q12), 0), _xlfn.IFNA(_xlfn.XLOOKUP(Assumptions!EV$88, '1 Machine Build'!$F$11:$Q$11, '1 Machine Build'!$F12:$Q12), 0))</f>
        <v>0</v>
      </c>
      <c r="EY30" s="97">
        <f>SUM(_xlfn.IFNA(_xlfn.XLOOKUP(Assumptions!EW$81, '1 Machine Build'!$F$11:$Q$11, '1 Machine Build'!$F12:$Q12), 0), _xlfn.IFNA(_xlfn.XLOOKUP(Assumptions!EW$82, '1 Machine Build'!$F$11:$Q$11, '1 Machine Build'!$F12:$Q12), 0), _xlfn.IFNA(_xlfn.XLOOKUP(Assumptions!EW$83, '1 Machine Build'!$F$11:$Q$11, '1 Machine Build'!$F12:$Q12), 0), _xlfn.IFNA(_xlfn.XLOOKUP(Assumptions!EW$84, '1 Machine Build'!$F$11:$Q$11, '1 Machine Build'!$F12:$Q12), 0), _xlfn.IFNA(_xlfn.XLOOKUP(Assumptions!EW$85, '1 Machine Build'!$F$11:$Q$11, '1 Machine Build'!$F12:$Q12), 0), _xlfn.IFNA(_xlfn.XLOOKUP(Assumptions!EW$86, '1 Machine Build'!$F$11:$Q$11, '1 Machine Build'!$F12:$Q12), 0), _xlfn.IFNA(_xlfn.XLOOKUP(Assumptions!EW$87, '1 Machine Build'!$F$11:$Q$11, '1 Machine Build'!$F12:$Q12), 0), _xlfn.IFNA(_xlfn.XLOOKUP(Assumptions!EW$88, '1 Machine Build'!$F$11:$Q$11, '1 Machine Build'!$F12:$Q12), 0))</f>
        <v>0</v>
      </c>
      <c r="EZ30" s="97">
        <f>SUM(_xlfn.IFNA(_xlfn.XLOOKUP(Assumptions!EX$81, '1 Machine Build'!$F$11:$Q$11, '1 Machine Build'!$F12:$Q12), 0), _xlfn.IFNA(_xlfn.XLOOKUP(Assumptions!EX$82, '1 Machine Build'!$F$11:$Q$11, '1 Machine Build'!$F12:$Q12), 0), _xlfn.IFNA(_xlfn.XLOOKUP(Assumptions!EX$83, '1 Machine Build'!$F$11:$Q$11, '1 Machine Build'!$F12:$Q12), 0), _xlfn.IFNA(_xlfn.XLOOKUP(Assumptions!EX$84, '1 Machine Build'!$F$11:$Q$11, '1 Machine Build'!$F12:$Q12), 0), _xlfn.IFNA(_xlfn.XLOOKUP(Assumptions!EX$85, '1 Machine Build'!$F$11:$Q$11, '1 Machine Build'!$F12:$Q12), 0), _xlfn.IFNA(_xlfn.XLOOKUP(Assumptions!EX$86, '1 Machine Build'!$F$11:$Q$11, '1 Machine Build'!$F12:$Q12), 0), _xlfn.IFNA(_xlfn.XLOOKUP(Assumptions!EX$87, '1 Machine Build'!$F$11:$Q$11, '1 Machine Build'!$F12:$Q12), 0), _xlfn.IFNA(_xlfn.XLOOKUP(Assumptions!EX$88, '1 Machine Build'!$F$11:$Q$11, '1 Machine Build'!$F12:$Q12), 0))</f>
        <v>0</v>
      </c>
      <c r="FA30" s="97">
        <f>SUM(_xlfn.IFNA(_xlfn.XLOOKUP(Assumptions!EY$81, '1 Machine Build'!$F$11:$Q$11, '1 Machine Build'!$F12:$Q12), 0), _xlfn.IFNA(_xlfn.XLOOKUP(Assumptions!EY$82, '1 Machine Build'!$F$11:$Q$11, '1 Machine Build'!$F12:$Q12), 0), _xlfn.IFNA(_xlfn.XLOOKUP(Assumptions!EY$83, '1 Machine Build'!$F$11:$Q$11, '1 Machine Build'!$F12:$Q12), 0), _xlfn.IFNA(_xlfn.XLOOKUP(Assumptions!EY$84, '1 Machine Build'!$F$11:$Q$11, '1 Machine Build'!$F12:$Q12), 0), _xlfn.IFNA(_xlfn.XLOOKUP(Assumptions!EY$85, '1 Machine Build'!$F$11:$Q$11, '1 Machine Build'!$F12:$Q12), 0), _xlfn.IFNA(_xlfn.XLOOKUP(Assumptions!EY$86, '1 Machine Build'!$F$11:$Q$11, '1 Machine Build'!$F12:$Q12), 0), _xlfn.IFNA(_xlfn.XLOOKUP(Assumptions!EY$87, '1 Machine Build'!$F$11:$Q$11, '1 Machine Build'!$F12:$Q12), 0), _xlfn.IFNA(_xlfn.XLOOKUP(Assumptions!EY$88, '1 Machine Build'!$F$11:$Q$11, '1 Machine Build'!$F12:$Q12), 0))</f>
        <v>0</v>
      </c>
      <c r="FB30" s="97">
        <f>SUM(_xlfn.IFNA(_xlfn.XLOOKUP(Assumptions!EZ$81, '1 Machine Build'!$F$11:$Q$11, '1 Machine Build'!$F12:$Q12), 0), _xlfn.IFNA(_xlfn.XLOOKUP(Assumptions!EZ$82, '1 Machine Build'!$F$11:$Q$11, '1 Machine Build'!$F12:$Q12), 0), _xlfn.IFNA(_xlfn.XLOOKUP(Assumptions!EZ$83, '1 Machine Build'!$F$11:$Q$11, '1 Machine Build'!$F12:$Q12), 0), _xlfn.IFNA(_xlfn.XLOOKUP(Assumptions!EZ$84, '1 Machine Build'!$F$11:$Q$11, '1 Machine Build'!$F12:$Q12), 0), _xlfn.IFNA(_xlfn.XLOOKUP(Assumptions!EZ$85, '1 Machine Build'!$F$11:$Q$11, '1 Machine Build'!$F12:$Q12), 0), _xlfn.IFNA(_xlfn.XLOOKUP(Assumptions!EZ$86, '1 Machine Build'!$F$11:$Q$11, '1 Machine Build'!$F12:$Q12), 0), _xlfn.IFNA(_xlfn.XLOOKUP(Assumptions!EZ$87, '1 Machine Build'!$F$11:$Q$11, '1 Machine Build'!$F12:$Q12), 0), _xlfn.IFNA(_xlfn.XLOOKUP(Assumptions!EZ$88, '1 Machine Build'!$F$11:$Q$11, '1 Machine Build'!$F12:$Q12), 0))</f>
        <v>0</v>
      </c>
      <c r="FC30" s="97">
        <f>SUM(_xlfn.IFNA(_xlfn.XLOOKUP(Assumptions!FA$81, '1 Machine Build'!$F$11:$Q$11, '1 Machine Build'!$F12:$Q12), 0), _xlfn.IFNA(_xlfn.XLOOKUP(Assumptions!FA$82, '1 Machine Build'!$F$11:$Q$11, '1 Machine Build'!$F12:$Q12), 0), _xlfn.IFNA(_xlfn.XLOOKUP(Assumptions!FA$83, '1 Machine Build'!$F$11:$Q$11, '1 Machine Build'!$F12:$Q12), 0), _xlfn.IFNA(_xlfn.XLOOKUP(Assumptions!FA$84, '1 Machine Build'!$F$11:$Q$11, '1 Machine Build'!$F12:$Q12), 0), _xlfn.IFNA(_xlfn.XLOOKUP(Assumptions!FA$85, '1 Machine Build'!$F$11:$Q$11, '1 Machine Build'!$F12:$Q12), 0), _xlfn.IFNA(_xlfn.XLOOKUP(Assumptions!FA$86, '1 Machine Build'!$F$11:$Q$11, '1 Machine Build'!$F12:$Q12), 0), _xlfn.IFNA(_xlfn.XLOOKUP(Assumptions!FA$87, '1 Machine Build'!$F$11:$Q$11, '1 Machine Build'!$F12:$Q12), 0), _xlfn.IFNA(_xlfn.XLOOKUP(Assumptions!FA$88, '1 Machine Build'!$F$11:$Q$11, '1 Machine Build'!$F12:$Q12), 0))</f>
        <v>0</v>
      </c>
      <c r="FD30" s="97">
        <f>SUM(_xlfn.IFNA(_xlfn.XLOOKUP(Assumptions!FB$81, '1 Machine Build'!$F$11:$Q$11, '1 Machine Build'!$F12:$Q12), 0), _xlfn.IFNA(_xlfn.XLOOKUP(Assumptions!FB$82, '1 Machine Build'!$F$11:$Q$11, '1 Machine Build'!$F12:$Q12), 0), _xlfn.IFNA(_xlfn.XLOOKUP(Assumptions!FB$83, '1 Machine Build'!$F$11:$Q$11, '1 Machine Build'!$F12:$Q12), 0), _xlfn.IFNA(_xlfn.XLOOKUP(Assumptions!FB$84, '1 Machine Build'!$F$11:$Q$11, '1 Machine Build'!$F12:$Q12), 0), _xlfn.IFNA(_xlfn.XLOOKUP(Assumptions!FB$85, '1 Machine Build'!$F$11:$Q$11, '1 Machine Build'!$F12:$Q12), 0), _xlfn.IFNA(_xlfn.XLOOKUP(Assumptions!FB$86, '1 Machine Build'!$F$11:$Q$11, '1 Machine Build'!$F12:$Q12), 0), _xlfn.IFNA(_xlfn.XLOOKUP(Assumptions!FB$87, '1 Machine Build'!$F$11:$Q$11, '1 Machine Build'!$F12:$Q12), 0), _xlfn.IFNA(_xlfn.XLOOKUP(Assumptions!FB$88, '1 Machine Build'!$F$11:$Q$11, '1 Machine Build'!$F12:$Q12), 0))</f>
        <v>0</v>
      </c>
      <c r="FE30" s="97">
        <f>SUM(_xlfn.IFNA(_xlfn.XLOOKUP(Assumptions!FC$81, '1 Machine Build'!$F$11:$Q$11, '1 Machine Build'!$F12:$Q12), 0), _xlfn.IFNA(_xlfn.XLOOKUP(Assumptions!FC$82, '1 Machine Build'!$F$11:$Q$11, '1 Machine Build'!$F12:$Q12), 0), _xlfn.IFNA(_xlfn.XLOOKUP(Assumptions!FC$83, '1 Machine Build'!$F$11:$Q$11, '1 Machine Build'!$F12:$Q12), 0), _xlfn.IFNA(_xlfn.XLOOKUP(Assumptions!FC$84, '1 Machine Build'!$F$11:$Q$11, '1 Machine Build'!$F12:$Q12), 0), _xlfn.IFNA(_xlfn.XLOOKUP(Assumptions!FC$85, '1 Machine Build'!$F$11:$Q$11, '1 Machine Build'!$F12:$Q12), 0), _xlfn.IFNA(_xlfn.XLOOKUP(Assumptions!FC$86, '1 Machine Build'!$F$11:$Q$11, '1 Machine Build'!$F12:$Q12), 0), _xlfn.IFNA(_xlfn.XLOOKUP(Assumptions!FC$87, '1 Machine Build'!$F$11:$Q$11, '1 Machine Build'!$F12:$Q12), 0), _xlfn.IFNA(_xlfn.XLOOKUP(Assumptions!FC$88, '1 Machine Build'!$F$11:$Q$11, '1 Machine Build'!$F12:$Q12), 0))</f>
        <v>0</v>
      </c>
      <c r="FF30" s="97">
        <f>SUM(_xlfn.IFNA(_xlfn.XLOOKUP(Assumptions!FD$81, '1 Machine Build'!$F$11:$Q$11, '1 Machine Build'!$F12:$Q12), 0), _xlfn.IFNA(_xlfn.XLOOKUP(Assumptions!FD$82, '1 Machine Build'!$F$11:$Q$11, '1 Machine Build'!$F12:$Q12), 0), _xlfn.IFNA(_xlfn.XLOOKUP(Assumptions!FD$83, '1 Machine Build'!$F$11:$Q$11, '1 Machine Build'!$F12:$Q12), 0), _xlfn.IFNA(_xlfn.XLOOKUP(Assumptions!FD$84, '1 Machine Build'!$F$11:$Q$11, '1 Machine Build'!$F12:$Q12), 0), _xlfn.IFNA(_xlfn.XLOOKUP(Assumptions!FD$85, '1 Machine Build'!$F$11:$Q$11, '1 Machine Build'!$F12:$Q12), 0), _xlfn.IFNA(_xlfn.XLOOKUP(Assumptions!FD$86, '1 Machine Build'!$F$11:$Q$11, '1 Machine Build'!$F12:$Q12), 0), _xlfn.IFNA(_xlfn.XLOOKUP(Assumptions!FD$87, '1 Machine Build'!$F$11:$Q$11, '1 Machine Build'!$F12:$Q12), 0), _xlfn.IFNA(_xlfn.XLOOKUP(Assumptions!FD$88, '1 Machine Build'!$F$11:$Q$11, '1 Machine Build'!$F12:$Q12), 0))</f>
        <v>0</v>
      </c>
      <c r="FG30" s="97">
        <f>SUM(_xlfn.IFNA(_xlfn.XLOOKUP(Assumptions!FE$81, '1 Machine Build'!$F$11:$Q$11, '1 Machine Build'!$F12:$Q12), 0), _xlfn.IFNA(_xlfn.XLOOKUP(Assumptions!FE$82, '1 Machine Build'!$F$11:$Q$11, '1 Machine Build'!$F12:$Q12), 0), _xlfn.IFNA(_xlfn.XLOOKUP(Assumptions!FE$83, '1 Machine Build'!$F$11:$Q$11, '1 Machine Build'!$F12:$Q12), 0), _xlfn.IFNA(_xlfn.XLOOKUP(Assumptions!FE$84, '1 Machine Build'!$F$11:$Q$11, '1 Machine Build'!$F12:$Q12), 0), _xlfn.IFNA(_xlfn.XLOOKUP(Assumptions!FE$85, '1 Machine Build'!$F$11:$Q$11, '1 Machine Build'!$F12:$Q12), 0), _xlfn.IFNA(_xlfn.XLOOKUP(Assumptions!FE$86, '1 Machine Build'!$F$11:$Q$11, '1 Machine Build'!$F12:$Q12), 0), _xlfn.IFNA(_xlfn.XLOOKUP(Assumptions!FE$87, '1 Machine Build'!$F$11:$Q$11, '1 Machine Build'!$F12:$Q12), 0), _xlfn.IFNA(_xlfn.XLOOKUP(Assumptions!FE$88, '1 Machine Build'!$F$11:$Q$11, '1 Machine Build'!$F12:$Q12), 0))</f>
        <v>0</v>
      </c>
      <c r="FH30" s="97">
        <f>SUM(_xlfn.IFNA(_xlfn.XLOOKUP(Assumptions!FF$81, '1 Machine Build'!$F$11:$Q$11, '1 Machine Build'!$F12:$Q12), 0), _xlfn.IFNA(_xlfn.XLOOKUP(Assumptions!FF$82, '1 Machine Build'!$F$11:$Q$11, '1 Machine Build'!$F12:$Q12), 0), _xlfn.IFNA(_xlfn.XLOOKUP(Assumptions!FF$83, '1 Machine Build'!$F$11:$Q$11, '1 Machine Build'!$F12:$Q12), 0), _xlfn.IFNA(_xlfn.XLOOKUP(Assumptions!FF$84, '1 Machine Build'!$F$11:$Q$11, '1 Machine Build'!$F12:$Q12), 0), _xlfn.IFNA(_xlfn.XLOOKUP(Assumptions!FF$85, '1 Machine Build'!$F$11:$Q$11, '1 Machine Build'!$F12:$Q12), 0), _xlfn.IFNA(_xlfn.XLOOKUP(Assumptions!FF$86, '1 Machine Build'!$F$11:$Q$11, '1 Machine Build'!$F12:$Q12), 0), _xlfn.IFNA(_xlfn.XLOOKUP(Assumptions!FF$87, '1 Machine Build'!$F$11:$Q$11, '1 Machine Build'!$F12:$Q12), 0), _xlfn.IFNA(_xlfn.XLOOKUP(Assumptions!FF$88, '1 Machine Build'!$F$11:$Q$11, '1 Machine Build'!$F12:$Q12), 0))</f>
        <v>0</v>
      </c>
      <c r="FI30" s="97">
        <f>SUM(_xlfn.IFNA(_xlfn.XLOOKUP(Assumptions!FG$81, '1 Machine Build'!$F$11:$Q$11, '1 Machine Build'!$F12:$Q12), 0), _xlfn.IFNA(_xlfn.XLOOKUP(Assumptions!FG$82, '1 Machine Build'!$F$11:$Q$11, '1 Machine Build'!$F12:$Q12), 0), _xlfn.IFNA(_xlfn.XLOOKUP(Assumptions!FG$83, '1 Machine Build'!$F$11:$Q$11, '1 Machine Build'!$F12:$Q12), 0), _xlfn.IFNA(_xlfn.XLOOKUP(Assumptions!FG$84, '1 Machine Build'!$F$11:$Q$11, '1 Machine Build'!$F12:$Q12), 0), _xlfn.IFNA(_xlfn.XLOOKUP(Assumptions!FG$85, '1 Machine Build'!$F$11:$Q$11, '1 Machine Build'!$F12:$Q12), 0), _xlfn.IFNA(_xlfn.XLOOKUP(Assumptions!FG$86, '1 Machine Build'!$F$11:$Q$11, '1 Machine Build'!$F12:$Q12), 0), _xlfn.IFNA(_xlfn.XLOOKUP(Assumptions!FG$87, '1 Machine Build'!$F$11:$Q$11, '1 Machine Build'!$F12:$Q12), 0), _xlfn.IFNA(_xlfn.XLOOKUP(Assumptions!FG$88, '1 Machine Build'!$F$11:$Q$11, '1 Machine Build'!$F12:$Q12), 0))</f>
        <v>0</v>
      </c>
      <c r="FJ30" s="97">
        <f>SUM(_xlfn.IFNA(_xlfn.XLOOKUP(Assumptions!FH$81, '1 Machine Build'!$F$11:$Q$11, '1 Machine Build'!$F12:$Q12), 0), _xlfn.IFNA(_xlfn.XLOOKUP(Assumptions!FH$82, '1 Machine Build'!$F$11:$Q$11, '1 Machine Build'!$F12:$Q12), 0), _xlfn.IFNA(_xlfn.XLOOKUP(Assumptions!FH$83, '1 Machine Build'!$F$11:$Q$11, '1 Machine Build'!$F12:$Q12), 0), _xlfn.IFNA(_xlfn.XLOOKUP(Assumptions!FH$84, '1 Machine Build'!$F$11:$Q$11, '1 Machine Build'!$F12:$Q12), 0), _xlfn.IFNA(_xlfn.XLOOKUP(Assumptions!FH$85, '1 Machine Build'!$F$11:$Q$11, '1 Machine Build'!$F12:$Q12), 0), _xlfn.IFNA(_xlfn.XLOOKUP(Assumptions!FH$86, '1 Machine Build'!$F$11:$Q$11, '1 Machine Build'!$F12:$Q12), 0), _xlfn.IFNA(_xlfn.XLOOKUP(Assumptions!FH$87, '1 Machine Build'!$F$11:$Q$11, '1 Machine Build'!$F12:$Q12), 0), _xlfn.IFNA(_xlfn.XLOOKUP(Assumptions!FH$88, '1 Machine Build'!$F$11:$Q$11, '1 Machine Build'!$F12:$Q12), 0))</f>
        <v>0</v>
      </c>
      <c r="FK30" s="97">
        <f>SUM(_xlfn.IFNA(_xlfn.XLOOKUP(Assumptions!FI$81, '1 Machine Build'!$F$11:$Q$11, '1 Machine Build'!$F12:$Q12), 0), _xlfn.IFNA(_xlfn.XLOOKUP(Assumptions!FI$82, '1 Machine Build'!$F$11:$Q$11, '1 Machine Build'!$F12:$Q12), 0), _xlfn.IFNA(_xlfn.XLOOKUP(Assumptions!FI$83, '1 Machine Build'!$F$11:$Q$11, '1 Machine Build'!$F12:$Q12), 0), _xlfn.IFNA(_xlfn.XLOOKUP(Assumptions!FI$84, '1 Machine Build'!$F$11:$Q$11, '1 Machine Build'!$F12:$Q12), 0), _xlfn.IFNA(_xlfn.XLOOKUP(Assumptions!FI$85, '1 Machine Build'!$F$11:$Q$11, '1 Machine Build'!$F12:$Q12), 0), _xlfn.IFNA(_xlfn.XLOOKUP(Assumptions!FI$86, '1 Machine Build'!$F$11:$Q$11, '1 Machine Build'!$F12:$Q12), 0), _xlfn.IFNA(_xlfn.XLOOKUP(Assumptions!FI$87, '1 Machine Build'!$F$11:$Q$11, '1 Machine Build'!$F12:$Q12), 0), _xlfn.IFNA(_xlfn.XLOOKUP(Assumptions!FI$88, '1 Machine Build'!$F$11:$Q$11, '1 Machine Build'!$F12:$Q12), 0))</f>
        <v>0</v>
      </c>
      <c r="FL30" s="97">
        <f>SUM(_xlfn.IFNA(_xlfn.XLOOKUP(Assumptions!FJ$81, '1 Machine Build'!$F$11:$Q$11, '1 Machine Build'!$F12:$Q12), 0), _xlfn.IFNA(_xlfn.XLOOKUP(Assumptions!FJ$82, '1 Machine Build'!$F$11:$Q$11, '1 Machine Build'!$F12:$Q12), 0), _xlfn.IFNA(_xlfn.XLOOKUP(Assumptions!FJ$83, '1 Machine Build'!$F$11:$Q$11, '1 Machine Build'!$F12:$Q12), 0), _xlfn.IFNA(_xlfn.XLOOKUP(Assumptions!FJ$84, '1 Machine Build'!$F$11:$Q$11, '1 Machine Build'!$F12:$Q12), 0), _xlfn.IFNA(_xlfn.XLOOKUP(Assumptions!FJ$85, '1 Machine Build'!$F$11:$Q$11, '1 Machine Build'!$F12:$Q12), 0), _xlfn.IFNA(_xlfn.XLOOKUP(Assumptions!FJ$86, '1 Machine Build'!$F$11:$Q$11, '1 Machine Build'!$F12:$Q12), 0), _xlfn.IFNA(_xlfn.XLOOKUP(Assumptions!FJ$87, '1 Machine Build'!$F$11:$Q$11, '1 Machine Build'!$F12:$Q12), 0), _xlfn.IFNA(_xlfn.XLOOKUP(Assumptions!FJ$88, '1 Machine Build'!$F$11:$Q$11, '1 Machine Build'!$F12:$Q12), 0))</f>
        <v>0</v>
      </c>
      <c r="FM30" s="97">
        <f>SUM(_xlfn.IFNA(_xlfn.XLOOKUP(Assumptions!FK$81, '1 Machine Build'!$F$11:$Q$11, '1 Machine Build'!$F12:$Q12), 0), _xlfn.IFNA(_xlfn.XLOOKUP(Assumptions!FK$82, '1 Machine Build'!$F$11:$Q$11, '1 Machine Build'!$F12:$Q12), 0), _xlfn.IFNA(_xlfn.XLOOKUP(Assumptions!FK$83, '1 Machine Build'!$F$11:$Q$11, '1 Machine Build'!$F12:$Q12), 0), _xlfn.IFNA(_xlfn.XLOOKUP(Assumptions!FK$84, '1 Machine Build'!$F$11:$Q$11, '1 Machine Build'!$F12:$Q12), 0), _xlfn.IFNA(_xlfn.XLOOKUP(Assumptions!FK$85, '1 Machine Build'!$F$11:$Q$11, '1 Machine Build'!$F12:$Q12), 0), _xlfn.IFNA(_xlfn.XLOOKUP(Assumptions!FK$86, '1 Machine Build'!$F$11:$Q$11, '1 Machine Build'!$F12:$Q12), 0), _xlfn.IFNA(_xlfn.XLOOKUP(Assumptions!FK$87, '1 Machine Build'!$F$11:$Q$11, '1 Machine Build'!$F12:$Q12), 0), _xlfn.IFNA(_xlfn.XLOOKUP(Assumptions!FK$88, '1 Machine Build'!$F$11:$Q$11, '1 Machine Build'!$F12:$Q12), 0))</f>
        <v>0</v>
      </c>
      <c r="FN30" s="97">
        <f>SUM(_xlfn.IFNA(_xlfn.XLOOKUP(Assumptions!FL$81, '1 Machine Build'!$F$11:$Q$11, '1 Machine Build'!$F12:$Q12), 0), _xlfn.IFNA(_xlfn.XLOOKUP(Assumptions!FL$82, '1 Machine Build'!$F$11:$Q$11, '1 Machine Build'!$F12:$Q12), 0), _xlfn.IFNA(_xlfn.XLOOKUP(Assumptions!FL$83, '1 Machine Build'!$F$11:$Q$11, '1 Machine Build'!$F12:$Q12), 0), _xlfn.IFNA(_xlfn.XLOOKUP(Assumptions!FL$84, '1 Machine Build'!$F$11:$Q$11, '1 Machine Build'!$F12:$Q12), 0), _xlfn.IFNA(_xlfn.XLOOKUP(Assumptions!FL$85, '1 Machine Build'!$F$11:$Q$11, '1 Machine Build'!$F12:$Q12), 0), _xlfn.IFNA(_xlfn.XLOOKUP(Assumptions!FL$86, '1 Machine Build'!$F$11:$Q$11, '1 Machine Build'!$F12:$Q12), 0), _xlfn.IFNA(_xlfn.XLOOKUP(Assumptions!FL$87, '1 Machine Build'!$F$11:$Q$11, '1 Machine Build'!$F12:$Q12), 0), _xlfn.IFNA(_xlfn.XLOOKUP(Assumptions!FL$88, '1 Machine Build'!$F$11:$Q$11, '1 Machine Build'!$F12:$Q12), 0))</f>
        <v>0</v>
      </c>
      <c r="FO30" s="97">
        <f>SUM(_xlfn.IFNA(_xlfn.XLOOKUP(Assumptions!FM$81, '1 Machine Build'!$F$11:$Q$11, '1 Machine Build'!$F12:$Q12), 0), _xlfn.IFNA(_xlfn.XLOOKUP(Assumptions!FM$82, '1 Machine Build'!$F$11:$Q$11, '1 Machine Build'!$F12:$Q12), 0), _xlfn.IFNA(_xlfn.XLOOKUP(Assumptions!FM$83, '1 Machine Build'!$F$11:$Q$11, '1 Machine Build'!$F12:$Q12), 0), _xlfn.IFNA(_xlfn.XLOOKUP(Assumptions!FM$84, '1 Machine Build'!$F$11:$Q$11, '1 Machine Build'!$F12:$Q12), 0), _xlfn.IFNA(_xlfn.XLOOKUP(Assumptions!FM$85, '1 Machine Build'!$F$11:$Q$11, '1 Machine Build'!$F12:$Q12), 0), _xlfn.IFNA(_xlfn.XLOOKUP(Assumptions!FM$86, '1 Machine Build'!$F$11:$Q$11, '1 Machine Build'!$F12:$Q12), 0), _xlfn.IFNA(_xlfn.XLOOKUP(Assumptions!FM$87, '1 Machine Build'!$F$11:$Q$11, '1 Machine Build'!$F12:$Q12), 0), _xlfn.IFNA(_xlfn.XLOOKUP(Assumptions!FM$88, '1 Machine Build'!$F$11:$Q$11, '1 Machine Build'!$F12:$Q12), 0))</f>
        <v>0</v>
      </c>
      <c r="FP30" s="97">
        <f>SUM(_xlfn.IFNA(_xlfn.XLOOKUP(Assumptions!FN$81, '1 Machine Build'!$F$11:$Q$11, '1 Machine Build'!$F12:$Q12), 0), _xlfn.IFNA(_xlfn.XLOOKUP(Assumptions!FN$82, '1 Machine Build'!$F$11:$Q$11, '1 Machine Build'!$F12:$Q12), 0), _xlfn.IFNA(_xlfn.XLOOKUP(Assumptions!FN$83, '1 Machine Build'!$F$11:$Q$11, '1 Machine Build'!$F12:$Q12), 0), _xlfn.IFNA(_xlfn.XLOOKUP(Assumptions!FN$84, '1 Machine Build'!$F$11:$Q$11, '1 Machine Build'!$F12:$Q12), 0), _xlfn.IFNA(_xlfn.XLOOKUP(Assumptions!FN$85, '1 Machine Build'!$F$11:$Q$11, '1 Machine Build'!$F12:$Q12), 0), _xlfn.IFNA(_xlfn.XLOOKUP(Assumptions!FN$86, '1 Machine Build'!$F$11:$Q$11, '1 Machine Build'!$F12:$Q12), 0), _xlfn.IFNA(_xlfn.XLOOKUP(Assumptions!FN$87, '1 Machine Build'!$F$11:$Q$11, '1 Machine Build'!$F12:$Q12), 0), _xlfn.IFNA(_xlfn.XLOOKUP(Assumptions!FN$88, '1 Machine Build'!$F$11:$Q$11, '1 Machine Build'!$F12:$Q12), 0))</f>
        <v>0</v>
      </c>
      <c r="FQ30" s="97">
        <f>SUM(_xlfn.IFNA(_xlfn.XLOOKUP(Assumptions!FO$81, '1 Machine Build'!$F$11:$Q$11, '1 Machine Build'!$F12:$Q12), 0), _xlfn.IFNA(_xlfn.XLOOKUP(Assumptions!FO$82, '1 Machine Build'!$F$11:$Q$11, '1 Machine Build'!$F12:$Q12), 0), _xlfn.IFNA(_xlfn.XLOOKUP(Assumptions!FO$83, '1 Machine Build'!$F$11:$Q$11, '1 Machine Build'!$F12:$Q12), 0), _xlfn.IFNA(_xlfn.XLOOKUP(Assumptions!FO$84, '1 Machine Build'!$F$11:$Q$11, '1 Machine Build'!$F12:$Q12), 0), _xlfn.IFNA(_xlfn.XLOOKUP(Assumptions!FO$85, '1 Machine Build'!$F$11:$Q$11, '1 Machine Build'!$F12:$Q12), 0), _xlfn.IFNA(_xlfn.XLOOKUP(Assumptions!FO$86, '1 Machine Build'!$F$11:$Q$11, '1 Machine Build'!$F12:$Q12), 0), _xlfn.IFNA(_xlfn.XLOOKUP(Assumptions!FO$87, '1 Machine Build'!$F$11:$Q$11, '1 Machine Build'!$F12:$Q12), 0), _xlfn.IFNA(_xlfn.XLOOKUP(Assumptions!FO$88, '1 Machine Build'!$F$11:$Q$11, '1 Machine Build'!$F12:$Q12), 0))</f>
        <v>0</v>
      </c>
      <c r="FR30" s="97">
        <f>SUM(_xlfn.IFNA(_xlfn.XLOOKUP(Assumptions!FP$81, '1 Machine Build'!$F$11:$Q$11, '1 Machine Build'!$F12:$Q12), 0), _xlfn.IFNA(_xlfn.XLOOKUP(Assumptions!FP$82, '1 Machine Build'!$F$11:$Q$11, '1 Machine Build'!$F12:$Q12), 0), _xlfn.IFNA(_xlfn.XLOOKUP(Assumptions!FP$83, '1 Machine Build'!$F$11:$Q$11, '1 Machine Build'!$F12:$Q12), 0), _xlfn.IFNA(_xlfn.XLOOKUP(Assumptions!FP$84, '1 Machine Build'!$F$11:$Q$11, '1 Machine Build'!$F12:$Q12), 0), _xlfn.IFNA(_xlfn.XLOOKUP(Assumptions!FP$85, '1 Machine Build'!$F$11:$Q$11, '1 Machine Build'!$F12:$Q12), 0), _xlfn.IFNA(_xlfn.XLOOKUP(Assumptions!FP$86, '1 Machine Build'!$F$11:$Q$11, '1 Machine Build'!$F12:$Q12), 0), _xlfn.IFNA(_xlfn.XLOOKUP(Assumptions!FP$87, '1 Machine Build'!$F$11:$Q$11, '1 Machine Build'!$F12:$Q12), 0), _xlfn.IFNA(_xlfn.XLOOKUP(Assumptions!FP$88, '1 Machine Build'!$F$11:$Q$11, '1 Machine Build'!$F12:$Q12), 0))</f>
        <v>0</v>
      </c>
      <c r="FS30" s="97">
        <f>SUM(_xlfn.IFNA(_xlfn.XLOOKUP(Assumptions!FQ$81, '1 Machine Build'!$F$11:$Q$11, '1 Machine Build'!$F12:$Q12), 0), _xlfn.IFNA(_xlfn.XLOOKUP(Assumptions!FQ$82, '1 Machine Build'!$F$11:$Q$11, '1 Machine Build'!$F12:$Q12), 0), _xlfn.IFNA(_xlfn.XLOOKUP(Assumptions!FQ$83, '1 Machine Build'!$F$11:$Q$11, '1 Machine Build'!$F12:$Q12), 0), _xlfn.IFNA(_xlfn.XLOOKUP(Assumptions!FQ$84, '1 Machine Build'!$F$11:$Q$11, '1 Machine Build'!$F12:$Q12), 0), _xlfn.IFNA(_xlfn.XLOOKUP(Assumptions!FQ$85, '1 Machine Build'!$F$11:$Q$11, '1 Machine Build'!$F12:$Q12), 0), _xlfn.IFNA(_xlfn.XLOOKUP(Assumptions!FQ$86, '1 Machine Build'!$F$11:$Q$11, '1 Machine Build'!$F12:$Q12), 0), _xlfn.IFNA(_xlfn.XLOOKUP(Assumptions!FQ$87, '1 Machine Build'!$F$11:$Q$11, '1 Machine Build'!$F12:$Q12), 0), _xlfn.IFNA(_xlfn.XLOOKUP(Assumptions!FQ$88, '1 Machine Build'!$F$11:$Q$11, '1 Machine Build'!$F12:$Q12), 0))</f>
        <v>0</v>
      </c>
      <c r="FT30" s="97">
        <f>SUM(_xlfn.IFNA(_xlfn.XLOOKUP(Assumptions!FR$81, '1 Machine Build'!$F$11:$Q$11, '1 Machine Build'!$F12:$Q12), 0), _xlfn.IFNA(_xlfn.XLOOKUP(Assumptions!FR$82, '1 Machine Build'!$F$11:$Q$11, '1 Machine Build'!$F12:$Q12), 0), _xlfn.IFNA(_xlfn.XLOOKUP(Assumptions!FR$83, '1 Machine Build'!$F$11:$Q$11, '1 Machine Build'!$F12:$Q12), 0), _xlfn.IFNA(_xlfn.XLOOKUP(Assumptions!FR$84, '1 Machine Build'!$F$11:$Q$11, '1 Machine Build'!$F12:$Q12), 0), _xlfn.IFNA(_xlfn.XLOOKUP(Assumptions!FR$85, '1 Machine Build'!$F$11:$Q$11, '1 Machine Build'!$F12:$Q12), 0), _xlfn.IFNA(_xlfn.XLOOKUP(Assumptions!FR$86, '1 Machine Build'!$F$11:$Q$11, '1 Machine Build'!$F12:$Q12), 0), _xlfn.IFNA(_xlfn.XLOOKUP(Assumptions!FR$87, '1 Machine Build'!$F$11:$Q$11, '1 Machine Build'!$F12:$Q12), 0), _xlfn.IFNA(_xlfn.XLOOKUP(Assumptions!FR$88, '1 Machine Build'!$F$11:$Q$11, '1 Machine Build'!$F12:$Q12), 0))</f>
        <v>0</v>
      </c>
      <c r="FU30" s="97">
        <f>SUM(_xlfn.IFNA(_xlfn.XLOOKUP(Assumptions!FS$81, '1 Machine Build'!$F$11:$Q$11, '1 Machine Build'!$F12:$Q12), 0), _xlfn.IFNA(_xlfn.XLOOKUP(Assumptions!FS$82, '1 Machine Build'!$F$11:$Q$11, '1 Machine Build'!$F12:$Q12), 0), _xlfn.IFNA(_xlfn.XLOOKUP(Assumptions!FS$83, '1 Machine Build'!$F$11:$Q$11, '1 Machine Build'!$F12:$Q12), 0), _xlfn.IFNA(_xlfn.XLOOKUP(Assumptions!FS$84, '1 Machine Build'!$F$11:$Q$11, '1 Machine Build'!$F12:$Q12), 0), _xlfn.IFNA(_xlfn.XLOOKUP(Assumptions!FS$85, '1 Machine Build'!$F$11:$Q$11, '1 Machine Build'!$F12:$Q12), 0), _xlfn.IFNA(_xlfn.XLOOKUP(Assumptions!FS$86, '1 Machine Build'!$F$11:$Q$11, '1 Machine Build'!$F12:$Q12), 0), _xlfn.IFNA(_xlfn.XLOOKUP(Assumptions!FS$87, '1 Machine Build'!$F$11:$Q$11, '1 Machine Build'!$F12:$Q12), 0), _xlfn.IFNA(_xlfn.XLOOKUP(Assumptions!FS$88, '1 Machine Build'!$F$11:$Q$11, '1 Machine Build'!$F12:$Q12), 0))</f>
        <v>0</v>
      </c>
      <c r="FV30" s="97">
        <f>SUM(_xlfn.IFNA(_xlfn.XLOOKUP(Assumptions!FT$81, '1 Machine Build'!$F$11:$Q$11, '1 Machine Build'!$F12:$Q12), 0), _xlfn.IFNA(_xlfn.XLOOKUP(Assumptions!FT$82, '1 Machine Build'!$F$11:$Q$11, '1 Machine Build'!$F12:$Q12), 0), _xlfn.IFNA(_xlfn.XLOOKUP(Assumptions!FT$83, '1 Machine Build'!$F$11:$Q$11, '1 Machine Build'!$F12:$Q12), 0), _xlfn.IFNA(_xlfn.XLOOKUP(Assumptions!FT$84, '1 Machine Build'!$F$11:$Q$11, '1 Machine Build'!$F12:$Q12), 0), _xlfn.IFNA(_xlfn.XLOOKUP(Assumptions!FT$85, '1 Machine Build'!$F$11:$Q$11, '1 Machine Build'!$F12:$Q12), 0), _xlfn.IFNA(_xlfn.XLOOKUP(Assumptions!FT$86, '1 Machine Build'!$F$11:$Q$11, '1 Machine Build'!$F12:$Q12), 0), _xlfn.IFNA(_xlfn.XLOOKUP(Assumptions!FT$87, '1 Machine Build'!$F$11:$Q$11, '1 Machine Build'!$F12:$Q12), 0), _xlfn.IFNA(_xlfn.XLOOKUP(Assumptions!FT$88, '1 Machine Build'!$F$11:$Q$11, '1 Machine Build'!$F12:$Q12), 0))</f>
        <v>0</v>
      </c>
      <c r="FW30" s="97">
        <f>SUM(_xlfn.IFNA(_xlfn.XLOOKUP(Assumptions!FU$81, '1 Machine Build'!$F$11:$Q$11, '1 Machine Build'!$F12:$Q12), 0), _xlfn.IFNA(_xlfn.XLOOKUP(Assumptions!FU$82, '1 Machine Build'!$F$11:$Q$11, '1 Machine Build'!$F12:$Q12), 0), _xlfn.IFNA(_xlfn.XLOOKUP(Assumptions!FU$83, '1 Machine Build'!$F$11:$Q$11, '1 Machine Build'!$F12:$Q12), 0), _xlfn.IFNA(_xlfn.XLOOKUP(Assumptions!FU$84, '1 Machine Build'!$F$11:$Q$11, '1 Machine Build'!$F12:$Q12), 0), _xlfn.IFNA(_xlfn.XLOOKUP(Assumptions!FU$85, '1 Machine Build'!$F$11:$Q$11, '1 Machine Build'!$F12:$Q12), 0), _xlfn.IFNA(_xlfn.XLOOKUP(Assumptions!FU$86, '1 Machine Build'!$F$11:$Q$11, '1 Machine Build'!$F12:$Q12), 0), _xlfn.IFNA(_xlfn.XLOOKUP(Assumptions!FU$87, '1 Machine Build'!$F$11:$Q$11, '1 Machine Build'!$F12:$Q12), 0), _xlfn.IFNA(_xlfn.XLOOKUP(Assumptions!FU$88, '1 Machine Build'!$F$11:$Q$11, '1 Machine Build'!$F12:$Q12), 0))</f>
        <v>0</v>
      </c>
      <c r="FX30" s="97">
        <f>SUM(_xlfn.IFNA(_xlfn.XLOOKUP(Assumptions!FV$81, '1 Machine Build'!$F$11:$Q$11, '1 Machine Build'!$F12:$Q12), 0), _xlfn.IFNA(_xlfn.XLOOKUP(Assumptions!FV$82, '1 Machine Build'!$F$11:$Q$11, '1 Machine Build'!$F12:$Q12), 0), _xlfn.IFNA(_xlfn.XLOOKUP(Assumptions!FV$83, '1 Machine Build'!$F$11:$Q$11, '1 Machine Build'!$F12:$Q12), 0), _xlfn.IFNA(_xlfn.XLOOKUP(Assumptions!FV$84, '1 Machine Build'!$F$11:$Q$11, '1 Machine Build'!$F12:$Q12), 0), _xlfn.IFNA(_xlfn.XLOOKUP(Assumptions!FV$85, '1 Machine Build'!$F$11:$Q$11, '1 Machine Build'!$F12:$Q12), 0), _xlfn.IFNA(_xlfn.XLOOKUP(Assumptions!FV$86, '1 Machine Build'!$F$11:$Q$11, '1 Machine Build'!$F12:$Q12), 0), _xlfn.IFNA(_xlfn.XLOOKUP(Assumptions!FV$87, '1 Machine Build'!$F$11:$Q$11, '1 Machine Build'!$F12:$Q12), 0), _xlfn.IFNA(_xlfn.XLOOKUP(Assumptions!FV$88, '1 Machine Build'!$F$11:$Q$11, '1 Machine Build'!$F12:$Q12), 0))</f>
        <v>0</v>
      </c>
      <c r="FY30" s="97">
        <f>SUM(_xlfn.IFNA(_xlfn.XLOOKUP(Assumptions!FW$81, '1 Machine Build'!$F$11:$Q$11, '1 Machine Build'!$F12:$Q12), 0), _xlfn.IFNA(_xlfn.XLOOKUP(Assumptions!FW$82, '1 Machine Build'!$F$11:$Q$11, '1 Machine Build'!$F12:$Q12), 0), _xlfn.IFNA(_xlfn.XLOOKUP(Assumptions!FW$83, '1 Machine Build'!$F$11:$Q$11, '1 Machine Build'!$F12:$Q12), 0), _xlfn.IFNA(_xlfn.XLOOKUP(Assumptions!FW$84, '1 Machine Build'!$F$11:$Q$11, '1 Machine Build'!$F12:$Q12), 0), _xlfn.IFNA(_xlfn.XLOOKUP(Assumptions!FW$85, '1 Machine Build'!$F$11:$Q$11, '1 Machine Build'!$F12:$Q12), 0), _xlfn.IFNA(_xlfn.XLOOKUP(Assumptions!FW$86, '1 Machine Build'!$F$11:$Q$11, '1 Machine Build'!$F12:$Q12), 0), _xlfn.IFNA(_xlfn.XLOOKUP(Assumptions!FW$87, '1 Machine Build'!$F$11:$Q$11, '1 Machine Build'!$F12:$Q12), 0), _xlfn.IFNA(_xlfn.XLOOKUP(Assumptions!FW$88, '1 Machine Build'!$F$11:$Q$11, '1 Machine Build'!$F12:$Q12), 0))</f>
        <v>0</v>
      </c>
      <c r="FZ30" s="97">
        <f>SUM(_xlfn.IFNA(_xlfn.XLOOKUP(Assumptions!FX$81, '1 Machine Build'!$F$11:$Q$11, '1 Machine Build'!$F12:$Q12), 0), _xlfn.IFNA(_xlfn.XLOOKUP(Assumptions!FX$82, '1 Machine Build'!$F$11:$Q$11, '1 Machine Build'!$F12:$Q12), 0), _xlfn.IFNA(_xlfn.XLOOKUP(Assumptions!FX$83, '1 Machine Build'!$F$11:$Q$11, '1 Machine Build'!$F12:$Q12), 0), _xlfn.IFNA(_xlfn.XLOOKUP(Assumptions!FX$84, '1 Machine Build'!$F$11:$Q$11, '1 Machine Build'!$F12:$Q12), 0), _xlfn.IFNA(_xlfn.XLOOKUP(Assumptions!FX$85, '1 Machine Build'!$F$11:$Q$11, '1 Machine Build'!$F12:$Q12), 0), _xlfn.IFNA(_xlfn.XLOOKUP(Assumptions!FX$86, '1 Machine Build'!$F$11:$Q$11, '1 Machine Build'!$F12:$Q12), 0), _xlfn.IFNA(_xlfn.XLOOKUP(Assumptions!FX$87, '1 Machine Build'!$F$11:$Q$11, '1 Machine Build'!$F12:$Q12), 0), _xlfn.IFNA(_xlfn.XLOOKUP(Assumptions!FX$88, '1 Machine Build'!$F$11:$Q$11, '1 Machine Build'!$F12:$Q12), 0))</f>
        <v>0</v>
      </c>
      <c r="GA30" s="97">
        <f>SUM(_xlfn.IFNA(_xlfn.XLOOKUP(Assumptions!FY$81, '1 Machine Build'!$F$11:$Q$11, '1 Machine Build'!$F12:$Q12), 0), _xlfn.IFNA(_xlfn.XLOOKUP(Assumptions!FY$82, '1 Machine Build'!$F$11:$Q$11, '1 Machine Build'!$F12:$Q12), 0), _xlfn.IFNA(_xlfn.XLOOKUP(Assumptions!FY$83, '1 Machine Build'!$F$11:$Q$11, '1 Machine Build'!$F12:$Q12), 0), _xlfn.IFNA(_xlfn.XLOOKUP(Assumptions!FY$84, '1 Machine Build'!$F$11:$Q$11, '1 Machine Build'!$F12:$Q12), 0), _xlfn.IFNA(_xlfn.XLOOKUP(Assumptions!FY$85, '1 Machine Build'!$F$11:$Q$11, '1 Machine Build'!$F12:$Q12), 0), _xlfn.IFNA(_xlfn.XLOOKUP(Assumptions!FY$86, '1 Machine Build'!$F$11:$Q$11, '1 Machine Build'!$F12:$Q12), 0), _xlfn.IFNA(_xlfn.XLOOKUP(Assumptions!FY$87, '1 Machine Build'!$F$11:$Q$11, '1 Machine Build'!$F12:$Q12), 0), _xlfn.IFNA(_xlfn.XLOOKUP(Assumptions!FY$88, '1 Machine Build'!$F$11:$Q$11, '1 Machine Build'!$F12:$Q12), 0))</f>
        <v>0</v>
      </c>
      <c r="GB30" s="97">
        <f>SUM(_xlfn.IFNA(_xlfn.XLOOKUP(Assumptions!FZ$81, '1 Machine Build'!$F$11:$Q$11, '1 Machine Build'!$F12:$Q12), 0), _xlfn.IFNA(_xlfn.XLOOKUP(Assumptions!FZ$82, '1 Machine Build'!$F$11:$Q$11, '1 Machine Build'!$F12:$Q12), 0), _xlfn.IFNA(_xlfn.XLOOKUP(Assumptions!FZ$83, '1 Machine Build'!$F$11:$Q$11, '1 Machine Build'!$F12:$Q12), 0), _xlfn.IFNA(_xlfn.XLOOKUP(Assumptions!FZ$84, '1 Machine Build'!$F$11:$Q$11, '1 Machine Build'!$F12:$Q12), 0), _xlfn.IFNA(_xlfn.XLOOKUP(Assumptions!FZ$85, '1 Machine Build'!$F$11:$Q$11, '1 Machine Build'!$F12:$Q12), 0), _xlfn.IFNA(_xlfn.XLOOKUP(Assumptions!FZ$86, '1 Machine Build'!$F$11:$Q$11, '1 Machine Build'!$F12:$Q12), 0), _xlfn.IFNA(_xlfn.XLOOKUP(Assumptions!FZ$87, '1 Machine Build'!$F$11:$Q$11, '1 Machine Build'!$F12:$Q12), 0), _xlfn.IFNA(_xlfn.XLOOKUP(Assumptions!FZ$88, '1 Machine Build'!$F$11:$Q$11, '1 Machine Build'!$F12:$Q12), 0))</f>
        <v>0</v>
      </c>
      <c r="GC30" s="97">
        <f>SUM(_xlfn.IFNA(_xlfn.XLOOKUP(Assumptions!GA$81, '1 Machine Build'!$F$11:$Q$11, '1 Machine Build'!$F12:$Q12), 0), _xlfn.IFNA(_xlfn.XLOOKUP(Assumptions!GA$82, '1 Machine Build'!$F$11:$Q$11, '1 Machine Build'!$F12:$Q12), 0), _xlfn.IFNA(_xlfn.XLOOKUP(Assumptions!GA$83, '1 Machine Build'!$F$11:$Q$11, '1 Machine Build'!$F12:$Q12), 0), _xlfn.IFNA(_xlfn.XLOOKUP(Assumptions!GA$84, '1 Machine Build'!$F$11:$Q$11, '1 Machine Build'!$F12:$Q12), 0), _xlfn.IFNA(_xlfn.XLOOKUP(Assumptions!GA$85, '1 Machine Build'!$F$11:$Q$11, '1 Machine Build'!$F12:$Q12), 0), _xlfn.IFNA(_xlfn.XLOOKUP(Assumptions!GA$86, '1 Machine Build'!$F$11:$Q$11, '1 Machine Build'!$F12:$Q12), 0), _xlfn.IFNA(_xlfn.XLOOKUP(Assumptions!GA$87, '1 Machine Build'!$F$11:$Q$11, '1 Machine Build'!$F12:$Q12), 0), _xlfn.IFNA(_xlfn.XLOOKUP(Assumptions!GA$88, '1 Machine Build'!$F$11:$Q$11, '1 Machine Build'!$F12:$Q12), 0))</f>
        <v>0</v>
      </c>
    </row>
    <row r="31" spans="1:185">
      <c r="A31" s="80"/>
      <c r="B31" s="120" t="s">
        <v>83</v>
      </c>
      <c r="C31" s="80"/>
      <c r="D31" s="10"/>
      <c r="E31" s="82">
        <f t="shared" si="13"/>
        <v>4697250</v>
      </c>
      <c r="F31" s="97">
        <f>SUM(_xlfn.IFNA(_xlfn.XLOOKUP(Assumptions!D$81, '1 Machine Build'!$F$11:$Q$11, '1 Machine Build'!$F13:$Q13), 0), _xlfn.IFNA(_xlfn.XLOOKUP(F$5, 'Site Construction Budget'!$E$13:$Z$13, 'Site Construction Budget'!$E$40:$Z$40), 0))</f>
        <v>1703250</v>
      </c>
      <c r="G31" s="97">
        <f>SUM(_xlfn.IFNA(_xlfn.XLOOKUP(Assumptions!E$81, '1 Machine Build'!$F$11:$Q$11, '1 Machine Build'!$F13:$Q13), 0), _xlfn.IFNA(_xlfn.XLOOKUP(G$5, 'Site Construction Budget'!$E$13:$Z$13, 'Site Construction Budget'!$E$40:$Z$40), 0))</f>
        <v>1309500</v>
      </c>
      <c r="H31" s="97">
        <f>SUM(_xlfn.IFNA(_xlfn.XLOOKUP(Assumptions!F$81, '1 Machine Build'!$F$11:$Q$11, '1 Machine Build'!$F13:$Q13), 0), _xlfn.IFNA(_xlfn.XLOOKUP(H$5, 'Site Construction Budget'!$E$13:$Z$13, 'Site Construction Budget'!$E$40:$Z$40), 0))</f>
        <v>1309500</v>
      </c>
      <c r="I31" s="97">
        <f>SUM(_xlfn.IFNA(_xlfn.XLOOKUP(Assumptions!G$81, '1 Machine Build'!$F$11:$Q$11, '1 Machine Build'!$F13:$Q13), 0), _xlfn.IFNA(_xlfn.XLOOKUP(I$5, 'Site Construction Budget'!$E$13:$Z$13, 'Site Construction Budget'!$E$40:$Z$40), 0))</f>
        <v>375000</v>
      </c>
      <c r="J31" s="97">
        <f>SUM(_xlfn.IFNA(_xlfn.XLOOKUP(Assumptions!H$81, '1 Machine Build'!$F$11:$Q$11, '1 Machine Build'!$F13:$Q13), 0), _xlfn.IFNA(_xlfn.XLOOKUP(J$5, 'Site Construction Budget'!$E$13:$Z$13, 'Site Construction Budget'!$E$40:$Z$40), 0))</f>
        <v>0</v>
      </c>
      <c r="K31" s="97">
        <f>SUM(_xlfn.IFNA(_xlfn.XLOOKUP(Assumptions!I$81, '1 Machine Build'!$F$11:$Q$11, '1 Machine Build'!$F13:$Q13), 0), _xlfn.IFNA(_xlfn.XLOOKUP(K$5, 'Site Construction Budget'!$E$13:$Z$13, 'Site Construction Budget'!$E$40:$Z$40), 0))</f>
        <v>0</v>
      </c>
      <c r="L31" s="97">
        <f>SUM(_xlfn.IFNA(_xlfn.XLOOKUP(Assumptions!J$81, '1 Machine Build'!$F$11:$Q$11, '1 Machine Build'!$F13:$Q13), 0), _xlfn.IFNA(_xlfn.XLOOKUP(L$5, 'Site Construction Budget'!$E$13:$Z$13, 'Site Construction Budget'!$E$40:$Z$40), 0))</f>
        <v>0</v>
      </c>
      <c r="M31" s="97">
        <f>SUM(_xlfn.IFNA(_xlfn.XLOOKUP(Assumptions!K$81, '1 Machine Build'!$F$11:$Q$11, '1 Machine Build'!$F13:$Q13), 0), _xlfn.IFNA(_xlfn.XLOOKUP(M$5, 'Site Construction Budget'!$E$13:$Z$13, 'Site Construction Budget'!$E$40:$Z$40), 0))</f>
        <v>0</v>
      </c>
      <c r="N31" s="97">
        <f>SUM(_xlfn.IFNA(_xlfn.XLOOKUP(Assumptions!L$81, '1 Machine Build'!$F$11:$Q$11, '1 Machine Build'!$F13:$Q13), 0), _xlfn.IFNA(_xlfn.XLOOKUP(N$5, 'Site Construction Budget'!$E$13:$Z$13, 'Site Construction Budget'!$E$40:$Z$40), 0))</f>
        <v>0</v>
      </c>
      <c r="O31" s="97">
        <f>SUM(_xlfn.IFNA(_xlfn.XLOOKUP(Assumptions!M$81, '1 Machine Build'!$F$11:$Q$11, '1 Machine Build'!$F13:$Q13), 0), _xlfn.IFNA(_xlfn.XLOOKUP(O$5, 'Site Construction Budget'!$E$13:$Z$13, 'Site Construction Budget'!$E$40:$Z$40), 0))</f>
        <v>0</v>
      </c>
      <c r="P31" s="97">
        <f>SUM(_xlfn.IFNA(_xlfn.XLOOKUP(Assumptions!N$81, '1 Machine Build'!$F$11:$Q$11, '1 Machine Build'!$F13:$Q13), 0), _xlfn.IFNA(_xlfn.XLOOKUP(P$5, 'Site Construction Budget'!$E$13:$Z$13, 'Site Construction Budget'!$E$40:$Z$40), 0))</f>
        <v>0</v>
      </c>
      <c r="Q31" s="97">
        <f>SUM(_xlfn.IFNA(_xlfn.XLOOKUP(Assumptions!O$81, '1 Machine Build'!$F$11:$Q$11, '1 Machine Build'!$F13:$Q13), 0), _xlfn.IFNA(_xlfn.XLOOKUP(Q$5, 'Site Construction Budget'!$E$13:$Z$13, 'Site Construction Budget'!$E$40:$Z$40), 0))</f>
        <v>0</v>
      </c>
      <c r="R31" s="97">
        <f>SUM(_xlfn.IFNA(_xlfn.XLOOKUP(Assumptions!P$81, '1 Machine Build'!$F$11:$Q$11, '1 Machine Build'!$F13:$Q13), 0), _xlfn.IFNA(_xlfn.XLOOKUP(R$5, 'Site Construction Budget'!$E$13:$Z$13, 'Site Construction Budget'!$E$40:$Z$40), 0))</f>
        <v>0</v>
      </c>
      <c r="S31" s="97">
        <f>SUM(_xlfn.IFNA(_xlfn.XLOOKUP(Assumptions!Q$81, '1 Machine Build'!$F$11:$Q$11, '1 Machine Build'!$F13:$Q13), 0), _xlfn.IFNA(_xlfn.XLOOKUP(S$5, 'Site Construction Budget'!$E$13:$Z$13, 'Site Construction Budget'!$E$40:$Z$40), 0))</f>
        <v>0</v>
      </c>
      <c r="T31" s="97">
        <f>SUM(_xlfn.IFNA(_xlfn.XLOOKUP(Assumptions!R$81, '1 Machine Build'!$F$11:$Q$11, '1 Machine Build'!$F13:$Q13), 0), _xlfn.IFNA(_xlfn.XLOOKUP(T$5, 'Site Construction Budget'!$E$13:$Z$13, 'Site Construction Budget'!$E$40:$Z$40), 0))</f>
        <v>0</v>
      </c>
      <c r="U31" s="97">
        <f>SUM(_xlfn.IFNA(_xlfn.XLOOKUP(Assumptions!S$81, '1 Machine Build'!$F$11:$Q$11, '1 Machine Build'!$F13:$Q13), 0), _xlfn.IFNA(_xlfn.XLOOKUP(U$5, 'Site Construction Budget'!$E$13:$Z$13, 'Site Construction Budget'!$E$40:$Z$40), 0))</f>
        <v>0</v>
      </c>
      <c r="V31" s="97">
        <f>SUM(_xlfn.IFNA(_xlfn.XLOOKUP(Assumptions!T$81, '1 Machine Build'!$F$11:$Q$11, '1 Machine Build'!$F13:$Q13), 0), _xlfn.IFNA(_xlfn.XLOOKUP(V$5, 'Site Construction Budget'!$E$13:$Z$13, 'Site Construction Budget'!$E$40:$Z$40), 0))</f>
        <v>0</v>
      </c>
      <c r="W31" s="97">
        <f>SUM(_xlfn.IFNA(_xlfn.XLOOKUP(Assumptions!U$81, '1 Machine Build'!$F$11:$Q$11, '1 Machine Build'!$F13:$Q13), 0), _xlfn.IFNA(_xlfn.XLOOKUP(W$5, 'Site Construction Budget'!$E$13:$Z$13, 'Site Construction Budget'!$E$40:$Z$40), 0))</f>
        <v>0</v>
      </c>
      <c r="X31" s="97">
        <f>SUM(_xlfn.IFNA(_xlfn.XLOOKUP(Assumptions!V$81, '1 Machine Build'!$F$11:$Q$11, '1 Machine Build'!$F13:$Q13), 0), _xlfn.IFNA(_xlfn.XLOOKUP(X$5, 'Site Construction Budget'!$E$13:$Z$13, 'Site Construction Budget'!$E$40:$Z$40), 0))</f>
        <v>0</v>
      </c>
      <c r="Y31" s="97">
        <f>SUM(_xlfn.IFNA(_xlfn.XLOOKUP(Assumptions!W$81, '1 Machine Build'!$F$11:$Q$11, '1 Machine Build'!$F13:$Q13), 0), _xlfn.IFNA(_xlfn.XLOOKUP(Y$5, 'Site Construction Budget'!$E$13:$Z$13, 'Site Construction Budget'!$E$40:$Z$40), 0))</f>
        <v>0</v>
      </c>
      <c r="Z31" s="97">
        <f>SUM(_xlfn.IFNA(_xlfn.XLOOKUP(Assumptions!X$81, '1 Machine Build'!$F$11:$Q$11, '1 Machine Build'!$F13:$Q13), 0), _xlfn.IFNA(_xlfn.XLOOKUP(Z$5, 'Site Construction Budget'!$E$13:$Z$13, 'Site Construction Budget'!$E$40:$Z$40), 0))</f>
        <v>0</v>
      </c>
      <c r="AA31" s="97">
        <f>SUM(_xlfn.IFNA(_xlfn.XLOOKUP(Assumptions!Y$81, '1 Machine Build'!$F$11:$Q$11, '1 Machine Build'!$F13:$Q13), 0), _xlfn.IFNA(_xlfn.XLOOKUP(AA$5, 'Site Construction Budget'!$E$13:$Z$13, 'Site Construction Budget'!$E$40:$Z$40), 0))</f>
        <v>0</v>
      </c>
      <c r="AB31" s="97">
        <f>SUM(_xlfn.IFNA(_xlfn.XLOOKUP(Assumptions!Z$81, '1 Machine Build'!$F$11:$Q$11, '1 Machine Build'!$F13:$Q13), 0), _xlfn.IFNA(_xlfn.XLOOKUP(AB$5, 'Site Construction Budget'!$E$13:$Z$13, 'Site Construction Budget'!$E$40:$Z$40), 0))</f>
        <v>0</v>
      </c>
      <c r="AC31" s="97">
        <f>SUM(_xlfn.IFNA(_xlfn.XLOOKUP(Assumptions!AA$81, '1 Machine Build'!$F$11:$Q$11, '1 Machine Build'!$F13:$Q13), 0), _xlfn.IFNA(_xlfn.XLOOKUP(AC$5, 'Site Construction Budget'!$E$13:$Z$13, 'Site Construction Budget'!$E$40:$Z$40), 0))</f>
        <v>0</v>
      </c>
      <c r="AD31" s="97">
        <f>SUM(_xlfn.IFNA(_xlfn.XLOOKUP(Assumptions!AB$81, '1 Machine Build'!$F$11:$Q$11, '1 Machine Build'!$F13:$Q13), 0), _xlfn.IFNA(_xlfn.XLOOKUP(AD$5, 'Site Construction Budget'!$E$13:$Z$13, 'Site Construction Budget'!$E$40:$Z$40), 0))</f>
        <v>0</v>
      </c>
      <c r="AE31" s="97">
        <f>SUM(_xlfn.IFNA(_xlfn.XLOOKUP(Assumptions!AC$81, '1 Machine Build'!$F$11:$Q$11, '1 Machine Build'!$F13:$Q13), 0), _xlfn.IFNA(_xlfn.XLOOKUP(AE$5, 'Site Construction Budget'!$E$13:$Z$13, 'Site Construction Budget'!$E$40:$Z$40), 0))</f>
        <v>0</v>
      </c>
      <c r="AF31" s="97">
        <f>SUM(_xlfn.IFNA(_xlfn.XLOOKUP(Assumptions!AD$81, '1 Machine Build'!$F$11:$Q$11, '1 Machine Build'!$F13:$Q13), 0), _xlfn.IFNA(_xlfn.XLOOKUP(AF$5, 'Site Construction Budget'!$E$13:$Z$13, 'Site Construction Budget'!$E$40:$Z$40), 0))</f>
        <v>0</v>
      </c>
      <c r="AG31" s="97">
        <f>SUM(_xlfn.IFNA(_xlfn.XLOOKUP(Assumptions!AE$81, '1 Machine Build'!$F$11:$Q$11, '1 Machine Build'!$F13:$Q13), 0), _xlfn.IFNA(_xlfn.XLOOKUP(AG$5, 'Site Construction Budget'!$E$13:$Z$13, 'Site Construction Budget'!$E$40:$Z$40), 0))</f>
        <v>0</v>
      </c>
      <c r="AH31" s="97">
        <f>SUM(_xlfn.IFNA(_xlfn.XLOOKUP(Assumptions!AF$81, '1 Machine Build'!$F$11:$Q$11, '1 Machine Build'!$F13:$Q13), 0), _xlfn.IFNA(_xlfn.XLOOKUP(AH$5, 'Site Construction Budget'!$E$13:$Z$13, 'Site Construction Budget'!$E$40:$Z$40), 0))</f>
        <v>0</v>
      </c>
      <c r="AI31" s="97">
        <f>SUM(_xlfn.IFNA(_xlfn.XLOOKUP(Assumptions!AG$81, '1 Machine Build'!$F$11:$Q$11, '1 Machine Build'!$F13:$Q13), 0), _xlfn.IFNA(_xlfn.XLOOKUP(AI$5, 'Site Construction Budget'!$E$13:$Z$13, 'Site Construction Budget'!$E$40:$Z$40), 0))</f>
        <v>0</v>
      </c>
      <c r="AJ31" s="97">
        <f>SUM(_xlfn.IFNA(_xlfn.XLOOKUP(Assumptions!AH$81, '1 Machine Build'!$F$11:$Q$11, '1 Machine Build'!$F13:$Q13), 0), _xlfn.IFNA(_xlfn.XLOOKUP(AJ$5, 'Site Construction Budget'!$E$13:$Z$13, 'Site Construction Budget'!$E$40:$Z$40), 0))</f>
        <v>0</v>
      </c>
      <c r="AK31" s="97">
        <f>SUM(_xlfn.IFNA(_xlfn.XLOOKUP(Assumptions!AI$81, '1 Machine Build'!$F$11:$Q$11, '1 Machine Build'!$F13:$Q13), 0), _xlfn.IFNA(_xlfn.XLOOKUP(AK$5, 'Site Construction Budget'!$E$13:$Z$13, 'Site Construction Budget'!$E$40:$Z$40), 0))</f>
        <v>0</v>
      </c>
      <c r="AL31" s="97">
        <f>SUM(_xlfn.IFNA(_xlfn.XLOOKUP(Assumptions!AJ$81, '1 Machine Build'!$F$11:$Q$11, '1 Machine Build'!$F13:$Q13), 0), _xlfn.IFNA(_xlfn.XLOOKUP(AL$5, 'Site Construction Budget'!$E$13:$Z$13, 'Site Construction Budget'!$E$40:$Z$40), 0))</f>
        <v>0</v>
      </c>
      <c r="AM31" s="97">
        <f>SUM(_xlfn.IFNA(_xlfn.XLOOKUP(Assumptions!AK$81, '1 Machine Build'!$F$11:$Q$11, '1 Machine Build'!$F13:$Q13), 0), _xlfn.IFNA(_xlfn.XLOOKUP(AM$5, 'Site Construction Budget'!$E$13:$Z$13, 'Site Construction Budget'!$E$40:$Z$40), 0))</f>
        <v>0</v>
      </c>
      <c r="AN31" s="97">
        <f>SUM(_xlfn.IFNA(_xlfn.XLOOKUP(Assumptions!AL$81, '1 Machine Build'!$F$11:$Q$11, '1 Machine Build'!$F13:$Q13), 0), _xlfn.IFNA(_xlfn.XLOOKUP(AN$5, 'Site Construction Budget'!$E$13:$Z$13, 'Site Construction Budget'!$E$40:$Z$40), 0))</f>
        <v>0</v>
      </c>
      <c r="AO31" s="97">
        <f>SUM(_xlfn.IFNA(_xlfn.XLOOKUP(Assumptions!AM$81, '1 Machine Build'!$F$11:$Q$11, '1 Machine Build'!$F13:$Q13), 0), _xlfn.IFNA(_xlfn.XLOOKUP(AO$5, 'Site Construction Budget'!$E$13:$Z$13, 'Site Construction Budget'!$E$40:$Z$40), 0))</f>
        <v>0</v>
      </c>
      <c r="AP31" s="97">
        <f>SUM(_xlfn.IFNA(_xlfn.XLOOKUP(Assumptions!AN$81, '1 Machine Build'!$F$11:$Q$11, '1 Machine Build'!$F13:$Q13), 0), _xlfn.IFNA(_xlfn.XLOOKUP(AP$5, 'Site Construction Budget'!$E$13:$Z$13, 'Site Construction Budget'!$E$40:$Z$40), 0))</f>
        <v>0</v>
      </c>
      <c r="AQ31" s="97">
        <f>SUM(_xlfn.IFNA(_xlfn.XLOOKUP(Assumptions!AO$81, '1 Machine Build'!$F$11:$Q$11, '1 Machine Build'!$F13:$Q13), 0), _xlfn.IFNA(_xlfn.XLOOKUP(AQ$5, 'Site Construction Budget'!$E$13:$Z$13, 'Site Construction Budget'!$E$40:$Z$40), 0))</f>
        <v>0</v>
      </c>
      <c r="AR31" s="97">
        <f>SUM(_xlfn.IFNA(_xlfn.XLOOKUP(Assumptions!AP$81, '1 Machine Build'!$F$11:$Q$11, '1 Machine Build'!$F13:$Q13), 0), _xlfn.IFNA(_xlfn.XLOOKUP(AR$5, 'Site Construction Budget'!$E$13:$Z$13, 'Site Construction Budget'!$E$40:$Z$40), 0))</f>
        <v>0</v>
      </c>
      <c r="AS31" s="97">
        <f>SUM(_xlfn.IFNA(_xlfn.XLOOKUP(Assumptions!AQ$81, '1 Machine Build'!$F$11:$Q$11, '1 Machine Build'!$F13:$Q13), 0), _xlfn.IFNA(_xlfn.XLOOKUP(AS$5, 'Site Construction Budget'!$E$13:$Z$13, 'Site Construction Budget'!$E$40:$Z$40), 0))</f>
        <v>0</v>
      </c>
      <c r="AT31" s="97">
        <f>SUM(_xlfn.IFNA(_xlfn.XLOOKUP(Assumptions!AR$81, '1 Machine Build'!$F$11:$Q$11, '1 Machine Build'!$F13:$Q13), 0), _xlfn.IFNA(_xlfn.XLOOKUP(AT$5, 'Site Construction Budget'!$E$13:$Z$13, 'Site Construction Budget'!$E$40:$Z$40), 0))</f>
        <v>0</v>
      </c>
      <c r="AU31" s="97">
        <f>SUM(_xlfn.IFNA(_xlfn.XLOOKUP(Assumptions!AS$81, '1 Machine Build'!$F$11:$Q$11, '1 Machine Build'!$F13:$Q13), 0), _xlfn.IFNA(_xlfn.XLOOKUP(AU$5, 'Site Construction Budget'!$E$13:$Z$13, 'Site Construction Budget'!$E$40:$Z$40), 0))</f>
        <v>0</v>
      </c>
      <c r="AV31" s="97">
        <f>SUM(_xlfn.IFNA(_xlfn.XLOOKUP(Assumptions!AT$81, '1 Machine Build'!$F$11:$Q$11, '1 Machine Build'!$F13:$Q13), 0), _xlfn.IFNA(_xlfn.XLOOKUP(AV$5, 'Site Construction Budget'!$E$13:$Z$13, 'Site Construction Budget'!$E$40:$Z$40), 0))</f>
        <v>0</v>
      </c>
      <c r="AW31" s="97">
        <f>SUM(_xlfn.IFNA(_xlfn.XLOOKUP(Assumptions!AU$81, '1 Machine Build'!$F$11:$Q$11, '1 Machine Build'!$F13:$Q13), 0), _xlfn.IFNA(_xlfn.XLOOKUP(AW$5, 'Site Construction Budget'!$E$13:$Z$13, 'Site Construction Budget'!$E$40:$Z$40), 0))</f>
        <v>0</v>
      </c>
      <c r="AX31" s="97">
        <f>SUM(_xlfn.IFNA(_xlfn.XLOOKUP(Assumptions!AV$81, '1 Machine Build'!$F$11:$Q$11, '1 Machine Build'!$F13:$Q13), 0), _xlfn.IFNA(_xlfn.XLOOKUP(AX$5, 'Site Construction Budget'!$E$13:$Z$13, 'Site Construction Budget'!$E$40:$Z$40), 0))</f>
        <v>0</v>
      </c>
      <c r="AY31" s="97">
        <f>SUM(_xlfn.IFNA(_xlfn.XLOOKUP(Assumptions!AW$81, '1 Machine Build'!$F$11:$Q$11, '1 Machine Build'!$F13:$Q13), 0), _xlfn.IFNA(_xlfn.XLOOKUP(AY$5, 'Site Construction Budget'!$E$13:$Z$13, 'Site Construction Budget'!$E$40:$Z$40), 0))</f>
        <v>0</v>
      </c>
      <c r="AZ31" s="97">
        <f>SUM(_xlfn.IFNA(_xlfn.XLOOKUP(Assumptions!AX$81, '1 Machine Build'!$F$11:$Q$11, '1 Machine Build'!$F13:$Q13), 0), _xlfn.IFNA(_xlfn.XLOOKUP(AZ$5, 'Site Construction Budget'!$E$13:$Z$13, 'Site Construction Budget'!$E$40:$Z$40), 0))</f>
        <v>0</v>
      </c>
      <c r="BA31" s="97">
        <f>SUM(_xlfn.IFNA(_xlfn.XLOOKUP(Assumptions!AY$81, '1 Machine Build'!$F$11:$Q$11, '1 Machine Build'!$F13:$Q13), 0), _xlfn.IFNA(_xlfn.XLOOKUP(BA$5, 'Site Construction Budget'!$E$13:$Z$13, 'Site Construction Budget'!$E$40:$Z$40), 0))</f>
        <v>0</v>
      </c>
      <c r="BB31" s="97">
        <f>SUM(_xlfn.IFNA(_xlfn.XLOOKUP(Assumptions!AZ$81, '1 Machine Build'!$F$11:$Q$11, '1 Machine Build'!$F13:$Q13), 0), _xlfn.IFNA(_xlfn.XLOOKUP(BB$5, 'Site Construction Budget'!$E$13:$Z$13, 'Site Construction Budget'!$E$40:$Z$40), 0))</f>
        <v>0</v>
      </c>
      <c r="BC31" s="97">
        <f>SUM(_xlfn.IFNA(_xlfn.XLOOKUP(Assumptions!BA$81, '1 Machine Build'!$F$11:$Q$11, '1 Machine Build'!$F13:$Q13), 0), _xlfn.IFNA(_xlfn.XLOOKUP(BC$5, 'Site Construction Budget'!$E$13:$Z$13, 'Site Construction Budget'!$E$40:$Z$40), 0))</f>
        <v>0</v>
      </c>
      <c r="BD31" s="97">
        <f>SUM(_xlfn.IFNA(_xlfn.XLOOKUP(Assumptions!BB$81, '1 Machine Build'!$F$11:$Q$11, '1 Machine Build'!$F13:$Q13), 0), _xlfn.IFNA(_xlfn.XLOOKUP(BD$5, 'Site Construction Budget'!$E$13:$Z$13, 'Site Construction Budget'!$E$40:$Z$40), 0))</f>
        <v>0</v>
      </c>
      <c r="BE31" s="97">
        <f>SUM(_xlfn.IFNA(_xlfn.XLOOKUP(Assumptions!BC$81, '1 Machine Build'!$F$11:$Q$11, '1 Machine Build'!$F13:$Q13), 0), _xlfn.IFNA(_xlfn.XLOOKUP(BE$5, 'Site Construction Budget'!$E$13:$Z$13, 'Site Construction Budget'!$E$40:$Z$40), 0))</f>
        <v>0</v>
      </c>
      <c r="BF31" s="97">
        <f>SUM(_xlfn.IFNA(_xlfn.XLOOKUP(Assumptions!BD$81, '1 Machine Build'!$F$11:$Q$11, '1 Machine Build'!$F13:$Q13), 0), _xlfn.IFNA(_xlfn.XLOOKUP(BF$5, 'Site Construction Budget'!$E$13:$Z$13, 'Site Construction Budget'!$E$40:$Z$40), 0))</f>
        <v>0</v>
      </c>
      <c r="BG31" s="97">
        <f>SUM(_xlfn.IFNA(_xlfn.XLOOKUP(Assumptions!BE$81, '1 Machine Build'!$F$11:$Q$11, '1 Machine Build'!$F13:$Q13), 0), _xlfn.IFNA(_xlfn.XLOOKUP(BG$5, 'Site Construction Budget'!$E$13:$Z$13, 'Site Construction Budget'!$E$40:$Z$40), 0))</f>
        <v>0</v>
      </c>
      <c r="BH31" s="97">
        <f>SUM(_xlfn.IFNA(_xlfn.XLOOKUP(Assumptions!BF$81, '1 Machine Build'!$F$11:$Q$11, '1 Machine Build'!$F13:$Q13), 0), _xlfn.IFNA(_xlfn.XLOOKUP(BH$5, 'Site Construction Budget'!$E$13:$Z$13, 'Site Construction Budget'!$E$40:$Z$40), 0))</f>
        <v>0</v>
      </c>
      <c r="BI31" s="97">
        <f>SUM(_xlfn.IFNA(_xlfn.XLOOKUP(Assumptions!BG$81, '1 Machine Build'!$F$11:$Q$11, '1 Machine Build'!$F13:$Q13), 0), _xlfn.IFNA(_xlfn.XLOOKUP(BI$5, 'Site Construction Budget'!$E$13:$Z$13, 'Site Construction Budget'!$E$40:$Z$40), 0))</f>
        <v>0</v>
      </c>
      <c r="BJ31" s="97">
        <f>SUM(_xlfn.IFNA(_xlfn.XLOOKUP(Assumptions!BH$81, '1 Machine Build'!$F$11:$Q$11, '1 Machine Build'!$F13:$Q13), 0), _xlfn.IFNA(_xlfn.XLOOKUP(BJ$5, 'Site Construction Budget'!$E$13:$Z$13, 'Site Construction Budget'!$E$40:$Z$40), 0))</f>
        <v>0</v>
      </c>
      <c r="BK31" s="97">
        <f>SUM(_xlfn.IFNA(_xlfn.XLOOKUP(Assumptions!BI$81, '1 Machine Build'!$F$11:$Q$11, '1 Machine Build'!$F13:$Q13), 0), _xlfn.IFNA(_xlfn.XLOOKUP(BK$5, 'Site Construction Budget'!$E$13:$Z$13, 'Site Construction Budget'!$E$40:$Z$40), 0))</f>
        <v>0</v>
      </c>
      <c r="BL31" s="97">
        <f>SUM(_xlfn.IFNA(_xlfn.XLOOKUP(Assumptions!BJ$81, '1 Machine Build'!$F$11:$Q$11, '1 Machine Build'!$F13:$Q13), 0), _xlfn.IFNA(_xlfn.XLOOKUP(BL$5, 'Site Construction Budget'!$E$13:$Z$13, 'Site Construction Budget'!$E$40:$Z$40), 0))</f>
        <v>0</v>
      </c>
      <c r="BM31" s="97">
        <f>SUM(_xlfn.IFNA(_xlfn.XLOOKUP(Assumptions!BK$81, '1 Machine Build'!$F$11:$Q$11, '1 Machine Build'!$F13:$Q13), 0), _xlfn.IFNA(_xlfn.XLOOKUP(BM$5, 'Site Construction Budget'!$E$13:$Z$13, 'Site Construction Budget'!$E$40:$Z$40), 0))</f>
        <v>0</v>
      </c>
      <c r="BN31" s="97">
        <f>SUM(_xlfn.IFNA(_xlfn.XLOOKUP(Assumptions!BL$81, '1 Machine Build'!$F$11:$Q$11, '1 Machine Build'!$F13:$Q13), 0), _xlfn.IFNA(_xlfn.XLOOKUP(BN$5, 'Site Construction Budget'!$E$13:$Z$13, 'Site Construction Budget'!$E$40:$Z$40), 0))</f>
        <v>0</v>
      </c>
      <c r="BO31" s="97">
        <f>SUM(_xlfn.IFNA(_xlfn.XLOOKUP(Assumptions!BM$81, '1 Machine Build'!$F$11:$Q$11, '1 Machine Build'!$F13:$Q13), 0), _xlfn.IFNA(_xlfn.XLOOKUP(BO$5, 'Site Construction Budget'!$E$13:$Z$13, 'Site Construction Budget'!$E$40:$Z$40), 0))</f>
        <v>0</v>
      </c>
      <c r="BP31" s="97">
        <f>SUM(_xlfn.IFNA(_xlfn.XLOOKUP(Assumptions!BN$81, '1 Machine Build'!$F$11:$Q$11, '1 Machine Build'!$F13:$Q13), 0), _xlfn.IFNA(_xlfn.XLOOKUP(BP$5, 'Site Construction Budget'!$E$13:$Z$13, 'Site Construction Budget'!$E$40:$Z$40), 0))</f>
        <v>0</v>
      </c>
      <c r="BQ31" s="97">
        <f>SUM(_xlfn.IFNA(_xlfn.XLOOKUP(Assumptions!BO$81, '1 Machine Build'!$F$11:$Q$11, '1 Machine Build'!$F13:$Q13), 0), _xlfn.IFNA(_xlfn.XLOOKUP(BQ$5, 'Site Construction Budget'!$E$13:$Z$13, 'Site Construction Budget'!$E$40:$Z$40), 0))</f>
        <v>0</v>
      </c>
      <c r="BR31" s="97">
        <f>SUM(_xlfn.IFNA(_xlfn.XLOOKUP(Assumptions!BP$81, '1 Machine Build'!$F$11:$Q$11, '1 Machine Build'!$F13:$Q13), 0), _xlfn.IFNA(_xlfn.XLOOKUP(BR$5, 'Site Construction Budget'!$E$13:$Z$13, 'Site Construction Budget'!$E$40:$Z$40), 0))</f>
        <v>0</v>
      </c>
      <c r="BS31" s="97">
        <f>SUM(_xlfn.IFNA(_xlfn.XLOOKUP(Assumptions!BQ$81, '1 Machine Build'!$F$11:$Q$11, '1 Machine Build'!$F13:$Q13), 0), _xlfn.IFNA(_xlfn.XLOOKUP(BS$5, 'Site Construction Budget'!$E$13:$Z$13, 'Site Construction Budget'!$E$40:$Z$40), 0))</f>
        <v>0</v>
      </c>
      <c r="BT31" s="97">
        <f>SUM(_xlfn.IFNA(_xlfn.XLOOKUP(Assumptions!BR$81, '1 Machine Build'!$F$11:$Q$11, '1 Machine Build'!$F13:$Q13), 0), _xlfn.IFNA(_xlfn.XLOOKUP(BT$5, 'Site Construction Budget'!$E$13:$Z$13, 'Site Construction Budget'!$E$40:$Z$40), 0))</f>
        <v>0</v>
      </c>
      <c r="BU31" s="97">
        <f>SUM(_xlfn.IFNA(_xlfn.XLOOKUP(Assumptions!BS$81, '1 Machine Build'!$F$11:$Q$11, '1 Machine Build'!$F13:$Q13), 0), _xlfn.IFNA(_xlfn.XLOOKUP(BU$5, 'Site Construction Budget'!$E$13:$Z$13, 'Site Construction Budget'!$E$40:$Z$40), 0))</f>
        <v>0</v>
      </c>
      <c r="BV31" s="97">
        <f>SUM(_xlfn.IFNA(_xlfn.XLOOKUP(Assumptions!BT$81, '1 Machine Build'!$F$11:$Q$11, '1 Machine Build'!$F13:$Q13), 0), _xlfn.IFNA(_xlfn.XLOOKUP(BV$5, 'Site Construction Budget'!$E$13:$Z$13, 'Site Construction Budget'!$E$40:$Z$40), 0))</f>
        <v>0</v>
      </c>
      <c r="BW31" s="97">
        <f>SUM(_xlfn.IFNA(_xlfn.XLOOKUP(Assumptions!BU$81, '1 Machine Build'!$F$11:$Q$11, '1 Machine Build'!$F13:$Q13), 0), _xlfn.IFNA(_xlfn.XLOOKUP(BW$5, 'Site Construction Budget'!$E$13:$Z$13, 'Site Construction Budget'!$E$40:$Z$40), 0))</f>
        <v>0</v>
      </c>
      <c r="BX31" s="97">
        <f>SUM(_xlfn.IFNA(_xlfn.XLOOKUP(Assumptions!BV$81, '1 Machine Build'!$F$11:$Q$11, '1 Machine Build'!$F13:$Q13), 0), _xlfn.IFNA(_xlfn.XLOOKUP(BX$5, 'Site Construction Budget'!$E$13:$Z$13, 'Site Construction Budget'!$E$40:$Z$40), 0))</f>
        <v>0</v>
      </c>
      <c r="BY31" s="97">
        <f>SUM(_xlfn.IFNA(_xlfn.XLOOKUP(Assumptions!BW$81, '1 Machine Build'!$F$11:$Q$11, '1 Machine Build'!$F13:$Q13), 0), _xlfn.IFNA(_xlfn.XLOOKUP(BY$5, 'Site Construction Budget'!$E$13:$Z$13, 'Site Construction Budget'!$E$40:$Z$40), 0))</f>
        <v>0</v>
      </c>
      <c r="BZ31" s="97">
        <f>SUM(_xlfn.IFNA(_xlfn.XLOOKUP(Assumptions!BX$81, '1 Machine Build'!$F$11:$Q$11, '1 Machine Build'!$F13:$Q13), 0), _xlfn.IFNA(_xlfn.XLOOKUP(BZ$5, 'Site Construction Budget'!$E$13:$Z$13, 'Site Construction Budget'!$E$40:$Z$40), 0))</f>
        <v>0</v>
      </c>
      <c r="CA31" s="97">
        <f>SUM(_xlfn.IFNA(_xlfn.XLOOKUP(Assumptions!BY$81, '1 Machine Build'!$F$11:$Q$11, '1 Machine Build'!$F13:$Q13), 0), _xlfn.IFNA(_xlfn.XLOOKUP(CA$5, 'Site Construction Budget'!$E$13:$Z$13, 'Site Construction Budget'!$E$40:$Z$40), 0))</f>
        <v>0</v>
      </c>
      <c r="CB31" s="97">
        <f>SUM(_xlfn.IFNA(_xlfn.XLOOKUP(Assumptions!BZ$81, '1 Machine Build'!$F$11:$Q$11, '1 Machine Build'!$F13:$Q13), 0), _xlfn.IFNA(_xlfn.XLOOKUP(CB$5, 'Site Construction Budget'!$E$13:$Z$13, 'Site Construction Budget'!$E$40:$Z$40), 0))</f>
        <v>0</v>
      </c>
      <c r="CC31" s="97">
        <f>SUM(_xlfn.IFNA(_xlfn.XLOOKUP(Assumptions!CA$81, '1 Machine Build'!$F$11:$Q$11, '1 Machine Build'!$F13:$Q13), 0), _xlfn.IFNA(_xlfn.XLOOKUP(CC$5, 'Site Construction Budget'!$E$13:$Z$13, 'Site Construction Budget'!$E$40:$Z$40), 0))</f>
        <v>0</v>
      </c>
      <c r="CD31" s="97">
        <f>SUM(_xlfn.IFNA(_xlfn.XLOOKUP(Assumptions!CB$81, '1 Machine Build'!$F$11:$Q$11, '1 Machine Build'!$F13:$Q13), 0), _xlfn.IFNA(_xlfn.XLOOKUP(CD$5, 'Site Construction Budget'!$E$13:$Z$13, 'Site Construction Budget'!$E$40:$Z$40), 0))</f>
        <v>0</v>
      </c>
      <c r="CE31" s="97">
        <f>SUM(_xlfn.IFNA(_xlfn.XLOOKUP(Assumptions!CC$81, '1 Machine Build'!$F$11:$Q$11, '1 Machine Build'!$F13:$Q13), 0), _xlfn.IFNA(_xlfn.XLOOKUP(CE$5, 'Site Construction Budget'!$E$13:$Z$13, 'Site Construction Budget'!$E$40:$Z$40), 0))</f>
        <v>0</v>
      </c>
      <c r="CF31" s="97">
        <f>SUM(_xlfn.IFNA(_xlfn.XLOOKUP(Assumptions!CD$81, '1 Machine Build'!$F$11:$Q$11, '1 Machine Build'!$F13:$Q13), 0), _xlfn.IFNA(_xlfn.XLOOKUP(CF$5, 'Site Construction Budget'!$E$13:$Z$13, 'Site Construction Budget'!$E$40:$Z$40), 0))</f>
        <v>0</v>
      </c>
      <c r="CG31" s="97">
        <f>SUM(_xlfn.IFNA(_xlfn.XLOOKUP(Assumptions!CE$81, '1 Machine Build'!$F$11:$Q$11, '1 Machine Build'!$F13:$Q13), 0), _xlfn.IFNA(_xlfn.XLOOKUP(CG$5, 'Site Construction Budget'!$E$13:$Z$13, 'Site Construction Budget'!$E$40:$Z$40), 0))</f>
        <v>0</v>
      </c>
      <c r="CH31" s="97">
        <f>SUM(_xlfn.IFNA(_xlfn.XLOOKUP(Assumptions!CF$81, '1 Machine Build'!$F$11:$Q$11, '1 Machine Build'!$F13:$Q13), 0), _xlfn.IFNA(_xlfn.XLOOKUP(CH$5, 'Site Construction Budget'!$E$13:$Z$13, 'Site Construction Budget'!$E$40:$Z$40), 0))</f>
        <v>0</v>
      </c>
      <c r="CI31" s="97">
        <f>SUM(_xlfn.IFNA(_xlfn.XLOOKUP(Assumptions!CG$81, '1 Machine Build'!$F$11:$Q$11, '1 Machine Build'!$F13:$Q13), 0), _xlfn.IFNA(_xlfn.XLOOKUP(CI$5, 'Site Construction Budget'!$E$13:$Z$13, 'Site Construction Budget'!$E$40:$Z$40), 0))</f>
        <v>0</v>
      </c>
      <c r="CJ31" s="97">
        <f>SUM(_xlfn.IFNA(_xlfn.XLOOKUP(Assumptions!CH$81, '1 Machine Build'!$F$11:$Q$11, '1 Machine Build'!$F13:$Q13), 0), _xlfn.IFNA(_xlfn.XLOOKUP(CJ$5, 'Site Construction Budget'!$E$13:$Z$13, 'Site Construction Budget'!$E$40:$Z$40), 0))</f>
        <v>0</v>
      </c>
      <c r="CK31" s="97">
        <f>SUM(_xlfn.IFNA(_xlfn.XLOOKUP(Assumptions!CI$81, '1 Machine Build'!$F$11:$Q$11, '1 Machine Build'!$F13:$Q13), 0), _xlfn.IFNA(_xlfn.XLOOKUP(CK$5, 'Site Construction Budget'!$E$13:$Z$13, 'Site Construction Budget'!$E$40:$Z$40), 0))</f>
        <v>0</v>
      </c>
      <c r="CL31" s="97">
        <f>SUM(_xlfn.IFNA(_xlfn.XLOOKUP(Assumptions!CJ$81, '1 Machine Build'!$F$11:$Q$11, '1 Machine Build'!$F13:$Q13), 0), _xlfn.IFNA(_xlfn.XLOOKUP(CL$5, 'Site Construction Budget'!$E$13:$Z$13, 'Site Construction Budget'!$E$40:$Z$40), 0))</f>
        <v>0</v>
      </c>
      <c r="CM31" s="97">
        <f>SUM(_xlfn.IFNA(_xlfn.XLOOKUP(Assumptions!CK$81, '1 Machine Build'!$F$11:$Q$11, '1 Machine Build'!$F13:$Q13), 0), _xlfn.IFNA(_xlfn.XLOOKUP(CM$5, 'Site Construction Budget'!$E$13:$Z$13, 'Site Construction Budget'!$E$40:$Z$40), 0))</f>
        <v>0</v>
      </c>
      <c r="CN31" s="97">
        <f>SUM(_xlfn.IFNA(_xlfn.XLOOKUP(Assumptions!CL$81, '1 Machine Build'!$F$11:$Q$11, '1 Machine Build'!$F13:$Q13), 0), _xlfn.IFNA(_xlfn.XLOOKUP(CN$5, 'Site Construction Budget'!$E$13:$Z$13, 'Site Construction Budget'!$E$40:$Z$40), 0))</f>
        <v>0</v>
      </c>
      <c r="CO31" s="97">
        <f>SUM(_xlfn.IFNA(_xlfn.XLOOKUP(Assumptions!CM$81, '1 Machine Build'!$F$11:$Q$11, '1 Machine Build'!$F13:$Q13), 0), _xlfn.IFNA(_xlfn.XLOOKUP(CO$5, 'Site Construction Budget'!$E$13:$Z$13, 'Site Construction Budget'!$E$40:$Z$40), 0))</f>
        <v>0</v>
      </c>
      <c r="CP31" s="97">
        <f>SUM(_xlfn.IFNA(_xlfn.XLOOKUP(Assumptions!CN$81, '1 Machine Build'!$F$11:$Q$11, '1 Machine Build'!$F13:$Q13), 0), _xlfn.IFNA(_xlfn.XLOOKUP(CP$5, 'Site Construction Budget'!$E$13:$Z$13, 'Site Construction Budget'!$E$40:$Z$40), 0))</f>
        <v>0</v>
      </c>
      <c r="CQ31" s="97">
        <f>SUM(_xlfn.IFNA(_xlfn.XLOOKUP(Assumptions!CO$81, '1 Machine Build'!$F$11:$Q$11, '1 Machine Build'!$F13:$Q13), 0), _xlfn.IFNA(_xlfn.XLOOKUP(CQ$5, 'Site Construction Budget'!$E$13:$Z$13, 'Site Construction Budget'!$E$40:$Z$40), 0))</f>
        <v>0</v>
      </c>
      <c r="CR31" s="97">
        <f>SUM(_xlfn.IFNA(_xlfn.XLOOKUP(Assumptions!CP$81, '1 Machine Build'!$F$11:$Q$11, '1 Machine Build'!$F13:$Q13), 0), _xlfn.IFNA(_xlfn.XLOOKUP(CR$5, 'Site Construction Budget'!$E$13:$Z$13, 'Site Construction Budget'!$E$40:$Z$40), 0))</f>
        <v>0</v>
      </c>
      <c r="CS31" s="97">
        <f>SUM(_xlfn.IFNA(_xlfn.XLOOKUP(Assumptions!CQ$81, '1 Machine Build'!$F$11:$Q$11, '1 Machine Build'!$F13:$Q13), 0), _xlfn.IFNA(_xlfn.XLOOKUP(CS$5, 'Site Construction Budget'!$E$13:$Z$13, 'Site Construction Budget'!$E$40:$Z$40), 0))</f>
        <v>0</v>
      </c>
      <c r="CT31" s="97">
        <f>SUM(_xlfn.IFNA(_xlfn.XLOOKUP(Assumptions!CR$81, '1 Machine Build'!$F$11:$Q$11, '1 Machine Build'!$F13:$Q13), 0), _xlfn.IFNA(_xlfn.XLOOKUP(CT$5, 'Site Construction Budget'!$E$13:$Z$13, 'Site Construction Budget'!$E$40:$Z$40), 0))</f>
        <v>0</v>
      </c>
      <c r="CU31" s="97">
        <f>SUM(_xlfn.IFNA(_xlfn.XLOOKUP(Assumptions!CS$81, '1 Machine Build'!$F$11:$Q$11, '1 Machine Build'!$F13:$Q13), 0), _xlfn.IFNA(_xlfn.XLOOKUP(CU$5, 'Site Construction Budget'!$E$13:$Z$13, 'Site Construction Budget'!$E$40:$Z$40), 0))</f>
        <v>0</v>
      </c>
      <c r="CV31" s="97">
        <f>SUM(_xlfn.IFNA(_xlfn.XLOOKUP(Assumptions!CT$81, '1 Machine Build'!$F$11:$Q$11, '1 Machine Build'!$F13:$Q13), 0), _xlfn.IFNA(_xlfn.XLOOKUP(CV$5, 'Site Construction Budget'!$E$13:$Z$13, 'Site Construction Budget'!$E$40:$Z$40), 0))</f>
        <v>0</v>
      </c>
      <c r="CW31" s="97">
        <f>SUM(_xlfn.IFNA(_xlfn.XLOOKUP(Assumptions!CU$81, '1 Machine Build'!$F$11:$Q$11, '1 Machine Build'!$F13:$Q13), 0), _xlfn.IFNA(_xlfn.XLOOKUP(CW$5, 'Site Construction Budget'!$E$13:$Z$13, 'Site Construction Budget'!$E$40:$Z$40), 0))</f>
        <v>0</v>
      </c>
      <c r="CX31" s="97">
        <f>SUM(_xlfn.IFNA(_xlfn.XLOOKUP(Assumptions!CV$81, '1 Machine Build'!$F$11:$Q$11, '1 Machine Build'!$F13:$Q13), 0), _xlfn.IFNA(_xlfn.XLOOKUP(CX$5, 'Site Construction Budget'!$E$13:$Z$13, 'Site Construction Budget'!$E$40:$Z$40), 0))</f>
        <v>0</v>
      </c>
      <c r="CY31" s="97">
        <f>SUM(_xlfn.IFNA(_xlfn.XLOOKUP(Assumptions!CW$81, '1 Machine Build'!$F$11:$Q$11, '1 Machine Build'!$F13:$Q13), 0), _xlfn.IFNA(_xlfn.XLOOKUP(CY$5, 'Site Construction Budget'!$E$13:$Z$13, 'Site Construction Budget'!$E$40:$Z$40), 0))</f>
        <v>0</v>
      </c>
      <c r="CZ31" s="97">
        <f>SUM(_xlfn.IFNA(_xlfn.XLOOKUP(Assumptions!CX$81, '1 Machine Build'!$F$11:$Q$11, '1 Machine Build'!$F13:$Q13), 0), _xlfn.IFNA(_xlfn.XLOOKUP(CZ$5, 'Site Construction Budget'!$E$13:$Z$13, 'Site Construction Budget'!$E$40:$Z$40), 0))</f>
        <v>0</v>
      </c>
      <c r="DA31" s="97">
        <f>SUM(_xlfn.IFNA(_xlfn.XLOOKUP(Assumptions!CY$81, '1 Machine Build'!$F$11:$Q$11, '1 Machine Build'!$F13:$Q13), 0), _xlfn.IFNA(_xlfn.XLOOKUP(DA$5, 'Site Construction Budget'!$E$13:$Z$13, 'Site Construction Budget'!$E$40:$Z$40), 0))</f>
        <v>0</v>
      </c>
      <c r="DB31" s="97">
        <f>SUM(_xlfn.IFNA(_xlfn.XLOOKUP(Assumptions!CZ$81, '1 Machine Build'!$F$11:$Q$11, '1 Machine Build'!$F13:$Q13), 0), _xlfn.IFNA(_xlfn.XLOOKUP(DB$5, 'Site Construction Budget'!$E$13:$Z$13, 'Site Construction Budget'!$E$40:$Z$40), 0))</f>
        <v>0</v>
      </c>
      <c r="DC31" s="97">
        <f>SUM(_xlfn.IFNA(_xlfn.XLOOKUP(Assumptions!DA$81, '1 Machine Build'!$F$11:$Q$11, '1 Machine Build'!$F13:$Q13), 0), _xlfn.IFNA(_xlfn.XLOOKUP(DC$5, 'Site Construction Budget'!$E$13:$Z$13, 'Site Construction Budget'!$E$40:$Z$40), 0))</f>
        <v>0</v>
      </c>
      <c r="DD31" s="97">
        <f>SUM(_xlfn.IFNA(_xlfn.XLOOKUP(Assumptions!DB$81, '1 Machine Build'!$F$11:$Q$11, '1 Machine Build'!$F13:$Q13), 0), _xlfn.IFNA(_xlfn.XLOOKUP(DD$5, 'Site Construction Budget'!$E$13:$Z$13, 'Site Construction Budget'!$E$40:$Z$40), 0))</f>
        <v>0</v>
      </c>
      <c r="DE31" s="97">
        <f>SUM(_xlfn.IFNA(_xlfn.XLOOKUP(Assumptions!DC$81, '1 Machine Build'!$F$11:$Q$11, '1 Machine Build'!$F13:$Q13), 0), _xlfn.IFNA(_xlfn.XLOOKUP(DE$5, 'Site Construction Budget'!$E$13:$Z$13, 'Site Construction Budget'!$E$40:$Z$40), 0))</f>
        <v>0</v>
      </c>
      <c r="DF31" s="97">
        <f>SUM(_xlfn.IFNA(_xlfn.XLOOKUP(Assumptions!DD$81, '1 Machine Build'!$F$11:$Q$11, '1 Machine Build'!$F13:$Q13), 0), _xlfn.IFNA(_xlfn.XLOOKUP(DF$5, 'Site Construction Budget'!$E$13:$Z$13, 'Site Construction Budget'!$E$40:$Z$40), 0))</f>
        <v>0</v>
      </c>
      <c r="DG31" s="97">
        <f>SUM(_xlfn.IFNA(_xlfn.XLOOKUP(Assumptions!DE$81, '1 Machine Build'!$F$11:$Q$11, '1 Machine Build'!$F13:$Q13), 0), _xlfn.IFNA(_xlfn.XLOOKUP(DG$5, 'Site Construction Budget'!$E$13:$Z$13, 'Site Construction Budget'!$E$40:$Z$40), 0))</f>
        <v>0</v>
      </c>
      <c r="DH31" s="97">
        <f>SUM(_xlfn.IFNA(_xlfn.XLOOKUP(Assumptions!DF$81, '1 Machine Build'!$F$11:$Q$11, '1 Machine Build'!$F13:$Q13), 0), _xlfn.IFNA(_xlfn.XLOOKUP(DH$5, 'Site Construction Budget'!$E$13:$Z$13, 'Site Construction Budget'!$E$40:$Z$40), 0))</f>
        <v>0</v>
      </c>
      <c r="DI31" s="97">
        <f>SUM(_xlfn.IFNA(_xlfn.XLOOKUP(Assumptions!DG$81, '1 Machine Build'!$F$11:$Q$11, '1 Machine Build'!$F13:$Q13), 0), _xlfn.IFNA(_xlfn.XLOOKUP(DI$5, 'Site Construction Budget'!$E$13:$Z$13, 'Site Construction Budget'!$E$40:$Z$40), 0))</f>
        <v>0</v>
      </c>
      <c r="DJ31" s="97">
        <f>SUM(_xlfn.IFNA(_xlfn.XLOOKUP(Assumptions!DH$81, '1 Machine Build'!$F$11:$Q$11, '1 Machine Build'!$F13:$Q13), 0), _xlfn.IFNA(_xlfn.XLOOKUP(DJ$5, 'Site Construction Budget'!$E$13:$Z$13, 'Site Construction Budget'!$E$40:$Z$40), 0))</f>
        <v>0</v>
      </c>
      <c r="DK31" s="97">
        <f>SUM(_xlfn.IFNA(_xlfn.XLOOKUP(Assumptions!DI$81, '1 Machine Build'!$F$11:$Q$11, '1 Machine Build'!$F13:$Q13), 0), _xlfn.IFNA(_xlfn.XLOOKUP(DK$5, 'Site Construction Budget'!$E$13:$Z$13, 'Site Construction Budget'!$E$40:$Z$40), 0))</f>
        <v>0</v>
      </c>
      <c r="DL31" s="97">
        <f>SUM(_xlfn.IFNA(_xlfn.XLOOKUP(Assumptions!DJ$81, '1 Machine Build'!$F$11:$Q$11, '1 Machine Build'!$F13:$Q13), 0), _xlfn.IFNA(_xlfn.XLOOKUP(DL$5, 'Site Construction Budget'!$E$13:$Z$13, 'Site Construction Budget'!$E$40:$Z$40), 0))</f>
        <v>0</v>
      </c>
      <c r="DM31" s="97">
        <f>SUM(_xlfn.IFNA(_xlfn.XLOOKUP(Assumptions!DK$81, '1 Machine Build'!$F$11:$Q$11, '1 Machine Build'!$F13:$Q13), 0), _xlfn.IFNA(_xlfn.XLOOKUP(DM$5, 'Site Construction Budget'!$E$13:$Z$13, 'Site Construction Budget'!$E$40:$Z$40), 0))</f>
        <v>0</v>
      </c>
      <c r="DN31" s="97">
        <f>SUM(_xlfn.IFNA(_xlfn.XLOOKUP(Assumptions!DL$81, '1 Machine Build'!$F$11:$Q$11, '1 Machine Build'!$F13:$Q13), 0), _xlfn.IFNA(_xlfn.XLOOKUP(DN$5, 'Site Construction Budget'!$E$13:$Z$13, 'Site Construction Budget'!$E$40:$Z$40), 0))</f>
        <v>0</v>
      </c>
      <c r="DO31" s="97">
        <f>SUM(_xlfn.IFNA(_xlfn.XLOOKUP(Assumptions!DM$81, '1 Machine Build'!$F$11:$Q$11, '1 Machine Build'!$F13:$Q13), 0), _xlfn.IFNA(_xlfn.XLOOKUP(DO$5, 'Site Construction Budget'!$E$13:$Z$13, 'Site Construction Budget'!$E$40:$Z$40), 0))</f>
        <v>0</v>
      </c>
      <c r="DP31" s="97">
        <f>SUM(_xlfn.IFNA(_xlfn.XLOOKUP(Assumptions!DN$81, '1 Machine Build'!$F$11:$Q$11, '1 Machine Build'!$F13:$Q13), 0), _xlfn.IFNA(_xlfn.XLOOKUP(DP$5, 'Site Construction Budget'!$E$13:$Z$13, 'Site Construction Budget'!$E$40:$Z$40), 0))</f>
        <v>0</v>
      </c>
      <c r="DQ31" s="97">
        <f>SUM(_xlfn.IFNA(_xlfn.XLOOKUP(Assumptions!DO$81, '1 Machine Build'!$F$11:$Q$11, '1 Machine Build'!$F13:$Q13), 0), _xlfn.IFNA(_xlfn.XLOOKUP(DQ$5, 'Site Construction Budget'!$E$13:$Z$13, 'Site Construction Budget'!$E$40:$Z$40), 0))</f>
        <v>0</v>
      </c>
      <c r="DR31" s="97">
        <f>SUM(_xlfn.IFNA(_xlfn.XLOOKUP(Assumptions!DP$81, '1 Machine Build'!$F$11:$Q$11, '1 Machine Build'!$F13:$Q13), 0), _xlfn.IFNA(_xlfn.XLOOKUP(DR$5, 'Site Construction Budget'!$E$13:$Z$13, 'Site Construction Budget'!$E$40:$Z$40), 0))</f>
        <v>0</v>
      </c>
      <c r="DS31" s="97">
        <f>SUM(_xlfn.IFNA(_xlfn.XLOOKUP(Assumptions!DQ$81, '1 Machine Build'!$F$11:$Q$11, '1 Machine Build'!$F13:$Q13), 0), _xlfn.IFNA(_xlfn.XLOOKUP(DS$5, 'Site Construction Budget'!$E$13:$Z$13, 'Site Construction Budget'!$E$40:$Z$40), 0))</f>
        <v>0</v>
      </c>
      <c r="DT31" s="97">
        <f>SUM(_xlfn.IFNA(_xlfn.XLOOKUP(Assumptions!DR$81, '1 Machine Build'!$F$11:$Q$11, '1 Machine Build'!$F13:$Q13), 0), _xlfn.IFNA(_xlfn.XLOOKUP(DT$5, 'Site Construction Budget'!$E$13:$Z$13, 'Site Construction Budget'!$E$40:$Z$40), 0))</f>
        <v>0</v>
      </c>
      <c r="DU31" s="97">
        <f>SUM(_xlfn.IFNA(_xlfn.XLOOKUP(Assumptions!DS$81, '1 Machine Build'!$F$11:$Q$11, '1 Machine Build'!$F13:$Q13), 0), _xlfn.IFNA(_xlfn.XLOOKUP(DU$5, 'Site Construction Budget'!$E$13:$Z$13, 'Site Construction Budget'!$E$40:$Z$40), 0))</f>
        <v>0</v>
      </c>
      <c r="DV31" s="97">
        <f>SUM(_xlfn.IFNA(_xlfn.XLOOKUP(Assumptions!DT$81, '1 Machine Build'!$F$11:$Q$11, '1 Machine Build'!$F13:$Q13), 0), _xlfn.IFNA(_xlfn.XLOOKUP(DV$5, 'Site Construction Budget'!$E$13:$Z$13, 'Site Construction Budget'!$E$40:$Z$40), 0))</f>
        <v>0</v>
      </c>
      <c r="DW31" s="97">
        <f>SUM(_xlfn.IFNA(_xlfn.XLOOKUP(Assumptions!DU$81, '1 Machine Build'!$F$11:$Q$11, '1 Machine Build'!$F13:$Q13), 0), _xlfn.IFNA(_xlfn.XLOOKUP(DW$5, 'Site Construction Budget'!$E$13:$Z$13, 'Site Construction Budget'!$E$40:$Z$40), 0))</f>
        <v>0</v>
      </c>
      <c r="DX31" s="97">
        <f>SUM(_xlfn.IFNA(_xlfn.XLOOKUP(Assumptions!DV$81, '1 Machine Build'!$F$11:$Q$11, '1 Machine Build'!$F13:$Q13), 0), _xlfn.IFNA(_xlfn.XLOOKUP(DX$5, 'Site Construction Budget'!$E$13:$Z$13, 'Site Construction Budget'!$E$40:$Z$40), 0))</f>
        <v>0</v>
      </c>
      <c r="DY31" s="97">
        <f>SUM(_xlfn.IFNA(_xlfn.XLOOKUP(Assumptions!DW$81, '1 Machine Build'!$F$11:$Q$11, '1 Machine Build'!$F13:$Q13), 0), _xlfn.IFNA(_xlfn.XLOOKUP(DY$5, 'Site Construction Budget'!$E$13:$Z$13, 'Site Construction Budget'!$E$40:$Z$40), 0))</f>
        <v>0</v>
      </c>
      <c r="DZ31" s="97">
        <f>SUM(_xlfn.IFNA(_xlfn.XLOOKUP(Assumptions!DX$81, '1 Machine Build'!$F$11:$Q$11, '1 Machine Build'!$F13:$Q13), 0), _xlfn.IFNA(_xlfn.XLOOKUP(DZ$5, 'Site Construction Budget'!$E$13:$Z$13, 'Site Construction Budget'!$E$40:$Z$40), 0))</f>
        <v>0</v>
      </c>
      <c r="EA31" s="97">
        <f>SUM(_xlfn.IFNA(_xlfn.XLOOKUP(Assumptions!DY$81, '1 Machine Build'!$F$11:$Q$11, '1 Machine Build'!$F13:$Q13), 0), _xlfn.IFNA(_xlfn.XLOOKUP(EA$5, 'Site Construction Budget'!$E$13:$Z$13, 'Site Construction Budget'!$E$40:$Z$40), 0))</f>
        <v>0</v>
      </c>
      <c r="EB31" s="97">
        <f>SUM(_xlfn.IFNA(_xlfn.XLOOKUP(Assumptions!DZ$81, '1 Machine Build'!$F$11:$Q$11, '1 Machine Build'!$F13:$Q13), 0), _xlfn.IFNA(_xlfn.XLOOKUP(EB$5, 'Site Construction Budget'!$E$13:$Z$13, 'Site Construction Budget'!$E$40:$Z$40), 0))</f>
        <v>0</v>
      </c>
      <c r="EC31" s="97">
        <f>SUM(_xlfn.IFNA(_xlfn.XLOOKUP(Assumptions!EA$81, '1 Machine Build'!$F$11:$Q$11, '1 Machine Build'!$F13:$Q13), 0), _xlfn.IFNA(_xlfn.XLOOKUP(EC$5, 'Site Construction Budget'!$E$13:$Z$13, 'Site Construction Budget'!$E$40:$Z$40), 0))</f>
        <v>0</v>
      </c>
      <c r="ED31" s="97">
        <f>SUM(_xlfn.IFNA(_xlfn.XLOOKUP(Assumptions!EB$81, '1 Machine Build'!$F$11:$Q$11, '1 Machine Build'!$F13:$Q13), 0), _xlfn.IFNA(_xlfn.XLOOKUP(ED$5, 'Site Construction Budget'!$E$13:$Z$13, 'Site Construction Budget'!$E$40:$Z$40), 0))</f>
        <v>0</v>
      </c>
      <c r="EE31" s="97">
        <f>SUM(_xlfn.IFNA(_xlfn.XLOOKUP(Assumptions!EC$81, '1 Machine Build'!$F$11:$Q$11, '1 Machine Build'!$F13:$Q13), 0), _xlfn.IFNA(_xlfn.XLOOKUP(EE$5, 'Site Construction Budget'!$E$13:$Z$13, 'Site Construction Budget'!$E$40:$Z$40), 0))</f>
        <v>0</v>
      </c>
      <c r="EF31" s="97">
        <f>SUM(_xlfn.IFNA(_xlfn.XLOOKUP(Assumptions!ED$81, '1 Machine Build'!$F$11:$Q$11, '1 Machine Build'!$F13:$Q13), 0), _xlfn.IFNA(_xlfn.XLOOKUP(EF$5, 'Site Construction Budget'!$E$13:$Z$13, 'Site Construction Budget'!$E$40:$Z$40), 0))</f>
        <v>0</v>
      </c>
      <c r="EG31" s="97">
        <f>SUM(_xlfn.IFNA(_xlfn.XLOOKUP(Assumptions!EE$81, '1 Machine Build'!$F$11:$Q$11, '1 Machine Build'!$F13:$Q13), 0), _xlfn.IFNA(_xlfn.XLOOKUP(EG$5, 'Site Construction Budget'!$E$13:$Z$13, 'Site Construction Budget'!$E$40:$Z$40), 0))</f>
        <v>0</v>
      </c>
      <c r="EH31" s="97">
        <f>SUM(_xlfn.IFNA(_xlfn.XLOOKUP(Assumptions!EF$81, '1 Machine Build'!$F$11:$Q$11, '1 Machine Build'!$F13:$Q13), 0), _xlfn.IFNA(_xlfn.XLOOKUP(EH$5, 'Site Construction Budget'!$E$13:$Z$13, 'Site Construction Budget'!$E$40:$Z$40), 0))</f>
        <v>0</v>
      </c>
      <c r="EI31" s="97">
        <f>SUM(_xlfn.IFNA(_xlfn.XLOOKUP(Assumptions!EG$81, '1 Machine Build'!$F$11:$Q$11, '1 Machine Build'!$F13:$Q13), 0), _xlfn.IFNA(_xlfn.XLOOKUP(EI$5, 'Site Construction Budget'!$E$13:$Z$13, 'Site Construction Budget'!$E$40:$Z$40), 0))</f>
        <v>0</v>
      </c>
      <c r="EJ31" s="97">
        <f>SUM(_xlfn.IFNA(_xlfn.XLOOKUP(Assumptions!EH$81, '1 Machine Build'!$F$11:$Q$11, '1 Machine Build'!$F13:$Q13), 0), _xlfn.IFNA(_xlfn.XLOOKUP(EJ$5, 'Site Construction Budget'!$E$13:$Z$13, 'Site Construction Budget'!$E$40:$Z$40), 0))</f>
        <v>0</v>
      </c>
      <c r="EK31" s="97">
        <f>SUM(_xlfn.IFNA(_xlfn.XLOOKUP(Assumptions!EI$81, '1 Machine Build'!$F$11:$Q$11, '1 Machine Build'!$F13:$Q13), 0), _xlfn.IFNA(_xlfn.XLOOKUP(EK$5, 'Site Construction Budget'!$E$13:$Z$13, 'Site Construction Budget'!$E$40:$Z$40), 0))</f>
        <v>0</v>
      </c>
      <c r="EL31" s="97">
        <f>SUM(_xlfn.IFNA(_xlfn.XLOOKUP(Assumptions!EJ$81, '1 Machine Build'!$F$11:$Q$11, '1 Machine Build'!$F13:$Q13), 0), _xlfn.IFNA(_xlfn.XLOOKUP(EL$5, 'Site Construction Budget'!$E$13:$Z$13, 'Site Construction Budget'!$E$40:$Z$40), 0))</f>
        <v>0</v>
      </c>
      <c r="EM31" s="97">
        <f>SUM(_xlfn.IFNA(_xlfn.XLOOKUP(Assumptions!EK$81, '1 Machine Build'!$F$11:$Q$11, '1 Machine Build'!$F13:$Q13), 0), _xlfn.IFNA(_xlfn.XLOOKUP(EM$5, 'Site Construction Budget'!$E$13:$Z$13, 'Site Construction Budget'!$E$40:$Z$40), 0))</f>
        <v>0</v>
      </c>
      <c r="EN31" s="97">
        <f>SUM(_xlfn.IFNA(_xlfn.XLOOKUP(Assumptions!EL$81, '1 Machine Build'!$F$11:$Q$11, '1 Machine Build'!$F13:$Q13), 0), _xlfn.IFNA(_xlfn.XLOOKUP(EN$5, 'Site Construction Budget'!$E$13:$Z$13, 'Site Construction Budget'!$E$40:$Z$40), 0))</f>
        <v>0</v>
      </c>
      <c r="EO31" s="97">
        <f>SUM(_xlfn.IFNA(_xlfn.XLOOKUP(Assumptions!EM$81, '1 Machine Build'!$F$11:$Q$11, '1 Machine Build'!$F13:$Q13), 0), _xlfn.IFNA(_xlfn.XLOOKUP(EO$5, 'Site Construction Budget'!$E$13:$Z$13, 'Site Construction Budget'!$E$40:$Z$40), 0))</f>
        <v>0</v>
      </c>
      <c r="EP31" s="97">
        <f>SUM(_xlfn.IFNA(_xlfn.XLOOKUP(Assumptions!EN$81, '1 Machine Build'!$F$11:$Q$11, '1 Machine Build'!$F13:$Q13), 0), _xlfn.IFNA(_xlfn.XLOOKUP(EP$5, 'Site Construction Budget'!$E$13:$Z$13, 'Site Construction Budget'!$E$40:$Z$40), 0))</f>
        <v>0</v>
      </c>
      <c r="EQ31" s="97">
        <f>SUM(_xlfn.IFNA(_xlfn.XLOOKUP(Assumptions!EO$81, '1 Machine Build'!$F$11:$Q$11, '1 Machine Build'!$F13:$Q13), 0), _xlfn.IFNA(_xlfn.XLOOKUP(EQ$5, 'Site Construction Budget'!$E$13:$Z$13, 'Site Construction Budget'!$E$40:$Z$40), 0))</f>
        <v>0</v>
      </c>
      <c r="ER31" s="97">
        <f>SUM(_xlfn.IFNA(_xlfn.XLOOKUP(Assumptions!EP$81, '1 Machine Build'!$F$11:$Q$11, '1 Machine Build'!$F13:$Q13), 0), _xlfn.IFNA(_xlfn.XLOOKUP(ER$5, 'Site Construction Budget'!$E$13:$Z$13, 'Site Construction Budget'!$E$40:$Z$40), 0))</f>
        <v>0</v>
      </c>
      <c r="ES31" s="97">
        <f>SUM(_xlfn.IFNA(_xlfn.XLOOKUP(Assumptions!EQ$81, '1 Machine Build'!$F$11:$Q$11, '1 Machine Build'!$F13:$Q13), 0), _xlfn.IFNA(_xlfn.XLOOKUP(ES$5, 'Site Construction Budget'!$E$13:$Z$13, 'Site Construction Budget'!$E$40:$Z$40), 0))</f>
        <v>0</v>
      </c>
      <c r="ET31" s="97">
        <f>SUM(_xlfn.IFNA(_xlfn.XLOOKUP(Assumptions!ER$81, '1 Machine Build'!$F$11:$Q$11, '1 Machine Build'!$F13:$Q13), 0), _xlfn.IFNA(_xlfn.XLOOKUP(ET$5, 'Site Construction Budget'!$E$13:$Z$13, 'Site Construction Budget'!$E$40:$Z$40), 0))</f>
        <v>0</v>
      </c>
      <c r="EU31" s="97">
        <f>SUM(_xlfn.IFNA(_xlfn.XLOOKUP(Assumptions!ES$81, '1 Machine Build'!$F$11:$Q$11, '1 Machine Build'!$F13:$Q13), 0), _xlfn.IFNA(_xlfn.XLOOKUP(EU$5, 'Site Construction Budget'!$E$13:$Z$13, 'Site Construction Budget'!$E$40:$Z$40), 0))</f>
        <v>0</v>
      </c>
      <c r="EV31" s="97">
        <f>SUM(_xlfn.IFNA(_xlfn.XLOOKUP(Assumptions!ET$81, '1 Machine Build'!$F$11:$Q$11, '1 Machine Build'!$F13:$Q13), 0), _xlfn.IFNA(_xlfn.XLOOKUP(EV$5, 'Site Construction Budget'!$E$13:$Z$13, 'Site Construction Budget'!$E$40:$Z$40), 0))</f>
        <v>0</v>
      </c>
      <c r="EW31" s="97">
        <f>SUM(_xlfn.IFNA(_xlfn.XLOOKUP(Assumptions!EU$81, '1 Machine Build'!$F$11:$Q$11, '1 Machine Build'!$F13:$Q13), 0), _xlfn.IFNA(_xlfn.XLOOKUP(EW$5, 'Site Construction Budget'!$E$13:$Z$13, 'Site Construction Budget'!$E$40:$Z$40), 0))</f>
        <v>0</v>
      </c>
      <c r="EX31" s="97">
        <f>SUM(_xlfn.IFNA(_xlfn.XLOOKUP(Assumptions!EV$81, '1 Machine Build'!$F$11:$Q$11, '1 Machine Build'!$F13:$Q13), 0), _xlfn.IFNA(_xlfn.XLOOKUP(EX$5, 'Site Construction Budget'!$E$13:$Z$13, 'Site Construction Budget'!$E$40:$Z$40), 0))</f>
        <v>0</v>
      </c>
      <c r="EY31" s="97">
        <f>SUM(_xlfn.IFNA(_xlfn.XLOOKUP(Assumptions!EW$81, '1 Machine Build'!$F$11:$Q$11, '1 Machine Build'!$F13:$Q13), 0), _xlfn.IFNA(_xlfn.XLOOKUP(EY$5, 'Site Construction Budget'!$E$13:$Z$13, 'Site Construction Budget'!$E$40:$Z$40), 0))</f>
        <v>0</v>
      </c>
      <c r="EZ31" s="97">
        <f>SUM(_xlfn.IFNA(_xlfn.XLOOKUP(Assumptions!EX$81, '1 Machine Build'!$F$11:$Q$11, '1 Machine Build'!$F13:$Q13), 0), _xlfn.IFNA(_xlfn.XLOOKUP(EZ$5, 'Site Construction Budget'!$E$13:$Z$13, 'Site Construction Budget'!$E$40:$Z$40), 0))</f>
        <v>0</v>
      </c>
      <c r="FA31" s="97">
        <f>SUM(_xlfn.IFNA(_xlfn.XLOOKUP(Assumptions!EY$81, '1 Machine Build'!$F$11:$Q$11, '1 Machine Build'!$F13:$Q13), 0), _xlfn.IFNA(_xlfn.XLOOKUP(FA$5, 'Site Construction Budget'!$E$13:$Z$13, 'Site Construction Budget'!$E$40:$Z$40), 0))</f>
        <v>0</v>
      </c>
      <c r="FB31" s="97">
        <f>SUM(_xlfn.IFNA(_xlfn.XLOOKUP(Assumptions!EZ$81, '1 Machine Build'!$F$11:$Q$11, '1 Machine Build'!$F13:$Q13), 0), _xlfn.IFNA(_xlfn.XLOOKUP(FB$5, 'Site Construction Budget'!$E$13:$Z$13, 'Site Construction Budget'!$E$40:$Z$40), 0))</f>
        <v>0</v>
      </c>
      <c r="FC31" s="97">
        <f>SUM(_xlfn.IFNA(_xlfn.XLOOKUP(Assumptions!FA$81, '1 Machine Build'!$F$11:$Q$11, '1 Machine Build'!$F13:$Q13), 0), _xlfn.IFNA(_xlfn.XLOOKUP(FC$5, 'Site Construction Budget'!$E$13:$Z$13, 'Site Construction Budget'!$E$40:$Z$40), 0))</f>
        <v>0</v>
      </c>
      <c r="FD31" s="97">
        <f>SUM(_xlfn.IFNA(_xlfn.XLOOKUP(Assumptions!FB$81, '1 Machine Build'!$F$11:$Q$11, '1 Machine Build'!$F13:$Q13), 0), _xlfn.IFNA(_xlfn.XLOOKUP(FD$5, 'Site Construction Budget'!$E$13:$Z$13, 'Site Construction Budget'!$E$40:$Z$40), 0))</f>
        <v>0</v>
      </c>
      <c r="FE31" s="97">
        <f>SUM(_xlfn.IFNA(_xlfn.XLOOKUP(Assumptions!FC$81, '1 Machine Build'!$F$11:$Q$11, '1 Machine Build'!$F13:$Q13), 0), _xlfn.IFNA(_xlfn.XLOOKUP(FE$5, 'Site Construction Budget'!$E$13:$Z$13, 'Site Construction Budget'!$E$40:$Z$40), 0))</f>
        <v>0</v>
      </c>
      <c r="FF31" s="97">
        <f>SUM(_xlfn.IFNA(_xlfn.XLOOKUP(Assumptions!FD$81, '1 Machine Build'!$F$11:$Q$11, '1 Machine Build'!$F13:$Q13), 0), _xlfn.IFNA(_xlfn.XLOOKUP(FF$5, 'Site Construction Budget'!$E$13:$Z$13, 'Site Construction Budget'!$E$40:$Z$40), 0))</f>
        <v>0</v>
      </c>
      <c r="FG31" s="97">
        <f>SUM(_xlfn.IFNA(_xlfn.XLOOKUP(Assumptions!FE$81, '1 Machine Build'!$F$11:$Q$11, '1 Machine Build'!$F13:$Q13), 0), _xlfn.IFNA(_xlfn.XLOOKUP(FG$5, 'Site Construction Budget'!$E$13:$Z$13, 'Site Construction Budget'!$E$40:$Z$40), 0))</f>
        <v>0</v>
      </c>
      <c r="FH31" s="97">
        <f>SUM(_xlfn.IFNA(_xlfn.XLOOKUP(Assumptions!FF$81, '1 Machine Build'!$F$11:$Q$11, '1 Machine Build'!$F13:$Q13), 0), _xlfn.IFNA(_xlfn.XLOOKUP(FH$5, 'Site Construction Budget'!$E$13:$Z$13, 'Site Construction Budget'!$E$40:$Z$40), 0))</f>
        <v>0</v>
      </c>
      <c r="FI31" s="97">
        <f>SUM(_xlfn.IFNA(_xlfn.XLOOKUP(Assumptions!FG$81, '1 Machine Build'!$F$11:$Q$11, '1 Machine Build'!$F13:$Q13), 0), _xlfn.IFNA(_xlfn.XLOOKUP(FI$5, 'Site Construction Budget'!$E$13:$Z$13, 'Site Construction Budget'!$E$40:$Z$40), 0))</f>
        <v>0</v>
      </c>
      <c r="FJ31" s="97">
        <f>SUM(_xlfn.IFNA(_xlfn.XLOOKUP(Assumptions!FH$81, '1 Machine Build'!$F$11:$Q$11, '1 Machine Build'!$F13:$Q13), 0), _xlfn.IFNA(_xlfn.XLOOKUP(FJ$5, 'Site Construction Budget'!$E$13:$Z$13, 'Site Construction Budget'!$E$40:$Z$40), 0))</f>
        <v>0</v>
      </c>
      <c r="FK31" s="97">
        <f>SUM(_xlfn.IFNA(_xlfn.XLOOKUP(Assumptions!FI$81, '1 Machine Build'!$F$11:$Q$11, '1 Machine Build'!$F13:$Q13), 0), _xlfn.IFNA(_xlfn.XLOOKUP(FK$5, 'Site Construction Budget'!$E$13:$Z$13, 'Site Construction Budget'!$E$40:$Z$40), 0))</f>
        <v>0</v>
      </c>
      <c r="FL31" s="97">
        <f>SUM(_xlfn.IFNA(_xlfn.XLOOKUP(Assumptions!FJ$81, '1 Machine Build'!$F$11:$Q$11, '1 Machine Build'!$F13:$Q13), 0), _xlfn.IFNA(_xlfn.XLOOKUP(FL$5, 'Site Construction Budget'!$E$13:$Z$13, 'Site Construction Budget'!$E$40:$Z$40), 0))</f>
        <v>0</v>
      </c>
      <c r="FM31" s="97">
        <f>SUM(_xlfn.IFNA(_xlfn.XLOOKUP(Assumptions!FK$81, '1 Machine Build'!$F$11:$Q$11, '1 Machine Build'!$F13:$Q13), 0), _xlfn.IFNA(_xlfn.XLOOKUP(FM$5, 'Site Construction Budget'!$E$13:$Z$13, 'Site Construction Budget'!$E$40:$Z$40), 0))</f>
        <v>0</v>
      </c>
      <c r="FN31" s="97">
        <f>SUM(_xlfn.IFNA(_xlfn.XLOOKUP(Assumptions!FL$81, '1 Machine Build'!$F$11:$Q$11, '1 Machine Build'!$F13:$Q13), 0), _xlfn.IFNA(_xlfn.XLOOKUP(FN$5, 'Site Construction Budget'!$E$13:$Z$13, 'Site Construction Budget'!$E$40:$Z$40), 0))</f>
        <v>0</v>
      </c>
      <c r="FO31" s="97">
        <f>SUM(_xlfn.IFNA(_xlfn.XLOOKUP(Assumptions!FM$81, '1 Machine Build'!$F$11:$Q$11, '1 Machine Build'!$F13:$Q13), 0), _xlfn.IFNA(_xlfn.XLOOKUP(FO$5, 'Site Construction Budget'!$E$13:$Z$13, 'Site Construction Budget'!$E$40:$Z$40), 0))</f>
        <v>0</v>
      </c>
      <c r="FP31" s="97">
        <f>SUM(_xlfn.IFNA(_xlfn.XLOOKUP(Assumptions!FN$81, '1 Machine Build'!$F$11:$Q$11, '1 Machine Build'!$F13:$Q13), 0), _xlfn.IFNA(_xlfn.XLOOKUP(FP$5, 'Site Construction Budget'!$E$13:$Z$13, 'Site Construction Budget'!$E$40:$Z$40), 0))</f>
        <v>0</v>
      </c>
      <c r="FQ31" s="97">
        <f>SUM(_xlfn.IFNA(_xlfn.XLOOKUP(Assumptions!FO$81, '1 Machine Build'!$F$11:$Q$11, '1 Machine Build'!$F13:$Q13), 0), _xlfn.IFNA(_xlfn.XLOOKUP(FQ$5, 'Site Construction Budget'!$E$13:$Z$13, 'Site Construction Budget'!$E$40:$Z$40), 0))</f>
        <v>0</v>
      </c>
      <c r="FR31" s="97">
        <f>SUM(_xlfn.IFNA(_xlfn.XLOOKUP(Assumptions!FP$81, '1 Machine Build'!$F$11:$Q$11, '1 Machine Build'!$F13:$Q13), 0), _xlfn.IFNA(_xlfn.XLOOKUP(FR$5, 'Site Construction Budget'!$E$13:$Z$13, 'Site Construction Budget'!$E$40:$Z$40), 0))</f>
        <v>0</v>
      </c>
      <c r="FS31" s="97">
        <f>SUM(_xlfn.IFNA(_xlfn.XLOOKUP(Assumptions!FQ$81, '1 Machine Build'!$F$11:$Q$11, '1 Machine Build'!$F13:$Q13), 0), _xlfn.IFNA(_xlfn.XLOOKUP(FS$5, 'Site Construction Budget'!$E$13:$Z$13, 'Site Construction Budget'!$E$40:$Z$40), 0))</f>
        <v>0</v>
      </c>
      <c r="FT31" s="97">
        <f>SUM(_xlfn.IFNA(_xlfn.XLOOKUP(Assumptions!FR$81, '1 Machine Build'!$F$11:$Q$11, '1 Machine Build'!$F13:$Q13), 0), _xlfn.IFNA(_xlfn.XLOOKUP(FT$5, 'Site Construction Budget'!$E$13:$Z$13, 'Site Construction Budget'!$E$40:$Z$40), 0))</f>
        <v>0</v>
      </c>
      <c r="FU31" s="97">
        <f>SUM(_xlfn.IFNA(_xlfn.XLOOKUP(Assumptions!FS$81, '1 Machine Build'!$F$11:$Q$11, '1 Machine Build'!$F13:$Q13), 0), _xlfn.IFNA(_xlfn.XLOOKUP(FU$5, 'Site Construction Budget'!$E$13:$Z$13, 'Site Construction Budget'!$E$40:$Z$40), 0))</f>
        <v>0</v>
      </c>
      <c r="FV31" s="97">
        <f>SUM(_xlfn.IFNA(_xlfn.XLOOKUP(Assumptions!FT$81, '1 Machine Build'!$F$11:$Q$11, '1 Machine Build'!$F13:$Q13), 0), _xlfn.IFNA(_xlfn.XLOOKUP(FV$5, 'Site Construction Budget'!$E$13:$Z$13, 'Site Construction Budget'!$E$40:$Z$40), 0))</f>
        <v>0</v>
      </c>
      <c r="FW31" s="97">
        <f>SUM(_xlfn.IFNA(_xlfn.XLOOKUP(Assumptions!FU$81, '1 Machine Build'!$F$11:$Q$11, '1 Machine Build'!$F13:$Q13), 0), _xlfn.IFNA(_xlfn.XLOOKUP(FW$5, 'Site Construction Budget'!$E$13:$Z$13, 'Site Construction Budget'!$E$40:$Z$40), 0))</f>
        <v>0</v>
      </c>
      <c r="FX31" s="97">
        <f>SUM(_xlfn.IFNA(_xlfn.XLOOKUP(Assumptions!FV$81, '1 Machine Build'!$F$11:$Q$11, '1 Machine Build'!$F13:$Q13), 0), _xlfn.IFNA(_xlfn.XLOOKUP(FX$5, 'Site Construction Budget'!$E$13:$Z$13, 'Site Construction Budget'!$E$40:$Z$40), 0))</f>
        <v>0</v>
      </c>
      <c r="FY31" s="97">
        <f>SUM(_xlfn.IFNA(_xlfn.XLOOKUP(Assumptions!FW$81, '1 Machine Build'!$F$11:$Q$11, '1 Machine Build'!$F13:$Q13), 0), _xlfn.IFNA(_xlfn.XLOOKUP(FY$5, 'Site Construction Budget'!$E$13:$Z$13, 'Site Construction Budget'!$E$40:$Z$40), 0))</f>
        <v>0</v>
      </c>
      <c r="FZ31" s="97">
        <f>SUM(_xlfn.IFNA(_xlfn.XLOOKUP(Assumptions!FX$81, '1 Machine Build'!$F$11:$Q$11, '1 Machine Build'!$F13:$Q13), 0), _xlfn.IFNA(_xlfn.XLOOKUP(FZ$5, 'Site Construction Budget'!$E$13:$Z$13, 'Site Construction Budget'!$E$40:$Z$40), 0))</f>
        <v>0</v>
      </c>
      <c r="GA31" s="97">
        <f>SUM(_xlfn.IFNA(_xlfn.XLOOKUP(Assumptions!FY$81, '1 Machine Build'!$F$11:$Q$11, '1 Machine Build'!$F13:$Q13), 0), _xlfn.IFNA(_xlfn.XLOOKUP(GA$5, 'Site Construction Budget'!$E$13:$Z$13, 'Site Construction Budget'!$E$40:$Z$40), 0))</f>
        <v>0</v>
      </c>
      <c r="GB31" s="97">
        <f>SUM(_xlfn.IFNA(_xlfn.XLOOKUP(Assumptions!FZ$81, '1 Machine Build'!$F$11:$Q$11, '1 Machine Build'!$F13:$Q13), 0), _xlfn.IFNA(_xlfn.XLOOKUP(GB$5, 'Site Construction Budget'!$E$13:$Z$13, 'Site Construction Budget'!$E$40:$Z$40), 0))</f>
        <v>0</v>
      </c>
      <c r="GC31" s="97">
        <f>SUM(_xlfn.IFNA(_xlfn.XLOOKUP(Assumptions!GA$81, '1 Machine Build'!$F$11:$Q$11, '1 Machine Build'!$F13:$Q13), 0), _xlfn.IFNA(_xlfn.XLOOKUP(GC$5, 'Site Construction Budget'!$E$13:$Z$13, 'Site Construction Budget'!$E$40:$Z$40), 0))</f>
        <v>0</v>
      </c>
    </row>
    <row r="32" spans="1:185">
      <c r="A32" s="80"/>
      <c r="B32" s="120" t="s">
        <v>84</v>
      </c>
      <c r="C32" s="80"/>
      <c r="D32" s="10"/>
      <c r="E32" s="82">
        <f t="shared" si="13"/>
        <v>714500</v>
      </c>
      <c r="F32" s="97">
        <f>SUM(_xlfn.IFNA(_xlfn.XLOOKUP(Assumptions!D$81, '1 Machine Build'!$F$11:$Q$11, '1 Machine Build'!$F14:$Q14), 0), _xlfn.IFNA(_xlfn.XLOOKUP(Assumptions!D$82, '1 Machine Build'!$F$11:$Q$11, '1 Machine Build'!$F14:$Q14), 0), _xlfn.IFNA(_xlfn.XLOOKUP(Assumptions!D$83, '1 Machine Build'!$F$11:$Q$11, '1 Machine Build'!$F14:$Q14), 0), _xlfn.IFNA(_xlfn.XLOOKUP(Assumptions!D$84, '1 Machine Build'!$F$11:$Q$11, '1 Machine Build'!$F14:$Q14), 0), _xlfn.IFNA(_xlfn.XLOOKUP(Assumptions!D$85, '1 Machine Build'!$F$11:$Q$11, '1 Machine Build'!$F14:$Q14), 0), _xlfn.IFNA(_xlfn.XLOOKUP(Assumptions!D$86, '1 Machine Build'!$F$11:$Q$11, '1 Machine Build'!$F14:$Q14), 0), _xlfn.IFNA(_xlfn.XLOOKUP(Assumptions!D$87, '1 Machine Build'!$F$11:$Q$11, '1 Machine Build'!$F14:$Q14), 0), _xlfn.IFNA(_xlfn.XLOOKUP(Assumptions!D$88, '1 Machine Build'!$F$11:$Q$11, '1 Machine Build'!$F14:$Q14), 0))</f>
        <v>85450</v>
      </c>
      <c r="G32" s="97">
        <f>SUM(_xlfn.IFNA(_xlfn.XLOOKUP(Assumptions!E$81, '1 Machine Build'!$F$11:$Q$11, '1 Machine Build'!$F14:$Q14), 0), _xlfn.IFNA(_xlfn.XLOOKUP(Assumptions!E$82, '1 Machine Build'!$F$11:$Q$11, '1 Machine Build'!$F14:$Q14), 0), _xlfn.IFNA(_xlfn.XLOOKUP(Assumptions!E$83, '1 Machine Build'!$F$11:$Q$11, '1 Machine Build'!$F14:$Q14), 0), _xlfn.IFNA(_xlfn.XLOOKUP(Assumptions!E$84, '1 Machine Build'!$F$11:$Q$11, '1 Machine Build'!$F14:$Q14), 0), _xlfn.IFNA(_xlfn.XLOOKUP(Assumptions!E$85, '1 Machine Build'!$F$11:$Q$11, '1 Machine Build'!$F14:$Q14), 0), _xlfn.IFNA(_xlfn.XLOOKUP(Assumptions!E$86, '1 Machine Build'!$F$11:$Q$11, '1 Machine Build'!$F14:$Q14), 0), _xlfn.IFNA(_xlfn.XLOOKUP(Assumptions!E$87, '1 Machine Build'!$F$11:$Q$11, '1 Machine Build'!$F14:$Q14), 0), _xlfn.IFNA(_xlfn.XLOOKUP(Assumptions!E$88, '1 Machine Build'!$F$11:$Q$11, '1 Machine Build'!$F14:$Q14), 0))</f>
        <v>27950</v>
      </c>
      <c r="H32" s="97">
        <f>SUM(_xlfn.IFNA(_xlfn.XLOOKUP(Assumptions!F$81, '1 Machine Build'!$F$11:$Q$11, '1 Machine Build'!$F14:$Q14), 0), _xlfn.IFNA(_xlfn.XLOOKUP(Assumptions!F$82, '1 Machine Build'!$F$11:$Q$11, '1 Machine Build'!$F14:$Q14), 0), _xlfn.IFNA(_xlfn.XLOOKUP(Assumptions!F$83, '1 Machine Build'!$F$11:$Q$11, '1 Machine Build'!$F14:$Q14), 0), _xlfn.IFNA(_xlfn.XLOOKUP(Assumptions!F$84, '1 Machine Build'!$F$11:$Q$11, '1 Machine Build'!$F14:$Q14), 0), _xlfn.IFNA(_xlfn.XLOOKUP(Assumptions!F$85, '1 Machine Build'!$F$11:$Q$11, '1 Machine Build'!$F14:$Q14), 0), _xlfn.IFNA(_xlfn.XLOOKUP(Assumptions!F$86, '1 Machine Build'!$F$11:$Q$11, '1 Machine Build'!$F14:$Q14), 0), _xlfn.IFNA(_xlfn.XLOOKUP(Assumptions!F$87, '1 Machine Build'!$F$11:$Q$11, '1 Machine Build'!$F14:$Q14), 0), _xlfn.IFNA(_xlfn.XLOOKUP(Assumptions!F$88, '1 Machine Build'!$F$11:$Q$11, '1 Machine Build'!$F14:$Q14), 0))</f>
        <v>27950</v>
      </c>
      <c r="I32" s="97">
        <f>SUM(_xlfn.IFNA(_xlfn.XLOOKUP(Assumptions!G$81, '1 Machine Build'!$F$11:$Q$11, '1 Machine Build'!$F14:$Q14), 0), _xlfn.IFNA(_xlfn.XLOOKUP(Assumptions!G$82, '1 Machine Build'!$F$11:$Q$11, '1 Machine Build'!$F14:$Q14), 0), _xlfn.IFNA(_xlfn.XLOOKUP(Assumptions!G$83, '1 Machine Build'!$F$11:$Q$11, '1 Machine Build'!$F14:$Q14), 0), _xlfn.IFNA(_xlfn.XLOOKUP(Assumptions!G$84, '1 Machine Build'!$F$11:$Q$11, '1 Machine Build'!$F14:$Q14), 0), _xlfn.IFNA(_xlfn.XLOOKUP(Assumptions!G$85, '1 Machine Build'!$F$11:$Q$11, '1 Machine Build'!$F14:$Q14), 0), _xlfn.IFNA(_xlfn.XLOOKUP(Assumptions!G$86, '1 Machine Build'!$F$11:$Q$11, '1 Machine Build'!$F14:$Q14), 0), _xlfn.IFNA(_xlfn.XLOOKUP(Assumptions!G$87, '1 Machine Build'!$F$11:$Q$11, '1 Machine Build'!$F14:$Q14), 0), _xlfn.IFNA(_xlfn.XLOOKUP(Assumptions!G$88, '1 Machine Build'!$F$11:$Q$11, '1 Machine Build'!$F14:$Q14), 0))</f>
        <v>27950</v>
      </c>
      <c r="J32" s="97">
        <f>SUM(_xlfn.IFNA(_xlfn.XLOOKUP(Assumptions!H$81, '1 Machine Build'!$F$11:$Q$11, '1 Machine Build'!$F14:$Q14), 0), _xlfn.IFNA(_xlfn.XLOOKUP(Assumptions!H$82, '1 Machine Build'!$F$11:$Q$11, '1 Machine Build'!$F14:$Q14), 0), _xlfn.IFNA(_xlfn.XLOOKUP(Assumptions!H$83, '1 Machine Build'!$F$11:$Q$11, '1 Machine Build'!$F14:$Q14), 0), _xlfn.IFNA(_xlfn.XLOOKUP(Assumptions!H$84, '1 Machine Build'!$F$11:$Q$11, '1 Machine Build'!$F14:$Q14), 0), _xlfn.IFNA(_xlfn.XLOOKUP(Assumptions!H$85, '1 Machine Build'!$F$11:$Q$11, '1 Machine Build'!$F14:$Q14), 0), _xlfn.IFNA(_xlfn.XLOOKUP(Assumptions!H$86, '1 Machine Build'!$F$11:$Q$11, '1 Machine Build'!$F14:$Q14), 0), _xlfn.IFNA(_xlfn.XLOOKUP(Assumptions!H$87, '1 Machine Build'!$F$11:$Q$11, '1 Machine Build'!$F14:$Q14), 0), _xlfn.IFNA(_xlfn.XLOOKUP(Assumptions!H$88, '1 Machine Build'!$F$11:$Q$11, '1 Machine Build'!$F14:$Q14), 0))</f>
        <v>27950</v>
      </c>
      <c r="K32" s="97">
        <f>SUM(_xlfn.IFNA(_xlfn.XLOOKUP(Assumptions!I$81, '1 Machine Build'!$F$11:$Q$11, '1 Machine Build'!$F14:$Q14), 0), _xlfn.IFNA(_xlfn.XLOOKUP(Assumptions!I$82, '1 Machine Build'!$F$11:$Q$11, '1 Machine Build'!$F14:$Q14), 0), _xlfn.IFNA(_xlfn.XLOOKUP(Assumptions!I$83, '1 Machine Build'!$F$11:$Q$11, '1 Machine Build'!$F14:$Q14), 0), _xlfn.IFNA(_xlfn.XLOOKUP(Assumptions!I$84, '1 Machine Build'!$F$11:$Q$11, '1 Machine Build'!$F14:$Q14), 0), _xlfn.IFNA(_xlfn.XLOOKUP(Assumptions!I$85, '1 Machine Build'!$F$11:$Q$11, '1 Machine Build'!$F14:$Q14), 0), _xlfn.IFNA(_xlfn.XLOOKUP(Assumptions!I$86, '1 Machine Build'!$F$11:$Q$11, '1 Machine Build'!$F14:$Q14), 0), _xlfn.IFNA(_xlfn.XLOOKUP(Assumptions!I$87, '1 Machine Build'!$F$11:$Q$11, '1 Machine Build'!$F14:$Q14), 0), _xlfn.IFNA(_xlfn.XLOOKUP(Assumptions!I$88, '1 Machine Build'!$F$11:$Q$11, '1 Machine Build'!$F14:$Q14), 0))</f>
        <v>204016.66666666669</v>
      </c>
      <c r="L32" s="97">
        <f>SUM(_xlfn.IFNA(_xlfn.XLOOKUP(Assumptions!J$81, '1 Machine Build'!$F$11:$Q$11, '1 Machine Build'!$F14:$Q14), 0), _xlfn.IFNA(_xlfn.XLOOKUP(Assumptions!J$82, '1 Machine Build'!$F$11:$Q$11, '1 Machine Build'!$F14:$Q14), 0), _xlfn.IFNA(_xlfn.XLOOKUP(Assumptions!J$83, '1 Machine Build'!$F$11:$Q$11, '1 Machine Build'!$F14:$Q14), 0), _xlfn.IFNA(_xlfn.XLOOKUP(Assumptions!J$84, '1 Machine Build'!$F$11:$Q$11, '1 Machine Build'!$F14:$Q14), 0), _xlfn.IFNA(_xlfn.XLOOKUP(Assumptions!J$85, '1 Machine Build'!$F$11:$Q$11, '1 Machine Build'!$F14:$Q14), 0), _xlfn.IFNA(_xlfn.XLOOKUP(Assumptions!J$86, '1 Machine Build'!$F$11:$Q$11, '1 Machine Build'!$F14:$Q14), 0), _xlfn.IFNA(_xlfn.XLOOKUP(Assumptions!J$87, '1 Machine Build'!$F$11:$Q$11, '1 Machine Build'!$F14:$Q14), 0), _xlfn.IFNA(_xlfn.XLOOKUP(Assumptions!J$88, '1 Machine Build'!$F$11:$Q$11, '1 Machine Build'!$F14:$Q14), 0))</f>
        <v>144616.66666666669</v>
      </c>
      <c r="M32" s="97">
        <f>SUM(_xlfn.IFNA(_xlfn.XLOOKUP(Assumptions!K$81, '1 Machine Build'!$F$11:$Q$11, '1 Machine Build'!$F14:$Q14), 0), _xlfn.IFNA(_xlfn.XLOOKUP(Assumptions!K$82, '1 Machine Build'!$F$11:$Q$11, '1 Machine Build'!$F14:$Q14), 0), _xlfn.IFNA(_xlfn.XLOOKUP(Assumptions!K$83, '1 Machine Build'!$F$11:$Q$11, '1 Machine Build'!$F14:$Q14), 0), _xlfn.IFNA(_xlfn.XLOOKUP(Assumptions!K$84, '1 Machine Build'!$F$11:$Q$11, '1 Machine Build'!$F14:$Q14), 0), _xlfn.IFNA(_xlfn.XLOOKUP(Assumptions!K$85, '1 Machine Build'!$F$11:$Q$11, '1 Machine Build'!$F14:$Q14), 0), _xlfn.IFNA(_xlfn.XLOOKUP(Assumptions!K$86, '1 Machine Build'!$F$11:$Q$11, '1 Machine Build'!$F14:$Q14), 0), _xlfn.IFNA(_xlfn.XLOOKUP(Assumptions!K$87, '1 Machine Build'!$F$11:$Q$11, '1 Machine Build'!$F14:$Q14), 0), _xlfn.IFNA(_xlfn.XLOOKUP(Assumptions!K$88, '1 Machine Build'!$F$11:$Q$11, '1 Machine Build'!$F14:$Q14), 0))</f>
        <v>144616.66666666669</v>
      </c>
      <c r="N32" s="97">
        <f>SUM(_xlfn.IFNA(_xlfn.XLOOKUP(Assumptions!L$81, '1 Machine Build'!$F$11:$Q$11, '1 Machine Build'!$F14:$Q14), 0), _xlfn.IFNA(_xlfn.XLOOKUP(Assumptions!L$82, '1 Machine Build'!$F$11:$Q$11, '1 Machine Build'!$F14:$Q14), 0), _xlfn.IFNA(_xlfn.XLOOKUP(Assumptions!L$83, '1 Machine Build'!$F$11:$Q$11, '1 Machine Build'!$F14:$Q14), 0), _xlfn.IFNA(_xlfn.XLOOKUP(Assumptions!L$84, '1 Machine Build'!$F$11:$Q$11, '1 Machine Build'!$F14:$Q14), 0), _xlfn.IFNA(_xlfn.XLOOKUP(Assumptions!L$85, '1 Machine Build'!$F$11:$Q$11, '1 Machine Build'!$F14:$Q14), 0), _xlfn.IFNA(_xlfn.XLOOKUP(Assumptions!L$86, '1 Machine Build'!$F$11:$Q$11, '1 Machine Build'!$F14:$Q14), 0), _xlfn.IFNA(_xlfn.XLOOKUP(Assumptions!L$87, '1 Machine Build'!$F$11:$Q$11, '1 Machine Build'!$F14:$Q14), 0), _xlfn.IFNA(_xlfn.XLOOKUP(Assumptions!L$88, '1 Machine Build'!$F$11:$Q$11, '1 Machine Build'!$F14:$Q14), 0))</f>
        <v>6000</v>
      </c>
      <c r="O32" s="97">
        <f>SUM(_xlfn.IFNA(_xlfn.XLOOKUP(Assumptions!M$81, '1 Machine Build'!$F$11:$Q$11, '1 Machine Build'!$F14:$Q14), 0), _xlfn.IFNA(_xlfn.XLOOKUP(Assumptions!M$82, '1 Machine Build'!$F$11:$Q$11, '1 Machine Build'!$F14:$Q14), 0), _xlfn.IFNA(_xlfn.XLOOKUP(Assumptions!M$83, '1 Machine Build'!$F$11:$Q$11, '1 Machine Build'!$F14:$Q14), 0), _xlfn.IFNA(_xlfn.XLOOKUP(Assumptions!M$84, '1 Machine Build'!$F$11:$Q$11, '1 Machine Build'!$F14:$Q14), 0), _xlfn.IFNA(_xlfn.XLOOKUP(Assumptions!M$85, '1 Machine Build'!$F$11:$Q$11, '1 Machine Build'!$F14:$Q14), 0), _xlfn.IFNA(_xlfn.XLOOKUP(Assumptions!M$86, '1 Machine Build'!$F$11:$Q$11, '1 Machine Build'!$F14:$Q14), 0), _xlfn.IFNA(_xlfn.XLOOKUP(Assumptions!M$87, '1 Machine Build'!$F$11:$Q$11, '1 Machine Build'!$F14:$Q14), 0), _xlfn.IFNA(_xlfn.XLOOKUP(Assumptions!M$88, '1 Machine Build'!$F$11:$Q$11, '1 Machine Build'!$F14:$Q14), 0))</f>
        <v>6000</v>
      </c>
      <c r="P32" s="97">
        <f>SUM(_xlfn.IFNA(_xlfn.XLOOKUP(Assumptions!N$81, '1 Machine Build'!$F$11:$Q$11, '1 Machine Build'!$F14:$Q14), 0), _xlfn.IFNA(_xlfn.XLOOKUP(Assumptions!N$82, '1 Machine Build'!$F$11:$Q$11, '1 Machine Build'!$F14:$Q14), 0), _xlfn.IFNA(_xlfn.XLOOKUP(Assumptions!N$83, '1 Machine Build'!$F$11:$Q$11, '1 Machine Build'!$F14:$Q14), 0), _xlfn.IFNA(_xlfn.XLOOKUP(Assumptions!N$84, '1 Machine Build'!$F$11:$Q$11, '1 Machine Build'!$F14:$Q14), 0), _xlfn.IFNA(_xlfn.XLOOKUP(Assumptions!N$85, '1 Machine Build'!$F$11:$Q$11, '1 Machine Build'!$F14:$Q14), 0), _xlfn.IFNA(_xlfn.XLOOKUP(Assumptions!N$86, '1 Machine Build'!$F$11:$Q$11, '1 Machine Build'!$F14:$Q14), 0), _xlfn.IFNA(_xlfn.XLOOKUP(Assumptions!N$87, '1 Machine Build'!$F$11:$Q$11, '1 Machine Build'!$F14:$Q14), 0), _xlfn.IFNA(_xlfn.XLOOKUP(Assumptions!N$88, '1 Machine Build'!$F$11:$Q$11, '1 Machine Build'!$F14:$Q14), 0))</f>
        <v>6000</v>
      </c>
      <c r="Q32" s="97">
        <f>SUM(_xlfn.IFNA(_xlfn.XLOOKUP(Assumptions!O$81, '1 Machine Build'!$F$11:$Q$11, '1 Machine Build'!$F14:$Q14), 0), _xlfn.IFNA(_xlfn.XLOOKUP(Assumptions!O$82, '1 Machine Build'!$F$11:$Q$11, '1 Machine Build'!$F14:$Q14), 0), _xlfn.IFNA(_xlfn.XLOOKUP(Assumptions!O$83, '1 Machine Build'!$F$11:$Q$11, '1 Machine Build'!$F14:$Q14), 0), _xlfn.IFNA(_xlfn.XLOOKUP(Assumptions!O$84, '1 Machine Build'!$F$11:$Q$11, '1 Machine Build'!$F14:$Q14), 0), _xlfn.IFNA(_xlfn.XLOOKUP(Assumptions!O$85, '1 Machine Build'!$F$11:$Q$11, '1 Machine Build'!$F14:$Q14), 0), _xlfn.IFNA(_xlfn.XLOOKUP(Assumptions!O$86, '1 Machine Build'!$F$11:$Q$11, '1 Machine Build'!$F14:$Q14), 0), _xlfn.IFNA(_xlfn.XLOOKUP(Assumptions!O$87, '1 Machine Build'!$F$11:$Q$11, '1 Machine Build'!$F14:$Q14), 0), _xlfn.IFNA(_xlfn.XLOOKUP(Assumptions!O$88, '1 Machine Build'!$F$11:$Q$11, '1 Machine Build'!$F14:$Q14), 0))</f>
        <v>6000</v>
      </c>
      <c r="R32" s="97">
        <f>SUM(_xlfn.IFNA(_xlfn.XLOOKUP(Assumptions!P$81, '1 Machine Build'!$F$11:$Q$11, '1 Machine Build'!$F14:$Q14), 0), _xlfn.IFNA(_xlfn.XLOOKUP(Assumptions!P$82, '1 Machine Build'!$F$11:$Q$11, '1 Machine Build'!$F14:$Q14), 0), _xlfn.IFNA(_xlfn.XLOOKUP(Assumptions!P$83, '1 Machine Build'!$F$11:$Q$11, '1 Machine Build'!$F14:$Q14), 0), _xlfn.IFNA(_xlfn.XLOOKUP(Assumptions!P$84, '1 Machine Build'!$F$11:$Q$11, '1 Machine Build'!$F14:$Q14), 0), _xlfn.IFNA(_xlfn.XLOOKUP(Assumptions!P$85, '1 Machine Build'!$F$11:$Q$11, '1 Machine Build'!$F14:$Q14), 0), _xlfn.IFNA(_xlfn.XLOOKUP(Assumptions!P$86, '1 Machine Build'!$F$11:$Q$11, '1 Machine Build'!$F14:$Q14), 0), _xlfn.IFNA(_xlfn.XLOOKUP(Assumptions!P$87, '1 Machine Build'!$F$11:$Q$11, '1 Machine Build'!$F14:$Q14), 0), _xlfn.IFNA(_xlfn.XLOOKUP(Assumptions!P$88, '1 Machine Build'!$F$11:$Q$11, '1 Machine Build'!$F14:$Q14), 0))</f>
        <v>0</v>
      </c>
      <c r="S32" s="97">
        <f>SUM(_xlfn.IFNA(_xlfn.XLOOKUP(Assumptions!Q$81, '1 Machine Build'!$F$11:$Q$11, '1 Machine Build'!$F14:$Q14), 0), _xlfn.IFNA(_xlfn.XLOOKUP(Assumptions!Q$82, '1 Machine Build'!$F$11:$Q$11, '1 Machine Build'!$F14:$Q14), 0), _xlfn.IFNA(_xlfn.XLOOKUP(Assumptions!Q$83, '1 Machine Build'!$F$11:$Q$11, '1 Machine Build'!$F14:$Q14), 0), _xlfn.IFNA(_xlfn.XLOOKUP(Assumptions!Q$84, '1 Machine Build'!$F$11:$Q$11, '1 Machine Build'!$F14:$Q14), 0), _xlfn.IFNA(_xlfn.XLOOKUP(Assumptions!Q$85, '1 Machine Build'!$F$11:$Q$11, '1 Machine Build'!$F14:$Q14), 0), _xlfn.IFNA(_xlfn.XLOOKUP(Assumptions!Q$86, '1 Machine Build'!$F$11:$Q$11, '1 Machine Build'!$F14:$Q14), 0), _xlfn.IFNA(_xlfn.XLOOKUP(Assumptions!Q$87, '1 Machine Build'!$F$11:$Q$11, '1 Machine Build'!$F14:$Q14), 0), _xlfn.IFNA(_xlfn.XLOOKUP(Assumptions!Q$88, '1 Machine Build'!$F$11:$Q$11, '1 Machine Build'!$F14:$Q14), 0))</f>
        <v>0</v>
      </c>
      <c r="T32" s="97">
        <f>SUM(_xlfn.IFNA(_xlfn.XLOOKUP(Assumptions!R$81, '1 Machine Build'!$F$11:$Q$11, '1 Machine Build'!$F14:$Q14), 0), _xlfn.IFNA(_xlfn.XLOOKUP(Assumptions!R$82, '1 Machine Build'!$F$11:$Q$11, '1 Machine Build'!$F14:$Q14), 0), _xlfn.IFNA(_xlfn.XLOOKUP(Assumptions!R$83, '1 Machine Build'!$F$11:$Q$11, '1 Machine Build'!$F14:$Q14), 0), _xlfn.IFNA(_xlfn.XLOOKUP(Assumptions!R$84, '1 Machine Build'!$F$11:$Q$11, '1 Machine Build'!$F14:$Q14), 0), _xlfn.IFNA(_xlfn.XLOOKUP(Assumptions!R$85, '1 Machine Build'!$F$11:$Q$11, '1 Machine Build'!$F14:$Q14), 0), _xlfn.IFNA(_xlfn.XLOOKUP(Assumptions!R$86, '1 Machine Build'!$F$11:$Q$11, '1 Machine Build'!$F14:$Q14), 0), _xlfn.IFNA(_xlfn.XLOOKUP(Assumptions!R$87, '1 Machine Build'!$F$11:$Q$11, '1 Machine Build'!$F14:$Q14), 0), _xlfn.IFNA(_xlfn.XLOOKUP(Assumptions!R$88, '1 Machine Build'!$F$11:$Q$11, '1 Machine Build'!$F14:$Q14), 0))</f>
        <v>0</v>
      </c>
      <c r="U32" s="97">
        <f>SUM(_xlfn.IFNA(_xlfn.XLOOKUP(Assumptions!S$81, '1 Machine Build'!$F$11:$Q$11, '1 Machine Build'!$F14:$Q14), 0), _xlfn.IFNA(_xlfn.XLOOKUP(Assumptions!S$82, '1 Machine Build'!$F$11:$Q$11, '1 Machine Build'!$F14:$Q14), 0), _xlfn.IFNA(_xlfn.XLOOKUP(Assumptions!S$83, '1 Machine Build'!$F$11:$Q$11, '1 Machine Build'!$F14:$Q14), 0), _xlfn.IFNA(_xlfn.XLOOKUP(Assumptions!S$84, '1 Machine Build'!$F$11:$Q$11, '1 Machine Build'!$F14:$Q14), 0), _xlfn.IFNA(_xlfn.XLOOKUP(Assumptions!S$85, '1 Machine Build'!$F$11:$Q$11, '1 Machine Build'!$F14:$Q14), 0), _xlfn.IFNA(_xlfn.XLOOKUP(Assumptions!S$86, '1 Machine Build'!$F$11:$Q$11, '1 Machine Build'!$F14:$Q14), 0), _xlfn.IFNA(_xlfn.XLOOKUP(Assumptions!S$87, '1 Machine Build'!$F$11:$Q$11, '1 Machine Build'!$F14:$Q14), 0), _xlfn.IFNA(_xlfn.XLOOKUP(Assumptions!S$88, '1 Machine Build'!$F$11:$Q$11, '1 Machine Build'!$F14:$Q14), 0))</f>
        <v>0</v>
      </c>
      <c r="V32" s="97">
        <f>SUM(_xlfn.IFNA(_xlfn.XLOOKUP(Assumptions!T$81, '1 Machine Build'!$F$11:$Q$11, '1 Machine Build'!$F14:$Q14), 0), _xlfn.IFNA(_xlfn.XLOOKUP(Assumptions!T$82, '1 Machine Build'!$F$11:$Q$11, '1 Machine Build'!$F14:$Q14), 0), _xlfn.IFNA(_xlfn.XLOOKUP(Assumptions!T$83, '1 Machine Build'!$F$11:$Q$11, '1 Machine Build'!$F14:$Q14), 0), _xlfn.IFNA(_xlfn.XLOOKUP(Assumptions!T$84, '1 Machine Build'!$F$11:$Q$11, '1 Machine Build'!$F14:$Q14), 0), _xlfn.IFNA(_xlfn.XLOOKUP(Assumptions!T$85, '1 Machine Build'!$F$11:$Q$11, '1 Machine Build'!$F14:$Q14), 0), _xlfn.IFNA(_xlfn.XLOOKUP(Assumptions!T$86, '1 Machine Build'!$F$11:$Q$11, '1 Machine Build'!$F14:$Q14), 0), _xlfn.IFNA(_xlfn.XLOOKUP(Assumptions!T$87, '1 Machine Build'!$F$11:$Q$11, '1 Machine Build'!$F14:$Q14), 0), _xlfn.IFNA(_xlfn.XLOOKUP(Assumptions!T$88, '1 Machine Build'!$F$11:$Q$11, '1 Machine Build'!$F14:$Q14), 0))</f>
        <v>0</v>
      </c>
      <c r="W32" s="97">
        <f>SUM(_xlfn.IFNA(_xlfn.XLOOKUP(Assumptions!U$81, '1 Machine Build'!$F$11:$Q$11, '1 Machine Build'!$F14:$Q14), 0), _xlfn.IFNA(_xlfn.XLOOKUP(Assumptions!U$82, '1 Machine Build'!$F$11:$Q$11, '1 Machine Build'!$F14:$Q14), 0), _xlfn.IFNA(_xlfn.XLOOKUP(Assumptions!U$83, '1 Machine Build'!$F$11:$Q$11, '1 Machine Build'!$F14:$Q14), 0), _xlfn.IFNA(_xlfn.XLOOKUP(Assumptions!U$84, '1 Machine Build'!$F$11:$Q$11, '1 Machine Build'!$F14:$Q14), 0), _xlfn.IFNA(_xlfn.XLOOKUP(Assumptions!U$85, '1 Machine Build'!$F$11:$Q$11, '1 Machine Build'!$F14:$Q14), 0), _xlfn.IFNA(_xlfn.XLOOKUP(Assumptions!U$86, '1 Machine Build'!$F$11:$Q$11, '1 Machine Build'!$F14:$Q14), 0), _xlfn.IFNA(_xlfn.XLOOKUP(Assumptions!U$87, '1 Machine Build'!$F$11:$Q$11, '1 Machine Build'!$F14:$Q14), 0), _xlfn.IFNA(_xlfn.XLOOKUP(Assumptions!U$88, '1 Machine Build'!$F$11:$Q$11, '1 Machine Build'!$F14:$Q14), 0))</f>
        <v>0</v>
      </c>
      <c r="X32" s="97">
        <f>SUM(_xlfn.IFNA(_xlfn.XLOOKUP(Assumptions!V$81, '1 Machine Build'!$F$11:$Q$11, '1 Machine Build'!$F14:$Q14), 0), _xlfn.IFNA(_xlfn.XLOOKUP(Assumptions!V$82, '1 Machine Build'!$F$11:$Q$11, '1 Machine Build'!$F14:$Q14), 0), _xlfn.IFNA(_xlfn.XLOOKUP(Assumptions!V$83, '1 Machine Build'!$F$11:$Q$11, '1 Machine Build'!$F14:$Q14), 0), _xlfn.IFNA(_xlfn.XLOOKUP(Assumptions!V$84, '1 Machine Build'!$F$11:$Q$11, '1 Machine Build'!$F14:$Q14), 0), _xlfn.IFNA(_xlfn.XLOOKUP(Assumptions!V$85, '1 Machine Build'!$F$11:$Q$11, '1 Machine Build'!$F14:$Q14), 0), _xlfn.IFNA(_xlfn.XLOOKUP(Assumptions!V$86, '1 Machine Build'!$F$11:$Q$11, '1 Machine Build'!$F14:$Q14), 0), _xlfn.IFNA(_xlfn.XLOOKUP(Assumptions!V$87, '1 Machine Build'!$F$11:$Q$11, '1 Machine Build'!$F14:$Q14), 0), _xlfn.IFNA(_xlfn.XLOOKUP(Assumptions!V$88, '1 Machine Build'!$F$11:$Q$11, '1 Machine Build'!$F14:$Q14), 0))</f>
        <v>0</v>
      </c>
      <c r="Y32" s="97">
        <f>SUM(_xlfn.IFNA(_xlfn.XLOOKUP(Assumptions!W$81, '1 Machine Build'!$F$11:$Q$11, '1 Machine Build'!$F14:$Q14), 0), _xlfn.IFNA(_xlfn.XLOOKUP(Assumptions!W$82, '1 Machine Build'!$F$11:$Q$11, '1 Machine Build'!$F14:$Q14), 0), _xlfn.IFNA(_xlfn.XLOOKUP(Assumptions!W$83, '1 Machine Build'!$F$11:$Q$11, '1 Machine Build'!$F14:$Q14), 0), _xlfn.IFNA(_xlfn.XLOOKUP(Assumptions!W$84, '1 Machine Build'!$F$11:$Q$11, '1 Machine Build'!$F14:$Q14), 0), _xlfn.IFNA(_xlfn.XLOOKUP(Assumptions!W$85, '1 Machine Build'!$F$11:$Q$11, '1 Machine Build'!$F14:$Q14), 0), _xlfn.IFNA(_xlfn.XLOOKUP(Assumptions!W$86, '1 Machine Build'!$F$11:$Q$11, '1 Machine Build'!$F14:$Q14), 0), _xlfn.IFNA(_xlfn.XLOOKUP(Assumptions!W$87, '1 Machine Build'!$F$11:$Q$11, '1 Machine Build'!$F14:$Q14), 0), _xlfn.IFNA(_xlfn.XLOOKUP(Assumptions!W$88, '1 Machine Build'!$F$11:$Q$11, '1 Machine Build'!$F14:$Q14), 0))</f>
        <v>0</v>
      </c>
      <c r="Z32" s="97">
        <f>SUM(_xlfn.IFNA(_xlfn.XLOOKUP(Assumptions!X$81, '1 Machine Build'!$F$11:$Q$11, '1 Machine Build'!$F14:$Q14), 0), _xlfn.IFNA(_xlfn.XLOOKUP(Assumptions!X$82, '1 Machine Build'!$F$11:$Q$11, '1 Machine Build'!$F14:$Q14), 0), _xlfn.IFNA(_xlfn.XLOOKUP(Assumptions!X$83, '1 Machine Build'!$F$11:$Q$11, '1 Machine Build'!$F14:$Q14), 0), _xlfn.IFNA(_xlfn.XLOOKUP(Assumptions!X$84, '1 Machine Build'!$F$11:$Q$11, '1 Machine Build'!$F14:$Q14), 0), _xlfn.IFNA(_xlfn.XLOOKUP(Assumptions!X$85, '1 Machine Build'!$F$11:$Q$11, '1 Machine Build'!$F14:$Q14), 0), _xlfn.IFNA(_xlfn.XLOOKUP(Assumptions!X$86, '1 Machine Build'!$F$11:$Q$11, '1 Machine Build'!$F14:$Q14), 0), _xlfn.IFNA(_xlfn.XLOOKUP(Assumptions!X$87, '1 Machine Build'!$F$11:$Q$11, '1 Machine Build'!$F14:$Q14), 0), _xlfn.IFNA(_xlfn.XLOOKUP(Assumptions!X$88, '1 Machine Build'!$F$11:$Q$11, '1 Machine Build'!$F14:$Q14), 0))</f>
        <v>0</v>
      </c>
      <c r="AA32" s="97">
        <f>SUM(_xlfn.IFNA(_xlfn.XLOOKUP(Assumptions!Y$81, '1 Machine Build'!$F$11:$Q$11, '1 Machine Build'!$F14:$Q14), 0), _xlfn.IFNA(_xlfn.XLOOKUP(Assumptions!Y$82, '1 Machine Build'!$F$11:$Q$11, '1 Machine Build'!$F14:$Q14), 0), _xlfn.IFNA(_xlfn.XLOOKUP(Assumptions!Y$83, '1 Machine Build'!$F$11:$Q$11, '1 Machine Build'!$F14:$Q14), 0), _xlfn.IFNA(_xlfn.XLOOKUP(Assumptions!Y$84, '1 Machine Build'!$F$11:$Q$11, '1 Machine Build'!$F14:$Q14), 0), _xlfn.IFNA(_xlfn.XLOOKUP(Assumptions!Y$85, '1 Machine Build'!$F$11:$Q$11, '1 Machine Build'!$F14:$Q14), 0), _xlfn.IFNA(_xlfn.XLOOKUP(Assumptions!Y$86, '1 Machine Build'!$F$11:$Q$11, '1 Machine Build'!$F14:$Q14), 0), _xlfn.IFNA(_xlfn.XLOOKUP(Assumptions!Y$87, '1 Machine Build'!$F$11:$Q$11, '1 Machine Build'!$F14:$Q14), 0), _xlfn.IFNA(_xlfn.XLOOKUP(Assumptions!Y$88, '1 Machine Build'!$F$11:$Q$11, '1 Machine Build'!$F14:$Q14), 0))</f>
        <v>0</v>
      </c>
      <c r="AB32" s="97">
        <f>SUM(_xlfn.IFNA(_xlfn.XLOOKUP(Assumptions!Z$81, '1 Machine Build'!$F$11:$Q$11, '1 Machine Build'!$F14:$Q14), 0), _xlfn.IFNA(_xlfn.XLOOKUP(Assumptions!Z$82, '1 Machine Build'!$F$11:$Q$11, '1 Machine Build'!$F14:$Q14), 0), _xlfn.IFNA(_xlfn.XLOOKUP(Assumptions!Z$83, '1 Machine Build'!$F$11:$Q$11, '1 Machine Build'!$F14:$Q14), 0), _xlfn.IFNA(_xlfn.XLOOKUP(Assumptions!Z$84, '1 Machine Build'!$F$11:$Q$11, '1 Machine Build'!$F14:$Q14), 0), _xlfn.IFNA(_xlfn.XLOOKUP(Assumptions!Z$85, '1 Machine Build'!$F$11:$Q$11, '1 Machine Build'!$F14:$Q14), 0), _xlfn.IFNA(_xlfn.XLOOKUP(Assumptions!Z$86, '1 Machine Build'!$F$11:$Q$11, '1 Machine Build'!$F14:$Q14), 0), _xlfn.IFNA(_xlfn.XLOOKUP(Assumptions!Z$87, '1 Machine Build'!$F$11:$Q$11, '1 Machine Build'!$F14:$Q14), 0), _xlfn.IFNA(_xlfn.XLOOKUP(Assumptions!Z$88, '1 Machine Build'!$F$11:$Q$11, '1 Machine Build'!$F14:$Q14), 0))</f>
        <v>0</v>
      </c>
      <c r="AC32" s="97">
        <f>SUM(_xlfn.IFNA(_xlfn.XLOOKUP(Assumptions!AA$81, '1 Machine Build'!$F$11:$Q$11, '1 Machine Build'!$F14:$Q14), 0), _xlfn.IFNA(_xlfn.XLOOKUP(Assumptions!AA$82, '1 Machine Build'!$F$11:$Q$11, '1 Machine Build'!$F14:$Q14), 0), _xlfn.IFNA(_xlfn.XLOOKUP(Assumptions!AA$83, '1 Machine Build'!$F$11:$Q$11, '1 Machine Build'!$F14:$Q14), 0), _xlfn.IFNA(_xlfn.XLOOKUP(Assumptions!AA$84, '1 Machine Build'!$F$11:$Q$11, '1 Machine Build'!$F14:$Q14), 0), _xlfn.IFNA(_xlfn.XLOOKUP(Assumptions!AA$85, '1 Machine Build'!$F$11:$Q$11, '1 Machine Build'!$F14:$Q14), 0), _xlfn.IFNA(_xlfn.XLOOKUP(Assumptions!AA$86, '1 Machine Build'!$F$11:$Q$11, '1 Machine Build'!$F14:$Q14), 0), _xlfn.IFNA(_xlfn.XLOOKUP(Assumptions!AA$87, '1 Machine Build'!$F$11:$Q$11, '1 Machine Build'!$F14:$Q14), 0), _xlfn.IFNA(_xlfn.XLOOKUP(Assumptions!AA$88, '1 Machine Build'!$F$11:$Q$11, '1 Machine Build'!$F14:$Q14), 0))</f>
        <v>0</v>
      </c>
      <c r="AD32" s="97">
        <f>SUM(_xlfn.IFNA(_xlfn.XLOOKUP(Assumptions!AB$81, '1 Machine Build'!$F$11:$Q$11, '1 Machine Build'!$F14:$Q14), 0), _xlfn.IFNA(_xlfn.XLOOKUP(Assumptions!AB$82, '1 Machine Build'!$F$11:$Q$11, '1 Machine Build'!$F14:$Q14), 0), _xlfn.IFNA(_xlfn.XLOOKUP(Assumptions!AB$83, '1 Machine Build'!$F$11:$Q$11, '1 Machine Build'!$F14:$Q14), 0), _xlfn.IFNA(_xlfn.XLOOKUP(Assumptions!AB$84, '1 Machine Build'!$F$11:$Q$11, '1 Machine Build'!$F14:$Q14), 0), _xlfn.IFNA(_xlfn.XLOOKUP(Assumptions!AB$85, '1 Machine Build'!$F$11:$Q$11, '1 Machine Build'!$F14:$Q14), 0), _xlfn.IFNA(_xlfn.XLOOKUP(Assumptions!AB$86, '1 Machine Build'!$F$11:$Q$11, '1 Machine Build'!$F14:$Q14), 0), _xlfn.IFNA(_xlfn.XLOOKUP(Assumptions!AB$87, '1 Machine Build'!$F$11:$Q$11, '1 Machine Build'!$F14:$Q14), 0), _xlfn.IFNA(_xlfn.XLOOKUP(Assumptions!AB$88, '1 Machine Build'!$F$11:$Q$11, '1 Machine Build'!$F14:$Q14), 0))</f>
        <v>0</v>
      </c>
      <c r="AE32" s="97">
        <f>SUM(_xlfn.IFNA(_xlfn.XLOOKUP(Assumptions!AC$81, '1 Machine Build'!$F$11:$Q$11, '1 Machine Build'!$F14:$Q14), 0), _xlfn.IFNA(_xlfn.XLOOKUP(Assumptions!AC$82, '1 Machine Build'!$F$11:$Q$11, '1 Machine Build'!$F14:$Q14), 0), _xlfn.IFNA(_xlfn.XLOOKUP(Assumptions!AC$83, '1 Machine Build'!$F$11:$Q$11, '1 Machine Build'!$F14:$Q14), 0), _xlfn.IFNA(_xlfn.XLOOKUP(Assumptions!AC$84, '1 Machine Build'!$F$11:$Q$11, '1 Machine Build'!$F14:$Q14), 0), _xlfn.IFNA(_xlfn.XLOOKUP(Assumptions!AC$85, '1 Machine Build'!$F$11:$Q$11, '1 Machine Build'!$F14:$Q14), 0), _xlfn.IFNA(_xlfn.XLOOKUP(Assumptions!AC$86, '1 Machine Build'!$F$11:$Q$11, '1 Machine Build'!$F14:$Q14), 0), _xlfn.IFNA(_xlfn.XLOOKUP(Assumptions!AC$87, '1 Machine Build'!$F$11:$Q$11, '1 Machine Build'!$F14:$Q14), 0), _xlfn.IFNA(_xlfn.XLOOKUP(Assumptions!AC$88, '1 Machine Build'!$F$11:$Q$11, '1 Machine Build'!$F14:$Q14), 0))</f>
        <v>0</v>
      </c>
      <c r="AF32" s="97">
        <f>SUM(_xlfn.IFNA(_xlfn.XLOOKUP(Assumptions!AD$81, '1 Machine Build'!$F$11:$Q$11, '1 Machine Build'!$F14:$Q14), 0), _xlfn.IFNA(_xlfn.XLOOKUP(Assumptions!AD$82, '1 Machine Build'!$F$11:$Q$11, '1 Machine Build'!$F14:$Q14), 0), _xlfn.IFNA(_xlfn.XLOOKUP(Assumptions!AD$83, '1 Machine Build'!$F$11:$Q$11, '1 Machine Build'!$F14:$Q14), 0), _xlfn.IFNA(_xlfn.XLOOKUP(Assumptions!AD$84, '1 Machine Build'!$F$11:$Q$11, '1 Machine Build'!$F14:$Q14), 0), _xlfn.IFNA(_xlfn.XLOOKUP(Assumptions!AD$85, '1 Machine Build'!$F$11:$Q$11, '1 Machine Build'!$F14:$Q14), 0), _xlfn.IFNA(_xlfn.XLOOKUP(Assumptions!AD$86, '1 Machine Build'!$F$11:$Q$11, '1 Machine Build'!$F14:$Q14), 0), _xlfn.IFNA(_xlfn.XLOOKUP(Assumptions!AD$87, '1 Machine Build'!$F$11:$Q$11, '1 Machine Build'!$F14:$Q14), 0), _xlfn.IFNA(_xlfn.XLOOKUP(Assumptions!AD$88, '1 Machine Build'!$F$11:$Q$11, '1 Machine Build'!$F14:$Q14), 0))</f>
        <v>0</v>
      </c>
      <c r="AG32" s="97">
        <f>SUM(_xlfn.IFNA(_xlfn.XLOOKUP(Assumptions!AE$81, '1 Machine Build'!$F$11:$Q$11, '1 Machine Build'!$F14:$Q14), 0), _xlfn.IFNA(_xlfn.XLOOKUP(Assumptions!AE$82, '1 Machine Build'!$F$11:$Q$11, '1 Machine Build'!$F14:$Q14), 0), _xlfn.IFNA(_xlfn.XLOOKUP(Assumptions!AE$83, '1 Machine Build'!$F$11:$Q$11, '1 Machine Build'!$F14:$Q14), 0), _xlfn.IFNA(_xlfn.XLOOKUP(Assumptions!AE$84, '1 Machine Build'!$F$11:$Q$11, '1 Machine Build'!$F14:$Q14), 0), _xlfn.IFNA(_xlfn.XLOOKUP(Assumptions!AE$85, '1 Machine Build'!$F$11:$Q$11, '1 Machine Build'!$F14:$Q14), 0), _xlfn.IFNA(_xlfn.XLOOKUP(Assumptions!AE$86, '1 Machine Build'!$F$11:$Q$11, '1 Machine Build'!$F14:$Q14), 0), _xlfn.IFNA(_xlfn.XLOOKUP(Assumptions!AE$87, '1 Machine Build'!$F$11:$Q$11, '1 Machine Build'!$F14:$Q14), 0), _xlfn.IFNA(_xlfn.XLOOKUP(Assumptions!AE$88, '1 Machine Build'!$F$11:$Q$11, '1 Machine Build'!$F14:$Q14), 0))</f>
        <v>0</v>
      </c>
      <c r="AH32" s="97">
        <f>SUM(_xlfn.IFNA(_xlfn.XLOOKUP(Assumptions!AF$81, '1 Machine Build'!$F$11:$Q$11, '1 Machine Build'!$F14:$Q14), 0), _xlfn.IFNA(_xlfn.XLOOKUP(Assumptions!AF$82, '1 Machine Build'!$F$11:$Q$11, '1 Machine Build'!$F14:$Q14), 0), _xlfn.IFNA(_xlfn.XLOOKUP(Assumptions!AF$83, '1 Machine Build'!$F$11:$Q$11, '1 Machine Build'!$F14:$Q14), 0), _xlfn.IFNA(_xlfn.XLOOKUP(Assumptions!AF$84, '1 Machine Build'!$F$11:$Q$11, '1 Machine Build'!$F14:$Q14), 0), _xlfn.IFNA(_xlfn.XLOOKUP(Assumptions!AF$85, '1 Machine Build'!$F$11:$Q$11, '1 Machine Build'!$F14:$Q14), 0), _xlfn.IFNA(_xlfn.XLOOKUP(Assumptions!AF$86, '1 Machine Build'!$F$11:$Q$11, '1 Machine Build'!$F14:$Q14), 0), _xlfn.IFNA(_xlfn.XLOOKUP(Assumptions!AF$87, '1 Machine Build'!$F$11:$Q$11, '1 Machine Build'!$F14:$Q14), 0), _xlfn.IFNA(_xlfn.XLOOKUP(Assumptions!AF$88, '1 Machine Build'!$F$11:$Q$11, '1 Machine Build'!$F14:$Q14), 0))</f>
        <v>0</v>
      </c>
      <c r="AI32" s="97">
        <f>SUM(_xlfn.IFNA(_xlfn.XLOOKUP(Assumptions!AG$81, '1 Machine Build'!$F$11:$Q$11, '1 Machine Build'!$F14:$Q14), 0), _xlfn.IFNA(_xlfn.XLOOKUP(Assumptions!AG$82, '1 Machine Build'!$F$11:$Q$11, '1 Machine Build'!$F14:$Q14), 0), _xlfn.IFNA(_xlfn.XLOOKUP(Assumptions!AG$83, '1 Machine Build'!$F$11:$Q$11, '1 Machine Build'!$F14:$Q14), 0), _xlfn.IFNA(_xlfn.XLOOKUP(Assumptions!AG$84, '1 Machine Build'!$F$11:$Q$11, '1 Machine Build'!$F14:$Q14), 0), _xlfn.IFNA(_xlfn.XLOOKUP(Assumptions!AG$85, '1 Machine Build'!$F$11:$Q$11, '1 Machine Build'!$F14:$Q14), 0), _xlfn.IFNA(_xlfn.XLOOKUP(Assumptions!AG$86, '1 Machine Build'!$F$11:$Q$11, '1 Machine Build'!$F14:$Q14), 0), _xlfn.IFNA(_xlfn.XLOOKUP(Assumptions!AG$87, '1 Machine Build'!$F$11:$Q$11, '1 Machine Build'!$F14:$Q14), 0), _xlfn.IFNA(_xlfn.XLOOKUP(Assumptions!AG$88, '1 Machine Build'!$F$11:$Q$11, '1 Machine Build'!$F14:$Q14), 0))</f>
        <v>0</v>
      </c>
      <c r="AJ32" s="97">
        <f>SUM(_xlfn.IFNA(_xlfn.XLOOKUP(Assumptions!AH$81, '1 Machine Build'!$F$11:$Q$11, '1 Machine Build'!$F14:$Q14), 0), _xlfn.IFNA(_xlfn.XLOOKUP(Assumptions!AH$82, '1 Machine Build'!$F$11:$Q$11, '1 Machine Build'!$F14:$Q14), 0), _xlfn.IFNA(_xlfn.XLOOKUP(Assumptions!AH$83, '1 Machine Build'!$F$11:$Q$11, '1 Machine Build'!$F14:$Q14), 0), _xlfn.IFNA(_xlfn.XLOOKUP(Assumptions!AH$84, '1 Machine Build'!$F$11:$Q$11, '1 Machine Build'!$F14:$Q14), 0), _xlfn.IFNA(_xlfn.XLOOKUP(Assumptions!AH$85, '1 Machine Build'!$F$11:$Q$11, '1 Machine Build'!$F14:$Q14), 0), _xlfn.IFNA(_xlfn.XLOOKUP(Assumptions!AH$86, '1 Machine Build'!$F$11:$Q$11, '1 Machine Build'!$F14:$Q14), 0), _xlfn.IFNA(_xlfn.XLOOKUP(Assumptions!AH$87, '1 Machine Build'!$F$11:$Q$11, '1 Machine Build'!$F14:$Q14), 0), _xlfn.IFNA(_xlfn.XLOOKUP(Assumptions!AH$88, '1 Machine Build'!$F$11:$Q$11, '1 Machine Build'!$F14:$Q14), 0))</f>
        <v>0</v>
      </c>
      <c r="AK32" s="97">
        <f>SUM(_xlfn.IFNA(_xlfn.XLOOKUP(Assumptions!AI$81, '1 Machine Build'!$F$11:$Q$11, '1 Machine Build'!$F14:$Q14), 0), _xlfn.IFNA(_xlfn.XLOOKUP(Assumptions!AI$82, '1 Machine Build'!$F$11:$Q$11, '1 Machine Build'!$F14:$Q14), 0), _xlfn.IFNA(_xlfn.XLOOKUP(Assumptions!AI$83, '1 Machine Build'!$F$11:$Q$11, '1 Machine Build'!$F14:$Q14), 0), _xlfn.IFNA(_xlfn.XLOOKUP(Assumptions!AI$84, '1 Machine Build'!$F$11:$Q$11, '1 Machine Build'!$F14:$Q14), 0), _xlfn.IFNA(_xlfn.XLOOKUP(Assumptions!AI$85, '1 Machine Build'!$F$11:$Q$11, '1 Machine Build'!$F14:$Q14), 0), _xlfn.IFNA(_xlfn.XLOOKUP(Assumptions!AI$86, '1 Machine Build'!$F$11:$Q$11, '1 Machine Build'!$F14:$Q14), 0), _xlfn.IFNA(_xlfn.XLOOKUP(Assumptions!AI$87, '1 Machine Build'!$F$11:$Q$11, '1 Machine Build'!$F14:$Q14), 0), _xlfn.IFNA(_xlfn.XLOOKUP(Assumptions!AI$88, '1 Machine Build'!$F$11:$Q$11, '1 Machine Build'!$F14:$Q14), 0))</f>
        <v>0</v>
      </c>
      <c r="AL32" s="97">
        <f>SUM(_xlfn.IFNA(_xlfn.XLOOKUP(Assumptions!AJ$81, '1 Machine Build'!$F$11:$Q$11, '1 Machine Build'!$F14:$Q14), 0), _xlfn.IFNA(_xlfn.XLOOKUP(Assumptions!AJ$82, '1 Machine Build'!$F$11:$Q$11, '1 Machine Build'!$F14:$Q14), 0), _xlfn.IFNA(_xlfn.XLOOKUP(Assumptions!AJ$83, '1 Machine Build'!$F$11:$Q$11, '1 Machine Build'!$F14:$Q14), 0), _xlfn.IFNA(_xlfn.XLOOKUP(Assumptions!AJ$84, '1 Machine Build'!$F$11:$Q$11, '1 Machine Build'!$F14:$Q14), 0), _xlfn.IFNA(_xlfn.XLOOKUP(Assumptions!AJ$85, '1 Machine Build'!$F$11:$Q$11, '1 Machine Build'!$F14:$Q14), 0), _xlfn.IFNA(_xlfn.XLOOKUP(Assumptions!AJ$86, '1 Machine Build'!$F$11:$Q$11, '1 Machine Build'!$F14:$Q14), 0), _xlfn.IFNA(_xlfn.XLOOKUP(Assumptions!AJ$87, '1 Machine Build'!$F$11:$Q$11, '1 Machine Build'!$F14:$Q14), 0), _xlfn.IFNA(_xlfn.XLOOKUP(Assumptions!AJ$88, '1 Machine Build'!$F$11:$Q$11, '1 Machine Build'!$F14:$Q14), 0))</f>
        <v>0</v>
      </c>
      <c r="AM32" s="97">
        <f>SUM(_xlfn.IFNA(_xlfn.XLOOKUP(Assumptions!AK$81, '1 Machine Build'!$F$11:$Q$11, '1 Machine Build'!$F14:$Q14), 0), _xlfn.IFNA(_xlfn.XLOOKUP(Assumptions!AK$82, '1 Machine Build'!$F$11:$Q$11, '1 Machine Build'!$F14:$Q14), 0), _xlfn.IFNA(_xlfn.XLOOKUP(Assumptions!AK$83, '1 Machine Build'!$F$11:$Q$11, '1 Machine Build'!$F14:$Q14), 0), _xlfn.IFNA(_xlfn.XLOOKUP(Assumptions!AK$84, '1 Machine Build'!$F$11:$Q$11, '1 Machine Build'!$F14:$Q14), 0), _xlfn.IFNA(_xlfn.XLOOKUP(Assumptions!AK$85, '1 Machine Build'!$F$11:$Q$11, '1 Machine Build'!$F14:$Q14), 0), _xlfn.IFNA(_xlfn.XLOOKUP(Assumptions!AK$86, '1 Machine Build'!$F$11:$Q$11, '1 Machine Build'!$F14:$Q14), 0), _xlfn.IFNA(_xlfn.XLOOKUP(Assumptions!AK$87, '1 Machine Build'!$F$11:$Q$11, '1 Machine Build'!$F14:$Q14), 0), _xlfn.IFNA(_xlfn.XLOOKUP(Assumptions!AK$88, '1 Machine Build'!$F$11:$Q$11, '1 Machine Build'!$F14:$Q14), 0))</f>
        <v>0</v>
      </c>
      <c r="AN32" s="97">
        <f>SUM(_xlfn.IFNA(_xlfn.XLOOKUP(Assumptions!AL$81, '1 Machine Build'!$F$11:$Q$11, '1 Machine Build'!$F14:$Q14), 0), _xlfn.IFNA(_xlfn.XLOOKUP(Assumptions!AL$82, '1 Machine Build'!$F$11:$Q$11, '1 Machine Build'!$F14:$Q14), 0), _xlfn.IFNA(_xlfn.XLOOKUP(Assumptions!AL$83, '1 Machine Build'!$F$11:$Q$11, '1 Machine Build'!$F14:$Q14), 0), _xlfn.IFNA(_xlfn.XLOOKUP(Assumptions!AL$84, '1 Machine Build'!$F$11:$Q$11, '1 Machine Build'!$F14:$Q14), 0), _xlfn.IFNA(_xlfn.XLOOKUP(Assumptions!AL$85, '1 Machine Build'!$F$11:$Q$11, '1 Machine Build'!$F14:$Q14), 0), _xlfn.IFNA(_xlfn.XLOOKUP(Assumptions!AL$86, '1 Machine Build'!$F$11:$Q$11, '1 Machine Build'!$F14:$Q14), 0), _xlfn.IFNA(_xlfn.XLOOKUP(Assumptions!AL$87, '1 Machine Build'!$F$11:$Q$11, '1 Machine Build'!$F14:$Q14), 0), _xlfn.IFNA(_xlfn.XLOOKUP(Assumptions!AL$88, '1 Machine Build'!$F$11:$Q$11, '1 Machine Build'!$F14:$Q14), 0))</f>
        <v>0</v>
      </c>
      <c r="AO32" s="97">
        <f>SUM(_xlfn.IFNA(_xlfn.XLOOKUP(Assumptions!AM$81, '1 Machine Build'!$F$11:$Q$11, '1 Machine Build'!$F14:$Q14), 0), _xlfn.IFNA(_xlfn.XLOOKUP(Assumptions!AM$82, '1 Machine Build'!$F$11:$Q$11, '1 Machine Build'!$F14:$Q14), 0), _xlfn.IFNA(_xlfn.XLOOKUP(Assumptions!AM$83, '1 Machine Build'!$F$11:$Q$11, '1 Machine Build'!$F14:$Q14), 0), _xlfn.IFNA(_xlfn.XLOOKUP(Assumptions!AM$84, '1 Machine Build'!$F$11:$Q$11, '1 Machine Build'!$F14:$Q14), 0), _xlfn.IFNA(_xlfn.XLOOKUP(Assumptions!AM$85, '1 Machine Build'!$F$11:$Q$11, '1 Machine Build'!$F14:$Q14), 0), _xlfn.IFNA(_xlfn.XLOOKUP(Assumptions!AM$86, '1 Machine Build'!$F$11:$Q$11, '1 Machine Build'!$F14:$Q14), 0), _xlfn.IFNA(_xlfn.XLOOKUP(Assumptions!AM$87, '1 Machine Build'!$F$11:$Q$11, '1 Machine Build'!$F14:$Q14), 0), _xlfn.IFNA(_xlfn.XLOOKUP(Assumptions!AM$88, '1 Machine Build'!$F$11:$Q$11, '1 Machine Build'!$F14:$Q14), 0))</f>
        <v>0</v>
      </c>
      <c r="AP32" s="97">
        <f>SUM(_xlfn.IFNA(_xlfn.XLOOKUP(Assumptions!AN$81, '1 Machine Build'!$F$11:$Q$11, '1 Machine Build'!$F14:$Q14), 0), _xlfn.IFNA(_xlfn.XLOOKUP(Assumptions!AN$82, '1 Machine Build'!$F$11:$Q$11, '1 Machine Build'!$F14:$Q14), 0), _xlfn.IFNA(_xlfn.XLOOKUP(Assumptions!AN$83, '1 Machine Build'!$F$11:$Q$11, '1 Machine Build'!$F14:$Q14), 0), _xlfn.IFNA(_xlfn.XLOOKUP(Assumptions!AN$84, '1 Machine Build'!$F$11:$Q$11, '1 Machine Build'!$F14:$Q14), 0), _xlfn.IFNA(_xlfn.XLOOKUP(Assumptions!AN$85, '1 Machine Build'!$F$11:$Q$11, '1 Machine Build'!$F14:$Q14), 0), _xlfn.IFNA(_xlfn.XLOOKUP(Assumptions!AN$86, '1 Machine Build'!$F$11:$Q$11, '1 Machine Build'!$F14:$Q14), 0), _xlfn.IFNA(_xlfn.XLOOKUP(Assumptions!AN$87, '1 Machine Build'!$F$11:$Q$11, '1 Machine Build'!$F14:$Q14), 0), _xlfn.IFNA(_xlfn.XLOOKUP(Assumptions!AN$88, '1 Machine Build'!$F$11:$Q$11, '1 Machine Build'!$F14:$Q14), 0))</f>
        <v>0</v>
      </c>
      <c r="AQ32" s="97">
        <f>SUM(_xlfn.IFNA(_xlfn.XLOOKUP(Assumptions!AO$81, '1 Machine Build'!$F$11:$Q$11, '1 Machine Build'!$F14:$Q14), 0), _xlfn.IFNA(_xlfn.XLOOKUP(Assumptions!AO$82, '1 Machine Build'!$F$11:$Q$11, '1 Machine Build'!$F14:$Q14), 0), _xlfn.IFNA(_xlfn.XLOOKUP(Assumptions!AO$83, '1 Machine Build'!$F$11:$Q$11, '1 Machine Build'!$F14:$Q14), 0), _xlfn.IFNA(_xlfn.XLOOKUP(Assumptions!AO$84, '1 Machine Build'!$F$11:$Q$11, '1 Machine Build'!$F14:$Q14), 0), _xlfn.IFNA(_xlfn.XLOOKUP(Assumptions!AO$85, '1 Machine Build'!$F$11:$Q$11, '1 Machine Build'!$F14:$Q14), 0), _xlfn.IFNA(_xlfn.XLOOKUP(Assumptions!AO$86, '1 Machine Build'!$F$11:$Q$11, '1 Machine Build'!$F14:$Q14), 0), _xlfn.IFNA(_xlfn.XLOOKUP(Assumptions!AO$87, '1 Machine Build'!$F$11:$Q$11, '1 Machine Build'!$F14:$Q14), 0), _xlfn.IFNA(_xlfn.XLOOKUP(Assumptions!AO$88, '1 Machine Build'!$F$11:$Q$11, '1 Machine Build'!$F14:$Q14), 0))</f>
        <v>0</v>
      </c>
      <c r="AR32" s="97">
        <f>SUM(_xlfn.IFNA(_xlfn.XLOOKUP(Assumptions!AP$81, '1 Machine Build'!$F$11:$Q$11, '1 Machine Build'!$F14:$Q14), 0), _xlfn.IFNA(_xlfn.XLOOKUP(Assumptions!AP$82, '1 Machine Build'!$F$11:$Q$11, '1 Machine Build'!$F14:$Q14), 0), _xlfn.IFNA(_xlfn.XLOOKUP(Assumptions!AP$83, '1 Machine Build'!$F$11:$Q$11, '1 Machine Build'!$F14:$Q14), 0), _xlfn.IFNA(_xlfn.XLOOKUP(Assumptions!AP$84, '1 Machine Build'!$F$11:$Q$11, '1 Machine Build'!$F14:$Q14), 0), _xlfn.IFNA(_xlfn.XLOOKUP(Assumptions!AP$85, '1 Machine Build'!$F$11:$Q$11, '1 Machine Build'!$F14:$Q14), 0), _xlfn.IFNA(_xlfn.XLOOKUP(Assumptions!AP$86, '1 Machine Build'!$F$11:$Q$11, '1 Machine Build'!$F14:$Q14), 0), _xlfn.IFNA(_xlfn.XLOOKUP(Assumptions!AP$87, '1 Machine Build'!$F$11:$Q$11, '1 Machine Build'!$F14:$Q14), 0), _xlfn.IFNA(_xlfn.XLOOKUP(Assumptions!AP$88, '1 Machine Build'!$F$11:$Q$11, '1 Machine Build'!$F14:$Q14), 0))</f>
        <v>0</v>
      </c>
      <c r="AS32" s="97">
        <f>SUM(_xlfn.IFNA(_xlfn.XLOOKUP(Assumptions!AQ$81, '1 Machine Build'!$F$11:$Q$11, '1 Machine Build'!$F14:$Q14), 0), _xlfn.IFNA(_xlfn.XLOOKUP(Assumptions!AQ$82, '1 Machine Build'!$F$11:$Q$11, '1 Machine Build'!$F14:$Q14), 0), _xlfn.IFNA(_xlfn.XLOOKUP(Assumptions!AQ$83, '1 Machine Build'!$F$11:$Q$11, '1 Machine Build'!$F14:$Q14), 0), _xlfn.IFNA(_xlfn.XLOOKUP(Assumptions!AQ$84, '1 Machine Build'!$F$11:$Q$11, '1 Machine Build'!$F14:$Q14), 0), _xlfn.IFNA(_xlfn.XLOOKUP(Assumptions!AQ$85, '1 Machine Build'!$F$11:$Q$11, '1 Machine Build'!$F14:$Q14), 0), _xlfn.IFNA(_xlfn.XLOOKUP(Assumptions!AQ$86, '1 Machine Build'!$F$11:$Q$11, '1 Machine Build'!$F14:$Q14), 0), _xlfn.IFNA(_xlfn.XLOOKUP(Assumptions!AQ$87, '1 Machine Build'!$F$11:$Q$11, '1 Machine Build'!$F14:$Q14), 0), _xlfn.IFNA(_xlfn.XLOOKUP(Assumptions!AQ$88, '1 Machine Build'!$F$11:$Q$11, '1 Machine Build'!$F14:$Q14), 0))</f>
        <v>0</v>
      </c>
      <c r="AT32" s="97">
        <f>SUM(_xlfn.IFNA(_xlfn.XLOOKUP(Assumptions!AR$81, '1 Machine Build'!$F$11:$Q$11, '1 Machine Build'!$F14:$Q14), 0), _xlfn.IFNA(_xlfn.XLOOKUP(Assumptions!AR$82, '1 Machine Build'!$F$11:$Q$11, '1 Machine Build'!$F14:$Q14), 0), _xlfn.IFNA(_xlfn.XLOOKUP(Assumptions!AR$83, '1 Machine Build'!$F$11:$Q$11, '1 Machine Build'!$F14:$Q14), 0), _xlfn.IFNA(_xlfn.XLOOKUP(Assumptions!AR$84, '1 Machine Build'!$F$11:$Q$11, '1 Machine Build'!$F14:$Q14), 0), _xlfn.IFNA(_xlfn.XLOOKUP(Assumptions!AR$85, '1 Machine Build'!$F$11:$Q$11, '1 Machine Build'!$F14:$Q14), 0), _xlfn.IFNA(_xlfn.XLOOKUP(Assumptions!AR$86, '1 Machine Build'!$F$11:$Q$11, '1 Machine Build'!$F14:$Q14), 0), _xlfn.IFNA(_xlfn.XLOOKUP(Assumptions!AR$87, '1 Machine Build'!$F$11:$Q$11, '1 Machine Build'!$F14:$Q14), 0), _xlfn.IFNA(_xlfn.XLOOKUP(Assumptions!AR$88, '1 Machine Build'!$F$11:$Q$11, '1 Machine Build'!$F14:$Q14), 0))</f>
        <v>0</v>
      </c>
      <c r="AU32" s="97">
        <f>SUM(_xlfn.IFNA(_xlfn.XLOOKUP(Assumptions!AS$81, '1 Machine Build'!$F$11:$Q$11, '1 Machine Build'!$F14:$Q14), 0), _xlfn.IFNA(_xlfn.XLOOKUP(Assumptions!AS$82, '1 Machine Build'!$F$11:$Q$11, '1 Machine Build'!$F14:$Q14), 0), _xlfn.IFNA(_xlfn.XLOOKUP(Assumptions!AS$83, '1 Machine Build'!$F$11:$Q$11, '1 Machine Build'!$F14:$Q14), 0), _xlfn.IFNA(_xlfn.XLOOKUP(Assumptions!AS$84, '1 Machine Build'!$F$11:$Q$11, '1 Machine Build'!$F14:$Q14), 0), _xlfn.IFNA(_xlfn.XLOOKUP(Assumptions!AS$85, '1 Machine Build'!$F$11:$Q$11, '1 Machine Build'!$F14:$Q14), 0), _xlfn.IFNA(_xlfn.XLOOKUP(Assumptions!AS$86, '1 Machine Build'!$F$11:$Q$11, '1 Machine Build'!$F14:$Q14), 0), _xlfn.IFNA(_xlfn.XLOOKUP(Assumptions!AS$87, '1 Machine Build'!$F$11:$Q$11, '1 Machine Build'!$F14:$Q14), 0), _xlfn.IFNA(_xlfn.XLOOKUP(Assumptions!AS$88, '1 Machine Build'!$F$11:$Q$11, '1 Machine Build'!$F14:$Q14), 0))</f>
        <v>0</v>
      </c>
      <c r="AV32" s="97">
        <f>SUM(_xlfn.IFNA(_xlfn.XLOOKUP(Assumptions!AT$81, '1 Machine Build'!$F$11:$Q$11, '1 Machine Build'!$F14:$Q14), 0), _xlfn.IFNA(_xlfn.XLOOKUP(Assumptions!AT$82, '1 Machine Build'!$F$11:$Q$11, '1 Machine Build'!$F14:$Q14), 0), _xlfn.IFNA(_xlfn.XLOOKUP(Assumptions!AT$83, '1 Machine Build'!$F$11:$Q$11, '1 Machine Build'!$F14:$Q14), 0), _xlfn.IFNA(_xlfn.XLOOKUP(Assumptions!AT$84, '1 Machine Build'!$F$11:$Q$11, '1 Machine Build'!$F14:$Q14), 0), _xlfn.IFNA(_xlfn.XLOOKUP(Assumptions!AT$85, '1 Machine Build'!$F$11:$Q$11, '1 Machine Build'!$F14:$Q14), 0), _xlfn.IFNA(_xlfn.XLOOKUP(Assumptions!AT$86, '1 Machine Build'!$F$11:$Q$11, '1 Machine Build'!$F14:$Q14), 0), _xlfn.IFNA(_xlfn.XLOOKUP(Assumptions!AT$87, '1 Machine Build'!$F$11:$Q$11, '1 Machine Build'!$F14:$Q14), 0), _xlfn.IFNA(_xlfn.XLOOKUP(Assumptions!AT$88, '1 Machine Build'!$F$11:$Q$11, '1 Machine Build'!$F14:$Q14), 0))</f>
        <v>0</v>
      </c>
      <c r="AW32" s="97">
        <f>SUM(_xlfn.IFNA(_xlfn.XLOOKUP(Assumptions!AU$81, '1 Machine Build'!$F$11:$Q$11, '1 Machine Build'!$F14:$Q14), 0), _xlfn.IFNA(_xlfn.XLOOKUP(Assumptions!AU$82, '1 Machine Build'!$F$11:$Q$11, '1 Machine Build'!$F14:$Q14), 0), _xlfn.IFNA(_xlfn.XLOOKUP(Assumptions!AU$83, '1 Machine Build'!$F$11:$Q$11, '1 Machine Build'!$F14:$Q14), 0), _xlfn.IFNA(_xlfn.XLOOKUP(Assumptions!AU$84, '1 Machine Build'!$F$11:$Q$11, '1 Machine Build'!$F14:$Q14), 0), _xlfn.IFNA(_xlfn.XLOOKUP(Assumptions!AU$85, '1 Machine Build'!$F$11:$Q$11, '1 Machine Build'!$F14:$Q14), 0), _xlfn.IFNA(_xlfn.XLOOKUP(Assumptions!AU$86, '1 Machine Build'!$F$11:$Q$11, '1 Machine Build'!$F14:$Q14), 0), _xlfn.IFNA(_xlfn.XLOOKUP(Assumptions!AU$87, '1 Machine Build'!$F$11:$Q$11, '1 Machine Build'!$F14:$Q14), 0), _xlfn.IFNA(_xlfn.XLOOKUP(Assumptions!AU$88, '1 Machine Build'!$F$11:$Q$11, '1 Machine Build'!$F14:$Q14), 0))</f>
        <v>0</v>
      </c>
      <c r="AX32" s="97">
        <f>SUM(_xlfn.IFNA(_xlfn.XLOOKUP(Assumptions!AV$81, '1 Machine Build'!$F$11:$Q$11, '1 Machine Build'!$F14:$Q14), 0), _xlfn.IFNA(_xlfn.XLOOKUP(Assumptions!AV$82, '1 Machine Build'!$F$11:$Q$11, '1 Machine Build'!$F14:$Q14), 0), _xlfn.IFNA(_xlfn.XLOOKUP(Assumptions!AV$83, '1 Machine Build'!$F$11:$Q$11, '1 Machine Build'!$F14:$Q14), 0), _xlfn.IFNA(_xlfn.XLOOKUP(Assumptions!AV$84, '1 Machine Build'!$F$11:$Q$11, '1 Machine Build'!$F14:$Q14), 0), _xlfn.IFNA(_xlfn.XLOOKUP(Assumptions!AV$85, '1 Machine Build'!$F$11:$Q$11, '1 Machine Build'!$F14:$Q14), 0), _xlfn.IFNA(_xlfn.XLOOKUP(Assumptions!AV$86, '1 Machine Build'!$F$11:$Q$11, '1 Machine Build'!$F14:$Q14), 0), _xlfn.IFNA(_xlfn.XLOOKUP(Assumptions!AV$87, '1 Machine Build'!$F$11:$Q$11, '1 Machine Build'!$F14:$Q14), 0), _xlfn.IFNA(_xlfn.XLOOKUP(Assumptions!AV$88, '1 Machine Build'!$F$11:$Q$11, '1 Machine Build'!$F14:$Q14), 0))</f>
        <v>0</v>
      </c>
      <c r="AY32" s="97">
        <f>SUM(_xlfn.IFNA(_xlfn.XLOOKUP(Assumptions!AW$81, '1 Machine Build'!$F$11:$Q$11, '1 Machine Build'!$F14:$Q14), 0), _xlfn.IFNA(_xlfn.XLOOKUP(Assumptions!AW$82, '1 Machine Build'!$F$11:$Q$11, '1 Machine Build'!$F14:$Q14), 0), _xlfn.IFNA(_xlfn.XLOOKUP(Assumptions!AW$83, '1 Machine Build'!$F$11:$Q$11, '1 Machine Build'!$F14:$Q14), 0), _xlfn.IFNA(_xlfn.XLOOKUP(Assumptions!AW$84, '1 Machine Build'!$F$11:$Q$11, '1 Machine Build'!$F14:$Q14), 0), _xlfn.IFNA(_xlfn.XLOOKUP(Assumptions!AW$85, '1 Machine Build'!$F$11:$Q$11, '1 Machine Build'!$F14:$Q14), 0), _xlfn.IFNA(_xlfn.XLOOKUP(Assumptions!AW$86, '1 Machine Build'!$F$11:$Q$11, '1 Machine Build'!$F14:$Q14), 0), _xlfn.IFNA(_xlfn.XLOOKUP(Assumptions!AW$87, '1 Machine Build'!$F$11:$Q$11, '1 Machine Build'!$F14:$Q14), 0), _xlfn.IFNA(_xlfn.XLOOKUP(Assumptions!AW$88, '1 Machine Build'!$F$11:$Q$11, '1 Machine Build'!$F14:$Q14), 0))</f>
        <v>0</v>
      </c>
      <c r="AZ32" s="97">
        <f>SUM(_xlfn.IFNA(_xlfn.XLOOKUP(Assumptions!AX$81, '1 Machine Build'!$F$11:$Q$11, '1 Machine Build'!$F14:$Q14), 0), _xlfn.IFNA(_xlfn.XLOOKUP(Assumptions!AX$82, '1 Machine Build'!$F$11:$Q$11, '1 Machine Build'!$F14:$Q14), 0), _xlfn.IFNA(_xlfn.XLOOKUP(Assumptions!AX$83, '1 Machine Build'!$F$11:$Q$11, '1 Machine Build'!$F14:$Q14), 0), _xlfn.IFNA(_xlfn.XLOOKUP(Assumptions!AX$84, '1 Machine Build'!$F$11:$Q$11, '1 Machine Build'!$F14:$Q14), 0), _xlfn.IFNA(_xlfn.XLOOKUP(Assumptions!AX$85, '1 Machine Build'!$F$11:$Q$11, '1 Machine Build'!$F14:$Q14), 0), _xlfn.IFNA(_xlfn.XLOOKUP(Assumptions!AX$86, '1 Machine Build'!$F$11:$Q$11, '1 Machine Build'!$F14:$Q14), 0), _xlfn.IFNA(_xlfn.XLOOKUP(Assumptions!AX$87, '1 Machine Build'!$F$11:$Q$11, '1 Machine Build'!$F14:$Q14), 0), _xlfn.IFNA(_xlfn.XLOOKUP(Assumptions!AX$88, '1 Machine Build'!$F$11:$Q$11, '1 Machine Build'!$F14:$Q14), 0))</f>
        <v>0</v>
      </c>
      <c r="BA32" s="97">
        <f>SUM(_xlfn.IFNA(_xlfn.XLOOKUP(Assumptions!AY$81, '1 Machine Build'!$F$11:$Q$11, '1 Machine Build'!$F14:$Q14), 0), _xlfn.IFNA(_xlfn.XLOOKUP(Assumptions!AY$82, '1 Machine Build'!$F$11:$Q$11, '1 Machine Build'!$F14:$Q14), 0), _xlfn.IFNA(_xlfn.XLOOKUP(Assumptions!AY$83, '1 Machine Build'!$F$11:$Q$11, '1 Machine Build'!$F14:$Q14), 0), _xlfn.IFNA(_xlfn.XLOOKUP(Assumptions!AY$84, '1 Machine Build'!$F$11:$Q$11, '1 Machine Build'!$F14:$Q14), 0), _xlfn.IFNA(_xlfn.XLOOKUP(Assumptions!AY$85, '1 Machine Build'!$F$11:$Q$11, '1 Machine Build'!$F14:$Q14), 0), _xlfn.IFNA(_xlfn.XLOOKUP(Assumptions!AY$86, '1 Machine Build'!$F$11:$Q$11, '1 Machine Build'!$F14:$Q14), 0), _xlfn.IFNA(_xlfn.XLOOKUP(Assumptions!AY$87, '1 Machine Build'!$F$11:$Q$11, '1 Machine Build'!$F14:$Q14), 0), _xlfn.IFNA(_xlfn.XLOOKUP(Assumptions!AY$88, '1 Machine Build'!$F$11:$Q$11, '1 Machine Build'!$F14:$Q14), 0))</f>
        <v>0</v>
      </c>
      <c r="BB32" s="97">
        <f>SUM(_xlfn.IFNA(_xlfn.XLOOKUP(Assumptions!AZ$81, '1 Machine Build'!$F$11:$Q$11, '1 Machine Build'!$F14:$Q14), 0), _xlfn.IFNA(_xlfn.XLOOKUP(Assumptions!AZ$82, '1 Machine Build'!$F$11:$Q$11, '1 Machine Build'!$F14:$Q14), 0), _xlfn.IFNA(_xlfn.XLOOKUP(Assumptions!AZ$83, '1 Machine Build'!$F$11:$Q$11, '1 Machine Build'!$F14:$Q14), 0), _xlfn.IFNA(_xlfn.XLOOKUP(Assumptions!AZ$84, '1 Machine Build'!$F$11:$Q$11, '1 Machine Build'!$F14:$Q14), 0), _xlfn.IFNA(_xlfn.XLOOKUP(Assumptions!AZ$85, '1 Machine Build'!$F$11:$Q$11, '1 Machine Build'!$F14:$Q14), 0), _xlfn.IFNA(_xlfn.XLOOKUP(Assumptions!AZ$86, '1 Machine Build'!$F$11:$Q$11, '1 Machine Build'!$F14:$Q14), 0), _xlfn.IFNA(_xlfn.XLOOKUP(Assumptions!AZ$87, '1 Machine Build'!$F$11:$Q$11, '1 Machine Build'!$F14:$Q14), 0), _xlfn.IFNA(_xlfn.XLOOKUP(Assumptions!AZ$88, '1 Machine Build'!$F$11:$Q$11, '1 Machine Build'!$F14:$Q14), 0))</f>
        <v>0</v>
      </c>
      <c r="BC32" s="97">
        <f>SUM(_xlfn.IFNA(_xlfn.XLOOKUP(Assumptions!BA$81, '1 Machine Build'!$F$11:$Q$11, '1 Machine Build'!$F14:$Q14), 0), _xlfn.IFNA(_xlfn.XLOOKUP(Assumptions!BA$82, '1 Machine Build'!$F$11:$Q$11, '1 Machine Build'!$F14:$Q14), 0), _xlfn.IFNA(_xlfn.XLOOKUP(Assumptions!BA$83, '1 Machine Build'!$F$11:$Q$11, '1 Machine Build'!$F14:$Q14), 0), _xlfn.IFNA(_xlfn.XLOOKUP(Assumptions!BA$84, '1 Machine Build'!$F$11:$Q$11, '1 Machine Build'!$F14:$Q14), 0), _xlfn.IFNA(_xlfn.XLOOKUP(Assumptions!BA$85, '1 Machine Build'!$F$11:$Q$11, '1 Machine Build'!$F14:$Q14), 0), _xlfn.IFNA(_xlfn.XLOOKUP(Assumptions!BA$86, '1 Machine Build'!$F$11:$Q$11, '1 Machine Build'!$F14:$Q14), 0), _xlfn.IFNA(_xlfn.XLOOKUP(Assumptions!BA$87, '1 Machine Build'!$F$11:$Q$11, '1 Machine Build'!$F14:$Q14), 0), _xlfn.IFNA(_xlfn.XLOOKUP(Assumptions!BA$88, '1 Machine Build'!$F$11:$Q$11, '1 Machine Build'!$F14:$Q14), 0))</f>
        <v>0</v>
      </c>
      <c r="BD32" s="97">
        <f>SUM(_xlfn.IFNA(_xlfn.XLOOKUP(Assumptions!BB$81, '1 Machine Build'!$F$11:$Q$11, '1 Machine Build'!$F14:$Q14), 0), _xlfn.IFNA(_xlfn.XLOOKUP(Assumptions!BB$82, '1 Machine Build'!$F$11:$Q$11, '1 Machine Build'!$F14:$Q14), 0), _xlfn.IFNA(_xlfn.XLOOKUP(Assumptions!BB$83, '1 Machine Build'!$F$11:$Q$11, '1 Machine Build'!$F14:$Q14), 0), _xlfn.IFNA(_xlfn.XLOOKUP(Assumptions!BB$84, '1 Machine Build'!$F$11:$Q$11, '1 Machine Build'!$F14:$Q14), 0), _xlfn.IFNA(_xlfn.XLOOKUP(Assumptions!BB$85, '1 Machine Build'!$F$11:$Q$11, '1 Machine Build'!$F14:$Q14), 0), _xlfn.IFNA(_xlfn.XLOOKUP(Assumptions!BB$86, '1 Machine Build'!$F$11:$Q$11, '1 Machine Build'!$F14:$Q14), 0), _xlfn.IFNA(_xlfn.XLOOKUP(Assumptions!BB$87, '1 Machine Build'!$F$11:$Q$11, '1 Machine Build'!$F14:$Q14), 0), _xlfn.IFNA(_xlfn.XLOOKUP(Assumptions!BB$88, '1 Machine Build'!$F$11:$Q$11, '1 Machine Build'!$F14:$Q14), 0))</f>
        <v>0</v>
      </c>
      <c r="BE32" s="97">
        <f>SUM(_xlfn.IFNA(_xlfn.XLOOKUP(Assumptions!BC$81, '1 Machine Build'!$F$11:$Q$11, '1 Machine Build'!$F14:$Q14), 0), _xlfn.IFNA(_xlfn.XLOOKUP(Assumptions!BC$82, '1 Machine Build'!$F$11:$Q$11, '1 Machine Build'!$F14:$Q14), 0), _xlfn.IFNA(_xlfn.XLOOKUP(Assumptions!BC$83, '1 Machine Build'!$F$11:$Q$11, '1 Machine Build'!$F14:$Q14), 0), _xlfn.IFNA(_xlfn.XLOOKUP(Assumptions!BC$84, '1 Machine Build'!$F$11:$Q$11, '1 Machine Build'!$F14:$Q14), 0), _xlfn.IFNA(_xlfn.XLOOKUP(Assumptions!BC$85, '1 Machine Build'!$F$11:$Q$11, '1 Machine Build'!$F14:$Q14), 0), _xlfn.IFNA(_xlfn.XLOOKUP(Assumptions!BC$86, '1 Machine Build'!$F$11:$Q$11, '1 Machine Build'!$F14:$Q14), 0), _xlfn.IFNA(_xlfn.XLOOKUP(Assumptions!BC$87, '1 Machine Build'!$F$11:$Q$11, '1 Machine Build'!$F14:$Q14), 0), _xlfn.IFNA(_xlfn.XLOOKUP(Assumptions!BC$88, '1 Machine Build'!$F$11:$Q$11, '1 Machine Build'!$F14:$Q14), 0))</f>
        <v>0</v>
      </c>
      <c r="BF32" s="97">
        <f>SUM(_xlfn.IFNA(_xlfn.XLOOKUP(Assumptions!BD$81, '1 Machine Build'!$F$11:$Q$11, '1 Machine Build'!$F14:$Q14), 0), _xlfn.IFNA(_xlfn.XLOOKUP(Assumptions!BD$82, '1 Machine Build'!$F$11:$Q$11, '1 Machine Build'!$F14:$Q14), 0), _xlfn.IFNA(_xlfn.XLOOKUP(Assumptions!BD$83, '1 Machine Build'!$F$11:$Q$11, '1 Machine Build'!$F14:$Q14), 0), _xlfn.IFNA(_xlfn.XLOOKUP(Assumptions!BD$84, '1 Machine Build'!$F$11:$Q$11, '1 Machine Build'!$F14:$Q14), 0), _xlfn.IFNA(_xlfn.XLOOKUP(Assumptions!BD$85, '1 Machine Build'!$F$11:$Q$11, '1 Machine Build'!$F14:$Q14), 0), _xlfn.IFNA(_xlfn.XLOOKUP(Assumptions!BD$86, '1 Machine Build'!$F$11:$Q$11, '1 Machine Build'!$F14:$Q14), 0), _xlfn.IFNA(_xlfn.XLOOKUP(Assumptions!BD$87, '1 Machine Build'!$F$11:$Q$11, '1 Machine Build'!$F14:$Q14), 0), _xlfn.IFNA(_xlfn.XLOOKUP(Assumptions!BD$88, '1 Machine Build'!$F$11:$Q$11, '1 Machine Build'!$F14:$Q14), 0))</f>
        <v>0</v>
      </c>
      <c r="BG32" s="97">
        <f>SUM(_xlfn.IFNA(_xlfn.XLOOKUP(Assumptions!BE$81, '1 Machine Build'!$F$11:$Q$11, '1 Machine Build'!$F14:$Q14), 0), _xlfn.IFNA(_xlfn.XLOOKUP(Assumptions!BE$82, '1 Machine Build'!$F$11:$Q$11, '1 Machine Build'!$F14:$Q14), 0), _xlfn.IFNA(_xlfn.XLOOKUP(Assumptions!BE$83, '1 Machine Build'!$F$11:$Q$11, '1 Machine Build'!$F14:$Q14), 0), _xlfn.IFNA(_xlfn.XLOOKUP(Assumptions!BE$84, '1 Machine Build'!$F$11:$Q$11, '1 Machine Build'!$F14:$Q14), 0), _xlfn.IFNA(_xlfn.XLOOKUP(Assumptions!BE$85, '1 Machine Build'!$F$11:$Q$11, '1 Machine Build'!$F14:$Q14), 0), _xlfn.IFNA(_xlfn.XLOOKUP(Assumptions!BE$86, '1 Machine Build'!$F$11:$Q$11, '1 Machine Build'!$F14:$Q14), 0), _xlfn.IFNA(_xlfn.XLOOKUP(Assumptions!BE$87, '1 Machine Build'!$F$11:$Q$11, '1 Machine Build'!$F14:$Q14), 0), _xlfn.IFNA(_xlfn.XLOOKUP(Assumptions!BE$88, '1 Machine Build'!$F$11:$Q$11, '1 Machine Build'!$F14:$Q14), 0))</f>
        <v>0</v>
      </c>
      <c r="BH32" s="97">
        <f>SUM(_xlfn.IFNA(_xlfn.XLOOKUP(Assumptions!BF$81, '1 Machine Build'!$F$11:$Q$11, '1 Machine Build'!$F14:$Q14), 0), _xlfn.IFNA(_xlfn.XLOOKUP(Assumptions!BF$82, '1 Machine Build'!$F$11:$Q$11, '1 Machine Build'!$F14:$Q14), 0), _xlfn.IFNA(_xlfn.XLOOKUP(Assumptions!BF$83, '1 Machine Build'!$F$11:$Q$11, '1 Machine Build'!$F14:$Q14), 0), _xlfn.IFNA(_xlfn.XLOOKUP(Assumptions!BF$84, '1 Machine Build'!$F$11:$Q$11, '1 Machine Build'!$F14:$Q14), 0), _xlfn.IFNA(_xlfn.XLOOKUP(Assumptions!BF$85, '1 Machine Build'!$F$11:$Q$11, '1 Machine Build'!$F14:$Q14), 0), _xlfn.IFNA(_xlfn.XLOOKUP(Assumptions!BF$86, '1 Machine Build'!$F$11:$Q$11, '1 Machine Build'!$F14:$Q14), 0), _xlfn.IFNA(_xlfn.XLOOKUP(Assumptions!BF$87, '1 Machine Build'!$F$11:$Q$11, '1 Machine Build'!$F14:$Q14), 0), _xlfn.IFNA(_xlfn.XLOOKUP(Assumptions!BF$88, '1 Machine Build'!$F$11:$Q$11, '1 Machine Build'!$F14:$Q14), 0))</f>
        <v>0</v>
      </c>
      <c r="BI32" s="97">
        <f>SUM(_xlfn.IFNA(_xlfn.XLOOKUP(Assumptions!BG$81, '1 Machine Build'!$F$11:$Q$11, '1 Machine Build'!$F14:$Q14), 0), _xlfn.IFNA(_xlfn.XLOOKUP(Assumptions!BG$82, '1 Machine Build'!$F$11:$Q$11, '1 Machine Build'!$F14:$Q14), 0), _xlfn.IFNA(_xlfn.XLOOKUP(Assumptions!BG$83, '1 Machine Build'!$F$11:$Q$11, '1 Machine Build'!$F14:$Q14), 0), _xlfn.IFNA(_xlfn.XLOOKUP(Assumptions!BG$84, '1 Machine Build'!$F$11:$Q$11, '1 Machine Build'!$F14:$Q14), 0), _xlfn.IFNA(_xlfn.XLOOKUP(Assumptions!BG$85, '1 Machine Build'!$F$11:$Q$11, '1 Machine Build'!$F14:$Q14), 0), _xlfn.IFNA(_xlfn.XLOOKUP(Assumptions!BG$86, '1 Machine Build'!$F$11:$Q$11, '1 Machine Build'!$F14:$Q14), 0), _xlfn.IFNA(_xlfn.XLOOKUP(Assumptions!BG$87, '1 Machine Build'!$F$11:$Q$11, '1 Machine Build'!$F14:$Q14), 0), _xlfn.IFNA(_xlfn.XLOOKUP(Assumptions!BG$88, '1 Machine Build'!$F$11:$Q$11, '1 Machine Build'!$F14:$Q14), 0))</f>
        <v>0</v>
      </c>
      <c r="BJ32" s="97">
        <f>SUM(_xlfn.IFNA(_xlfn.XLOOKUP(Assumptions!BH$81, '1 Machine Build'!$F$11:$Q$11, '1 Machine Build'!$F14:$Q14), 0), _xlfn.IFNA(_xlfn.XLOOKUP(Assumptions!BH$82, '1 Machine Build'!$F$11:$Q$11, '1 Machine Build'!$F14:$Q14), 0), _xlfn.IFNA(_xlfn.XLOOKUP(Assumptions!BH$83, '1 Machine Build'!$F$11:$Q$11, '1 Machine Build'!$F14:$Q14), 0), _xlfn.IFNA(_xlfn.XLOOKUP(Assumptions!BH$84, '1 Machine Build'!$F$11:$Q$11, '1 Machine Build'!$F14:$Q14), 0), _xlfn.IFNA(_xlfn.XLOOKUP(Assumptions!BH$85, '1 Machine Build'!$F$11:$Q$11, '1 Machine Build'!$F14:$Q14), 0), _xlfn.IFNA(_xlfn.XLOOKUP(Assumptions!BH$86, '1 Machine Build'!$F$11:$Q$11, '1 Machine Build'!$F14:$Q14), 0), _xlfn.IFNA(_xlfn.XLOOKUP(Assumptions!BH$87, '1 Machine Build'!$F$11:$Q$11, '1 Machine Build'!$F14:$Q14), 0), _xlfn.IFNA(_xlfn.XLOOKUP(Assumptions!BH$88, '1 Machine Build'!$F$11:$Q$11, '1 Machine Build'!$F14:$Q14), 0))</f>
        <v>0</v>
      </c>
      <c r="BK32" s="97">
        <f>SUM(_xlfn.IFNA(_xlfn.XLOOKUP(Assumptions!BI$81, '1 Machine Build'!$F$11:$Q$11, '1 Machine Build'!$F14:$Q14), 0), _xlfn.IFNA(_xlfn.XLOOKUP(Assumptions!BI$82, '1 Machine Build'!$F$11:$Q$11, '1 Machine Build'!$F14:$Q14), 0), _xlfn.IFNA(_xlfn.XLOOKUP(Assumptions!BI$83, '1 Machine Build'!$F$11:$Q$11, '1 Machine Build'!$F14:$Q14), 0), _xlfn.IFNA(_xlfn.XLOOKUP(Assumptions!BI$84, '1 Machine Build'!$F$11:$Q$11, '1 Machine Build'!$F14:$Q14), 0), _xlfn.IFNA(_xlfn.XLOOKUP(Assumptions!BI$85, '1 Machine Build'!$F$11:$Q$11, '1 Machine Build'!$F14:$Q14), 0), _xlfn.IFNA(_xlfn.XLOOKUP(Assumptions!BI$86, '1 Machine Build'!$F$11:$Q$11, '1 Machine Build'!$F14:$Q14), 0), _xlfn.IFNA(_xlfn.XLOOKUP(Assumptions!BI$87, '1 Machine Build'!$F$11:$Q$11, '1 Machine Build'!$F14:$Q14), 0), _xlfn.IFNA(_xlfn.XLOOKUP(Assumptions!BI$88, '1 Machine Build'!$F$11:$Q$11, '1 Machine Build'!$F14:$Q14), 0))</f>
        <v>0</v>
      </c>
      <c r="BL32" s="97">
        <f>SUM(_xlfn.IFNA(_xlfn.XLOOKUP(Assumptions!BJ$81, '1 Machine Build'!$F$11:$Q$11, '1 Machine Build'!$F14:$Q14), 0), _xlfn.IFNA(_xlfn.XLOOKUP(Assumptions!BJ$82, '1 Machine Build'!$F$11:$Q$11, '1 Machine Build'!$F14:$Q14), 0), _xlfn.IFNA(_xlfn.XLOOKUP(Assumptions!BJ$83, '1 Machine Build'!$F$11:$Q$11, '1 Machine Build'!$F14:$Q14), 0), _xlfn.IFNA(_xlfn.XLOOKUP(Assumptions!BJ$84, '1 Machine Build'!$F$11:$Q$11, '1 Machine Build'!$F14:$Q14), 0), _xlfn.IFNA(_xlfn.XLOOKUP(Assumptions!BJ$85, '1 Machine Build'!$F$11:$Q$11, '1 Machine Build'!$F14:$Q14), 0), _xlfn.IFNA(_xlfn.XLOOKUP(Assumptions!BJ$86, '1 Machine Build'!$F$11:$Q$11, '1 Machine Build'!$F14:$Q14), 0), _xlfn.IFNA(_xlfn.XLOOKUP(Assumptions!BJ$87, '1 Machine Build'!$F$11:$Q$11, '1 Machine Build'!$F14:$Q14), 0), _xlfn.IFNA(_xlfn.XLOOKUP(Assumptions!BJ$88, '1 Machine Build'!$F$11:$Q$11, '1 Machine Build'!$F14:$Q14), 0))</f>
        <v>0</v>
      </c>
      <c r="BM32" s="97">
        <f>SUM(_xlfn.IFNA(_xlfn.XLOOKUP(Assumptions!BK$81, '1 Machine Build'!$F$11:$Q$11, '1 Machine Build'!$F14:$Q14), 0), _xlfn.IFNA(_xlfn.XLOOKUP(Assumptions!BK$82, '1 Machine Build'!$F$11:$Q$11, '1 Machine Build'!$F14:$Q14), 0), _xlfn.IFNA(_xlfn.XLOOKUP(Assumptions!BK$83, '1 Machine Build'!$F$11:$Q$11, '1 Machine Build'!$F14:$Q14), 0), _xlfn.IFNA(_xlfn.XLOOKUP(Assumptions!BK$84, '1 Machine Build'!$F$11:$Q$11, '1 Machine Build'!$F14:$Q14), 0), _xlfn.IFNA(_xlfn.XLOOKUP(Assumptions!BK$85, '1 Machine Build'!$F$11:$Q$11, '1 Machine Build'!$F14:$Q14), 0), _xlfn.IFNA(_xlfn.XLOOKUP(Assumptions!BK$86, '1 Machine Build'!$F$11:$Q$11, '1 Machine Build'!$F14:$Q14), 0), _xlfn.IFNA(_xlfn.XLOOKUP(Assumptions!BK$87, '1 Machine Build'!$F$11:$Q$11, '1 Machine Build'!$F14:$Q14), 0), _xlfn.IFNA(_xlfn.XLOOKUP(Assumptions!BK$88, '1 Machine Build'!$F$11:$Q$11, '1 Machine Build'!$F14:$Q14), 0))</f>
        <v>0</v>
      </c>
      <c r="BN32" s="97">
        <f>SUM(_xlfn.IFNA(_xlfn.XLOOKUP(Assumptions!BL$81, '1 Machine Build'!$F$11:$Q$11, '1 Machine Build'!$F14:$Q14), 0), _xlfn.IFNA(_xlfn.XLOOKUP(Assumptions!BL$82, '1 Machine Build'!$F$11:$Q$11, '1 Machine Build'!$F14:$Q14), 0), _xlfn.IFNA(_xlfn.XLOOKUP(Assumptions!BL$83, '1 Machine Build'!$F$11:$Q$11, '1 Machine Build'!$F14:$Q14), 0), _xlfn.IFNA(_xlfn.XLOOKUP(Assumptions!BL$84, '1 Machine Build'!$F$11:$Q$11, '1 Machine Build'!$F14:$Q14), 0), _xlfn.IFNA(_xlfn.XLOOKUP(Assumptions!BL$85, '1 Machine Build'!$F$11:$Q$11, '1 Machine Build'!$F14:$Q14), 0), _xlfn.IFNA(_xlfn.XLOOKUP(Assumptions!BL$86, '1 Machine Build'!$F$11:$Q$11, '1 Machine Build'!$F14:$Q14), 0), _xlfn.IFNA(_xlfn.XLOOKUP(Assumptions!BL$87, '1 Machine Build'!$F$11:$Q$11, '1 Machine Build'!$F14:$Q14), 0), _xlfn.IFNA(_xlfn.XLOOKUP(Assumptions!BL$88, '1 Machine Build'!$F$11:$Q$11, '1 Machine Build'!$F14:$Q14), 0))</f>
        <v>0</v>
      </c>
      <c r="BO32" s="97">
        <f>SUM(_xlfn.IFNA(_xlfn.XLOOKUP(Assumptions!BM$81, '1 Machine Build'!$F$11:$Q$11, '1 Machine Build'!$F14:$Q14), 0), _xlfn.IFNA(_xlfn.XLOOKUP(Assumptions!BM$82, '1 Machine Build'!$F$11:$Q$11, '1 Machine Build'!$F14:$Q14), 0), _xlfn.IFNA(_xlfn.XLOOKUP(Assumptions!BM$83, '1 Machine Build'!$F$11:$Q$11, '1 Machine Build'!$F14:$Q14), 0), _xlfn.IFNA(_xlfn.XLOOKUP(Assumptions!BM$84, '1 Machine Build'!$F$11:$Q$11, '1 Machine Build'!$F14:$Q14), 0), _xlfn.IFNA(_xlfn.XLOOKUP(Assumptions!BM$85, '1 Machine Build'!$F$11:$Q$11, '1 Machine Build'!$F14:$Q14), 0), _xlfn.IFNA(_xlfn.XLOOKUP(Assumptions!BM$86, '1 Machine Build'!$F$11:$Q$11, '1 Machine Build'!$F14:$Q14), 0), _xlfn.IFNA(_xlfn.XLOOKUP(Assumptions!BM$87, '1 Machine Build'!$F$11:$Q$11, '1 Machine Build'!$F14:$Q14), 0), _xlfn.IFNA(_xlfn.XLOOKUP(Assumptions!BM$88, '1 Machine Build'!$F$11:$Q$11, '1 Machine Build'!$F14:$Q14), 0))</f>
        <v>0</v>
      </c>
      <c r="BP32" s="97">
        <f>SUM(_xlfn.IFNA(_xlfn.XLOOKUP(Assumptions!BN$81, '1 Machine Build'!$F$11:$Q$11, '1 Machine Build'!$F14:$Q14), 0), _xlfn.IFNA(_xlfn.XLOOKUP(Assumptions!BN$82, '1 Machine Build'!$F$11:$Q$11, '1 Machine Build'!$F14:$Q14), 0), _xlfn.IFNA(_xlfn.XLOOKUP(Assumptions!BN$83, '1 Machine Build'!$F$11:$Q$11, '1 Machine Build'!$F14:$Q14), 0), _xlfn.IFNA(_xlfn.XLOOKUP(Assumptions!BN$84, '1 Machine Build'!$F$11:$Q$11, '1 Machine Build'!$F14:$Q14), 0), _xlfn.IFNA(_xlfn.XLOOKUP(Assumptions!BN$85, '1 Machine Build'!$F$11:$Q$11, '1 Machine Build'!$F14:$Q14), 0), _xlfn.IFNA(_xlfn.XLOOKUP(Assumptions!BN$86, '1 Machine Build'!$F$11:$Q$11, '1 Machine Build'!$F14:$Q14), 0), _xlfn.IFNA(_xlfn.XLOOKUP(Assumptions!BN$87, '1 Machine Build'!$F$11:$Q$11, '1 Machine Build'!$F14:$Q14), 0), _xlfn.IFNA(_xlfn.XLOOKUP(Assumptions!BN$88, '1 Machine Build'!$F$11:$Q$11, '1 Machine Build'!$F14:$Q14), 0))</f>
        <v>0</v>
      </c>
      <c r="BQ32" s="97">
        <f>SUM(_xlfn.IFNA(_xlfn.XLOOKUP(Assumptions!BO$81, '1 Machine Build'!$F$11:$Q$11, '1 Machine Build'!$F14:$Q14), 0), _xlfn.IFNA(_xlfn.XLOOKUP(Assumptions!BO$82, '1 Machine Build'!$F$11:$Q$11, '1 Machine Build'!$F14:$Q14), 0), _xlfn.IFNA(_xlfn.XLOOKUP(Assumptions!BO$83, '1 Machine Build'!$F$11:$Q$11, '1 Machine Build'!$F14:$Q14), 0), _xlfn.IFNA(_xlfn.XLOOKUP(Assumptions!BO$84, '1 Machine Build'!$F$11:$Q$11, '1 Machine Build'!$F14:$Q14), 0), _xlfn.IFNA(_xlfn.XLOOKUP(Assumptions!BO$85, '1 Machine Build'!$F$11:$Q$11, '1 Machine Build'!$F14:$Q14), 0), _xlfn.IFNA(_xlfn.XLOOKUP(Assumptions!BO$86, '1 Machine Build'!$F$11:$Q$11, '1 Machine Build'!$F14:$Q14), 0), _xlfn.IFNA(_xlfn.XLOOKUP(Assumptions!BO$87, '1 Machine Build'!$F$11:$Q$11, '1 Machine Build'!$F14:$Q14), 0), _xlfn.IFNA(_xlfn.XLOOKUP(Assumptions!BO$88, '1 Machine Build'!$F$11:$Q$11, '1 Machine Build'!$F14:$Q14), 0))</f>
        <v>0</v>
      </c>
      <c r="BR32" s="97">
        <f>SUM(_xlfn.IFNA(_xlfn.XLOOKUP(Assumptions!BP$81, '1 Machine Build'!$F$11:$Q$11, '1 Machine Build'!$F14:$Q14), 0), _xlfn.IFNA(_xlfn.XLOOKUP(Assumptions!BP$82, '1 Machine Build'!$F$11:$Q$11, '1 Machine Build'!$F14:$Q14), 0), _xlfn.IFNA(_xlfn.XLOOKUP(Assumptions!BP$83, '1 Machine Build'!$F$11:$Q$11, '1 Machine Build'!$F14:$Q14), 0), _xlfn.IFNA(_xlfn.XLOOKUP(Assumptions!BP$84, '1 Machine Build'!$F$11:$Q$11, '1 Machine Build'!$F14:$Q14), 0), _xlfn.IFNA(_xlfn.XLOOKUP(Assumptions!BP$85, '1 Machine Build'!$F$11:$Q$11, '1 Machine Build'!$F14:$Q14), 0), _xlfn.IFNA(_xlfn.XLOOKUP(Assumptions!BP$86, '1 Machine Build'!$F$11:$Q$11, '1 Machine Build'!$F14:$Q14), 0), _xlfn.IFNA(_xlfn.XLOOKUP(Assumptions!BP$87, '1 Machine Build'!$F$11:$Q$11, '1 Machine Build'!$F14:$Q14), 0), _xlfn.IFNA(_xlfn.XLOOKUP(Assumptions!BP$88, '1 Machine Build'!$F$11:$Q$11, '1 Machine Build'!$F14:$Q14), 0))</f>
        <v>0</v>
      </c>
      <c r="BS32" s="97">
        <f>SUM(_xlfn.IFNA(_xlfn.XLOOKUP(Assumptions!BQ$81, '1 Machine Build'!$F$11:$Q$11, '1 Machine Build'!$F14:$Q14), 0), _xlfn.IFNA(_xlfn.XLOOKUP(Assumptions!BQ$82, '1 Machine Build'!$F$11:$Q$11, '1 Machine Build'!$F14:$Q14), 0), _xlfn.IFNA(_xlfn.XLOOKUP(Assumptions!BQ$83, '1 Machine Build'!$F$11:$Q$11, '1 Machine Build'!$F14:$Q14), 0), _xlfn.IFNA(_xlfn.XLOOKUP(Assumptions!BQ$84, '1 Machine Build'!$F$11:$Q$11, '1 Machine Build'!$F14:$Q14), 0), _xlfn.IFNA(_xlfn.XLOOKUP(Assumptions!BQ$85, '1 Machine Build'!$F$11:$Q$11, '1 Machine Build'!$F14:$Q14), 0), _xlfn.IFNA(_xlfn.XLOOKUP(Assumptions!BQ$86, '1 Machine Build'!$F$11:$Q$11, '1 Machine Build'!$F14:$Q14), 0), _xlfn.IFNA(_xlfn.XLOOKUP(Assumptions!BQ$87, '1 Machine Build'!$F$11:$Q$11, '1 Machine Build'!$F14:$Q14), 0), _xlfn.IFNA(_xlfn.XLOOKUP(Assumptions!BQ$88, '1 Machine Build'!$F$11:$Q$11, '1 Machine Build'!$F14:$Q14), 0))</f>
        <v>0</v>
      </c>
      <c r="BT32" s="97">
        <f>SUM(_xlfn.IFNA(_xlfn.XLOOKUP(Assumptions!BR$81, '1 Machine Build'!$F$11:$Q$11, '1 Machine Build'!$F14:$Q14), 0), _xlfn.IFNA(_xlfn.XLOOKUP(Assumptions!BR$82, '1 Machine Build'!$F$11:$Q$11, '1 Machine Build'!$F14:$Q14), 0), _xlfn.IFNA(_xlfn.XLOOKUP(Assumptions!BR$83, '1 Machine Build'!$F$11:$Q$11, '1 Machine Build'!$F14:$Q14), 0), _xlfn.IFNA(_xlfn.XLOOKUP(Assumptions!BR$84, '1 Machine Build'!$F$11:$Q$11, '1 Machine Build'!$F14:$Q14), 0), _xlfn.IFNA(_xlfn.XLOOKUP(Assumptions!BR$85, '1 Machine Build'!$F$11:$Q$11, '1 Machine Build'!$F14:$Q14), 0), _xlfn.IFNA(_xlfn.XLOOKUP(Assumptions!BR$86, '1 Machine Build'!$F$11:$Q$11, '1 Machine Build'!$F14:$Q14), 0), _xlfn.IFNA(_xlfn.XLOOKUP(Assumptions!BR$87, '1 Machine Build'!$F$11:$Q$11, '1 Machine Build'!$F14:$Q14), 0), _xlfn.IFNA(_xlfn.XLOOKUP(Assumptions!BR$88, '1 Machine Build'!$F$11:$Q$11, '1 Machine Build'!$F14:$Q14), 0))</f>
        <v>0</v>
      </c>
      <c r="BU32" s="97">
        <f>SUM(_xlfn.IFNA(_xlfn.XLOOKUP(Assumptions!BS$81, '1 Machine Build'!$F$11:$Q$11, '1 Machine Build'!$F14:$Q14), 0), _xlfn.IFNA(_xlfn.XLOOKUP(Assumptions!BS$82, '1 Machine Build'!$F$11:$Q$11, '1 Machine Build'!$F14:$Q14), 0), _xlfn.IFNA(_xlfn.XLOOKUP(Assumptions!BS$83, '1 Machine Build'!$F$11:$Q$11, '1 Machine Build'!$F14:$Q14), 0), _xlfn.IFNA(_xlfn.XLOOKUP(Assumptions!BS$84, '1 Machine Build'!$F$11:$Q$11, '1 Machine Build'!$F14:$Q14), 0), _xlfn.IFNA(_xlfn.XLOOKUP(Assumptions!BS$85, '1 Machine Build'!$F$11:$Q$11, '1 Machine Build'!$F14:$Q14), 0), _xlfn.IFNA(_xlfn.XLOOKUP(Assumptions!BS$86, '1 Machine Build'!$F$11:$Q$11, '1 Machine Build'!$F14:$Q14), 0), _xlfn.IFNA(_xlfn.XLOOKUP(Assumptions!BS$87, '1 Machine Build'!$F$11:$Q$11, '1 Machine Build'!$F14:$Q14), 0), _xlfn.IFNA(_xlfn.XLOOKUP(Assumptions!BS$88, '1 Machine Build'!$F$11:$Q$11, '1 Machine Build'!$F14:$Q14), 0))</f>
        <v>0</v>
      </c>
      <c r="BV32" s="97">
        <f>SUM(_xlfn.IFNA(_xlfn.XLOOKUP(Assumptions!BT$81, '1 Machine Build'!$F$11:$Q$11, '1 Machine Build'!$F14:$Q14), 0), _xlfn.IFNA(_xlfn.XLOOKUP(Assumptions!BT$82, '1 Machine Build'!$F$11:$Q$11, '1 Machine Build'!$F14:$Q14), 0), _xlfn.IFNA(_xlfn.XLOOKUP(Assumptions!BT$83, '1 Machine Build'!$F$11:$Q$11, '1 Machine Build'!$F14:$Q14), 0), _xlfn.IFNA(_xlfn.XLOOKUP(Assumptions!BT$84, '1 Machine Build'!$F$11:$Q$11, '1 Machine Build'!$F14:$Q14), 0), _xlfn.IFNA(_xlfn.XLOOKUP(Assumptions!BT$85, '1 Machine Build'!$F$11:$Q$11, '1 Machine Build'!$F14:$Q14), 0), _xlfn.IFNA(_xlfn.XLOOKUP(Assumptions!BT$86, '1 Machine Build'!$F$11:$Q$11, '1 Machine Build'!$F14:$Q14), 0), _xlfn.IFNA(_xlfn.XLOOKUP(Assumptions!BT$87, '1 Machine Build'!$F$11:$Q$11, '1 Machine Build'!$F14:$Q14), 0), _xlfn.IFNA(_xlfn.XLOOKUP(Assumptions!BT$88, '1 Machine Build'!$F$11:$Q$11, '1 Machine Build'!$F14:$Q14), 0))</f>
        <v>0</v>
      </c>
      <c r="BW32" s="97">
        <f>SUM(_xlfn.IFNA(_xlfn.XLOOKUP(Assumptions!BU$81, '1 Machine Build'!$F$11:$Q$11, '1 Machine Build'!$F14:$Q14), 0), _xlfn.IFNA(_xlfn.XLOOKUP(Assumptions!BU$82, '1 Machine Build'!$F$11:$Q$11, '1 Machine Build'!$F14:$Q14), 0), _xlfn.IFNA(_xlfn.XLOOKUP(Assumptions!BU$83, '1 Machine Build'!$F$11:$Q$11, '1 Machine Build'!$F14:$Q14), 0), _xlfn.IFNA(_xlfn.XLOOKUP(Assumptions!BU$84, '1 Machine Build'!$F$11:$Q$11, '1 Machine Build'!$F14:$Q14), 0), _xlfn.IFNA(_xlfn.XLOOKUP(Assumptions!BU$85, '1 Machine Build'!$F$11:$Q$11, '1 Machine Build'!$F14:$Q14), 0), _xlfn.IFNA(_xlfn.XLOOKUP(Assumptions!BU$86, '1 Machine Build'!$F$11:$Q$11, '1 Machine Build'!$F14:$Q14), 0), _xlfn.IFNA(_xlfn.XLOOKUP(Assumptions!BU$87, '1 Machine Build'!$F$11:$Q$11, '1 Machine Build'!$F14:$Q14), 0), _xlfn.IFNA(_xlfn.XLOOKUP(Assumptions!BU$88, '1 Machine Build'!$F$11:$Q$11, '1 Machine Build'!$F14:$Q14), 0))</f>
        <v>0</v>
      </c>
      <c r="BX32" s="97">
        <f>SUM(_xlfn.IFNA(_xlfn.XLOOKUP(Assumptions!BV$81, '1 Machine Build'!$F$11:$Q$11, '1 Machine Build'!$F14:$Q14), 0), _xlfn.IFNA(_xlfn.XLOOKUP(Assumptions!BV$82, '1 Machine Build'!$F$11:$Q$11, '1 Machine Build'!$F14:$Q14), 0), _xlfn.IFNA(_xlfn.XLOOKUP(Assumptions!BV$83, '1 Machine Build'!$F$11:$Q$11, '1 Machine Build'!$F14:$Q14), 0), _xlfn.IFNA(_xlfn.XLOOKUP(Assumptions!BV$84, '1 Machine Build'!$F$11:$Q$11, '1 Machine Build'!$F14:$Q14), 0), _xlfn.IFNA(_xlfn.XLOOKUP(Assumptions!BV$85, '1 Machine Build'!$F$11:$Q$11, '1 Machine Build'!$F14:$Q14), 0), _xlfn.IFNA(_xlfn.XLOOKUP(Assumptions!BV$86, '1 Machine Build'!$F$11:$Q$11, '1 Machine Build'!$F14:$Q14), 0), _xlfn.IFNA(_xlfn.XLOOKUP(Assumptions!BV$87, '1 Machine Build'!$F$11:$Q$11, '1 Machine Build'!$F14:$Q14), 0), _xlfn.IFNA(_xlfn.XLOOKUP(Assumptions!BV$88, '1 Machine Build'!$F$11:$Q$11, '1 Machine Build'!$F14:$Q14), 0))</f>
        <v>0</v>
      </c>
      <c r="BY32" s="97">
        <f>SUM(_xlfn.IFNA(_xlfn.XLOOKUP(Assumptions!BW$81, '1 Machine Build'!$F$11:$Q$11, '1 Machine Build'!$F14:$Q14), 0), _xlfn.IFNA(_xlfn.XLOOKUP(Assumptions!BW$82, '1 Machine Build'!$F$11:$Q$11, '1 Machine Build'!$F14:$Q14), 0), _xlfn.IFNA(_xlfn.XLOOKUP(Assumptions!BW$83, '1 Machine Build'!$F$11:$Q$11, '1 Machine Build'!$F14:$Q14), 0), _xlfn.IFNA(_xlfn.XLOOKUP(Assumptions!BW$84, '1 Machine Build'!$F$11:$Q$11, '1 Machine Build'!$F14:$Q14), 0), _xlfn.IFNA(_xlfn.XLOOKUP(Assumptions!BW$85, '1 Machine Build'!$F$11:$Q$11, '1 Machine Build'!$F14:$Q14), 0), _xlfn.IFNA(_xlfn.XLOOKUP(Assumptions!BW$86, '1 Machine Build'!$F$11:$Q$11, '1 Machine Build'!$F14:$Q14), 0), _xlfn.IFNA(_xlfn.XLOOKUP(Assumptions!BW$87, '1 Machine Build'!$F$11:$Q$11, '1 Machine Build'!$F14:$Q14), 0), _xlfn.IFNA(_xlfn.XLOOKUP(Assumptions!BW$88, '1 Machine Build'!$F$11:$Q$11, '1 Machine Build'!$F14:$Q14), 0))</f>
        <v>0</v>
      </c>
      <c r="BZ32" s="97">
        <f>SUM(_xlfn.IFNA(_xlfn.XLOOKUP(Assumptions!BX$81, '1 Machine Build'!$F$11:$Q$11, '1 Machine Build'!$F14:$Q14), 0), _xlfn.IFNA(_xlfn.XLOOKUP(Assumptions!BX$82, '1 Machine Build'!$F$11:$Q$11, '1 Machine Build'!$F14:$Q14), 0), _xlfn.IFNA(_xlfn.XLOOKUP(Assumptions!BX$83, '1 Machine Build'!$F$11:$Q$11, '1 Machine Build'!$F14:$Q14), 0), _xlfn.IFNA(_xlfn.XLOOKUP(Assumptions!BX$84, '1 Machine Build'!$F$11:$Q$11, '1 Machine Build'!$F14:$Q14), 0), _xlfn.IFNA(_xlfn.XLOOKUP(Assumptions!BX$85, '1 Machine Build'!$F$11:$Q$11, '1 Machine Build'!$F14:$Q14), 0), _xlfn.IFNA(_xlfn.XLOOKUP(Assumptions!BX$86, '1 Machine Build'!$F$11:$Q$11, '1 Machine Build'!$F14:$Q14), 0), _xlfn.IFNA(_xlfn.XLOOKUP(Assumptions!BX$87, '1 Machine Build'!$F$11:$Q$11, '1 Machine Build'!$F14:$Q14), 0), _xlfn.IFNA(_xlfn.XLOOKUP(Assumptions!BX$88, '1 Machine Build'!$F$11:$Q$11, '1 Machine Build'!$F14:$Q14), 0))</f>
        <v>0</v>
      </c>
      <c r="CA32" s="97">
        <f>SUM(_xlfn.IFNA(_xlfn.XLOOKUP(Assumptions!BY$81, '1 Machine Build'!$F$11:$Q$11, '1 Machine Build'!$F14:$Q14), 0), _xlfn.IFNA(_xlfn.XLOOKUP(Assumptions!BY$82, '1 Machine Build'!$F$11:$Q$11, '1 Machine Build'!$F14:$Q14), 0), _xlfn.IFNA(_xlfn.XLOOKUP(Assumptions!BY$83, '1 Machine Build'!$F$11:$Q$11, '1 Machine Build'!$F14:$Q14), 0), _xlfn.IFNA(_xlfn.XLOOKUP(Assumptions!BY$84, '1 Machine Build'!$F$11:$Q$11, '1 Machine Build'!$F14:$Q14), 0), _xlfn.IFNA(_xlfn.XLOOKUP(Assumptions!BY$85, '1 Machine Build'!$F$11:$Q$11, '1 Machine Build'!$F14:$Q14), 0), _xlfn.IFNA(_xlfn.XLOOKUP(Assumptions!BY$86, '1 Machine Build'!$F$11:$Q$11, '1 Machine Build'!$F14:$Q14), 0), _xlfn.IFNA(_xlfn.XLOOKUP(Assumptions!BY$87, '1 Machine Build'!$F$11:$Q$11, '1 Machine Build'!$F14:$Q14), 0), _xlfn.IFNA(_xlfn.XLOOKUP(Assumptions!BY$88, '1 Machine Build'!$F$11:$Q$11, '1 Machine Build'!$F14:$Q14), 0))</f>
        <v>0</v>
      </c>
      <c r="CB32" s="97">
        <f>SUM(_xlfn.IFNA(_xlfn.XLOOKUP(Assumptions!BZ$81, '1 Machine Build'!$F$11:$Q$11, '1 Machine Build'!$F14:$Q14), 0), _xlfn.IFNA(_xlfn.XLOOKUP(Assumptions!BZ$82, '1 Machine Build'!$F$11:$Q$11, '1 Machine Build'!$F14:$Q14), 0), _xlfn.IFNA(_xlfn.XLOOKUP(Assumptions!BZ$83, '1 Machine Build'!$F$11:$Q$11, '1 Machine Build'!$F14:$Q14), 0), _xlfn.IFNA(_xlfn.XLOOKUP(Assumptions!BZ$84, '1 Machine Build'!$F$11:$Q$11, '1 Machine Build'!$F14:$Q14), 0), _xlfn.IFNA(_xlfn.XLOOKUP(Assumptions!BZ$85, '1 Machine Build'!$F$11:$Q$11, '1 Machine Build'!$F14:$Q14), 0), _xlfn.IFNA(_xlfn.XLOOKUP(Assumptions!BZ$86, '1 Machine Build'!$F$11:$Q$11, '1 Machine Build'!$F14:$Q14), 0), _xlfn.IFNA(_xlfn.XLOOKUP(Assumptions!BZ$87, '1 Machine Build'!$F$11:$Q$11, '1 Machine Build'!$F14:$Q14), 0), _xlfn.IFNA(_xlfn.XLOOKUP(Assumptions!BZ$88, '1 Machine Build'!$F$11:$Q$11, '1 Machine Build'!$F14:$Q14), 0))</f>
        <v>0</v>
      </c>
      <c r="CC32" s="97">
        <f>SUM(_xlfn.IFNA(_xlfn.XLOOKUP(Assumptions!CA$81, '1 Machine Build'!$F$11:$Q$11, '1 Machine Build'!$F14:$Q14), 0), _xlfn.IFNA(_xlfn.XLOOKUP(Assumptions!CA$82, '1 Machine Build'!$F$11:$Q$11, '1 Machine Build'!$F14:$Q14), 0), _xlfn.IFNA(_xlfn.XLOOKUP(Assumptions!CA$83, '1 Machine Build'!$F$11:$Q$11, '1 Machine Build'!$F14:$Q14), 0), _xlfn.IFNA(_xlfn.XLOOKUP(Assumptions!CA$84, '1 Machine Build'!$F$11:$Q$11, '1 Machine Build'!$F14:$Q14), 0), _xlfn.IFNA(_xlfn.XLOOKUP(Assumptions!CA$85, '1 Machine Build'!$F$11:$Q$11, '1 Machine Build'!$F14:$Q14), 0), _xlfn.IFNA(_xlfn.XLOOKUP(Assumptions!CA$86, '1 Machine Build'!$F$11:$Q$11, '1 Machine Build'!$F14:$Q14), 0), _xlfn.IFNA(_xlfn.XLOOKUP(Assumptions!CA$87, '1 Machine Build'!$F$11:$Q$11, '1 Machine Build'!$F14:$Q14), 0), _xlfn.IFNA(_xlfn.XLOOKUP(Assumptions!CA$88, '1 Machine Build'!$F$11:$Q$11, '1 Machine Build'!$F14:$Q14), 0))</f>
        <v>0</v>
      </c>
      <c r="CD32" s="97">
        <f>SUM(_xlfn.IFNA(_xlfn.XLOOKUP(Assumptions!CB$81, '1 Machine Build'!$F$11:$Q$11, '1 Machine Build'!$F14:$Q14), 0), _xlfn.IFNA(_xlfn.XLOOKUP(Assumptions!CB$82, '1 Machine Build'!$F$11:$Q$11, '1 Machine Build'!$F14:$Q14), 0), _xlfn.IFNA(_xlfn.XLOOKUP(Assumptions!CB$83, '1 Machine Build'!$F$11:$Q$11, '1 Machine Build'!$F14:$Q14), 0), _xlfn.IFNA(_xlfn.XLOOKUP(Assumptions!CB$84, '1 Machine Build'!$F$11:$Q$11, '1 Machine Build'!$F14:$Q14), 0), _xlfn.IFNA(_xlfn.XLOOKUP(Assumptions!CB$85, '1 Machine Build'!$F$11:$Q$11, '1 Machine Build'!$F14:$Q14), 0), _xlfn.IFNA(_xlfn.XLOOKUP(Assumptions!CB$86, '1 Machine Build'!$F$11:$Q$11, '1 Machine Build'!$F14:$Q14), 0), _xlfn.IFNA(_xlfn.XLOOKUP(Assumptions!CB$87, '1 Machine Build'!$F$11:$Q$11, '1 Machine Build'!$F14:$Q14), 0), _xlfn.IFNA(_xlfn.XLOOKUP(Assumptions!CB$88, '1 Machine Build'!$F$11:$Q$11, '1 Machine Build'!$F14:$Q14), 0))</f>
        <v>0</v>
      </c>
      <c r="CE32" s="97">
        <f>SUM(_xlfn.IFNA(_xlfn.XLOOKUP(Assumptions!CC$81, '1 Machine Build'!$F$11:$Q$11, '1 Machine Build'!$F14:$Q14), 0), _xlfn.IFNA(_xlfn.XLOOKUP(Assumptions!CC$82, '1 Machine Build'!$F$11:$Q$11, '1 Machine Build'!$F14:$Q14), 0), _xlfn.IFNA(_xlfn.XLOOKUP(Assumptions!CC$83, '1 Machine Build'!$F$11:$Q$11, '1 Machine Build'!$F14:$Q14), 0), _xlfn.IFNA(_xlfn.XLOOKUP(Assumptions!CC$84, '1 Machine Build'!$F$11:$Q$11, '1 Machine Build'!$F14:$Q14), 0), _xlfn.IFNA(_xlfn.XLOOKUP(Assumptions!CC$85, '1 Machine Build'!$F$11:$Q$11, '1 Machine Build'!$F14:$Q14), 0), _xlfn.IFNA(_xlfn.XLOOKUP(Assumptions!CC$86, '1 Machine Build'!$F$11:$Q$11, '1 Machine Build'!$F14:$Q14), 0), _xlfn.IFNA(_xlfn.XLOOKUP(Assumptions!CC$87, '1 Machine Build'!$F$11:$Q$11, '1 Machine Build'!$F14:$Q14), 0), _xlfn.IFNA(_xlfn.XLOOKUP(Assumptions!CC$88, '1 Machine Build'!$F$11:$Q$11, '1 Machine Build'!$F14:$Q14), 0))</f>
        <v>0</v>
      </c>
      <c r="CF32" s="97">
        <f>SUM(_xlfn.IFNA(_xlfn.XLOOKUP(Assumptions!CD$81, '1 Machine Build'!$F$11:$Q$11, '1 Machine Build'!$F14:$Q14), 0), _xlfn.IFNA(_xlfn.XLOOKUP(Assumptions!CD$82, '1 Machine Build'!$F$11:$Q$11, '1 Machine Build'!$F14:$Q14), 0), _xlfn.IFNA(_xlfn.XLOOKUP(Assumptions!CD$83, '1 Machine Build'!$F$11:$Q$11, '1 Machine Build'!$F14:$Q14), 0), _xlfn.IFNA(_xlfn.XLOOKUP(Assumptions!CD$84, '1 Machine Build'!$F$11:$Q$11, '1 Machine Build'!$F14:$Q14), 0), _xlfn.IFNA(_xlfn.XLOOKUP(Assumptions!CD$85, '1 Machine Build'!$F$11:$Q$11, '1 Machine Build'!$F14:$Q14), 0), _xlfn.IFNA(_xlfn.XLOOKUP(Assumptions!CD$86, '1 Machine Build'!$F$11:$Q$11, '1 Machine Build'!$F14:$Q14), 0), _xlfn.IFNA(_xlfn.XLOOKUP(Assumptions!CD$87, '1 Machine Build'!$F$11:$Q$11, '1 Machine Build'!$F14:$Q14), 0), _xlfn.IFNA(_xlfn.XLOOKUP(Assumptions!CD$88, '1 Machine Build'!$F$11:$Q$11, '1 Machine Build'!$F14:$Q14), 0))</f>
        <v>0</v>
      </c>
      <c r="CG32" s="97">
        <f>SUM(_xlfn.IFNA(_xlfn.XLOOKUP(Assumptions!CE$81, '1 Machine Build'!$F$11:$Q$11, '1 Machine Build'!$F14:$Q14), 0), _xlfn.IFNA(_xlfn.XLOOKUP(Assumptions!CE$82, '1 Machine Build'!$F$11:$Q$11, '1 Machine Build'!$F14:$Q14), 0), _xlfn.IFNA(_xlfn.XLOOKUP(Assumptions!CE$83, '1 Machine Build'!$F$11:$Q$11, '1 Machine Build'!$F14:$Q14), 0), _xlfn.IFNA(_xlfn.XLOOKUP(Assumptions!CE$84, '1 Machine Build'!$F$11:$Q$11, '1 Machine Build'!$F14:$Q14), 0), _xlfn.IFNA(_xlfn.XLOOKUP(Assumptions!CE$85, '1 Machine Build'!$F$11:$Q$11, '1 Machine Build'!$F14:$Q14), 0), _xlfn.IFNA(_xlfn.XLOOKUP(Assumptions!CE$86, '1 Machine Build'!$F$11:$Q$11, '1 Machine Build'!$F14:$Q14), 0), _xlfn.IFNA(_xlfn.XLOOKUP(Assumptions!CE$87, '1 Machine Build'!$F$11:$Q$11, '1 Machine Build'!$F14:$Q14), 0), _xlfn.IFNA(_xlfn.XLOOKUP(Assumptions!CE$88, '1 Machine Build'!$F$11:$Q$11, '1 Machine Build'!$F14:$Q14), 0))</f>
        <v>0</v>
      </c>
      <c r="CH32" s="97">
        <f>SUM(_xlfn.IFNA(_xlfn.XLOOKUP(Assumptions!CF$81, '1 Machine Build'!$F$11:$Q$11, '1 Machine Build'!$F14:$Q14), 0), _xlfn.IFNA(_xlfn.XLOOKUP(Assumptions!CF$82, '1 Machine Build'!$F$11:$Q$11, '1 Machine Build'!$F14:$Q14), 0), _xlfn.IFNA(_xlfn.XLOOKUP(Assumptions!CF$83, '1 Machine Build'!$F$11:$Q$11, '1 Machine Build'!$F14:$Q14), 0), _xlfn.IFNA(_xlfn.XLOOKUP(Assumptions!CF$84, '1 Machine Build'!$F$11:$Q$11, '1 Machine Build'!$F14:$Q14), 0), _xlfn.IFNA(_xlfn.XLOOKUP(Assumptions!CF$85, '1 Machine Build'!$F$11:$Q$11, '1 Machine Build'!$F14:$Q14), 0), _xlfn.IFNA(_xlfn.XLOOKUP(Assumptions!CF$86, '1 Machine Build'!$F$11:$Q$11, '1 Machine Build'!$F14:$Q14), 0), _xlfn.IFNA(_xlfn.XLOOKUP(Assumptions!CF$87, '1 Machine Build'!$F$11:$Q$11, '1 Machine Build'!$F14:$Q14), 0), _xlfn.IFNA(_xlfn.XLOOKUP(Assumptions!CF$88, '1 Machine Build'!$F$11:$Q$11, '1 Machine Build'!$F14:$Q14), 0))</f>
        <v>0</v>
      </c>
      <c r="CI32" s="97">
        <f>SUM(_xlfn.IFNA(_xlfn.XLOOKUP(Assumptions!CG$81, '1 Machine Build'!$F$11:$Q$11, '1 Machine Build'!$F14:$Q14), 0), _xlfn.IFNA(_xlfn.XLOOKUP(Assumptions!CG$82, '1 Machine Build'!$F$11:$Q$11, '1 Machine Build'!$F14:$Q14), 0), _xlfn.IFNA(_xlfn.XLOOKUP(Assumptions!CG$83, '1 Machine Build'!$F$11:$Q$11, '1 Machine Build'!$F14:$Q14), 0), _xlfn.IFNA(_xlfn.XLOOKUP(Assumptions!CG$84, '1 Machine Build'!$F$11:$Q$11, '1 Machine Build'!$F14:$Q14), 0), _xlfn.IFNA(_xlfn.XLOOKUP(Assumptions!CG$85, '1 Machine Build'!$F$11:$Q$11, '1 Machine Build'!$F14:$Q14), 0), _xlfn.IFNA(_xlfn.XLOOKUP(Assumptions!CG$86, '1 Machine Build'!$F$11:$Q$11, '1 Machine Build'!$F14:$Q14), 0), _xlfn.IFNA(_xlfn.XLOOKUP(Assumptions!CG$87, '1 Machine Build'!$F$11:$Q$11, '1 Machine Build'!$F14:$Q14), 0), _xlfn.IFNA(_xlfn.XLOOKUP(Assumptions!CG$88, '1 Machine Build'!$F$11:$Q$11, '1 Machine Build'!$F14:$Q14), 0))</f>
        <v>0</v>
      </c>
      <c r="CJ32" s="97">
        <f>SUM(_xlfn.IFNA(_xlfn.XLOOKUP(Assumptions!CH$81, '1 Machine Build'!$F$11:$Q$11, '1 Machine Build'!$F14:$Q14), 0), _xlfn.IFNA(_xlfn.XLOOKUP(Assumptions!CH$82, '1 Machine Build'!$F$11:$Q$11, '1 Machine Build'!$F14:$Q14), 0), _xlfn.IFNA(_xlfn.XLOOKUP(Assumptions!CH$83, '1 Machine Build'!$F$11:$Q$11, '1 Machine Build'!$F14:$Q14), 0), _xlfn.IFNA(_xlfn.XLOOKUP(Assumptions!CH$84, '1 Machine Build'!$F$11:$Q$11, '1 Machine Build'!$F14:$Q14), 0), _xlfn.IFNA(_xlfn.XLOOKUP(Assumptions!CH$85, '1 Machine Build'!$F$11:$Q$11, '1 Machine Build'!$F14:$Q14), 0), _xlfn.IFNA(_xlfn.XLOOKUP(Assumptions!CH$86, '1 Machine Build'!$F$11:$Q$11, '1 Machine Build'!$F14:$Q14), 0), _xlfn.IFNA(_xlfn.XLOOKUP(Assumptions!CH$87, '1 Machine Build'!$F$11:$Q$11, '1 Machine Build'!$F14:$Q14), 0), _xlfn.IFNA(_xlfn.XLOOKUP(Assumptions!CH$88, '1 Machine Build'!$F$11:$Q$11, '1 Machine Build'!$F14:$Q14), 0))</f>
        <v>0</v>
      </c>
      <c r="CK32" s="97">
        <f>SUM(_xlfn.IFNA(_xlfn.XLOOKUP(Assumptions!CI$81, '1 Machine Build'!$F$11:$Q$11, '1 Machine Build'!$F14:$Q14), 0), _xlfn.IFNA(_xlfn.XLOOKUP(Assumptions!CI$82, '1 Machine Build'!$F$11:$Q$11, '1 Machine Build'!$F14:$Q14), 0), _xlfn.IFNA(_xlfn.XLOOKUP(Assumptions!CI$83, '1 Machine Build'!$F$11:$Q$11, '1 Machine Build'!$F14:$Q14), 0), _xlfn.IFNA(_xlfn.XLOOKUP(Assumptions!CI$84, '1 Machine Build'!$F$11:$Q$11, '1 Machine Build'!$F14:$Q14), 0), _xlfn.IFNA(_xlfn.XLOOKUP(Assumptions!CI$85, '1 Machine Build'!$F$11:$Q$11, '1 Machine Build'!$F14:$Q14), 0), _xlfn.IFNA(_xlfn.XLOOKUP(Assumptions!CI$86, '1 Machine Build'!$F$11:$Q$11, '1 Machine Build'!$F14:$Q14), 0), _xlfn.IFNA(_xlfn.XLOOKUP(Assumptions!CI$87, '1 Machine Build'!$F$11:$Q$11, '1 Machine Build'!$F14:$Q14), 0), _xlfn.IFNA(_xlfn.XLOOKUP(Assumptions!CI$88, '1 Machine Build'!$F$11:$Q$11, '1 Machine Build'!$F14:$Q14), 0))</f>
        <v>0</v>
      </c>
      <c r="CL32" s="97">
        <f>SUM(_xlfn.IFNA(_xlfn.XLOOKUP(Assumptions!CJ$81, '1 Machine Build'!$F$11:$Q$11, '1 Machine Build'!$F14:$Q14), 0), _xlfn.IFNA(_xlfn.XLOOKUP(Assumptions!CJ$82, '1 Machine Build'!$F$11:$Q$11, '1 Machine Build'!$F14:$Q14), 0), _xlfn.IFNA(_xlfn.XLOOKUP(Assumptions!CJ$83, '1 Machine Build'!$F$11:$Q$11, '1 Machine Build'!$F14:$Q14), 0), _xlfn.IFNA(_xlfn.XLOOKUP(Assumptions!CJ$84, '1 Machine Build'!$F$11:$Q$11, '1 Machine Build'!$F14:$Q14), 0), _xlfn.IFNA(_xlfn.XLOOKUP(Assumptions!CJ$85, '1 Machine Build'!$F$11:$Q$11, '1 Machine Build'!$F14:$Q14), 0), _xlfn.IFNA(_xlfn.XLOOKUP(Assumptions!CJ$86, '1 Machine Build'!$F$11:$Q$11, '1 Machine Build'!$F14:$Q14), 0), _xlfn.IFNA(_xlfn.XLOOKUP(Assumptions!CJ$87, '1 Machine Build'!$F$11:$Q$11, '1 Machine Build'!$F14:$Q14), 0), _xlfn.IFNA(_xlfn.XLOOKUP(Assumptions!CJ$88, '1 Machine Build'!$F$11:$Q$11, '1 Machine Build'!$F14:$Q14), 0))</f>
        <v>0</v>
      </c>
      <c r="CM32" s="97">
        <f>SUM(_xlfn.IFNA(_xlfn.XLOOKUP(Assumptions!CK$81, '1 Machine Build'!$F$11:$Q$11, '1 Machine Build'!$F14:$Q14), 0), _xlfn.IFNA(_xlfn.XLOOKUP(Assumptions!CK$82, '1 Machine Build'!$F$11:$Q$11, '1 Machine Build'!$F14:$Q14), 0), _xlfn.IFNA(_xlfn.XLOOKUP(Assumptions!CK$83, '1 Machine Build'!$F$11:$Q$11, '1 Machine Build'!$F14:$Q14), 0), _xlfn.IFNA(_xlfn.XLOOKUP(Assumptions!CK$84, '1 Machine Build'!$F$11:$Q$11, '1 Machine Build'!$F14:$Q14), 0), _xlfn.IFNA(_xlfn.XLOOKUP(Assumptions!CK$85, '1 Machine Build'!$F$11:$Q$11, '1 Machine Build'!$F14:$Q14), 0), _xlfn.IFNA(_xlfn.XLOOKUP(Assumptions!CK$86, '1 Machine Build'!$F$11:$Q$11, '1 Machine Build'!$F14:$Q14), 0), _xlfn.IFNA(_xlfn.XLOOKUP(Assumptions!CK$87, '1 Machine Build'!$F$11:$Q$11, '1 Machine Build'!$F14:$Q14), 0), _xlfn.IFNA(_xlfn.XLOOKUP(Assumptions!CK$88, '1 Machine Build'!$F$11:$Q$11, '1 Machine Build'!$F14:$Q14), 0))</f>
        <v>0</v>
      </c>
      <c r="CN32" s="97">
        <f>SUM(_xlfn.IFNA(_xlfn.XLOOKUP(Assumptions!CL$81, '1 Machine Build'!$F$11:$Q$11, '1 Machine Build'!$F14:$Q14), 0), _xlfn.IFNA(_xlfn.XLOOKUP(Assumptions!CL$82, '1 Machine Build'!$F$11:$Q$11, '1 Machine Build'!$F14:$Q14), 0), _xlfn.IFNA(_xlfn.XLOOKUP(Assumptions!CL$83, '1 Machine Build'!$F$11:$Q$11, '1 Machine Build'!$F14:$Q14), 0), _xlfn.IFNA(_xlfn.XLOOKUP(Assumptions!CL$84, '1 Machine Build'!$F$11:$Q$11, '1 Machine Build'!$F14:$Q14), 0), _xlfn.IFNA(_xlfn.XLOOKUP(Assumptions!CL$85, '1 Machine Build'!$F$11:$Q$11, '1 Machine Build'!$F14:$Q14), 0), _xlfn.IFNA(_xlfn.XLOOKUP(Assumptions!CL$86, '1 Machine Build'!$F$11:$Q$11, '1 Machine Build'!$F14:$Q14), 0), _xlfn.IFNA(_xlfn.XLOOKUP(Assumptions!CL$87, '1 Machine Build'!$F$11:$Q$11, '1 Machine Build'!$F14:$Q14), 0), _xlfn.IFNA(_xlfn.XLOOKUP(Assumptions!CL$88, '1 Machine Build'!$F$11:$Q$11, '1 Machine Build'!$F14:$Q14), 0))</f>
        <v>0</v>
      </c>
      <c r="CO32" s="97">
        <f>SUM(_xlfn.IFNA(_xlfn.XLOOKUP(Assumptions!CM$81, '1 Machine Build'!$F$11:$Q$11, '1 Machine Build'!$F14:$Q14), 0), _xlfn.IFNA(_xlfn.XLOOKUP(Assumptions!CM$82, '1 Machine Build'!$F$11:$Q$11, '1 Machine Build'!$F14:$Q14), 0), _xlfn.IFNA(_xlfn.XLOOKUP(Assumptions!CM$83, '1 Machine Build'!$F$11:$Q$11, '1 Machine Build'!$F14:$Q14), 0), _xlfn.IFNA(_xlfn.XLOOKUP(Assumptions!CM$84, '1 Machine Build'!$F$11:$Q$11, '1 Machine Build'!$F14:$Q14), 0), _xlfn.IFNA(_xlfn.XLOOKUP(Assumptions!CM$85, '1 Machine Build'!$F$11:$Q$11, '1 Machine Build'!$F14:$Q14), 0), _xlfn.IFNA(_xlfn.XLOOKUP(Assumptions!CM$86, '1 Machine Build'!$F$11:$Q$11, '1 Machine Build'!$F14:$Q14), 0), _xlfn.IFNA(_xlfn.XLOOKUP(Assumptions!CM$87, '1 Machine Build'!$F$11:$Q$11, '1 Machine Build'!$F14:$Q14), 0), _xlfn.IFNA(_xlfn.XLOOKUP(Assumptions!CM$88, '1 Machine Build'!$F$11:$Q$11, '1 Machine Build'!$F14:$Q14), 0))</f>
        <v>0</v>
      </c>
      <c r="CP32" s="97">
        <f>SUM(_xlfn.IFNA(_xlfn.XLOOKUP(Assumptions!CN$81, '1 Machine Build'!$F$11:$Q$11, '1 Machine Build'!$F14:$Q14), 0), _xlfn.IFNA(_xlfn.XLOOKUP(Assumptions!CN$82, '1 Machine Build'!$F$11:$Q$11, '1 Machine Build'!$F14:$Q14), 0), _xlfn.IFNA(_xlfn.XLOOKUP(Assumptions!CN$83, '1 Machine Build'!$F$11:$Q$11, '1 Machine Build'!$F14:$Q14), 0), _xlfn.IFNA(_xlfn.XLOOKUP(Assumptions!CN$84, '1 Machine Build'!$F$11:$Q$11, '1 Machine Build'!$F14:$Q14), 0), _xlfn.IFNA(_xlfn.XLOOKUP(Assumptions!CN$85, '1 Machine Build'!$F$11:$Q$11, '1 Machine Build'!$F14:$Q14), 0), _xlfn.IFNA(_xlfn.XLOOKUP(Assumptions!CN$86, '1 Machine Build'!$F$11:$Q$11, '1 Machine Build'!$F14:$Q14), 0), _xlfn.IFNA(_xlfn.XLOOKUP(Assumptions!CN$87, '1 Machine Build'!$F$11:$Q$11, '1 Machine Build'!$F14:$Q14), 0), _xlfn.IFNA(_xlfn.XLOOKUP(Assumptions!CN$88, '1 Machine Build'!$F$11:$Q$11, '1 Machine Build'!$F14:$Q14), 0))</f>
        <v>0</v>
      </c>
      <c r="CQ32" s="97">
        <f>SUM(_xlfn.IFNA(_xlfn.XLOOKUP(Assumptions!CO$81, '1 Machine Build'!$F$11:$Q$11, '1 Machine Build'!$F14:$Q14), 0), _xlfn.IFNA(_xlfn.XLOOKUP(Assumptions!CO$82, '1 Machine Build'!$F$11:$Q$11, '1 Machine Build'!$F14:$Q14), 0), _xlfn.IFNA(_xlfn.XLOOKUP(Assumptions!CO$83, '1 Machine Build'!$F$11:$Q$11, '1 Machine Build'!$F14:$Q14), 0), _xlfn.IFNA(_xlfn.XLOOKUP(Assumptions!CO$84, '1 Machine Build'!$F$11:$Q$11, '1 Machine Build'!$F14:$Q14), 0), _xlfn.IFNA(_xlfn.XLOOKUP(Assumptions!CO$85, '1 Machine Build'!$F$11:$Q$11, '1 Machine Build'!$F14:$Q14), 0), _xlfn.IFNA(_xlfn.XLOOKUP(Assumptions!CO$86, '1 Machine Build'!$F$11:$Q$11, '1 Machine Build'!$F14:$Q14), 0), _xlfn.IFNA(_xlfn.XLOOKUP(Assumptions!CO$87, '1 Machine Build'!$F$11:$Q$11, '1 Machine Build'!$F14:$Q14), 0), _xlfn.IFNA(_xlfn.XLOOKUP(Assumptions!CO$88, '1 Machine Build'!$F$11:$Q$11, '1 Machine Build'!$F14:$Q14), 0))</f>
        <v>0</v>
      </c>
      <c r="CR32" s="97">
        <f>SUM(_xlfn.IFNA(_xlfn.XLOOKUP(Assumptions!CP$81, '1 Machine Build'!$F$11:$Q$11, '1 Machine Build'!$F14:$Q14), 0), _xlfn.IFNA(_xlfn.XLOOKUP(Assumptions!CP$82, '1 Machine Build'!$F$11:$Q$11, '1 Machine Build'!$F14:$Q14), 0), _xlfn.IFNA(_xlfn.XLOOKUP(Assumptions!CP$83, '1 Machine Build'!$F$11:$Q$11, '1 Machine Build'!$F14:$Q14), 0), _xlfn.IFNA(_xlfn.XLOOKUP(Assumptions!CP$84, '1 Machine Build'!$F$11:$Q$11, '1 Machine Build'!$F14:$Q14), 0), _xlfn.IFNA(_xlfn.XLOOKUP(Assumptions!CP$85, '1 Machine Build'!$F$11:$Q$11, '1 Machine Build'!$F14:$Q14), 0), _xlfn.IFNA(_xlfn.XLOOKUP(Assumptions!CP$86, '1 Machine Build'!$F$11:$Q$11, '1 Machine Build'!$F14:$Q14), 0), _xlfn.IFNA(_xlfn.XLOOKUP(Assumptions!CP$87, '1 Machine Build'!$F$11:$Q$11, '1 Machine Build'!$F14:$Q14), 0), _xlfn.IFNA(_xlfn.XLOOKUP(Assumptions!CP$88, '1 Machine Build'!$F$11:$Q$11, '1 Machine Build'!$F14:$Q14), 0))</f>
        <v>0</v>
      </c>
      <c r="CS32" s="97">
        <f>SUM(_xlfn.IFNA(_xlfn.XLOOKUP(Assumptions!CQ$81, '1 Machine Build'!$F$11:$Q$11, '1 Machine Build'!$F14:$Q14), 0), _xlfn.IFNA(_xlfn.XLOOKUP(Assumptions!CQ$82, '1 Machine Build'!$F$11:$Q$11, '1 Machine Build'!$F14:$Q14), 0), _xlfn.IFNA(_xlfn.XLOOKUP(Assumptions!CQ$83, '1 Machine Build'!$F$11:$Q$11, '1 Machine Build'!$F14:$Q14), 0), _xlfn.IFNA(_xlfn.XLOOKUP(Assumptions!CQ$84, '1 Machine Build'!$F$11:$Q$11, '1 Machine Build'!$F14:$Q14), 0), _xlfn.IFNA(_xlfn.XLOOKUP(Assumptions!CQ$85, '1 Machine Build'!$F$11:$Q$11, '1 Machine Build'!$F14:$Q14), 0), _xlfn.IFNA(_xlfn.XLOOKUP(Assumptions!CQ$86, '1 Machine Build'!$F$11:$Q$11, '1 Machine Build'!$F14:$Q14), 0), _xlfn.IFNA(_xlfn.XLOOKUP(Assumptions!CQ$87, '1 Machine Build'!$F$11:$Q$11, '1 Machine Build'!$F14:$Q14), 0), _xlfn.IFNA(_xlfn.XLOOKUP(Assumptions!CQ$88, '1 Machine Build'!$F$11:$Q$11, '1 Machine Build'!$F14:$Q14), 0))</f>
        <v>0</v>
      </c>
      <c r="CT32" s="97">
        <f>SUM(_xlfn.IFNA(_xlfn.XLOOKUP(Assumptions!CR$81, '1 Machine Build'!$F$11:$Q$11, '1 Machine Build'!$F14:$Q14), 0), _xlfn.IFNA(_xlfn.XLOOKUP(Assumptions!CR$82, '1 Machine Build'!$F$11:$Q$11, '1 Machine Build'!$F14:$Q14), 0), _xlfn.IFNA(_xlfn.XLOOKUP(Assumptions!CR$83, '1 Machine Build'!$F$11:$Q$11, '1 Machine Build'!$F14:$Q14), 0), _xlfn.IFNA(_xlfn.XLOOKUP(Assumptions!CR$84, '1 Machine Build'!$F$11:$Q$11, '1 Machine Build'!$F14:$Q14), 0), _xlfn.IFNA(_xlfn.XLOOKUP(Assumptions!CR$85, '1 Machine Build'!$F$11:$Q$11, '1 Machine Build'!$F14:$Q14), 0), _xlfn.IFNA(_xlfn.XLOOKUP(Assumptions!CR$86, '1 Machine Build'!$F$11:$Q$11, '1 Machine Build'!$F14:$Q14), 0), _xlfn.IFNA(_xlfn.XLOOKUP(Assumptions!CR$87, '1 Machine Build'!$F$11:$Q$11, '1 Machine Build'!$F14:$Q14), 0), _xlfn.IFNA(_xlfn.XLOOKUP(Assumptions!CR$88, '1 Machine Build'!$F$11:$Q$11, '1 Machine Build'!$F14:$Q14), 0))</f>
        <v>0</v>
      </c>
      <c r="CU32" s="97">
        <f>SUM(_xlfn.IFNA(_xlfn.XLOOKUP(Assumptions!CS$81, '1 Machine Build'!$F$11:$Q$11, '1 Machine Build'!$F14:$Q14), 0), _xlfn.IFNA(_xlfn.XLOOKUP(Assumptions!CS$82, '1 Machine Build'!$F$11:$Q$11, '1 Machine Build'!$F14:$Q14), 0), _xlfn.IFNA(_xlfn.XLOOKUP(Assumptions!CS$83, '1 Machine Build'!$F$11:$Q$11, '1 Machine Build'!$F14:$Q14), 0), _xlfn.IFNA(_xlfn.XLOOKUP(Assumptions!CS$84, '1 Machine Build'!$F$11:$Q$11, '1 Machine Build'!$F14:$Q14), 0), _xlfn.IFNA(_xlfn.XLOOKUP(Assumptions!CS$85, '1 Machine Build'!$F$11:$Q$11, '1 Machine Build'!$F14:$Q14), 0), _xlfn.IFNA(_xlfn.XLOOKUP(Assumptions!CS$86, '1 Machine Build'!$F$11:$Q$11, '1 Machine Build'!$F14:$Q14), 0), _xlfn.IFNA(_xlfn.XLOOKUP(Assumptions!CS$87, '1 Machine Build'!$F$11:$Q$11, '1 Machine Build'!$F14:$Q14), 0), _xlfn.IFNA(_xlfn.XLOOKUP(Assumptions!CS$88, '1 Machine Build'!$F$11:$Q$11, '1 Machine Build'!$F14:$Q14), 0))</f>
        <v>0</v>
      </c>
      <c r="CV32" s="97">
        <f>SUM(_xlfn.IFNA(_xlfn.XLOOKUP(Assumptions!CT$81, '1 Machine Build'!$F$11:$Q$11, '1 Machine Build'!$F14:$Q14), 0), _xlfn.IFNA(_xlfn.XLOOKUP(Assumptions!CT$82, '1 Machine Build'!$F$11:$Q$11, '1 Machine Build'!$F14:$Q14), 0), _xlfn.IFNA(_xlfn.XLOOKUP(Assumptions!CT$83, '1 Machine Build'!$F$11:$Q$11, '1 Machine Build'!$F14:$Q14), 0), _xlfn.IFNA(_xlfn.XLOOKUP(Assumptions!CT$84, '1 Machine Build'!$F$11:$Q$11, '1 Machine Build'!$F14:$Q14), 0), _xlfn.IFNA(_xlfn.XLOOKUP(Assumptions!CT$85, '1 Machine Build'!$F$11:$Q$11, '1 Machine Build'!$F14:$Q14), 0), _xlfn.IFNA(_xlfn.XLOOKUP(Assumptions!CT$86, '1 Machine Build'!$F$11:$Q$11, '1 Machine Build'!$F14:$Q14), 0), _xlfn.IFNA(_xlfn.XLOOKUP(Assumptions!CT$87, '1 Machine Build'!$F$11:$Q$11, '1 Machine Build'!$F14:$Q14), 0), _xlfn.IFNA(_xlfn.XLOOKUP(Assumptions!CT$88, '1 Machine Build'!$F$11:$Q$11, '1 Machine Build'!$F14:$Q14), 0))</f>
        <v>0</v>
      </c>
      <c r="CW32" s="97">
        <f>SUM(_xlfn.IFNA(_xlfn.XLOOKUP(Assumptions!CU$81, '1 Machine Build'!$F$11:$Q$11, '1 Machine Build'!$F14:$Q14), 0), _xlfn.IFNA(_xlfn.XLOOKUP(Assumptions!CU$82, '1 Machine Build'!$F$11:$Q$11, '1 Machine Build'!$F14:$Q14), 0), _xlfn.IFNA(_xlfn.XLOOKUP(Assumptions!CU$83, '1 Machine Build'!$F$11:$Q$11, '1 Machine Build'!$F14:$Q14), 0), _xlfn.IFNA(_xlfn.XLOOKUP(Assumptions!CU$84, '1 Machine Build'!$F$11:$Q$11, '1 Machine Build'!$F14:$Q14), 0), _xlfn.IFNA(_xlfn.XLOOKUP(Assumptions!CU$85, '1 Machine Build'!$F$11:$Q$11, '1 Machine Build'!$F14:$Q14), 0), _xlfn.IFNA(_xlfn.XLOOKUP(Assumptions!CU$86, '1 Machine Build'!$F$11:$Q$11, '1 Machine Build'!$F14:$Q14), 0), _xlfn.IFNA(_xlfn.XLOOKUP(Assumptions!CU$87, '1 Machine Build'!$F$11:$Q$11, '1 Machine Build'!$F14:$Q14), 0), _xlfn.IFNA(_xlfn.XLOOKUP(Assumptions!CU$88, '1 Machine Build'!$F$11:$Q$11, '1 Machine Build'!$F14:$Q14), 0))</f>
        <v>0</v>
      </c>
      <c r="CX32" s="97">
        <f>SUM(_xlfn.IFNA(_xlfn.XLOOKUP(Assumptions!CV$81, '1 Machine Build'!$F$11:$Q$11, '1 Machine Build'!$F14:$Q14), 0), _xlfn.IFNA(_xlfn.XLOOKUP(Assumptions!CV$82, '1 Machine Build'!$F$11:$Q$11, '1 Machine Build'!$F14:$Q14), 0), _xlfn.IFNA(_xlfn.XLOOKUP(Assumptions!CV$83, '1 Machine Build'!$F$11:$Q$11, '1 Machine Build'!$F14:$Q14), 0), _xlfn.IFNA(_xlfn.XLOOKUP(Assumptions!CV$84, '1 Machine Build'!$F$11:$Q$11, '1 Machine Build'!$F14:$Q14), 0), _xlfn.IFNA(_xlfn.XLOOKUP(Assumptions!CV$85, '1 Machine Build'!$F$11:$Q$11, '1 Machine Build'!$F14:$Q14), 0), _xlfn.IFNA(_xlfn.XLOOKUP(Assumptions!CV$86, '1 Machine Build'!$F$11:$Q$11, '1 Machine Build'!$F14:$Q14), 0), _xlfn.IFNA(_xlfn.XLOOKUP(Assumptions!CV$87, '1 Machine Build'!$F$11:$Q$11, '1 Machine Build'!$F14:$Q14), 0), _xlfn.IFNA(_xlfn.XLOOKUP(Assumptions!CV$88, '1 Machine Build'!$F$11:$Q$11, '1 Machine Build'!$F14:$Q14), 0))</f>
        <v>0</v>
      </c>
      <c r="CY32" s="97">
        <f>SUM(_xlfn.IFNA(_xlfn.XLOOKUP(Assumptions!CW$81, '1 Machine Build'!$F$11:$Q$11, '1 Machine Build'!$F14:$Q14), 0), _xlfn.IFNA(_xlfn.XLOOKUP(Assumptions!CW$82, '1 Machine Build'!$F$11:$Q$11, '1 Machine Build'!$F14:$Q14), 0), _xlfn.IFNA(_xlfn.XLOOKUP(Assumptions!CW$83, '1 Machine Build'!$F$11:$Q$11, '1 Machine Build'!$F14:$Q14), 0), _xlfn.IFNA(_xlfn.XLOOKUP(Assumptions!CW$84, '1 Machine Build'!$F$11:$Q$11, '1 Machine Build'!$F14:$Q14), 0), _xlfn.IFNA(_xlfn.XLOOKUP(Assumptions!CW$85, '1 Machine Build'!$F$11:$Q$11, '1 Machine Build'!$F14:$Q14), 0), _xlfn.IFNA(_xlfn.XLOOKUP(Assumptions!CW$86, '1 Machine Build'!$F$11:$Q$11, '1 Machine Build'!$F14:$Q14), 0), _xlfn.IFNA(_xlfn.XLOOKUP(Assumptions!CW$87, '1 Machine Build'!$F$11:$Q$11, '1 Machine Build'!$F14:$Q14), 0), _xlfn.IFNA(_xlfn.XLOOKUP(Assumptions!CW$88, '1 Machine Build'!$F$11:$Q$11, '1 Machine Build'!$F14:$Q14), 0))</f>
        <v>0</v>
      </c>
      <c r="CZ32" s="97">
        <f>SUM(_xlfn.IFNA(_xlfn.XLOOKUP(Assumptions!CX$81, '1 Machine Build'!$F$11:$Q$11, '1 Machine Build'!$F14:$Q14), 0), _xlfn.IFNA(_xlfn.XLOOKUP(Assumptions!CX$82, '1 Machine Build'!$F$11:$Q$11, '1 Machine Build'!$F14:$Q14), 0), _xlfn.IFNA(_xlfn.XLOOKUP(Assumptions!CX$83, '1 Machine Build'!$F$11:$Q$11, '1 Machine Build'!$F14:$Q14), 0), _xlfn.IFNA(_xlfn.XLOOKUP(Assumptions!CX$84, '1 Machine Build'!$F$11:$Q$11, '1 Machine Build'!$F14:$Q14), 0), _xlfn.IFNA(_xlfn.XLOOKUP(Assumptions!CX$85, '1 Machine Build'!$F$11:$Q$11, '1 Machine Build'!$F14:$Q14), 0), _xlfn.IFNA(_xlfn.XLOOKUP(Assumptions!CX$86, '1 Machine Build'!$F$11:$Q$11, '1 Machine Build'!$F14:$Q14), 0), _xlfn.IFNA(_xlfn.XLOOKUP(Assumptions!CX$87, '1 Machine Build'!$F$11:$Q$11, '1 Machine Build'!$F14:$Q14), 0), _xlfn.IFNA(_xlfn.XLOOKUP(Assumptions!CX$88, '1 Machine Build'!$F$11:$Q$11, '1 Machine Build'!$F14:$Q14), 0))</f>
        <v>0</v>
      </c>
      <c r="DA32" s="97">
        <f>SUM(_xlfn.IFNA(_xlfn.XLOOKUP(Assumptions!CY$81, '1 Machine Build'!$F$11:$Q$11, '1 Machine Build'!$F14:$Q14), 0), _xlfn.IFNA(_xlfn.XLOOKUP(Assumptions!CY$82, '1 Machine Build'!$F$11:$Q$11, '1 Machine Build'!$F14:$Q14), 0), _xlfn.IFNA(_xlfn.XLOOKUP(Assumptions!CY$83, '1 Machine Build'!$F$11:$Q$11, '1 Machine Build'!$F14:$Q14), 0), _xlfn.IFNA(_xlfn.XLOOKUP(Assumptions!CY$84, '1 Machine Build'!$F$11:$Q$11, '1 Machine Build'!$F14:$Q14), 0), _xlfn.IFNA(_xlfn.XLOOKUP(Assumptions!CY$85, '1 Machine Build'!$F$11:$Q$11, '1 Machine Build'!$F14:$Q14), 0), _xlfn.IFNA(_xlfn.XLOOKUP(Assumptions!CY$86, '1 Machine Build'!$F$11:$Q$11, '1 Machine Build'!$F14:$Q14), 0), _xlfn.IFNA(_xlfn.XLOOKUP(Assumptions!CY$87, '1 Machine Build'!$F$11:$Q$11, '1 Machine Build'!$F14:$Q14), 0), _xlfn.IFNA(_xlfn.XLOOKUP(Assumptions!CY$88, '1 Machine Build'!$F$11:$Q$11, '1 Machine Build'!$F14:$Q14), 0))</f>
        <v>0</v>
      </c>
      <c r="DB32" s="97">
        <f>SUM(_xlfn.IFNA(_xlfn.XLOOKUP(Assumptions!CZ$81, '1 Machine Build'!$F$11:$Q$11, '1 Machine Build'!$F14:$Q14), 0), _xlfn.IFNA(_xlfn.XLOOKUP(Assumptions!CZ$82, '1 Machine Build'!$F$11:$Q$11, '1 Machine Build'!$F14:$Q14), 0), _xlfn.IFNA(_xlfn.XLOOKUP(Assumptions!CZ$83, '1 Machine Build'!$F$11:$Q$11, '1 Machine Build'!$F14:$Q14), 0), _xlfn.IFNA(_xlfn.XLOOKUP(Assumptions!CZ$84, '1 Machine Build'!$F$11:$Q$11, '1 Machine Build'!$F14:$Q14), 0), _xlfn.IFNA(_xlfn.XLOOKUP(Assumptions!CZ$85, '1 Machine Build'!$F$11:$Q$11, '1 Machine Build'!$F14:$Q14), 0), _xlfn.IFNA(_xlfn.XLOOKUP(Assumptions!CZ$86, '1 Machine Build'!$F$11:$Q$11, '1 Machine Build'!$F14:$Q14), 0), _xlfn.IFNA(_xlfn.XLOOKUP(Assumptions!CZ$87, '1 Machine Build'!$F$11:$Q$11, '1 Machine Build'!$F14:$Q14), 0), _xlfn.IFNA(_xlfn.XLOOKUP(Assumptions!CZ$88, '1 Machine Build'!$F$11:$Q$11, '1 Machine Build'!$F14:$Q14), 0))</f>
        <v>0</v>
      </c>
      <c r="DC32" s="97">
        <f>SUM(_xlfn.IFNA(_xlfn.XLOOKUP(Assumptions!DA$81, '1 Machine Build'!$F$11:$Q$11, '1 Machine Build'!$F14:$Q14), 0), _xlfn.IFNA(_xlfn.XLOOKUP(Assumptions!DA$82, '1 Machine Build'!$F$11:$Q$11, '1 Machine Build'!$F14:$Q14), 0), _xlfn.IFNA(_xlfn.XLOOKUP(Assumptions!DA$83, '1 Machine Build'!$F$11:$Q$11, '1 Machine Build'!$F14:$Q14), 0), _xlfn.IFNA(_xlfn.XLOOKUP(Assumptions!DA$84, '1 Machine Build'!$F$11:$Q$11, '1 Machine Build'!$F14:$Q14), 0), _xlfn.IFNA(_xlfn.XLOOKUP(Assumptions!DA$85, '1 Machine Build'!$F$11:$Q$11, '1 Machine Build'!$F14:$Q14), 0), _xlfn.IFNA(_xlfn.XLOOKUP(Assumptions!DA$86, '1 Machine Build'!$F$11:$Q$11, '1 Machine Build'!$F14:$Q14), 0), _xlfn.IFNA(_xlfn.XLOOKUP(Assumptions!DA$87, '1 Machine Build'!$F$11:$Q$11, '1 Machine Build'!$F14:$Q14), 0), _xlfn.IFNA(_xlfn.XLOOKUP(Assumptions!DA$88, '1 Machine Build'!$F$11:$Q$11, '1 Machine Build'!$F14:$Q14), 0))</f>
        <v>0</v>
      </c>
      <c r="DD32" s="97">
        <f>SUM(_xlfn.IFNA(_xlfn.XLOOKUP(Assumptions!DB$81, '1 Machine Build'!$F$11:$Q$11, '1 Machine Build'!$F14:$Q14), 0), _xlfn.IFNA(_xlfn.XLOOKUP(Assumptions!DB$82, '1 Machine Build'!$F$11:$Q$11, '1 Machine Build'!$F14:$Q14), 0), _xlfn.IFNA(_xlfn.XLOOKUP(Assumptions!DB$83, '1 Machine Build'!$F$11:$Q$11, '1 Machine Build'!$F14:$Q14), 0), _xlfn.IFNA(_xlfn.XLOOKUP(Assumptions!DB$84, '1 Machine Build'!$F$11:$Q$11, '1 Machine Build'!$F14:$Q14), 0), _xlfn.IFNA(_xlfn.XLOOKUP(Assumptions!DB$85, '1 Machine Build'!$F$11:$Q$11, '1 Machine Build'!$F14:$Q14), 0), _xlfn.IFNA(_xlfn.XLOOKUP(Assumptions!DB$86, '1 Machine Build'!$F$11:$Q$11, '1 Machine Build'!$F14:$Q14), 0), _xlfn.IFNA(_xlfn.XLOOKUP(Assumptions!DB$87, '1 Machine Build'!$F$11:$Q$11, '1 Machine Build'!$F14:$Q14), 0), _xlfn.IFNA(_xlfn.XLOOKUP(Assumptions!DB$88, '1 Machine Build'!$F$11:$Q$11, '1 Machine Build'!$F14:$Q14), 0))</f>
        <v>0</v>
      </c>
      <c r="DE32" s="97">
        <f>SUM(_xlfn.IFNA(_xlfn.XLOOKUP(Assumptions!DC$81, '1 Machine Build'!$F$11:$Q$11, '1 Machine Build'!$F14:$Q14), 0), _xlfn.IFNA(_xlfn.XLOOKUP(Assumptions!DC$82, '1 Machine Build'!$F$11:$Q$11, '1 Machine Build'!$F14:$Q14), 0), _xlfn.IFNA(_xlfn.XLOOKUP(Assumptions!DC$83, '1 Machine Build'!$F$11:$Q$11, '1 Machine Build'!$F14:$Q14), 0), _xlfn.IFNA(_xlfn.XLOOKUP(Assumptions!DC$84, '1 Machine Build'!$F$11:$Q$11, '1 Machine Build'!$F14:$Q14), 0), _xlfn.IFNA(_xlfn.XLOOKUP(Assumptions!DC$85, '1 Machine Build'!$F$11:$Q$11, '1 Machine Build'!$F14:$Q14), 0), _xlfn.IFNA(_xlfn.XLOOKUP(Assumptions!DC$86, '1 Machine Build'!$F$11:$Q$11, '1 Machine Build'!$F14:$Q14), 0), _xlfn.IFNA(_xlfn.XLOOKUP(Assumptions!DC$87, '1 Machine Build'!$F$11:$Q$11, '1 Machine Build'!$F14:$Q14), 0), _xlfn.IFNA(_xlfn.XLOOKUP(Assumptions!DC$88, '1 Machine Build'!$F$11:$Q$11, '1 Machine Build'!$F14:$Q14), 0))</f>
        <v>0</v>
      </c>
      <c r="DF32" s="97">
        <f>SUM(_xlfn.IFNA(_xlfn.XLOOKUP(Assumptions!DD$81, '1 Machine Build'!$F$11:$Q$11, '1 Machine Build'!$F14:$Q14), 0), _xlfn.IFNA(_xlfn.XLOOKUP(Assumptions!DD$82, '1 Machine Build'!$F$11:$Q$11, '1 Machine Build'!$F14:$Q14), 0), _xlfn.IFNA(_xlfn.XLOOKUP(Assumptions!DD$83, '1 Machine Build'!$F$11:$Q$11, '1 Machine Build'!$F14:$Q14), 0), _xlfn.IFNA(_xlfn.XLOOKUP(Assumptions!DD$84, '1 Machine Build'!$F$11:$Q$11, '1 Machine Build'!$F14:$Q14), 0), _xlfn.IFNA(_xlfn.XLOOKUP(Assumptions!DD$85, '1 Machine Build'!$F$11:$Q$11, '1 Machine Build'!$F14:$Q14), 0), _xlfn.IFNA(_xlfn.XLOOKUP(Assumptions!DD$86, '1 Machine Build'!$F$11:$Q$11, '1 Machine Build'!$F14:$Q14), 0), _xlfn.IFNA(_xlfn.XLOOKUP(Assumptions!DD$87, '1 Machine Build'!$F$11:$Q$11, '1 Machine Build'!$F14:$Q14), 0), _xlfn.IFNA(_xlfn.XLOOKUP(Assumptions!DD$88, '1 Machine Build'!$F$11:$Q$11, '1 Machine Build'!$F14:$Q14), 0))</f>
        <v>0</v>
      </c>
      <c r="DG32" s="97">
        <f>SUM(_xlfn.IFNA(_xlfn.XLOOKUP(Assumptions!DE$81, '1 Machine Build'!$F$11:$Q$11, '1 Machine Build'!$F14:$Q14), 0), _xlfn.IFNA(_xlfn.XLOOKUP(Assumptions!DE$82, '1 Machine Build'!$F$11:$Q$11, '1 Machine Build'!$F14:$Q14), 0), _xlfn.IFNA(_xlfn.XLOOKUP(Assumptions!DE$83, '1 Machine Build'!$F$11:$Q$11, '1 Machine Build'!$F14:$Q14), 0), _xlfn.IFNA(_xlfn.XLOOKUP(Assumptions!DE$84, '1 Machine Build'!$F$11:$Q$11, '1 Machine Build'!$F14:$Q14), 0), _xlfn.IFNA(_xlfn.XLOOKUP(Assumptions!DE$85, '1 Machine Build'!$F$11:$Q$11, '1 Machine Build'!$F14:$Q14), 0), _xlfn.IFNA(_xlfn.XLOOKUP(Assumptions!DE$86, '1 Machine Build'!$F$11:$Q$11, '1 Machine Build'!$F14:$Q14), 0), _xlfn.IFNA(_xlfn.XLOOKUP(Assumptions!DE$87, '1 Machine Build'!$F$11:$Q$11, '1 Machine Build'!$F14:$Q14), 0), _xlfn.IFNA(_xlfn.XLOOKUP(Assumptions!DE$88, '1 Machine Build'!$F$11:$Q$11, '1 Machine Build'!$F14:$Q14), 0))</f>
        <v>0</v>
      </c>
      <c r="DH32" s="97">
        <f>SUM(_xlfn.IFNA(_xlfn.XLOOKUP(Assumptions!DF$81, '1 Machine Build'!$F$11:$Q$11, '1 Machine Build'!$F14:$Q14), 0), _xlfn.IFNA(_xlfn.XLOOKUP(Assumptions!DF$82, '1 Machine Build'!$F$11:$Q$11, '1 Machine Build'!$F14:$Q14), 0), _xlfn.IFNA(_xlfn.XLOOKUP(Assumptions!DF$83, '1 Machine Build'!$F$11:$Q$11, '1 Machine Build'!$F14:$Q14), 0), _xlfn.IFNA(_xlfn.XLOOKUP(Assumptions!DF$84, '1 Machine Build'!$F$11:$Q$11, '1 Machine Build'!$F14:$Q14), 0), _xlfn.IFNA(_xlfn.XLOOKUP(Assumptions!DF$85, '1 Machine Build'!$F$11:$Q$11, '1 Machine Build'!$F14:$Q14), 0), _xlfn.IFNA(_xlfn.XLOOKUP(Assumptions!DF$86, '1 Machine Build'!$F$11:$Q$11, '1 Machine Build'!$F14:$Q14), 0), _xlfn.IFNA(_xlfn.XLOOKUP(Assumptions!DF$87, '1 Machine Build'!$F$11:$Q$11, '1 Machine Build'!$F14:$Q14), 0), _xlfn.IFNA(_xlfn.XLOOKUP(Assumptions!DF$88, '1 Machine Build'!$F$11:$Q$11, '1 Machine Build'!$F14:$Q14), 0))</f>
        <v>0</v>
      </c>
      <c r="DI32" s="97">
        <f>SUM(_xlfn.IFNA(_xlfn.XLOOKUP(Assumptions!DG$81, '1 Machine Build'!$F$11:$Q$11, '1 Machine Build'!$F14:$Q14), 0), _xlfn.IFNA(_xlfn.XLOOKUP(Assumptions!DG$82, '1 Machine Build'!$F$11:$Q$11, '1 Machine Build'!$F14:$Q14), 0), _xlfn.IFNA(_xlfn.XLOOKUP(Assumptions!DG$83, '1 Machine Build'!$F$11:$Q$11, '1 Machine Build'!$F14:$Q14), 0), _xlfn.IFNA(_xlfn.XLOOKUP(Assumptions!DG$84, '1 Machine Build'!$F$11:$Q$11, '1 Machine Build'!$F14:$Q14), 0), _xlfn.IFNA(_xlfn.XLOOKUP(Assumptions!DG$85, '1 Machine Build'!$F$11:$Q$11, '1 Machine Build'!$F14:$Q14), 0), _xlfn.IFNA(_xlfn.XLOOKUP(Assumptions!DG$86, '1 Machine Build'!$F$11:$Q$11, '1 Machine Build'!$F14:$Q14), 0), _xlfn.IFNA(_xlfn.XLOOKUP(Assumptions!DG$87, '1 Machine Build'!$F$11:$Q$11, '1 Machine Build'!$F14:$Q14), 0), _xlfn.IFNA(_xlfn.XLOOKUP(Assumptions!DG$88, '1 Machine Build'!$F$11:$Q$11, '1 Machine Build'!$F14:$Q14), 0))</f>
        <v>0</v>
      </c>
      <c r="DJ32" s="97">
        <f>SUM(_xlfn.IFNA(_xlfn.XLOOKUP(Assumptions!DH$81, '1 Machine Build'!$F$11:$Q$11, '1 Machine Build'!$F14:$Q14), 0), _xlfn.IFNA(_xlfn.XLOOKUP(Assumptions!DH$82, '1 Machine Build'!$F$11:$Q$11, '1 Machine Build'!$F14:$Q14), 0), _xlfn.IFNA(_xlfn.XLOOKUP(Assumptions!DH$83, '1 Machine Build'!$F$11:$Q$11, '1 Machine Build'!$F14:$Q14), 0), _xlfn.IFNA(_xlfn.XLOOKUP(Assumptions!DH$84, '1 Machine Build'!$F$11:$Q$11, '1 Machine Build'!$F14:$Q14), 0), _xlfn.IFNA(_xlfn.XLOOKUP(Assumptions!DH$85, '1 Machine Build'!$F$11:$Q$11, '1 Machine Build'!$F14:$Q14), 0), _xlfn.IFNA(_xlfn.XLOOKUP(Assumptions!DH$86, '1 Machine Build'!$F$11:$Q$11, '1 Machine Build'!$F14:$Q14), 0), _xlfn.IFNA(_xlfn.XLOOKUP(Assumptions!DH$87, '1 Machine Build'!$F$11:$Q$11, '1 Machine Build'!$F14:$Q14), 0), _xlfn.IFNA(_xlfn.XLOOKUP(Assumptions!DH$88, '1 Machine Build'!$F$11:$Q$11, '1 Machine Build'!$F14:$Q14), 0))</f>
        <v>0</v>
      </c>
      <c r="DK32" s="97">
        <f>SUM(_xlfn.IFNA(_xlfn.XLOOKUP(Assumptions!DI$81, '1 Machine Build'!$F$11:$Q$11, '1 Machine Build'!$F14:$Q14), 0), _xlfn.IFNA(_xlfn.XLOOKUP(Assumptions!DI$82, '1 Machine Build'!$F$11:$Q$11, '1 Machine Build'!$F14:$Q14), 0), _xlfn.IFNA(_xlfn.XLOOKUP(Assumptions!DI$83, '1 Machine Build'!$F$11:$Q$11, '1 Machine Build'!$F14:$Q14), 0), _xlfn.IFNA(_xlfn.XLOOKUP(Assumptions!DI$84, '1 Machine Build'!$F$11:$Q$11, '1 Machine Build'!$F14:$Q14), 0), _xlfn.IFNA(_xlfn.XLOOKUP(Assumptions!DI$85, '1 Machine Build'!$F$11:$Q$11, '1 Machine Build'!$F14:$Q14), 0), _xlfn.IFNA(_xlfn.XLOOKUP(Assumptions!DI$86, '1 Machine Build'!$F$11:$Q$11, '1 Machine Build'!$F14:$Q14), 0), _xlfn.IFNA(_xlfn.XLOOKUP(Assumptions!DI$87, '1 Machine Build'!$F$11:$Q$11, '1 Machine Build'!$F14:$Q14), 0), _xlfn.IFNA(_xlfn.XLOOKUP(Assumptions!DI$88, '1 Machine Build'!$F$11:$Q$11, '1 Machine Build'!$F14:$Q14), 0))</f>
        <v>0</v>
      </c>
      <c r="DL32" s="97">
        <f>SUM(_xlfn.IFNA(_xlfn.XLOOKUP(Assumptions!DJ$81, '1 Machine Build'!$F$11:$Q$11, '1 Machine Build'!$F14:$Q14), 0), _xlfn.IFNA(_xlfn.XLOOKUP(Assumptions!DJ$82, '1 Machine Build'!$F$11:$Q$11, '1 Machine Build'!$F14:$Q14), 0), _xlfn.IFNA(_xlfn.XLOOKUP(Assumptions!DJ$83, '1 Machine Build'!$F$11:$Q$11, '1 Machine Build'!$F14:$Q14), 0), _xlfn.IFNA(_xlfn.XLOOKUP(Assumptions!DJ$84, '1 Machine Build'!$F$11:$Q$11, '1 Machine Build'!$F14:$Q14), 0), _xlfn.IFNA(_xlfn.XLOOKUP(Assumptions!DJ$85, '1 Machine Build'!$F$11:$Q$11, '1 Machine Build'!$F14:$Q14), 0), _xlfn.IFNA(_xlfn.XLOOKUP(Assumptions!DJ$86, '1 Machine Build'!$F$11:$Q$11, '1 Machine Build'!$F14:$Q14), 0), _xlfn.IFNA(_xlfn.XLOOKUP(Assumptions!DJ$87, '1 Machine Build'!$F$11:$Q$11, '1 Machine Build'!$F14:$Q14), 0), _xlfn.IFNA(_xlfn.XLOOKUP(Assumptions!DJ$88, '1 Machine Build'!$F$11:$Q$11, '1 Machine Build'!$F14:$Q14), 0))</f>
        <v>0</v>
      </c>
      <c r="DM32" s="97">
        <f>SUM(_xlfn.IFNA(_xlfn.XLOOKUP(Assumptions!DK$81, '1 Machine Build'!$F$11:$Q$11, '1 Machine Build'!$F14:$Q14), 0), _xlfn.IFNA(_xlfn.XLOOKUP(Assumptions!DK$82, '1 Machine Build'!$F$11:$Q$11, '1 Machine Build'!$F14:$Q14), 0), _xlfn.IFNA(_xlfn.XLOOKUP(Assumptions!DK$83, '1 Machine Build'!$F$11:$Q$11, '1 Machine Build'!$F14:$Q14), 0), _xlfn.IFNA(_xlfn.XLOOKUP(Assumptions!DK$84, '1 Machine Build'!$F$11:$Q$11, '1 Machine Build'!$F14:$Q14), 0), _xlfn.IFNA(_xlfn.XLOOKUP(Assumptions!DK$85, '1 Machine Build'!$F$11:$Q$11, '1 Machine Build'!$F14:$Q14), 0), _xlfn.IFNA(_xlfn.XLOOKUP(Assumptions!DK$86, '1 Machine Build'!$F$11:$Q$11, '1 Machine Build'!$F14:$Q14), 0), _xlfn.IFNA(_xlfn.XLOOKUP(Assumptions!DK$87, '1 Machine Build'!$F$11:$Q$11, '1 Machine Build'!$F14:$Q14), 0), _xlfn.IFNA(_xlfn.XLOOKUP(Assumptions!DK$88, '1 Machine Build'!$F$11:$Q$11, '1 Machine Build'!$F14:$Q14), 0))</f>
        <v>0</v>
      </c>
      <c r="DN32" s="97">
        <f>SUM(_xlfn.IFNA(_xlfn.XLOOKUP(Assumptions!DL$81, '1 Machine Build'!$F$11:$Q$11, '1 Machine Build'!$F14:$Q14), 0), _xlfn.IFNA(_xlfn.XLOOKUP(Assumptions!DL$82, '1 Machine Build'!$F$11:$Q$11, '1 Machine Build'!$F14:$Q14), 0), _xlfn.IFNA(_xlfn.XLOOKUP(Assumptions!DL$83, '1 Machine Build'!$F$11:$Q$11, '1 Machine Build'!$F14:$Q14), 0), _xlfn.IFNA(_xlfn.XLOOKUP(Assumptions!DL$84, '1 Machine Build'!$F$11:$Q$11, '1 Machine Build'!$F14:$Q14), 0), _xlfn.IFNA(_xlfn.XLOOKUP(Assumptions!DL$85, '1 Machine Build'!$F$11:$Q$11, '1 Machine Build'!$F14:$Q14), 0), _xlfn.IFNA(_xlfn.XLOOKUP(Assumptions!DL$86, '1 Machine Build'!$F$11:$Q$11, '1 Machine Build'!$F14:$Q14), 0), _xlfn.IFNA(_xlfn.XLOOKUP(Assumptions!DL$87, '1 Machine Build'!$F$11:$Q$11, '1 Machine Build'!$F14:$Q14), 0), _xlfn.IFNA(_xlfn.XLOOKUP(Assumptions!DL$88, '1 Machine Build'!$F$11:$Q$11, '1 Machine Build'!$F14:$Q14), 0))</f>
        <v>0</v>
      </c>
      <c r="DO32" s="97">
        <f>SUM(_xlfn.IFNA(_xlfn.XLOOKUP(Assumptions!DM$81, '1 Machine Build'!$F$11:$Q$11, '1 Machine Build'!$F14:$Q14), 0), _xlfn.IFNA(_xlfn.XLOOKUP(Assumptions!DM$82, '1 Machine Build'!$F$11:$Q$11, '1 Machine Build'!$F14:$Q14), 0), _xlfn.IFNA(_xlfn.XLOOKUP(Assumptions!DM$83, '1 Machine Build'!$F$11:$Q$11, '1 Machine Build'!$F14:$Q14), 0), _xlfn.IFNA(_xlfn.XLOOKUP(Assumptions!DM$84, '1 Machine Build'!$F$11:$Q$11, '1 Machine Build'!$F14:$Q14), 0), _xlfn.IFNA(_xlfn.XLOOKUP(Assumptions!DM$85, '1 Machine Build'!$F$11:$Q$11, '1 Machine Build'!$F14:$Q14), 0), _xlfn.IFNA(_xlfn.XLOOKUP(Assumptions!DM$86, '1 Machine Build'!$F$11:$Q$11, '1 Machine Build'!$F14:$Q14), 0), _xlfn.IFNA(_xlfn.XLOOKUP(Assumptions!DM$87, '1 Machine Build'!$F$11:$Q$11, '1 Machine Build'!$F14:$Q14), 0), _xlfn.IFNA(_xlfn.XLOOKUP(Assumptions!DM$88, '1 Machine Build'!$F$11:$Q$11, '1 Machine Build'!$F14:$Q14), 0))</f>
        <v>0</v>
      </c>
      <c r="DP32" s="97">
        <f>SUM(_xlfn.IFNA(_xlfn.XLOOKUP(Assumptions!DN$81, '1 Machine Build'!$F$11:$Q$11, '1 Machine Build'!$F14:$Q14), 0), _xlfn.IFNA(_xlfn.XLOOKUP(Assumptions!DN$82, '1 Machine Build'!$F$11:$Q$11, '1 Machine Build'!$F14:$Q14), 0), _xlfn.IFNA(_xlfn.XLOOKUP(Assumptions!DN$83, '1 Machine Build'!$F$11:$Q$11, '1 Machine Build'!$F14:$Q14), 0), _xlfn.IFNA(_xlfn.XLOOKUP(Assumptions!DN$84, '1 Machine Build'!$F$11:$Q$11, '1 Machine Build'!$F14:$Q14), 0), _xlfn.IFNA(_xlfn.XLOOKUP(Assumptions!DN$85, '1 Machine Build'!$F$11:$Q$11, '1 Machine Build'!$F14:$Q14), 0), _xlfn.IFNA(_xlfn.XLOOKUP(Assumptions!DN$86, '1 Machine Build'!$F$11:$Q$11, '1 Machine Build'!$F14:$Q14), 0), _xlfn.IFNA(_xlfn.XLOOKUP(Assumptions!DN$87, '1 Machine Build'!$F$11:$Q$11, '1 Machine Build'!$F14:$Q14), 0), _xlfn.IFNA(_xlfn.XLOOKUP(Assumptions!DN$88, '1 Machine Build'!$F$11:$Q$11, '1 Machine Build'!$F14:$Q14), 0))</f>
        <v>0</v>
      </c>
      <c r="DQ32" s="97">
        <f>SUM(_xlfn.IFNA(_xlfn.XLOOKUP(Assumptions!DO$81, '1 Machine Build'!$F$11:$Q$11, '1 Machine Build'!$F14:$Q14), 0), _xlfn.IFNA(_xlfn.XLOOKUP(Assumptions!DO$82, '1 Machine Build'!$F$11:$Q$11, '1 Machine Build'!$F14:$Q14), 0), _xlfn.IFNA(_xlfn.XLOOKUP(Assumptions!DO$83, '1 Machine Build'!$F$11:$Q$11, '1 Machine Build'!$F14:$Q14), 0), _xlfn.IFNA(_xlfn.XLOOKUP(Assumptions!DO$84, '1 Machine Build'!$F$11:$Q$11, '1 Machine Build'!$F14:$Q14), 0), _xlfn.IFNA(_xlfn.XLOOKUP(Assumptions!DO$85, '1 Machine Build'!$F$11:$Q$11, '1 Machine Build'!$F14:$Q14), 0), _xlfn.IFNA(_xlfn.XLOOKUP(Assumptions!DO$86, '1 Machine Build'!$F$11:$Q$11, '1 Machine Build'!$F14:$Q14), 0), _xlfn.IFNA(_xlfn.XLOOKUP(Assumptions!DO$87, '1 Machine Build'!$F$11:$Q$11, '1 Machine Build'!$F14:$Q14), 0), _xlfn.IFNA(_xlfn.XLOOKUP(Assumptions!DO$88, '1 Machine Build'!$F$11:$Q$11, '1 Machine Build'!$F14:$Q14), 0))</f>
        <v>0</v>
      </c>
      <c r="DR32" s="97">
        <f>SUM(_xlfn.IFNA(_xlfn.XLOOKUP(Assumptions!DP$81, '1 Machine Build'!$F$11:$Q$11, '1 Machine Build'!$F14:$Q14), 0), _xlfn.IFNA(_xlfn.XLOOKUP(Assumptions!DP$82, '1 Machine Build'!$F$11:$Q$11, '1 Machine Build'!$F14:$Q14), 0), _xlfn.IFNA(_xlfn.XLOOKUP(Assumptions!DP$83, '1 Machine Build'!$F$11:$Q$11, '1 Machine Build'!$F14:$Q14), 0), _xlfn.IFNA(_xlfn.XLOOKUP(Assumptions!DP$84, '1 Machine Build'!$F$11:$Q$11, '1 Machine Build'!$F14:$Q14), 0), _xlfn.IFNA(_xlfn.XLOOKUP(Assumptions!DP$85, '1 Machine Build'!$F$11:$Q$11, '1 Machine Build'!$F14:$Q14), 0), _xlfn.IFNA(_xlfn.XLOOKUP(Assumptions!DP$86, '1 Machine Build'!$F$11:$Q$11, '1 Machine Build'!$F14:$Q14), 0), _xlfn.IFNA(_xlfn.XLOOKUP(Assumptions!DP$87, '1 Machine Build'!$F$11:$Q$11, '1 Machine Build'!$F14:$Q14), 0), _xlfn.IFNA(_xlfn.XLOOKUP(Assumptions!DP$88, '1 Machine Build'!$F$11:$Q$11, '1 Machine Build'!$F14:$Q14), 0))</f>
        <v>0</v>
      </c>
      <c r="DS32" s="97">
        <f>SUM(_xlfn.IFNA(_xlfn.XLOOKUP(Assumptions!DQ$81, '1 Machine Build'!$F$11:$Q$11, '1 Machine Build'!$F14:$Q14), 0), _xlfn.IFNA(_xlfn.XLOOKUP(Assumptions!DQ$82, '1 Machine Build'!$F$11:$Q$11, '1 Machine Build'!$F14:$Q14), 0), _xlfn.IFNA(_xlfn.XLOOKUP(Assumptions!DQ$83, '1 Machine Build'!$F$11:$Q$11, '1 Machine Build'!$F14:$Q14), 0), _xlfn.IFNA(_xlfn.XLOOKUP(Assumptions!DQ$84, '1 Machine Build'!$F$11:$Q$11, '1 Machine Build'!$F14:$Q14), 0), _xlfn.IFNA(_xlfn.XLOOKUP(Assumptions!DQ$85, '1 Machine Build'!$F$11:$Q$11, '1 Machine Build'!$F14:$Q14), 0), _xlfn.IFNA(_xlfn.XLOOKUP(Assumptions!DQ$86, '1 Machine Build'!$F$11:$Q$11, '1 Machine Build'!$F14:$Q14), 0), _xlfn.IFNA(_xlfn.XLOOKUP(Assumptions!DQ$87, '1 Machine Build'!$F$11:$Q$11, '1 Machine Build'!$F14:$Q14), 0), _xlfn.IFNA(_xlfn.XLOOKUP(Assumptions!DQ$88, '1 Machine Build'!$F$11:$Q$11, '1 Machine Build'!$F14:$Q14), 0))</f>
        <v>0</v>
      </c>
      <c r="DT32" s="97">
        <f>SUM(_xlfn.IFNA(_xlfn.XLOOKUP(Assumptions!DR$81, '1 Machine Build'!$F$11:$Q$11, '1 Machine Build'!$F14:$Q14), 0), _xlfn.IFNA(_xlfn.XLOOKUP(Assumptions!DR$82, '1 Machine Build'!$F$11:$Q$11, '1 Machine Build'!$F14:$Q14), 0), _xlfn.IFNA(_xlfn.XLOOKUP(Assumptions!DR$83, '1 Machine Build'!$F$11:$Q$11, '1 Machine Build'!$F14:$Q14), 0), _xlfn.IFNA(_xlfn.XLOOKUP(Assumptions!DR$84, '1 Machine Build'!$F$11:$Q$11, '1 Machine Build'!$F14:$Q14), 0), _xlfn.IFNA(_xlfn.XLOOKUP(Assumptions!DR$85, '1 Machine Build'!$F$11:$Q$11, '1 Machine Build'!$F14:$Q14), 0), _xlfn.IFNA(_xlfn.XLOOKUP(Assumptions!DR$86, '1 Machine Build'!$F$11:$Q$11, '1 Machine Build'!$F14:$Q14), 0), _xlfn.IFNA(_xlfn.XLOOKUP(Assumptions!DR$87, '1 Machine Build'!$F$11:$Q$11, '1 Machine Build'!$F14:$Q14), 0), _xlfn.IFNA(_xlfn.XLOOKUP(Assumptions!DR$88, '1 Machine Build'!$F$11:$Q$11, '1 Machine Build'!$F14:$Q14), 0))</f>
        <v>0</v>
      </c>
      <c r="DU32" s="97">
        <f>SUM(_xlfn.IFNA(_xlfn.XLOOKUP(Assumptions!DS$81, '1 Machine Build'!$F$11:$Q$11, '1 Machine Build'!$F14:$Q14), 0), _xlfn.IFNA(_xlfn.XLOOKUP(Assumptions!DS$82, '1 Machine Build'!$F$11:$Q$11, '1 Machine Build'!$F14:$Q14), 0), _xlfn.IFNA(_xlfn.XLOOKUP(Assumptions!DS$83, '1 Machine Build'!$F$11:$Q$11, '1 Machine Build'!$F14:$Q14), 0), _xlfn.IFNA(_xlfn.XLOOKUP(Assumptions!DS$84, '1 Machine Build'!$F$11:$Q$11, '1 Machine Build'!$F14:$Q14), 0), _xlfn.IFNA(_xlfn.XLOOKUP(Assumptions!DS$85, '1 Machine Build'!$F$11:$Q$11, '1 Machine Build'!$F14:$Q14), 0), _xlfn.IFNA(_xlfn.XLOOKUP(Assumptions!DS$86, '1 Machine Build'!$F$11:$Q$11, '1 Machine Build'!$F14:$Q14), 0), _xlfn.IFNA(_xlfn.XLOOKUP(Assumptions!DS$87, '1 Machine Build'!$F$11:$Q$11, '1 Machine Build'!$F14:$Q14), 0), _xlfn.IFNA(_xlfn.XLOOKUP(Assumptions!DS$88, '1 Machine Build'!$F$11:$Q$11, '1 Machine Build'!$F14:$Q14), 0))</f>
        <v>0</v>
      </c>
      <c r="DV32" s="97">
        <f>SUM(_xlfn.IFNA(_xlfn.XLOOKUP(Assumptions!DT$81, '1 Machine Build'!$F$11:$Q$11, '1 Machine Build'!$F14:$Q14), 0), _xlfn.IFNA(_xlfn.XLOOKUP(Assumptions!DT$82, '1 Machine Build'!$F$11:$Q$11, '1 Machine Build'!$F14:$Q14), 0), _xlfn.IFNA(_xlfn.XLOOKUP(Assumptions!DT$83, '1 Machine Build'!$F$11:$Q$11, '1 Machine Build'!$F14:$Q14), 0), _xlfn.IFNA(_xlfn.XLOOKUP(Assumptions!DT$84, '1 Machine Build'!$F$11:$Q$11, '1 Machine Build'!$F14:$Q14), 0), _xlfn.IFNA(_xlfn.XLOOKUP(Assumptions!DT$85, '1 Machine Build'!$F$11:$Q$11, '1 Machine Build'!$F14:$Q14), 0), _xlfn.IFNA(_xlfn.XLOOKUP(Assumptions!DT$86, '1 Machine Build'!$F$11:$Q$11, '1 Machine Build'!$F14:$Q14), 0), _xlfn.IFNA(_xlfn.XLOOKUP(Assumptions!DT$87, '1 Machine Build'!$F$11:$Q$11, '1 Machine Build'!$F14:$Q14), 0), _xlfn.IFNA(_xlfn.XLOOKUP(Assumptions!DT$88, '1 Machine Build'!$F$11:$Q$11, '1 Machine Build'!$F14:$Q14), 0))</f>
        <v>0</v>
      </c>
      <c r="DW32" s="97">
        <f>SUM(_xlfn.IFNA(_xlfn.XLOOKUP(Assumptions!DU$81, '1 Machine Build'!$F$11:$Q$11, '1 Machine Build'!$F14:$Q14), 0), _xlfn.IFNA(_xlfn.XLOOKUP(Assumptions!DU$82, '1 Machine Build'!$F$11:$Q$11, '1 Machine Build'!$F14:$Q14), 0), _xlfn.IFNA(_xlfn.XLOOKUP(Assumptions!DU$83, '1 Machine Build'!$F$11:$Q$11, '1 Machine Build'!$F14:$Q14), 0), _xlfn.IFNA(_xlfn.XLOOKUP(Assumptions!DU$84, '1 Machine Build'!$F$11:$Q$11, '1 Machine Build'!$F14:$Q14), 0), _xlfn.IFNA(_xlfn.XLOOKUP(Assumptions!DU$85, '1 Machine Build'!$F$11:$Q$11, '1 Machine Build'!$F14:$Q14), 0), _xlfn.IFNA(_xlfn.XLOOKUP(Assumptions!DU$86, '1 Machine Build'!$F$11:$Q$11, '1 Machine Build'!$F14:$Q14), 0), _xlfn.IFNA(_xlfn.XLOOKUP(Assumptions!DU$87, '1 Machine Build'!$F$11:$Q$11, '1 Machine Build'!$F14:$Q14), 0), _xlfn.IFNA(_xlfn.XLOOKUP(Assumptions!DU$88, '1 Machine Build'!$F$11:$Q$11, '1 Machine Build'!$F14:$Q14), 0))</f>
        <v>0</v>
      </c>
      <c r="DX32" s="97">
        <f>SUM(_xlfn.IFNA(_xlfn.XLOOKUP(Assumptions!DV$81, '1 Machine Build'!$F$11:$Q$11, '1 Machine Build'!$F14:$Q14), 0), _xlfn.IFNA(_xlfn.XLOOKUP(Assumptions!DV$82, '1 Machine Build'!$F$11:$Q$11, '1 Machine Build'!$F14:$Q14), 0), _xlfn.IFNA(_xlfn.XLOOKUP(Assumptions!DV$83, '1 Machine Build'!$F$11:$Q$11, '1 Machine Build'!$F14:$Q14), 0), _xlfn.IFNA(_xlfn.XLOOKUP(Assumptions!DV$84, '1 Machine Build'!$F$11:$Q$11, '1 Machine Build'!$F14:$Q14), 0), _xlfn.IFNA(_xlfn.XLOOKUP(Assumptions!DV$85, '1 Machine Build'!$F$11:$Q$11, '1 Machine Build'!$F14:$Q14), 0), _xlfn.IFNA(_xlfn.XLOOKUP(Assumptions!DV$86, '1 Machine Build'!$F$11:$Q$11, '1 Machine Build'!$F14:$Q14), 0), _xlfn.IFNA(_xlfn.XLOOKUP(Assumptions!DV$87, '1 Machine Build'!$F$11:$Q$11, '1 Machine Build'!$F14:$Q14), 0), _xlfn.IFNA(_xlfn.XLOOKUP(Assumptions!DV$88, '1 Machine Build'!$F$11:$Q$11, '1 Machine Build'!$F14:$Q14), 0))</f>
        <v>0</v>
      </c>
      <c r="DY32" s="97">
        <f>SUM(_xlfn.IFNA(_xlfn.XLOOKUP(Assumptions!DW$81, '1 Machine Build'!$F$11:$Q$11, '1 Machine Build'!$F14:$Q14), 0), _xlfn.IFNA(_xlfn.XLOOKUP(Assumptions!DW$82, '1 Machine Build'!$F$11:$Q$11, '1 Machine Build'!$F14:$Q14), 0), _xlfn.IFNA(_xlfn.XLOOKUP(Assumptions!DW$83, '1 Machine Build'!$F$11:$Q$11, '1 Machine Build'!$F14:$Q14), 0), _xlfn.IFNA(_xlfn.XLOOKUP(Assumptions!DW$84, '1 Machine Build'!$F$11:$Q$11, '1 Machine Build'!$F14:$Q14), 0), _xlfn.IFNA(_xlfn.XLOOKUP(Assumptions!DW$85, '1 Machine Build'!$F$11:$Q$11, '1 Machine Build'!$F14:$Q14), 0), _xlfn.IFNA(_xlfn.XLOOKUP(Assumptions!DW$86, '1 Machine Build'!$F$11:$Q$11, '1 Machine Build'!$F14:$Q14), 0), _xlfn.IFNA(_xlfn.XLOOKUP(Assumptions!DW$87, '1 Machine Build'!$F$11:$Q$11, '1 Machine Build'!$F14:$Q14), 0), _xlfn.IFNA(_xlfn.XLOOKUP(Assumptions!DW$88, '1 Machine Build'!$F$11:$Q$11, '1 Machine Build'!$F14:$Q14), 0))</f>
        <v>0</v>
      </c>
      <c r="DZ32" s="97">
        <f>SUM(_xlfn.IFNA(_xlfn.XLOOKUP(Assumptions!DX$81, '1 Machine Build'!$F$11:$Q$11, '1 Machine Build'!$F14:$Q14), 0), _xlfn.IFNA(_xlfn.XLOOKUP(Assumptions!DX$82, '1 Machine Build'!$F$11:$Q$11, '1 Machine Build'!$F14:$Q14), 0), _xlfn.IFNA(_xlfn.XLOOKUP(Assumptions!DX$83, '1 Machine Build'!$F$11:$Q$11, '1 Machine Build'!$F14:$Q14), 0), _xlfn.IFNA(_xlfn.XLOOKUP(Assumptions!DX$84, '1 Machine Build'!$F$11:$Q$11, '1 Machine Build'!$F14:$Q14), 0), _xlfn.IFNA(_xlfn.XLOOKUP(Assumptions!DX$85, '1 Machine Build'!$F$11:$Q$11, '1 Machine Build'!$F14:$Q14), 0), _xlfn.IFNA(_xlfn.XLOOKUP(Assumptions!DX$86, '1 Machine Build'!$F$11:$Q$11, '1 Machine Build'!$F14:$Q14), 0), _xlfn.IFNA(_xlfn.XLOOKUP(Assumptions!DX$87, '1 Machine Build'!$F$11:$Q$11, '1 Machine Build'!$F14:$Q14), 0), _xlfn.IFNA(_xlfn.XLOOKUP(Assumptions!DX$88, '1 Machine Build'!$F$11:$Q$11, '1 Machine Build'!$F14:$Q14), 0))</f>
        <v>0</v>
      </c>
      <c r="EA32" s="97">
        <f>SUM(_xlfn.IFNA(_xlfn.XLOOKUP(Assumptions!DY$81, '1 Machine Build'!$F$11:$Q$11, '1 Machine Build'!$F14:$Q14), 0), _xlfn.IFNA(_xlfn.XLOOKUP(Assumptions!DY$82, '1 Machine Build'!$F$11:$Q$11, '1 Machine Build'!$F14:$Q14), 0), _xlfn.IFNA(_xlfn.XLOOKUP(Assumptions!DY$83, '1 Machine Build'!$F$11:$Q$11, '1 Machine Build'!$F14:$Q14), 0), _xlfn.IFNA(_xlfn.XLOOKUP(Assumptions!DY$84, '1 Machine Build'!$F$11:$Q$11, '1 Machine Build'!$F14:$Q14), 0), _xlfn.IFNA(_xlfn.XLOOKUP(Assumptions!DY$85, '1 Machine Build'!$F$11:$Q$11, '1 Machine Build'!$F14:$Q14), 0), _xlfn.IFNA(_xlfn.XLOOKUP(Assumptions!DY$86, '1 Machine Build'!$F$11:$Q$11, '1 Machine Build'!$F14:$Q14), 0), _xlfn.IFNA(_xlfn.XLOOKUP(Assumptions!DY$87, '1 Machine Build'!$F$11:$Q$11, '1 Machine Build'!$F14:$Q14), 0), _xlfn.IFNA(_xlfn.XLOOKUP(Assumptions!DY$88, '1 Machine Build'!$F$11:$Q$11, '1 Machine Build'!$F14:$Q14), 0))</f>
        <v>0</v>
      </c>
      <c r="EB32" s="97">
        <f>SUM(_xlfn.IFNA(_xlfn.XLOOKUP(Assumptions!DZ$81, '1 Machine Build'!$F$11:$Q$11, '1 Machine Build'!$F14:$Q14), 0), _xlfn.IFNA(_xlfn.XLOOKUP(Assumptions!DZ$82, '1 Machine Build'!$F$11:$Q$11, '1 Machine Build'!$F14:$Q14), 0), _xlfn.IFNA(_xlfn.XLOOKUP(Assumptions!DZ$83, '1 Machine Build'!$F$11:$Q$11, '1 Machine Build'!$F14:$Q14), 0), _xlfn.IFNA(_xlfn.XLOOKUP(Assumptions!DZ$84, '1 Machine Build'!$F$11:$Q$11, '1 Machine Build'!$F14:$Q14), 0), _xlfn.IFNA(_xlfn.XLOOKUP(Assumptions!DZ$85, '1 Machine Build'!$F$11:$Q$11, '1 Machine Build'!$F14:$Q14), 0), _xlfn.IFNA(_xlfn.XLOOKUP(Assumptions!DZ$86, '1 Machine Build'!$F$11:$Q$11, '1 Machine Build'!$F14:$Q14), 0), _xlfn.IFNA(_xlfn.XLOOKUP(Assumptions!DZ$87, '1 Machine Build'!$F$11:$Q$11, '1 Machine Build'!$F14:$Q14), 0), _xlfn.IFNA(_xlfn.XLOOKUP(Assumptions!DZ$88, '1 Machine Build'!$F$11:$Q$11, '1 Machine Build'!$F14:$Q14), 0))</f>
        <v>0</v>
      </c>
      <c r="EC32" s="97">
        <f>SUM(_xlfn.IFNA(_xlfn.XLOOKUP(Assumptions!EA$81, '1 Machine Build'!$F$11:$Q$11, '1 Machine Build'!$F14:$Q14), 0), _xlfn.IFNA(_xlfn.XLOOKUP(Assumptions!EA$82, '1 Machine Build'!$F$11:$Q$11, '1 Machine Build'!$F14:$Q14), 0), _xlfn.IFNA(_xlfn.XLOOKUP(Assumptions!EA$83, '1 Machine Build'!$F$11:$Q$11, '1 Machine Build'!$F14:$Q14), 0), _xlfn.IFNA(_xlfn.XLOOKUP(Assumptions!EA$84, '1 Machine Build'!$F$11:$Q$11, '1 Machine Build'!$F14:$Q14), 0), _xlfn.IFNA(_xlfn.XLOOKUP(Assumptions!EA$85, '1 Machine Build'!$F$11:$Q$11, '1 Machine Build'!$F14:$Q14), 0), _xlfn.IFNA(_xlfn.XLOOKUP(Assumptions!EA$86, '1 Machine Build'!$F$11:$Q$11, '1 Machine Build'!$F14:$Q14), 0), _xlfn.IFNA(_xlfn.XLOOKUP(Assumptions!EA$87, '1 Machine Build'!$F$11:$Q$11, '1 Machine Build'!$F14:$Q14), 0), _xlfn.IFNA(_xlfn.XLOOKUP(Assumptions!EA$88, '1 Machine Build'!$F$11:$Q$11, '1 Machine Build'!$F14:$Q14), 0))</f>
        <v>0</v>
      </c>
      <c r="ED32" s="97">
        <f>SUM(_xlfn.IFNA(_xlfn.XLOOKUP(Assumptions!EB$81, '1 Machine Build'!$F$11:$Q$11, '1 Machine Build'!$F14:$Q14), 0), _xlfn.IFNA(_xlfn.XLOOKUP(Assumptions!EB$82, '1 Machine Build'!$F$11:$Q$11, '1 Machine Build'!$F14:$Q14), 0), _xlfn.IFNA(_xlfn.XLOOKUP(Assumptions!EB$83, '1 Machine Build'!$F$11:$Q$11, '1 Machine Build'!$F14:$Q14), 0), _xlfn.IFNA(_xlfn.XLOOKUP(Assumptions!EB$84, '1 Machine Build'!$F$11:$Q$11, '1 Machine Build'!$F14:$Q14), 0), _xlfn.IFNA(_xlfn.XLOOKUP(Assumptions!EB$85, '1 Machine Build'!$F$11:$Q$11, '1 Machine Build'!$F14:$Q14), 0), _xlfn.IFNA(_xlfn.XLOOKUP(Assumptions!EB$86, '1 Machine Build'!$F$11:$Q$11, '1 Machine Build'!$F14:$Q14), 0), _xlfn.IFNA(_xlfn.XLOOKUP(Assumptions!EB$87, '1 Machine Build'!$F$11:$Q$11, '1 Machine Build'!$F14:$Q14), 0), _xlfn.IFNA(_xlfn.XLOOKUP(Assumptions!EB$88, '1 Machine Build'!$F$11:$Q$11, '1 Machine Build'!$F14:$Q14), 0))</f>
        <v>0</v>
      </c>
      <c r="EE32" s="97">
        <f>SUM(_xlfn.IFNA(_xlfn.XLOOKUP(Assumptions!EC$81, '1 Machine Build'!$F$11:$Q$11, '1 Machine Build'!$F14:$Q14), 0), _xlfn.IFNA(_xlfn.XLOOKUP(Assumptions!EC$82, '1 Machine Build'!$F$11:$Q$11, '1 Machine Build'!$F14:$Q14), 0), _xlfn.IFNA(_xlfn.XLOOKUP(Assumptions!EC$83, '1 Machine Build'!$F$11:$Q$11, '1 Machine Build'!$F14:$Q14), 0), _xlfn.IFNA(_xlfn.XLOOKUP(Assumptions!EC$84, '1 Machine Build'!$F$11:$Q$11, '1 Machine Build'!$F14:$Q14), 0), _xlfn.IFNA(_xlfn.XLOOKUP(Assumptions!EC$85, '1 Machine Build'!$F$11:$Q$11, '1 Machine Build'!$F14:$Q14), 0), _xlfn.IFNA(_xlfn.XLOOKUP(Assumptions!EC$86, '1 Machine Build'!$F$11:$Q$11, '1 Machine Build'!$F14:$Q14), 0), _xlfn.IFNA(_xlfn.XLOOKUP(Assumptions!EC$87, '1 Machine Build'!$F$11:$Q$11, '1 Machine Build'!$F14:$Q14), 0), _xlfn.IFNA(_xlfn.XLOOKUP(Assumptions!EC$88, '1 Machine Build'!$F$11:$Q$11, '1 Machine Build'!$F14:$Q14), 0))</f>
        <v>0</v>
      </c>
      <c r="EF32" s="97">
        <f>SUM(_xlfn.IFNA(_xlfn.XLOOKUP(Assumptions!ED$81, '1 Machine Build'!$F$11:$Q$11, '1 Machine Build'!$F14:$Q14), 0), _xlfn.IFNA(_xlfn.XLOOKUP(Assumptions!ED$82, '1 Machine Build'!$F$11:$Q$11, '1 Machine Build'!$F14:$Q14), 0), _xlfn.IFNA(_xlfn.XLOOKUP(Assumptions!ED$83, '1 Machine Build'!$F$11:$Q$11, '1 Machine Build'!$F14:$Q14), 0), _xlfn.IFNA(_xlfn.XLOOKUP(Assumptions!ED$84, '1 Machine Build'!$F$11:$Q$11, '1 Machine Build'!$F14:$Q14), 0), _xlfn.IFNA(_xlfn.XLOOKUP(Assumptions!ED$85, '1 Machine Build'!$F$11:$Q$11, '1 Machine Build'!$F14:$Q14), 0), _xlfn.IFNA(_xlfn.XLOOKUP(Assumptions!ED$86, '1 Machine Build'!$F$11:$Q$11, '1 Machine Build'!$F14:$Q14), 0), _xlfn.IFNA(_xlfn.XLOOKUP(Assumptions!ED$87, '1 Machine Build'!$F$11:$Q$11, '1 Machine Build'!$F14:$Q14), 0), _xlfn.IFNA(_xlfn.XLOOKUP(Assumptions!ED$88, '1 Machine Build'!$F$11:$Q$11, '1 Machine Build'!$F14:$Q14), 0))</f>
        <v>0</v>
      </c>
      <c r="EG32" s="97">
        <f>SUM(_xlfn.IFNA(_xlfn.XLOOKUP(Assumptions!EE$81, '1 Machine Build'!$F$11:$Q$11, '1 Machine Build'!$F14:$Q14), 0), _xlfn.IFNA(_xlfn.XLOOKUP(Assumptions!EE$82, '1 Machine Build'!$F$11:$Q$11, '1 Machine Build'!$F14:$Q14), 0), _xlfn.IFNA(_xlfn.XLOOKUP(Assumptions!EE$83, '1 Machine Build'!$F$11:$Q$11, '1 Machine Build'!$F14:$Q14), 0), _xlfn.IFNA(_xlfn.XLOOKUP(Assumptions!EE$84, '1 Machine Build'!$F$11:$Q$11, '1 Machine Build'!$F14:$Q14), 0), _xlfn.IFNA(_xlfn.XLOOKUP(Assumptions!EE$85, '1 Machine Build'!$F$11:$Q$11, '1 Machine Build'!$F14:$Q14), 0), _xlfn.IFNA(_xlfn.XLOOKUP(Assumptions!EE$86, '1 Machine Build'!$F$11:$Q$11, '1 Machine Build'!$F14:$Q14), 0), _xlfn.IFNA(_xlfn.XLOOKUP(Assumptions!EE$87, '1 Machine Build'!$F$11:$Q$11, '1 Machine Build'!$F14:$Q14), 0), _xlfn.IFNA(_xlfn.XLOOKUP(Assumptions!EE$88, '1 Machine Build'!$F$11:$Q$11, '1 Machine Build'!$F14:$Q14), 0))</f>
        <v>0</v>
      </c>
      <c r="EH32" s="97">
        <f>SUM(_xlfn.IFNA(_xlfn.XLOOKUP(Assumptions!EF$81, '1 Machine Build'!$F$11:$Q$11, '1 Machine Build'!$F14:$Q14), 0), _xlfn.IFNA(_xlfn.XLOOKUP(Assumptions!EF$82, '1 Machine Build'!$F$11:$Q$11, '1 Machine Build'!$F14:$Q14), 0), _xlfn.IFNA(_xlfn.XLOOKUP(Assumptions!EF$83, '1 Machine Build'!$F$11:$Q$11, '1 Machine Build'!$F14:$Q14), 0), _xlfn.IFNA(_xlfn.XLOOKUP(Assumptions!EF$84, '1 Machine Build'!$F$11:$Q$11, '1 Machine Build'!$F14:$Q14), 0), _xlfn.IFNA(_xlfn.XLOOKUP(Assumptions!EF$85, '1 Machine Build'!$F$11:$Q$11, '1 Machine Build'!$F14:$Q14), 0), _xlfn.IFNA(_xlfn.XLOOKUP(Assumptions!EF$86, '1 Machine Build'!$F$11:$Q$11, '1 Machine Build'!$F14:$Q14), 0), _xlfn.IFNA(_xlfn.XLOOKUP(Assumptions!EF$87, '1 Machine Build'!$F$11:$Q$11, '1 Machine Build'!$F14:$Q14), 0), _xlfn.IFNA(_xlfn.XLOOKUP(Assumptions!EF$88, '1 Machine Build'!$F$11:$Q$11, '1 Machine Build'!$F14:$Q14), 0))</f>
        <v>0</v>
      </c>
      <c r="EI32" s="97">
        <f>SUM(_xlfn.IFNA(_xlfn.XLOOKUP(Assumptions!EG$81, '1 Machine Build'!$F$11:$Q$11, '1 Machine Build'!$F14:$Q14), 0), _xlfn.IFNA(_xlfn.XLOOKUP(Assumptions!EG$82, '1 Machine Build'!$F$11:$Q$11, '1 Machine Build'!$F14:$Q14), 0), _xlfn.IFNA(_xlfn.XLOOKUP(Assumptions!EG$83, '1 Machine Build'!$F$11:$Q$11, '1 Machine Build'!$F14:$Q14), 0), _xlfn.IFNA(_xlfn.XLOOKUP(Assumptions!EG$84, '1 Machine Build'!$F$11:$Q$11, '1 Machine Build'!$F14:$Q14), 0), _xlfn.IFNA(_xlfn.XLOOKUP(Assumptions!EG$85, '1 Machine Build'!$F$11:$Q$11, '1 Machine Build'!$F14:$Q14), 0), _xlfn.IFNA(_xlfn.XLOOKUP(Assumptions!EG$86, '1 Machine Build'!$F$11:$Q$11, '1 Machine Build'!$F14:$Q14), 0), _xlfn.IFNA(_xlfn.XLOOKUP(Assumptions!EG$87, '1 Machine Build'!$F$11:$Q$11, '1 Machine Build'!$F14:$Q14), 0), _xlfn.IFNA(_xlfn.XLOOKUP(Assumptions!EG$88, '1 Machine Build'!$F$11:$Q$11, '1 Machine Build'!$F14:$Q14), 0))</f>
        <v>0</v>
      </c>
      <c r="EJ32" s="97">
        <f>SUM(_xlfn.IFNA(_xlfn.XLOOKUP(Assumptions!EH$81, '1 Machine Build'!$F$11:$Q$11, '1 Machine Build'!$F14:$Q14), 0), _xlfn.IFNA(_xlfn.XLOOKUP(Assumptions!EH$82, '1 Machine Build'!$F$11:$Q$11, '1 Machine Build'!$F14:$Q14), 0), _xlfn.IFNA(_xlfn.XLOOKUP(Assumptions!EH$83, '1 Machine Build'!$F$11:$Q$11, '1 Machine Build'!$F14:$Q14), 0), _xlfn.IFNA(_xlfn.XLOOKUP(Assumptions!EH$84, '1 Machine Build'!$F$11:$Q$11, '1 Machine Build'!$F14:$Q14), 0), _xlfn.IFNA(_xlfn.XLOOKUP(Assumptions!EH$85, '1 Machine Build'!$F$11:$Q$11, '1 Machine Build'!$F14:$Q14), 0), _xlfn.IFNA(_xlfn.XLOOKUP(Assumptions!EH$86, '1 Machine Build'!$F$11:$Q$11, '1 Machine Build'!$F14:$Q14), 0), _xlfn.IFNA(_xlfn.XLOOKUP(Assumptions!EH$87, '1 Machine Build'!$F$11:$Q$11, '1 Machine Build'!$F14:$Q14), 0), _xlfn.IFNA(_xlfn.XLOOKUP(Assumptions!EH$88, '1 Machine Build'!$F$11:$Q$11, '1 Machine Build'!$F14:$Q14), 0))</f>
        <v>0</v>
      </c>
      <c r="EK32" s="97">
        <f>SUM(_xlfn.IFNA(_xlfn.XLOOKUP(Assumptions!EI$81, '1 Machine Build'!$F$11:$Q$11, '1 Machine Build'!$F14:$Q14), 0), _xlfn.IFNA(_xlfn.XLOOKUP(Assumptions!EI$82, '1 Machine Build'!$F$11:$Q$11, '1 Machine Build'!$F14:$Q14), 0), _xlfn.IFNA(_xlfn.XLOOKUP(Assumptions!EI$83, '1 Machine Build'!$F$11:$Q$11, '1 Machine Build'!$F14:$Q14), 0), _xlfn.IFNA(_xlfn.XLOOKUP(Assumptions!EI$84, '1 Machine Build'!$F$11:$Q$11, '1 Machine Build'!$F14:$Q14), 0), _xlfn.IFNA(_xlfn.XLOOKUP(Assumptions!EI$85, '1 Machine Build'!$F$11:$Q$11, '1 Machine Build'!$F14:$Q14), 0), _xlfn.IFNA(_xlfn.XLOOKUP(Assumptions!EI$86, '1 Machine Build'!$F$11:$Q$11, '1 Machine Build'!$F14:$Q14), 0), _xlfn.IFNA(_xlfn.XLOOKUP(Assumptions!EI$87, '1 Machine Build'!$F$11:$Q$11, '1 Machine Build'!$F14:$Q14), 0), _xlfn.IFNA(_xlfn.XLOOKUP(Assumptions!EI$88, '1 Machine Build'!$F$11:$Q$11, '1 Machine Build'!$F14:$Q14), 0))</f>
        <v>0</v>
      </c>
      <c r="EL32" s="97">
        <f>SUM(_xlfn.IFNA(_xlfn.XLOOKUP(Assumptions!EJ$81, '1 Machine Build'!$F$11:$Q$11, '1 Machine Build'!$F14:$Q14), 0), _xlfn.IFNA(_xlfn.XLOOKUP(Assumptions!EJ$82, '1 Machine Build'!$F$11:$Q$11, '1 Machine Build'!$F14:$Q14), 0), _xlfn.IFNA(_xlfn.XLOOKUP(Assumptions!EJ$83, '1 Machine Build'!$F$11:$Q$11, '1 Machine Build'!$F14:$Q14), 0), _xlfn.IFNA(_xlfn.XLOOKUP(Assumptions!EJ$84, '1 Machine Build'!$F$11:$Q$11, '1 Machine Build'!$F14:$Q14), 0), _xlfn.IFNA(_xlfn.XLOOKUP(Assumptions!EJ$85, '1 Machine Build'!$F$11:$Q$11, '1 Machine Build'!$F14:$Q14), 0), _xlfn.IFNA(_xlfn.XLOOKUP(Assumptions!EJ$86, '1 Machine Build'!$F$11:$Q$11, '1 Machine Build'!$F14:$Q14), 0), _xlfn.IFNA(_xlfn.XLOOKUP(Assumptions!EJ$87, '1 Machine Build'!$F$11:$Q$11, '1 Machine Build'!$F14:$Q14), 0), _xlfn.IFNA(_xlfn.XLOOKUP(Assumptions!EJ$88, '1 Machine Build'!$F$11:$Q$11, '1 Machine Build'!$F14:$Q14), 0))</f>
        <v>0</v>
      </c>
      <c r="EM32" s="97">
        <f>SUM(_xlfn.IFNA(_xlfn.XLOOKUP(Assumptions!EK$81, '1 Machine Build'!$F$11:$Q$11, '1 Machine Build'!$F14:$Q14), 0), _xlfn.IFNA(_xlfn.XLOOKUP(Assumptions!EK$82, '1 Machine Build'!$F$11:$Q$11, '1 Machine Build'!$F14:$Q14), 0), _xlfn.IFNA(_xlfn.XLOOKUP(Assumptions!EK$83, '1 Machine Build'!$F$11:$Q$11, '1 Machine Build'!$F14:$Q14), 0), _xlfn.IFNA(_xlfn.XLOOKUP(Assumptions!EK$84, '1 Machine Build'!$F$11:$Q$11, '1 Machine Build'!$F14:$Q14), 0), _xlfn.IFNA(_xlfn.XLOOKUP(Assumptions!EK$85, '1 Machine Build'!$F$11:$Q$11, '1 Machine Build'!$F14:$Q14), 0), _xlfn.IFNA(_xlfn.XLOOKUP(Assumptions!EK$86, '1 Machine Build'!$F$11:$Q$11, '1 Machine Build'!$F14:$Q14), 0), _xlfn.IFNA(_xlfn.XLOOKUP(Assumptions!EK$87, '1 Machine Build'!$F$11:$Q$11, '1 Machine Build'!$F14:$Q14), 0), _xlfn.IFNA(_xlfn.XLOOKUP(Assumptions!EK$88, '1 Machine Build'!$F$11:$Q$11, '1 Machine Build'!$F14:$Q14), 0))</f>
        <v>0</v>
      </c>
      <c r="EN32" s="97">
        <f>SUM(_xlfn.IFNA(_xlfn.XLOOKUP(Assumptions!EL$81, '1 Machine Build'!$F$11:$Q$11, '1 Machine Build'!$F14:$Q14), 0), _xlfn.IFNA(_xlfn.XLOOKUP(Assumptions!EL$82, '1 Machine Build'!$F$11:$Q$11, '1 Machine Build'!$F14:$Q14), 0), _xlfn.IFNA(_xlfn.XLOOKUP(Assumptions!EL$83, '1 Machine Build'!$F$11:$Q$11, '1 Machine Build'!$F14:$Q14), 0), _xlfn.IFNA(_xlfn.XLOOKUP(Assumptions!EL$84, '1 Machine Build'!$F$11:$Q$11, '1 Machine Build'!$F14:$Q14), 0), _xlfn.IFNA(_xlfn.XLOOKUP(Assumptions!EL$85, '1 Machine Build'!$F$11:$Q$11, '1 Machine Build'!$F14:$Q14), 0), _xlfn.IFNA(_xlfn.XLOOKUP(Assumptions!EL$86, '1 Machine Build'!$F$11:$Q$11, '1 Machine Build'!$F14:$Q14), 0), _xlfn.IFNA(_xlfn.XLOOKUP(Assumptions!EL$87, '1 Machine Build'!$F$11:$Q$11, '1 Machine Build'!$F14:$Q14), 0), _xlfn.IFNA(_xlfn.XLOOKUP(Assumptions!EL$88, '1 Machine Build'!$F$11:$Q$11, '1 Machine Build'!$F14:$Q14), 0))</f>
        <v>0</v>
      </c>
      <c r="EO32" s="97">
        <f>SUM(_xlfn.IFNA(_xlfn.XLOOKUP(Assumptions!EM$81, '1 Machine Build'!$F$11:$Q$11, '1 Machine Build'!$F14:$Q14), 0), _xlfn.IFNA(_xlfn.XLOOKUP(Assumptions!EM$82, '1 Machine Build'!$F$11:$Q$11, '1 Machine Build'!$F14:$Q14), 0), _xlfn.IFNA(_xlfn.XLOOKUP(Assumptions!EM$83, '1 Machine Build'!$F$11:$Q$11, '1 Machine Build'!$F14:$Q14), 0), _xlfn.IFNA(_xlfn.XLOOKUP(Assumptions!EM$84, '1 Machine Build'!$F$11:$Q$11, '1 Machine Build'!$F14:$Q14), 0), _xlfn.IFNA(_xlfn.XLOOKUP(Assumptions!EM$85, '1 Machine Build'!$F$11:$Q$11, '1 Machine Build'!$F14:$Q14), 0), _xlfn.IFNA(_xlfn.XLOOKUP(Assumptions!EM$86, '1 Machine Build'!$F$11:$Q$11, '1 Machine Build'!$F14:$Q14), 0), _xlfn.IFNA(_xlfn.XLOOKUP(Assumptions!EM$87, '1 Machine Build'!$F$11:$Q$11, '1 Machine Build'!$F14:$Q14), 0), _xlfn.IFNA(_xlfn.XLOOKUP(Assumptions!EM$88, '1 Machine Build'!$F$11:$Q$11, '1 Machine Build'!$F14:$Q14), 0))</f>
        <v>0</v>
      </c>
      <c r="EP32" s="97">
        <f>SUM(_xlfn.IFNA(_xlfn.XLOOKUP(Assumptions!EN$81, '1 Machine Build'!$F$11:$Q$11, '1 Machine Build'!$F14:$Q14), 0), _xlfn.IFNA(_xlfn.XLOOKUP(Assumptions!EN$82, '1 Machine Build'!$F$11:$Q$11, '1 Machine Build'!$F14:$Q14), 0), _xlfn.IFNA(_xlfn.XLOOKUP(Assumptions!EN$83, '1 Machine Build'!$F$11:$Q$11, '1 Machine Build'!$F14:$Q14), 0), _xlfn.IFNA(_xlfn.XLOOKUP(Assumptions!EN$84, '1 Machine Build'!$F$11:$Q$11, '1 Machine Build'!$F14:$Q14), 0), _xlfn.IFNA(_xlfn.XLOOKUP(Assumptions!EN$85, '1 Machine Build'!$F$11:$Q$11, '1 Machine Build'!$F14:$Q14), 0), _xlfn.IFNA(_xlfn.XLOOKUP(Assumptions!EN$86, '1 Machine Build'!$F$11:$Q$11, '1 Machine Build'!$F14:$Q14), 0), _xlfn.IFNA(_xlfn.XLOOKUP(Assumptions!EN$87, '1 Machine Build'!$F$11:$Q$11, '1 Machine Build'!$F14:$Q14), 0), _xlfn.IFNA(_xlfn.XLOOKUP(Assumptions!EN$88, '1 Machine Build'!$F$11:$Q$11, '1 Machine Build'!$F14:$Q14), 0))</f>
        <v>0</v>
      </c>
      <c r="EQ32" s="97">
        <f>SUM(_xlfn.IFNA(_xlfn.XLOOKUP(Assumptions!EO$81, '1 Machine Build'!$F$11:$Q$11, '1 Machine Build'!$F14:$Q14), 0), _xlfn.IFNA(_xlfn.XLOOKUP(Assumptions!EO$82, '1 Machine Build'!$F$11:$Q$11, '1 Machine Build'!$F14:$Q14), 0), _xlfn.IFNA(_xlfn.XLOOKUP(Assumptions!EO$83, '1 Machine Build'!$F$11:$Q$11, '1 Machine Build'!$F14:$Q14), 0), _xlfn.IFNA(_xlfn.XLOOKUP(Assumptions!EO$84, '1 Machine Build'!$F$11:$Q$11, '1 Machine Build'!$F14:$Q14), 0), _xlfn.IFNA(_xlfn.XLOOKUP(Assumptions!EO$85, '1 Machine Build'!$F$11:$Q$11, '1 Machine Build'!$F14:$Q14), 0), _xlfn.IFNA(_xlfn.XLOOKUP(Assumptions!EO$86, '1 Machine Build'!$F$11:$Q$11, '1 Machine Build'!$F14:$Q14), 0), _xlfn.IFNA(_xlfn.XLOOKUP(Assumptions!EO$87, '1 Machine Build'!$F$11:$Q$11, '1 Machine Build'!$F14:$Q14), 0), _xlfn.IFNA(_xlfn.XLOOKUP(Assumptions!EO$88, '1 Machine Build'!$F$11:$Q$11, '1 Machine Build'!$F14:$Q14), 0))</f>
        <v>0</v>
      </c>
      <c r="ER32" s="97">
        <f>SUM(_xlfn.IFNA(_xlfn.XLOOKUP(Assumptions!EP$81, '1 Machine Build'!$F$11:$Q$11, '1 Machine Build'!$F14:$Q14), 0), _xlfn.IFNA(_xlfn.XLOOKUP(Assumptions!EP$82, '1 Machine Build'!$F$11:$Q$11, '1 Machine Build'!$F14:$Q14), 0), _xlfn.IFNA(_xlfn.XLOOKUP(Assumptions!EP$83, '1 Machine Build'!$F$11:$Q$11, '1 Machine Build'!$F14:$Q14), 0), _xlfn.IFNA(_xlfn.XLOOKUP(Assumptions!EP$84, '1 Machine Build'!$F$11:$Q$11, '1 Machine Build'!$F14:$Q14), 0), _xlfn.IFNA(_xlfn.XLOOKUP(Assumptions!EP$85, '1 Machine Build'!$F$11:$Q$11, '1 Machine Build'!$F14:$Q14), 0), _xlfn.IFNA(_xlfn.XLOOKUP(Assumptions!EP$86, '1 Machine Build'!$F$11:$Q$11, '1 Machine Build'!$F14:$Q14), 0), _xlfn.IFNA(_xlfn.XLOOKUP(Assumptions!EP$87, '1 Machine Build'!$F$11:$Q$11, '1 Machine Build'!$F14:$Q14), 0), _xlfn.IFNA(_xlfn.XLOOKUP(Assumptions!EP$88, '1 Machine Build'!$F$11:$Q$11, '1 Machine Build'!$F14:$Q14), 0))</f>
        <v>0</v>
      </c>
      <c r="ES32" s="97">
        <f>SUM(_xlfn.IFNA(_xlfn.XLOOKUP(Assumptions!EQ$81, '1 Machine Build'!$F$11:$Q$11, '1 Machine Build'!$F14:$Q14), 0), _xlfn.IFNA(_xlfn.XLOOKUP(Assumptions!EQ$82, '1 Machine Build'!$F$11:$Q$11, '1 Machine Build'!$F14:$Q14), 0), _xlfn.IFNA(_xlfn.XLOOKUP(Assumptions!EQ$83, '1 Machine Build'!$F$11:$Q$11, '1 Machine Build'!$F14:$Q14), 0), _xlfn.IFNA(_xlfn.XLOOKUP(Assumptions!EQ$84, '1 Machine Build'!$F$11:$Q$11, '1 Machine Build'!$F14:$Q14), 0), _xlfn.IFNA(_xlfn.XLOOKUP(Assumptions!EQ$85, '1 Machine Build'!$F$11:$Q$11, '1 Machine Build'!$F14:$Q14), 0), _xlfn.IFNA(_xlfn.XLOOKUP(Assumptions!EQ$86, '1 Machine Build'!$F$11:$Q$11, '1 Machine Build'!$F14:$Q14), 0), _xlfn.IFNA(_xlfn.XLOOKUP(Assumptions!EQ$87, '1 Machine Build'!$F$11:$Q$11, '1 Machine Build'!$F14:$Q14), 0), _xlfn.IFNA(_xlfn.XLOOKUP(Assumptions!EQ$88, '1 Machine Build'!$F$11:$Q$11, '1 Machine Build'!$F14:$Q14), 0))</f>
        <v>0</v>
      </c>
      <c r="ET32" s="97">
        <f>SUM(_xlfn.IFNA(_xlfn.XLOOKUP(Assumptions!ER$81, '1 Machine Build'!$F$11:$Q$11, '1 Machine Build'!$F14:$Q14), 0), _xlfn.IFNA(_xlfn.XLOOKUP(Assumptions!ER$82, '1 Machine Build'!$F$11:$Q$11, '1 Machine Build'!$F14:$Q14), 0), _xlfn.IFNA(_xlfn.XLOOKUP(Assumptions!ER$83, '1 Machine Build'!$F$11:$Q$11, '1 Machine Build'!$F14:$Q14), 0), _xlfn.IFNA(_xlfn.XLOOKUP(Assumptions!ER$84, '1 Machine Build'!$F$11:$Q$11, '1 Machine Build'!$F14:$Q14), 0), _xlfn.IFNA(_xlfn.XLOOKUP(Assumptions!ER$85, '1 Machine Build'!$F$11:$Q$11, '1 Machine Build'!$F14:$Q14), 0), _xlfn.IFNA(_xlfn.XLOOKUP(Assumptions!ER$86, '1 Machine Build'!$F$11:$Q$11, '1 Machine Build'!$F14:$Q14), 0), _xlfn.IFNA(_xlfn.XLOOKUP(Assumptions!ER$87, '1 Machine Build'!$F$11:$Q$11, '1 Machine Build'!$F14:$Q14), 0), _xlfn.IFNA(_xlfn.XLOOKUP(Assumptions!ER$88, '1 Machine Build'!$F$11:$Q$11, '1 Machine Build'!$F14:$Q14), 0))</f>
        <v>0</v>
      </c>
      <c r="EU32" s="97">
        <f>SUM(_xlfn.IFNA(_xlfn.XLOOKUP(Assumptions!ES$81, '1 Machine Build'!$F$11:$Q$11, '1 Machine Build'!$F14:$Q14), 0), _xlfn.IFNA(_xlfn.XLOOKUP(Assumptions!ES$82, '1 Machine Build'!$F$11:$Q$11, '1 Machine Build'!$F14:$Q14), 0), _xlfn.IFNA(_xlfn.XLOOKUP(Assumptions!ES$83, '1 Machine Build'!$F$11:$Q$11, '1 Machine Build'!$F14:$Q14), 0), _xlfn.IFNA(_xlfn.XLOOKUP(Assumptions!ES$84, '1 Machine Build'!$F$11:$Q$11, '1 Machine Build'!$F14:$Q14), 0), _xlfn.IFNA(_xlfn.XLOOKUP(Assumptions!ES$85, '1 Machine Build'!$F$11:$Q$11, '1 Machine Build'!$F14:$Q14), 0), _xlfn.IFNA(_xlfn.XLOOKUP(Assumptions!ES$86, '1 Machine Build'!$F$11:$Q$11, '1 Machine Build'!$F14:$Q14), 0), _xlfn.IFNA(_xlfn.XLOOKUP(Assumptions!ES$87, '1 Machine Build'!$F$11:$Q$11, '1 Machine Build'!$F14:$Q14), 0), _xlfn.IFNA(_xlfn.XLOOKUP(Assumptions!ES$88, '1 Machine Build'!$F$11:$Q$11, '1 Machine Build'!$F14:$Q14), 0))</f>
        <v>0</v>
      </c>
      <c r="EV32" s="97">
        <f>SUM(_xlfn.IFNA(_xlfn.XLOOKUP(Assumptions!ET$81, '1 Machine Build'!$F$11:$Q$11, '1 Machine Build'!$F14:$Q14), 0), _xlfn.IFNA(_xlfn.XLOOKUP(Assumptions!ET$82, '1 Machine Build'!$F$11:$Q$11, '1 Machine Build'!$F14:$Q14), 0), _xlfn.IFNA(_xlfn.XLOOKUP(Assumptions!ET$83, '1 Machine Build'!$F$11:$Q$11, '1 Machine Build'!$F14:$Q14), 0), _xlfn.IFNA(_xlfn.XLOOKUP(Assumptions!ET$84, '1 Machine Build'!$F$11:$Q$11, '1 Machine Build'!$F14:$Q14), 0), _xlfn.IFNA(_xlfn.XLOOKUP(Assumptions!ET$85, '1 Machine Build'!$F$11:$Q$11, '1 Machine Build'!$F14:$Q14), 0), _xlfn.IFNA(_xlfn.XLOOKUP(Assumptions!ET$86, '1 Machine Build'!$F$11:$Q$11, '1 Machine Build'!$F14:$Q14), 0), _xlfn.IFNA(_xlfn.XLOOKUP(Assumptions!ET$87, '1 Machine Build'!$F$11:$Q$11, '1 Machine Build'!$F14:$Q14), 0), _xlfn.IFNA(_xlfn.XLOOKUP(Assumptions!ET$88, '1 Machine Build'!$F$11:$Q$11, '1 Machine Build'!$F14:$Q14), 0))</f>
        <v>0</v>
      </c>
      <c r="EW32" s="97">
        <f>SUM(_xlfn.IFNA(_xlfn.XLOOKUP(Assumptions!EU$81, '1 Machine Build'!$F$11:$Q$11, '1 Machine Build'!$F14:$Q14), 0), _xlfn.IFNA(_xlfn.XLOOKUP(Assumptions!EU$82, '1 Machine Build'!$F$11:$Q$11, '1 Machine Build'!$F14:$Q14), 0), _xlfn.IFNA(_xlfn.XLOOKUP(Assumptions!EU$83, '1 Machine Build'!$F$11:$Q$11, '1 Machine Build'!$F14:$Q14), 0), _xlfn.IFNA(_xlfn.XLOOKUP(Assumptions!EU$84, '1 Machine Build'!$F$11:$Q$11, '1 Machine Build'!$F14:$Q14), 0), _xlfn.IFNA(_xlfn.XLOOKUP(Assumptions!EU$85, '1 Machine Build'!$F$11:$Q$11, '1 Machine Build'!$F14:$Q14), 0), _xlfn.IFNA(_xlfn.XLOOKUP(Assumptions!EU$86, '1 Machine Build'!$F$11:$Q$11, '1 Machine Build'!$F14:$Q14), 0), _xlfn.IFNA(_xlfn.XLOOKUP(Assumptions!EU$87, '1 Machine Build'!$F$11:$Q$11, '1 Machine Build'!$F14:$Q14), 0), _xlfn.IFNA(_xlfn.XLOOKUP(Assumptions!EU$88, '1 Machine Build'!$F$11:$Q$11, '1 Machine Build'!$F14:$Q14), 0))</f>
        <v>0</v>
      </c>
      <c r="EX32" s="97">
        <f>SUM(_xlfn.IFNA(_xlfn.XLOOKUP(Assumptions!EV$81, '1 Machine Build'!$F$11:$Q$11, '1 Machine Build'!$F14:$Q14), 0), _xlfn.IFNA(_xlfn.XLOOKUP(Assumptions!EV$82, '1 Machine Build'!$F$11:$Q$11, '1 Machine Build'!$F14:$Q14), 0), _xlfn.IFNA(_xlfn.XLOOKUP(Assumptions!EV$83, '1 Machine Build'!$F$11:$Q$11, '1 Machine Build'!$F14:$Q14), 0), _xlfn.IFNA(_xlfn.XLOOKUP(Assumptions!EV$84, '1 Machine Build'!$F$11:$Q$11, '1 Machine Build'!$F14:$Q14), 0), _xlfn.IFNA(_xlfn.XLOOKUP(Assumptions!EV$85, '1 Machine Build'!$F$11:$Q$11, '1 Machine Build'!$F14:$Q14), 0), _xlfn.IFNA(_xlfn.XLOOKUP(Assumptions!EV$86, '1 Machine Build'!$F$11:$Q$11, '1 Machine Build'!$F14:$Q14), 0), _xlfn.IFNA(_xlfn.XLOOKUP(Assumptions!EV$87, '1 Machine Build'!$F$11:$Q$11, '1 Machine Build'!$F14:$Q14), 0), _xlfn.IFNA(_xlfn.XLOOKUP(Assumptions!EV$88, '1 Machine Build'!$F$11:$Q$11, '1 Machine Build'!$F14:$Q14), 0))</f>
        <v>0</v>
      </c>
      <c r="EY32" s="97">
        <f>SUM(_xlfn.IFNA(_xlfn.XLOOKUP(Assumptions!EW$81, '1 Machine Build'!$F$11:$Q$11, '1 Machine Build'!$F14:$Q14), 0), _xlfn.IFNA(_xlfn.XLOOKUP(Assumptions!EW$82, '1 Machine Build'!$F$11:$Q$11, '1 Machine Build'!$F14:$Q14), 0), _xlfn.IFNA(_xlfn.XLOOKUP(Assumptions!EW$83, '1 Machine Build'!$F$11:$Q$11, '1 Machine Build'!$F14:$Q14), 0), _xlfn.IFNA(_xlfn.XLOOKUP(Assumptions!EW$84, '1 Machine Build'!$F$11:$Q$11, '1 Machine Build'!$F14:$Q14), 0), _xlfn.IFNA(_xlfn.XLOOKUP(Assumptions!EW$85, '1 Machine Build'!$F$11:$Q$11, '1 Machine Build'!$F14:$Q14), 0), _xlfn.IFNA(_xlfn.XLOOKUP(Assumptions!EW$86, '1 Machine Build'!$F$11:$Q$11, '1 Machine Build'!$F14:$Q14), 0), _xlfn.IFNA(_xlfn.XLOOKUP(Assumptions!EW$87, '1 Machine Build'!$F$11:$Q$11, '1 Machine Build'!$F14:$Q14), 0), _xlfn.IFNA(_xlfn.XLOOKUP(Assumptions!EW$88, '1 Machine Build'!$F$11:$Q$11, '1 Machine Build'!$F14:$Q14), 0))</f>
        <v>0</v>
      </c>
      <c r="EZ32" s="97">
        <f>SUM(_xlfn.IFNA(_xlfn.XLOOKUP(Assumptions!EX$81, '1 Machine Build'!$F$11:$Q$11, '1 Machine Build'!$F14:$Q14), 0), _xlfn.IFNA(_xlfn.XLOOKUP(Assumptions!EX$82, '1 Machine Build'!$F$11:$Q$11, '1 Machine Build'!$F14:$Q14), 0), _xlfn.IFNA(_xlfn.XLOOKUP(Assumptions!EX$83, '1 Machine Build'!$F$11:$Q$11, '1 Machine Build'!$F14:$Q14), 0), _xlfn.IFNA(_xlfn.XLOOKUP(Assumptions!EX$84, '1 Machine Build'!$F$11:$Q$11, '1 Machine Build'!$F14:$Q14), 0), _xlfn.IFNA(_xlfn.XLOOKUP(Assumptions!EX$85, '1 Machine Build'!$F$11:$Q$11, '1 Machine Build'!$F14:$Q14), 0), _xlfn.IFNA(_xlfn.XLOOKUP(Assumptions!EX$86, '1 Machine Build'!$F$11:$Q$11, '1 Machine Build'!$F14:$Q14), 0), _xlfn.IFNA(_xlfn.XLOOKUP(Assumptions!EX$87, '1 Machine Build'!$F$11:$Q$11, '1 Machine Build'!$F14:$Q14), 0), _xlfn.IFNA(_xlfn.XLOOKUP(Assumptions!EX$88, '1 Machine Build'!$F$11:$Q$11, '1 Machine Build'!$F14:$Q14), 0))</f>
        <v>0</v>
      </c>
      <c r="FA32" s="97">
        <f>SUM(_xlfn.IFNA(_xlfn.XLOOKUP(Assumptions!EY$81, '1 Machine Build'!$F$11:$Q$11, '1 Machine Build'!$F14:$Q14), 0), _xlfn.IFNA(_xlfn.XLOOKUP(Assumptions!EY$82, '1 Machine Build'!$F$11:$Q$11, '1 Machine Build'!$F14:$Q14), 0), _xlfn.IFNA(_xlfn.XLOOKUP(Assumptions!EY$83, '1 Machine Build'!$F$11:$Q$11, '1 Machine Build'!$F14:$Q14), 0), _xlfn.IFNA(_xlfn.XLOOKUP(Assumptions!EY$84, '1 Machine Build'!$F$11:$Q$11, '1 Machine Build'!$F14:$Q14), 0), _xlfn.IFNA(_xlfn.XLOOKUP(Assumptions!EY$85, '1 Machine Build'!$F$11:$Q$11, '1 Machine Build'!$F14:$Q14), 0), _xlfn.IFNA(_xlfn.XLOOKUP(Assumptions!EY$86, '1 Machine Build'!$F$11:$Q$11, '1 Machine Build'!$F14:$Q14), 0), _xlfn.IFNA(_xlfn.XLOOKUP(Assumptions!EY$87, '1 Machine Build'!$F$11:$Q$11, '1 Machine Build'!$F14:$Q14), 0), _xlfn.IFNA(_xlfn.XLOOKUP(Assumptions!EY$88, '1 Machine Build'!$F$11:$Q$11, '1 Machine Build'!$F14:$Q14), 0))</f>
        <v>0</v>
      </c>
      <c r="FB32" s="97">
        <f>SUM(_xlfn.IFNA(_xlfn.XLOOKUP(Assumptions!EZ$81, '1 Machine Build'!$F$11:$Q$11, '1 Machine Build'!$F14:$Q14), 0), _xlfn.IFNA(_xlfn.XLOOKUP(Assumptions!EZ$82, '1 Machine Build'!$F$11:$Q$11, '1 Machine Build'!$F14:$Q14), 0), _xlfn.IFNA(_xlfn.XLOOKUP(Assumptions!EZ$83, '1 Machine Build'!$F$11:$Q$11, '1 Machine Build'!$F14:$Q14), 0), _xlfn.IFNA(_xlfn.XLOOKUP(Assumptions!EZ$84, '1 Machine Build'!$F$11:$Q$11, '1 Machine Build'!$F14:$Q14), 0), _xlfn.IFNA(_xlfn.XLOOKUP(Assumptions!EZ$85, '1 Machine Build'!$F$11:$Q$11, '1 Machine Build'!$F14:$Q14), 0), _xlfn.IFNA(_xlfn.XLOOKUP(Assumptions!EZ$86, '1 Machine Build'!$F$11:$Q$11, '1 Machine Build'!$F14:$Q14), 0), _xlfn.IFNA(_xlfn.XLOOKUP(Assumptions!EZ$87, '1 Machine Build'!$F$11:$Q$11, '1 Machine Build'!$F14:$Q14), 0), _xlfn.IFNA(_xlfn.XLOOKUP(Assumptions!EZ$88, '1 Machine Build'!$F$11:$Q$11, '1 Machine Build'!$F14:$Q14), 0))</f>
        <v>0</v>
      </c>
      <c r="FC32" s="97">
        <f>SUM(_xlfn.IFNA(_xlfn.XLOOKUP(Assumptions!FA$81, '1 Machine Build'!$F$11:$Q$11, '1 Machine Build'!$F14:$Q14), 0), _xlfn.IFNA(_xlfn.XLOOKUP(Assumptions!FA$82, '1 Machine Build'!$F$11:$Q$11, '1 Machine Build'!$F14:$Q14), 0), _xlfn.IFNA(_xlfn.XLOOKUP(Assumptions!FA$83, '1 Machine Build'!$F$11:$Q$11, '1 Machine Build'!$F14:$Q14), 0), _xlfn.IFNA(_xlfn.XLOOKUP(Assumptions!FA$84, '1 Machine Build'!$F$11:$Q$11, '1 Machine Build'!$F14:$Q14), 0), _xlfn.IFNA(_xlfn.XLOOKUP(Assumptions!FA$85, '1 Machine Build'!$F$11:$Q$11, '1 Machine Build'!$F14:$Q14), 0), _xlfn.IFNA(_xlfn.XLOOKUP(Assumptions!FA$86, '1 Machine Build'!$F$11:$Q$11, '1 Machine Build'!$F14:$Q14), 0), _xlfn.IFNA(_xlfn.XLOOKUP(Assumptions!FA$87, '1 Machine Build'!$F$11:$Q$11, '1 Machine Build'!$F14:$Q14), 0), _xlfn.IFNA(_xlfn.XLOOKUP(Assumptions!FA$88, '1 Machine Build'!$F$11:$Q$11, '1 Machine Build'!$F14:$Q14), 0))</f>
        <v>0</v>
      </c>
      <c r="FD32" s="97">
        <f>SUM(_xlfn.IFNA(_xlfn.XLOOKUP(Assumptions!FB$81, '1 Machine Build'!$F$11:$Q$11, '1 Machine Build'!$F14:$Q14), 0), _xlfn.IFNA(_xlfn.XLOOKUP(Assumptions!FB$82, '1 Machine Build'!$F$11:$Q$11, '1 Machine Build'!$F14:$Q14), 0), _xlfn.IFNA(_xlfn.XLOOKUP(Assumptions!FB$83, '1 Machine Build'!$F$11:$Q$11, '1 Machine Build'!$F14:$Q14), 0), _xlfn.IFNA(_xlfn.XLOOKUP(Assumptions!FB$84, '1 Machine Build'!$F$11:$Q$11, '1 Machine Build'!$F14:$Q14), 0), _xlfn.IFNA(_xlfn.XLOOKUP(Assumptions!FB$85, '1 Machine Build'!$F$11:$Q$11, '1 Machine Build'!$F14:$Q14), 0), _xlfn.IFNA(_xlfn.XLOOKUP(Assumptions!FB$86, '1 Machine Build'!$F$11:$Q$11, '1 Machine Build'!$F14:$Q14), 0), _xlfn.IFNA(_xlfn.XLOOKUP(Assumptions!FB$87, '1 Machine Build'!$F$11:$Q$11, '1 Machine Build'!$F14:$Q14), 0), _xlfn.IFNA(_xlfn.XLOOKUP(Assumptions!FB$88, '1 Machine Build'!$F$11:$Q$11, '1 Machine Build'!$F14:$Q14), 0))</f>
        <v>0</v>
      </c>
      <c r="FE32" s="97">
        <f>SUM(_xlfn.IFNA(_xlfn.XLOOKUP(Assumptions!FC$81, '1 Machine Build'!$F$11:$Q$11, '1 Machine Build'!$F14:$Q14), 0), _xlfn.IFNA(_xlfn.XLOOKUP(Assumptions!FC$82, '1 Machine Build'!$F$11:$Q$11, '1 Machine Build'!$F14:$Q14), 0), _xlfn.IFNA(_xlfn.XLOOKUP(Assumptions!FC$83, '1 Machine Build'!$F$11:$Q$11, '1 Machine Build'!$F14:$Q14), 0), _xlfn.IFNA(_xlfn.XLOOKUP(Assumptions!FC$84, '1 Machine Build'!$F$11:$Q$11, '1 Machine Build'!$F14:$Q14), 0), _xlfn.IFNA(_xlfn.XLOOKUP(Assumptions!FC$85, '1 Machine Build'!$F$11:$Q$11, '1 Machine Build'!$F14:$Q14), 0), _xlfn.IFNA(_xlfn.XLOOKUP(Assumptions!FC$86, '1 Machine Build'!$F$11:$Q$11, '1 Machine Build'!$F14:$Q14), 0), _xlfn.IFNA(_xlfn.XLOOKUP(Assumptions!FC$87, '1 Machine Build'!$F$11:$Q$11, '1 Machine Build'!$F14:$Q14), 0), _xlfn.IFNA(_xlfn.XLOOKUP(Assumptions!FC$88, '1 Machine Build'!$F$11:$Q$11, '1 Machine Build'!$F14:$Q14), 0))</f>
        <v>0</v>
      </c>
      <c r="FF32" s="97">
        <f>SUM(_xlfn.IFNA(_xlfn.XLOOKUP(Assumptions!FD$81, '1 Machine Build'!$F$11:$Q$11, '1 Machine Build'!$F14:$Q14), 0), _xlfn.IFNA(_xlfn.XLOOKUP(Assumptions!FD$82, '1 Machine Build'!$F$11:$Q$11, '1 Machine Build'!$F14:$Q14), 0), _xlfn.IFNA(_xlfn.XLOOKUP(Assumptions!FD$83, '1 Machine Build'!$F$11:$Q$11, '1 Machine Build'!$F14:$Q14), 0), _xlfn.IFNA(_xlfn.XLOOKUP(Assumptions!FD$84, '1 Machine Build'!$F$11:$Q$11, '1 Machine Build'!$F14:$Q14), 0), _xlfn.IFNA(_xlfn.XLOOKUP(Assumptions!FD$85, '1 Machine Build'!$F$11:$Q$11, '1 Machine Build'!$F14:$Q14), 0), _xlfn.IFNA(_xlfn.XLOOKUP(Assumptions!FD$86, '1 Machine Build'!$F$11:$Q$11, '1 Machine Build'!$F14:$Q14), 0), _xlfn.IFNA(_xlfn.XLOOKUP(Assumptions!FD$87, '1 Machine Build'!$F$11:$Q$11, '1 Machine Build'!$F14:$Q14), 0), _xlfn.IFNA(_xlfn.XLOOKUP(Assumptions!FD$88, '1 Machine Build'!$F$11:$Q$11, '1 Machine Build'!$F14:$Q14), 0))</f>
        <v>0</v>
      </c>
      <c r="FG32" s="97">
        <f>SUM(_xlfn.IFNA(_xlfn.XLOOKUP(Assumptions!FE$81, '1 Machine Build'!$F$11:$Q$11, '1 Machine Build'!$F14:$Q14), 0), _xlfn.IFNA(_xlfn.XLOOKUP(Assumptions!FE$82, '1 Machine Build'!$F$11:$Q$11, '1 Machine Build'!$F14:$Q14), 0), _xlfn.IFNA(_xlfn.XLOOKUP(Assumptions!FE$83, '1 Machine Build'!$F$11:$Q$11, '1 Machine Build'!$F14:$Q14), 0), _xlfn.IFNA(_xlfn.XLOOKUP(Assumptions!FE$84, '1 Machine Build'!$F$11:$Q$11, '1 Machine Build'!$F14:$Q14), 0), _xlfn.IFNA(_xlfn.XLOOKUP(Assumptions!FE$85, '1 Machine Build'!$F$11:$Q$11, '1 Machine Build'!$F14:$Q14), 0), _xlfn.IFNA(_xlfn.XLOOKUP(Assumptions!FE$86, '1 Machine Build'!$F$11:$Q$11, '1 Machine Build'!$F14:$Q14), 0), _xlfn.IFNA(_xlfn.XLOOKUP(Assumptions!FE$87, '1 Machine Build'!$F$11:$Q$11, '1 Machine Build'!$F14:$Q14), 0), _xlfn.IFNA(_xlfn.XLOOKUP(Assumptions!FE$88, '1 Machine Build'!$F$11:$Q$11, '1 Machine Build'!$F14:$Q14), 0))</f>
        <v>0</v>
      </c>
      <c r="FH32" s="97">
        <f>SUM(_xlfn.IFNA(_xlfn.XLOOKUP(Assumptions!FF$81, '1 Machine Build'!$F$11:$Q$11, '1 Machine Build'!$F14:$Q14), 0), _xlfn.IFNA(_xlfn.XLOOKUP(Assumptions!FF$82, '1 Machine Build'!$F$11:$Q$11, '1 Machine Build'!$F14:$Q14), 0), _xlfn.IFNA(_xlfn.XLOOKUP(Assumptions!FF$83, '1 Machine Build'!$F$11:$Q$11, '1 Machine Build'!$F14:$Q14), 0), _xlfn.IFNA(_xlfn.XLOOKUP(Assumptions!FF$84, '1 Machine Build'!$F$11:$Q$11, '1 Machine Build'!$F14:$Q14), 0), _xlfn.IFNA(_xlfn.XLOOKUP(Assumptions!FF$85, '1 Machine Build'!$F$11:$Q$11, '1 Machine Build'!$F14:$Q14), 0), _xlfn.IFNA(_xlfn.XLOOKUP(Assumptions!FF$86, '1 Machine Build'!$F$11:$Q$11, '1 Machine Build'!$F14:$Q14), 0), _xlfn.IFNA(_xlfn.XLOOKUP(Assumptions!FF$87, '1 Machine Build'!$F$11:$Q$11, '1 Machine Build'!$F14:$Q14), 0), _xlfn.IFNA(_xlfn.XLOOKUP(Assumptions!FF$88, '1 Machine Build'!$F$11:$Q$11, '1 Machine Build'!$F14:$Q14), 0))</f>
        <v>0</v>
      </c>
      <c r="FI32" s="97">
        <f>SUM(_xlfn.IFNA(_xlfn.XLOOKUP(Assumptions!FG$81, '1 Machine Build'!$F$11:$Q$11, '1 Machine Build'!$F14:$Q14), 0), _xlfn.IFNA(_xlfn.XLOOKUP(Assumptions!FG$82, '1 Machine Build'!$F$11:$Q$11, '1 Machine Build'!$F14:$Q14), 0), _xlfn.IFNA(_xlfn.XLOOKUP(Assumptions!FG$83, '1 Machine Build'!$F$11:$Q$11, '1 Machine Build'!$F14:$Q14), 0), _xlfn.IFNA(_xlfn.XLOOKUP(Assumptions!FG$84, '1 Machine Build'!$F$11:$Q$11, '1 Machine Build'!$F14:$Q14), 0), _xlfn.IFNA(_xlfn.XLOOKUP(Assumptions!FG$85, '1 Machine Build'!$F$11:$Q$11, '1 Machine Build'!$F14:$Q14), 0), _xlfn.IFNA(_xlfn.XLOOKUP(Assumptions!FG$86, '1 Machine Build'!$F$11:$Q$11, '1 Machine Build'!$F14:$Q14), 0), _xlfn.IFNA(_xlfn.XLOOKUP(Assumptions!FG$87, '1 Machine Build'!$F$11:$Q$11, '1 Machine Build'!$F14:$Q14), 0), _xlfn.IFNA(_xlfn.XLOOKUP(Assumptions!FG$88, '1 Machine Build'!$F$11:$Q$11, '1 Machine Build'!$F14:$Q14), 0))</f>
        <v>0</v>
      </c>
      <c r="FJ32" s="97">
        <f>SUM(_xlfn.IFNA(_xlfn.XLOOKUP(Assumptions!FH$81, '1 Machine Build'!$F$11:$Q$11, '1 Machine Build'!$F14:$Q14), 0), _xlfn.IFNA(_xlfn.XLOOKUP(Assumptions!FH$82, '1 Machine Build'!$F$11:$Q$11, '1 Machine Build'!$F14:$Q14), 0), _xlfn.IFNA(_xlfn.XLOOKUP(Assumptions!FH$83, '1 Machine Build'!$F$11:$Q$11, '1 Machine Build'!$F14:$Q14), 0), _xlfn.IFNA(_xlfn.XLOOKUP(Assumptions!FH$84, '1 Machine Build'!$F$11:$Q$11, '1 Machine Build'!$F14:$Q14), 0), _xlfn.IFNA(_xlfn.XLOOKUP(Assumptions!FH$85, '1 Machine Build'!$F$11:$Q$11, '1 Machine Build'!$F14:$Q14), 0), _xlfn.IFNA(_xlfn.XLOOKUP(Assumptions!FH$86, '1 Machine Build'!$F$11:$Q$11, '1 Machine Build'!$F14:$Q14), 0), _xlfn.IFNA(_xlfn.XLOOKUP(Assumptions!FH$87, '1 Machine Build'!$F$11:$Q$11, '1 Machine Build'!$F14:$Q14), 0), _xlfn.IFNA(_xlfn.XLOOKUP(Assumptions!FH$88, '1 Machine Build'!$F$11:$Q$11, '1 Machine Build'!$F14:$Q14), 0))</f>
        <v>0</v>
      </c>
      <c r="FK32" s="97">
        <f>SUM(_xlfn.IFNA(_xlfn.XLOOKUP(Assumptions!FI$81, '1 Machine Build'!$F$11:$Q$11, '1 Machine Build'!$F14:$Q14), 0), _xlfn.IFNA(_xlfn.XLOOKUP(Assumptions!FI$82, '1 Machine Build'!$F$11:$Q$11, '1 Machine Build'!$F14:$Q14), 0), _xlfn.IFNA(_xlfn.XLOOKUP(Assumptions!FI$83, '1 Machine Build'!$F$11:$Q$11, '1 Machine Build'!$F14:$Q14), 0), _xlfn.IFNA(_xlfn.XLOOKUP(Assumptions!FI$84, '1 Machine Build'!$F$11:$Q$11, '1 Machine Build'!$F14:$Q14), 0), _xlfn.IFNA(_xlfn.XLOOKUP(Assumptions!FI$85, '1 Machine Build'!$F$11:$Q$11, '1 Machine Build'!$F14:$Q14), 0), _xlfn.IFNA(_xlfn.XLOOKUP(Assumptions!FI$86, '1 Machine Build'!$F$11:$Q$11, '1 Machine Build'!$F14:$Q14), 0), _xlfn.IFNA(_xlfn.XLOOKUP(Assumptions!FI$87, '1 Machine Build'!$F$11:$Q$11, '1 Machine Build'!$F14:$Q14), 0), _xlfn.IFNA(_xlfn.XLOOKUP(Assumptions!FI$88, '1 Machine Build'!$F$11:$Q$11, '1 Machine Build'!$F14:$Q14), 0))</f>
        <v>0</v>
      </c>
      <c r="FL32" s="97">
        <f>SUM(_xlfn.IFNA(_xlfn.XLOOKUP(Assumptions!FJ$81, '1 Machine Build'!$F$11:$Q$11, '1 Machine Build'!$F14:$Q14), 0), _xlfn.IFNA(_xlfn.XLOOKUP(Assumptions!FJ$82, '1 Machine Build'!$F$11:$Q$11, '1 Machine Build'!$F14:$Q14), 0), _xlfn.IFNA(_xlfn.XLOOKUP(Assumptions!FJ$83, '1 Machine Build'!$F$11:$Q$11, '1 Machine Build'!$F14:$Q14), 0), _xlfn.IFNA(_xlfn.XLOOKUP(Assumptions!FJ$84, '1 Machine Build'!$F$11:$Q$11, '1 Machine Build'!$F14:$Q14), 0), _xlfn.IFNA(_xlfn.XLOOKUP(Assumptions!FJ$85, '1 Machine Build'!$F$11:$Q$11, '1 Machine Build'!$F14:$Q14), 0), _xlfn.IFNA(_xlfn.XLOOKUP(Assumptions!FJ$86, '1 Machine Build'!$F$11:$Q$11, '1 Machine Build'!$F14:$Q14), 0), _xlfn.IFNA(_xlfn.XLOOKUP(Assumptions!FJ$87, '1 Machine Build'!$F$11:$Q$11, '1 Machine Build'!$F14:$Q14), 0), _xlfn.IFNA(_xlfn.XLOOKUP(Assumptions!FJ$88, '1 Machine Build'!$F$11:$Q$11, '1 Machine Build'!$F14:$Q14), 0))</f>
        <v>0</v>
      </c>
      <c r="FM32" s="97">
        <f>SUM(_xlfn.IFNA(_xlfn.XLOOKUP(Assumptions!FK$81, '1 Machine Build'!$F$11:$Q$11, '1 Machine Build'!$F14:$Q14), 0), _xlfn.IFNA(_xlfn.XLOOKUP(Assumptions!FK$82, '1 Machine Build'!$F$11:$Q$11, '1 Machine Build'!$F14:$Q14), 0), _xlfn.IFNA(_xlfn.XLOOKUP(Assumptions!FK$83, '1 Machine Build'!$F$11:$Q$11, '1 Machine Build'!$F14:$Q14), 0), _xlfn.IFNA(_xlfn.XLOOKUP(Assumptions!FK$84, '1 Machine Build'!$F$11:$Q$11, '1 Machine Build'!$F14:$Q14), 0), _xlfn.IFNA(_xlfn.XLOOKUP(Assumptions!FK$85, '1 Machine Build'!$F$11:$Q$11, '1 Machine Build'!$F14:$Q14), 0), _xlfn.IFNA(_xlfn.XLOOKUP(Assumptions!FK$86, '1 Machine Build'!$F$11:$Q$11, '1 Machine Build'!$F14:$Q14), 0), _xlfn.IFNA(_xlfn.XLOOKUP(Assumptions!FK$87, '1 Machine Build'!$F$11:$Q$11, '1 Machine Build'!$F14:$Q14), 0), _xlfn.IFNA(_xlfn.XLOOKUP(Assumptions!FK$88, '1 Machine Build'!$F$11:$Q$11, '1 Machine Build'!$F14:$Q14), 0))</f>
        <v>0</v>
      </c>
      <c r="FN32" s="97">
        <f>SUM(_xlfn.IFNA(_xlfn.XLOOKUP(Assumptions!FL$81, '1 Machine Build'!$F$11:$Q$11, '1 Machine Build'!$F14:$Q14), 0), _xlfn.IFNA(_xlfn.XLOOKUP(Assumptions!FL$82, '1 Machine Build'!$F$11:$Q$11, '1 Machine Build'!$F14:$Q14), 0), _xlfn.IFNA(_xlfn.XLOOKUP(Assumptions!FL$83, '1 Machine Build'!$F$11:$Q$11, '1 Machine Build'!$F14:$Q14), 0), _xlfn.IFNA(_xlfn.XLOOKUP(Assumptions!FL$84, '1 Machine Build'!$F$11:$Q$11, '1 Machine Build'!$F14:$Q14), 0), _xlfn.IFNA(_xlfn.XLOOKUP(Assumptions!FL$85, '1 Machine Build'!$F$11:$Q$11, '1 Machine Build'!$F14:$Q14), 0), _xlfn.IFNA(_xlfn.XLOOKUP(Assumptions!FL$86, '1 Machine Build'!$F$11:$Q$11, '1 Machine Build'!$F14:$Q14), 0), _xlfn.IFNA(_xlfn.XLOOKUP(Assumptions!FL$87, '1 Machine Build'!$F$11:$Q$11, '1 Machine Build'!$F14:$Q14), 0), _xlfn.IFNA(_xlfn.XLOOKUP(Assumptions!FL$88, '1 Machine Build'!$F$11:$Q$11, '1 Machine Build'!$F14:$Q14), 0))</f>
        <v>0</v>
      </c>
      <c r="FO32" s="97">
        <f>SUM(_xlfn.IFNA(_xlfn.XLOOKUP(Assumptions!FM$81, '1 Machine Build'!$F$11:$Q$11, '1 Machine Build'!$F14:$Q14), 0), _xlfn.IFNA(_xlfn.XLOOKUP(Assumptions!FM$82, '1 Machine Build'!$F$11:$Q$11, '1 Machine Build'!$F14:$Q14), 0), _xlfn.IFNA(_xlfn.XLOOKUP(Assumptions!FM$83, '1 Machine Build'!$F$11:$Q$11, '1 Machine Build'!$F14:$Q14), 0), _xlfn.IFNA(_xlfn.XLOOKUP(Assumptions!FM$84, '1 Machine Build'!$F$11:$Q$11, '1 Machine Build'!$F14:$Q14), 0), _xlfn.IFNA(_xlfn.XLOOKUP(Assumptions!FM$85, '1 Machine Build'!$F$11:$Q$11, '1 Machine Build'!$F14:$Q14), 0), _xlfn.IFNA(_xlfn.XLOOKUP(Assumptions!FM$86, '1 Machine Build'!$F$11:$Q$11, '1 Machine Build'!$F14:$Q14), 0), _xlfn.IFNA(_xlfn.XLOOKUP(Assumptions!FM$87, '1 Machine Build'!$F$11:$Q$11, '1 Machine Build'!$F14:$Q14), 0), _xlfn.IFNA(_xlfn.XLOOKUP(Assumptions!FM$88, '1 Machine Build'!$F$11:$Q$11, '1 Machine Build'!$F14:$Q14), 0))</f>
        <v>0</v>
      </c>
      <c r="FP32" s="97">
        <f>SUM(_xlfn.IFNA(_xlfn.XLOOKUP(Assumptions!FN$81, '1 Machine Build'!$F$11:$Q$11, '1 Machine Build'!$F14:$Q14), 0), _xlfn.IFNA(_xlfn.XLOOKUP(Assumptions!FN$82, '1 Machine Build'!$F$11:$Q$11, '1 Machine Build'!$F14:$Q14), 0), _xlfn.IFNA(_xlfn.XLOOKUP(Assumptions!FN$83, '1 Machine Build'!$F$11:$Q$11, '1 Machine Build'!$F14:$Q14), 0), _xlfn.IFNA(_xlfn.XLOOKUP(Assumptions!FN$84, '1 Machine Build'!$F$11:$Q$11, '1 Machine Build'!$F14:$Q14), 0), _xlfn.IFNA(_xlfn.XLOOKUP(Assumptions!FN$85, '1 Machine Build'!$F$11:$Q$11, '1 Machine Build'!$F14:$Q14), 0), _xlfn.IFNA(_xlfn.XLOOKUP(Assumptions!FN$86, '1 Machine Build'!$F$11:$Q$11, '1 Machine Build'!$F14:$Q14), 0), _xlfn.IFNA(_xlfn.XLOOKUP(Assumptions!FN$87, '1 Machine Build'!$F$11:$Q$11, '1 Machine Build'!$F14:$Q14), 0), _xlfn.IFNA(_xlfn.XLOOKUP(Assumptions!FN$88, '1 Machine Build'!$F$11:$Q$11, '1 Machine Build'!$F14:$Q14), 0))</f>
        <v>0</v>
      </c>
      <c r="FQ32" s="97">
        <f>SUM(_xlfn.IFNA(_xlfn.XLOOKUP(Assumptions!FO$81, '1 Machine Build'!$F$11:$Q$11, '1 Machine Build'!$F14:$Q14), 0), _xlfn.IFNA(_xlfn.XLOOKUP(Assumptions!FO$82, '1 Machine Build'!$F$11:$Q$11, '1 Machine Build'!$F14:$Q14), 0), _xlfn.IFNA(_xlfn.XLOOKUP(Assumptions!FO$83, '1 Machine Build'!$F$11:$Q$11, '1 Machine Build'!$F14:$Q14), 0), _xlfn.IFNA(_xlfn.XLOOKUP(Assumptions!FO$84, '1 Machine Build'!$F$11:$Q$11, '1 Machine Build'!$F14:$Q14), 0), _xlfn.IFNA(_xlfn.XLOOKUP(Assumptions!FO$85, '1 Machine Build'!$F$11:$Q$11, '1 Machine Build'!$F14:$Q14), 0), _xlfn.IFNA(_xlfn.XLOOKUP(Assumptions!FO$86, '1 Machine Build'!$F$11:$Q$11, '1 Machine Build'!$F14:$Q14), 0), _xlfn.IFNA(_xlfn.XLOOKUP(Assumptions!FO$87, '1 Machine Build'!$F$11:$Q$11, '1 Machine Build'!$F14:$Q14), 0), _xlfn.IFNA(_xlfn.XLOOKUP(Assumptions!FO$88, '1 Machine Build'!$F$11:$Q$11, '1 Machine Build'!$F14:$Q14), 0))</f>
        <v>0</v>
      </c>
      <c r="FR32" s="97">
        <f>SUM(_xlfn.IFNA(_xlfn.XLOOKUP(Assumptions!FP$81, '1 Machine Build'!$F$11:$Q$11, '1 Machine Build'!$F14:$Q14), 0), _xlfn.IFNA(_xlfn.XLOOKUP(Assumptions!FP$82, '1 Machine Build'!$F$11:$Q$11, '1 Machine Build'!$F14:$Q14), 0), _xlfn.IFNA(_xlfn.XLOOKUP(Assumptions!FP$83, '1 Machine Build'!$F$11:$Q$11, '1 Machine Build'!$F14:$Q14), 0), _xlfn.IFNA(_xlfn.XLOOKUP(Assumptions!FP$84, '1 Machine Build'!$F$11:$Q$11, '1 Machine Build'!$F14:$Q14), 0), _xlfn.IFNA(_xlfn.XLOOKUP(Assumptions!FP$85, '1 Machine Build'!$F$11:$Q$11, '1 Machine Build'!$F14:$Q14), 0), _xlfn.IFNA(_xlfn.XLOOKUP(Assumptions!FP$86, '1 Machine Build'!$F$11:$Q$11, '1 Machine Build'!$F14:$Q14), 0), _xlfn.IFNA(_xlfn.XLOOKUP(Assumptions!FP$87, '1 Machine Build'!$F$11:$Q$11, '1 Machine Build'!$F14:$Q14), 0), _xlfn.IFNA(_xlfn.XLOOKUP(Assumptions!FP$88, '1 Machine Build'!$F$11:$Q$11, '1 Machine Build'!$F14:$Q14), 0))</f>
        <v>0</v>
      </c>
      <c r="FS32" s="97">
        <f>SUM(_xlfn.IFNA(_xlfn.XLOOKUP(Assumptions!FQ$81, '1 Machine Build'!$F$11:$Q$11, '1 Machine Build'!$F14:$Q14), 0), _xlfn.IFNA(_xlfn.XLOOKUP(Assumptions!FQ$82, '1 Machine Build'!$F$11:$Q$11, '1 Machine Build'!$F14:$Q14), 0), _xlfn.IFNA(_xlfn.XLOOKUP(Assumptions!FQ$83, '1 Machine Build'!$F$11:$Q$11, '1 Machine Build'!$F14:$Q14), 0), _xlfn.IFNA(_xlfn.XLOOKUP(Assumptions!FQ$84, '1 Machine Build'!$F$11:$Q$11, '1 Machine Build'!$F14:$Q14), 0), _xlfn.IFNA(_xlfn.XLOOKUP(Assumptions!FQ$85, '1 Machine Build'!$F$11:$Q$11, '1 Machine Build'!$F14:$Q14), 0), _xlfn.IFNA(_xlfn.XLOOKUP(Assumptions!FQ$86, '1 Machine Build'!$F$11:$Q$11, '1 Machine Build'!$F14:$Q14), 0), _xlfn.IFNA(_xlfn.XLOOKUP(Assumptions!FQ$87, '1 Machine Build'!$F$11:$Q$11, '1 Machine Build'!$F14:$Q14), 0), _xlfn.IFNA(_xlfn.XLOOKUP(Assumptions!FQ$88, '1 Machine Build'!$F$11:$Q$11, '1 Machine Build'!$F14:$Q14), 0))</f>
        <v>0</v>
      </c>
      <c r="FT32" s="97">
        <f>SUM(_xlfn.IFNA(_xlfn.XLOOKUP(Assumptions!FR$81, '1 Machine Build'!$F$11:$Q$11, '1 Machine Build'!$F14:$Q14), 0), _xlfn.IFNA(_xlfn.XLOOKUP(Assumptions!FR$82, '1 Machine Build'!$F$11:$Q$11, '1 Machine Build'!$F14:$Q14), 0), _xlfn.IFNA(_xlfn.XLOOKUP(Assumptions!FR$83, '1 Machine Build'!$F$11:$Q$11, '1 Machine Build'!$F14:$Q14), 0), _xlfn.IFNA(_xlfn.XLOOKUP(Assumptions!FR$84, '1 Machine Build'!$F$11:$Q$11, '1 Machine Build'!$F14:$Q14), 0), _xlfn.IFNA(_xlfn.XLOOKUP(Assumptions!FR$85, '1 Machine Build'!$F$11:$Q$11, '1 Machine Build'!$F14:$Q14), 0), _xlfn.IFNA(_xlfn.XLOOKUP(Assumptions!FR$86, '1 Machine Build'!$F$11:$Q$11, '1 Machine Build'!$F14:$Q14), 0), _xlfn.IFNA(_xlfn.XLOOKUP(Assumptions!FR$87, '1 Machine Build'!$F$11:$Q$11, '1 Machine Build'!$F14:$Q14), 0), _xlfn.IFNA(_xlfn.XLOOKUP(Assumptions!FR$88, '1 Machine Build'!$F$11:$Q$11, '1 Machine Build'!$F14:$Q14), 0))</f>
        <v>0</v>
      </c>
      <c r="FU32" s="97">
        <f>SUM(_xlfn.IFNA(_xlfn.XLOOKUP(Assumptions!FS$81, '1 Machine Build'!$F$11:$Q$11, '1 Machine Build'!$F14:$Q14), 0), _xlfn.IFNA(_xlfn.XLOOKUP(Assumptions!FS$82, '1 Machine Build'!$F$11:$Q$11, '1 Machine Build'!$F14:$Q14), 0), _xlfn.IFNA(_xlfn.XLOOKUP(Assumptions!FS$83, '1 Machine Build'!$F$11:$Q$11, '1 Machine Build'!$F14:$Q14), 0), _xlfn.IFNA(_xlfn.XLOOKUP(Assumptions!FS$84, '1 Machine Build'!$F$11:$Q$11, '1 Machine Build'!$F14:$Q14), 0), _xlfn.IFNA(_xlfn.XLOOKUP(Assumptions!FS$85, '1 Machine Build'!$F$11:$Q$11, '1 Machine Build'!$F14:$Q14), 0), _xlfn.IFNA(_xlfn.XLOOKUP(Assumptions!FS$86, '1 Machine Build'!$F$11:$Q$11, '1 Machine Build'!$F14:$Q14), 0), _xlfn.IFNA(_xlfn.XLOOKUP(Assumptions!FS$87, '1 Machine Build'!$F$11:$Q$11, '1 Machine Build'!$F14:$Q14), 0), _xlfn.IFNA(_xlfn.XLOOKUP(Assumptions!FS$88, '1 Machine Build'!$F$11:$Q$11, '1 Machine Build'!$F14:$Q14), 0))</f>
        <v>0</v>
      </c>
      <c r="FV32" s="97">
        <f>SUM(_xlfn.IFNA(_xlfn.XLOOKUP(Assumptions!FT$81, '1 Machine Build'!$F$11:$Q$11, '1 Machine Build'!$F14:$Q14), 0), _xlfn.IFNA(_xlfn.XLOOKUP(Assumptions!FT$82, '1 Machine Build'!$F$11:$Q$11, '1 Machine Build'!$F14:$Q14), 0), _xlfn.IFNA(_xlfn.XLOOKUP(Assumptions!FT$83, '1 Machine Build'!$F$11:$Q$11, '1 Machine Build'!$F14:$Q14), 0), _xlfn.IFNA(_xlfn.XLOOKUP(Assumptions!FT$84, '1 Machine Build'!$F$11:$Q$11, '1 Machine Build'!$F14:$Q14), 0), _xlfn.IFNA(_xlfn.XLOOKUP(Assumptions!FT$85, '1 Machine Build'!$F$11:$Q$11, '1 Machine Build'!$F14:$Q14), 0), _xlfn.IFNA(_xlfn.XLOOKUP(Assumptions!FT$86, '1 Machine Build'!$F$11:$Q$11, '1 Machine Build'!$F14:$Q14), 0), _xlfn.IFNA(_xlfn.XLOOKUP(Assumptions!FT$87, '1 Machine Build'!$F$11:$Q$11, '1 Machine Build'!$F14:$Q14), 0), _xlfn.IFNA(_xlfn.XLOOKUP(Assumptions!FT$88, '1 Machine Build'!$F$11:$Q$11, '1 Machine Build'!$F14:$Q14), 0))</f>
        <v>0</v>
      </c>
      <c r="FW32" s="97">
        <f>SUM(_xlfn.IFNA(_xlfn.XLOOKUP(Assumptions!FU$81, '1 Machine Build'!$F$11:$Q$11, '1 Machine Build'!$F14:$Q14), 0), _xlfn.IFNA(_xlfn.XLOOKUP(Assumptions!FU$82, '1 Machine Build'!$F$11:$Q$11, '1 Machine Build'!$F14:$Q14), 0), _xlfn.IFNA(_xlfn.XLOOKUP(Assumptions!FU$83, '1 Machine Build'!$F$11:$Q$11, '1 Machine Build'!$F14:$Q14), 0), _xlfn.IFNA(_xlfn.XLOOKUP(Assumptions!FU$84, '1 Machine Build'!$F$11:$Q$11, '1 Machine Build'!$F14:$Q14), 0), _xlfn.IFNA(_xlfn.XLOOKUP(Assumptions!FU$85, '1 Machine Build'!$F$11:$Q$11, '1 Machine Build'!$F14:$Q14), 0), _xlfn.IFNA(_xlfn.XLOOKUP(Assumptions!FU$86, '1 Machine Build'!$F$11:$Q$11, '1 Machine Build'!$F14:$Q14), 0), _xlfn.IFNA(_xlfn.XLOOKUP(Assumptions!FU$87, '1 Machine Build'!$F$11:$Q$11, '1 Machine Build'!$F14:$Q14), 0), _xlfn.IFNA(_xlfn.XLOOKUP(Assumptions!FU$88, '1 Machine Build'!$F$11:$Q$11, '1 Machine Build'!$F14:$Q14), 0))</f>
        <v>0</v>
      </c>
      <c r="FX32" s="97">
        <f>SUM(_xlfn.IFNA(_xlfn.XLOOKUP(Assumptions!FV$81, '1 Machine Build'!$F$11:$Q$11, '1 Machine Build'!$F14:$Q14), 0), _xlfn.IFNA(_xlfn.XLOOKUP(Assumptions!FV$82, '1 Machine Build'!$F$11:$Q$11, '1 Machine Build'!$F14:$Q14), 0), _xlfn.IFNA(_xlfn.XLOOKUP(Assumptions!FV$83, '1 Machine Build'!$F$11:$Q$11, '1 Machine Build'!$F14:$Q14), 0), _xlfn.IFNA(_xlfn.XLOOKUP(Assumptions!FV$84, '1 Machine Build'!$F$11:$Q$11, '1 Machine Build'!$F14:$Q14), 0), _xlfn.IFNA(_xlfn.XLOOKUP(Assumptions!FV$85, '1 Machine Build'!$F$11:$Q$11, '1 Machine Build'!$F14:$Q14), 0), _xlfn.IFNA(_xlfn.XLOOKUP(Assumptions!FV$86, '1 Machine Build'!$F$11:$Q$11, '1 Machine Build'!$F14:$Q14), 0), _xlfn.IFNA(_xlfn.XLOOKUP(Assumptions!FV$87, '1 Machine Build'!$F$11:$Q$11, '1 Machine Build'!$F14:$Q14), 0), _xlfn.IFNA(_xlfn.XLOOKUP(Assumptions!FV$88, '1 Machine Build'!$F$11:$Q$11, '1 Machine Build'!$F14:$Q14), 0))</f>
        <v>0</v>
      </c>
      <c r="FY32" s="97">
        <f>SUM(_xlfn.IFNA(_xlfn.XLOOKUP(Assumptions!FW$81, '1 Machine Build'!$F$11:$Q$11, '1 Machine Build'!$F14:$Q14), 0), _xlfn.IFNA(_xlfn.XLOOKUP(Assumptions!FW$82, '1 Machine Build'!$F$11:$Q$11, '1 Machine Build'!$F14:$Q14), 0), _xlfn.IFNA(_xlfn.XLOOKUP(Assumptions!FW$83, '1 Machine Build'!$F$11:$Q$11, '1 Machine Build'!$F14:$Q14), 0), _xlfn.IFNA(_xlfn.XLOOKUP(Assumptions!FW$84, '1 Machine Build'!$F$11:$Q$11, '1 Machine Build'!$F14:$Q14), 0), _xlfn.IFNA(_xlfn.XLOOKUP(Assumptions!FW$85, '1 Machine Build'!$F$11:$Q$11, '1 Machine Build'!$F14:$Q14), 0), _xlfn.IFNA(_xlfn.XLOOKUP(Assumptions!FW$86, '1 Machine Build'!$F$11:$Q$11, '1 Machine Build'!$F14:$Q14), 0), _xlfn.IFNA(_xlfn.XLOOKUP(Assumptions!FW$87, '1 Machine Build'!$F$11:$Q$11, '1 Machine Build'!$F14:$Q14), 0), _xlfn.IFNA(_xlfn.XLOOKUP(Assumptions!FW$88, '1 Machine Build'!$F$11:$Q$11, '1 Machine Build'!$F14:$Q14), 0))</f>
        <v>0</v>
      </c>
      <c r="FZ32" s="97">
        <f>SUM(_xlfn.IFNA(_xlfn.XLOOKUP(Assumptions!FX$81, '1 Machine Build'!$F$11:$Q$11, '1 Machine Build'!$F14:$Q14), 0), _xlfn.IFNA(_xlfn.XLOOKUP(Assumptions!FX$82, '1 Machine Build'!$F$11:$Q$11, '1 Machine Build'!$F14:$Q14), 0), _xlfn.IFNA(_xlfn.XLOOKUP(Assumptions!FX$83, '1 Machine Build'!$F$11:$Q$11, '1 Machine Build'!$F14:$Q14), 0), _xlfn.IFNA(_xlfn.XLOOKUP(Assumptions!FX$84, '1 Machine Build'!$F$11:$Q$11, '1 Machine Build'!$F14:$Q14), 0), _xlfn.IFNA(_xlfn.XLOOKUP(Assumptions!FX$85, '1 Machine Build'!$F$11:$Q$11, '1 Machine Build'!$F14:$Q14), 0), _xlfn.IFNA(_xlfn.XLOOKUP(Assumptions!FX$86, '1 Machine Build'!$F$11:$Q$11, '1 Machine Build'!$F14:$Q14), 0), _xlfn.IFNA(_xlfn.XLOOKUP(Assumptions!FX$87, '1 Machine Build'!$F$11:$Q$11, '1 Machine Build'!$F14:$Q14), 0), _xlfn.IFNA(_xlfn.XLOOKUP(Assumptions!FX$88, '1 Machine Build'!$F$11:$Q$11, '1 Machine Build'!$F14:$Q14), 0))</f>
        <v>0</v>
      </c>
      <c r="GA32" s="97">
        <f>SUM(_xlfn.IFNA(_xlfn.XLOOKUP(Assumptions!FY$81, '1 Machine Build'!$F$11:$Q$11, '1 Machine Build'!$F14:$Q14), 0), _xlfn.IFNA(_xlfn.XLOOKUP(Assumptions!FY$82, '1 Machine Build'!$F$11:$Q$11, '1 Machine Build'!$F14:$Q14), 0), _xlfn.IFNA(_xlfn.XLOOKUP(Assumptions!FY$83, '1 Machine Build'!$F$11:$Q$11, '1 Machine Build'!$F14:$Q14), 0), _xlfn.IFNA(_xlfn.XLOOKUP(Assumptions!FY$84, '1 Machine Build'!$F$11:$Q$11, '1 Machine Build'!$F14:$Q14), 0), _xlfn.IFNA(_xlfn.XLOOKUP(Assumptions!FY$85, '1 Machine Build'!$F$11:$Q$11, '1 Machine Build'!$F14:$Q14), 0), _xlfn.IFNA(_xlfn.XLOOKUP(Assumptions!FY$86, '1 Machine Build'!$F$11:$Q$11, '1 Machine Build'!$F14:$Q14), 0), _xlfn.IFNA(_xlfn.XLOOKUP(Assumptions!FY$87, '1 Machine Build'!$F$11:$Q$11, '1 Machine Build'!$F14:$Q14), 0), _xlfn.IFNA(_xlfn.XLOOKUP(Assumptions!FY$88, '1 Machine Build'!$F$11:$Q$11, '1 Machine Build'!$F14:$Q14), 0))</f>
        <v>0</v>
      </c>
      <c r="GB32" s="97">
        <f>SUM(_xlfn.IFNA(_xlfn.XLOOKUP(Assumptions!FZ$81, '1 Machine Build'!$F$11:$Q$11, '1 Machine Build'!$F14:$Q14), 0), _xlfn.IFNA(_xlfn.XLOOKUP(Assumptions!FZ$82, '1 Machine Build'!$F$11:$Q$11, '1 Machine Build'!$F14:$Q14), 0), _xlfn.IFNA(_xlfn.XLOOKUP(Assumptions!FZ$83, '1 Machine Build'!$F$11:$Q$11, '1 Machine Build'!$F14:$Q14), 0), _xlfn.IFNA(_xlfn.XLOOKUP(Assumptions!FZ$84, '1 Machine Build'!$F$11:$Q$11, '1 Machine Build'!$F14:$Q14), 0), _xlfn.IFNA(_xlfn.XLOOKUP(Assumptions!FZ$85, '1 Machine Build'!$F$11:$Q$11, '1 Machine Build'!$F14:$Q14), 0), _xlfn.IFNA(_xlfn.XLOOKUP(Assumptions!FZ$86, '1 Machine Build'!$F$11:$Q$11, '1 Machine Build'!$F14:$Q14), 0), _xlfn.IFNA(_xlfn.XLOOKUP(Assumptions!FZ$87, '1 Machine Build'!$F$11:$Q$11, '1 Machine Build'!$F14:$Q14), 0), _xlfn.IFNA(_xlfn.XLOOKUP(Assumptions!FZ$88, '1 Machine Build'!$F$11:$Q$11, '1 Machine Build'!$F14:$Q14), 0))</f>
        <v>0</v>
      </c>
      <c r="GC32" s="97">
        <f>SUM(_xlfn.IFNA(_xlfn.XLOOKUP(Assumptions!GA$81, '1 Machine Build'!$F$11:$Q$11, '1 Machine Build'!$F14:$Q14), 0), _xlfn.IFNA(_xlfn.XLOOKUP(Assumptions!GA$82, '1 Machine Build'!$F$11:$Q$11, '1 Machine Build'!$F14:$Q14), 0), _xlfn.IFNA(_xlfn.XLOOKUP(Assumptions!GA$83, '1 Machine Build'!$F$11:$Q$11, '1 Machine Build'!$F14:$Q14), 0), _xlfn.IFNA(_xlfn.XLOOKUP(Assumptions!GA$84, '1 Machine Build'!$F$11:$Q$11, '1 Machine Build'!$F14:$Q14), 0), _xlfn.IFNA(_xlfn.XLOOKUP(Assumptions!GA$85, '1 Machine Build'!$F$11:$Q$11, '1 Machine Build'!$F14:$Q14), 0), _xlfn.IFNA(_xlfn.XLOOKUP(Assumptions!GA$86, '1 Machine Build'!$F$11:$Q$11, '1 Machine Build'!$F14:$Q14), 0), _xlfn.IFNA(_xlfn.XLOOKUP(Assumptions!GA$87, '1 Machine Build'!$F$11:$Q$11, '1 Machine Build'!$F14:$Q14), 0), _xlfn.IFNA(_xlfn.XLOOKUP(Assumptions!GA$88, '1 Machine Build'!$F$11:$Q$11, '1 Machine Build'!$F14:$Q14), 0))</f>
        <v>0</v>
      </c>
    </row>
    <row r="33" spans="1:185">
      <c r="A33" s="80"/>
      <c r="B33" s="120" t="s">
        <v>85</v>
      </c>
      <c r="C33" s="80"/>
      <c r="D33" s="10"/>
      <c r="E33" s="82">
        <f t="shared" si="13"/>
        <v>401400</v>
      </c>
      <c r="F33" s="97">
        <f>SUM(_xlfn.IFNA(_xlfn.XLOOKUP(Assumptions!D$81, '1 Machine Build'!$F$11:$Q$11, '1 Machine Build'!$F15:$Q15), 0), _xlfn.IFNA(_xlfn.XLOOKUP(Assumptions!D$82, '1 Machine Build'!$F$11:$Q$11, '1 Machine Build'!$F15:$Q15), 0), _xlfn.IFNA(_xlfn.XLOOKUP(Assumptions!D$83, '1 Machine Build'!$F$11:$Q$11, '1 Machine Build'!$F15:$Q15), 0), _xlfn.IFNA(_xlfn.XLOOKUP(Assumptions!D$84, '1 Machine Build'!$F$11:$Q$11, '1 Machine Build'!$F15:$Q15), 0), _xlfn.IFNA(_xlfn.XLOOKUP(Assumptions!D$85, '1 Machine Build'!$F$11:$Q$11, '1 Machine Build'!$F15:$Q15), 0), _xlfn.IFNA(_xlfn.XLOOKUP(Assumptions!D$86, '1 Machine Build'!$F$11:$Q$11, '1 Machine Build'!$F15:$Q15), 0), _xlfn.IFNA(_xlfn.XLOOKUP(Assumptions!D$87, '1 Machine Build'!$F$11:$Q$11, '1 Machine Build'!$F15:$Q15), 0), _xlfn.IFNA(_xlfn.XLOOKUP(Assumptions!D$88, '1 Machine Build'!$F$11:$Q$11, '1 Machine Build'!$F15:$Q15), 0))</f>
        <v>364550</v>
      </c>
      <c r="G33" s="97">
        <f>SUM(_xlfn.IFNA(_xlfn.XLOOKUP(Assumptions!E$81, '1 Machine Build'!$F$11:$Q$11, '1 Machine Build'!$F15:$Q15), 0), _xlfn.IFNA(_xlfn.XLOOKUP(Assumptions!E$82, '1 Machine Build'!$F$11:$Q$11, '1 Machine Build'!$F15:$Q15), 0), _xlfn.IFNA(_xlfn.XLOOKUP(Assumptions!E$83, '1 Machine Build'!$F$11:$Q$11, '1 Machine Build'!$F15:$Q15), 0), _xlfn.IFNA(_xlfn.XLOOKUP(Assumptions!E$84, '1 Machine Build'!$F$11:$Q$11, '1 Machine Build'!$F15:$Q15), 0), _xlfn.IFNA(_xlfn.XLOOKUP(Assumptions!E$85, '1 Machine Build'!$F$11:$Q$11, '1 Machine Build'!$F15:$Q15), 0), _xlfn.IFNA(_xlfn.XLOOKUP(Assumptions!E$86, '1 Machine Build'!$F$11:$Q$11, '1 Machine Build'!$F15:$Q15), 0), _xlfn.IFNA(_xlfn.XLOOKUP(Assumptions!E$87, '1 Machine Build'!$F$11:$Q$11, '1 Machine Build'!$F15:$Q15), 0), _xlfn.IFNA(_xlfn.XLOOKUP(Assumptions!E$88, '1 Machine Build'!$F$11:$Q$11, '1 Machine Build'!$F15:$Q15), 0))</f>
        <v>4550</v>
      </c>
      <c r="H33" s="97">
        <f>SUM(_xlfn.IFNA(_xlfn.XLOOKUP(Assumptions!F$81, '1 Machine Build'!$F$11:$Q$11, '1 Machine Build'!$F15:$Q15), 0), _xlfn.IFNA(_xlfn.XLOOKUP(Assumptions!F$82, '1 Machine Build'!$F$11:$Q$11, '1 Machine Build'!$F15:$Q15), 0), _xlfn.IFNA(_xlfn.XLOOKUP(Assumptions!F$83, '1 Machine Build'!$F$11:$Q$11, '1 Machine Build'!$F15:$Q15), 0), _xlfn.IFNA(_xlfn.XLOOKUP(Assumptions!F$84, '1 Machine Build'!$F$11:$Q$11, '1 Machine Build'!$F15:$Q15), 0), _xlfn.IFNA(_xlfn.XLOOKUP(Assumptions!F$85, '1 Machine Build'!$F$11:$Q$11, '1 Machine Build'!$F15:$Q15), 0), _xlfn.IFNA(_xlfn.XLOOKUP(Assumptions!F$86, '1 Machine Build'!$F$11:$Q$11, '1 Machine Build'!$F15:$Q15), 0), _xlfn.IFNA(_xlfn.XLOOKUP(Assumptions!F$87, '1 Machine Build'!$F$11:$Q$11, '1 Machine Build'!$F15:$Q15), 0), _xlfn.IFNA(_xlfn.XLOOKUP(Assumptions!F$88, '1 Machine Build'!$F$11:$Q$11, '1 Machine Build'!$F15:$Q15), 0))</f>
        <v>4550</v>
      </c>
      <c r="I33" s="97">
        <f>SUM(_xlfn.IFNA(_xlfn.XLOOKUP(Assumptions!G$81, '1 Machine Build'!$F$11:$Q$11, '1 Machine Build'!$F15:$Q15), 0), _xlfn.IFNA(_xlfn.XLOOKUP(Assumptions!G$82, '1 Machine Build'!$F$11:$Q$11, '1 Machine Build'!$F15:$Q15), 0), _xlfn.IFNA(_xlfn.XLOOKUP(Assumptions!G$83, '1 Machine Build'!$F$11:$Q$11, '1 Machine Build'!$F15:$Q15), 0), _xlfn.IFNA(_xlfn.XLOOKUP(Assumptions!G$84, '1 Machine Build'!$F$11:$Q$11, '1 Machine Build'!$F15:$Q15), 0), _xlfn.IFNA(_xlfn.XLOOKUP(Assumptions!G$85, '1 Machine Build'!$F$11:$Q$11, '1 Machine Build'!$F15:$Q15), 0), _xlfn.IFNA(_xlfn.XLOOKUP(Assumptions!G$86, '1 Machine Build'!$F$11:$Q$11, '1 Machine Build'!$F15:$Q15), 0), _xlfn.IFNA(_xlfn.XLOOKUP(Assumptions!G$87, '1 Machine Build'!$F$11:$Q$11, '1 Machine Build'!$F15:$Q15), 0), _xlfn.IFNA(_xlfn.XLOOKUP(Assumptions!G$88, '1 Machine Build'!$F$11:$Q$11, '1 Machine Build'!$F15:$Q15), 0))</f>
        <v>4550</v>
      </c>
      <c r="J33" s="97">
        <f>SUM(_xlfn.IFNA(_xlfn.XLOOKUP(Assumptions!H$81, '1 Machine Build'!$F$11:$Q$11, '1 Machine Build'!$F15:$Q15), 0), _xlfn.IFNA(_xlfn.XLOOKUP(Assumptions!H$82, '1 Machine Build'!$F$11:$Q$11, '1 Machine Build'!$F15:$Q15), 0), _xlfn.IFNA(_xlfn.XLOOKUP(Assumptions!H$83, '1 Machine Build'!$F$11:$Q$11, '1 Machine Build'!$F15:$Q15), 0), _xlfn.IFNA(_xlfn.XLOOKUP(Assumptions!H$84, '1 Machine Build'!$F$11:$Q$11, '1 Machine Build'!$F15:$Q15), 0), _xlfn.IFNA(_xlfn.XLOOKUP(Assumptions!H$85, '1 Machine Build'!$F$11:$Q$11, '1 Machine Build'!$F15:$Q15), 0), _xlfn.IFNA(_xlfn.XLOOKUP(Assumptions!H$86, '1 Machine Build'!$F$11:$Q$11, '1 Machine Build'!$F15:$Q15), 0), _xlfn.IFNA(_xlfn.XLOOKUP(Assumptions!H$87, '1 Machine Build'!$F$11:$Q$11, '1 Machine Build'!$F15:$Q15), 0), _xlfn.IFNA(_xlfn.XLOOKUP(Assumptions!H$88, '1 Machine Build'!$F$11:$Q$11, '1 Machine Build'!$F15:$Q15), 0))</f>
        <v>9550</v>
      </c>
      <c r="K33" s="97">
        <f>SUM(_xlfn.IFNA(_xlfn.XLOOKUP(Assumptions!I$81, '1 Machine Build'!$F$11:$Q$11, '1 Machine Build'!$F15:$Q15), 0), _xlfn.IFNA(_xlfn.XLOOKUP(Assumptions!I$82, '1 Machine Build'!$F$11:$Q$11, '1 Machine Build'!$F15:$Q15), 0), _xlfn.IFNA(_xlfn.XLOOKUP(Assumptions!I$83, '1 Machine Build'!$F$11:$Q$11, '1 Machine Build'!$F15:$Q15), 0), _xlfn.IFNA(_xlfn.XLOOKUP(Assumptions!I$84, '1 Machine Build'!$F$11:$Q$11, '1 Machine Build'!$F15:$Q15), 0), _xlfn.IFNA(_xlfn.XLOOKUP(Assumptions!I$85, '1 Machine Build'!$F$11:$Q$11, '1 Machine Build'!$F15:$Q15), 0), _xlfn.IFNA(_xlfn.XLOOKUP(Assumptions!I$86, '1 Machine Build'!$F$11:$Q$11, '1 Machine Build'!$F15:$Q15), 0), _xlfn.IFNA(_xlfn.XLOOKUP(Assumptions!I$87, '1 Machine Build'!$F$11:$Q$11, '1 Machine Build'!$F15:$Q15), 0), _xlfn.IFNA(_xlfn.XLOOKUP(Assumptions!I$88, '1 Machine Build'!$F$11:$Q$11, '1 Machine Build'!$F15:$Q15), 0))</f>
        <v>4550</v>
      </c>
      <c r="L33" s="97">
        <f>SUM(_xlfn.IFNA(_xlfn.XLOOKUP(Assumptions!J$81, '1 Machine Build'!$F$11:$Q$11, '1 Machine Build'!$F15:$Q15), 0), _xlfn.IFNA(_xlfn.XLOOKUP(Assumptions!J$82, '1 Machine Build'!$F$11:$Q$11, '1 Machine Build'!$F15:$Q15), 0), _xlfn.IFNA(_xlfn.XLOOKUP(Assumptions!J$83, '1 Machine Build'!$F$11:$Q$11, '1 Machine Build'!$F15:$Q15), 0), _xlfn.IFNA(_xlfn.XLOOKUP(Assumptions!J$84, '1 Machine Build'!$F$11:$Q$11, '1 Machine Build'!$F15:$Q15), 0), _xlfn.IFNA(_xlfn.XLOOKUP(Assumptions!J$85, '1 Machine Build'!$F$11:$Q$11, '1 Machine Build'!$F15:$Q15), 0), _xlfn.IFNA(_xlfn.XLOOKUP(Assumptions!J$86, '1 Machine Build'!$F$11:$Q$11, '1 Machine Build'!$F15:$Q15), 0), _xlfn.IFNA(_xlfn.XLOOKUP(Assumptions!J$87, '1 Machine Build'!$F$11:$Q$11, '1 Machine Build'!$F15:$Q15), 0), _xlfn.IFNA(_xlfn.XLOOKUP(Assumptions!J$88, '1 Machine Build'!$F$11:$Q$11, '1 Machine Build'!$F15:$Q15), 0))</f>
        <v>4550</v>
      </c>
      <c r="M33" s="97">
        <f>SUM(_xlfn.IFNA(_xlfn.XLOOKUP(Assumptions!K$81, '1 Machine Build'!$F$11:$Q$11, '1 Machine Build'!$F15:$Q15), 0), _xlfn.IFNA(_xlfn.XLOOKUP(Assumptions!K$82, '1 Machine Build'!$F$11:$Q$11, '1 Machine Build'!$F15:$Q15), 0), _xlfn.IFNA(_xlfn.XLOOKUP(Assumptions!K$83, '1 Machine Build'!$F$11:$Q$11, '1 Machine Build'!$F15:$Q15), 0), _xlfn.IFNA(_xlfn.XLOOKUP(Assumptions!K$84, '1 Machine Build'!$F$11:$Q$11, '1 Machine Build'!$F15:$Q15), 0), _xlfn.IFNA(_xlfn.XLOOKUP(Assumptions!K$85, '1 Machine Build'!$F$11:$Q$11, '1 Machine Build'!$F15:$Q15), 0), _xlfn.IFNA(_xlfn.XLOOKUP(Assumptions!K$86, '1 Machine Build'!$F$11:$Q$11, '1 Machine Build'!$F15:$Q15), 0), _xlfn.IFNA(_xlfn.XLOOKUP(Assumptions!K$87, '1 Machine Build'!$F$11:$Q$11, '1 Machine Build'!$F15:$Q15), 0), _xlfn.IFNA(_xlfn.XLOOKUP(Assumptions!K$88, '1 Machine Build'!$F$11:$Q$11, '1 Machine Build'!$F15:$Q15), 0))</f>
        <v>4550</v>
      </c>
      <c r="N33" s="97">
        <f>SUM(_xlfn.IFNA(_xlfn.XLOOKUP(Assumptions!L$81, '1 Machine Build'!$F$11:$Q$11, '1 Machine Build'!$F15:$Q15), 0), _xlfn.IFNA(_xlfn.XLOOKUP(Assumptions!L$82, '1 Machine Build'!$F$11:$Q$11, '1 Machine Build'!$F15:$Q15), 0), _xlfn.IFNA(_xlfn.XLOOKUP(Assumptions!L$83, '1 Machine Build'!$F$11:$Q$11, '1 Machine Build'!$F15:$Q15), 0), _xlfn.IFNA(_xlfn.XLOOKUP(Assumptions!L$84, '1 Machine Build'!$F$11:$Q$11, '1 Machine Build'!$F15:$Q15), 0), _xlfn.IFNA(_xlfn.XLOOKUP(Assumptions!L$85, '1 Machine Build'!$F$11:$Q$11, '1 Machine Build'!$F15:$Q15), 0), _xlfn.IFNA(_xlfn.XLOOKUP(Assumptions!L$86, '1 Machine Build'!$F$11:$Q$11, '1 Machine Build'!$F15:$Q15), 0), _xlfn.IFNA(_xlfn.XLOOKUP(Assumptions!L$87, '1 Machine Build'!$F$11:$Q$11, '1 Machine Build'!$F15:$Q15), 0), _xlfn.IFNA(_xlfn.XLOOKUP(Assumptions!L$88, '1 Machine Build'!$F$11:$Q$11, '1 Machine Build'!$F15:$Q15), 0))</f>
        <v>0</v>
      </c>
      <c r="O33" s="97">
        <f>SUM(_xlfn.IFNA(_xlfn.XLOOKUP(Assumptions!M$81, '1 Machine Build'!$F$11:$Q$11, '1 Machine Build'!$F15:$Q15), 0), _xlfn.IFNA(_xlfn.XLOOKUP(Assumptions!M$82, '1 Machine Build'!$F$11:$Q$11, '1 Machine Build'!$F15:$Q15), 0), _xlfn.IFNA(_xlfn.XLOOKUP(Assumptions!M$83, '1 Machine Build'!$F$11:$Q$11, '1 Machine Build'!$F15:$Q15), 0), _xlfn.IFNA(_xlfn.XLOOKUP(Assumptions!M$84, '1 Machine Build'!$F$11:$Q$11, '1 Machine Build'!$F15:$Q15), 0), _xlfn.IFNA(_xlfn.XLOOKUP(Assumptions!M$85, '1 Machine Build'!$F$11:$Q$11, '1 Machine Build'!$F15:$Q15), 0), _xlfn.IFNA(_xlfn.XLOOKUP(Assumptions!M$86, '1 Machine Build'!$F$11:$Q$11, '1 Machine Build'!$F15:$Q15), 0), _xlfn.IFNA(_xlfn.XLOOKUP(Assumptions!M$87, '1 Machine Build'!$F$11:$Q$11, '1 Machine Build'!$F15:$Q15), 0), _xlfn.IFNA(_xlfn.XLOOKUP(Assumptions!M$88, '1 Machine Build'!$F$11:$Q$11, '1 Machine Build'!$F15:$Q15), 0))</f>
        <v>0</v>
      </c>
      <c r="P33" s="97">
        <f>SUM(_xlfn.IFNA(_xlfn.XLOOKUP(Assumptions!N$81, '1 Machine Build'!$F$11:$Q$11, '1 Machine Build'!$F15:$Q15), 0), _xlfn.IFNA(_xlfn.XLOOKUP(Assumptions!N$82, '1 Machine Build'!$F$11:$Q$11, '1 Machine Build'!$F15:$Q15), 0), _xlfn.IFNA(_xlfn.XLOOKUP(Assumptions!N$83, '1 Machine Build'!$F$11:$Q$11, '1 Machine Build'!$F15:$Q15), 0), _xlfn.IFNA(_xlfn.XLOOKUP(Assumptions!N$84, '1 Machine Build'!$F$11:$Q$11, '1 Machine Build'!$F15:$Q15), 0), _xlfn.IFNA(_xlfn.XLOOKUP(Assumptions!N$85, '1 Machine Build'!$F$11:$Q$11, '1 Machine Build'!$F15:$Q15), 0), _xlfn.IFNA(_xlfn.XLOOKUP(Assumptions!N$86, '1 Machine Build'!$F$11:$Q$11, '1 Machine Build'!$F15:$Q15), 0), _xlfn.IFNA(_xlfn.XLOOKUP(Assumptions!N$87, '1 Machine Build'!$F$11:$Q$11, '1 Machine Build'!$F15:$Q15), 0), _xlfn.IFNA(_xlfn.XLOOKUP(Assumptions!N$88, '1 Machine Build'!$F$11:$Q$11, '1 Machine Build'!$F15:$Q15), 0))</f>
        <v>0</v>
      </c>
      <c r="Q33" s="97">
        <f>SUM(_xlfn.IFNA(_xlfn.XLOOKUP(Assumptions!O$81, '1 Machine Build'!$F$11:$Q$11, '1 Machine Build'!$F15:$Q15), 0), _xlfn.IFNA(_xlfn.XLOOKUP(Assumptions!O$82, '1 Machine Build'!$F$11:$Q$11, '1 Machine Build'!$F15:$Q15), 0), _xlfn.IFNA(_xlfn.XLOOKUP(Assumptions!O$83, '1 Machine Build'!$F$11:$Q$11, '1 Machine Build'!$F15:$Q15), 0), _xlfn.IFNA(_xlfn.XLOOKUP(Assumptions!O$84, '1 Machine Build'!$F$11:$Q$11, '1 Machine Build'!$F15:$Q15), 0), _xlfn.IFNA(_xlfn.XLOOKUP(Assumptions!O$85, '1 Machine Build'!$F$11:$Q$11, '1 Machine Build'!$F15:$Q15), 0), _xlfn.IFNA(_xlfn.XLOOKUP(Assumptions!O$86, '1 Machine Build'!$F$11:$Q$11, '1 Machine Build'!$F15:$Q15), 0), _xlfn.IFNA(_xlfn.XLOOKUP(Assumptions!O$87, '1 Machine Build'!$F$11:$Q$11, '1 Machine Build'!$F15:$Q15), 0), _xlfn.IFNA(_xlfn.XLOOKUP(Assumptions!O$88, '1 Machine Build'!$F$11:$Q$11, '1 Machine Build'!$F15:$Q15), 0))</f>
        <v>0</v>
      </c>
      <c r="R33" s="97">
        <f>SUM(_xlfn.IFNA(_xlfn.XLOOKUP(Assumptions!P$81, '1 Machine Build'!$F$11:$Q$11, '1 Machine Build'!$F15:$Q15), 0), _xlfn.IFNA(_xlfn.XLOOKUP(Assumptions!P$82, '1 Machine Build'!$F$11:$Q$11, '1 Machine Build'!$F15:$Q15), 0), _xlfn.IFNA(_xlfn.XLOOKUP(Assumptions!P$83, '1 Machine Build'!$F$11:$Q$11, '1 Machine Build'!$F15:$Q15), 0), _xlfn.IFNA(_xlfn.XLOOKUP(Assumptions!P$84, '1 Machine Build'!$F$11:$Q$11, '1 Machine Build'!$F15:$Q15), 0), _xlfn.IFNA(_xlfn.XLOOKUP(Assumptions!P$85, '1 Machine Build'!$F$11:$Q$11, '1 Machine Build'!$F15:$Q15), 0), _xlfn.IFNA(_xlfn.XLOOKUP(Assumptions!P$86, '1 Machine Build'!$F$11:$Q$11, '1 Machine Build'!$F15:$Q15), 0), _xlfn.IFNA(_xlfn.XLOOKUP(Assumptions!P$87, '1 Machine Build'!$F$11:$Q$11, '1 Machine Build'!$F15:$Q15), 0), _xlfn.IFNA(_xlfn.XLOOKUP(Assumptions!P$88, '1 Machine Build'!$F$11:$Q$11, '1 Machine Build'!$F15:$Q15), 0))</f>
        <v>0</v>
      </c>
      <c r="S33" s="97">
        <f>SUM(_xlfn.IFNA(_xlfn.XLOOKUP(Assumptions!Q$81, '1 Machine Build'!$F$11:$Q$11, '1 Machine Build'!$F15:$Q15), 0), _xlfn.IFNA(_xlfn.XLOOKUP(Assumptions!Q$82, '1 Machine Build'!$F$11:$Q$11, '1 Machine Build'!$F15:$Q15), 0), _xlfn.IFNA(_xlfn.XLOOKUP(Assumptions!Q$83, '1 Machine Build'!$F$11:$Q$11, '1 Machine Build'!$F15:$Q15), 0), _xlfn.IFNA(_xlfn.XLOOKUP(Assumptions!Q$84, '1 Machine Build'!$F$11:$Q$11, '1 Machine Build'!$F15:$Q15), 0), _xlfn.IFNA(_xlfn.XLOOKUP(Assumptions!Q$85, '1 Machine Build'!$F$11:$Q$11, '1 Machine Build'!$F15:$Q15), 0), _xlfn.IFNA(_xlfn.XLOOKUP(Assumptions!Q$86, '1 Machine Build'!$F$11:$Q$11, '1 Machine Build'!$F15:$Q15), 0), _xlfn.IFNA(_xlfn.XLOOKUP(Assumptions!Q$87, '1 Machine Build'!$F$11:$Q$11, '1 Machine Build'!$F15:$Q15), 0), _xlfn.IFNA(_xlfn.XLOOKUP(Assumptions!Q$88, '1 Machine Build'!$F$11:$Q$11, '1 Machine Build'!$F15:$Q15), 0))</f>
        <v>0</v>
      </c>
      <c r="T33" s="97">
        <f>SUM(_xlfn.IFNA(_xlfn.XLOOKUP(Assumptions!R$81, '1 Machine Build'!$F$11:$Q$11, '1 Machine Build'!$F15:$Q15), 0), _xlfn.IFNA(_xlfn.XLOOKUP(Assumptions!R$82, '1 Machine Build'!$F$11:$Q$11, '1 Machine Build'!$F15:$Q15), 0), _xlfn.IFNA(_xlfn.XLOOKUP(Assumptions!R$83, '1 Machine Build'!$F$11:$Q$11, '1 Machine Build'!$F15:$Q15), 0), _xlfn.IFNA(_xlfn.XLOOKUP(Assumptions!R$84, '1 Machine Build'!$F$11:$Q$11, '1 Machine Build'!$F15:$Q15), 0), _xlfn.IFNA(_xlfn.XLOOKUP(Assumptions!R$85, '1 Machine Build'!$F$11:$Q$11, '1 Machine Build'!$F15:$Q15), 0), _xlfn.IFNA(_xlfn.XLOOKUP(Assumptions!R$86, '1 Machine Build'!$F$11:$Q$11, '1 Machine Build'!$F15:$Q15), 0), _xlfn.IFNA(_xlfn.XLOOKUP(Assumptions!R$87, '1 Machine Build'!$F$11:$Q$11, '1 Machine Build'!$F15:$Q15), 0), _xlfn.IFNA(_xlfn.XLOOKUP(Assumptions!R$88, '1 Machine Build'!$F$11:$Q$11, '1 Machine Build'!$F15:$Q15), 0))</f>
        <v>0</v>
      </c>
      <c r="U33" s="97">
        <f>SUM(_xlfn.IFNA(_xlfn.XLOOKUP(Assumptions!S$81, '1 Machine Build'!$F$11:$Q$11, '1 Machine Build'!$F15:$Q15), 0), _xlfn.IFNA(_xlfn.XLOOKUP(Assumptions!S$82, '1 Machine Build'!$F$11:$Q$11, '1 Machine Build'!$F15:$Q15), 0), _xlfn.IFNA(_xlfn.XLOOKUP(Assumptions!S$83, '1 Machine Build'!$F$11:$Q$11, '1 Machine Build'!$F15:$Q15), 0), _xlfn.IFNA(_xlfn.XLOOKUP(Assumptions!S$84, '1 Machine Build'!$F$11:$Q$11, '1 Machine Build'!$F15:$Q15), 0), _xlfn.IFNA(_xlfn.XLOOKUP(Assumptions!S$85, '1 Machine Build'!$F$11:$Q$11, '1 Machine Build'!$F15:$Q15), 0), _xlfn.IFNA(_xlfn.XLOOKUP(Assumptions!S$86, '1 Machine Build'!$F$11:$Q$11, '1 Machine Build'!$F15:$Q15), 0), _xlfn.IFNA(_xlfn.XLOOKUP(Assumptions!S$87, '1 Machine Build'!$F$11:$Q$11, '1 Machine Build'!$F15:$Q15), 0), _xlfn.IFNA(_xlfn.XLOOKUP(Assumptions!S$88, '1 Machine Build'!$F$11:$Q$11, '1 Machine Build'!$F15:$Q15), 0))</f>
        <v>0</v>
      </c>
      <c r="V33" s="97">
        <f>SUM(_xlfn.IFNA(_xlfn.XLOOKUP(Assumptions!T$81, '1 Machine Build'!$F$11:$Q$11, '1 Machine Build'!$F15:$Q15), 0), _xlfn.IFNA(_xlfn.XLOOKUP(Assumptions!T$82, '1 Machine Build'!$F$11:$Q$11, '1 Machine Build'!$F15:$Q15), 0), _xlfn.IFNA(_xlfn.XLOOKUP(Assumptions!T$83, '1 Machine Build'!$F$11:$Q$11, '1 Machine Build'!$F15:$Q15), 0), _xlfn.IFNA(_xlfn.XLOOKUP(Assumptions!T$84, '1 Machine Build'!$F$11:$Q$11, '1 Machine Build'!$F15:$Q15), 0), _xlfn.IFNA(_xlfn.XLOOKUP(Assumptions!T$85, '1 Machine Build'!$F$11:$Q$11, '1 Machine Build'!$F15:$Q15), 0), _xlfn.IFNA(_xlfn.XLOOKUP(Assumptions!T$86, '1 Machine Build'!$F$11:$Q$11, '1 Machine Build'!$F15:$Q15), 0), _xlfn.IFNA(_xlfn.XLOOKUP(Assumptions!T$87, '1 Machine Build'!$F$11:$Q$11, '1 Machine Build'!$F15:$Q15), 0), _xlfn.IFNA(_xlfn.XLOOKUP(Assumptions!T$88, '1 Machine Build'!$F$11:$Q$11, '1 Machine Build'!$F15:$Q15), 0))</f>
        <v>0</v>
      </c>
      <c r="W33" s="97">
        <f>SUM(_xlfn.IFNA(_xlfn.XLOOKUP(Assumptions!U$81, '1 Machine Build'!$F$11:$Q$11, '1 Machine Build'!$F15:$Q15), 0), _xlfn.IFNA(_xlfn.XLOOKUP(Assumptions!U$82, '1 Machine Build'!$F$11:$Q$11, '1 Machine Build'!$F15:$Q15), 0), _xlfn.IFNA(_xlfn.XLOOKUP(Assumptions!U$83, '1 Machine Build'!$F$11:$Q$11, '1 Machine Build'!$F15:$Q15), 0), _xlfn.IFNA(_xlfn.XLOOKUP(Assumptions!U$84, '1 Machine Build'!$F$11:$Q$11, '1 Machine Build'!$F15:$Q15), 0), _xlfn.IFNA(_xlfn.XLOOKUP(Assumptions!U$85, '1 Machine Build'!$F$11:$Q$11, '1 Machine Build'!$F15:$Q15), 0), _xlfn.IFNA(_xlfn.XLOOKUP(Assumptions!U$86, '1 Machine Build'!$F$11:$Q$11, '1 Machine Build'!$F15:$Q15), 0), _xlfn.IFNA(_xlfn.XLOOKUP(Assumptions!U$87, '1 Machine Build'!$F$11:$Q$11, '1 Machine Build'!$F15:$Q15), 0), _xlfn.IFNA(_xlfn.XLOOKUP(Assumptions!U$88, '1 Machine Build'!$F$11:$Q$11, '1 Machine Build'!$F15:$Q15), 0))</f>
        <v>0</v>
      </c>
      <c r="X33" s="97">
        <f>SUM(_xlfn.IFNA(_xlfn.XLOOKUP(Assumptions!V$81, '1 Machine Build'!$F$11:$Q$11, '1 Machine Build'!$F15:$Q15), 0), _xlfn.IFNA(_xlfn.XLOOKUP(Assumptions!V$82, '1 Machine Build'!$F$11:$Q$11, '1 Machine Build'!$F15:$Q15), 0), _xlfn.IFNA(_xlfn.XLOOKUP(Assumptions!V$83, '1 Machine Build'!$F$11:$Q$11, '1 Machine Build'!$F15:$Q15), 0), _xlfn.IFNA(_xlfn.XLOOKUP(Assumptions!V$84, '1 Machine Build'!$F$11:$Q$11, '1 Machine Build'!$F15:$Q15), 0), _xlfn.IFNA(_xlfn.XLOOKUP(Assumptions!V$85, '1 Machine Build'!$F$11:$Q$11, '1 Machine Build'!$F15:$Q15), 0), _xlfn.IFNA(_xlfn.XLOOKUP(Assumptions!V$86, '1 Machine Build'!$F$11:$Q$11, '1 Machine Build'!$F15:$Q15), 0), _xlfn.IFNA(_xlfn.XLOOKUP(Assumptions!V$87, '1 Machine Build'!$F$11:$Q$11, '1 Machine Build'!$F15:$Q15), 0), _xlfn.IFNA(_xlfn.XLOOKUP(Assumptions!V$88, '1 Machine Build'!$F$11:$Q$11, '1 Machine Build'!$F15:$Q15), 0))</f>
        <v>0</v>
      </c>
      <c r="Y33" s="97">
        <f>SUM(_xlfn.IFNA(_xlfn.XLOOKUP(Assumptions!W$81, '1 Machine Build'!$F$11:$Q$11, '1 Machine Build'!$F15:$Q15), 0), _xlfn.IFNA(_xlfn.XLOOKUP(Assumptions!W$82, '1 Machine Build'!$F$11:$Q$11, '1 Machine Build'!$F15:$Q15), 0), _xlfn.IFNA(_xlfn.XLOOKUP(Assumptions!W$83, '1 Machine Build'!$F$11:$Q$11, '1 Machine Build'!$F15:$Q15), 0), _xlfn.IFNA(_xlfn.XLOOKUP(Assumptions!W$84, '1 Machine Build'!$F$11:$Q$11, '1 Machine Build'!$F15:$Q15), 0), _xlfn.IFNA(_xlfn.XLOOKUP(Assumptions!W$85, '1 Machine Build'!$F$11:$Q$11, '1 Machine Build'!$F15:$Q15), 0), _xlfn.IFNA(_xlfn.XLOOKUP(Assumptions!W$86, '1 Machine Build'!$F$11:$Q$11, '1 Machine Build'!$F15:$Q15), 0), _xlfn.IFNA(_xlfn.XLOOKUP(Assumptions!W$87, '1 Machine Build'!$F$11:$Q$11, '1 Machine Build'!$F15:$Q15), 0), _xlfn.IFNA(_xlfn.XLOOKUP(Assumptions!W$88, '1 Machine Build'!$F$11:$Q$11, '1 Machine Build'!$F15:$Q15), 0))</f>
        <v>0</v>
      </c>
      <c r="Z33" s="97">
        <f>SUM(_xlfn.IFNA(_xlfn.XLOOKUP(Assumptions!X$81, '1 Machine Build'!$F$11:$Q$11, '1 Machine Build'!$F15:$Q15), 0), _xlfn.IFNA(_xlfn.XLOOKUP(Assumptions!X$82, '1 Machine Build'!$F$11:$Q$11, '1 Machine Build'!$F15:$Q15), 0), _xlfn.IFNA(_xlfn.XLOOKUP(Assumptions!X$83, '1 Machine Build'!$F$11:$Q$11, '1 Machine Build'!$F15:$Q15), 0), _xlfn.IFNA(_xlfn.XLOOKUP(Assumptions!X$84, '1 Machine Build'!$F$11:$Q$11, '1 Machine Build'!$F15:$Q15), 0), _xlfn.IFNA(_xlfn.XLOOKUP(Assumptions!X$85, '1 Machine Build'!$F$11:$Q$11, '1 Machine Build'!$F15:$Q15), 0), _xlfn.IFNA(_xlfn.XLOOKUP(Assumptions!X$86, '1 Machine Build'!$F$11:$Q$11, '1 Machine Build'!$F15:$Q15), 0), _xlfn.IFNA(_xlfn.XLOOKUP(Assumptions!X$87, '1 Machine Build'!$F$11:$Q$11, '1 Machine Build'!$F15:$Q15), 0), _xlfn.IFNA(_xlfn.XLOOKUP(Assumptions!X$88, '1 Machine Build'!$F$11:$Q$11, '1 Machine Build'!$F15:$Q15), 0))</f>
        <v>0</v>
      </c>
      <c r="AA33" s="97">
        <f>SUM(_xlfn.IFNA(_xlfn.XLOOKUP(Assumptions!Y$81, '1 Machine Build'!$F$11:$Q$11, '1 Machine Build'!$F15:$Q15), 0), _xlfn.IFNA(_xlfn.XLOOKUP(Assumptions!Y$82, '1 Machine Build'!$F$11:$Q$11, '1 Machine Build'!$F15:$Q15), 0), _xlfn.IFNA(_xlfn.XLOOKUP(Assumptions!Y$83, '1 Machine Build'!$F$11:$Q$11, '1 Machine Build'!$F15:$Q15), 0), _xlfn.IFNA(_xlfn.XLOOKUP(Assumptions!Y$84, '1 Machine Build'!$F$11:$Q$11, '1 Machine Build'!$F15:$Q15), 0), _xlfn.IFNA(_xlfn.XLOOKUP(Assumptions!Y$85, '1 Machine Build'!$F$11:$Q$11, '1 Machine Build'!$F15:$Q15), 0), _xlfn.IFNA(_xlfn.XLOOKUP(Assumptions!Y$86, '1 Machine Build'!$F$11:$Q$11, '1 Machine Build'!$F15:$Q15), 0), _xlfn.IFNA(_xlfn.XLOOKUP(Assumptions!Y$87, '1 Machine Build'!$F$11:$Q$11, '1 Machine Build'!$F15:$Q15), 0), _xlfn.IFNA(_xlfn.XLOOKUP(Assumptions!Y$88, '1 Machine Build'!$F$11:$Q$11, '1 Machine Build'!$F15:$Q15), 0))</f>
        <v>0</v>
      </c>
      <c r="AB33" s="97">
        <f>SUM(_xlfn.IFNA(_xlfn.XLOOKUP(Assumptions!Z$81, '1 Machine Build'!$F$11:$Q$11, '1 Machine Build'!$F15:$Q15), 0), _xlfn.IFNA(_xlfn.XLOOKUP(Assumptions!Z$82, '1 Machine Build'!$F$11:$Q$11, '1 Machine Build'!$F15:$Q15), 0), _xlfn.IFNA(_xlfn.XLOOKUP(Assumptions!Z$83, '1 Machine Build'!$F$11:$Q$11, '1 Machine Build'!$F15:$Q15), 0), _xlfn.IFNA(_xlfn.XLOOKUP(Assumptions!Z$84, '1 Machine Build'!$F$11:$Q$11, '1 Machine Build'!$F15:$Q15), 0), _xlfn.IFNA(_xlfn.XLOOKUP(Assumptions!Z$85, '1 Machine Build'!$F$11:$Q$11, '1 Machine Build'!$F15:$Q15), 0), _xlfn.IFNA(_xlfn.XLOOKUP(Assumptions!Z$86, '1 Machine Build'!$F$11:$Q$11, '1 Machine Build'!$F15:$Q15), 0), _xlfn.IFNA(_xlfn.XLOOKUP(Assumptions!Z$87, '1 Machine Build'!$F$11:$Q$11, '1 Machine Build'!$F15:$Q15), 0), _xlfn.IFNA(_xlfn.XLOOKUP(Assumptions!Z$88, '1 Machine Build'!$F$11:$Q$11, '1 Machine Build'!$F15:$Q15), 0))</f>
        <v>0</v>
      </c>
      <c r="AC33" s="97">
        <f>SUM(_xlfn.IFNA(_xlfn.XLOOKUP(Assumptions!AA$81, '1 Machine Build'!$F$11:$Q$11, '1 Machine Build'!$F15:$Q15), 0), _xlfn.IFNA(_xlfn.XLOOKUP(Assumptions!AA$82, '1 Machine Build'!$F$11:$Q$11, '1 Machine Build'!$F15:$Q15), 0), _xlfn.IFNA(_xlfn.XLOOKUP(Assumptions!AA$83, '1 Machine Build'!$F$11:$Q$11, '1 Machine Build'!$F15:$Q15), 0), _xlfn.IFNA(_xlfn.XLOOKUP(Assumptions!AA$84, '1 Machine Build'!$F$11:$Q$11, '1 Machine Build'!$F15:$Q15), 0), _xlfn.IFNA(_xlfn.XLOOKUP(Assumptions!AA$85, '1 Machine Build'!$F$11:$Q$11, '1 Machine Build'!$F15:$Q15), 0), _xlfn.IFNA(_xlfn.XLOOKUP(Assumptions!AA$86, '1 Machine Build'!$F$11:$Q$11, '1 Machine Build'!$F15:$Q15), 0), _xlfn.IFNA(_xlfn.XLOOKUP(Assumptions!AA$87, '1 Machine Build'!$F$11:$Q$11, '1 Machine Build'!$F15:$Q15), 0), _xlfn.IFNA(_xlfn.XLOOKUP(Assumptions!AA$88, '1 Machine Build'!$F$11:$Q$11, '1 Machine Build'!$F15:$Q15), 0))</f>
        <v>0</v>
      </c>
      <c r="AD33" s="97">
        <f>SUM(_xlfn.IFNA(_xlfn.XLOOKUP(Assumptions!AB$81, '1 Machine Build'!$F$11:$Q$11, '1 Machine Build'!$F15:$Q15), 0), _xlfn.IFNA(_xlfn.XLOOKUP(Assumptions!AB$82, '1 Machine Build'!$F$11:$Q$11, '1 Machine Build'!$F15:$Q15), 0), _xlfn.IFNA(_xlfn.XLOOKUP(Assumptions!AB$83, '1 Machine Build'!$F$11:$Q$11, '1 Machine Build'!$F15:$Q15), 0), _xlfn.IFNA(_xlfn.XLOOKUP(Assumptions!AB$84, '1 Machine Build'!$F$11:$Q$11, '1 Machine Build'!$F15:$Q15), 0), _xlfn.IFNA(_xlfn.XLOOKUP(Assumptions!AB$85, '1 Machine Build'!$F$11:$Q$11, '1 Machine Build'!$F15:$Q15), 0), _xlfn.IFNA(_xlfn.XLOOKUP(Assumptions!AB$86, '1 Machine Build'!$F$11:$Q$11, '1 Machine Build'!$F15:$Q15), 0), _xlfn.IFNA(_xlfn.XLOOKUP(Assumptions!AB$87, '1 Machine Build'!$F$11:$Q$11, '1 Machine Build'!$F15:$Q15), 0), _xlfn.IFNA(_xlfn.XLOOKUP(Assumptions!AB$88, '1 Machine Build'!$F$11:$Q$11, '1 Machine Build'!$F15:$Q15), 0))</f>
        <v>0</v>
      </c>
      <c r="AE33" s="97">
        <f>SUM(_xlfn.IFNA(_xlfn.XLOOKUP(Assumptions!AC$81, '1 Machine Build'!$F$11:$Q$11, '1 Machine Build'!$F15:$Q15), 0), _xlfn.IFNA(_xlfn.XLOOKUP(Assumptions!AC$82, '1 Machine Build'!$F$11:$Q$11, '1 Machine Build'!$F15:$Q15), 0), _xlfn.IFNA(_xlfn.XLOOKUP(Assumptions!AC$83, '1 Machine Build'!$F$11:$Q$11, '1 Machine Build'!$F15:$Q15), 0), _xlfn.IFNA(_xlfn.XLOOKUP(Assumptions!AC$84, '1 Machine Build'!$F$11:$Q$11, '1 Machine Build'!$F15:$Q15), 0), _xlfn.IFNA(_xlfn.XLOOKUP(Assumptions!AC$85, '1 Machine Build'!$F$11:$Q$11, '1 Machine Build'!$F15:$Q15), 0), _xlfn.IFNA(_xlfn.XLOOKUP(Assumptions!AC$86, '1 Machine Build'!$F$11:$Q$11, '1 Machine Build'!$F15:$Q15), 0), _xlfn.IFNA(_xlfn.XLOOKUP(Assumptions!AC$87, '1 Machine Build'!$F$11:$Q$11, '1 Machine Build'!$F15:$Q15), 0), _xlfn.IFNA(_xlfn.XLOOKUP(Assumptions!AC$88, '1 Machine Build'!$F$11:$Q$11, '1 Machine Build'!$F15:$Q15), 0))</f>
        <v>0</v>
      </c>
      <c r="AF33" s="97">
        <f>SUM(_xlfn.IFNA(_xlfn.XLOOKUP(Assumptions!AD$81, '1 Machine Build'!$F$11:$Q$11, '1 Machine Build'!$F15:$Q15), 0), _xlfn.IFNA(_xlfn.XLOOKUP(Assumptions!AD$82, '1 Machine Build'!$F$11:$Q$11, '1 Machine Build'!$F15:$Q15), 0), _xlfn.IFNA(_xlfn.XLOOKUP(Assumptions!AD$83, '1 Machine Build'!$F$11:$Q$11, '1 Machine Build'!$F15:$Q15), 0), _xlfn.IFNA(_xlfn.XLOOKUP(Assumptions!AD$84, '1 Machine Build'!$F$11:$Q$11, '1 Machine Build'!$F15:$Q15), 0), _xlfn.IFNA(_xlfn.XLOOKUP(Assumptions!AD$85, '1 Machine Build'!$F$11:$Q$11, '1 Machine Build'!$F15:$Q15), 0), _xlfn.IFNA(_xlfn.XLOOKUP(Assumptions!AD$86, '1 Machine Build'!$F$11:$Q$11, '1 Machine Build'!$F15:$Q15), 0), _xlfn.IFNA(_xlfn.XLOOKUP(Assumptions!AD$87, '1 Machine Build'!$F$11:$Q$11, '1 Machine Build'!$F15:$Q15), 0), _xlfn.IFNA(_xlfn.XLOOKUP(Assumptions!AD$88, '1 Machine Build'!$F$11:$Q$11, '1 Machine Build'!$F15:$Q15), 0))</f>
        <v>0</v>
      </c>
      <c r="AG33" s="97">
        <f>SUM(_xlfn.IFNA(_xlfn.XLOOKUP(Assumptions!AE$81, '1 Machine Build'!$F$11:$Q$11, '1 Machine Build'!$F15:$Q15), 0), _xlfn.IFNA(_xlfn.XLOOKUP(Assumptions!AE$82, '1 Machine Build'!$F$11:$Q$11, '1 Machine Build'!$F15:$Q15), 0), _xlfn.IFNA(_xlfn.XLOOKUP(Assumptions!AE$83, '1 Machine Build'!$F$11:$Q$11, '1 Machine Build'!$F15:$Q15), 0), _xlfn.IFNA(_xlfn.XLOOKUP(Assumptions!AE$84, '1 Machine Build'!$F$11:$Q$11, '1 Machine Build'!$F15:$Q15), 0), _xlfn.IFNA(_xlfn.XLOOKUP(Assumptions!AE$85, '1 Machine Build'!$F$11:$Q$11, '1 Machine Build'!$F15:$Q15), 0), _xlfn.IFNA(_xlfn.XLOOKUP(Assumptions!AE$86, '1 Machine Build'!$F$11:$Q$11, '1 Machine Build'!$F15:$Q15), 0), _xlfn.IFNA(_xlfn.XLOOKUP(Assumptions!AE$87, '1 Machine Build'!$F$11:$Q$11, '1 Machine Build'!$F15:$Q15), 0), _xlfn.IFNA(_xlfn.XLOOKUP(Assumptions!AE$88, '1 Machine Build'!$F$11:$Q$11, '1 Machine Build'!$F15:$Q15), 0))</f>
        <v>0</v>
      </c>
      <c r="AH33" s="97">
        <f>SUM(_xlfn.IFNA(_xlfn.XLOOKUP(Assumptions!AF$81, '1 Machine Build'!$F$11:$Q$11, '1 Machine Build'!$F15:$Q15), 0), _xlfn.IFNA(_xlfn.XLOOKUP(Assumptions!AF$82, '1 Machine Build'!$F$11:$Q$11, '1 Machine Build'!$F15:$Q15), 0), _xlfn.IFNA(_xlfn.XLOOKUP(Assumptions!AF$83, '1 Machine Build'!$F$11:$Q$11, '1 Machine Build'!$F15:$Q15), 0), _xlfn.IFNA(_xlfn.XLOOKUP(Assumptions!AF$84, '1 Machine Build'!$F$11:$Q$11, '1 Machine Build'!$F15:$Q15), 0), _xlfn.IFNA(_xlfn.XLOOKUP(Assumptions!AF$85, '1 Machine Build'!$F$11:$Q$11, '1 Machine Build'!$F15:$Q15), 0), _xlfn.IFNA(_xlfn.XLOOKUP(Assumptions!AF$86, '1 Machine Build'!$F$11:$Q$11, '1 Machine Build'!$F15:$Q15), 0), _xlfn.IFNA(_xlfn.XLOOKUP(Assumptions!AF$87, '1 Machine Build'!$F$11:$Q$11, '1 Machine Build'!$F15:$Q15), 0), _xlfn.IFNA(_xlfn.XLOOKUP(Assumptions!AF$88, '1 Machine Build'!$F$11:$Q$11, '1 Machine Build'!$F15:$Q15), 0))</f>
        <v>0</v>
      </c>
      <c r="AI33" s="97">
        <f>SUM(_xlfn.IFNA(_xlfn.XLOOKUP(Assumptions!AG$81, '1 Machine Build'!$F$11:$Q$11, '1 Machine Build'!$F15:$Q15), 0), _xlfn.IFNA(_xlfn.XLOOKUP(Assumptions!AG$82, '1 Machine Build'!$F$11:$Q$11, '1 Machine Build'!$F15:$Q15), 0), _xlfn.IFNA(_xlfn.XLOOKUP(Assumptions!AG$83, '1 Machine Build'!$F$11:$Q$11, '1 Machine Build'!$F15:$Q15), 0), _xlfn.IFNA(_xlfn.XLOOKUP(Assumptions!AG$84, '1 Machine Build'!$F$11:$Q$11, '1 Machine Build'!$F15:$Q15), 0), _xlfn.IFNA(_xlfn.XLOOKUP(Assumptions!AG$85, '1 Machine Build'!$F$11:$Q$11, '1 Machine Build'!$F15:$Q15), 0), _xlfn.IFNA(_xlfn.XLOOKUP(Assumptions!AG$86, '1 Machine Build'!$F$11:$Q$11, '1 Machine Build'!$F15:$Q15), 0), _xlfn.IFNA(_xlfn.XLOOKUP(Assumptions!AG$87, '1 Machine Build'!$F$11:$Q$11, '1 Machine Build'!$F15:$Q15), 0), _xlfn.IFNA(_xlfn.XLOOKUP(Assumptions!AG$88, '1 Machine Build'!$F$11:$Q$11, '1 Machine Build'!$F15:$Q15), 0))</f>
        <v>0</v>
      </c>
      <c r="AJ33" s="97">
        <f>SUM(_xlfn.IFNA(_xlfn.XLOOKUP(Assumptions!AH$81, '1 Machine Build'!$F$11:$Q$11, '1 Machine Build'!$F15:$Q15), 0), _xlfn.IFNA(_xlfn.XLOOKUP(Assumptions!AH$82, '1 Machine Build'!$F$11:$Q$11, '1 Machine Build'!$F15:$Q15), 0), _xlfn.IFNA(_xlfn.XLOOKUP(Assumptions!AH$83, '1 Machine Build'!$F$11:$Q$11, '1 Machine Build'!$F15:$Q15), 0), _xlfn.IFNA(_xlfn.XLOOKUP(Assumptions!AH$84, '1 Machine Build'!$F$11:$Q$11, '1 Machine Build'!$F15:$Q15), 0), _xlfn.IFNA(_xlfn.XLOOKUP(Assumptions!AH$85, '1 Machine Build'!$F$11:$Q$11, '1 Machine Build'!$F15:$Q15), 0), _xlfn.IFNA(_xlfn.XLOOKUP(Assumptions!AH$86, '1 Machine Build'!$F$11:$Q$11, '1 Machine Build'!$F15:$Q15), 0), _xlfn.IFNA(_xlfn.XLOOKUP(Assumptions!AH$87, '1 Machine Build'!$F$11:$Q$11, '1 Machine Build'!$F15:$Q15), 0), _xlfn.IFNA(_xlfn.XLOOKUP(Assumptions!AH$88, '1 Machine Build'!$F$11:$Q$11, '1 Machine Build'!$F15:$Q15), 0))</f>
        <v>0</v>
      </c>
      <c r="AK33" s="97">
        <f>SUM(_xlfn.IFNA(_xlfn.XLOOKUP(Assumptions!AI$81, '1 Machine Build'!$F$11:$Q$11, '1 Machine Build'!$F15:$Q15), 0), _xlfn.IFNA(_xlfn.XLOOKUP(Assumptions!AI$82, '1 Machine Build'!$F$11:$Q$11, '1 Machine Build'!$F15:$Q15), 0), _xlfn.IFNA(_xlfn.XLOOKUP(Assumptions!AI$83, '1 Machine Build'!$F$11:$Q$11, '1 Machine Build'!$F15:$Q15), 0), _xlfn.IFNA(_xlfn.XLOOKUP(Assumptions!AI$84, '1 Machine Build'!$F$11:$Q$11, '1 Machine Build'!$F15:$Q15), 0), _xlfn.IFNA(_xlfn.XLOOKUP(Assumptions!AI$85, '1 Machine Build'!$F$11:$Q$11, '1 Machine Build'!$F15:$Q15), 0), _xlfn.IFNA(_xlfn.XLOOKUP(Assumptions!AI$86, '1 Machine Build'!$F$11:$Q$11, '1 Machine Build'!$F15:$Q15), 0), _xlfn.IFNA(_xlfn.XLOOKUP(Assumptions!AI$87, '1 Machine Build'!$F$11:$Q$11, '1 Machine Build'!$F15:$Q15), 0), _xlfn.IFNA(_xlfn.XLOOKUP(Assumptions!AI$88, '1 Machine Build'!$F$11:$Q$11, '1 Machine Build'!$F15:$Q15), 0))</f>
        <v>0</v>
      </c>
      <c r="AL33" s="97">
        <f>SUM(_xlfn.IFNA(_xlfn.XLOOKUP(Assumptions!AJ$81, '1 Machine Build'!$F$11:$Q$11, '1 Machine Build'!$F15:$Q15), 0), _xlfn.IFNA(_xlfn.XLOOKUP(Assumptions!AJ$82, '1 Machine Build'!$F$11:$Q$11, '1 Machine Build'!$F15:$Q15), 0), _xlfn.IFNA(_xlfn.XLOOKUP(Assumptions!AJ$83, '1 Machine Build'!$F$11:$Q$11, '1 Machine Build'!$F15:$Q15), 0), _xlfn.IFNA(_xlfn.XLOOKUP(Assumptions!AJ$84, '1 Machine Build'!$F$11:$Q$11, '1 Machine Build'!$F15:$Q15), 0), _xlfn.IFNA(_xlfn.XLOOKUP(Assumptions!AJ$85, '1 Machine Build'!$F$11:$Q$11, '1 Machine Build'!$F15:$Q15), 0), _xlfn.IFNA(_xlfn.XLOOKUP(Assumptions!AJ$86, '1 Machine Build'!$F$11:$Q$11, '1 Machine Build'!$F15:$Q15), 0), _xlfn.IFNA(_xlfn.XLOOKUP(Assumptions!AJ$87, '1 Machine Build'!$F$11:$Q$11, '1 Machine Build'!$F15:$Q15), 0), _xlfn.IFNA(_xlfn.XLOOKUP(Assumptions!AJ$88, '1 Machine Build'!$F$11:$Q$11, '1 Machine Build'!$F15:$Q15), 0))</f>
        <v>0</v>
      </c>
      <c r="AM33" s="97">
        <f>SUM(_xlfn.IFNA(_xlfn.XLOOKUP(Assumptions!AK$81, '1 Machine Build'!$F$11:$Q$11, '1 Machine Build'!$F15:$Q15), 0), _xlfn.IFNA(_xlfn.XLOOKUP(Assumptions!AK$82, '1 Machine Build'!$F$11:$Q$11, '1 Machine Build'!$F15:$Q15), 0), _xlfn.IFNA(_xlfn.XLOOKUP(Assumptions!AK$83, '1 Machine Build'!$F$11:$Q$11, '1 Machine Build'!$F15:$Q15), 0), _xlfn.IFNA(_xlfn.XLOOKUP(Assumptions!AK$84, '1 Machine Build'!$F$11:$Q$11, '1 Machine Build'!$F15:$Q15), 0), _xlfn.IFNA(_xlfn.XLOOKUP(Assumptions!AK$85, '1 Machine Build'!$F$11:$Q$11, '1 Machine Build'!$F15:$Q15), 0), _xlfn.IFNA(_xlfn.XLOOKUP(Assumptions!AK$86, '1 Machine Build'!$F$11:$Q$11, '1 Machine Build'!$F15:$Q15), 0), _xlfn.IFNA(_xlfn.XLOOKUP(Assumptions!AK$87, '1 Machine Build'!$F$11:$Q$11, '1 Machine Build'!$F15:$Q15), 0), _xlfn.IFNA(_xlfn.XLOOKUP(Assumptions!AK$88, '1 Machine Build'!$F$11:$Q$11, '1 Machine Build'!$F15:$Q15), 0))</f>
        <v>0</v>
      </c>
      <c r="AN33" s="97">
        <f>SUM(_xlfn.IFNA(_xlfn.XLOOKUP(Assumptions!AL$81, '1 Machine Build'!$F$11:$Q$11, '1 Machine Build'!$F15:$Q15), 0), _xlfn.IFNA(_xlfn.XLOOKUP(Assumptions!AL$82, '1 Machine Build'!$F$11:$Q$11, '1 Machine Build'!$F15:$Q15), 0), _xlfn.IFNA(_xlfn.XLOOKUP(Assumptions!AL$83, '1 Machine Build'!$F$11:$Q$11, '1 Machine Build'!$F15:$Q15), 0), _xlfn.IFNA(_xlfn.XLOOKUP(Assumptions!AL$84, '1 Machine Build'!$F$11:$Q$11, '1 Machine Build'!$F15:$Q15), 0), _xlfn.IFNA(_xlfn.XLOOKUP(Assumptions!AL$85, '1 Machine Build'!$F$11:$Q$11, '1 Machine Build'!$F15:$Q15), 0), _xlfn.IFNA(_xlfn.XLOOKUP(Assumptions!AL$86, '1 Machine Build'!$F$11:$Q$11, '1 Machine Build'!$F15:$Q15), 0), _xlfn.IFNA(_xlfn.XLOOKUP(Assumptions!AL$87, '1 Machine Build'!$F$11:$Q$11, '1 Machine Build'!$F15:$Q15), 0), _xlfn.IFNA(_xlfn.XLOOKUP(Assumptions!AL$88, '1 Machine Build'!$F$11:$Q$11, '1 Machine Build'!$F15:$Q15), 0))</f>
        <v>0</v>
      </c>
      <c r="AO33" s="97">
        <f>SUM(_xlfn.IFNA(_xlfn.XLOOKUP(Assumptions!AM$81, '1 Machine Build'!$F$11:$Q$11, '1 Machine Build'!$F15:$Q15), 0), _xlfn.IFNA(_xlfn.XLOOKUP(Assumptions!AM$82, '1 Machine Build'!$F$11:$Q$11, '1 Machine Build'!$F15:$Q15), 0), _xlfn.IFNA(_xlfn.XLOOKUP(Assumptions!AM$83, '1 Machine Build'!$F$11:$Q$11, '1 Machine Build'!$F15:$Q15), 0), _xlfn.IFNA(_xlfn.XLOOKUP(Assumptions!AM$84, '1 Machine Build'!$F$11:$Q$11, '1 Machine Build'!$F15:$Q15), 0), _xlfn.IFNA(_xlfn.XLOOKUP(Assumptions!AM$85, '1 Machine Build'!$F$11:$Q$11, '1 Machine Build'!$F15:$Q15), 0), _xlfn.IFNA(_xlfn.XLOOKUP(Assumptions!AM$86, '1 Machine Build'!$F$11:$Q$11, '1 Machine Build'!$F15:$Q15), 0), _xlfn.IFNA(_xlfn.XLOOKUP(Assumptions!AM$87, '1 Machine Build'!$F$11:$Q$11, '1 Machine Build'!$F15:$Q15), 0), _xlfn.IFNA(_xlfn.XLOOKUP(Assumptions!AM$88, '1 Machine Build'!$F$11:$Q$11, '1 Machine Build'!$F15:$Q15), 0))</f>
        <v>0</v>
      </c>
      <c r="AP33" s="97">
        <f>SUM(_xlfn.IFNA(_xlfn.XLOOKUP(Assumptions!AN$81, '1 Machine Build'!$F$11:$Q$11, '1 Machine Build'!$F15:$Q15), 0), _xlfn.IFNA(_xlfn.XLOOKUP(Assumptions!AN$82, '1 Machine Build'!$F$11:$Q$11, '1 Machine Build'!$F15:$Q15), 0), _xlfn.IFNA(_xlfn.XLOOKUP(Assumptions!AN$83, '1 Machine Build'!$F$11:$Q$11, '1 Machine Build'!$F15:$Q15), 0), _xlfn.IFNA(_xlfn.XLOOKUP(Assumptions!AN$84, '1 Machine Build'!$F$11:$Q$11, '1 Machine Build'!$F15:$Q15), 0), _xlfn.IFNA(_xlfn.XLOOKUP(Assumptions!AN$85, '1 Machine Build'!$F$11:$Q$11, '1 Machine Build'!$F15:$Q15), 0), _xlfn.IFNA(_xlfn.XLOOKUP(Assumptions!AN$86, '1 Machine Build'!$F$11:$Q$11, '1 Machine Build'!$F15:$Q15), 0), _xlfn.IFNA(_xlfn.XLOOKUP(Assumptions!AN$87, '1 Machine Build'!$F$11:$Q$11, '1 Machine Build'!$F15:$Q15), 0), _xlfn.IFNA(_xlfn.XLOOKUP(Assumptions!AN$88, '1 Machine Build'!$F$11:$Q$11, '1 Machine Build'!$F15:$Q15), 0))</f>
        <v>0</v>
      </c>
      <c r="AQ33" s="97">
        <f>SUM(_xlfn.IFNA(_xlfn.XLOOKUP(Assumptions!AO$81, '1 Machine Build'!$F$11:$Q$11, '1 Machine Build'!$F15:$Q15), 0), _xlfn.IFNA(_xlfn.XLOOKUP(Assumptions!AO$82, '1 Machine Build'!$F$11:$Q$11, '1 Machine Build'!$F15:$Q15), 0), _xlfn.IFNA(_xlfn.XLOOKUP(Assumptions!AO$83, '1 Machine Build'!$F$11:$Q$11, '1 Machine Build'!$F15:$Q15), 0), _xlfn.IFNA(_xlfn.XLOOKUP(Assumptions!AO$84, '1 Machine Build'!$F$11:$Q$11, '1 Machine Build'!$F15:$Q15), 0), _xlfn.IFNA(_xlfn.XLOOKUP(Assumptions!AO$85, '1 Machine Build'!$F$11:$Q$11, '1 Machine Build'!$F15:$Q15), 0), _xlfn.IFNA(_xlfn.XLOOKUP(Assumptions!AO$86, '1 Machine Build'!$F$11:$Q$11, '1 Machine Build'!$F15:$Q15), 0), _xlfn.IFNA(_xlfn.XLOOKUP(Assumptions!AO$87, '1 Machine Build'!$F$11:$Q$11, '1 Machine Build'!$F15:$Q15), 0), _xlfn.IFNA(_xlfn.XLOOKUP(Assumptions!AO$88, '1 Machine Build'!$F$11:$Q$11, '1 Machine Build'!$F15:$Q15), 0))</f>
        <v>0</v>
      </c>
      <c r="AR33" s="97">
        <f>SUM(_xlfn.IFNA(_xlfn.XLOOKUP(Assumptions!AP$81, '1 Machine Build'!$F$11:$Q$11, '1 Machine Build'!$F15:$Q15), 0), _xlfn.IFNA(_xlfn.XLOOKUP(Assumptions!AP$82, '1 Machine Build'!$F$11:$Q$11, '1 Machine Build'!$F15:$Q15), 0), _xlfn.IFNA(_xlfn.XLOOKUP(Assumptions!AP$83, '1 Machine Build'!$F$11:$Q$11, '1 Machine Build'!$F15:$Q15), 0), _xlfn.IFNA(_xlfn.XLOOKUP(Assumptions!AP$84, '1 Machine Build'!$F$11:$Q$11, '1 Machine Build'!$F15:$Q15), 0), _xlfn.IFNA(_xlfn.XLOOKUP(Assumptions!AP$85, '1 Machine Build'!$F$11:$Q$11, '1 Machine Build'!$F15:$Q15), 0), _xlfn.IFNA(_xlfn.XLOOKUP(Assumptions!AP$86, '1 Machine Build'!$F$11:$Q$11, '1 Machine Build'!$F15:$Q15), 0), _xlfn.IFNA(_xlfn.XLOOKUP(Assumptions!AP$87, '1 Machine Build'!$F$11:$Q$11, '1 Machine Build'!$F15:$Q15), 0), _xlfn.IFNA(_xlfn.XLOOKUP(Assumptions!AP$88, '1 Machine Build'!$F$11:$Q$11, '1 Machine Build'!$F15:$Q15), 0))</f>
        <v>0</v>
      </c>
      <c r="AS33" s="97">
        <f>SUM(_xlfn.IFNA(_xlfn.XLOOKUP(Assumptions!AQ$81, '1 Machine Build'!$F$11:$Q$11, '1 Machine Build'!$F15:$Q15), 0), _xlfn.IFNA(_xlfn.XLOOKUP(Assumptions!AQ$82, '1 Machine Build'!$F$11:$Q$11, '1 Machine Build'!$F15:$Q15), 0), _xlfn.IFNA(_xlfn.XLOOKUP(Assumptions!AQ$83, '1 Machine Build'!$F$11:$Q$11, '1 Machine Build'!$F15:$Q15), 0), _xlfn.IFNA(_xlfn.XLOOKUP(Assumptions!AQ$84, '1 Machine Build'!$F$11:$Q$11, '1 Machine Build'!$F15:$Q15), 0), _xlfn.IFNA(_xlfn.XLOOKUP(Assumptions!AQ$85, '1 Machine Build'!$F$11:$Q$11, '1 Machine Build'!$F15:$Q15), 0), _xlfn.IFNA(_xlfn.XLOOKUP(Assumptions!AQ$86, '1 Machine Build'!$F$11:$Q$11, '1 Machine Build'!$F15:$Q15), 0), _xlfn.IFNA(_xlfn.XLOOKUP(Assumptions!AQ$87, '1 Machine Build'!$F$11:$Q$11, '1 Machine Build'!$F15:$Q15), 0), _xlfn.IFNA(_xlfn.XLOOKUP(Assumptions!AQ$88, '1 Machine Build'!$F$11:$Q$11, '1 Machine Build'!$F15:$Q15), 0))</f>
        <v>0</v>
      </c>
      <c r="AT33" s="97">
        <f>SUM(_xlfn.IFNA(_xlfn.XLOOKUP(Assumptions!AR$81, '1 Machine Build'!$F$11:$Q$11, '1 Machine Build'!$F15:$Q15), 0), _xlfn.IFNA(_xlfn.XLOOKUP(Assumptions!AR$82, '1 Machine Build'!$F$11:$Q$11, '1 Machine Build'!$F15:$Q15), 0), _xlfn.IFNA(_xlfn.XLOOKUP(Assumptions!AR$83, '1 Machine Build'!$F$11:$Q$11, '1 Machine Build'!$F15:$Q15), 0), _xlfn.IFNA(_xlfn.XLOOKUP(Assumptions!AR$84, '1 Machine Build'!$F$11:$Q$11, '1 Machine Build'!$F15:$Q15), 0), _xlfn.IFNA(_xlfn.XLOOKUP(Assumptions!AR$85, '1 Machine Build'!$F$11:$Q$11, '1 Machine Build'!$F15:$Q15), 0), _xlfn.IFNA(_xlfn.XLOOKUP(Assumptions!AR$86, '1 Machine Build'!$F$11:$Q$11, '1 Machine Build'!$F15:$Q15), 0), _xlfn.IFNA(_xlfn.XLOOKUP(Assumptions!AR$87, '1 Machine Build'!$F$11:$Q$11, '1 Machine Build'!$F15:$Q15), 0), _xlfn.IFNA(_xlfn.XLOOKUP(Assumptions!AR$88, '1 Machine Build'!$F$11:$Q$11, '1 Machine Build'!$F15:$Q15), 0))</f>
        <v>0</v>
      </c>
      <c r="AU33" s="97">
        <f>SUM(_xlfn.IFNA(_xlfn.XLOOKUP(Assumptions!AS$81, '1 Machine Build'!$F$11:$Q$11, '1 Machine Build'!$F15:$Q15), 0), _xlfn.IFNA(_xlfn.XLOOKUP(Assumptions!AS$82, '1 Machine Build'!$F$11:$Q$11, '1 Machine Build'!$F15:$Q15), 0), _xlfn.IFNA(_xlfn.XLOOKUP(Assumptions!AS$83, '1 Machine Build'!$F$11:$Q$11, '1 Machine Build'!$F15:$Q15), 0), _xlfn.IFNA(_xlfn.XLOOKUP(Assumptions!AS$84, '1 Machine Build'!$F$11:$Q$11, '1 Machine Build'!$F15:$Q15), 0), _xlfn.IFNA(_xlfn.XLOOKUP(Assumptions!AS$85, '1 Machine Build'!$F$11:$Q$11, '1 Machine Build'!$F15:$Q15), 0), _xlfn.IFNA(_xlfn.XLOOKUP(Assumptions!AS$86, '1 Machine Build'!$F$11:$Q$11, '1 Machine Build'!$F15:$Q15), 0), _xlfn.IFNA(_xlfn.XLOOKUP(Assumptions!AS$87, '1 Machine Build'!$F$11:$Q$11, '1 Machine Build'!$F15:$Q15), 0), _xlfn.IFNA(_xlfn.XLOOKUP(Assumptions!AS$88, '1 Machine Build'!$F$11:$Q$11, '1 Machine Build'!$F15:$Q15), 0))</f>
        <v>0</v>
      </c>
      <c r="AV33" s="97">
        <f>SUM(_xlfn.IFNA(_xlfn.XLOOKUP(Assumptions!AT$81, '1 Machine Build'!$F$11:$Q$11, '1 Machine Build'!$F15:$Q15), 0), _xlfn.IFNA(_xlfn.XLOOKUP(Assumptions!AT$82, '1 Machine Build'!$F$11:$Q$11, '1 Machine Build'!$F15:$Q15), 0), _xlfn.IFNA(_xlfn.XLOOKUP(Assumptions!AT$83, '1 Machine Build'!$F$11:$Q$11, '1 Machine Build'!$F15:$Q15), 0), _xlfn.IFNA(_xlfn.XLOOKUP(Assumptions!AT$84, '1 Machine Build'!$F$11:$Q$11, '1 Machine Build'!$F15:$Q15), 0), _xlfn.IFNA(_xlfn.XLOOKUP(Assumptions!AT$85, '1 Machine Build'!$F$11:$Q$11, '1 Machine Build'!$F15:$Q15), 0), _xlfn.IFNA(_xlfn.XLOOKUP(Assumptions!AT$86, '1 Machine Build'!$F$11:$Q$11, '1 Machine Build'!$F15:$Q15), 0), _xlfn.IFNA(_xlfn.XLOOKUP(Assumptions!AT$87, '1 Machine Build'!$F$11:$Q$11, '1 Machine Build'!$F15:$Q15), 0), _xlfn.IFNA(_xlfn.XLOOKUP(Assumptions!AT$88, '1 Machine Build'!$F$11:$Q$11, '1 Machine Build'!$F15:$Q15), 0))</f>
        <v>0</v>
      </c>
      <c r="AW33" s="97">
        <f>SUM(_xlfn.IFNA(_xlfn.XLOOKUP(Assumptions!AU$81, '1 Machine Build'!$F$11:$Q$11, '1 Machine Build'!$F15:$Q15), 0), _xlfn.IFNA(_xlfn.XLOOKUP(Assumptions!AU$82, '1 Machine Build'!$F$11:$Q$11, '1 Machine Build'!$F15:$Q15), 0), _xlfn.IFNA(_xlfn.XLOOKUP(Assumptions!AU$83, '1 Machine Build'!$F$11:$Q$11, '1 Machine Build'!$F15:$Q15), 0), _xlfn.IFNA(_xlfn.XLOOKUP(Assumptions!AU$84, '1 Machine Build'!$F$11:$Q$11, '1 Machine Build'!$F15:$Q15), 0), _xlfn.IFNA(_xlfn.XLOOKUP(Assumptions!AU$85, '1 Machine Build'!$F$11:$Q$11, '1 Machine Build'!$F15:$Q15), 0), _xlfn.IFNA(_xlfn.XLOOKUP(Assumptions!AU$86, '1 Machine Build'!$F$11:$Q$11, '1 Machine Build'!$F15:$Q15), 0), _xlfn.IFNA(_xlfn.XLOOKUP(Assumptions!AU$87, '1 Machine Build'!$F$11:$Q$11, '1 Machine Build'!$F15:$Q15), 0), _xlfn.IFNA(_xlfn.XLOOKUP(Assumptions!AU$88, '1 Machine Build'!$F$11:$Q$11, '1 Machine Build'!$F15:$Q15), 0))</f>
        <v>0</v>
      </c>
      <c r="AX33" s="97">
        <f>SUM(_xlfn.IFNA(_xlfn.XLOOKUP(Assumptions!AV$81, '1 Machine Build'!$F$11:$Q$11, '1 Machine Build'!$F15:$Q15), 0), _xlfn.IFNA(_xlfn.XLOOKUP(Assumptions!AV$82, '1 Machine Build'!$F$11:$Q$11, '1 Machine Build'!$F15:$Q15), 0), _xlfn.IFNA(_xlfn.XLOOKUP(Assumptions!AV$83, '1 Machine Build'!$F$11:$Q$11, '1 Machine Build'!$F15:$Q15), 0), _xlfn.IFNA(_xlfn.XLOOKUP(Assumptions!AV$84, '1 Machine Build'!$F$11:$Q$11, '1 Machine Build'!$F15:$Q15), 0), _xlfn.IFNA(_xlfn.XLOOKUP(Assumptions!AV$85, '1 Machine Build'!$F$11:$Q$11, '1 Machine Build'!$F15:$Q15), 0), _xlfn.IFNA(_xlfn.XLOOKUP(Assumptions!AV$86, '1 Machine Build'!$F$11:$Q$11, '1 Machine Build'!$F15:$Q15), 0), _xlfn.IFNA(_xlfn.XLOOKUP(Assumptions!AV$87, '1 Machine Build'!$F$11:$Q$11, '1 Machine Build'!$F15:$Q15), 0), _xlfn.IFNA(_xlfn.XLOOKUP(Assumptions!AV$88, '1 Machine Build'!$F$11:$Q$11, '1 Machine Build'!$F15:$Q15), 0))</f>
        <v>0</v>
      </c>
      <c r="AY33" s="97">
        <f>SUM(_xlfn.IFNA(_xlfn.XLOOKUP(Assumptions!AW$81, '1 Machine Build'!$F$11:$Q$11, '1 Machine Build'!$F15:$Q15), 0), _xlfn.IFNA(_xlfn.XLOOKUP(Assumptions!AW$82, '1 Machine Build'!$F$11:$Q$11, '1 Machine Build'!$F15:$Q15), 0), _xlfn.IFNA(_xlfn.XLOOKUP(Assumptions!AW$83, '1 Machine Build'!$F$11:$Q$11, '1 Machine Build'!$F15:$Q15), 0), _xlfn.IFNA(_xlfn.XLOOKUP(Assumptions!AW$84, '1 Machine Build'!$F$11:$Q$11, '1 Machine Build'!$F15:$Q15), 0), _xlfn.IFNA(_xlfn.XLOOKUP(Assumptions!AW$85, '1 Machine Build'!$F$11:$Q$11, '1 Machine Build'!$F15:$Q15), 0), _xlfn.IFNA(_xlfn.XLOOKUP(Assumptions!AW$86, '1 Machine Build'!$F$11:$Q$11, '1 Machine Build'!$F15:$Q15), 0), _xlfn.IFNA(_xlfn.XLOOKUP(Assumptions!AW$87, '1 Machine Build'!$F$11:$Q$11, '1 Machine Build'!$F15:$Q15), 0), _xlfn.IFNA(_xlfn.XLOOKUP(Assumptions!AW$88, '1 Machine Build'!$F$11:$Q$11, '1 Machine Build'!$F15:$Q15), 0))</f>
        <v>0</v>
      </c>
      <c r="AZ33" s="97">
        <f>SUM(_xlfn.IFNA(_xlfn.XLOOKUP(Assumptions!AX$81, '1 Machine Build'!$F$11:$Q$11, '1 Machine Build'!$F15:$Q15), 0), _xlfn.IFNA(_xlfn.XLOOKUP(Assumptions!AX$82, '1 Machine Build'!$F$11:$Q$11, '1 Machine Build'!$F15:$Q15), 0), _xlfn.IFNA(_xlfn.XLOOKUP(Assumptions!AX$83, '1 Machine Build'!$F$11:$Q$11, '1 Machine Build'!$F15:$Q15), 0), _xlfn.IFNA(_xlfn.XLOOKUP(Assumptions!AX$84, '1 Machine Build'!$F$11:$Q$11, '1 Machine Build'!$F15:$Q15), 0), _xlfn.IFNA(_xlfn.XLOOKUP(Assumptions!AX$85, '1 Machine Build'!$F$11:$Q$11, '1 Machine Build'!$F15:$Q15), 0), _xlfn.IFNA(_xlfn.XLOOKUP(Assumptions!AX$86, '1 Machine Build'!$F$11:$Q$11, '1 Machine Build'!$F15:$Q15), 0), _xlfn.IFNA(_xlfn.XLOOKUP(Assumptions!AX$87, '1 Machine Build'!$F$11:$Q$11, '1 Machine Build'!$F15:$Q15), 0), _xlfn.IFNA(_xlfn.XLOOKUP(Assumptions!AX$88, '1 Machine Build'!$F$11:$Q$11, '1 Machine Build'!$F15:$Q15), 0))</f>
        <v>0</v>
      </c>
      <c r="BA33" s="97">
        <f>SUM(_xlfn.IFNA(_xlfn.XLOOKUP(Assumptions!AY$81, '1 Machine Build'!$F$11:$Q$11, '1 Machine Build'!$F15:$Q15), 0), _xlfn.IFNA(_xlfn.XLOOKUP(Assumptions!AY$82, '1 Machine Build'!$F$11:$Q$11, '1 Machine Build'!$F15:$Q15), 0), _xlfn.IFNA(_xlfn.XLOOKUP(Assumptions!AY$83, '1 Machine Build'!$F$11:$Q$11, '1 Machine Build'!$F15:$Q15), 0), _xlfn.IFNA(_xlfn.XLOOKUP(Assumptions!AY$84, '1 Machine Build'!$F$11:$Q$11, '1 Machine Build'!$F15:$Q15), 0), _xlfn.IFNA(_xlfn.XLOOKUP(Assumptions!AY$85, '1 Machine Build'!$F$11:$Q$11, '1 Machine Build'!$F15:$Q15), 0), _xlfn.IFNA(_xlfn.XLOOKUP(Assumptions!AY$86, '1 Machine Build'!$F$11:$Q$11, '1 Machine Build'!$F15:$Q15), 0), _xlfn.IFNA(_xlfn.XLOOKUP(Assumptions!AY$87, '1 Machine Build'!$F$11:$Q$11, '1 Machine Build'!$F15:$Q15), 0), _xlfn.IFNA(_xlfn.XLOOKUP(Assumptions!AY$88, '1 Machine Build'!$F$11:$Q$11, '1 Machine Build'!$F15:$Q15), 0))</f>
        <v>0</v>
      </c>
      <c r="BB33" s="97">
        <f>SUM(_xlfn.IFNA(_xlfn.XLOOKUP(Assumptions!AZ$81, '1 Machine Build'!$F$11:$Q$11, '1 Machine Build'!$F15:$Q15), 0), _xlfn.IFNA(_xlfn.XLOOKUP(Assumptions!AZ$82, '1 Machine Build'!$F$11:$Q$11, '1 Machine Build'!$F15:$Q15), 0), _xlfn.IFNA(_xlfn.XLOOKUP(Assumptions!AZ$83, '1 Machine Build'!$F$11:$Q$11, '1 Machine Build'!$F15:$Q15), 0), _xlfn.IFNA(_xlfn.XLOOKUP(Assumptions!AZ$84, '1 Machine Build'!$F$11:$Q$11, '1 Machine Build'!$F15:$Q15), 0), _xlfn.IFNA(_xlfn.XLOOKUP(Assumptions!AZ$85, '1 Machine Build'!$F$11:$Q$11, '1 Machine Build'!$F15:$Q15), 0), _xlfn.IFNA(_xlfn.XLOOKUP(Assumptions!AZ$86, '1 Machine Build'!$F$11:$Q$11, '1 Machine Build'!$F15:$Q15), 0), _xlfn.IFNA(_xlfn.XLOOKUP(Assumptions!AZ$87, '1 Machine Build'!$F$11:$Q$11, '1 Machine Build'!$F15:$Q15), 0), _xlfn.IFNA(_xlfn.XLOOKUP(Assumptions!AZ$88, '1 Machine Build'!$F$11:$Q$11, '1 Machine Build'!$F15:$Q15), 0))</f>
        <v>0</v>
      </c>
      <c r="BC33" s="97">
        <f>SUM(_xlfn.IFNA(_xlfn.XLOOKUP(Assumptions!BA$81, '1 Machine Build'!$F$11:$Q$11, '1 Machine Build'!$F15:$Q15), 0), _xlfn.IFNA(_xlfn.XLOOKUP(Assumptions!BA$82, '1 Machine Build'!$F$11:$Q$11, '1 Machine Build'!$F15:$Q15), 0), _xlfn.IFNA(_xlfn.XLOOKUP(Assumptions!BA$83, '1 Machine Build'!$F$11:$Q$11, '1 Machine Build'!$F15:$Q15), 0), _xlfn.IFNA(_xlfn.XLOOKUP(Assumptions!BA$84, '1 Machine Build'!$F$11:$Q$11, '1 Machine Build'!$F15:$Q15), 0), _xlfn.IFNA(_xlfn.XLOOKUP(Assumptions!BA$85, '1 Machine Build'!$F$11:$Q$11, '1 Machine Build'!$F15:$Q15), 0), _xlfn.IFNA(_xlfn.XLOOKUP(Assumptions!BA$86, '1 Machine Build'!$F$11:$Q$11, '1 Machine Build'!$F15:$Q15), 0), _xlfn.IFNA(_xlfn.XLOOKUP(Assumptions!BA$87, '1 Machine Build'!$F$11:$Q$11, '1 Machine Build'!$F15:$Q15), 0), _xlfn.IFNA(_xlfn.XLOOKUP(Assumptions!BA$88, '1 Machine Build'!$F$11:$Q$11, '1 Machine Build'!$F15:$Q15), 0))</f>
        <v>0</v>
      </c>
      <c r="BD33" s="97">
        <f>SUM(_xlfn.IFNA(_xlfn.XLOOKUP(Assumptions!BB$81, '1 Machine Build'!$F$11:$Q$11, '1 Machine Build'!$F15:$Q15), 0), _xlfn.IFNA(_xlfn.XLOOKUP(Assumptions!BB$82, '1 Machine Build'!$F$11:$Q$11, '1 Machine Build'!$F15:$Q15), 0), _xlfn.IFNA(_xlfn.XLOOKUP(Assumptions!BB$83, '1 Machine Build'!$F$11:$Q$11, '1 Machine Build'!$F15:$Q15), 0), _xlfn.IFNA(_xlfn.XLOOKUP(Assumptions!BB$84, '1 Machine Build'!$F$11:$Q$11, '1 Machine Build'!$F15:$Q15), 0), _xlfn.IFNA(_xlfn.XLOOKUP(Assumptions!BB$85, '1 Machine Build'!$F$11:$Q$11, '1 Machine Build'!$F15:$Q15), 0), _xlfn.IFNA(_xlfn.XLOOKUP(Assumptions!BB$86, '1 Machine Build'!$F$11:$Q$11, '1 Machine Build'!$F15:$Q15), 0), _xlfn.IFNA(_xlfn.XLOOKUP(Assumptions!BB$87, '1 Machine Build'!$F$11:$Q$11, '1 Machine Build'!$F15:$Q15), 0), _xlfn.IFNA(_xlfn.XLOOKUP(Assumptions!BB$88, '1 Machine Build'!$F$11:$Q$11, '1 Machine Build'!$F15:$Q15), 0))</f>
        <v>0</v>
      </c>
      <c r="BE33" s="97">
        <f>SUM(_xlfn.IFNA(_xlfn.XLOOKUP(Assumptions!BC$81, '1 Machine Build'!$F$11:$Q$11, '1 Machine Build'!$F15:$Q15), 0), _xlfn.IFNA(_xlfn.XLOOKUP(Assumptions!BC$82, '1 Machine Build'!$F$11:$Q$11, '1 Machine Build'!$F15:$Q15), 0), _xlfn.IFNA(_xlfn.XLOOKUP(Assumptions!BC$83, '1 Machine Build'!$F$11:$Q$11, '1 Machine Build'!$F15:$Q15), 0), _xlfn.IFNA(_xlfn.XLOOKUP(Assumptions!BC$84, '1 Machine Build'!$F$11:$Q$11, '1 Machine Build'!$F15:$Q15), 0), _xlfn.IFNA(_xlfn.XLOOKUP(Assumptions!BC$85, '1 Machine Build'!$F$11:$Q$11, '1 Machine Build'!$F15:$Q15), 0), _xlfn.IFNA(_xlfn.XLOOKUP(Assumptions!BC$86, '1 Machine Build'!$F$11:$Q$11, '1 Machine Build'!$F15:$Q15), 0), _xlfn.IFNA(_xlfn.XLOOKUP(Assumptions!BC$87, '1 Machine Build'!$F$11:$Q$11, '1 Machine Build'!$F15:$Q15), 0), _xlfn.IFNA(_xlfn.XLOOKUP(Assumptions!BC$88, '1 Machine Build'!$F$11:$Q$11, '1 Machine Build'!$F15:$Q15), 0))</f>
        <v>0</v>
      </c>
      <c r="BF33" s="97">
        <f>SUM(_xlfn.IFNA(_xlfn.XLOOKUP(Assumptions!BD$81, '1 Machine Build'!$F$11:$Q$11, '1 Machine Build'!$F15:$Q15), 0), _xlfn.IFNA(_xlfn.XLOOKUP(Assumptions!BD$82, '1 Machine Build'!$F$11:$Q$11, '1 Machine Build'!$F15:$Q15), 0), _xlfn.IFNA(_xlfn.XLOOKUP(Assumptions!BD$83, '1 Machine Build'!$F$11:$Q$11, '1 Machine Build'!$F15:$Q15), 0), _xlfn.IFNA(_xlfn.XLOOKUP(Assumptions!BD$84, '1 Machine Build'!$F$11:$Q$11, '1 Machine Build'!$F15:$Q15), 0), _xlfn.IFNA(_xlfn.XLOOKUP(Assumptions!BD$85, '1 Machine Build'!$F$11:$Q$11, '1 Machine Build'!$F15:$Q15), 0), _xlfn.IFNA(_xlfn.XLOOKUP(Assumptions!BD$86, '1 Machine Build'!$F$11:$Q$11, '1 Machine Build'!$F15:$Q15), 0), _xlfn.IFNA(_xlfn.XLOOKUP(Assumptions!BD$87, '1 Machine Build'!$F$11:$Q$11, '1 Machine Build'!$F15:$Q15), 0), _xlfn.IFNA(_xlfn.XLOOKUP(Assumptions!BD$88, '1 Machine Build'!$F$11:$Q$11, '1 Machine Build'!$F15:$Q15), 0))</f>
        <v>0</v>
      </c>
      <c r="BG33" s="97">
        <f>SUM(_xlfn.IFNA(_xlfn.XLOOKUP(Assumptions!BE$81, '1 Machine Build'!$F$11:$Q$11, '1 Machine Build'!$F15:$Q15), 0), _xlfn.IFNA(_xlfn.XLOOKUP(Assumptions!BE$82, '1 Machine Build'!$F$11:$Q$11, '1 Machine Build'!$F15:$Q15), 0), _xlfn.IFNA(_xlfn.XLOOKUP(Assumptions!BE$83, '1 Machine Build'!$F$11:$Q$11, '1 Machine Build'!$F15:$Q15), 0), _xlfn.IFNA(_xlfn.XLOOKUP(Assumptions!BE$84, '1 Machine Build'!$F$11:$Q$11, '1 Machine Build'!$F15:$Q15), 0), _xlfn.IFNA(_xlfn.XLOOKUP(Assumptions!BE$85, '1 Machine Build'!$F$11:$Q$11, '1 Machine Build'!$F15:$Q15), 0), _xlfn.IFNA(_xlfn.XLOOKUP(Assumptions!BE$86, '1 Machine Build'!$F$11:$Q$11, '1 Machine Build'!$F15:$Q15), 0), _xlfn.IFNA(_xlfn.XLOOKUP(Assumptions!BE$87, '1 Machine Build'!$F$11:$Q$11, '1 Machine Build'!$F15:$Q15), 0), _xlfn.IFNA(_xlfn.XLOOKUP(Assumptions!BE$88, '1 Machine Build'!$F$11:$Q$11, '1 Machine Build'!$F15:$Q15), 0))</f>
        <v>0</v>
      </c>
      <c r="BH33" s="97">
        <f>SUM(_xlfn.IFNA(_xlfn.XLOOKUP(Assumptions!BF$81, '1 Machine Build'!$F$11:$Q$11, '1 Machine Build'!$F15:$Q15), 0), _xlfn.IFNA(_xlfn.XLOOKUP(Assumptions!BF$82, '1 Machine Build'!$F$11:$Q$11, '1 Machine Build'!$F15:$Q15), 0), _xlfn.IFNA(_xlfn.XLOOKUP(Assumptions!BF$83, '1 Machine Build'!$F$11:$Q$11, '1 Machine Build'!$F15:$Q15), 0), _xlfn.IFNA(_xlfn.XLOOKUP(Assumptions!BF$84, '1 Machine Build'!$F$11:$Q$11, '1 Machine Build'!$F15:$Q15), 0), _xlfn.IFNA(_xlfn.XLOOKUP(Assumptions!BF$85, '1 Machine Build'!$F$11:$Q$11, '1 Machine Build'!$F15:$Q15), 0), _xlfn.IFNA(_xlfn.XLOOKUP(Assumptions!BF$86, '1 Machine Build'!$F$11:$Q$11, '1 Machine Build'!$F15:$Q15), 0), _xlfn.IFNA(_xlfn.XLOOKUP(Assumptions!BF$87, '1 Machine Build'!$F$11:$Q$11, '1 Machine Build'!$F15:$Q15), 0), _xlfn.IFNA(_xlfn.XLOOKUP(Assumptions!BF$88, '1 Machine Build'!$F$11:$Q$11, '1 Machine Build'!$F15:$Q15), 0))</f>
        <v>0</v>
      </c>
      <c r="BI33" s="97">
        <f>SUM(_xlfn.IFNA(_xlfn.XLOOKUP(Assumptions!BG$81, '1 Machine Build'!$F$11:$Q$11, '1 Machine Build'!$F15:$Q15), 0), _xlfn.IFNA(_xlfn.XLOOKUP(Assumptions!BG$82, '1 Machine Build'!$F$11:$Q$11, '1 Machine Build'!$F15:$Q15), 0), _xlfn.IFNA(_xlfn.XLOOKUP(Assumptions!BG$83, '1 Machine Build'!$F$11:$Q$11, '1 Machine Build'!$F15:$Q15), 0), _xlfn.IFNA(_xlfn.XLOOKUP(Assumptions!BG$84, '1 Machine Build'!$F$11:$Q$11, '1 Machine Build'!$F15:$Q15), 0), _xlfn.IFNA(_xlfn.XLOOKUP(Assumptions!BG$85, '1 Machine Build'!$F$11:$Q$11, '1 Machine Build'!$F15:$Q15), 0), _xlfn.IFNA(_xlfn.XLOOKUP(Assumptions!BG$86, '1 Machine Build'!$F$11:$Q$11, '1 Machine Build'!$F15:$Q15), 0), _xlfn.IFNA(_xlfn.XLOOKUP(Assumptions!BG$87, '1 Machine Build'!$F$11:$Q$11, '1 Machine Build'!$F15:$Q15), 0), _xlfn.IFNA(_xlfn.XLOOKUP(Assumptions!BG$88, '1 Machine Build'!$F$11:$Q$11, '1 Machine Build'!$F15:$Q15), 0))</f>
        <v>0</v>
      </c>
      <c r="BJ33" s="97">
        <f>SUM(_xlfn.IFNA(_xlfn.XLOOKUP(Assumptions!BH$81, '1 Machine Build'!$F$11:$Q$11, '1 Machine Build'!$F15:$Q15), 0), _xlfn.IFNA(_xlfn.XLOOKUP(Assumptions!BH$82, '1 Machine Build'!$F$11:$Q$11, '1 Machine Build'!$F15:$Q15), 0), _xlfn.IFNA(_xlfn.XLOOKUP(Assumptions!BH$83, '1 Machine Build'!$F$11:$Q$11, '1 Machine Build'!$F15:$Q15), 0), _xlfn.IFNA(_xlfn.XLOOKUP(Assumptions!BH$84, '1 Machine Build'!$F$11:$Q$11, '1 Machine Build'!$F15:$Q15), 0), _xlfn.IFNA(_xlfn.XLOOKUP(Assumptions!BH$85, '1 Machine Build'!$F$11:$Q$11, '1 Machine Build'!$F15:$Q15), 0), _xlfn.IFNA(_xlfn.XLOOKUP(Assumptions!BH$86, '1 Machine Build'!$F$11:$Q$11, '1 Machine Build'!$F15:$Q15), 0), _xlfn.IFNA(_xlfn.XLOOKUP(Assumptions!BH$87, '1 Machine Build'!$F$11:$Q$11, '1 Machine Build'!$F15:$Q15), 0), _xlfn.IFNA(_xlfn.XLOOKUP(Assumptions!BH$88, '1 Machine Build'!$F$11:$Q$11, '1 Machine Build'!$F15:$Q15), 0))</f>
        <v>0</v>
      </c>
      <c r="BK33" s="97">
        <f>SUM(_xlfn.IFNA(_xlfn.XLOOKUP(Assumptions!BI$81, '1 Machine Build'!$F$11:$Q$11, '1 Machine Build'!$F15:$Q15), 0), _xlfn.IFNA(_xlfn.XLOOKUP(Assumptions!BI$82, '1 Machine Build'!$F$11:$Q$11, '1 Machine Build'!$F15:$Q15), 0), _xlfn.IFNA(_xlfn.XLOOKUP(Assumptions!BI$83, '1 Machine Build'!$F$11:$Q$11, '1 Machine Build'!$F15:$Q15), 0), _xlfn.IFNA(_xlfn.XLOOKUP(Assumptions!BI$84, '1 Machine Build'!$F$11:$Q$11, '1 Machine Build'!$F15:$Q15), 0), _xlfn.IFNA(_xlfn.XLOOKUP(Assumptions!BI$85, '1 Machine Build'!$F$11:$Q$11, '1 Machine Build'!$F15:$Q15), 0), _xlfn.IFNA(_xlfn.XLOOKUP(Assumptions!BI$86, '1 Machine Build'!$F$11:$Q$11, '1 Machine Build'!$F15:$Q15), 0), _xlfn.IFNA(_xlfn.XLOOKUP(Assumptions!BI$87, '1 Machine Build'!$F$11:$Q$11, '1 Machine Build'!$F15:$Q15), 0), _xlfn.IFNA(_xlfn.XLOOKUP(Assumptions!BI$88, '1 Machine Build'!$F$11:$Q$11, '1 Machine Build'!$F15:$Q15), 0))</f>
        <v>0</v>
      </c>
      <c r="BL33" s="97">
        <f>SUM(_xlfn.IFNA(_xlfn.XLOOKUP(Assumptions!BJ$81, '1 Machine Build'!$F$11:$Q$11, '1 Machine Build'!$F15:$Q15), 0), _xlfn.IFNA(_xlfn.XLOOKUP(Assumptions!BJ$82, '1 Machine Build'!$F$11:$Q$11, '1 Machine Build'!$F15:$Q15), 0), _xlfn.IFNA(_xlfn.XLOOKUP(Assumptions!BJ$83, '1 Machine Build'!$F$11:$Q$11, '1 Machine Build'!$F15:$Q15), 0), _xlfn.IFNA(_xlfn.XLOOKUP(Assumptions!BJ$84, '1 Machine Build'!$F$11:$Q$11, '1 Machine Build'!$F15:$Q15), 0), _xlfn.IFNA(_xlfn.XLOOKUP(Assumptions!BJ$85, '1 Machine Build'!$F$11:$Q$11, '1 Machine Build'!$F15:$Q15), 0), _xlfn.IFNA(_xlfn.XLOOKUP(Assumptions!BJ$86, '1 Machine Build'!$F$11:$Q$11, '1 Machine Build'!$F15:$Q15), 0), _xlfn.IFNA(_xlfn.XLOOKUP(Assumptions!BJ$87, '1 Machine Build'!$F$11:$Q$11, '1 Machine Build'!$F15:$Q15), 0), _xlfn.IFNA(_xlfn.XLOOKUP(Assumptions!BJ$88, '1 Machine Build'!$F$11:$Q$11, '1 Machine Build'!$F15:$Q15), 0))</f>
        <v>0</v>
      </c>
      <c r="BM33" s="97">
        <f>SUM(_xlfn.IFNA(_xlfn.XLOOKUP(Assumptions!BK$81, '1 Machine Build'!$F$11:$Q$11, '1 Machine Build'!$F15:$Q15), 0), _xlfn.IFNA(_xlfn.XLOOKUP(Assumptions!BK$82, '1 Machine Build'!$F$11:$Q$11, '1 Machine Build'!$F15:$Q15), 0), _xlfn.IFNA(_xlfn.XLOOKUP(Assumptions!BK$83, '1 Machine Build'!$F$11:$Q$11, '1 Machine Build'!$F15:$Q15), 0), _xlfn.IFNA(_xlfn.XLOOKUP(Assumptions!BK$84, '1 Machine Build'!$F$11:$Q$11, '1 Machine Build'!$F15:$Q15), 0), _xlfn.IFNA(_xlfn.XLOOKUP(Assumptions!BK$85, '1 Machine Build'!$F$11:$Q$11, '1 Machine Build'!$F15:$Q15), 0), _xlfn.IFNA(_xlfn.XLOOKUP(Assumptions!BK$86, '1 Machine Build'!$F$11:$Q$11, '1 Machine Build'!$F15:$Q15), 0), _xlfn.IFNA(_xlfn.XLOOKUP(Assumptions!BK$87, '1 Machine Build'!$F$11:$Q$11, '1 Machine Build'!$F15:$Q15), 0), _xlfn.IFNA(_xlfn.XLOOKUP(Assumptions!BK$88, '1 Machine Build'!$F$11:$Q$11, '1 Machine Build'!$F15:$Q15), 0))</f>
        <v>0</v>
      </c>
      <c r="BN33" s="97">
        <f>SUM(_xlfn.IFNA(_xlfn.XLOOKUP(Assumptions!BL$81, '1 Machine Build'!$F$11:$Q$11, '1 Machine Build'!$F15:$Q15), 0), _xlfn.IFNA(_xlfn.XLOOKUP(Assumptions!BL$82, '1 Machine Build'!$F$11:$Q$11, '1 Machine Build'!$F15:$Q15), 0), _xlfn.IFNA(_xlfn.XLOOKUP(Assumptions!BL$83, '1 Machine Build'!$F$11:$Q$11, '1 Machine Build'!$F15:$Q15), 0), _xlfn.IFNA(_xlfn.XLOOKUP(Assumptions!BL$84, '1 Machine Build'!$F$11:$Q$11, '1 Machine Build'!$F15:$Q15), 0), _xlfn.IFNA(_xlfn.XLOOKUP(Assumptions!BL$85, '1 Machine Build'!$F$11:$Q$11, '1 Machine Build'!$F15:$Q15), 0), _xlfn.IFNA(_xlfn.XLOOKUP(Assumptions!BL$86, '1 Machine Build'!$F$11:$Q$11, '1 Machine Build'!$F15:$Q15), 0), _xlfn.IFNA(_xlfn.XLOOKUP(Assumptions!BL$87, '1 Machine Build'!$F$11:$Q$11, '1 Machine Build'!$F15:$Q15), 0), _xlfn.IFNA(_xlfn.XLOOKUP(Assumptions!BL$88, '1 Machine Build'!$F$11:$Q$11, '1 Machine Build'!$F15:$Q15), 0))</f>
        <v>0</v>
      </c>
      <c r="BO33" s="97">
        <f>SUM(_xlfn.IFNA(_xlfn.XLOOKUP(Assumptions!BM$81, '1 Machine Build'!$F$11:$Q$11, '1 Machine Build'!$F15:$Q15), 0), _xlfn.IFNA(_xlfn.XLOOKUP(Assumptions!BM$82, '1 Machine Build'!$F$11:$Q$11, '1 Machine Build'!$F15:$Q15), 0), _xlfn.IFNA(_xlfn.XLOOKUP(Assumptions!BM$83, '1 Machine Build'!$F$11:$Q$11, '1 Machine Build'!$F15:$Q15), 0), _xlfn.IFNA(_xlfn.XLOOKUP(Assumptions!BM$84, '1 Machine Build'!$F$11:$Q$11, '1 Machine Build'!$F15:$Q15), 0), _xlfn.IFNA(_xlfn.XLOOKUP(Assumptions!BM$85, '1 Machine Build'!$F$11:$Q$11, '1 Machine Build'!$F15:$Q15), 0), _xlfn.IFNA(_xlfn.XLOOKUP(Assumptions!BM$86, '1 Machine Build'!$F$11:$Q$11, '1 Machine Build'!$F15:$Q15), 0), _xlfn.IFNA(_xlfn.XLOOKUP(Assumptions!BM$87, '1 Machine Build'!$F$11:$Q$11, '1 Machine Build'!$F15:$Q15), 0), _xlfn.IFNA(_xlfn.XLOOKUP(Assumptions!BM$88, '1 Machine Build'!$F$11:$Q$11, '1 Machine Build'!$F15:$Q15), 0))</f>
        <v>0</v>
      </c>
      <c r="BP33" s="97">
        <f>SUM(_xlfn.IFNA(_xlfn.XLOOKUP(Assumptions!BN$81, '1 Machine Build'!$F$11:$Q$11, '1 Machine Build'!$F15:$Q15), 0), _xlfn.IFNA(_xlfn.XLOOKUP(Assumptions!BN$82, '1 Machine Build'!$F$11:$Q$11, '1 Machine Build'!$F15:$Q15), 0), _xlfn.IFNA(_xlfn.XLOOKUP(Assumptions!BN$83, '1 Machine Build'!$F$11:$Q$11, '1 Machine Build'!$F15:$Q15), 0), _xlfn.IFNA(_xlfn.XLOOKUP(Assumptions!BN$84, '1 Machine Build'!$F$11:$Q$11, '1 Machine Build'!$F15:$Q15), 0), _xlfn.IFNA(_xlfn.XLOOKUP(Assumptions!BN$85, '1 Machine Build'!$F$11:$Q$11, '1 Machine Build'!$F15:$Q15), 0), _xlfn.IFNA(_xlfn.XLOOKUP(Assumptions!BN$86, '1 Machine Build'!$F$11:$Q$11, '1 Machine Build'!$F15:$Q15), 0), _xlfn.IFNA(_xlfn.XLOOKUP(Assumptions!BN$87, '1 Machine Build'!$F$11:$Q$11, '1 Machine Build'!$F15:$Q15), 0), _xlfn.IFNA(_xlfn.XLOOKUP(Assumptions!BN$88, '1 Machine Build'!$F$11:$Q$11, '1 Machine Build'!$F15:$Q15), 0))</f>
        <v>0</v>
      </c>
      <c r="BQ33" s="97">
        <f>SUM(_xlfn.IFNA(_xlfn.XLOOKUP(Assumptions!BO$81, '1 Machine Build'!$F$11:$Q$11, '1 Machine Build'!$F15:$Q15), 0), _xlfn.IFNA(_xlfn.XLOOKUP(Assumptions!BO$82, '1 Machine Build'!$F$11:$Q$11, '1 Machine Build'!$F15:$Q15), 0), _xlfn.IFNA(_xlfn.XLOOKUP(Assumptions!BO$83, '1 Machine Build'!$F$11:$Q$11, '1 Machine Build'!$F15:$Q15), 0), _xlfn.IFNA(_xlfn.XLOOKUP(Assumptions!BO$84, '1 Machine Build'!$F$11:$Q$11, '1 Machine Build'!$F15:$Q15), 0), _xlfn.IFNA(_xlfn.XLOOKUP(Assumptions!BO$85, '1 Machine Build'!$F$11:$Q$11, '1 Machine Build'!$F15:$Q15), 0), _xlfn.IFNA(_xlfn.XLOOKUP(Assumptions!BO$86, '1 Machine Build'!$F$11:$Q$11, '1 Machine Build'!$F15:$Q15), 0), _xlfn.IFNA(_xlfn.XLOOKUP(Assumptions!BO$87, '1 Machine Build'!$F$11:$Q$11, '1 Machine Build'!$F15:$Q15), 0), _xlfn.IFNA(_xlfn.XLOOKUP(Assumptions!BO$88, '1 Machine Build'!$F$11:$Q$11, '1 Machine Build'!$F15:$Q15), 0))</f>
        <v>0</v>
      </c>
      <c r="BR33" s="97">
        <f>SUM(_xlfn.IFNA(_xlfn.XLOOKUP(Assumptions!BP$81, '1 Machine Build'!$F$11:$Q$11, '1 Machine Build'!$F15:$Q15), 0), _xlfn.IFNA(_xlfn.XLOOKUP(Assumptions!BP$82, '1 Machine Build'!$F$11:$Q$11, '1 Machine Build'!$F15:$Q15), 0), _xlfn.IFNA(_xlfn.XLOOKUP(Assumptions!BP$83, '1 Machine Build'!$F$11:$Q$11, '1 Machine Build'!$F15:$Q15), 0), _xlfn.IFNA(_xlfn.XLOOKUP(Assumptions!BP$84, '1 Machine Build'!$F$11:$Q$11, '1 Machine Build'!$F15:$Q15), 0), _xlfn.IFNA(_xlfn.XLOOKUP(Assumptions!BP$85, '1 Machine Build'!$F$11:$Q$11, '1 Machine Build'!$F15:$Q15), 0), _xlfn.IFNA(_xlfn.XLOOKUP(Assumptions!BP$86, '1 Machine Build'!$F$11:$Q$11, '1 Machine Build'!$F15:$Q15), 0), _xlfn.IFNA(_xlfn.XLOOKUP(Assumptions!BP$87, '1 Machine Build'!$F$11:$Q$11, '1 Machine Build'!$F15:$Q15), 0), _xlfn.IFNA(_xlfn.XLOOKUP(Assumptions!BP$88, '1 Machine Build'!$F$11:$Q$11, '1 Machine Build'!$F15:$Q15), 0))</f>
        <v>0</v>
      </c>
      <c r="BS33" s="97">
        <f>SUM(_xlfn.IFNA(_xlfn.XLOOKUP(Assumptions!BQ$81, '1 Machine Build'!$F$11:$Q$11, '1 Machine Build'!$F15:$Q15), 0), _xlfn.IFNA(_xlfn.XLOOKUP(Assumptions!BQ$82, '1 Machine Build'!$F$11:$Q$11, '1 Machine Build'!$F15:$Q15), 0), _xlfn.IFNA(_xlfn.XLOOKUP(Assumptions!BQ$83, '1 Machine Build'!$F$11:$Q$11, '1 Machine Build'!$F15:$Q15), 0), _xlfn.IFNA(_xlfn.XLOOKUP(Assumptions!BQ$84, '1 Machine Build'!$F$11:$Q$11, '1 Machine Build'!$F15:$Q15), 0), _xlfn.IFNA(_xlfn.XLOOKUP(Assumptions!BQ$85, '1 Machine Build'!$F$11:$Q$11, '1 Machine Build'!$F15:$Q15), 0), _xlfn.IFNA(_xlfn.XLOOKUP(Assumptions!BQ$86, '1 Machine Build'!$F$11:$Q$11, '1 Machine Build'!$F15:$Q15), 0), _xlfn.IFNA(_xlfn.XLOOKUP(Assumptions!BQ$87, '1 Machine Build'!$F$11:$Q$11, '1 Machine Build'!$F15:$Q15), 0), _xlfn.IFNA(_xlfn.XLOOKUP(Assumptions!BQ$88, '1 Machine Build'!$F$11:$Q$11, '1 Machine Build'!$F15:$Q15), 0))</f>
        <v>0</v>
      </c>
      <c r="BT33" s="97">
        <f>SUM(_xlfn.IFNA(_xlfn.XLOOKUP(Assumptions!BR$81, '1 Machine Build'!$F$11:$Q$11, '1 Machine Build'!$F15:$Q15), 0), _xlfn.IFNA(_xlfn.XLOOKUP(Assumptions!BR$82, '1 Machine Build'!$F$11:$Q$11, '1 Machine Build'!$F15:$Q15), 0), _xlfn.IFNA(_xlfn.XLOOKUP(Assumptions!BR$83, '1 Machine Build'!$F$11:$Q$11, '1 Machine Build'!$F15:$Q15), 0), _xlfn.IFNA(_xlfn.XLOOKUP(Assumptions!BR$84, '1 Machine Build'!$F$11:$Q$11, '1 Machine Build'!$F15:$Q15), 0), _xlfn.IFNA(_xlfn.XLOOKUP(Assumptions!BR$85, '1 Machine Build'!$F$11:$Q$11, '1 Machine Build'!$F15:$Q15), 0), _xlfn.IFNA(_xlfn.XLOOKUP(Assumptions!BR$86, '1 Machine Build'!$F$11:$Q$11, '1 Machine Build'!$F15:$Q15), 0), _xlfn.IFNA(_xlfn.XLOOKUP(Assumptions!BR$87, '1 Machine Build'!$F$11:$Q$11, '1 Machine Build'!$F15:$Q15), 0), _xlfn.IFNA(_xlfn.XLOOKUP(Assumptions!BR$88, '1 Machine Build'!$F$11:$Q$11, '1 Machine Build'!$F15:$Q15), 0))</f>
        <v>0</v>
      </c>
      <c r="BU33" s="97">
        <f>SUM(_xlfn.IFNA(_xlfn.XLOOKUP(Assumptions!BS$81, '1 Machine Build'!$F$11:$Q$11, '1 Machine Build'!$F15:$Q15), 0), _xlfn.IFNA(_xlfn.XLOOKUP(Assumptions!BS$82, '1 Machine Build'!$F$11:$Q$11, '1 Machine Build'!$F15:$Q15), 0), _xlfn.IFNA(_xlfn.XLOOKUP(Assumptions!BS$83, '1 Machine Build'!$F$11:$Q$11, '1 Machine Build'!$F15:$Q15), 0), _xlfn.IFNA(_xlfn.XLOOKUP(Assumptions!BS$84, '1 Machine Build'!$F$11:$Q$11, '1 Machine Build'!$F15:$Q15), 0), _xlfn.IFNA(_xlfn.XLOOKUP(Assumptions!BS$85, '1 Machine Build'!$F$11:$Q$11, '1 Machine Build'!$F15:$Q15), 0), _xlfn.IFNA(_xlfn.XLOOKUP(Assumptions!BS$86, '1 Machine Build'!$F$11:$Q$11, '1 Machine Build'!$F15:$Q15), 0), _xlfn.IFNA(_xlfn.XLOOKUP(Assumptions!BS$87, '1 Machine Build'!$F$11:$Q$11, '1 Machine Build'!$F15:$Q15), 0), _xlfn.IFNA(_xlfn.XLOOKUP(Assumptions!BS$88, '1 Machine Build'!$F$11:$Q$11, '1 Machine Build'!$F15:$Q15), 0))</f>
        <v>0</v>
      </c>
      <c r="BV33" s="97">
        <f>SUM(_xlfn.IFNA(_xlfn.XLOOKUP(Assumptions!BT$81, '1 Machine Build'!$F$11:$Q$11, '1 Machine Build'!$F15:$Q15), 0), _xlfn.IFNA(_xlfn.XLOOKUP(Assumptions!BT$82, '1 Machine Build'!$F$11:$Q$11, '1 Machine Build'!$F15:$Q15), 0), _xlfn.IFNA(_xlfn.XLOOKUP(Assumptions!BT$83, '1 Machine Build'!$F$11:$Q$11, '1 Machine Build'!$F15:$Q15), 0), _xlfn.IFNA(_xlfn.XLOOKUP(Assumptions!BT$84, '1 Machine Build'!$F$11:$Q$11, '1 Machine Build'!$F15:$Q15), 0), _xlfn.IFNA(_xlfn.XLOOKUP(Assumptions!BT$85, '1 Machine Build'!$F$11:$Q$11, '1 Machine Build'!$F15:$Q15), 0), _xlfn.IFNA(_xlfn.XLOOKUP(Assumptions!BT$86, '1 Machine Build'!$F$11:$Q$11, '1 Machine Build'!$F15:$Q15), 0), _xlfn.IFNA(_xlfn.XLOOKUP(Assumptions!BT$87, '1 Machine Build'!$F$11:$Q$11, '1 Machine Build'!$F15:$Q15), 0), _xlfn.IFNA(_xlfn.XLOOKUP(Assumptions!BT$88, '1 Machine Build'!$F$11:$Q$11, '1 Machine Build'!$F15:$Q15), 0))</f>
        <v>0</v>
      </c>
      <c r="BW33" s="97">
        <f>SUM(_xlfn.IFNA(_xlfn.XLOOKUP(Assumptions!BU$81, '1 Machine Build'!$F$11:$Q$11, '1 Machine Build'!$F15:$Q15), 0), _xlfn.IFNA(_xlfn.XLOOKUP(Assumptions!BU$82, '1 Machine Build'!$F$11:$Q$11, '1 Machine Build'!$F15:$Q15), 0), _xlfn.IFNA(_xlfn.XLOOKUP(Assumptions!BU$83, '1 Machine Build'!$F$11:$Q$11, '1 Machine Build'!$F15:$Q15), 0), _xlfn.IFNA(_xlfn.XLOOKUP(Assumptions!BU$84, '1 Machine Build'!$F$11:$Q$11, '1 Machine Build'!$F15:$Q15), 0), _xlfn.IFNA(_xlfn.XLOOKUP(Assumptions!BU$85, '1 Machine Build'!$F$11:$Q$11, '1 Machine Build'!$F15:$Q15), 0), _xlfn.IFNA(_xlfn.XLOOKUP(Assumptions!BU$86, '1 Machine Build'!$F$11:$Q$11, '1 Machine Build'!$F15:$Q15), 0), _xlfn.IFNA(_xlfn.XLOOKUP(Assumptions!BU$87, '1 Machine Build'!$F$11:$Q$11, '1 Machine Build'!$F15:$Q15), 0), _xlfn.IFNA(_xlfn.XLOOKUP(Assumptions!BU$88, '1 Machine Build'!$F$11:$Q$11, '1 Machine Build'!$F15:$Q15), 0))</f>
        <v>0</v>
      </c>
      <c r="BX33" s="97">
        <f>SUM(_xlfn.IFNA(_xlfn.XLOOKUP(Assumptions!BV$81, '1 Machine Build'!$F$11:$Q$11, '1 Machine Build'!$F15:$Q15), 0), _xlfn.IFNA(_xlfn.XLOOKUP(Assumptions!BV$82, '1 Machine Build'!$F$11:$Q$11, '1 Machine Build'!$F15:$Q15), 0), _xlfn.IFNA(_xlfn.XLOOKUP(Assumptions!BV$83, '1 Machine Build'!$F$11:$Q$11, '1 Machine Build'!$F15:$Q15), 0), _xlfn.IFNA(_xlfn.XLOOKUP(Assumptions!BV$84, '1 Machine Build'!$F$11:$Q$11, '1 Machine Build'!$F15:$Q15), 0), _xlfn.IFNA(_xlfn.XLOOKUP(Assumptions!BV$85, '1 Machine Build'!$F$11:$Q$11, '1 Machine Build'!$F15:$Q15), 0), _xlfn.IFNA(_xlfn.XLOOKUP(Assumptions!BV$86, '1 Machine Build'!$F$11:$Q$11, '1 Machine Build'!$F15:$Q15), 0), _xlfn.IFNA(_xlfn.XLOOKUP(Assumptions!BV$87, '1 Machine Build'!$F$11:$Q$11, '1 Machine Build'!$F15:$Q15), 0), _xlfn.IFNA(_xlfn.XLOOKUP(Assumptions!BV$88, '1 Machine Build'!$F$11:$Q$11, '1 Machine Build'!$F15:$Q15), 0))</f>
        <v>0</v>
      </c>
      <c r="BY33" s="97">
        <f>SUM(_xlfn.IFNA(_xlfn.XLOOKUP(Assumptions!BW$81, '1 Machine Build'!$F$11:$Q$11, '1 Machine Build'!$F15:$Q15), 0), _xlfn.IFNA(_xlfn.XLOOKUP(Assumptions!BW$82, '1 Machine Build'!$F$11:$Q$11, '1 Machine Build'!$F15:$Q15), 0), _xlfn.IFNA(_xlfn.XLOOKUP(Assumptions!BW$83, '1 Machine Build'!$F$11:$Q$11, '1 Machine Build'!$F15:$Q15), 0), _xlfn.IFNA(_xlfn.XLOOKUP(Assumptions!BW$84, '1 Machine Build'!$F$11:$Q$11, '1 Machine Build'!$F15:$Q15), 0), _xlfn.IFNA(_xlfn.XLOOKUP(Assumptions!BW$85, '1 Machine Build'!$F$11:$Q$11, '1 Machine Build'!$F15:$Q15), 0), _xlfn.IFNA(_xlfn.XLOOKUP(Assumptions!BW$86, '1 Machine Build'!$F$11:$Q$11, '1 Machine Build'!$F15:$Q15), 0), _xlfn.IFNA(_xlfn.XLOOKUP(Assumptions!BW$87, '1 Machine Build'!$F$11:$Q$11, '1 Machine Build'!$F15:$Q15), 0), _xlfn.IFNA(_xlfn.XLOOKUP(Assumptions!BW$88, '1 Machine Build'!$F$11:$Q$11, '1 Machine Build'!$F15:$Q15), 0))</f>
        <v>0</v>
      </c>
      <c r="BZ33" s="97">
        <f>SUM(_xlfn.IFNA(_xlfn.XLOOKUP(Assumptions!BX$81, '1 Machine Build'!$F$11:$Q$11, '1 Machine Build'!$F15:$Q15), 0), _xlfn.IFNA(_xlfn.XLOOKUP(Assumptions!BX$82, '1 Machine Build'!$F$11:$Q$11, '1 Machine Build'!$F15:$Q15), 0), _xlfn.IFNA(_xlfn.XLOOKUP(Assumptions!BX$83, '1 Machine Build'!$F$11:$Q$11, '1 Machine Build'!$F15:$Q15), 0), _xlfn.IFNA(_xlfn.XLOOKUP(Assumptions!BX$84, '1 Machine Build'!$F$11:$Q$11, '1 Machine Build'!$F15:$Q15), 0), _xlfn.IFNA(_xlfn.XLOOKUP(Assumptions!BX$85, '1 Machine Build'!$F$11:$Q$11, '1 Machine Build'!$F15:$Q15), 0), _xlfn.IFNA(_xlfn.XLOOKUP(Assumptions!BX$86, '1 Machine Build'!$F$11:$Q$11, '1 Machine Build'!$F15:$Q15), 0), _xlfn.IFNA(_xlfn.XLOOKUP(Assumptions!BX$87, '1 Machine Build'!$F$11:$Q$11, '1 Machine Build'!$F15:$Q15), 0), _xlfn.IFNA(_xlfn.XLOOKUP(Assumptions!BX$88, '1 Machine Build'!$F$11:$Q$11, '1 Machine Build'!$F15:$Q15), 0))</f>
        <v>0</v>
      </c>
      <c r="CA33" s="97">
        <f>SUM(_xlfn.IFNA(_xlfn.XLOOKUP(Assumptions!BY$81, '1 Machine Build'!$F$11:$Q$11, '1 Machine Build'!$F15:$Q15), 0), _xlfn.IFNA(_xlfn.XLOOKUP(Assumptions!BY$82, '1 Machine Build'!$F$11:$Q$11, '1 Machine Build'!$F15:$Q15), 0), _xlfn.IFNA(_xlfn.XLOOKUP(Assumptions!BY$83, '1 Machine Build'!$F$11:$Q$11, '1 Machine Build'!$F15:$Q15), 0), _xlfn.IFNA(_xlfn.XLOOKUP(Assumptions!BY$84, '1 Machine Build'!$F$11:$Q$11, '1 Machine Build'!$F15:$Q15), 0), _xlfn.IFNA(_xlfn.XLOOKUP(Assumptions!BY$85, '1 Machine Build'!$F$11:$Q$11, '1 Machine Build'!$F15:$Q15), 0), _xlfn.IFNA(_xlfn.XLOOKUP(Assumptions!BY$86, '1 Machine Build'!$F$11:$Q$11, '1 Machine Build'!$F15:$Q15), 0), _xlfn.IFNA(_xlfn.XLOOKUP(Assumptions!BY$87, '1 Machine Build'!$F$11:$Q$11, '1 Machine Build'!$F15:$Q15), 0), _xlfn.IFNA(_xlfn.XLOOKUP(Assumptions!BY$88, '1 Machine Build'!$F$11:$Q$11, '1 Machine Build'!$F15:$Q15), 0))</f>
        <v>0</v>
      </c>
      <c r="CB33" s="97">
        <f>SUM(_xlfn.IFNA(_xlfn.XLOOKUP(Assumptions!BZ$81, '1 Machine Build'!$F$11:$Q$11, '1 Machine Build'!$F15:$Q15), 0), _xlfn.IFNA(_xlfn.XLOOKUP(Assumptions!BZ$82, '1 Machine Build'!$F$11:$Q$11, '1 Machine Build'!$F15:$Q15), 0), _xlfn.IFNA(_xlfn.XLOOKUP(Assumptions!BZ$83, '1 Machine Build'!$F$11:$Q$11, '1 Machine Build'!$F15:$Q15), 0), _xlfn.IFNA(_xlfn.XLOOKUP(Assumptions!BZ$84, '1 Machine Build'!$F$11:$Q$11, '1 Machine Build'!$F15:$Q15), 0), _xlfn.IFNA(_xlfn.XLOOKUP(Assumptions!BZ$85, '1 Machine Build'!$F$11:$Q$11, '1 Machine Build'!$F15:$Q15), 0), _xlfn.IFNA(_xlfn.XLOOKUP(Assumptions!BZ$86, '1 Machine Build'!$F$11:$Q$11, '1 Machine Build'!$F15:$Q15), 0), _xlfn.IFNA(_xlfn.XLOOKUP(Assumptions!BZ$87, '1 Machine Build'!$F$11:$Q$11, '1 Machine Build'!$F15:$Q15), 0), _xlfn.IFNA(_xlfn.XLOOKUP(Assumptions!BZ$88, '1 Machine Build'!$F$11:$Q$11, '1 Machine Build'!$F15:$Q15), 0))</f>
        <v>0</v>
      </c>
      <c r="CC33" s="97">
        <f>SUM(_xlfn.IFNA(_xlfn.XLOOKUP(Assumptions!CA$81, '1 Machine Build'!$F$11:$Q$11, '1 Machine Build'!$F15:$Q15), 0), _xlfn.IFNA(_xlfn.XLOOKUP(Assumptions!CA$82, '1 Machine Build'!$F$11:$Q$11, '1 Machine Build'!$F15:$Q15), 0), _xlfn.IFNA(_xlfn.XLOOKUP(Assumptions!CA$83, '1 Machine Build'!$F$11:$Q$11, '1 Machine Build'!$F15:$Q15), 0), _xlfn.IFNA(_xlfn.XLOOKUP(Assumptions!CA$84, '1 Machine Build'!$F$11:$Q$11, '1 Machine Build'!$F15:$Q15), 0), _xlfn.IFNA(_xlfn.XLOOKUP(Assumptions!CA$85, '1 Machine Build'!$F$11:$Q$11, '1 Machine Build'!$F15:$Q15), 0), _xlfn.IFNA(_xlfn.XLOOKUP(Assumptions!CA$86, '1 Machine Build'!$F$11:$Q$11, '1 Machine Build'!$F15:$Q15), 0), _xlfn.IFNA(_xlfn.XLOOKUP(Assumptions!CA$87, '1 Machine Build'!$F$11:$Q$11, '1 Machine Build'!$F15:$Q15), 0), _xlfn.IFNA(_xlfn.XLOOKUP(Assumptions!CA$88, '1 Machine Build'!$F$11:$Q$11, '1 Machine Build'!$F15:$Q15), 0))</f>
        <v>0</v>
      </c>
      <c r="CD33" s="97">
        <f>SUM(_xlfn.IFNA(_xlfn.XLOOKUP(Assumptions!CB$81, '1 Machine Build'!$F$11:$Q$11, '1 Machine Build'!$F15:$Q15), 0), _xlfn.IFNA(_xlfn.XLOOKUP(Assumptions!CB$82, '1 Machine Build'!$F$11:$Q$11, '1 Machine Build'!$F15:$Q15), 0), _xlfn.IFNA(_xlfn.XLOOKUP(Assumptions!CB$83, '1 Machine Build'!$F$11:$Q$11, '1 Machine Build'!$F15:$Q15), 0), _xlfn.IFNA(_xlfn.XLOOKUP(Assumptions!CB$84, '1 Machine Build'!$F$11:$Q$11, '1 Machine Build'!$F15:$Q15), 0), _xlfn.IFNA(_xlfn.XLOOKUP(Assumptions!CB$85, '1 Machine Build'!$F$11:$Q$11, '1 Machine Build'!$F15:$Q15), 0), _xlfn.IFNA(_xlfn.XLOOKUP(Assumptions!CB$86, '1 Machine Build'!$F$11:$Q$11, '1 Machine Build'!$F15:$Q15), 0), _xlfn.IFNA(_xlfn.XLOOKUP(Assumptions!CB$87, '1 Machine Build'!$F$11:$Q$11, '1 Machine Build'!$F15:$Q15), 0), _xlfn.IFNA(_xlfn.XLOOKUP(Assumptions!CB$88, '1 Machine Build'!$F$11:$Q$11, '1 Machine Build'!$F15:$Q15), 0))</f>
        <v>0</v>
      </c>
      <c r="CE33" s="97">
        <f>SUM(_xlfn.IFNA(_xlfn.XLOOKUP(Assumptions!CC$81, '1 Machine Build'!$F$11:$Q$11, '1 Machine Build'!$F15:$Q15), 0), _xlfn.IFNA(_xlfn.XLOOKUP(Assumptions!CC$82, '1 Machine Build'!$F$11:$Q$11, '1 Machine Build'!$F15:$Q15), 0), _xlfn.IFNA(_xlfn.XLOOKUP(Assumptions!CC$83, '1 Machine Build'!$F$11:$Q$11, '1 Machine Build'!$F15:$Q15), 0), _xlfn.IFNA(_xlfn.XLOOKUP(Assumptions!CC$84, '1 Machine Build'!$F$11:$Q$11, '1 Machine Build'!$F15:$Q15), 0), _xlfn.IFNA(_xlfn.XLOOKUP(Assumptions!CC$85, '1 Machine Build'!$F$11:$Q$11, '1 Machine Build'!$F15:$Q15), 0), _xlfn.IFNA(_xlfn.XLOOKUP(Assumptions!CC$86, '1 Machine Build'!$F$11:$Q$11, '1 Machine Build'!$F15:$Q15), 0), _xlfn.IFNA(_xlfn.XLOOKUP(Assumptions!CC$87, '1 Machine Build'!$F$11:$Q$11, '1 Machine Build'!$F15:$Q15), 0), _xlfn.IFNA(_xlfn.XLOOKUP(Assumptions!CC$88, '1 Machine Build'!$F$11:$Q$11, '1 Machine Build'!$F15:$Q15), 0))</f>
        <v>0</v>
      </c>
      <c r="CF33" s="97">
        <f>SUM(_xlfn.IFNA(_xlfn.XLOOKUP(Assumptions!CD$81, '1 Machine Build'!$F$11:$Q$11, '1 Machine Build'!$F15:$Q15), 0), _xlfn.IFNA(_xlfn.XLOOKUP(Assumptions!CD$82, '1 Machine Build'!$F$11:$Q$11, '1 Machine Build'!$F15:$Q15), 0), _xlfn.IFNA(_xlfn.XLOOKUP(Assumptions!CD$83, '1 Machine Build'!$F$11:$Q$11, '1 Machine Build'!$F15:$Q15), 0), _xlfn.IFNA(_xlfn.XLOOKUP(Assumptions!CD$84, '1 Machine Build'!$F$11:$Q$11, '1 Machine Build'!$F15:$Q15), 0), _xlfn.IFNA(_xlfn.XLOOKUP(Assumptions!CD$85, '1 Machine Build'!$F$11:$Q$11, '1 Machine Build'!$F15:$Q15), 0), _xlfn.IFNA(_xlfn.XLOOKUP(Assumptions!CD$86, '1 Machine Build'!$F$11:$Q$11, '1 Machine Build'!$F15:$Q15), 0), _xlfn.IFNA(_xlfn.XLOOKUP(Assumptions!CD$87, '1 Machine Build'!$F$11:$Q$11, '1 Machine Build'!$F15:$Q15), 0), _xlfn.IFNA(_xlfn.XLOOKUP(Assumptions!CD$88, '1 Machine Build'!$F$11:$Q$11, '1 Machine Build'!$F15:$Q15), 0))</f>
        <v>0</v>
      </c>
      <c r="CG33" s="97">
        <f>SUM(_xlfn.IFNA(_xlfn.XLOOKUP(Assumptions!CE$81, '1 Machine Build'!$F$11:$Q$11, '1 Machine Build'!$F15:$Q15), 0), _xlfn.IFNA(_xlfn.XLOOKUP(Assumptions!CE$82, '1 Machine Build'!$F$11:$Q$11, '1 Machine Build'!$F15:$Q15), 0), _xlfn.IFNA(_xlfn.XLOOKUP(Assumptions!CE$83, '1 Machine Build'!$F$11:$Q$11, '1 Machine Build'!$F15:$Q15), 0), _xlfn.IFNA(_xlfn.XLOOKUP(Assumptions!CE$84, '1 Machine Build'!$F$11:$Q$11, '1 Machine Build'!$F15:$Q15), 0), _xlfn.IFNA(_xlfn.XLOOKUP(Assumptions!CE$85, '1 Machine Build'!$F$11:$Q$11, '1 Machine Build'!$F15:$Q15), 0), _xlfn.IFNA(_xlfn.XLOOKUP(Assumptions!CE$86, '1 Machine Build'!$F$11:$Q$11, '1 Machine Build'!$F15:$Q15), 0), _xlfn.IFNA(_xlfn.XLOOKUP(Assumptions!CE$87, '1 Machine Build'!$F$11:$Q$11, '1 Machine Build'!$F15:$Q15), 0), _xlfn.IFNA(_xlfn.XLOOKUP(Assumptions!CE$88, '1 Machine Build'!$F$11:$Q$11, '1 Machine Build'!$F15:$Q15), 0))</f>
        <v>0</v>
      </c>
      <c r="CH33" s="97">
        <f>SUM(_xlfn.IFNA(_xlfn.XLOOKUP(Assumptions!CF$81, '1 Machine Build'!$F$11:$Q$11, '1 Machine Build'!$F15:$Q15), 0), _xlfn.IFNA(_xlfn.XLOOKUP(Assumptions!CF$82, '1 Machine Build'!$F$11:$Q$11, '1 Machine Build'!$F15:$Q15), 0), _xlfn.IFNA(_xlfn.XLOOKUP(Assumptions!CF$83, '1 Machine Build'!$F$11:$Q$11, '1 Machine Build'!$F15:$Q15), 0), _xlfn.IFNA(_xlfn.XLOOKUP(Assumptions!CF$84, '1 Machine Build'!$F$11:$Q$11, '1 Machine Build'!$F15:$Q15), 0), _xlfn.IFNA(_xlfn.XLOOKUP(Assumptions!CF$85, '1 Machine Build'!$F$11:$Q$11, '1 Machine Build'!$F15:$Q15), 0), _xlfn.IFNA(_xlfn.XLOOKUP(Assumptions!CF$86, '1 Machine Build'!$F$11:$Q$11, '1 Machine Build'!$F15:$Q15), 0), _xlfn.IFNA(_xlfn.XLOOKUP(Assumptions!CF$87, '1 Machine Build'!$F$11:$Q$11, '1 Machine Build'!$F15:$Q15), 0), _xlfn.IFNA(_xlfn.XLOOKUP(Assumptions!CF$88, '1 Machine Build'!$F$11:$Q$11, '1 Machine Build'!$F15:$Q15), 0))</f>
        <v>0</v>
      </c>
      <c r="CI33" s="97">
        <f>SUM(_xlfn.IFNA(_xlfn.XLOOKUP(Assumptions!CG$81, '1 Machine Build'!$F$11:$Q$11, '1 Machine Build'!$F15:$Q15), 0), _xlfn.IFNA(_xlfn.XLOOKUP(Assumptions!CG$82, '1 Machine Build'!$F$11:$Q$11, '1 Machine Build'!$F15:$Q15), 0), _xlfn.IFNA(_xlfn.XLOOKUP(Assumptions!CG$83, '1 Machine Build'!$F$11:$Q$11, '1 Machine Build'!$F15:$Q15), 0), _xlfn.IFNA(_xlfn.XLOOKUP(Assumptions!CG$84, '1 Machine Build'!$F$11:$Q$11, '1 Machine Build'!$F15:$Q15), 0), _xlfn.IFNA(_xlfn.XLOOKUP(Assumptions!CG$85, '1 Machine Build'!$F$11:$Q$11, '1 Machine Build'!$F15:$Q15), 0), _xlfn.IFNA(_xlfn.XLOOKUP(Assumptions!CG$86, '1 Machine Build'!$F$11:$Q$11, '1 Machine Build'!$F15:$Q15), 0), _xlfn.IFNA(_xlfn.XLOOKUP(Assumptions!CG$87, '1 Machine Build'!$F$11:$Q$11, '1 Machine Build'!$F15:$Q15), 0), _xlfn.IFNA(_xlfn.XLOOKUP(Assumptions!CG$88, '1 Machine Build'!$F$11:$Q$11, '1 Machine Build'!$F15:$Q15), 0))</f>
        <v>0</v>
      </c>
      <c r="CJ33" s="97">
        <f>SUM(_xlfn.IFNA(_xlfn.XLOOKUP(Assumptions!CH$81, '1 Machine Build'!$F$11:$Q$11, '1 Machine Build'!$F15:$Q15), 0), _xlfn.IFNA(_xlfn.XLOOKUP(Assumptions!CH$82, '1 Machine Build'!$F$11:$Q$11, '1 Machine Build'!$F15:$Q15), 0), _xlfn.IFNA(_xlfn.XLOOKUP(Assumptions!CH$83, '1 Machine Build'!$F$11:$Q$11, '1 Machine Build'!$F15:$Q15), 0), _xlfn.IFNA(_xlfn.XLOOKUP(Assumptions!CH$84, '1 Machine Build'!$F$11:$Q$11, '1 Machine Build'!$F15:$Q15), 0), _xlfn.IFNA(_xlfn.XLOOKUP(Assumptions!CH$85, '1 Machine Build'!$F$11:$Q$11, '1 Machine Build'!$F15:$Q15), 0), _xlfn.IFNA(_xlfn.XLOOKUP(Assumptions!CH$86, '1 Machine Build'!$F$11:$Q$11, '1 Machine Build'!$F15:$Q15), 0), _xlfn.IFNA(_xlfn.XLOOKUP(Assumptions!CH$87, '1 Machine Build'!$F$11:$Q$11, '1 Machine Build'!$F15:$Q15), 0), _xlfn.IFNA(_xlfn.XLOOKUP(Assumptions!CH$88, '1 Machine Build'!$F$11:$Q$11, '1 Machine Build'!$F15:$Q15), 0))</f>
        <v>0</v>
      </c>
      <c r="CK33" s="97">
        <f>SUM(_xlfn.IFNA(_xlfn.XLOOKUP(Assumptions!CI$81, '1 Machine Build'!$F$11:$Q$11, '1 Machine Build'!$F15:$Q15), 0), _xlfn.IFNA(_xlfn.XLOOKUP(Assumptions!CI$82, '1 Machine Build'!$F$11:$Q$11, '1 Machine Build'!$F15:$Q15), 0), _xlfn.IFNA(_xlfn.XLOOKUP(Assumptions!CI$83, '1 Machine Build'!$F$11:$Q$11, '1 Machine Build'!$F15:$Q15), 0), _xlfn.IFNA(_xlfn.XLOOKUP(Assumptions!CI$84, '1 Machine Build'!$F$11:$Q$11, '1 Machine Build'!$F15:$Q15), 0), _xlfn.IFNA(_xlfn.XLOOKUP(Assumptions!CI$85, '1 Machine Build'!$F$11:$Q$11, '1 Machine Build'!$F15:$Q15), 0), _xlfn.IFNA(_xlfn.XLOOKUP(Assumptions!CI$86, '1 Machine Build'!$F$11:$Q$11, '1 Machine Build'!$F15:$Q15), 0), _xlfn.IFNA(_xlfn.XLOOKUP(Assumptions!CI$87, '1 Machine Build'!$F$11:$Q$11, '1 Machine Build'!$F15:$Q15), 0), _xlfn.IFNA(_xlfn.XLOOKUP(Assumptions!CI$88, '1 Machine Build'!$F$11:$Q$11, '1 Machine Build'!$F15:$Q15), 0))</f>
        <v>0</v>
      </c>
      <c r="CL33" s="97">
        <f>SUM(_xlfn.IFNA(_xlfn.XLOOKUP(Assumptions!CJ$81, '1 Machine Build'!$F$11:$Q$11, '1 Machine Build'!$F15:$Q15), 0), _xlfn.IFNA(_xlfn.XLOOKUP(Assumptions!CJ$82, '1 Machine Build'!$F$11:$Q$11, '1 Machine Build'!$F15:$Q15), 0), _xlfn.IFNA(_xlfn.XLOOKUP(Assumptions!CJ$83, '1 Machine Build'!$F$11:$Q$11, '1 Machine Build'!$F15:$Q15), 0), _xlfn.IFNA(_xlfn.XLOOKUP(Assumptions!CJ$84, '1 Machine Build'!$F$11:$Q$11, '1 Machine Build'!$F15:$Q15), 0), _xlfn.IFNA(_xlfn.XLOOKUP(Assumptions!CJ$85, '1 Machine Build'!$F$11:$Q$11, '1 Machine Build'!$F15:$Q15), 0), _xlfn.IFNA(_xlfn.XLOOKUP(Assumptions!CJ$86, '1 Machine Build'!$F$11:$Q$11, '1 Machine Build'!$F15:$Q15), 0), _xlfn.IFNA(_xlfn.XLOOKUP(Assumptions!CJ$87, '1 Machine Build'!$F$11:$Q$11, '1 Machine Build'!$F15:$Q15), 0), _xlfn.IFNA(_xlfn.XLOOKUP(Assumptions!CJ$88, '1 Machine Build'!$F$11:$Q$11, '1 Machine Build'!$F15:$Q15), 0))</f>
        <v>0</v>
      </c>
      <c r="CM33" s="97">
        <f>SUM(_xlfn.IFNA(_xlfn.XLOOKUP(Assumptions!CK$81, '1 Machine Build'!$F$11:$Q$11, '1 Machine Build'!$F15:$Q15), 0), _xlfn.IFNA(_xlfn.XLOOKUP(Assumptions!CK$82, '1 Machine Build'!$F$11:$Q$11, '1 Machine Build'!$F15:$Q15), 0), _xlfn.IFNA(_xlfn.XLOOKUP(Assumptions!CK$83, '1 Machine Build'!$F$11:$Q$11, '1 Machine Build'!$F15:$Q15), 0), _xlfn.IFNA(_xlfn.XLOOKUP(Assumptions!CK$84, '1 Machine Build'!$F$11:$Q$11, '1 Machine Build'!$F15:$Q15), 0), _xlfn.IFNA(_xlfn.XLOOKUP(Assumptions!CK$85, '1 Machine Build'!$F$11:$Q$11, '1 Machine Build'!$F15:$Q15), 0), _xlfn.IFNA(_xlfn.XLOOKUP(Assumptions!CK$86, '1 Machine Build'!$F$11:$Q$11, '1 Machine Build'!$F15:$Q15), 0), _xlfn.IFNA(_xlfn.XLOOKUP(Assumptions!CK$87, '1 Machine Build'!$F$11:$Q$11, '1 Machine Build'!$F15:$Q15), 0), _xlfn.IFNA(_xlfn.XLOOKUP(Assumptions!CK$88, '1 Machine Build'!$F$11:$Q$11, '1 Machine Build'!$F15:$Q15), 0))</f>
        <v>0</v>
      </c>
      <c r="CN33" s="97">
        <f>SUM(_xlfn.IFNA(_xlfn.XLOOKUP(Assumptions!CL$81, '1 Machine Build'!$F$11:$Q$11, '1 Machine Build'!$F15:$Q15), 0), _xlfn.IFNA(_xlfn.XLOOKUP(Assumptions!CL$82, '1 Machine Build'!$F$11:$Q$11, '1 Machine Build'!$F15:$Q15), 0), _xlfn.IFNA(_xlfn.XLOOKUP(Assumptions!CL$83, '1 Machine Build'!$F$11:$Q$11, '1 Machine Build'!$F15:$Q15), 0), _xlfn.IFNA(_xlfn.XLOOKUP(Assumptions!CL$84, '1 Machine Build'!$F$11:$Q$11, '1 Machine Build'!$F15:$Q15), 0), _xlfn.IFNA(_xlfn.XLOOKUP(Assumptions!CL$85, '1 Machine Build'!$F$11:$Q$11, '1 Machine Build'!$F15:$Q15), 0), _xlfn.IFNA(_xlfn.XLOOKUP(Assumptions!CL$86, '1 Machine Build'!$F$11:$Q$11, '1 Machine Build'!$F15:$Q15), 0), _xlfn.IFNA(_xlfn.XLOOKUP(Assumptions!CL$87, '1 Machine Build'!$F$11:$Q$11, '1 Machine Build'!$F15:$Q15), 0), _xlfn.IFNA(_xlfn.XLOOKUP(Assumptions!CL$88, '1 Machine Build'!$F$11:$Q$11, '1 Machine Build'!$F15:$Q15), 0))</f>
        <v>0</v>
      </c>
      <c r="CO33" s="97">
        <f>SUM(_xlfn.IFNA(_xlfn.XLOOKUP(Assumptions!CM$81, '1 Machine Build'!$F$11:$Q$11, '1 Machine Build'!$F15:$Q15), 0), _xlfn.IFNA(_xlfn.XLOOKUP(Assumptions!CM$82, '1 Machine Build'!$F$11:$Q$11, '1 Machine Build'!$F15:$Q15), 0), _xlfn.IFNA(_xlfn.XLOOKUP(Assumptions!CM$83, '1 Machine Build'!$F$11:$Q$11, '1 Machine Build'!$F15:$Q15), 0), _xlfn.IFNA(_xlfn.XLOOKUP(Assumptions!CM$84, '1 Machine Build'!$F$11:$Q$11, '1 Machine Build'!$F15:$Q15), 0), _xlfn.IFNA(_xlfn.XLOOKUP(Assumptions!CM$85, '1 Machine Build'!$F$11:$Q$11, '1 Machine Build'!$F15:$Q15), 0), _xlfn.IFNA(_xlfn.XLOOKUP(Assumptions!CM$86, '1 Machine Build'!$F$11:$Q$11, '1 Machine Build'!$F15:$Q15), 0), _xlfn.IFNA(_xlfn.XLOOKUP(Assumptions!CM$87, '1 Machine Build'!$F$11:$Q$11, '1 Machine Build'!$F15:$Q15), 0), _xlfn.IFNA(_xlfn.XLOOKUP(Assumptions!CM$88, '1 Machine Build'!$F$11:$Q$11, '1 Machine Build'!$F15:$Q15), 0))</f>
        <v>0</v>
      </c>
      <c r="CP33" s="97">
        <f>SUM(_xlfn.IFNA(_xlfn.XLOOKUP(Assumptions!CN$81, '1 Machine Build'!$F$11:$Q$11, '1 Machine Build'!$F15:$Q15), 0), _xlfn.IFNA(_xlfn.XLOOKUP(Assumptions!CN$82, '1 Machine Build'!$F$11:$Q$11, '1 Machine Build'!$F15:$Q15), 0), _xlfn.IFNA(_xlfn.XLOOKUP(Assumptions!CN$83, '1 Machine Build'!$F$11:$Q$11, '1 Machine Build'!$F15:$Q15), 0), _xlfn.IFNA(_xlfn.XLOOKUP(Assumptions!CN$84, '1 Machine Build'!$F$11:$Q$11, '1 Machine Build'!$F15:$Q15), 0), _xlfn.IFNA(_xlfn.XLOOKUP(Assumptions!CN$85, '1 Machine Build'!$F$11:$Q$11, '1 Machine Build'!$F15:$Q15), 0), _xlfn.IFNA(_xlfn.XLOOKUP(Assumptions!CN$86, '1 Machine Build'!$F$11:$Q$11, '1 Machine Build'!$F15:$Q15), 0), _xlfn.IFNA(_xlfn.XLOOKUP(Assumptions!CN$87, '1 Machine Build'!$F$11:$Q$11, '1 Machine Build'!$F15:$Q15), 0), _xlfn.IFNA(_xlfn.XLOOKUP(Assumptions!CN$88, '1 Machine Build'!$F$11:$Q$11, '1 Machine Build'!$F15:$Q15), 0))</f>
        <v>0</v>
      </c>
      <c r="CQ33" s="97">
        <f>SUM(_xlfn.IFNA(_xlfn.XLOOKUP(Assumptions!CO$81, '1 Machine Build'!$F$11:$Q$11, '1 Machine Build'!$F15:$Q15), 0), _xlfn.IFNA(_xlfn.XLOOKUP(Assumptions!CO$82, '1 Machine Build'!$F$11:$Q$11, '1 Machine Build'!$F15:$Q15), 0), _xlfn.IFNA(_xlfn.XLOOKUP(Assumptions!CO$83, '1 Machine Build'!$F$11:$Q$11, '1 Machine Build'!$F15:$Q15), 0), _xlfn.IFNA(_xlfn.XLOOKUP(Assumptions!CO$84, '1 Machine Build'!$F$11:$Q$11, '1 Machine Build'!$F15:$Q15), 0), _xlfn.IFNA(_xlfn.XLOOKUP(Assumptions!CO$85, '1 Machine Build'!$F$11:$Q$11, '1 Machine Build'!$F15:$Q15), 0), _xlfn.IFNA(_xlfn.XLOOKUP(Assumptions!CO$86, '1 Machine Build'!$F$11:$Q$11, '1 Machine Build'!$F15:$Q15), 0), _xlfn.IFNA(_xlfn.XLOOKUP(Assumptions!CO$87, '1 Machine Build'!$F$11:$Q$11, '1 Machine Build'!$F15:$Q15), 0), _xlfn.IFNA(_xlfn.XLOOKUP(Assumptions!CO$88, '1 Machine Build'!$F$11:$Q$11, '1 Machine Build'!$F15:$Q15), 0))</f>
        <v>0</v>
      </c>
      <c r="CR33" s="97">
        <f>SUM(_xlfn.IFNA(_xlfn.XLOOKUP(Assumptions!CP$81, '1 Machine Build'!$F$11:$Q$11, '1 Machine Build'!$F15:$Q15), 0), _xlfn.IFNA(_xlfn.XLOOKUP(Assumptions!CP$82, '1 Machine Build'!$F$11:$Q$11, '1 Machine Build'!$F15:$Q15), 0), _xlfn.IFNA(_xlfn.XLOOKUP(Assumptions!CP$83, '1 Machine Build'!$F$11:$Q$11, '1 Machine Build'!$F15:$Q15), 0), _xlfn.IFNA(_xlfn.XLOOKUP(Assumptions!CP$84, '1 Machine Build'!$F$11:$Q$11, '1 Machine Build'!$F15:$Q15), 0), _xlfn.IFNA(_xlfn.XLOOKUP(Assumptions!CP$85, '1 Machine Build'!$F$11:$Q$11, '1 Machine Build'!$F15:$Q15), 0), _xlfn.IFNA(_xlfn.XLOOKUP(Assumptions!CP$86, '1 Machine Build'!$F$11:$Q$11, '1 Machine Build'!$F15:$Q15), 0), _xlfn.IFNA(_xlfn.XLOOKUP(Assumptions!CP$87, '1 Machine Build'!$F$11:$Q$11, '1 Machine Build'!$F15:$Q15), 0), _xlfn.IFNA(_xlfn.XLOOKUP(Assumptions!CP$88, '1 Machine Build'!$F$11:$Q$11, '1 Machine Build'!$F15:$Q15), 0))</f>
        <v>0</v>
      </c>
      <c r="CS33" s="97">
        <f>SUM(_xlfn.IFNA(_xlfn.XLOOKUP(Assumptions!CQ$81, '1 Machine Build'!$F$11:$Q$11, '1 Machine Build'!$F15:$Q15), 0), _xlfn.IFNA(_xlfn.XLOOKUP(Assumptions!CQ$82, '1 Machine Build'!$F$11:$Q$11, '1 Machine Build'!$F15:$Q15), 0), _xlfn.IFNA(_xlfn.XLOOKUP(Assumptions!CQ$83, '1 Machine Build'!$F$11:$Q$11, '1 Machine Build'!$F15:$Q15), 0), _xlfn.IFNA(_xlfn.XLOOKUP(Assumptions!CQ$84, '1 Machine Build'!$F$11:$Q$11, '1 Machine Build'!$F15:$Q15), 0), _xlfn.IFNA(_xlfn.XLOOKUP(Assumptions!CQ$85, '1 Machine Build'!$F$11:$Q$11, '1 Machine Build'!$F15:$Q15), 0), _xlfn.IFNA(_xlfn.XLOOKUP(Assumptions!CQ$86, '1 Machine Build'!$F$11:$Q$11, '1 Machine Build'!$F15:$Q15), 0), _xlfn.IFNA(_xlfn.XLOOKUP(Assumptions!CQ$87, '1 Machine Build'!$F$11:$Q$11, '1 Machine Build'!$F15:$Q15), 0), _xlfn.IFNA(_xlfn.XLOOKUP(Assumptions!CQ$88, '1 Machine Build'!$F$11:$Q$11, '1 Machine Build'!$F15:$Q15), 0))</f>
        <v>0</v>
      </c>
      <c r="CT33" s="97">
        <f>SUM(_xlfn.IFNA(_xlfn.XLOOKUP(Assumptions!CR$81, '1 Machine Build'!$F$11:$Q$11, '1 Machine Build'!$F15:$Q15), 0), _xlfn.IFNA(_xlfn.XLOOKUP(Assumptions!CR$82, '1 Machine Build'!$F$11:$Q$11, '1 Machine Build'!$F15:$Q15), 0), _xlfn.IFNA(_xlfn.XLOOKUP(Assumptions!CR$83, '1 Machine Build'!$F$11:$Q$11, '1 Machine Build'!$F15:$Q15), 0), _xlfn.IFNA(_xlfn.XLOOKUP(Assumptions!CR$84, '1 Machine Build'!$F$11:$Q$11, '1 Machine Build'!$F15:$Q15), 0), _xlfn.IFNA(_xlfn.XLOOKUP(Assumptions!CR$85, '1 Machine Build'!$F$11:$Q$11, '1 Machine Build'!$F15:$Q15), 0), _xlfn.IFNA(_xlfn.XLOOKUP(Assumptions!CR$86, '1 Machine Build'!$F$11:$Q$11, '1 Machine Build'!$F15:$Q15), 0), _xlfn.IFNA(_xlfn.XLOOKUP(Assumptions!CR$87, '1 Machine Build'!$F$11:$Q$11, '1 Machine Build'!$F15:$Q15), 0), _xlfn.IFNA(_xlfn.XLOOKUP(Assumptions!CR$88, '1 Machine Build'!$F$11:$Q$11, '1 Machine Build'!$F15:$Q15), 0))</f>
        <v>0</v>
      </c>
      <c r="CU33" s="97">
        <f>SUM(_xlfn.IFNA(_xlfn.XLOOKUP(Assumptions!CS$81, '1 Machine Build'!$F$11:$Q$11, '1 Machine Build'!$F15:$Q15), 0), _xlfn.IFNA(_xlfn.XLOOKUP(Assumptions!CS$82, '1 Machine Build'!$F$11:$Q$11, '1 Machine Build'!$F15:$Q15), 0), _xlfn.IFNA(_xlfn.XLOOKUP(Assumptions!CS$83, '1 Machine Build'!$F$11:$Q$11, '1 Machine Build'!$F15:$Q15), 0), _xlfn.IFNA(_xlfn.XLOOKUP(Assumptions!CS$84, '1 Machine Build'!$F$11:$Q$11, '1 Machine Build'!$F15:$Q15), 0), _xlfn.IFNA(_xlfn.XLOOKUP(Assumptions!CS$85, '1 Machine Build'!$F$11:$Q$11, '1 Machine Build'!$F15:$Q15), 0), _xlfn.IFNA(_xlfn.XLOOKUP(Assumptions!CS$86, '1 Machine Build'!$F$11:$Q$11, '1 Machine Build'!$F15:$Q15), 0), _xlfn.IFNA(_xlfn.XLOOKUP(Assumptions!CS$87, '1 Machine Build'!$F$11:$Q$11, '1 Machine Build'!$F15:$Q15), 0), _xlfn.IFNA(_xlfn.XLOOKUP(Assumptions!CS$88, '1 Machine Build'!$F$11:$Q$11, '1 Machine Build'!$F15:$Q15), 0))</f>
        <v>0</v>
      </c>
      <c r="CV33" s="97">
        <f>SUM(_xlfn.IFNA(_xlfn.XLOOKUP(Assumptions!CT$81, '1 Machine Build'!$F$11:$Q$11, '1 Machine Build'!$F15:$Q15), 0), _xlfn.IFNA(_xlfn.XLOOKUP(Assumptions!CT$82, '1 Machine Build'!$F$11:$Q$11, '1 Machine Build'!$F15:$Q15), 0), _xlfn.IFNA(_xlfn.XLOOKUP(Assumptions!CT$83, '1 Machine Build'!$F$11:$Q$11, '1 Machine Build'!$F15:$Q15), 0), _xlfn.IFNA(_xlfn.XLOOKUP(Assumptions!CT$84, '1 Machine Build'!$F$11:$Q$11, '1 Machine Build'!$F15:$Q15), 0), _xlfn.IFNA(_xlfn.XLOOKUP(Assumptions!CT$85, '1 Machine Build'!$F$11:$Q$11, '1 Machine Build'!$F15:$Q15), 0), _xlfn.IFNA(_xlfn.XLOOKUP(Assumptions!CT$86, '1 Machine Build'!$F$11:$Q$11, '1 Machine Build'!$F15:$Q15), 0), _xlfn.IFNA(_xlfn.XLOOKUP(Assumptions!CT$87, '1 Machine Build'!$F$11:$Q$11, '1 Machine Build'!$F15:$Q15), 0), _xlfn.IFNA(_xlfn.XLOOKUP(Assumptions!CT$88, '1 Machine Build'!$F$11:$Q$11, '1 Machine Build'!$F15:$Q15), 0))</f>
        <v>0</v>
      </c>
      <c r="CW33" s="97">
        <f>SUM(_xlfn.IFNA(_xlfn.XLOOKUP(Assumptions!CU$81, '1 Machine Build'!$F$11:$Q$11, '1 Machine Build'!$F15:$Q15), 0), _xlfn.IFNA(_xlfn.XLOOKUP(Assumptions!CU$82, '1 Machine Build'!$F$11:$Q$11, '1 Machine Build'!$F15:$Q15), 0), _xlfn.IFNA(_xlfn.XLOOKUP(Assumptions!CU$83, '1 Machine Build'!$F$11:$Q$11, '1 Machine Build'!$F15:$Q15), 0), _xlfn.IFNA(_xlfn.XLOOKUP(Assumptions!CU$84, '1 Machine Build'!$F$11:$Q$11, '1 Machine Build'!$F15:$Q15), 0), _xlfn.IFNA(_xlfn.XLOOKUP(Assumptions!CU$85, '1 Machine Build'!$F$11:$Q$11, '1 Machine Build'!$F15:$Q15), 0), _xlfn.IFNA(_xlfn.XLOOKUP(Assumptions!CU$86, '1 Machine Build'!$F$11:$Q$11, '1 Machine Build'!$F15:$Q15), 0), _xlfn.IFNA(_xlfn.XLOOKUP(Assumptions!CU$87, '1 Machine Build'!$F$11:$Q$11, '1 Machine Build'!$F15:$Q15), 0), _xlfn.IFNA(_xlfn.XLOOKUP(Assumptions!CU$88, '1 Machine Build'!$F$11:$Q$11, '1 Machine Build'!$F15:$Q15), 0))</f>
        <v>0</v>
      </c>
      <c r="CX33" s="97">
        <f>SUM(_xlfn.IFNA(_xlfn.XLOOKUP(Assumptions!CV$81, '1 Machine Build'!$F$11:$Q$11, '1 Machine Build'!$F15:$Q15), 0), _xlfn.IFNA(_xlfn.XLOOKUP(Assumptions!CV$82, '1 Machine Build'!$F$11:$Q$11, '1 Machine Build'!$F15:$Q15), 0), _xlfn.IFNA(_xlfn.XLOOKUP(Assumptions!CV$83, '1 Machine Build'!$F$11:$Q$11, '1 Machine Build'!$F15:$Q15), 0), _xlfn.IFNA(_xlfn.XLOOKUP(Assumptions!CV$84, '1 Machine Build'!$F$11:$Q$11, '1 Machine Build'!$F15:$Q15), 0), _xlfn.IFNA(_xlfn.XLOOKUP(Assumptions!CV$85, '1 Machine Build'!$F$11:$Q$11, '1 Machine Build'!$F15:$Q15), 0), _xlfn.IFNA(_xlfn.XLOOKUP(Assumptions!CV$86, '1 Machine Build'!$F$11:$Q$11, '1 Machine Build'!$F15:$Q15), 0), _xlfn.IFNA(_xlfn.XLOOKUP(Assumptions!CV$87, '1 Machine Build'!$F$11:$Q$11, '1 Machine Build'!$F15:$Q15), 0), _xlfn.IFNA(_xlfn.XLOOKUP(Assumptions!CV$88, '1 Machine Build'!$F$11:$Q$11, '1 Machine Build'!$F15:$Q15), 0))</f>
        <v>0</v>
      </c>
      <c r="CY33" s="97">
        <f>SUM(_xlfn.IFNA(_xlfn.XLOOKUP(Assumptions!CW$81, '1 Machine Build'!$F$11:$Q$11, '1 Machine Build'!$F15:$Q15), 0), _xlfn.IFNA(_xlfn.XLOOKUP(Assumptions!CW$82, '1 Machine Build'!$F$11:$Q$11, '1 Machine Build'!$F15:$Q15), 0), _xlfn.IFNA(_xlfn.XLOOKUP(Assumptions!CW$83, '1 Machine Build'!$F$11:$Q$11, '1 Machine Build'!$F15:$Q15), 0), _xlfn.IFNA(_xlfn.XLOOKUP(Assumptions!CW$84, '1 Machine Build'!$F$11:$Q$11, '1 Machine Build'!$F15:$Q15), 0), _xlfn.IFNA(_xlfn.XLOOKUP(Assumptions!CW$85, '1 Machine Build'!$F$11:$Q$11, '1 Machine Build'!$F15:$Q15), 0), _xlfn.IFNA(_xlfn.XLOOKUP(Assumptions!CW$86, '1 Machine Build'!$F$11:$Q$11, '1 Machine Build'!$F15:$Q15), 0), _xlfn.IFNA(_xlfn.XLOOKUP(Assumptions!CW$87, '1 Machine Build'!$F$11:$Q$11, '1 Machine Build'!$F15:$Q15), 0), _xlfn.IFNA(_xlfn.XLOOKUP(Assumptions!CW$88, '1 Machine Build'!$F$11:$Q$11, '1 Machine Build'!$F15:$Q15), 0))</f>
        <v>0</v>
      </c>
      <c r="CZ33" s="97">
        <f>SUM(_xlfn.IFNA(_xlfn.XLOOKUP(Assumptions!CX$81, '1 Machine Build'!$F$11:$Q$11, '1 Machine Build'!$F15:$Q15), 0), _xlfn.IFNA(_xlfn.XLOOKUP(Assumptions!CX$82, '1 Machine Build'!$F$11:$Q$11, '1 Machine Build'!$F15:$Q15), 0), _xlfn.IFNA(_xlfn.XLOOKUP(Assumptions!CX$83, '1 Machine Build'!$F$11:$Q$11, '1 Machine Build'!$F15:$Q15), 0), _xlfn.IFNA(_xlfn.XLOOKUP(Assumptions!CX$84, '1 Machine Build'!$F$11:$Q$11, '1 Machine Build'!$F15:$Q15), 0), _xlfn.IFNA(_xlfn.XLOOKUP(Assumptions!CX$85, '1 Machine Build'!$F$11:$Q$11, '1 Machine Build'!$F15:$Q15), 0), _xlfn.IFNA(_xlfn.XLOOKUP(Assumptions!CX$86, '1 Machine Build'!$F$11:$Q$11, '1 Machine Build'!$F15:$Q15), 0), _xlfn.IFNA(_xlfn.XLOOKUP(Assumptions!CX$87, '1 Machine Build'!$F$11:$Q$11, '1 Machine Build'!$F15:$Q15), 0), _xlfn.IFNA(_xlfn.XLOOKUP(Assumptions!CX$88, '1 Machine Build'!$F$11:$Q$11, '1 Machine Build'!$F15:$Q15), 0))</f>
        <v>0</v>
      </c>
      <c r="DA33" s="97">
        <f>SUM(_xlfn.IFNA(_xlfn.XLOOKUP(Assumptions!CY$81, '1 Machine Build'!$F$11:$Q$11, '1 Machine Build'!$F15:$Q15), 0), _xlfn.IFNA(_xlfn.XLOOKUP(Assumptions!CY$82, '1 Machine Build'!$F$11:$Q$11, '1 Machine Build'!$F15:$Q15), 0), _xlfn.IFNA(_xlfn.XLOOKUP(Assumptions!CY$83, '1 Machine Build'!$F$11:$Q$11, '1 Machine Build'!$F15:$Q15), 0), _xlfn.IFNA(_xlfn.XLOOKUP(Assumptions!CY$84, '1 Machine Build'!$F$11:$Q$11, '1 Machine Build'!$F15:$Q15), 0), _xlfn.IFNA(_xlfn.XLOOKUP(Assumptions!CY$85, '1 Machine Build'!$F$11:$Q$11, '1 Machine Build'!$F15:$Q15), 0), _xlfn.IFNA(_xlfn.XLOOKUP(Assumptions!CY$86, '1 Machine Build'!$F$11:$Q$11, '1 Machine Build'!$F15:$Q15), 0), _xlfn.IFNA(_xlfn.XLOOKUP(Assumptions!CY$87, '1 Machine Build'!$F$11:$Q$11, '1 Machine Build'!$F15:$Q15), 0), _xlfn.IFNA(_xlfn.XLOOKUP(Assumptions!CY$88, '1 Machine Build'!$F$11:$Q$11, '1 Machine Build'!$F15:$Q15), 0))</f>
        <v>0</v>
      </c>
      <c r="DB33" s="97">
        <f>SUM(_xlfn.IFNA(_xlfn.XLOOKUP(Assumptions!CZ$81, '1 Machine Build'!$F$11:$Q$11, '1 Machine Build'!$F15:$Q15), 0), _xlfn.IFNA(_xlfn.XLOOKUP(Assumptions!CZ$82, '1 Machine Build'!$F$11:$Q$11, '1 Machine Build'!$F15:$Q15), 0), _xlfn.IFNA(_xlfn.XLOOKUP(Assumptions!CZ$83, '1 Machine Build'!$F$11:$Q$11, '1 Machine Build'!$F15:$Q15), 0), _xlfn.IFNA(_xlfn.XLOOKUP(Assumptions!CZ$84, '1 Machine Build'!$F$11:$Q$11, '1 Machine Build'!$F15:$Q15), 0), _xlfn.IFNA(_xlfn.XLOOKUP(Assumptions!CZ$85, '1 Machine Build'!$F$11:$Q$11, '1 Machine Build'!$F15:$Q15), 0), _xlfn.IFNA(_xlfn.XLOOKUP(Assumptions!CZ$86, '1 Machine Build'!$F$11:$Q$11, '1 Machine Build'!$F15:$Q15), 0), _xlfn.IFNA(_xlfn.XLOOKUP(Assumptions!CZ$87, '1 Machine Build'!$F$11:$Q$11, '1 Machine Build'!$F15:$Q15), 0), _xlfn.IFNA(_xlfn.XLOOKUP(Assumptions!CZ$88, '1 Machine Build'!$F$11:$Q$11, '1 Machine Build'!$F15:$Q15), 0))</f>
        <v>0</v>
      </c>
      <c r="DC33" s="97">
        <f>SUM(_xlfn.IFNA(_xlfn.XLOOKUP(Assumptions!DA$81, '1 Machine Build'!$F$11:$Q$11, '1 Machine Build'!$F15:$Q15), 0), _xlfn.IFNA(_xlfn.XLOOKUP(Assumptions!DA$82, '1 Machine Build'!$F$11:$Q$11, '1 Machine Build'!$F15:$Q15), 0), _xlfn.IFNA(_xlfn.XLOOKUP(Assumptions!DA$83, '1 Machine Build'!$F$11:$Q$11, '1 Machine Build'!$F15:$Q15), 0), _xlfn.IFNA(_xlfn.XLOOKUP(Assumptions!DA$84, '1 Machine Build'!$F$11:$Q$11, '1 Machine Build'!$F15:$Q15), 0), _xlfn.IFNA(_xlfn.XLOOKUP(Assumptions!DA$85, '1 Machine Build'!$F$11:$Q$11, '1 Machine Build'!$F15:$Q15), 0), _xlfn.IFNA(_xlfn.XLOOKUP(Assumptions!DA$86, '1 Machine Build'!$F$11:$Q$11, '1 Machine Build'!$F15:$Q15), 0), _xlfn.IFNA(_xlfn.XLOOKUP(Assumptions!DA$87, '1 Machine Build'!$F$11:$Q$11, '1 Machine Build'!$F15:$Q15), 0), _xlfn.IFNA(_xlfn.XLOOKUP(Assumptions!DA$88, '1 Machine Build'!$F$11:$Q$11, '1 Machine Build'!$F15:$Q15), 0))</f>
        <v>0</v>
      </c>
      <c r="DD33" s="97">
        <f>SUM(_xlfn.IFNA(_xlfn.XLOOKUP(Assumptions!DB$81, '1 Machine Build'!$F$11:$Q$11, '1 Machine Build'!$F15:$Q15), 0), _xlfn.IFNA(_xlfn.XLOOKUP(Assumptions!DB$82, '1 Machine Build'!$F$11:$Q$11, '1 Machine Build'!$F15:$Q15), 0), _xlfn.IFNA(_xlfn.XLOOKUP(Assumptions!DB$83, '1 Machine Build'!$F$11:$Q$11, '1 Machine Build'!$F15:$Q15), 0), _xlfn.IFNA(_xlfn.XLOOKUP(Assumptions!DB$84, '1 Machine Build'!$F$11:$Q$11, '1 Machine Build'!$F15:$Q15), 0), _xlfn.IFNA(_xlfn.XLOOKUP(Assumptions!DB$85, '1 Machine Build'!$F$11:$Q$11, '1 Machine Build'!$F15:$Q15), 0), _xlfn.IFNA(_xlfn.XLOOKUP(Assumptions!DB$86, '1 Machine Build'!$F$11:$Q$11, '1 Machine Build'!$F15:$Q15), 0), _xlfn.IFNA(_xlfn.XLOOKUP(Assumptions!DB$87, '1 Machine Build'!$F$11:$Q$11, '1 Machine Build'!$F15:$Q15), 0), _xlfn.IFNA(_xlfn.XLOOKUP(Assumptions!DB$88, '1 Machine Build'!$F$11:$Q$11, '1 Machine Build'!$F15:$Q15), 0))</f>
        <v>0</v>
      </c>
      <c r="DE33" s="97">
        <f>SUM(_xlfn.IFNA(_xlfn.XLOOKUP(Assumptions!DC$81, '1 Machine Build'!$F$11:$Q$11, '1 Machine Build'!$F15:$Q15), 0), _xlfn.IFNA(_xlfn.XLOOKUP(Assumptions!DC$82, '1 Machine Build'!$F$11:$Q$11, '1 Machine Build'!$F15:$Q15), 0), _xlfn.IFNA(_xlfn.XLOOKUP(Assumptions!DC$83, '1 Machine Build'!$F$11:$Q$11, '1 Machine Build'!$F15:$Q15), 0), _xlfn.IFNA(_xlfn.XLOOKUP(Assumptions!DC$84, '1 Machine Build'!$F$11:$Q$11, '1 Machine Build'!$F15:$Q15), 0), _xlfn.IFNA(_xlfn.XLOOKUP(Assumptions!DC$85, '1 Machine Build'!$F$11:$Q$11, '1 Machine Build'!$F15:$Q15), 0), _xlfn.IFNA(_xlfn.XLOOKUP(Assumptions!DC$86, '1 Machine Build'!$F$11:$Q$11, '1 Machine Build'!$F15:$Q15), 0), _xlfn.IFNA(_xlfn.XLOOKUP(Assumptions!DC$87, '1 Machine Build'!$F$11:$Q$11, '1 Machine Build'!$F15:$Q15), 0), _xlfn.IFNA(_xlfn.XLOOKUP(Assumptions!DC$88, '1 Machine Build'!$F$11:$Q$11, '1 Machine Build'!$F15:$Q15), 0))</f>
        <v>0</v>
      </c>
      <c r="DF33" s="97">
        <f>SUM(_xlfn.IFNA(_xlfn.XLOOKUP(Assumptions!DD$81, '1 Machine Build'!$F$11:$Q$11, '1 Machine Build'!$F15:$Q15), 0), _xlfn.IFNA(_xlfn.XLOOKUP(Assumptions!DD$82, '1 Machine Build'!$F$11:$Q$11, '1 Machine Build'!$F15:$Q15), 0), _xlfn.IFNA(_xlfn.XLOOKUP(Assumptions!DD$83, '1 Machine Build'!$F$11:$Q$11, '1 Machine Build'!$F15:$Q15), 0), _xlfn.IFNA(_xlfn.XLOOKUP(Assumptions!DD$84, '1 Machine Build'!$F$11:$Q$11, '1 Machine Build'!$F15:$Q15), 0), _xlfn.IFNA(_xlfn.XLOOKUP(Assumptions!DD$85, '1 Machine Build'!$F$11:$Q$11, '1 Machine Build'!$F15:$Q15), 0), _xlfn.IFNA(_xlfn.XLOOKUP(Assumptions!DD$86, '1 Machine Build'!$F$11:$Q$11, '1 Machine Build'!$F15:$Q15), 0), _xlfn.IFNA(_xlfn.XLOOKUP(Assumptions!DD$87, '1 Machine Build'!$F$11:$Q$11, '1 Machine Build'!$F15:$Q15), 0), _xlfn.IFNA(_xlfn.XLOOKUP(Assumptions!DD$88, '1 Machine Build'!$F$11:$Q$11, '1 Machine Build'!$F15:$Q15), 0))</f>
        <v>0</v>
      </c>
      <c r="DG33" s="97">
        <f>SUM(_xlfn.IFNA(_xlfn.XLOOKUP(Assumptions!DE$81, '1 Machine Build'!$F$11:$Q$11, '1 Machine Build'!$F15:$Q15), 0), _xlfn.IFNA(_xlfn.XLOOKUP(Assumptions!DE$82, '1 Machine Build'!$F$11:$Q$11, '1 Machine Build'!$F15:$Q15), 0), _xlfn.IFNA(_xlfn.XLOOKUP(Assumptions!DE$83, '1 Machine Build'!$F$11:$Q$11, '1 Machine Build'!$F15:$Q15), 0), _xlfn.IFNA(_xlfn.XLOOKUP(Assumptions!DE$84, '1 Machine Build'!$F$11:$Q$11, '1 Machine Build'!$F15:$Q15), 0), _xlfn.IFNA(_xlfn.XLOOKUP(Assumptions!DE$85, '1 Machine Build'!$F$11:$Q$11, '1 Machine Build'!$F15:$Q15), 0), _xlfn.IFNA(_xlfn.XLOOKUP(Assumptions!DE$86, '1 Machine Build'!$F$11:$Q$11, '1 Machine Build'!$F15:$Q15), 0), _xlfn.IFNA(_xlfn.XLOOKUP(Assumptions!DE$87, '1 Machine Build'!$F$11:$Q$11, '1 Machine Build'!$F15:$Q15), 0), _xlfn.IFNA(_xlfn.XLOOKUP(Assumptions!DE$88, '1 Machine Build'!$F$11:$Q$11, '1 Machine Build'!$F15:$Q15), 0))</f>
        <v>0</v>
      </c>
      <c r="DH33" s="97">
        <f>SUM(_xlfn.IFNA(_xlfn.XLOOKUP(Assumptions!DF$81, '1 Machine Build'!$F$11:$Q$11, '1 Machine Build'!$F15:$Q15), 0), _xlfn.IFNA(_xlfn.XLOOKUP(Assumptions!DF$82, '1 Machine Build'!$F$11:$Q$11, '1 Machine Build'!$F15:$Q15), 0), _xlfn.IFNA(_xlfn.XLOOKUP(Assumptions!DF$83, '1 Machine Build'!$F$11:$Q$11, '1 Machine Build'!$F15:$Q15), 0), _xlfn.IFNA(_xlfn.XLOOKUP(Assumptions!DF$84, '1 Machine Build'!$F$11:$Q$11, '1 Machine Build'!$F15:$Q15), 0), _xlfn.IFNA(_xlfn.XLOOKUP(Assumptions!DF$85, '1 Machine Build'!$F$11:$Q$11, '1 Machine Build'!$F15:$Q15), 0), _xlfn.IFNA(_xlfn.XLOOKUP(Assumptions!DF$86, '1 Machine Build'!$F$11:$Q$11, '1 Machine Build'!$F15:$Q15), 0), _xlfn.IFNA(_xlfn.XLOOKUP(Assumptions!DF$87, '1 Machine Build'!$F$11:$Q$11, '1 Machine Build'!$F15:$Q15), 0), _xlfn.IFNA(_xlfn.XLOOKUP(Assumptions!DF$88, '1 Machine Build'!$F$11:$Q$11, '1 Machine Build'!$F15:$Q15), 0))</f>
        <v>0</v>
      </c>
      <c r="DI33" s="97">
        <f>SUM(_xlfn.IFNA(_xlfn.XLOOKUP(Assumptions!DG$81, '1 Machine Build'!$F$11:$Q$11, '1 Machine Build'!$F15:$Q15), 0), _xlfn.IFNA(_xlfn.XLOOKUP(Assumptions!DG$82, '1 Machine Build'!$F$11:$Q$11, '1 Machine Build'!$F15:$Q15), 0), _xlfn.IFNA(_xlfn.XLOOKUP(Assumptions!DG$83, '1 Machine Build'!$F$11:$Q$11, '1 Machine Build'!$F15:$Q15), 0), _xlfn.IFNA(_xlfn.XLOOKUP(Assumptions!DG$84, '1 Machine Build'!$F$11:$Q$11, '1 Machine Build'!$F15:$Q15), 0), _xlfn.IFNA(_xlfn.XLOOKUP(Assumptions!DG$85, '1 Machine Build'!$F$11:$Q$11, '1 Machine Build'!$F15:$Q15), 0), _xlfn.IFNA(_xlfn.XLOOKUP(Assumptions!DG$86, '1 Machine Build'!$F$11:$Q$11, '1 Machine Build'!$F15:$Q15), 0), _xlfn.IFNA(_xlfn.XLOOKUP(Assumptions!DG$87, '1 Machine Build'!$F$11:$Q$11, '1 Machine Build'!$F15:$Q15), 0), _xlfn.IFNA(_xlfn.XLOOKUP(Assumptions!DG$88, '1 Machine Build'!$F$11:$Q$11, '1 Machine Build'!$F15:$Q15), 0))</f>
        <v>0</v>
      </c>
      <c r="DJ33" s="97">
        <f>SUM(_xlfn.IFNA(_xlfn.XLOOKUP(Assumptions!DH$81, '1 Machine Build'!$F$11:$Q$11, '1 Machine Build'!$F15:$Q15), 0), _xlfn.IFNA(_xlfn.XLOOKUP(Assumptions!DH$82, '1 Machine Build'!$F$11:$Q$11, '1 Machine Build'!$F15:$Q15), 0), _xlfn.IFNA(_xlfn.XLOOKUP(Assumptions!DH$83, '1 Machine Build'!$F$11:$Q$11, '1 Machine Build'!$F15:$Q15), 0), _xlfn.IFNA(_xlfn.XLOOKUP(Assumptions!DH$84, '1 Machine Build'!$F$11:$Q$11, '1 Machine Build'!$F15:$Q15), 0), _xlfn.IFNA(_xlfn.XLOOKUP(Assumptions!DH$85, '1 Machine Build'!$F$11:$Q$11, '1 Machine Build'!$F15:$Q15), 0), _xlfn.IFNA(_xlfn.XLOOKUP(Assumptions!DH$86, '1 Machine Build'!$F$11:$Q$11, '1 Machine Build'!$F15:$Q15), 0), _xlfn.IFNA(_xlfn.XLOOKUP(Assumptions!DH$87, '1 Machine Build'!$F$11:$Q$11, '1 Machine Build'!$F15:$Q15), 0), _xlfn.IFNA(_xlfn.XLOOKUP(Assumptions!DH$88, '1 Machine Build'!$F$11:$Q$11, '1 Machine Build'!$F15:$Q15), 0))</f>
        <v>0</v>
      </c>
      <c r="DK33" s="97">
        <f>SUM(_xlfn.IFNA(_xlfn.XLOOKUP(Assumptions!DI$81, '1 Machine Build'!$F$11:$Q$11, '1 Machine Build'!$F15:$Q15), 0), _xlfn.IFNA(_xlfn.XLOOKUP(Assumptions!DI$82, '1 Machine Build'!$F$11:$Q$11, '1 Machine Build'!$F15:$Q15), 0), _xlfn.IFNA(_xlfn.XLOOKUP(Assumptions!DI$83, '1 Machine Build'!$F$11:$Q$11, '1 Machine Build'!$F15:$Q15), 0), _xlfn.IFNA(_xlfn.XLOOKUP(Assumptions!DI$84, '1 Machine Build'!$F$11:$Q$11, '1 Machine Build'!$F15:$Q15), 0), _xlfn.IFNA(_xlfn.XLOOKUP(Assumptions!DI$85, '1 Machine Build'!$F$11:$Q$11, '1 Machine Build'!$F15:$Q15), 0), _xlfn.IFNA(_xlfn.XLOOKUP(Assumptions!DI$86, '1 Machine Build'!$F$11:$Q$11, '1 Machine Build'!$F15:$Q15), 0), _xlfn.IFNA(_xlfn.XLOOKUP(Assumptions!DI$87, '1 Machine Build'!$F$11:$Q$11, '1 Machine Build'!$F15:$Q15), 0), _xlfn.IFNA(_xlfn.XLOOKUP(Assumptions!DI$88, '1 Machine Build'!$F$11:$Q$11, '1 Machine Build'!$F15:$Q15), 0))</f>
        <v>0</v>
      </c>
      <c r="DL33" s="97">
        <f>SUM(_xlfn.IFNA(_xlfn.XLOOKUP(Assumptions!DJ$81, '1 Machine Build'!$F$11:$Q$11, '1 Machine Build'!$F15:$Q15), 0), _xlfn.IFNA(_xlfn.XLOOKUP(Assumptions!DJ$82, '1 Machine Build'!$F$11:$Q$11, '1 Machine Build'!$F15:$Q15), 0), _xlfn.IFNA(_xlfn.XLOOKUP(Assumptions!DJ$83, '1 Machine Build'!$F$11:$Q$11, '1 Machine Build'!$F15:$Q15), 0), _xlfn.IFNA(_xlfn.XLOOKUP(Assumptions!DJ$84, '1 Machine Build'!$F$11:$Q$11, '1 Machine Build'!$F15:$Q15), 0), _xlfn.IFNA(_xlfn.XLOOKUP(Assumptions!DJ$85, '1 Machine Build'!$F$11:$Q$11, '1 Machine Build'!$F15:$Q15), 0), _xlfn.IFNA(_xlfn.XLOOKUP(Assumptions!DJ$86, '1 Machine Build'!$F$11:$Q$11, '1 Machine Build'!$F15:$Q15), 0), _xlfn.IFNA(_xlfn.XLOOKUP(Assumptions!DJ$87, '1 Machine Build'!$F$11:$Q$11, '1 Machine Build'!$F15:$Q15), 0), _xlfn.IFNA(_xlfn.XLOOKUP(Assumptions!DJ$88, '1 Machine Build'!$F$11:$Q$11, '1 Machine Build'!$F15:$Q15), 0))</f>
        <v>0</v>
      </c>
      <c r="DM33" s="97">
        <f>SUM(_xlfn.IFNA(_xlfn.XLOOKUP(Assumptions!DK$81, '1 Machine Build'!$F$11:$Q$11, '1 Machine Build'!$F15:$Q15), 0), _xlfn.IFNA(_xlfn.XLOOKUP(Assumptions!DK$82, '1 Machine Build'!$F$11:$Q$11, '1 Machine Build'!$F15:$Q15), 0), _xlfn.IFNA(_xlfn.XLOOKUP(Assumptions!DK$83, '1 Machine Build'!$F$11:$Q$11, '1 Machine Build'!$F15:$Q15), 0), _xlfn.IFNA(_xlfn.XLOOKUP(Assumptions!DK$84, '1 Machine Build'!$F$11:$Q$11, '1 Machine Build'!$F15:$Q15), 0), _xlfn.IFNA(_xlfn.XLOOKUP(Assumptions!DK$85, '1 Machine Build'!$F$11:$Q$11, '1 Machine Build'!$F15:$Q15), 0), _xlfn.IFNA(_xlfn.XLOOKUP(Assumptions!DK$86, '1 Machine Build'!$F$11:$Q$11, '1 Machine Build'!$F15:$Q15), 0), _xlfn.IFNA(_xlfn.XLOOKUP(Assumptions!DK$87, '1 Machine Build'!$F$11:$Q$11, '1 Machine Build'!$F15:$Q15), 0), _xlfn.IFNA(_xlfn.XLOOKUP(Assumptions!DK$88, '1 Machine Build'!$F$11:$Q$11, '1 Machine Build'!$F15:$Q15), 0))</f>
        <v>0</v>
      </c>
      <c r="DN33" s="97">
        <f>SUM(_xlfn.IFNA(_xlfn.XLOOKUP(Assumptions!DL$81, '1 Machine Build'!$F$11:$Q$11, '1 Machine Build'!$F15:$Q15), 0), _xlfn.IFNA(_xlfn.XLOOKUP(Assumptions!DL$82, '1 Machine Build'!$F$11:$Q$11, '1 Machine Build'!$F15:$Q15), 0), _xlfn.IFNA(_xlfn.XLOOKUP(Assumptions!DL$83, '1 Machine Build'!$F$11:$Q$11, '1 Machine Build'!$F15:$Q15), 0), _xlfn.IFNA(_xlfn.XLOOKUP(Assumptions!DL$84, '1 Machine Build'!$F$11:$Q$11, '1 Machine Build'!$F15:$Q15), 0), _xlfn.IFNA(_xlfn.XLOOKUP(Assumptions!DL$85, '1 Machine Build'!$F$11:$Q$11, '1 Machine Build'!$F15:$Q15), 0), _xlfn.IFNA(_xlfn.XLOOKUP(Assumptions!DL$86, '1 Machine Build'!$F$11:$Q$11, '1 Machine Build'!$F15:$Q15), 0), _xlfn.IFNA(_xlfn.XLOOKUP(Assumptions!DL$87, '1 Machine Build'!$F$11:$Q$11, '1 Machine Build'!$F15:$Q15), 0), _xlfn.IFNA(_xlfn.XLOOKUP(Assumptions!DL$88, '1 Machine Build'!$F$11:$Q$11, '1 Machine Build'!$F15:$Q15), 0))</f>
        <v>0</v>
      </c>
      <c r="DO33" s="97">
        <f>SUM(_xlfn.IFNA(_xlfn.XLOOKUP(Assumptions!DM$81, '1 Machine Build'!$F$11:$Q$11, '1 Machine Build'!$F15:$Q15), 0), _xlfn.IFNA(_xlfn.XLOOKUP(Assumptions!DM$82, '1 Machine Build'!$F$11:$Q$11, '1 Machine Build'!$F15:$Q15), 0), _xlfn.IFNA(_xlfn.XLOOKUP(Assumptions!DM$83, '1 Machine Build'!$F$11:$Q$11, '1 Machine Build'!$F15:$Q15), 0), _xlfn.IFNA(_xlfn.XLOOKUP(Assumptions!DM$84, '1 Machine Build'!$F$11:$Q$11, '1 Machine Build'!$F15:$Q15), 0), _xlfn.IFNA(_xlfn.XLOOKUP(Assumptions!DM$85, '1 Machine Build'!$F$11:$Q$11, '1 Machine Build'!$F15:$Q15), 0), _xlfn.IFNA(_xlfn.XLOOKUP(Assumptions!DM$86, '1 Machine Build'!$F$11:$Q$11, '1 Machine Build'!$F15:$Q15), 0), _xlfn.IFNA(_xlfn.XLOOKUP(Assumptions!DM$87, '1 Machine Build'!$F$11:$Q$11, '1 Machine Build'!$F15:$Q15), 0), _xlfn.IFNA(_xlfn.XLOOKUP(Assumptions!DM$88, '1 Machine Build'!$F$11:$Q$11, '1 Machine Build'!$F15:$Q15), 0))</f>
        <v>0</v>
      </c>
      <c r="DP33" s="97">
        <f>SUM(_xlfn.IFNA(_xlfn.XLOOKUP(Assumptions!DN$81, '1 Machine Build'!$F$11:$Q$11, '1 Machine Build'!$F15:$Q15), 0), _xlfn.IFNA(_xlfn.XLOOKUP(Assumptions!DN$82, '1 Machine Build'!$F$11:$Q$11, '1 Machine Build'!$F15:$Q15), 0), _xlfn.IFNA(_xlfn.XLOOKUP(Assumptions!DN$83, '1 Machine Build'!$F$11:$Q$11, '1 Machine Build'!$F15:$Q15), 0), _xlfn.IFNA(_xlfn.XLOOKUP(Assumptions!DN$84, '1 Machine Build'!$F$11:$Q$11, '1 Machine Build'!$F15:$Q15), 0), _xlfn.IFNA(_xlfn.XLOOKUP(Assumptions!DN$85, '1 Machine Build'!$F$11:$Q$11, '1 Machine Build'!$F15:$Q15), 0), _xlfn.IFNA(_xlfn.XLOOKUP(Assumptions!DN$86, '1 Machine Build'!$F$11:$Q$11, '1 Machine Build'!$F15:$Q15), 0), _xlfn.IFNA(_xlfn.XLOOKUP(Assumptions!DN$87, '1 Machine Build'!$F$11:$Q$11, '1 Machine Build'!$F15:$Q15), 0), _xlfn.IFNA(_xlfn.XLOOKUP(Assumptions!DN$88, '1 Machine Build'!$F$11:$Q$11, '1 Machine Build'!$F15:$Q15), 0))</f>
        <v>0</v>
      </c>
      <c r="DQ33" s="97">
        <f>SUM(_xlfn.IFNA(_xlfn.XLOOKUP(Assumptions!DO$81, '1 Machine Build'!$F$11:$Q$11, '1 Machine Build'!$F15:$Q15), 0), _xlfn.IFNA(_xlfn.XLOOKUP(Assumptions!DO$82, '1 Machine Build'!$F$11:$Q$11, '1 Machine Build'!$F15:$Q15), 0), _xlfn.IFNA(_xlfn.XLOOKUP(Assumptions!DO$83, '1 Machine Build'!$F$11:$Q$11, '1 Machine Build'!$F15:$Q15), 0), _xlfn.IFNA(_xlfn.XLOOKUP(Assumptions!DO$84, '1 Machine Build'!$F$11:$Q$11, '1 Machine Build'!$F15:$Q15), 0), _xlfn.IFNA(_xlfn.XLOOKUP(Assumptions!DO$85, '1 Machine Build'!$F$11:$Q$11, '1 Machine Build'!$F15:$Q15), 0), _xlfn.IFNA(_xlfn.XLOOKUP(Assumptions!DO$86, '1 Machine Build'!$F$11:$Q$11, '1 Machine Build'!$F15:$Q15), 0), _xlfn.IFNA(_xlfn.XLOOKUP(Assumptions!DO$87, '1 Machine Build'!$F$11:$Q$11, '1 Machine Build'!$F15:$Q15), 0), _xlfn.IFNA(_xlfn.XLOOKUP(Assumptions!DO$88, '1 Machine Build'!$F$11:$Q$11, '1 Machine Build'!$F15:$Q15), 0))</f>
        <v>0</v>
      </c>
      <c r="DR33" s="97">
        <f>SUM(_xlfn.IFNA(_xlfn.XLOOKUP(Assumptions!DP$81, '1 Machine Build'!$F$11:$Q$11, '1 Machine Build'!$F15:$Q15), 0), _xlfn.IFNA(_xlfn.XLOOKUP(Assumptions!DP$82, '1 Machine Build'!$F$11:$Q$11, '1 Machine Build'!$F15:$Q15), 0), _xlfn.IFNA(_xlfn.XLOOKUP(Assumptions!DP$83, '1 Machine Build'!$F$11:$Q$11, '1 Machine Build'!$F15:$Q15), 0), _xlfn.IFNA(_xlfn.XLOOKUP(Assumptions!DP$84, '1 Machine Build'!$F$11:$Q$11, '1 Machine Build'!$F15:$Q15), 0), _xlfn.IFNA(_xlfn.XLOOKUP(Assumptions!DP$85, '1 Machine Build'!$F$11:$Q$11, '1 Machine Build'!$F15:$Q15), 0), _xlfn.IFNA(_xlfn.XLOOKUP(Assumptions!DP$86, '1 Machine Build'!$F$11:$Q$11, '1 Machine Build'!$F15:$Q15), 0), _xlfn.IFNA(_xlfn.XLOOKUP(Assumptions!DP$87, '1 Machine Build'!$F$11:$Q$11, '1 Machine Build'!$F15:$Q15), 0), _xlfn.IFNA(_xlfn.XLOOKUP(Assumptions!DP$88, '1 Machine Build'!$F$11:$Q$11, '1 Machine Build'!$F15:$Q15), 0))</f>
        <v>0</v>
      </c>
      <c r="DS33" s="97">
        <f>SUM(_xlfn.IFNA(_xlfn.XLOOKUP(Assumptions!DQ$81, '1 Machine Build'!$F$11:$Q$11, '1 Machine Build'!$F15:$Q15), 0), _xlfn.IFNA(_xlfn.XLOOKUP(Assumptions!DQ$82, '1 Machine Build'!$F$11:$Q$11, '1 Machine Build'!$F15:$Q15), 0), _xlfn.IFNA(_xlfn.XLOOKUP(Assumptions!DQ$83, '1 Machine Build'!$F$11:$Q$11, '1 Machine Build'!$F15:$Q15), 0), _xlfn.IFNA(_xlfn.XLOOKUP(Assumptions!DQ$84, '1 Machine Build'!$F$11:$Q$11, '1 Machine Build'!$F15:$Q15), 0), _xlfn.IFNA(_xlfn.XLOOKUP(Assumptions!DQ$85, '1 Machine Build'!$F$11:$Q$11, '1 Machine Build'!$F15:$Q15), 0), _xlfn.IFNA(_xlfn.XLOOKUP(Assumptions!DQ$86, '1 Machine Build'!$F$11:$Q$11, '1 Machine Build'!$F15:$Q15), 0), _xlfn.IFNA(_xlfn.XLOOKUP(Assumptions!DQ$87, '1 Machine Build'!$F$11:$Q$11, '1 Machine Build'!$F15:$Q15), 0), _xlfn.IFNA(_xlfn.XLOOKUP(Assumptions!DQ$88, '1 Machine Build'!$F$11:$Q$11, '1 Machine Build'!$F15:$Q15), 0))</f>
        <v>0</v>
      </c>
      <c r="DT33" s="97">
        <f>SUM(_xlfn.IFNA(_xlfn.XLOOKUP(Assumptions!DR$81, '1 Machine Build'!$F$11:$Q$11, '1 Machine Build'!$F15:$Q15), 0), _xlfn.IFNA(_xlfn.XLOOKUP(Assumptions!DR$82, '1 Machine Build'!$F$11:$Q$11, '1 Machine Build'!$F15:$Q15), 0), _xlfn.IFNA(_xlfn.XLOOKUP(Assumptions!DR$83, '1 Machine Build'!$F$11:$Q$11, '1 Machine Build'!$F15:$Q15), 0), _xlfn.IFNA(_xlfn.XLOOKUP(Assumptions!DR$84, '1 Machine Build'!$F$11:$Q$11, '1 Machine Build'!$F15:$Q15), 0), _xlfn.IFNA(_xlfn.XLOOKUP(Assumptions!DR$85, '1 Machine Build'!$F$11:$Q$11, '1 Machine Build'!$F15:$Q15), 0), _xlfn.IFNA(_xlfn.XLOOKUP(Assumptions!DR$86, '1 Machine Build'!$F$11:$Q$11, '1 Machine Build'!$F15:$Q15), 0), _xlfn.IFNA(_xlfn.XLOOKUP(Assumptions!DR$87, '1 Machine Build'!$F$11:$Q$11, '1 Machine Build'!$F15:$Q15), 0), _xlfn.IFNA(_xlfn.XLOOKUP(Assumptions!DR$88, '1 Machine Build'!$F$11:$Q$11, '1 Machine Build'!$F15:$Q15), 0))</f>
        <v>0</v>
      </c>
      <c r="DU33" s="97">
        <f>SUM(_xlfn.IFNA(_xlfn.XLOOKUP(Assumptions!DS$81, '1 Machine Build'!$F$11:$Q$11, '1 Machine Build'!$F15:$Q15), 0), _xlfn.IFNA(_xlfn.XLOOKUP(Assumptions!DS$82, '1 Machine Build'!$F$11:$Q$11, '1 Machine Build'!$F15:$Q15), 0), _xlfn.IFNA(_xlfn.XLOOKUP(Assumptions!DS$83, '1 Machine Build'!$F$11:$Q$11, '1 Machine Build'!$F15:$Q15), 0), _xlfn.IFNA(_xlfn.XLOOKUP(Assumptions!DS$84, '1 Machine Build'!$F$11:$Q$11, '1 Machine Build'!$F15:$Q15), 0), _xlfn.IFNA(_xlfn.XLOOKUP(Assumptions!DS$85, '1 Machine Build'!$F$11:$Q$11, '1 Machine Build'!$F15:$Q15), 0), _xlfn.IFNA(_xlfn.XLOOKUP(Assumptions!DS$86, '1 Machine Build'!$F$11:$Q$11, '1 Machine Build'!$F15:$Q15), 0), _xlfn.IFNA(_xlfn.XLOOKUP(Assumptions!DS$87, '1 Machine Build'!$F$11:$Q$11, '1 Machine Build'!$F15:$Q15), 0), _xlfn.IFNA(_xlfn.XLOOKUP(Assumptions!DS$88, '1 Machine Build'!$F$11:$Q$11, '1 Machine Build'!$F15:$Q15), 0))</f>
        <v>0</v>
      </c>
      <c r="DV33" s="97">
        <f>SUM(_xlfn.IFNA(_xlfn.XLOOKUP(Assumptions!DT$81, '1 Machine Build'!$F$11:$Q$11, '1 Machine Build'!$F15:$Q15), 0), _xlfn.IFNA(_xlfn.XLOOKUP(Assumptions!DT$82, '1 Machine Build'!$F$11:$Q$11, '1 Machine Build'!$F15:$Q15), 0), _xlfn.IFNA(_xlfn.XLOOKUP(Assumptions!DT$83, '1 Machine Build'!$F$11:$Q$11, '1 Machine Build'!$F15:$Q15), 0), _xlfn.IFNA(_xlfn.XLOOKUP(Assumptions!DT$84, '1 Machine Build'!$F$11:$Q$11, '1 Machine Build'!$F15:$Q15), 0), _xlfn.IFNA(_xlfn.XLOOKUP(Assumptions!DT$85, '1 Machine Build'!$F$11:$Q$11, '1 Machine Build'!$F15:$Q15), 0), _xlfn.IFNA(_xlfn.XLOOKUP(Assumptions!DT$86, '1 Machine Build'!$F$11:$Q$11, '1 Machine Build'!$F15:$Q15), 0), _xlfn.IFNA(_xlfn.XLOOKUP(Assumptions!DT$87, '1 Machine Build'!$F$11:$Q$11, '1 Machine Build'!$F15:$Q15), 0), _xlfn.IFNA(_xlfn.XLOOKUP(Assumptions!DT$88, '1 Machine Build'!$F$11:$Q$11, '1 Machine Build'!$F15:$Q15), 0))</f>
        <v>0</v>
      </c>
      <c r="DW33" s="97">
        <f>SUM(_xlfn.IFNA(_xlfn.XLOOKUP(Assumptions!DU$81, '1 Machine Build'!$F$11:$Q$11, '1 Machine Build'!$F15:$Q15), 0), _xlfn.IFNA(_xlfn.XLOOKUP(Assumptions!DU$82, '1 Machine Build'!$F$11:$Q$11, '1 Machine Build'!$F15:$Q15), 0), _xlfn.IFNA(_xlfn.XLOOKUP(Assumptions!DU$83, '1 Machine Build'!$F$11:$Q$11, '1 Machine Build'!$F15:$Q15), 0), _xlfn.IFNA(_xlfn.XLOOKUP(Assumptions!DU$84, '1 Machine Build'!$F$11:$Q$11, '1 Machine Build'!$F15:$Q15), 0), _xlfn.IFNA(_xlfn.XLOOKUP(Assumptions!DU$85, '1 Machine Build'!$F$11:$Q$11, '1 Machine Build'!$F15:$Q15), 0), _xlfn.IFNA(_xlfn.XLOOKUP(Assumptions!DU$86, '1 Machine Build'!$F$11:$Q$11, '1 Machine Build'!$F15:$Q15), 0), _xlfn.IFNA(_xlfn.XLOOKUP(Assumptions!DU$87, '1 Machine Build'!$F$11:$Q$11, '1 Machine Build'!$F15:$Q15), 0), _xlfn.IFNA(_xlfn.XLOOKUP(Assumptions!DU$88, '1 Machine Build'!$F$11:$Q$11, '1 Machine Build'!$F15:$Q15), 0))</f>
        <v>0</v>
      </c>
      <c r="DX33" s="97">
        <f>SUM(_xlfn.IFNA(_xlfn.XLOOKUP(Assumptions!DV$81, '1 Machine Build'!$F$11:$Q$11, '1 Machine Build'!$F15:$Q15), 0), _xlfn.IFNA(_xlfn.XLOOKUP(Assumptions!DV$82, '1 Machine Build'!$F$11:$Q$11, '1 Machine Build'!$F15:$Q15), 0), _xlfn.IFNA(_xlfn.XLOOKUP(Assumptions!DV$83, '1 Machine Build'!$F$11:$Q$11, '1 Machine Build'!$F15:$Q15), 0), _xlfn.IFNA(_xlfn.XLOOKUP(Assumptions!DV$84, '1 Machine Build'!$F$11:$Q$11, '1 Machine Build'!$F15:$Q15), 0), _xlfn.IFNA(_xlfn.XLOOKUP(Assumptions!DV$85, '1 Machine Build'!$F$11:$Q$11, '1 Machine Build'!$F15:$Q15), 0), _xlfn.IFNA(_xlfn.XLOOKUP(Assumptions!DV$86, '1 Machine Build'!$F$11:$Q$11, '1 Machine Build'!$F15:$Q15), 0), _xlfn.IFNA(_xlfn.XLOOKUP(Assumptions!DV$87, '1 Machine Build'!$F$11:$Q$11, '1 Machine Build'!$F15:$Q15), 0), _xlfn.IFNA(_xlfn.XLOOKUP(Assumptions!DV$88, '1 Machine Build'!$F$11:$Q$11, '1 Machine Build'!$F15:$Q15), 0))</f>
        <v>0</v>
      </c>
      <c r="DY33" s="97">
        <f>SUM(_xlfn.IFNA(_xlfn.XLOOKUP(Assumptions!DW$81, '1 Machine Build'!$F$11:$Q$11, '1 Machine Build'!$F15:$Q15), 0), _xlfn.IFNA(_xlfn.XLOOKUP(Assumptions!DW$82, '1 Machine Build'!$F$11:$Q$11, '1 Machine Build'!$F15:$Q15), 0), _xlfn.IFNA(_xlfn.XLOOKUP(Assumptions!DW$83, '1 Machine Build'!$F$11:$Q$11, '1 Machine Build'!$F15:$Q15), 0), _xlfn.IFNA(_xlfn.XLOOKUP(Assumptions!DW$84, '1 Machine Build'!$F$11:$Q$11, '1 Machine Build'!$F15:$Q15), 0), _xlfn.IFNA(_xlfn.XLOOKUP(Assumptions!DW$85, '1 Machine Build'!$F$11:$Q$11, '1 Machine Build'!$F15:$Q15), 0), _xlfn.IFNA(_xlfn.XLOOKUP(Assumptions!DW$86, '1 Machine Build'!$F$11:$Q$11, '1 Machine Build'!$F15:$Q15), 0), _xlfn.IFNA(_xlfn.XLOOKUP(Assumptions!DW$87, '1 Machine Build'!$F$11:$Q$11, '1 Machine Build'!$F15:$Q15), 0), _xlfn.IFNA(_xlfn.XLOOKUP(Assumptions!DW$88, '1 Machine Build'!$F$11:$Q$11, '1 Machine Build'!$F15:$Q15), 0))</f>
        <v>0</v>
      </c>
      <c r="DZ33" s="97">
        <f>SUM(_xlfn.IFNA(_xlfn.XLOOKUP(Assumptions!DX$81, '1 Machine Build'!$F$11:$Q$11, '1 Machine Build'!$F15:$Q15), 0), _xlfn.IFNA(_xlfn.XLOOKUP(Assumptions!DX$82, '1 Machine Build'!$F$11:$Q$11, '1 Machine Build'!$F15:$Q15), 0), _xlfn.IFNA(_xlfn.XLOOKUP(Assumptions!DX$83, '1 Machine Build'!$F$11:$Q$11, '1 Machine Build'!$F15:$Q15), 0), _xlfn.IFNA(_xlfn.XLOOKUP(Assumptions!DX$84, '1 Machine Build'!$F$11:$Q$11, '1 Machine Build'!$F15:$Q15), 0), _xlfn.IFNA(_xlfn.XLOOKUP(Assumptions!DX$85, '1 Machine Build'!$F$11:$Q$11, '1 Machine Build'!$F15:$Q15), 0), _xlfn.IFNA(_xlfn.XLOOKUP(Assumptions!DX$86, '1 Machine Build'!$F$11:$Q$11, '1 Machine Build'!$F15:$Q15), 0), _xlfn.IFNA(_xlfn.XLOOKUP(Assumptions!DX$87, '1 Machine Build'!$F$11:$Q$11, '1 Machine Build'!$F15:$Q15), 0), _xlfn.IFNA(_xlfn.XLOOKUP(Assumptions!DX$88, '1 Machine Build'!$F$11:$Q$11, '1 Machine Build'!$F15:$Q15), 0))</f>
        <v>0</v>
      </c>
      <c r="EA33" s="97">
        <f>SUM(_xlfn.IFNA(_xlfn.XLOOKUP(Assumptions!DY$81, '1 Machine Build'!$F$11:$Q$11, '1 Machine Build'!$F15:$Q15), 0), _xlfn.IFNA(_xlfn.XLOOKUP(Assumptions!DY$82, '1 Machine Build'!$F$11:$Q$11, '1 Machine Build'!$F15:$Q15), 0), _xlfn.IFNA(_xlfn.XLOOKUP(Assumptions!DY$83, '1 Machine Build'!$F$11:$Q$11, '1 Machine Build'!$F15:$Q15), 0), _xlfn.IFNA(_xlfn.XLOOKUP(Assumptions!DY$84, '1 Machine Build'!$F$11:$Q$11, '1 Machine Build'!$F15:$Q15), 0), _xlfn.IFNA(_xlfn.XLOOKUP(Assumptions!DY$85, '1 Machine Build'!$F$11:$Q$11, '1 Machine Build'!$F15:$Q15), 0), _xlfn.IFNA(_xlfn.XLOOKUP(Assumptions!DY$86, '1 Machine Build'!$F$11:$Q$11, '1 Machine Build'!$F15:$Q15), 0), _xlfn.IFNA(_xlfn.XLOOKUP(Assumptions!DY$87, '1 Machine Build'!$F$11:$Q$11, '1 Machine Build'!$F15:$Q15), 0), _xlfn.IFNA(_xlfn.XLOOKUP(Assumptions!DY$88, '1 Machine Build'!$F$11:$Q$11, '1 Machine Build'!$F15:$Q15), 0))</f>
        <v>0</v>
      </c>
      <c r="EB33" s="97">
        <f>SUM(_xlfn.IFNA(_xlfn.XLOOKUP(Assumptions!DZ$81, '1 Machine Build'!$F$11:$Q$11, '1 Machine Build'!$F15:$Q15), 0), _xlfn.IFNA(_xlfn.XLOOKUP(Assumptions!DZ$82, '1 Machine Build'!$F$11:$Q$11, '1 Machine Build'!$F15:$Q15), 0), _xlfn.IFNA(_xlfn.XLOOKUP(Assumptions!DZ$83, '1 Machine Build'!$F$11:$Q$11, '1 Machine Build'!$F15:$Q15), 0), _xlfn.IFNA(_xlfn.XLOOKUP(Assumptions!DZ$84, '1 Machine Build'!$F$11:$Q$11, '1 Machine Build'!$F15:$Q15), 0), _xlfn.IFNA(_xlfn.XLOOKUP(Assumptions!DZ$85, '1 Machine Build'!$F$11:$Q$11, '1 Machine Build'!$F15:$Q15), 0), _xlfn.IFNA(_xlfn.XLOOKUP(Assumptions!DZ$86, '1 Machine Build'!$F$11:$Q$11, '1 Machine Build'!$F15:$Q15), 0), _xlfn.IFNA(_xlfn.XLOOKUP(Assumptions!DZ$87, '1 Machine Build'!$F$11:$Q$11, '1 Machine Build'!$F15:$Q15), 0), _xlfn.IFNA(_xlfn.XLOOKUP(Assumptions!DZ$88, '1 Machine Build'!$F$11:$Q$11, '1 Machine Build'!$F15:$Q15), 0))</f>
        <v>0</v>
      </c>
      <c r="EC33" s="97">
        <f>SUM(_xlfn.IFNA(_xlfn.XLOOKUP(Assumptions!EA$81, '1 Machine Build'!$F$11:$Q$11, '1 Machine Build'!$F15:$Q15), 0), _xlfn.IFNA(_xlfn.XLOOKUP(Assumptions!EA$82, '1 Machine Build'!$F$11:$Q$11, '1 Machine Build'!$F15:$Q15), 0), _xlfn.IFNA(_xlfn.XLOOKUP(Assumptions!EA$83, '1 Machine Build'!$F$11:$Q$11, '1 Machine Build'!$F15:$Q15), 0), _xlfn.IFNA(_xlfn.XLOOKUP(Assumptions!EA$84, '1 Machine Build'!$F$11:$Q$11, '1 Machine Build'!$F15:$Q15), 0), _xlfn.IFNA(_xlfn.XLOOKUP(Assumptions!EA$85, '1 Machine Build'!$F$11:$Q$11, '1 Machine Build'!$F15:$Q15), 0), _xlfn.IFNA(_xlfn.XLOOKUP(Assumptions!EA$86, '1 Machine Build'!$F$11:$Q$11, '1 Machine Build'!$F15:$Q15), 0), _xlfn.IFNA(_xlfn.XLOOKUP(Assumptions!EA$87, '1 Machine Build'!$F$11:$Q$11, '1 Machine Build'!$F15:$Q15), 0), _xlfn.IFNA(_xlfn.XLOOKUP(Assumptions!EA$88, '1 Machine Build'!$F$11:$Q$11, '1 Machine Build'!$F15:$Q15), 0))</f>
        <v>0</v>
      </c>
      <c r="ED33" s="97">
        <f>SUM(_xlfn.IFNA(_xlfn.XLOOKUP(Assumptions!EB$81, '1 Machine Build'!$F$11:$Q$11, '1 Machine Build'!$F15:$Q15), 0), _xlfn.IFNA(_xlfn.XLOOKUP(Assumptions!EB$82, '1 Machine Build'!$F$11:$Q$11, '1 Machine Build'!$F15:$Q15), 0), _xlfn.IFNA(_xlfn.XLOOKUP(Assumptions!EB$83, '1 Machine Build'!$F$11:$Q$11, '1 Machine Build'!$F15:$Q15), 0), _xlfn.IFNA(_xlfn.XLOOKUP(Assumptions!EB$84, '1 Machine Build'!$F$11:$Q$11, '1 Machine Build'!$F15:$Q15), 0), _xlfn.IFNA(_xlfn.XLOOKUP(Assumptions!EB$85, '1 Machine Build'!$F$11:$Q$11, '1 Machine Build'!$F15:$Q15), 0), _xlfn.IFNA(_xlfn.XLOOKUP(Assumptions!EB$86, '1 Machine Build'!$F$11:$Q$11, '1 Machine Build'!$F15:$Q15), 0), _xlfn.IFNA(_xlfn.XLOOKUP(Assumptions!EB$87, '1 Machine Build'!$F$11:$Q$11, '1 Machine Build'!$F15:$Q15), 0), _xlfn.IFNA(_xlfn.XLOOKUP(Assumptions!EB$88, '1 Machine Build'!$F$11:$Q$11, '1 Machine Build'!$F15:$Q15), 0))</f>
        <v>0</v>
      </c>
      <c r="EE33" s="97">
        <f>SUM(_xlfn.IFNA(_xlfn.XLOOKUP(Assumptions!EC$81, '1 Machine Build'!$F$11:$Q$11, '1 Machine Build'!$F15:$Q15), 0), _xlfn.IFNA(_xlfn.XLOOKUP(Assumptions!EC$82, '1 Machine Build'!$F$11:$Q$11, '1 Machine Build'!$F15:$Q15), 0), _xlfn.IFNA(_xlfn.XLOOKUP(Assumptions!EC$83, '1 Machine Build'!$F$11:$Q$11, '1 Machine Build'!$F15:$Q15), 0), _xlfn.IFNA(_xlfn.XLOOKUP(Assumptions!EC$84, '1 Machine Build'!$F$11:$Q$11, '1 Machine Build'!$F15:$Q15), 0), _xlfn.IFNA(_xlfn.XLOOKUP(Assumptions!EC$85, '1 Machine Build'!$F$11:$Q$11, '1 Machine Build'!$F15:$Q15), 0), _xlfn.IFNA(_xlfn.XLOOKUP(Assumptions!EC$86, '1 Machine Build'!$F$11:$Q$11, '1 Machine Build'!$F15:$Q15), 0), _xlfn.IFNA(_xlfn.XLOOKUP(Assumptions!EC$87, '1 Machine Build'!$F$11:$Q$11, '1 Machine Build'!$F15:$Q15), 0), _xlfn.IFNA(_xlfn.XLOOKUP(Assumptions!EC$88, '1 Machine Build'!$F$11:$Q$11, '1 Machine Build'!$F15:$Q15), 0))</f>
        <v>0</v>
      </c>
      <c r="EF33" s="97">
        <f>SUM(_xlfn.IFNA(_xlfn.XLOOKUP(Assumptions!ED$81, '1 Machine Build'!$F$11:$Q$11, '1 Machine Build'!$F15:$Q15), 0), _xlfn.IFNA(_xlfn.XLOOKUP(Assumptions!ED$82, '1 Machine Build'!$F$11:$Q$11, '1 Machine Build'!$F15:$Q15), 0), _xlfn.IFNA(_xlfn.XLOOKUP(Assumptions!ED$83, '1 Machine Build'!$F$11:$Q$11, '1 Machine Build'!$F15:$Q15), 0), _xlfn.IFNA(_xlfn.XLOOKUP(Assumptions!ED$84, '1 Machine Build'!$F$11:$Q$11, '1 Machine Build'!$F15:$Q15), 0), _xlfn.IFNA(_xlfn.XLOOKUP(Assumptions!ED$85, '1 Machine Build'!$F$11:$Q$11, '1 Machine Build'!$F15:$Q15), 0), _xlfn.IFNA(_xlfn.XLOOKUP(Assumptions!ED$86, '1 Machine Build'!$F$11:$Q$11, '1 Machine Build'!$F15:$Q15), 0), _xlfn.IFNA(_xlfn.XLOOKUP(Assumptions!ED$87, '1 Machine Build'!$F$11:$Q$11, '1 Machine Build'!$F15:$Q15), 0), _xlfn.IFNA(_xlfn.XLOOKUP(Assumptions!ED$88, '1 Machine Build'!$F$11:$Q$11, '1 Machine Build'!$F15:$Q15), 0))</f>
        <v>0</v>
      </c>
      <c r="EG33" s="97">
        <f>SUM(_xlfn.IFNA(_xlfn.XLOOKUP(Assumptions!EE$81, '1 Machine Build'!$F$11:$Q$11, '1 Machine Build'!$F15:$Q15), 0), _xlfn.IFNA(_xlfn.XLOOKUP(Assumptions!EE$82, '1 Machine Build'!$F$11:$Q$11, '1 Machine Build'!$F15:$Q15), 0), _xlfn.IFNA(_xlfn.XLOOKUP(Assumptions!EE$83, '1 Machine Build'!$F$11:$Q$11, '1 Machine Build'!$F15:$Q15), 0), _xlfn.IFNA(_xlfn.XLOOKUP(Assumptions!EE$84, '1 Machine Build'!$F$11:$Q$11, '1 Machine Build'!$F15:$Q15), 0), _xlfn.IFNA(_xlfn.XLOOKUP(Assumptions!EE$85, '1 Machine Build'!$F$11:$Q$11, '1 Machine Build'!$F15:$Q15), 0), _xlfn.IFNA(_xlfn.XLOOKUP(Assumptions!EE$86, '1 Machine Build'!$F$11:$Q$11, '1 Machine Build'!$F15:$Q15), 0), _xlfn.IFNA(_xlfn.XLOOKUP(Assumptions!EE$87, '1 Machine Build'!$F$11:$Q$11, '1 Machine Build'!$F15:$Q15), 0), _xlfn.IFNA(_xlfn.XLOOKUP(Assumptions!EE$88, '1 Machine Build'!$F$11:$Q$11, '1 Machine Build'!$F15:$Q15), 0))</f>
        <v>0</v>
      </c>
      <c r="EH33" s="97">
        <f>SUM(_xlfn.IFNA(_xlfn.XLOOKUP(Assumptions!EF$81, '1 Machine Build'!$F$11:$Q$11, '1 Machine Build'!$F15:$Q15), 0), _xlfn.IFNA(_xlfn.XLOOKUP(Assumptions!EF$82, '1 Machine Build'!$F$11:$Q$11, '1 Machine Build'!$F15:$Q15), 0), _xlfn.IFNA(_xlfn.XLOOKUP(Assumptions!EF$83, '1 Machine Build'!$F$11:$Q$11, '1 Machine Build'!$F15:$Q15), 0), _xlfn.IFNA(_xlfn.XLOOKUP(Assumptions!EF$84, '1 Machine Build'!$F$11:$Q$11, '1 Machine Build'!$F15:$Q15), 0), _xlfn.IFNA(_xlfn.XLOOKUP(Assumptions!EF$85, '1 Machine Build'!$F$11:$Q$11, '1 Machine Build'!$F15:$Q15), 0), _xlfn.IFNA(_xlfn.XLOOKUP(Assumptions!EF$86, '1 Machine Build'!$F$11:$Q$11, '1 Machine Build'!$F15:$Q15), 0), _xlfn.IFNA(_xlfn.XLOOKUP(Assumptions!EF$87, '1 Machine Build'!$F$11:$Q$11, '1 Machine Build'!$F15:$Q15), 0), _xlfn.IFNA(_xlfn.XLOOKUP(Assumptions!EF$88, '1 Machine Build'!$F$11:$Q$11, '1 Machine Build'!$F15:$Q15), 0))</f>
        <v>0</v>
      </c>
      <c r="EI33" s="97">
        <f>SUM(_xlfn.IFNA(_xlfn.XLOOKUP(Assumptions!EG$81, '1 Machine Build'!$F$11:$Q$11, '1 Machine Build'!$F15:$Q15), 0), _xlfn.IFNA(_xlfn.XLOOKUP(Assumptions!EG$82, '1 Machine Build'!$F$11:$Q$11, '1 Machine Build'!$F15:$Q15), 0), _xlfn.IFNA(_xlfn.XLOOKUP(Assumptions!EG$83, '1 Machine Build'!$F$11:$Q$11, '1 Machine Build'!$F15:$Q15), 0), _xlfn.IFNA(_xlfn.XLOOKUP(Assumptions!EG$84, '1 Machine Build'!$F$11:$Q$11, '1 Machine Build'!$F15:$Q15), 0), _xlfn.IFNA(_xlfn.XLOOKUP(Assumptions!EG$85, '1 Machine Build'!$F$11:$Q$11, '1 Machine Build'!$F15:$Q15), 0), _xlfn.IFNA(_xlfn.XLOOKUP(Assumptions!EG$86, '1 Machine Build'!$F$11:$Q$11, '1 Machine Build'!$F15:$Q15), 0), _xlfn.IFNA(_xlfn.XLOOKUP(Assumptions!EG$87, '1 Machine Build'!$F$11:$Q$11, '1 Machine Build'!$F15:$Q15), 0), _xlfn.IFNA(_xlfn.XLOOKUP(Assumptions!EG$88, '1 Machine Build'!$F$11:$Q$11, '1 Machine Build'!$F15:$Q15), 0))</f>
        <v>0</v>
      </c>
      <c r="EJ33" s="97">
        <f>SUM(_xlfn.IFNA(_xlfn.XLOOKUP(Assumptions!EH$81, '1 Machine Build'!$F$11:$Q$11, '1 Machine Build'!$F15:$Q15), 0), _xlfn.IFNA(_xlfn.XLOOKUP(Assumptions!EH$82, '1 Machine Build'!$F$11:$Q$11, '1 Machine Build'!$F15:$Q15), 0), _xlfn.IFNA(_xlfn.XLOOKUP(Assumptions!EH$83, '1 Machine Build'!$F$11:$Q$11, '1 Machine Build'!$F15:$Q15), 0), _xlfn.IFNA(_xlfn.XLOOKUP(Assumptions!EH$84, '1 Machine Build'!$F$11:$Q$11, '1 Machine Build'!$F15:$Q15), 0), _xlfn.IFNA(_xlfn.XLOOKUP(Assumptions!EH$85, '1 Machine Build'!$F$11:$Q$11, '1 Machine Build'!$F15:$Q15), 0), _xlfn.IFNA(_xlfn.XLOOKUP(Assumptions!EH$86, '1 Machine Build'!$F$11:$Q$11, '1 Machine Build'!$F15:$Q15), 0), _xlfn.IFNA(_xlfn.XLOOKUP(Assumptions!EH$87, '1 Machine Build'!$F$11:$Q$11, '1 Machine Build'!$F15:$Q15), 0), _xlfn.IFNA(_xlfn.XLOOKUP(Assumptions!EH$88, '1 Machine Build'!$F$11:$Q$11, '1 Machine Build'!$F15:$Q15), 0))</f>
        <v>0</v>
      </c>
      <c r="EK33" s="97">
        <f>SUM(_xlfn.IFNA(_xlfn.XLOOKUP(Assumptions!EI$81, '1 Machine Build'!$F$11:$Q$11, '1 Machine Build'!$F15:$Q15), 0), _xlfn.IFNA(_xlfn.XLOOKUP(Assumptions!EI$82, '1 Machine Build'!$F$11:$Q$11, '1 Machine Build'!$F15:$Q15), 0), _xlfn.IFNA(_xlfn.XLOOKUP(Assumptions!EI$83, '1 Machine Build'!$F$11:$Q$11, '1 Machine Build'!$F15:$Q15), 0), _xlfn.IFNA(_xlfn.XLOOKUP(Assumptions!EI$84, '1 Machine Build'!$F$11:$Q$11, '1 Machine Build'!$F15:$Q15), 0), _xlfn.IFNA(_xlfn.XLOOKUP(Assumptions!EI$85, '1 Machine Build'!$F$11:$Q$11, '1 Machine Build'!$F15:$Q15), 0), _xlfn.IFNA(_xlfn.XLOOKUP(Assumptions!EI$86, '1 Machine Build'!$F$11:$Q$11, '1 Machine Build'!$F15:$Q15), 0), _xlfn.IFNA(_xlfn.XLOOKUP(Assumptions!EI$87, '1 Machine Build'!$F$11:$Q$11, '1 Machine Build'!$F15:$Q15), 0), _xlfn.IFNA(_xlfn.XLOOKUP(Assumptions!EI$88, '1 Machine Build'!$F$11:$Q$11, '1 Machine Build'!$F15:$Q15), 0))</f>
        <v>0</v>
      </c>
      <c r="EL33" s="97">
        <f>SUM(_xlfn.IFNA(_xlfn.XLOOKUP(Assumptions!EJ$81, '1 Machine Build'!$F$11:$Q$11, '1 Machine Build'!$F15:$Q15), 0), _xlfn.IFNA(_xlfn.XLOOKUP(Assumptions!EJ$82, '1 Machine Build'!$F$11:$Q$11, '1 Machine Build'!$F15:$Q15), 0), _xlfn.IFNA(_xlfn.XLOOKUP(Assumptions!EJ$83, '1 Machine Build'!$F$11:$Q$11, '1 Machine Build'!$F15:$Q15), 0), _xlfn.IFNA(_xlfn.XLOOKUP(Assumptions!EJ$84, '1 Machine Build'!$F$11:$Q$11, '1 Machine Build'!$F15:$Q15), 0), _xlfn.IFNA(_xlfn.XLOOKUP(Assumptions!EJ$85, '1 Machine Build'!$F$11:$Q$11, '1 Machine Build'!$F15:$Q15), 0), _xlfn.IFNA(_xlfn.XLOOKUP(Assumptions!EJ$86, '1 Machine Build'!$F$11:$Q$11, '1 Machine Build'!$F15:$Q15), 0), _xlfn.IFNA(_xlfn.XLOOKUP(Assumptions!EJ$87, '1 Machine Build'!$F$11:$Q$11, '1 Machine Build'!$F15:$Q15), 0), _xlfn.IFNA(_xlfn.XLOOKUP(Assumptions!EJ$88, '1 Machine Build'!$F$11:$Q$11, '1 Machine Build'!$F15:$Q15), 0))</f>
        <v>0</v>
      </c>
      <c r="EM33" s="97">
        <f>SUM(_xlfn.IFNA(_xlfn.XLOOKUP(Assumptions!EK$81, '1 Machine Build'!$F$11:$Q$11, '1 Machine Build'!$F15:$Q15), 0), _xlfn.IFNA(_xlfn.XLOOKUP(Assumptions!EK$82, '1 Machine Build'!$F$11:$Q$11, '1 Machine Build'!$F15:$Q15), 0), _xlfn.IFNA(_xlfn.XLOOKUP(Assumptions!EK$83, '1 Machine Build'!$F$11:$Q$11, '1 Machine Build'!$F15:$Q15), 0), _xlfn.IFNA(_xlfn.XLOOKUP(Assumptions!EK$84, '1 Machine Build'!$F$11:$Q$11, '1 Machine Build'!$F15:$Q15), 0), _xlfn.IFNA(_xlfn.XLOOKUP(Assumptions!EK$85, '1 Machine Build'!$F$11:$Q$11, '1 Machine Build'!$F15:$Q15), 0), _xlfn.IFNA(_xlfn.XLOOKUP(Assumptions!EK$86, '1 Machine Build'!$F$11:$Q$11, '1 Machine Build'!$F15:$Q15), 0), _xlfn.IFNA(_xlfn.XLOOKUP(Assumptions!EK$87, '1 Machine Build'!$F$11:$Q$11, '1 Machine Build'!$F15:$Q15), 0), _xlfn.IFNA(_xlfn.XLOOKUP(Assumptions!EK$88, '1 Machine Build'!$F$11:$Q$11, '1 Machine Build'!$F15:$Q15), 0))</f>
        <v>0</v>
      </c>
      <c r="EN33" s="97">
        <f>SUM(_xlfn.IFNA(_xlfn.XLOOKUP(Assumptions!EL$81, '1 Machine Build'!$F$11:$Q$11, '1 Machine Build'!$F15:$Q15), 0), _xlfn.IFNA(_xlfn.XLOOKUP(Assumptions!EL$82, '1 Machine Build'!$F$11:$Q$11, '1 Machine Build'!$F15:$Q15), 0), _xlfn.IFNA(_xlfn.XLOOKUP(Assumptions!EL$83, '1 Machine Build'!$F$11:$Q$11, '1 Machine Build'!$F15:$Q15), 0), _xlfn.IFNA(_xlfn.XLOOKUP(Assumptions!EL$84, '1 Machine Build'!$F$11:$Q$11, '1 Machine Build'!$F15:$Q15), 0), _xlfn.IFNA(_xlfn.XLOOKUP(Assumptions!EL$85, '1 Machine Build'!$F$11:$Q$11, '1 Machine Build'!$F15:$Q15), 0), _xlfn.IFNA(_xlfn.XLOOKUP(Assumptions!EL$86, '1 Machine Build'!$F$11:$Q$11, '1 Machine Build'!$F15:$Q15), 0), _xlfn.IFNA(_xlfn.XLOOKUP(Assumptions!EL$87, '1 Machine Build'!$F$11:$Q$11, '1 Machine Build'!$F15:$Q15), 0), _xlfn.IFNA(_xlfn.XLOOKUP(Assumptions!EL$88, '1 Machine Build'!$F$11:$Q$11, '1 Machine Build'!$F15:$Q15), 0))</f>
        <v>0</v>
      </c>
      <c r="EO33" s="97">
        <f>SUM(_xlfn.IFNA(_xlfn.XLOOKUP(Assumptions!EM$81, '1 Machine Build'!$F$11:$Q$11, '1 Machine Build'!$F15:$Q15), 0), _xlfn.IFNA(_xlfn.XLOOKUP(Assumptions!EM$82, '1 Machine Build'!$F$11:$Q$11, '1 Machine Build'!$F15:$Q15), 0), _xlfn.IFNA(_xlfn.XLOOKUP(Assumptions!EM$83, '1 Machine Build'!$F$11:$Q$11, '1 Machine Build'!$F15:$Q15), 0), _xlfn.IFNA(_xlfn.XLOOKUP(Assumptions!EM$84, '1 Machine Build'!$F$11:$Q$11, '1 Machine Build'!$F15:$Q15), 0), _xlfn.IFNA(_xlfn.XLOOKUP(Assumptions!EM$85, '1 Machine Build'!$F$11:$Q$11, '1 Machine Build'!$F15:$Q15), 0), _xlfn.IFNA(_xlfn.XLOOKUP(Assumptions!EM$86, '1 Machine Build'!$F$11:$Q$11, '1 Machine Build'!$F15:$Q15), 0), _xlfn.IFNA(_xlfn.XLOOKUP(Assumptions!EM$87, '1 Machine Build'!$F$11:$Q$11, '1 Machine Build'!$F15:$Q15), 0), _xlfn.IFNA(_xlfn.XLOOKUP(Assumptions!EM$88, '1 Machine Build'!$F$11:$Q$11, '1 Machine Build'!$F15:$Q15), 0))</f>
        <v>0</v>
      </c>
      <c r="EP33" s="97">
        <f>SUM(_xlfn.IFNA(_xlfn.XLOOKUP(Assumptions!EN$81, '1 Machine Build'!$F$11:$Q$11, '1 Machine Build'!$F15:$Q15), 0), _xlfn.IFNA(_xlfn.XLOOKUP(Assumptions!EN$82, '1 Machine Build'!$F$11:$Q$11, '1 Machine Build'!$F15:$Q15), 0), _xlfn.IFNA(_xlfn.XLOOKUP(Assumptions!EN$83, '1 Machine Build'!$F$11:$Q$11, '1 Machine Build'!$F15:$Q15), 0), _xlfn.IFNA(_xlfn.XLOOKUP(Assumptions!EN$84, '1 Machine Build'!$F$11:$Q$11, '1 Machine Build'!$F15:$Q15), 0), _xlfn.IFNA(_xlfn.XLOOKUP(Assumptions!EN$85, '1 Machine Build'!$F$11:$Q$11, '1 Machine Build'!$F15:$Q15), 0), _xlfn.IFNA(_xlfn.XLOOKUP(Assumptions!EN$86, '1 Machine Build'!$F$11:$Q$11, '1 Machine Build'!$F15:$Q15), 0), _xlfn.IFNA(_xlfn.XLOOKUP(Assumptions!EN$87, '1 Machine Build'!$F$11:$Q$11, '1 Machine Build'!$F15:$Q15), 0), _xlfn.IFNA(_xlfn.XLOOKUP(Assumptions!EN$88, '1 Machine Build'!$F$11:$Q$11, '1 Machine Build'!$F15:$Q15), 0))</f>
        <v>0</v>
      </c>
      <c r="EQ33" s="97">
        <f>SUM(_xlfn.IFNA(_xlfn.XLOOKUP(Assumptions!EO$81, '1 Machine Build'!$F$11:$Q$11, '1 Machine Build'!$F15:$Q15), 0), _xlfn.IFNA(_xlfn.XLOOKUP(Assumptions!EO$82, '1 Machine Build'!$F$11:$Q$11, '1 Machine Build'!$F15:$Q15), 0), _xlfn.IFNA(_xlfn.XLOOKUP(Assumptions!EO$83, '1 Machine Build'!$F$11:$Q$11, '1 Machine Build'!$F15:$Q15), 0), _xlfn.IFNA(_xlfn.XLOOKUP(Assumptions!EO$84, '1 Machine Build'!$F$11:$Q$11, '1 Machine Build'!$F15:$Q15), 0), _xlfn.IFNA(_xlfn.XLOOKUP(Assumptions!EO$85, '1 Machine Build'!$F$11:$Q$11, '1 Machine Build'!$F15:$Q15), 0), _xlfn.IFNA(_xlfn.XLOOKUP(Assumptions!EO$86, '1 Machine Build'!$F$11:$Q$11, '1 Machine Build'!$F15:$Q15), 0), _xlfn.IFNA(_xlfn.XLOOKUP(Assumptions!EO$87, '1 Machine Build'!$F$11:$Q$11, '1 Machine Build'!$F15:$Q15), 0), _xlfn.IFNA(_xlfn.XLOOKUP(Assumptions!EO$88, '1 Machine Build'!$F$11:$Q$11, '1 Machine Build'!$F15:$Q15), 0))</f>
        <v>0</v>
      </c>
      <c r="ER33" s="97">
        <f>SUM(_xlfn.IFNA(_xlfn.XLOOKUP(Assumptions!EP$81, '1 Machine Build'!$F$11:$Q$11, '1 Machine Build'!$F15:$Q15), 0), _xlfn.IFNA(_xlfn.XLOOKUP(Assumptions!EP$82, '1 Machine Build'!$F$11:$Q$11, '1 Machine Build'!$F15:$Q15), 0), _xlfn.IFNA(_xlfn.XLOOKUP(Assumptions!EP$83, '1 Machine Build'!$F$11:$Q$11, '1 Machine Build'!$F15:$Q15), 0), _xlfn.IFNA(_xlfn.XLOOKUP(Assumptions!EP$84, '1 Machine Build'!$F$11:$Q$11, '1 Machine Build'!$F15:$Q15), 0), _xlfn.IFNA(_xlfn.XLOOKUP(Assumptions!EP$85, '1 Machine Build'!$F$11:$Q$11, '1 Machine Build'!$F15:$Q15), 0), _xlfn.IFNA(_xlfn.XLOOKUP(Assumptions!EP$86, '1 Machine Build'!$F$11:$Q$11, '1 Machine Build'!$F15:$Q15), 0), _xlfn.IFNA(_xlfn.XLOOKUP(Assumptions!EP$87, '1 Machine Build'!$F$11:$Q$11, '1 Machine Build'!$F15:$Q15), 0), _xlfn.IFNA(_xlfn.XLOOKUP(Assumptions!EP$88, '1 Machine Build'!$F$11:$Q$11, '1 Machine Build'!$F15:$Q15), 0))</f>
        <v>0</v>
      </c>
      <c r="ES33" s="97">
        <f>SUM(_xlfn.IFNA(_xlfn.XLOOKUP(Assumptions!EQ$81, '1 Machine Build'!$F$11:$Q$11, '1 Machine Build'!$F15:$Q15), 0), _xlfn.IFNA(_xlfn.XLOOKUP(Assumptions!EQ$82, '1 Machine Build'!$F$11:$Q$11, '1 Machine Build'!$F15:$Q15), 0), _xlfn.IFNA(_xlfn.XLOOKUP(Assumptions!EQ$83, '1 Machine Build'!$F$11:$Q$11, '1 Machine Build'!$F15:$Q15), 0), _xlfn.IFNA(_xlfn.XLOOKUP(Assumptions!EQ$84, '1 Machine Build'!$F$11:$Q$11, '1 Machine Build'!$F15:$Q15), 0), _xlfn.IFNA(_xlfn.XLOOKUP(Assumptions!EQ$85, '1 Machine Build'!$F$11:$Q$11, '1 Machine Build'!$F15:$Q15), 0), _xlfn.IFNA(_xlfn.XLOOKUP(Assumptions!EQ$86, '1 Machine Build'!$F$11:$Q$11, '1 Machine Build'!$F15:$Q15), 0), _xlfn.IFNA(_xlfn.XLOOKUP(Assumptions!EQ$87, '1 Machine Build'!$F$11:$Q$11, '1 Machine Build'!$F15:$Q15), 0), _xlfn.IFNA(_xlfn.XLOOKUP(Assumptions!EQ$88, '1 Machine Build'!$F$11:$Q$11, '1 Machine Build'!$F15:$Q15), 0))</f>
        <v>0</v>
      </c>
      <c r="ET33" s="97">
        <f>SUM(_xlfn.IFNA(_xlfn.XLOOKUP(Assumptions!ER$81, '1 Machine Build'!$F$11:$Q$11, '1 Machine Build'!$F15:$Q15), 0), _xlfn.IFNA(_xlfn.XLOOKUP(Assumptions!ER$82, '1 Machine Build'!$F$11:$Q$11, '1 Machine Build'!$F15:$Q15), 0), _xlfn.IFNA(_xlfn.XLOOKUP(Assumptions!ER$83, '1 Machine Build'!$F$11:$Q$11, '1 Machine Build'!$F15:$Q15), 0), _xlfn.IFNA(_xlfn.XLOOKUP(Assumptions!ER$84, '1 Machine Build'!$F$11:$Q$11, '1 Machine Build'!$F15:$Q15), 0), _xlfn.IFNA(_xlfn.XLOOKUP(Assumptions!ER$85, '1 Machine Build'!$F$11:$Q$11, '1 Machine Build'!$F15:$Q15), 0), _xlfn.IFNA(_xlfn.XLOOKUP(Assumptions!ER$86, '1 Machine Build'!$F$11:$Q$11, '1 Machine Build'!$F15:$Q15), 0), _xlfn.IFNA(_xlfn.XLOOKUP(Assumptions!ER$87, '1 Machine Build'!$F$11:$Q$11, '1 Machine Build'!$F15:$Q15), 0), _xlfn.IFNA(_xlfn.XLOOKUP(Assumptions!ER$88, '1 Machine Build'!$F$11:$Q$11, '1 Machine Build'!$F15:$Q15), 0))</f>
        <v>0</v>
      </c>
      <c r="EU33" s="97">
        <f>SUM(_xlfn.IFNA(_xlfn.XLOOKUP(Assumptions!ES$81, '1 Machine Build'!$F$11:$Q$11, '1 Machine Build'!$F15:$Q15), 0), _xlfn.IFNA(_xlfn.XLOOKUP(Assumptions!ES$82, '1 Machine Build'!$F$11:$Q$11, '1 Machine Build'!$F15:$Q15), 0), _xlfn.IFNA(_xlfn.XLOOKUP(Assumptions!ES$83, '1 Machine Build'!$F$11:$Q$11, '1 Machine Build'!$F15:$Q15), 0), _xlfn.IFNA(_xlfn.XLOOKUP(Assumptions!ES$84, '1 Machine Build'!$F$11:$Q$11, '1 Machine Build'!$F15:$Q15), 0), _xlfn.IFNA(_xlfn.XLOOKUP(Assumptions!ES$85, '1 Machine Build'!$F$11:$Q$11, '1 Machine Build'!$F15:$Q15), 0), _xlfn.IFNA(_xlfn.XLOOKUP(Assumptions!ES$86, '1 Machine Build'!$F$11:$Q$11, '1 Machine Build'!$F15:$Q15), 0), _xlfn.IFNA(_xlfn.XLOOKUP(Assumptions!ES$87, '1 Machine Build'!$F$11:$Q$11, '1 Machine Build'!$F15:$Q15), 0), _xlfn.IFNA(_xlfn.XLOOKUP(Assumptions!ES$88, '1 Machine Build'!$F$11:$Q$11, '1 Machine Build'!$F15:$Q15), 0))</f>
        <v>0</v>
      </c>
      <c r="EV33" s="97">
        <f>SUM(_xlfn.IFNA(_xlfn.XLOOKUP(Assumptions!ET$81, '1 Machine Build'!$F$11:$Q$11, '1 Machine Build'!$F15:$Q15), 0), _xlfn.IFNA(_xlfn.XLOOKUP(Assumptions!ET$82, '1 Machine Build'!$F$11:$Q$11, '1 Machine Build'!$F15:$Q15), 0), _xlfn.IFNA(_xlfn.XLOOKUP(Assumptions!ET$83, '1 Machine Build'!$F$11:$Q$11, '1 Machine Build'!$F15:$Q15), 0), _xlfn.IFNA(_xlfn.XLOOKUP(Assumptions!ET$84, '1 Machine Build'!$F$11:$Q$11, '1 Machine Build'!$F15:$Q15), 0), _xlfn.IFNA(_xlfn.XLOOKUP(Assumptions!ET$85, '1 Machine Build'!$F$11:$Q$11, '1 Machine Build'!$F15:$Q15), 0), _xlfn.IFNA(_xlfn.XLOOKUP(Assumptions!ET$86, '1 Machine Build'!$F$11:$Q$11, '1 Machine Build'!$F15:$Q15), 0), _xlfn.IFNA(_xlfn.XLOOKUP(Assumptions!ET$87, '1 Machine Build'!$F$11:$Q$11, '1 Machine Build'!$F15:$Q15), 0), _xlfn.IFNA(_xlfn.XLOOKUP(Assumptions!ET$88, '1 Machine Build'!$F$11:$Q$11, '1 Machine Build'!$F15:$Q15), 0))</f>
        <v>0</v>
      </c>
      <c r="EW33" s="97">
        <f>SUM(_xlfn.IFNA(_xlfn.XLOOKUP(Assumptions!EU$81, '1 Machine Build'!$F$11:$Q$11, '1 Machine Build'!$F15:$Q15), 0), _xlfn.IFNA(_xlfn.XLOOKUP(Assumptions!EU$82, '1 Machine Build'!$F$11:$Q$11, '1 Machine Build'!$F15:$Q15), 0), _xlfn.IFNA(_xlfn.XLOOKUP(Assumptions!EU$83, '1 Machine Build'!$F$11:$Q$11, '1 Machine Build'!$F15:$Q15), 0), _xlfn.IFNA(_xlfn.XLOOKUP(Assumptions!EU$84, '1 Machine Build'!$F$11:$Q$11, '1 Machine Build'!$F15:$Q15), 0), _xlfn.IFNA(_xlfn.XLOOKUP(Assumptions!EU$85, '1 Machine Build'!$F$11:$Q$11, '1 Machine Build'!$F15:$Q15), 0), _xlfn.IFNA(_xlfn.XLOOKUP(Assumptions!EU$86, '1 Machine Build'!$F$11:$Q$11, '1 Machine Build'!$F15:$Q15), 0), _xlfn.IFNA(_xlfn.XLOOKUP(Assumptions!EU$87, '1 Machine Build'!$F$11:$Q$11, '1 Machine Build'!$F15:$Q15), 0), _xlfn.IFNA(_xlfn.XLOOKUP(Assumptions!EU$88, '1 Machine Build'!$F$11:$Q$11, '1 Machine Build'!$F15:$Q15), 0))</f>
        <v>0</v>
      </c>
      <c r="EX33" s="97">
        <f>SUM(_xlfn.IFNA(_xlfn.XLOOKUP(Assumptions!EV$81, '1 Machine Build'!$F$11:$Q$11, '1 Machine Build'!$F15:$Q15), 0), _xlfn.IFNA(_xlfn.XLOOKUP(Assumptions!EV$82, '1 Machine Build'!$F$11:$Q$11, '1 Machine Build'!$F15:$Q15), 0), _xlfn.IFNA(_xlfn.XLOOKUP(Assumptions!EV$83, '1 Machine Build'!$F$11:$Q$11, '1 Machine Build'!$F15:$Q15), 0), _xlfn.IFNA(_xlfn.XLOOKUP(Assumptions!EV$84, '1 Machine Build'!$F$11:$Q$11, '1 Machine Build'!$F15:$Q15), 0), _xlfn.IFNA(_xlfn.XLOOKUP(Assumptions!EV$85, '1 Machine Build'!$F$11:$Q$11, '1 Machine Build'!$F15:$Q15), 0), _xlfn.IFNA(_xlfn.XLOOKUP(Assumptions!EV$86, '1 Machine Build'!$F$11:$Q$11, '1 Machine Build'!$F15:$Q15), 0), _xlfn.IFNA(_xlfn.XLOOKUP(Assumptions!EV$87, '1 Machine Build'!$F$11:$Q$11, '1 Machine Build'!$F15:$Q15), 0), _xlfn.IFNA(_xlfn.XLOOKUP(Assumptions!EV$88, '1 Machine Build'!$F$11:$Q$11, '1 Machine Build'!$F15:$Q15), 0))</f>
        <v>0</v>
      </c>
      <c r="EY33" s="97">
        <f>SUM(_xlfn.IFNA(_xlfn.XLOOKUP(Assumptions!EW$81, '1 Machine Build'!$F$11:$Q$11, '1 Machine Build'!$F15:$Q15), 0), _xlfn.IFNA(_xlfn.XLOOKUP(Assumptions!EW$82, '1 Machine Build'!$F$11:$Q$11, '1 Machine Build'!$F15:$Q15), 0), _xlfn.IFNA(_xlfn.XLOOKUP(Assumptions!EW$83, '1 Machine Build'!$F$11:$Q$11, '1 Machine Build'!$F15:$Q15), 0), _xlfn.IFNA(_xlfn.XLOOKUP(Assumptions!EW$84, '1 Machine Build'!$F$11:$Q$11, '1 Machine Build'!$F15:$Q15), 0), _xlfn.IFNA(_xlfn.XLOOKUP(Assumptions!EW$85, '1 Machine Build'!$F$11:$Q$11, '1 Machine Build'!$F15:$Q15), 0), _xlfn.IFNA(_xlfn.XLOOKUP(Assumptions!EW$86, '1 Machine Build'!$F$11:$Q$11, '1 Machine Build'!$F15:$Q15), 0), _xlfn.IFNA(_xlfn.XLOOKUP(Assumptions!EW$87, '1 Machine Build'!$F$11:$Q$11, '1 Machine Build'!$F15:$Q15), 0), _xlfn.IFNA(_xlfn.XLOOKUP(Assumptions!EW$88, '1 Machine Build'!$F$11:$Q$11, '1 Machine Build'!$F15:$Q15), 0))</f>
        <v>0</v>
      </c>
      <c r="EZ33" s="97">
        <f>SUM(_xlfn.IFNA(_xlfn.XLOOKUP(Assumptions!EX$81, '1 Machine Build'!$F$11:$Q$11, '1 Machine Build'!$F15:$Q15), 0), _xlfn.IFNA(_xlfn.XLOOKUP(Assumptions!EX$82, '1 Machine Build'!$F$11:$Q$11, '1 Machine Build'!$F15:$Q15), 0), _xlfn.IFNA(_xlfn.XLOOKUP(Assumptions!EX$83, '1 Machine Build'!$F$11:$Q$11, '1 Machine Build'!$F15:$Q15), 0), _xlfn.IFNA(_xlfn.XLOOKUP(Assumptions!EX$84, '1 Machine Build'!$F$11:$Q$11, '1 Machine Build'!$F15:$Q15), 0), _xlfn.IFNA(_xlfn.XLOOKUP(Assumptions!EX$85, '1 Machine Build'!$F$11:$Q$11, '1 Machine Build'!$F15:$Q15), 0), _xlfn.IFNA(_xlfn.XLOOKUP(Assumptions!EX$86, '1 Machine Build'!$F$11:$Q$11, '1 Machine Build'!$F15:$Q15), 0), _xlfn.IFNA(_xlfn.XLOOKUP(Assumptions!EX$87, '1 Machine Build'!$F$11:$Q$11, '1 Machine Build'!$F15:$Q15), 0), _xlfn.IFNA(_xlfn.XLOOKUP(Assumptions!EX$88, '1 Machine Build'!$F$11:$Q$11, '1 Machine Build'!$F15:$Q15), 0))</f>
        <v>0</v>
      </c>
      <c r="FA33" s="97">
        <f>SUM(_xlfn.IFNA(_xlfn.XLOOKUP(Assumptions!EY$81, '1 Machine Build'!$F$11:$Q$11, '1 Machine Build'!$F15:$Q15), 0), _xlfn.IFNA(_xlfn.XLOOKUP(Assumptions!EY$82, '1 Machine Build'!$F$11:$Q$11, '1 Machine Build'!$F15:$Q15), 0), _xlfn.IFNA(_xlfn.XLOOKUP(Assumptions!EY$83, '1 Machine Build'!$F$11:$Q$11, '1 Machine Build'!$F15:$Q15), 0), _xlfn.IFNA(_xlfn.XLOOKUP(Assumptions!EY$84, '1 Machine Build'!$F$11:$Q$11, '1 Machine Build'!$F15:$Q15), 0), _xlfn.IFNA(_xlfn.XLOOKUP(Assumptions!EY$85, '1 Machine Build'!$F$11:$Q$11, '1 Machine Build'!$F15:$Q15), 0), _xlfn.IFNA(_xlfn.XLOOKUP(Assumptions!EY$86, '1 Machine Build'!$F$11:$Q$11, '1 Machine Build'!$F15:$Q15), 0), _xlfn.IFNA(_xlfn.XLOOKUP(Assumptions!EY$87, '1 Machine Build'!$F$11:$Q$11, '1 Machine Build'!$F15:$Q15), 0), _xlfn.IFNA(_xlfn.XLOOKUP(Assumptions!EY$88, '1 Machine Build'!$F$11:$Q$11, '1 Machine Build'!$F15:$Q15), 0))</f>
        <v>0</v>
      </c>
      <c r="FB33" s="97">
        <f>SUM(_xlfn.IFNA(_xlfn.XLOOKUP(Assumptions!EZ$81, '1 Machine Build'!$F$11:$Q$11, '1 Machine Build'!$F15:$Q15), 0), _xlfn.IFNA(_xlfn.XLOOKUP(Assumptions!EZ$82, '1 Machine Build'!$F$11:$Q$11, '1 Machine Build'!$F15:$Q15), 0), _xlfn.IFNA(_xlfn.XLOOKUP(Assumptions!EZ$83, '1 Machine Build'!$F$11:$Q$11, '1 Machine Build'!$F15:$Q15), 0), _xlfn.IFNA(_xlfn.XLOOKUP(Assumptions!EZ$84, '1 Machine Build'!$F$11:$Q$11, '1 Machine Build'!$F15:$Q15), 0), _xlfn.IFNA(_xlfn.XLOOKUP(Assumptions!EZ$85, '1 Machine Build'!$F$11:$Q$11, '1 Machine Build'!$F15:$Q15), 0), _xlfn.IFNA(_xlfn.XLOOKUP(Assumptions!EZ$86, '1 Machine Build'!$F$11:$Q$11, '1 Machine Build'!$F15:$Q15), 0), _xlfn.IFNA(_xlfn.XLOOKUP(Assumptions!EZ$87, '1 Machine Build'!$F$11:$Q$11, '1 Machine Build'!$F15:$Q15), 0), _xlfn.IFNA(_xlfn.XLOOKUP(Assumptions!EZ$88, '1 Machine Build'!$F$11:$Q$11, '1 Machine Build'!$F15:$Q15), 0))</f>
        <v>0</v>
      </c>
      <c r="FC33" s="97">
        <f>SUM(_xlfn.IFNA(_xlfn.XLOOKUP(Assumptions!FA$81, '1 Machine Build'!$F$11:$Q$11, '1 Machine Build'!$F15:$Q15), 0), _xlfn.IFNA(_xlfn.XLOOKUP(Assumptions!FA$82, '1 Machine Build'!$F$11:$Q$11, '1 Machine Build'!$F15:$Q15), 0), _xlfn.IFNA(_xlfn.XLOOKUP(Assumptions!FA$83, '1 Machine Build'!$F$11:$Q$11, '1 Machine Build'!$F15:$Q15), 0), _xlfn.IFNA(_xlfn.XLOOKUP(Assumptions!FA$84, '1 Machine Build'!$F$11:$Q$11, '1 Machine Build'!$F15:$Q15), 0), _xlfn.IFNA(_xlfn.XLOOKUP(Assumptions!FA$85, '1 Machine Build'!$F$11:$Q$11, '1 Machine Build'!$F15:$Q15), 0), _xlfn.IFNA(_xlfn.XLOOKUP(Assumptions!FA$86, '1 Machine Build'!$F$11:$Q$11, '1 Machine Build'!$F15:$Q15), 0), _xlfn.IFNA(_xlfn.XLOOKUP(Assumptions!FA$87, '1 Machine Build'!$F$11:$Q$11, '1 Machine Build'!$F15:$Q15), 0), _xlfn.IFNA(_xlfn.XLOOKUP(Assumptions!FA$88, '1 Machine Build'!$F$11:$Q$11, '1 Machine Build'!$F15:$Q15), 0))</f>
        <v>0</v>
      </c>
      <c r="FD33" s="97">
        <f>SUM(_xlfn.IFNA(_xlfn.XLOOKUP(Assumptions!FB$81, '1 Machine Build'!$F$11:$Q$11, '1 Machine Build'!$F15:$Q15), 0), _xlfn.IFNA(_xlfn.XLOOKUP(Assumptions!FB$82, '1 Machine Build'!$F$11:$Q$11, '1 Machine Build'!$F15:$Q15), 0), _xlfn.IFNA(_xlfn.XLOOKUP(Assumptions!FB$83, '1 Machine Build'!$F$11:$Q$11, '1 Machine Build'!$F15:$Q15), 0), _xlfn.IFNA(_xlfn.XLOOKUP(Assumptions!FB$84, '1 Machine Build'!$F$11:$Q$11, '1 Machine Build'!$F15:$Q15), 0), _xlfn.IFNA(_xlfn.XLOOKUP(Assumptions!FB$85, '1 Machine Build'!$F$11:$Q$11, '1 Machine Build'!$F15:$Q15), 0), _xlfn.IFNA(_xlfn.XLOOKUP(Assumptions!FB$86, '1 Machine Build'!$F$11:$Q$11, '1 Machine Build'!$F15:$Q15), 0), _xlfn.IFNA(_xlfn.XLOOKUP(Assumptions!FB$87, '1 Machine Build'!$F$11:$Q$11, '1 Machine Build'!$F15:$Q15), 0), _xlfn.IFNA(_xlfn.XLOOKUP(Assumptions!FB$88, '1 Machine Build'!$F$11:$Q$11, '1 Machine Build'!$F15:$Q15), 0))</f>
        <v>0</v>
      </c>
      <c r="FE33" s="97">
        <f>SUM(_xlfn.IFNA(_xlfn.XLOOKUP(Assumptions!FC$81, '1 Machine Build'!$F$11:$Q$11, '1 Machine Build'!$F15:$Q15), 0), _xlfn.IFNA(_xlfn.XLOOKUP(Assumptions!FC$82, '1 Machine Build'!$F$11:$Q$11, '1 Machine Build'!$F15:$Q15), 0), _xlfn.IFNA(_xlfn.XLOOKUP(Assumptions!FC$83, '1 Machine Build'!$F$11:$Q$11, '1 Machine Build'!$F15:$Q15), 0), _xlfn.IFNA(_xlfn.XLOOKUP(Assumptions!FC$84, '1 Machine Build'!$F$11:$Q$11, '1 Machine Build'!$F15:$Q15), 0), _xlfn.IFNA(_xlfn.XLOOKUP(Assumptions!FC$85, '1 Machine Build'!$F$11:$Q$11, '1 Machine Build'!$F15:$Q15), 0), _xlfn.IFNA(_xlfn.XLOOKUP(Assumptions!FC$86, '1 Machine Build'!$F$11:$Q$11, '1 Machine Build'!$F15:$Q15), 0), _xlfn.IFNA(_xlfn.XLOOKUP(Assumptions!FC$87, '1 Machine Build'!$F$11:$Q$11, '1 Machine Build'!$F15:$Q15), 0), _xlfn.IFNA(_xlfn.XLOOKUP(Assumptions!FC$88, '1 Machine Build'!$F$11:$Q$11, '1 Machine Build'!$F15:$Q15), 0))</f>
        <v>0</v>
      </c>
      <c r="FF33" s="97">
        <f>SUM(_xlfn.IFNA(_xlfn.XLOOKUP(Assumptions!FD$81, '1 Machine Build'!$F$11:$Q$11, '1 Machine Build'!$F15:$Q15), 0), _xlfn.IFNA(_xlfn.XLOOKUP(Assumptions!FD$82, '1 Machine Build'!$F$11:$Q$11, '1 Machine Build'!$F15:$Q15), 0), _xlfn.IFNA(_xlfn.XLOOKUP(Assumptions!FD$83, '1 Machine Build'!$F$11:$Q$11, '1 Machine Build'!$F15:$Q15), 0), _xlfn.IFNA(_xlfn.XLOOKUP(Assumptions!FD$84, '1 Machine Build'!$F$11:$Q$11, '1 Machine Build'!$F15:$Q15), 0), _xlfn.IFNA(_xlfn.XLOOKUP(Assumptions!FD$85, '1 Machine Build'!$F$11:$Q$11, '1 Machine Build'!$F15:$Q15), 0), _xlfn.IFNA(_xlfn.XLOOKUP(Assumptions!FD$86, '1 Machine Build'!$F$11:$Q$11, '1 Machine Build'!$F15:$Q15), 0), _xlfn.IFNA(_xlfn.XLOOKUP(Assumptions!FD$87, '1 Machine Build'!$F$11:$Q$11, '1 Machine Build'!$F15:$Q15), 0), _xlfn.IFNA(_xlfn.XLOOKUP(Assumptions!FD$88, '1 Machine Build'!$F$11:$Q$11, '1 Machine Build'!$F15:$Q15), 0))</f>
        <v>0</v>
      </c>
      <c r="FG33" s="97">
        <f>SUM(_xlfn.IFNA(_xlfn.XLOOKUP(Assumptions!FE$81, '1 Machine Build'!$F$11:$Q$11, '1 Machine Build'!$F15:$Q15), 0), _xlfn.IFNA(_xlfn.XLOOKUP(Assumptions!FE$82, '1 Machine Build'!$F$11:$Q$11, '1 Machine Build'!$F15:$Q15), 0), _xlfn.IFNA(_xlfn.XLOOKUP(Assumptions!FE$83, '1 Machine Build'!$F$11:$Q$11, '1 Machine Build'!$F15:$Q15), 0), _xlfn.IFNA(_xlfn.XLOOKUP(Assumptions!FE$84, '1 Machine Build'!$F$11:$Q$11, '1 Machine Build'!$F15:$Q15), 0), _xlfn.IFNA(_xlfn.XLOOKUP(Assumptions!FE$85, '1 Machine Build'!$F$11:$Q$11, '1 Machine Build'!$F15:$Q15), 0), _xlfn.IFNA(_xlfn.XLOOKUP(Assumptions!FE$86, '1 Machine Build'!$F$11:$Q$11, '1 Machine Build'!$F15:$Q15), 0), _xlfn.IFNA(_xlfn.XLOOKUP(Assumptions!FE$87, '1 Machine Build'!$F$11:$Q$11, '1 Machine Build'!$F15:$Q15), 0), _xlfn.IFNA(_xlfn.XLOOKUP(Assumptions!FE$88, '1 Machine Build'!$F$11:$Q$11, '1 Machine Build'!$F15:$Q15), 0))</f>
        <v>0</v>
      </c>
      <c r="FH33" s="97">
        <f>SUM(_xlfn.IFNA(_xlfn.XLOOKUP(Assumptions!FF$81, '1 Machine Build'!$F$11:$Q$11, '1 Machine Build'!$F15:$Q15), 0), _xlfn.IFNA(_xlfn.XLOOKUP(Assumptions!FF$82, '1 Machine Build'!$F$11:$Q$11, '1 Machine Build'!$F15:$Q15), 0), _xlfn.IFNA(_xlfn.XLOOKUP(Assumptions!FF$83, '1 Machine Build'!$F$11:$Q$11, '1 Machine Build'!$F15:$Q15), 0), _xlfn.IFNA(_xlfn.XLOOKUP(Assumptions!FF$84, '1 Machine Build'!$F$11:$Q$11, '1 Machine Build'!$F15:$Q15), 0), _xlfn.IFNA(_xlfn.XLOOKUP(Assumptions!FF$85, '1 Machine Build'!$F$11:$Q$11, '1 Machine Build'!$F15:$Q15), 0), _xlfn.IFNA(_xlfn.XLOOKUP(Assumptions!FF$86, '1 Machine Build'!$F$11:$Q$11, '1 Machine Build'!$F15:$Q15), 0), _xlfn.IFNA(_xlfn.XLOOKUP(Assumptions!FF$87, '1 Machine Build'!$F$11:$Q$11, '1 Machine Build'!$F15:$Q15), 0), _xlfn.IFNA(_xlfn.XLOOKUP(Assumptions!FF$88, '1 Machine Build'!$F$11:$Q$11, '1 Machine Build'!$F15:$Q15), 0))</f>
        <v>0</v>
      </c>
      <c r="FI33" s="97">
        <f>SUM(_xlfn.IFNA(_xlfn.XLOOKUP(Assumptions!FG$81, '1 Machine Build'!$F$11:$Q$11, '1 Machine Build'!$F15:$Q15), 0), _xlfn.IFNA(_xlfn.XLOOKUP(Assumptions!FG$82, '1 Machine Build'!$F$11:$Q$11, '1 Machine Build'!$F15:$Q15), 0), _xlfn.IFNA(_xlfn.XLOOKUP(Assumptions!FG$83, '1 Machine Build'!$F$11:$Q$11, '1 Machine Build'!$F15:$Q15), 0), _xlfn.IFNA(_xlfn.XLOOKUP(Assumptions!FG$84, '1 Machine Build'!$F$11:$Q$11, '1 Machine Build'!$F15:$Q15), 0), _xlfn.IFNA(_xlfn.XLOOKUP(Assumptions!FG$85, '1 Machine Build'!$F$11:$Q$11, '1 Machine Build'!$F15:$Q15), 0), _xlfn.IFNA(_xlfn.XLOOKUP(Assumptions!FG$86, '1 Machine Build'!$F$11:$Q$11, '1 Machine Build'!$F15:$Q15), 0), _xlfn.IFNA(_xlfn.XLOOKUP(Assumptions!FG$87, '1 Machine Build'!$F$11:$Q$11, '1 Machine Build'!$F15:$Q15), 0), _xlfn.IFNA(_xlfn.XLOOKUP(Assumptions!FG$88, '1 Machine Build'!$F$11:$Q$11, '1 Machine Build'!$F15:$Q15), 0))</f>
        <v>0</v>
      </c>
      <c r="FJ33" s="97">
        <f>SUM(_xlfn.IFNA(_xlfn.XLOOKUP(Assumptions!FH$81, '1 Machine Build'!$F$11:$Q$11, '1 Machine Build'!$F15:$Q15), 0), _xlfn.IFNA(_xlfn.XLOOKUP(Assumptions!FH$82, '1 Machine Build'!$F$11:$Q$11, '1 Machine Build'!$F15:$Q15), 0), _xlfn.IFNA(_xlfn.XLOOKUP(Assumptions!FH$83, '1 Machine Build'!$F$11:$Q$11, '1 Machine Build'!$F15:$Q15), 0), _xlfn.IFNA(_xlfn.XLOOKUP(Assumptions!FH$84, '1 Machine Build'!$F$11:$Q$11, '1 Machine Build'!$F15:$Q15), 0), _xlfn.IFNA(_xlfn.XLOOKUP(Assumptions!FH$85, '1 Machine Build'!$F$11:$Q$11, '1 Machine Build'!$F15:$Q15), 0), _xlfn.IFNA(_xlfn.XLOOKUP(Assumptions!FH$86, '1 Machine Build'!$F$11:$Q$11, '1 Machine Build'!$F15:$Q15), 0), _xlfn.IFNA(_xlfn.XLOOKUP(Assumptions!FH$87, '1 Machine Build'!$F$11:$Q$11, '1 Machine Build'!$F15:$Q15), 0), _xlfn.IFNA(_xlfn.XLOOKUP(Assumptions!FH$88, '1 Machine Build'!$F$11:$Q$11, '1 Machine Build'!$F15:$Q15), 0))</f>
        <v>0</v>
      </c>
      <c r="FK33" s="97">
        <f>SUM(_xlfn.IFNA(_xlfn.XLOOKUP(Assumptions!FI$81, '1 Machine Build'!$F$11:$Q$11, '1 Machine Build'!$F15:$Q15), 0), _xlfn.IFNA(_xlfn.XLOOKUP(Assumptions!FI$82, '1 Machine Build'!$F$11:$Q$11, '1 Machine Build'!$F15:$Q15), 0), _xlfn.IFNA(_xlfn.XLOOKUP(Assumptions!FI$83, '1 Machine Build'!$F$11:$Q$11, '1 Machine Build'!$F15:$Q15), 0), _xlfn.IFNA(_xlfn.XLOOKUP(Assumptions!FI$84, '1 Machine Build'!$F$11:$Q$11, '1 Machine Build'!$F15:$Q15), 0), _xlfn.IFNA(_xlfn.XLOOKUP(Assumptions!FI$85, '1 Machine Build'!$F$11:$Q$11, '1 Machine Build'!$F15:$Q15), 0), _xlfn.IFNA(_xlfn.XLOOKUP(Assumptions!FI$86, '1 Machine Build'!$F$11:$Q$11, '1 Machine Build'!$F15:$Q15), 0), _xlfn.IFNA(_xlfn.XLOOKUP(Assumptions!FI$87, '1 Machine Build'!$F$11:$Q$11, '1 Machine Build'!$F15:$Q15), 0), _xlfn.IFNA(_xlfn.XLOOKUP(Assumptions!FI$88, '1 Machine Build'!$F$11:$Q$11, '1 Machine Build'!$F15:$Q15), 0))</f>
        <v>0</v>
      </c>
      <c r="FL33" s="97">
        <f>SUM(_xlfn.IFNA(_xlfn.XLOOKUP(Assumptions!FJ$81, '1 Machine Build'!$F$11:$Q$11, '1 Machine Build'!$F15:$Q15), 0), _xlfn.IFNA(_xlfn.XLOOKUP(Assumptions!FJ$82, '1 Machine Build'!$F$11:$Q$11, '1 Machine Build'!$F15:$Q15), 0), _xlfn.IFNA(_xlfn.XLOOKUP(Assumptions!FJ$83, '1 Machine Build'!$F$11:$Q$11, '1 Machine Build'!$F15:$Q15), 0), _xlfn.IFNA(_xlfn.XLOOKUP(Assumptions!FJ$84, '1 Machine Build'!$F$11:$Q$11, '1 Machine Build'!$F15:$Q15), 0), _xlfn.IFNA(_xlfn.XLOOKUP(Assumptions!FJ$85, '1 Machine Build'!$F$11:$Q$11, '1 Machine Build'!$F15:$Q15), 0), _xlfn.IFNA(_xlfn.XLOOKUP(Assumptions!FJ$86, '1 Machine Build'!$F$11:$Q$11, '1 Machine Build'!$F15:$Q15), 0), _xlfn.IFNA(_xlfn.XLOOKUP(Assumptions!FJ$87, '1 Machine Build'!$F$11:$Q$11, '1 Machine Build'!$F15:$Q15), 0), _xlfn.IFNA(_xlfn.XLOOKUP(Assumptions!FJ$88, '1 Machine Build'!$F$11:$Q$11, '1 Machine Build'!$F15:$Q15), 0))</f>
        <v>0</v>
      </c>
      <c r="FM33" s="97">
        <f>SUM(_xlfn.IFNA(_xlfn.XLOOKUP(Assumptions!FK$81, '1 Machine Build'!$F$11:$Q$11, '1 Machine Build'!$F15:$Q15), 0), _xlfn.IFNA(_xlfn.XLOOKUP(Assumptions!FK$82, '1 Machine Build'!$F$11:$Q$11, '1 Machine Build'!$F15:$Q15), 0), _xlfn.IFNA(_xlfn.XLOOKUP(Assumptions!FK$83, '1 Machine Build'!$F$11:$Q$11, '1 Machine Build'!$F15:$Q15), 0), _xlfn.IFNA(_xlfn.XLOOKUP(Assumptions!FK$84, '1 Machine Build'!$F$11:$Q$11, '1 Machine Build'!$F15:$Q15), 0), _xlfn.IFNA(_xlfn.XLOOKUP(Assumptions!FK$85, '1 Machine Build'!$F$11:$Q$11, '1 Machine Build'!$F15:$Q15), 0), _xlfn.IFNA(_xlfn.XLOOKUP(Assumptions!FK$86, '1 Machine Build'!$F$11:$Q$11, '1 Machine Build'!$F15:$Q15), 0), _xlfn.IFNA(_xlfn.XLOOKUP(Assumptions!FK$87, '1 Machine Build'!$F$11:$Q$11, '1 Machine Build'!$F15:$Q15), 0), _xlfn.IFNA(_xlfn.XLOOKUP(Assumptions!FK$88, '1 Machine Build'!$F$11:$Q$11, '1 Machine Build'!$F15:$Q15), 0))</f>
        <v>0</v>
      </c>
      <c r="FN33" s="97">
        <f>SUM(_xlfn.IFNA(_xlfn.XLOOKUP(Assumptions!FL$81, '1 Machine Build'!$F$11:$Q$11, '1 Machine Build'!$F15:$Q15), 0), _xlfn.IFNA(_xlfn.XLOOKUP(Assumptions!FL$82, '1 Machine Build'!$F$11:$Q$11, '1 Machine Build'!$F15:$Q15), 0), _xlfn.IFNA(_xlfn.XLOOKUP(Assumptions!FL$83, '1 Machine Build'!$F$11:$Q$11, '1 Machine Build'!$F15:$Q15), 0), _xlfn.IFNA(_xlfn.XLOOKUP(Assumptions!FL$84, '1 Machine Build'!$F$11:$Q$11, '1 Machine Build'!$F15:$Q15), 0), _xlfn.IFNA(_xlfn.XLOOKUP(Assumptions!FL$85, '1 Machine Build'!$F$11:$Q$11, '1 Machine Build'!$F15:$Q15), 0), _xlfn.IFNA(_xlfn.XLOOKUP(Assumptions!FL$86, '1 Machine Build'!$F$11:$Q$11, '1 Machine Build'!$F15:$Q15), 0), _xlfn.IFNA(_xlfn.XLOOKUP(Assumptions!FL$87, '1 Machine Build'!$F$11:$Q$11, '1 Machine Build'!$F15:$Q15), 0), _xlfn.IFNA(_xlfn.XLOOKUP(Assumptions!FL$88, '1 Machine Build'!$F$11:$Q$11, '1 Machine Build'!$F15:$Q15), 0))</f>
        <v>0</v>
      </c>
      <c r="FO33" s="97">
        <f>SUM(_xlfn.IFNA(_xlfn.XLOOKUP(Assumptions!FM$81, '1 Machine Build'!$F$11:$Q$11, '1 Machine Build'!$F15:$Q15), 0), _xlfn.IFNA(_xlfn.XLOOKUP(Assumptions!FM$82, '1 Machine Build'!$F$11:$Q$11, '1 Machine Build'!$F15:$Q15), 0), _xlfn.IFNA(_xlfn.XLOOKUP(Assumptions!FM$83, '1 Machine Build'!$F$11:$Q$11, '1 Machine Build'!$F15:$Q15), 0), _xlfn.IFNA(_xlfn.XLOOKUP(Assumptions!FM$84, '1 Machine Build'!$F$11:$Q$11, '1 Machine Build'!$F15:$Q15), 0), _xlfn.IFNA(_xlfn.XLOOKUP(Assumptions!FM$85, '1 Machine Build'!$F$11:$Q$11, '1 Machine Build'!$F15:$Q15), 0), _xlfn.IFNA(_xlfn.XLOOKUP(Assumptions!FM$86, '1 Machine Build'!$F$11:$Q$11, '1 Machine Build'!$F15:$Q15), 0), _xlfn.IFNA(_xlfn.XLOOKUP(Assumptions!FM$87, '1 Machine Build'!$F$11:$Q$11, '1 Machine Build'!$F15:$Q15), 0), _xlfn.IFNA(_xlfn.XLOOKUP(Assumptions!FM$88, '1 Machine Build'!$F$11:$Q$11, '1 Machine Build'!$F15:$Q15), 0))</f>
        <v>0</v>
      </c>
      <c r="FP33" s="97">
        <f>SUM(_xlfn.IFNA(_xlfn.XLOOKUP(Assumptions!FN$81, '1 Machine Build'!$F$11:$Q$11, '1 Machine Build'!$F15:$Q15), 0), _xlfn.IFNA(_xlfn.XLOOKUP(Assumptions!FN$82, '1 Machine Build'!$F$11:$Q$11, '1 Machine Build'!$F15:$Q15), 0), _xlfn.IFNA(_xlfn.XLOOKUP(Assumptions!FN$83, '1 Machine Build'!$F$11:$Q$11, '1 Machine Build'!$F15:$Q15), 0), _xlfn.IFNA(_xlfn.XLOOKUP(Assumptions!FN$84, '1 Machine Build'!$F$11:$Q$11, '1 Machine Build'!$F15:$Q15), 0), _xlfn.IFNA(_xlfn.XLOOKUP(Assumptions!FN$85, '1 Machine Build'!$F$11:$Q$11, '1 Machine Build'!$F15:$Q15), 0), _xlfn.IFNA(_xlfn.XLOOKUP(Assumptions!FN$86, '1 Machine Build'!$F$11:$Q$11, '1 Machine Build'!$F15:$Q15), 0), _xlfn.IFNA(_xlfn.XLOOKUP(Assumptions!FN$87, '1 Machine Build'!$F$11:$Q$11, '1 Machine Build'!$F15:$Q15), 0), _xlfn.IFNA(_xlfn.XLOOKUP(Assumptions!FN$88, '1 Machine Build'!$F$11:$Q$11, '1 Machine Build'!$F15:$Q15), 0))</f>
        <v>0</v>
      </c>
      <c r="FQ33" s="97">
        <f>SUM(_xlfn.IFNA(_xlfn.XLOOKUP(Assumptions!FO$81, '1 Machine Build'!$F$11:$Q$11, '1 Machine Build'!$F15:$Q15), 0), _xlfn.IFNA(_xlfn.XLOOKUP(Assumptions!FO$82, '1 Machine Build'!$F$11:$Q$11, '1 Machine Build'!$F15:$Q15), 0), _xlfn.IFNA(_xlfn.XLOOKUP(Assumptions!FO$83, '1 Machine Build'!$F$11:$Q$11, '1 Machine Build'!$F15:$Q15), 0), _xlfn.IFNA(_xlfn.XLOOKUP(Assumptions!FO$84, '1 Machine Build'!$F$11:$Q$11, '1 Machine Build'!$F15:$Q15), 0), _xlfn.IFNA(_xlfn.XLOOKUP(Assumptions!FO$85, '1 Machine Build'!$F$11:$Q$11, '1 Machine Build'!$F15:$Q15), 0), _xlfn.IFNA(_xlfn.XLOOKUP(Assumptions!FO$86, '1 Machine Build'!$F$11:$Q$11, '1 Machine Build'!$F15:$Q15), 0), _xlfn.IFNA(_xlfn.XLOOKUP(Assumptions!FO$87, '1 Machine Build'!$F$11:$Q$11, '1 Machine Build'!$F15:$Q15), 0), _xlfn.IFNA(_xlfn.XLOOKUP(Assumptions!FO$88, '1 Machine Build'!$F$11:$Q$11, '1 Machine Build'!$F15:$Q15), 0))</f>
        <v>0</v>
      </c>
      <c r="FR33" s="97">
        <f>SUM(_xlfn.IFNA(_xlfn.XLOOKUP(Assumptions!FP$81, '1 Machine Build'!$F$11:$Q$11, '1 Machine Build'!$F15:$Q15), 0), _xlfn.IFNA(_xlfn.XLOOKUP(Assumptions!FP$82, '1 Machine Build'!$F$11:$Q$11, '1 Machine Build'!$F15:$Q15), 0), _xlfn.IFNA(_xlfn.XLOOKUP(Assumptions!FP$83, '1 Machine Build'!$F$11:$Q$11, '1 Machine Build'!$F15:$Q15), 0), _xlfn.IFNA(_xlfn.XLOOKUP(Assumptions!FP$84, '1 Machine Build'!$F$11:$Q$11, '1 Machine Build'!$F15:$Q15), 0), _xlfn.IFNA(_xlfn.XLOOKUP(Assumptions!FP$85, '1 Machine Build'!$F$11:$Q$11, '1 Machine Build'!$F15:$Q15), 0), _xlfn.IFNA(_xlfn.XLOOKUP(Assumptions!FP$86, '1 Machine Build'!$F$11:$Q$11, '1 Machine Build'!$F15:$Q15), 0), _xlfn.IFNA(_xlfn.XLOOKUP(Assumptions!FP$87, '1 Machine Build'!$F$11:$Q$11, '1 Machine Build'!$F15:$Q15), 0), _xlfn.IFNA(_xlfn.XLOOKUP(Assumptions!FP$88, '1 Machine Build'!$F$11:$Q$11, '1 Machine Build'!$F15:$Q15), 0))</f>
        <v>0</v>
      </c>
      <c r="FS33" s="97">
        <f>SUM(_xlfn.IFNA(_xlfn.XLOOKUP(Assumptions!FQ$81, '1 Machine Build'!$F$11:$Q$11, '1 Machine Build'!$F15:$Q15), 0), _xlfn.IFNA(_xlfn.XLOOKUP(Assumptions!FQ$82, '1 Machine Build'!$F$11:$Q$11, '1 Machine Build'!$F15:$Q15), 0), _xlfn.IFNA(_xlfn.XLOOKUP(Assumptions!FQ$83, '1 Machine Build'!$F$11:$Q$11, '1 Machine Build'!$F15:$Q15), 0), _xlfn.IFNA(_xlfn.XLOOKUP(Assumptions!FQ$84, '1 Machine Build'!$F$11:$Q$11, '1 Machine Build'!$F15:$Q15), 0), _xlfn.IFNA(_xlfn.XLOOKUP(Assumptions!FQ$85, '1 Machine Build'!$F$11:$Q$11, '1 Machine Build'!$F15:$Q15), 0), _xlfn.IFNA(_xlfn.XLOOKUP(Assumptions!FQ$86, '1 Machine Build'!$F$11:$Q$11, '1 Machine Build'!$F15:$Q15), 0), _xlfn.IFNA(_xlfn.XLOOKUP(Assumptions!FQ$87, '1 Machine Build'!$F$11:$Q$11, '1 Machine Build'!$F15:$Q15), 0), _xlfn.IFNA(_xlfn.XLOOKUP(Assumptions!FQ$88, '1 Machine Build'!$F$11:$Q$11, '1 Machine Build'!$F15:$Q15), 0))</f>
        <v>0</v>
      </c>
      <c r="FT33" s="97">
        <f>SUM(_xlfn.IFNA(_xlfn.XLOOKUP(Assumptions!FR$81, '1 Machine Build'!$F$11:$Q$11, '1 Machine Build'!$F15:$Q15), 0), _xlfn.IFNA(_xlfn.XLOOKUP(Assumptions!FR$82, '1 Machine Build'!$F$11:$Q$11, '1 Machine Build'!$F15:$Q15), 0), _xlfn.IFNA(_xlfn.XLOOKUP(Assumptions!FR$83, '1 Machine Build'!$F$11:$Q$11, '1 Machine Build'!$F15:$Q15), 0), _xlfn.IFNA(_xlfn.XLOOKUP(Assumptions!FR$84, '1 Machine Build'!$F$11:$Q$11, '1 Machine Build'!$F15:$Q15), 0), _xlfn.IFNA(_xlfn.XLOOKUP(Assumptions!FR$85, '1 Machine Build'!$F$11:$Q$11, '1 Machine Build'!$F15:$Q15), 0), _xlfn.IFNA(_xlfn.XLOOKUP(Assumptions!FR$86, '1 Machine Build'!$F$11:$Q$11, '1 Machine Build'!$F15:$Q15), 0), _xlfn.IFNA(_xlfn.XLOOKUP(Assumptions!FR$87, '1 Machine Build'!$F$11:$Q$11, '1 Machine Build'!$F15:$Q15), 0), _xlfn.IFNA(_xlfn.XLOOKUP(Assumptions!FR$88, '1 Machine Build'!$F$11:$Q$11, '1 Machine Build'!$F15:$Q15), 0))</f>
        <v>0</v>
      </c>
      <c r="FU33" s="97">
        <f>SUM(_xlfn.IFNA(_xlfn.XLOOKUP(Assumptions!FS$81, '1 Machine Build'!$F$11:$Q$11, '1 Machine Build'!$F15:$Q15), 0), _xlfn.IFNA(_xlfn.XLOOKUP(Assumptions!FS$82, '1 Machine Build'!$F$11:$Q$11, '1 Machine Build'!$F15:$Q15), 0), _xlfn.IFNA(_xlfn.XLOOKUP(Assumptions!FS$83, '1 Machine Build'!$F$11:$Q$11, '1 Machine Build'!$F15:$Q15), 0), _xlfn.IFNA(_xlfn.XLOOKUP(Assumptions!FS$84, '1 Machine Build'!$F$11:$Q$11, '1 Machine Build'!$F15:$Q15), 0), _xlfn.IFNA(_xlfn.XLOOKUP(Assumptions!FS$85, '1 Machine Build'!$F$11:$Q$11, '1 Machine Build'!$F15:$Q15), 0), _xlfn.IFNA(_xlfn.XLOOKUP(Assumptions!FS$86, '1 Machine Build'!$F$11:$Q$11, '1 Machine Build'!$F15:$Q15), 0), _xlfn.IFNA(_xlfn.XLOOKUP(Assumptions!FS$87, '1 Machine Build'!$F$11:$Q$11, '1 Machine Build'!$F15:$Q15), 0), _xlfn.IFNA(_xlfn.XLOOKUP(Assumptions!FS$88, '1 Machine Build'!$F$11:$Q$11, '1 Machine Build'!$F15:$Q15), 0))</f>
        <v>0</v>
      </c>
      <c r="FV33" s="97">
        <f>SUM(_xlfn.IFNA(_xlfn.XLOOKUP(Assumptions!FT$81, '1 Machine Build'!$F$11:$Q$11, '1 Machine Build'!$F15:$Q15), 0), _xlfn.IFNA(_xlfn.XLOOKUP(Assumptions!FT$82, '1 Machine Build'!$F$11:$Q$11, '1 Machine Build'!$F15:$Q15), 0), _xlfn.IFNA(_xlfn.XLOOKUP(Assumptions!FT$83, '1 Machine Build'!$F$11:$Q$11, '1 Machine Build'!$F15:$Q15), 0), _xlfn.IFNA(_xlfn.XLOOKUP(Assumptions!FT$84, '1 Machine Build'!$F$11:$Q$11, '1 Machine Build'!$F15:$Q15), 0), _xlfn.IFNA(_xlfn.XLOOKUP(Assumptions!FT$85, '1 Machine Build'!$F$11:$Q$11, '1 Machine Build'!$F15:$Q15), 0), _xlfn.IFNA(_xlfn.XLOOKUP(Assumptions!FT$86, '1 Machine Build'!$F$11:$Q$11, '1 Machine Build'!$F15:$Q15), 0), _xlfn.IFNA(_xlfn.XLOOKUP(Assumptions!FT$87, '1 Machine Build'!$F$11:$Q$11, '1 Machine Build'!$F15:$Q15), 0), _xlfn.IFNA(_xlfn.XLOOKUP(Assumptions!FT$88, '1 Machine Build'!$F$11:$Q$11, '1 Machine Build'!$F15:$Q15), 0))</f>
        <v>0</v>
      </c>
      <c r="FW33" s="97">
        <f>SUM(_xlfn.IFNA(_xlfn.XLOOKUP(Assumptions!FU$81, '1 Machine Build'!$F$11:$Q$11, '1 Machine Build'!$F15:$Q15), 0), _xlfn.IFNA(_xlfn.XLOOKUP(Assumptions!FU$82, '1 Machine Build'!$F$11:$Q$11, '1 Machine Build'!$F15:$Q15), 0), _xlfn.IFNA(_xlfn.XLOOKUP(Assumptions!FU$83, '1 Machine Build'!$F$11:$Q$11, '1 Machine Build'!$F15:$Q15), 0), _xlfn.IFNA(_xlfn.XLOOKUP(Assumptions!FU$84, '1 Machine Build'!$F$11:$Q$11, '1 Machine Build'!$F15:$Q15), 0), _xlfn.IFNA(_xlfn.XLOOKUP(Assumptions!FU$85, '1 Machine Build'!$F$11:$Q$11, '1 Machine Build'!$F15:$Q15), 0), _xlfn.IFNA(_xlfn.XLOOKUP(Assumptions!FU$86, '1 Machine Build'!$F$11:$Q$11, '1 Machine Build'!$F15:$Q15), 0), _xlfn.IFNA(_xlfn.XLOOKUP(Assumptions!FU$87, '1 Machine Build'!$F$11:$Q$11, '1 Machine Build'!$F15:$Q15), 0), _xlfn.IFNA(_xlfn.XLOOKUP(Assumptions!FU$88, '1 Machine Build'!$F$11:$Q$11, '1 Machine Build'!$F15:$Q15), 0))</f>
        <v>0</v>
      </c>
      <c r="FX33" s="97">
        <f>SUM(_xlfn.IFNA(_xlfn.XLOOKUP(Assumptions!FV$81, '1 Machine Build'!$F$11:$Q$11, '1 Machine Build'!$F15:$Q15), 0), _xlfn.IFNA(_xlfn.XLOOKUP(Assumptions!FV$82, '1 Machine Build'!$F$11:$Q$11, '1 Machine Build'!$F15:$Q15), 0), _xlfn.IFNA(_xlfn.XLOOKUP(Assumptions!FV$83, '1 Machine Build'!$F$11:$Q$11, '1 Machine Build'!$F15:$Q15), 0), _xlfn.IFNA(_xlfn.XLOOKUP(Assumptions!FV$84, '1 Machine Build'!$F$11:$Q$11, '1 Machine Build'!$F15:$Q15), 0), _xlfn.IFNA(_xlfn.XLOOKUP(Assumptions!FV$85, '1 Machine Build'!$F$11:$Q$11, '1 Machine Build'!$F15:$Q15), 0), _xlfn.IFNA(_xlfn.XLOOKUP(Assumptions!FV$86, '1 Machine Build'!$F$11:$Q$11, '1 Machine Build'!$F15:$Q15), 0), _xlfn.IFNA(_xlfn.XLOOKUP(Assumptions!FV$87, '1 Machine Build'!$F$11:$Q$11, '1 Machine Build'!$F15:$Q15), 0), _xlfn.IFNA(_xlfn.XLOOKUP(Assumptions!FV$88, '1 Machine Build'!$F$11:$Q$11, '1 Machine Build'!$F15:$Q15), 0))</f>
        <v>0</v>
      </c>
      <c r="FY33" s="97">
        <f>SUM(_xlfn.IFNA(_xlfn.XLOOKUP(Assumptions!FW$81, '1 Machine Build'!$F$11:$Q$11, '1 Machine Build'!$F15:$Q15), 0), _xlfn.IFNA(_xlfn.XLOOKUP(Assumptions!FW$82, '1 Machine Build'!$F$11:$Q$11, '1 Machine Build'!$F15:$Q15), 0), _xlfn.IFNA(_xlfn.XLOOKUP(Assumptions!FW$83, '1 Machine Build'!$F$11:$Q$11, '1 Machine Build'!$F15:$Q15), 0), _xlfn.IFNA(_xlfn.XLOOKUP(Assumptions!FW$84, '1 Machine Build'!$F$11:$Q$11, '1 Machine Build'!$F15:$Q15), 0), _xlfn.IFNA(_xlfn.XLOOKUP(Assumptions!FW$85, '1 Machine Build'!$F$11:$Q$11, '1 Machine Build'!$F15:$Q15), 0), _xlfn.IFNA(_xlfn.XLOOKUP(Assumptions!FW$86, '1 Machine Build'!$F$11:$Q$11, '1 Machine Build'!$F15:$Q15), 0), _xlfn.IFNA(_xlfn.XLOOKUP(Assumptions!FW$87, '1 Machine Build'!$F$11:$Q$11, '1 Machine Build'!$F15:$Q15), 0), _xlfn.IFNA(_xlfn.XLOOKUP(Assumptions!FW$88, '1 Machine Build'!$F$11:$Q$11, '1 Machine Build'!$F15:$Q15), 0))</f>
        <v>0</v>
      </c>
      <c r="FZ33" s="97">
        <f>SUM(_xlfn.IFNA(_xlfn.XLOOKUP(Assumptions!FX$81, '1 Machine Build'!$F$11:$Q$11, '1 Machine Build'!$F15:$Q15), 0), _xlfn.IFNA(_xlfn.XLOOKUP(Assumptions!FX$82, '1 Machine Build'!$F$11:$Q$11, '1 Machine Build'!$F15:$Q15), 0), _xlfn.IFNA(_xlfn.XLOOKUP(Assumptions!FX$83, '1 Machine Build'!$F$11:$Q$11, '1 Machine Build'!$F15:$Q15), 0), _xlfn.IFNA(_xlfn.XLOOKUP(Assumptions!FX$84, '1 Machine Build'!$F$11:$Q$11, '1 Machine Build'!$F15:$Q15), 0), _xlfn.IFNA(_xlfn.XLOOKUP(Assumptions!FX$85, '1 Machine Build'!$F$11:$Q$11, '1 Machine Build'!$F15:$Q15), 0), _xlfn.IFNA(_xlfn.XLOOKUP(Assumptions!FX$86, '1 Machine Build'!$F$11:$Q$11, '1 Machine Build'!$F15:$Q15), 0), _xlfn.IFNA(_xlfn.XLOOKUP(Assumptions!FX$87, '1 Machine Build'!$F$11:$Q$11, '1 Machine Build'!$F15:$Q15), 0), _xlfn.IFNA(_xlfn.XLOOKUP(Assumptions!FX$88, '1 Machine Build'!$F$11:$Q$11, '1 Machine Build'!$F15:$Q15), 0))</f>
        <v>0</v>
      </c>
      <c r="GA33" s="97">
        <f>SUM(_xlfn.IFNA(_xlfn.XLOOKUP(Assumptions!FY$81, '1 Machine Build'!$F$11:$Q$11, '1 Machine Build'!$F15:$Q15), 0), _xlfn.IFNA(_xlfn.XLOOKUP(Assumptions!FY$82, '1 Machine Build'!$F$11:$Q$11, '1 Machine Build'!$F15:$Q15), 0), _xlfn.IFNA(_xlfn.XLOOKUP(Assumptions!FY$83, '1 Machine Build'!$F$11:$Q$11, '1 Machine Build'!$F15:$Q15), 0), _xlfn.IFNA(_xlfn.XLOOKUP(Assumptions!FY$84, '1 Machine Build'!$F$11:$Q$11, '1 Machine Build'!$F15:$Q15), 0), _xlfn.IFNA(_xlfn.XLOOKUP(Assumptions!FY$85, '1 Machine Build'!$F$11:$Q$11, '1 Machine Build'!$F15:$Q15), 0), _xlfn.IFNA(_xlfn.XLOOKUP(Assumptions!FY$86, '1 Machine Build'!$F$11:$Q$11, '1 Machine Build'!$F15:$Q15), 0), _xlfn.IFNA(_xlfn.XLOOKUP(Assumptions!FY$87, '1 Machine Build'!$F$11:$Q$11, '1 Machine Build'!$F15:$Q15), 0), _xlfn.IFNA(_xlfn.XLOOKUP(Assumptions!FY$88, '1 Machine Build'!$F$11:$Q$11, '1 Machine Build'!$F15:$Q15), 0))</f>
        <v>0</v>
      </c>
      <c r="GB33" s="97">
        <f>SUM(_xlfn.IFNA(_xlfn.XLOOKUP(Assumptions!FZ$81, '1 Machine Build'!$F$11:$Q$11, '1 Machine Build'!$F15:$Q15), 0), _xlfn.IFNA(_xlfn.XLOOKUP(Assumptions!FZ$82, '1 Machine Build'!$F$11:$Q$11, '1 Machine Build'!$F15:$Q15), 0), _xlfn.IFNA(_xlfn.XLOOKUP(Assumptions!FZ$83, '1 Machine Build'!$F$11:$Q$11, '1 Machine Build'!$F15:$Q15), 0), _xlfn.IFNA(_xlfn.XLOOKUP(Assumptions!FZ$84, '1 Machine Build'!$F$11:$Q$11, '1 Machine Build'!$F15:$Q15), 0), _xlfn.IFNA(_xlfn.XLOOKUP(Assumptions!FZ$85, '1 Machine Build'!$F$11:$Q$11, '1 Machine Build'!$F15:$Q15), 0), _xlfn.IFNA(_xlfn.XLOOKUP(Assumptions!FZ$86, '1 Machine Build'!$F$11:$Q$11, '1 Machine Build'!$F15:$Q15), 0), _xlfn.IFNA(_xlfn.XLOOKUP(Assumptions!FZ$87, '1 Machine Build'!$F$11:$Q$11, '1 Machine Build'!$F15:$Q15), 0), _xlfn.IFNA(_xlfn.XLOOKUP(Assumptions!FZ$88, '1 Machine Build'!$F$11:$Q$11, '1 Machine Build'!$F15:$Q15), 0))</f>
        <v>0</v>
      </c>
      <c r="GC33" s="97">
        <f>SUM(_xlfn.IFNA(_xlfn.XLOOKUP(Assumptions!GA$81, '1 Machine Build'!$F$11:$Q$11, '1 Machine Build'!$F15:$Q15), 0), _xlfn.IFNA(_xlfn.XLOOKUP(Assumptions!GA$82, '1 Machine Build'!$F$11:$Q$11, '1 Machine Build'!$F15:$Q15), 0), _xlfn.IFNA(_xlfn.XLOOKUP(Assumptions!GA$83, '1 Machine Build'!$F$11:$Q$11, '1 Machine Build'!$F15:$Q15), 0), _xlfn.IFNA(_xlfn.XLOOKUP(Assumptions!GA$84, '1 Machine Build'!$F$11:$Q$11, '1 Machine Build'!$F15:$Q15), 0), _xlfn.IFNA(_xlfn.XLOOKUP(Assumptions!GA$85, '1 Machine Build'!$F$11:$Q$11, '1 Machine Build'!$F15:$Q15), 0), _xlfn.IFNA(_xlfn.XLOOKUP(Assumptions!GA$86, '1 Machine Build'!$F$11:$Q$11, '1 Machine Build'!$F15:$Q15), 0), _xlfn.IFNA(_xlfn.XLOOKUP(Assumptions!GA$87, '1 Machine Build'!$F$11:$Q$11, '1 Machine Build'!$F15:$Q15), 0), _xlfn.IFNA(_xlfn.XLOOKUP(Assumptions!GA$88, '1 Machine Build'!$F$11:$Q$11, '1 Machine Build'!$F15:$Q15), 0))</f>
        <v>0</v>
      </c>
    </row>
    <row r="34" spans="1:185">
      <c r="A34" s="80"/>
      <c r="B34" s="120" t="s">
        <v>86</v>
      </c>
      <c r="C34" s="80"/>
      <c r="D34" s="10"/>
      <c r="E34" s="82">
        <f t="shared" si="13"/>
        <v>2739708.5759999999</v>
      </c>
      <c r="F34" s="97">
        <f>SUM(_xlfn.IFNA(_xlfn.XLOOKUP(Assumptions!D$81, '1 Machine Build'!$F$11:$Q$11, '1 Machine Build'!$F16:$Q16), 0), _xlfn.IFNA(_xlfn.XLOOKUP(Assumptions!D$82, '1 Machine Build'!$F$11:$Q$11, '1 Machine Build'!$F16:$Q16), 0), _xlfn.IFNA(_xlfn.XLOOKUP(Assumptions!D$83, '1 Machine Build'!$F$11:$Q$11, '1 Machine Build'!$F16:$Q16), 0), _xlfn.IFNA(_xlfn.XLOOKUP(Assumptions!D$84, '1 Machine Build'!$F$11:$Q$11, '1 Machine Build'!$F16:$Q16), 0), _xlfn.IFNA(_xlfn.XLOOKUP(Assumptions!D$85, '1 Machine Build'!$F$11:$Q$11, '1 Machine Build'!$F16:$Q16), 0), _xlfn.IFNA(_xlfn.XLOOKUP(Assumptions!D$86, '1 Machine Build'!$F$11:$Q$11, '1 Machine Build'!$F16:$Q16), 0), _xlfn.IFNA(_xlfn.XLOOKUP(Assumptions!D$87, '1 Machine Build'!$F$11:$Q$11, '1 Machine Build'!$F16:$Q16), 0), _xlfn.IFNA(_xlfn.XLOOKUP(Assumptions!D$88, '1 Machine Build'!$F$11:$Q$11, '1 Machine Build'!$F16:$Q16), 0))</f>
        <v>343708.99200000003</v>
      </c>
      <c r="G34" s="97">
        <f>SUM(_xlfn.IFNA(_xlfn.XLOOKUP(Assumptions!E$81, '1 Machine Build'!$F$11:$Q$11, '1 Machine Build'!$F16:$Q16), 0), _xlfn.IFNA(_xlfn.XLOOKUP(Assumptions!E$82, '1 Machine Build'!$F$11:$Q$11, '1 Machine Build'!$F16:$Q16), 0), _xlfn.IFNA(_xlfn.XLOOKUP(Assumptions!E$83, '1 Machine Build'!$F$11:$Q$11, '1 Machine Build'!$F16:$Q16), 0), _xlfn.IFNA(_xlfn.XLOOKUP(Assumptions!E$84, '1 Machine Build'!$F$11:$Q$11, '1 Machine Build'!$F16:$Q16), 0), _xlfn.IFNA(_xlfn.XLOOKUP(Assumptions!E$85, '1 Machine Build'!$F$11:$Q$11, '1 Machine Build'!$F16:$Q16), 0), _xlfn.IFNA(_xlfn.XLOOKUP(Assumptions!E$86, '1 Machine Build'!$F$11:$Q$11, '1 Machine Build'!$F16:$Q16), 0), _xlfn.IFNA(_xlfn.XLOOKUP(Assumptions!E$87, '1 Machine Build'!$F$11:$Q$11, '1 Machine Build'!$F16:$Q16), 0), _xlfn.IFNA(_xlfn.XLOOKUP(Assumptions!E$88, '1 Machine Build'!$F$11:$Q$11, '1 Machine Build'!$F16:$Q16), 0))</f>
        <v>296839.58400000003</v>
      </c>
      <c r="H34" s="97">
        <f>SUM(_xlfn.IFNA(_xlfn.XLOOKUP(Assumptions!F$81, '1 Machine Build'!$F$11:$Q$11, '1 Machine Build'!$F16:$Q16), 0), _xlfn.IFNA(_xlfn.XLOOKUP(Assumptions!F$82, '1 Machine Build'!$F$11:$Q$11, '1 Machine Build'!$F16:$Q16), 0), _xlfn.IFNA(_xlfn.XLOOKUP(Assumptions!F$83, '1 Machine Build'!$F$11:$Q$11, '1 Machine Build'!$F16:$Q16), 0), _xlfn.IFNA(_xlfn.XLOOKUP(Assumptions!F$84, '1 Machine Build'!$F$11:$Q$11, '1 Machine Build'!$F16:$Q16), 0), _xlfn.IFNA(_xlfn.XLOOKUP(Assumptions!F$85, '1 Machine Build'!$F$11:$Q$11, '1 Machine Build'!$F16:$Q16), 0), _xlfn.IFNA(_xlfn.XLOOKUP(Assumptions!F$86, '1 Machine Build'!$F$11:$Q$11, '1 Machine Build'!$F16:$Q16), 0), _xlfn.IFNA(_xlfn.XLOOKUP(Assumptions!F$87, '1 Machine Build'!$F$11:$Q$11, '1 Machine Build'!$F16:$Q16), 0), _xlfn.IFNA(_xlfn.XLOOKUP(Assumptions!F$88, '1 Machine Build'!$F$11:$Q$11, '1 Machine Build'!$F16:$Q16), 0))</f>
        <v>343708.99200000003</v>
      </c>
      <c r="I34" s="97">
        <f>SUM(_xlfn.IFNA(_xlfn.XLOOKUP(Assumptions!G$81, '1 Machine Build'!$F$11:$Q$11, '1 Machine Build'!$F16:$Q16), 0), _xlfn.IFNA(_xlfn.XLOOKUP(Assumptions!G$82, '1 Machine Build'!$F$11:$Q$11, '1 Machine Build'!$F16:$Q16), 0), _xlfn.IFNA(_xlfn.XLOOKUP(Assumptions!G$83, '1 Machine Build'!$F$11:$Q$11, '1 Machine Build'!$F16:$Q16), 0), _xlfn.IFNA(_xlfn.XLOOKUP(Assumptions!G$84, '1 Machine Build'!$F$11:$Q$11, '1 Machine Build'!$F16:$Q16), 0), _xlfn.IFNA(_xlfn.XLOOKUP(Assumptions!G$85, '1 Machine Build'!$F$11:$Q$11, '1 Machine Build'!$F16:$Q16), 0), _xlfn.IFNA(_xlfn.XLOOKUP(Assumptions!G$86, '1 Machine Build'!$F$11:$Q$11, '1 Machine Build'!$F16:$Q16), 0), _xlfn.IFNA(_xlfn.XLOOKUP(Assumptions!G$87, '1 Machine Build'!$F$11:$Q$11, '1 Machine Build'!$F16:$Q16), 0), _xlfn.IFNA(_xlfn.XLOOKUP(Assumptions!G$88, '1 Machine Build'!$F$11:$Q$11, '1 Machine Build'!$F16:$Q16), 0))</f>
        <v>328085.85600000003</v>
      </c>
      <c r="J34" s="97">
        <f>SUM(_xlfn.IFNA(_xlfn.XLOOKUP(Assumptions!H$81, '1 Machine Build'!$F$11:$Q$11, '1 Machine Build'!$F16:$Q16), 0), _xlfn.IFNA(_xlfn.XLOOKUP(Assumptions!H$82, '1 Machine Build'!$F$11:$Q$11, '1 Machine Build'!$F16:$Q16), 0), _xlfn.IFNA(_xlfn.XLOOKUP(Assumptions!H$83, '1 Machine Build'!$F$11:$Q$11, '1 Machine Build'!$F16:$Q16), 0), _xlfn.IFNA(_xlfn.XLOOKUP(Assumptions!H$84, '1 Machine Build'!$F$11:$Q$11, '1 Machine Build'!$F16:$Q16), 0), _xlfn.IFNA(_xlfn.XLOOKUP(Assumptions!H$85, '1 Machine Build'!$F$11:$Q$11, '1 Machine Build'!$F16:$Q16), 0), _xlfn.IFNA(_xlfn.XLOOKUP(Assumptions!H$86, '1 Machine Build'!$F$11:$Q$11, '1 Machine Build'!$F16:$Q16), 0), _xlfn.IFNA(_xlfn.XLOOKUP(Assumptions!H$87, '1 Machine Build'!$F$11:$Q$11, '1 Machine Build'!$F16:$Q16), 0), _xlfn.IFNA(_xlfn.XLOOKUP(Assumptions!H$88, '1 Machine Build'!$F$11:$Q$11, '1 Machine Build'!$F16:$Q16), 0))</f>
        <v>360942.91200000001</v>
      </c>
      <c r="K34" s="97">
        <f>SUM(_xlfn.IFNA(_xlfn.XLOOKUP(Assumptions!I$81, '1 Machine Build'!$F$11:$Q$11, '1 Machine Build'!$F16:$Q16), 0), _xlfn.IFNA(_xlfn.XLOOKUP(Assumptions!I$82, '1 Machine Build'!$F$11:$Q$11, '1 Machine Build'!$F16:$Q16), 0), _xlfn.IFNA(_xlfn.XLOOKUP(Assumptions!I$83, '1 Machine Build'!$F$11:$Q$11, '1 Machine Build'!$F16:$Q16), 0), _xlfn.IFNA(_xlfn.XLOOKUP(Assumptions!I$84, '1 Machine Build'!$F$11:$Q$11, '1 Machine Build'!$F16:$Q16), 0), _xlfn.IFNA(_xlfn.XLOOKUP(Assumptions!I$85, '1 Machine Build'!$F$11:$Q$11, '1 Machine Build'!$F16:$Q16), 0), _xlfn.IFNA(_xlfn.XLOOKUP(Assumptions!I$86, '1 Machine Build'!$F$11:$Q$11, '1 Machine Build'!$F16:$Q16), 0), _xlfn.IFNA(_xlfn.XLOOKUP(Assumptions!I$87, '1 Machine Build'!$F$11:$Q$11, '1 Machine Build'!$F16:$Q16), 0), _xlfn.IFNA(_xlfn.XLOOKUP(Assumptions!I$88, '1 Machine Build'!$F$11:$Q$11, '1 Machine Build'!$F16:$Q16), 0))</f>
        <v>344536.41600000003</v>
      </c>
      <c r="L34" s="97">
        <f>SUM(_xlfn.IFNA(_xlfn.XLOOKUP(Assumptions!J$81, '1 Machine Build'!$F$11:$Q$11, '1 Machine Build'!$F16:$Q16), 0), _xlfn.IFNA(_xlfn.XLOOKUP(Assumptions!J$82, '1 Machine Build'!$F$11:$Q$11, '1 Machine Build'!$F16:$Q16), 0), _xlfn.IFNA(_xlfn.XLOOKUP(Assumptions!J$83, '1 Machine Build'!$F$11:$Q$11, '1 Machine Build'!$F16:$Q16), 0), _xlfn.IFNA(_xlfn.XLOOKUP(Assumptions!J$84, '1 Machine Build'!$F$11:$Q$11, '1 Machine Build'!$F16:$Q16), 0), _xlfn.IFNA(_xlfn.XLOOKUP(Assumptions!J$85, '1 Machine Build'!$F$11:$Q$11, '1 Machine Build'!$F16:$Q16), 0), _xlfn.IFNA(_xlfn.XLOOKUP(Assumptions!J$86, '1 Machine Build'!$F$11:$Q$11, '1 Machine Build'!$F16:$Q16), 0), _xlfn.IFNA(_xlfn.XLOOKUP(Assumptions!J$87, '1 Machine Build'!$F$11:$Q$11, '1 Machine Build'!$F16:$Q16), 0), _xlfn.IFNA(_xlfn.XLOOKUP(Assumptions!J$88, '1 Machine Build'!$F$11:$Q$11, '1 Machine Build'!$F16:$Q16), 0))</f>
        <v>360942.91200000001</v>
      </c>
      <c r="M34" s="97">
        <f>SUM(_xlfn.IFNA(_xlfn.XLOOKUP(Assumptions!K$81, '1 Machine Build'!$F$11:$Q$11, '1 Machine Build'!$F16:$Q16), 0), _xlfn.IFNA(_xlfn.XLOOKUP(Assumptions!K$82, '1 Machine Build'!$F$11:$Q$11, '1 Machine Build'!$F16:$Q16), 0), _xlfn.IFNA(_xlfn.XLOOKUP(Assumptions!K$83, '1 Machine Build'!$F$11:$Q$11, '1 Machine Build'!$F16:$Q16), 0), _xlfn.IFNA(_xlfn.XLOOKUP(Assumptions!K$84, '1 Machine Build'!$F$11:$Q$11, '1 Machine Build'!$F16:$Q16), 0), _xlfn.IFNA(_xlfn.XLOOKUP(Assumptions!K$85, '1 Machine Build'!$F$11:$Q$11, '1 Machine Build'!$F16:$Q16), 0), _xlfn.IFNA(_xlfn.XLOOKUP(Assumptions!K$86, '1 Machine Build'!$F$11:$Q$11, '1 Machine Build'!$F16:$Q16), 0), _xlfn.IFNA(_xlfn.XLOOKUP(Assumptions!K$87, '1 Machine Build'!$F$11:$Q$11, '1 Machine Build'!$F16:$Q16), 0), _xlfn.IFNA(_xlfn.XLOOKUP(Assumptions!K$88, '1 Machine Build'!$F$11:$Q$11, '1 Machine Build'!$F16:$Q16), 0))</f>
        <v>360942.91200000001</v>
      </c>
      <c r="N34" s="97">
        <f>SUM(_xlfn.IFNA(_xlfn.XLOOKUP(Assumptions!L$81, '1 Machine Build'!$F$11:$Q$11, '1 Machine Build'!$F16:$Q16), 0), _xlfn.IFNA(_xlfn.XLOOKUP(Assumptions!L$82, '1 Machine Build'!$F$11:$Q$11, '1 Machine Build'!$F16:$Q16), 0), _xlfn.IFNA(_xlfn.XLOOKUP(Assumptions!L$83, '1 Machine Build'!$F$11:$Q$11, '1 Machine Build'!$F16:$Q16), 0), _xlfn.IFNA(_xlfn.XLOOKUP(Assumptions!L$84, '1 Machine Build'!$F$11:$Q$11, '1 Machine Build'!$F16:$Q16), 0), _xlfn.IFNA(_xlfn.XLOOKUP(Assumptions!L$85, '1 Machine Build'!$F$11:$Q$11, '1 Machine Build'!$F16:$Q16), 0), _xlfn.IFNA(_xlfn.XLOOKUP(Assumptions!L$86, '1 Machine Build'!$F$11:$Q$11, '1 Machine Build'!$F16:$Q16), 0), _xlfn.IFNA(_xlfn.XLOOKUP(Assumptions!L$87, '1 Machine Build'!$F$11:$Q$11, '1 Machine Build'!$F16:$Q16), 0), _xlfn.IFNA(_xlfn.XLOOKUP(Assumptions!L$88, '1 Machine Build'!$F$11:$Q$11, '1 Machine Build'!$F16:$Q16), 0))</f>
        <v>0</v>
      </c>
      <c r="O34" s="97">
        <f>SUM(_xlfn.IFNA(_xlfn.XLOOKUP(Assumptions!M$81, '1 Machine Build'!$F$11:$Q$11, '1 Machine Build'!$F16:$Q16), 0), _xlfn.IFNA(_xlfn.XLOOKUP(Assumptions!M$82, '1 Machine Build'!$F$11:$Q$11, '1 Machine Build'!$F16:$Q16), 0), _xlfn.IFNA(_xlfn.XLOOKUP(Assumptions!M$83, '1 Machine Build'!$F$11:$Q$11, '1 Machine Build'!$F16:$Q16), 0), _xlfn.IFNA(_xlfn.XLOOKUP(Assumptions!M$84, '1 Machine Build'!$F$11:$Q$11, '1 Machine Build'!$F16:$Q16), 0), _xlfn.IFNA(_xlfn.XLOOKUP(Assumptions!M$85, '1 Machine Build'!$F$11:$Q$11, '1 Machine Build'!$F16:$Q16), 0), _xlfn.IFNA(_xlfn.XLOOKUP(Assumptions!M$86, '1 Machine Build'!$F$11:$Q$11, '1 Machine Build'!$F16:$Q16), 0), _xlfn.IFNA(_xlfn.XLOOKUP(Assumptions!M$87, '1 Machine Build'!$F$11:$Q$11, '1 Machine Build'!$F16:$Q16), 0), _xlfn.IFNA(_xlfn.XLOOKUP(Assumptions!M$88, '1 Machine Build'!$F$11:$Q$11, '1 Machine Build'!$F16:$Q16), 0))</f>
        <v>0</v>
      </c>
      <c r="P34" s="97">
        <f>SUM(_xlfn.IFNA(_xlfn.XLOOKUP(Assumptions!N$81, '1 Machine Build'!$F$11:$Q$11, '1 Machine Build'!$F16:$Q16), 0), _xlfn.IFNA(_xlfn.XLOOKUP(Assumptions!N$82, '1 Machine Build'!$F$11:$Q$11, '1 Machine Build'!$F16:$Q16), 0), _xlfn.IFNA(_xlfn.XLOOKUP(Assumptions!N$83, '1 Machine Build'!$F$11:$Q$11, '1 Machine Build'!$F16:$Q16), 0), _xlfn.IFNA(_xlfn.XLOOKUP(Assumptions!N$84, '1 Machine Build'!$F$11:$Q$11, '1 Machine Build'!$F16:$Q16), 0), _xlfn.IFNA(_xlfn.XLOOKUP(Assumptions!N$85, '1 Machine Build'!$F$11:$Q$11, '1 Machine Build'!$F16:$Q16), 0), _xlfn.IFNA(_xlfn.XLOOKUP(Assumptions!N$86, '1 Machine Build'!$F$11:$Q$11, '1 Machine Build'!$F16:$Q16), 0), _xlfn.IFNA(_xlfn.XLOOKUP(Assumptions!N$87, '1 Machine Build'!$F$11:$Q$11, '1 Machine Build'!$F16:$Q16), 0), _xlfn.IFNA(_xlfn.XLOOKUP(Assumptions!N$88, '1 Machine Build'!$F$11:$Q$11, '1 Machine Build'!$F16:$Q16), 0))</f>
        <v>0</v>
      </c>
      <c r="Q34" s="97">
        <f>SUM(_xlfn.IFNA(_xlfn.XLOOKUP(Assumptions!O$81, '1 Machine Build'!$F$11:$Q$11, '1 Machine Build'!$F16:$Q16), 0), _xlfn.IFNA(_xlfn.XLOOKUP(Assumptions!O$82, '1 Machine Build'!$F$11:$Q$11, '1 Machine Build'!$F16:$Q16), 0), _xlfn.IFNA(_xlfn.XLOOKUP(Assumptions!O$83, '1 Machine Build'!$F$11:$Q$11, '1 Machine Build'!$F16:$Q16), 0), _xlfn.IFNA(_xlfn.XLOOKUP(Assumptions!O$84, '1 Machine Build'!$F$11:$Q$11, '1 Machine Build'!$F16:$Q16), 0), _xlfn.IFNA(_xlfn.XLOOKUP(Assumptions!O$85, '1 Machine Build'!$F$11:$Q$11, '1 Machine Build'!$F16:$Q16), 0), _xlfn.IFNA(_xlfn.XLOOKUP(Assumptions!O$86, '1 Machine Build'!$F$11:$Q$11, '1 Machine Build'!$F16:$Q16), 0), _xlfn.IFNA(_xlfn.XLOOKUP(Assumptions!O$87, '1 Machine Build'!$F$11:$Q$11, '1 Machine Build'!$F16:$Q16), 0), _xlfn.IFNA(_xlfn.XLOOKUP(Assumptions!O$88, '1 Machine Build'!$F$11:$Q$11, '1 Machine Build'!$F16:$Q16), 0))</f>
        <v>0</v>
      </c>
      <c r="R34" s="97">
        <f>SUM(_xlfn.IFNA(_xlfn.XLOOKUP(Assumptions!P$81, '1 Machine Build'!$F$11:$Q$11, '1 Machine Build'!$F16:$Q16), 0), _xlfn.IFNA(_xlfn.XLOOKUP(Assumptions!P$82, '1 Machine Build'!$F$11:$Q$11, '1 Machine Build'!$F16:$Q16), 0), _xlfn.IFNA(_xlfn.XLOOKUP(Assumptions!P$83, '1 Machine Build'!$F$11:$Q$11, '1 Machine Build'!$F16:$Q16), 0), _xlfn.IFNA(_xlfn.XLOOKUP(Assumptions!P$84, '1 Machine Build'!$F$11:$Q$11, '1 Machine Build'!$F16:$Q16), 0), _xlfn.IFNA(_xlfn.XLOOKUP(Assumptions!P$85, '1 Machine Build'!$F$11:$Q$11, '1 Machine Build'!$F16:$Q16), 0), _xlfn.IFNA(_xlfn.XLOOKUP(Assumptions!P$86, '1 Machine Build'!$F$11:$Q$11, '1 Machine Build'!$F16:$Q16), 0), _xlfn.IFNA(_xlfn.XLOOKUP(Assumptions!P$87, '1 Machine Build'!$F$11:$Q$11, '1 Machine Build'!$F16:$Q16), 0), _xlfn.IFNA(_xlfn.XLOOKUP(Assumptions!P$88, '1 Machine Build'!$F$11:$Q$11, '1 Machine Build'!$F16:$Q16), 0))</f>
        <v>0</v>
      </c>
      <c r="S34" s="97">
        <f>SUM(_xlfn.IFNA(_xlfn.XLOOKUP(Assumptions!Q$81, '1 Machine Build'!$F$11:$Q$11, '1 Machine Build'!$F16:$Q16), 0), _xlfn.IFNA(_xlfn.XLOOKUP(Assumptions!Q$82, '1 Machine Build'!$F$11:$Q$11, '1 Machine Build'!$F16:$Q16), 0), _xlfn.IFNA(_xlfn.XLOOKUP(Assumptions!Q$83, '1 Machine Build'!$F$11:$Q$11, '1 Machine Build'!$F16:$Q16), 0), _xlfn.IFNA(_xlfn.XLOOKUP(Assumptions!Q$84, '1 Machine Build'!$F$11:$Q$11, '1 Machine Build'!$F16:$Q16), 0), _xlfn.IFNA(_xlfn.XLOOKUP(Assumptions!Q$85, '1 Machine Build'!$F$11:$Q$11, '1 Machine Build'!$F16:$Q16), 0), _xlfn.IFNA(_xlfn.XLOOKUP(Assumptions!Q$86, '1 Machine Build'!$F$11:$Q$11, '1 Machine Build'!$F16:$Q16), 0), _xlfn.IFNA(_xlfn.XLOOKUP(Assumptions!Q$87, '1 Machine Build'!$F$11:$Q$11, '1 Machine Build'!$F16:$Q16), 0), _xlfn.IFNA(_xlfn.XLOOKUP(Assumptions!Q$88, '1 Machine Build'!$F$11:$Q$11, '1 Machine Build'!$F16:$Q16), 0))</f>
        <v>0</v>
      </c>
      <c r="T34" s="97">
        <f>SUM(_xlfn.IFNA(_xlfn.XLOOKUP(Assumptions!R$81, '1 Machine Build'!$F$11:$Q$11, '1 Machine Build'!$F16:$Q16), 0), _xlfn.IFNA(_xlfn.XLOOKUP(Assumptions!R$82, '1 Machine Build'!$F$11:$Q$11, '1 Machine Build'!$F16:$Q16), 0), _xlfn.IFNA(_xlfn.XLOOKUP(Assumptions!R$83, '1 Machine Build'!$F$11:$Q$11, '1 Machine Build'!$F16:$Q16), 0), _xlfn.IFNA(_xlfn.XLOOKUP(Assumptions!R$84, '1 Machine Build'!$F$11:$Q$11, '1 Machine Build'!$F16:$Q16), 0), _xlfn.IFNA(_xlfn.XLOOKUP(Assumptions!R$85, '1 Machine Build'!$F$11:$Q$11, '1 Machine Build'!$F16:$Q16), 0), _xlfn.IFNA(_xlfn.XLOOKUP(Assumptions!R$86, '1 Machine Build'!$F$11:$Q$11, '1 Machine Build'!$F16:$Q16), 0), _xlfn.IFNA(_xlfn.XLOOKUP(Assumptions!R$87, '1 Machine Build'!$F$11:$Q$11, '1 Machine Build'!$F16:$Q16), 0), _xlfn.IFNA(_xlfn.XLOOKUP(Assumptions!R$88, '1 Machine Build'!$F$11:$Q$11, '1 Machine Build'!$F16:$Q16), 0))</f>
        <v>0</v>
      </c>
      <c r="U34" s="97">
        <f>SUM(_xlfn.IFNA(_xlfn.XLOOKUP(Assumptions!S$81, '1 Machine Build'!$F$11:$Q$11, '1 Machine Build'!$F16:$Q16), 0), _xlfn.IFNA(_xlfn.XLOOKUP(Assumptions!S$82, '1 Machine Build'!$F$11:$Q$11, '1 Machine Build'!$F16:$Q16), 0), _xlfn.IFNA(_xlfn.XLOOKUP(Assumptions!S$83, '1 Machine Build'!$F$11:$Q$11, '1 Machine Build'!$F16:$Q16), 0), _xlfn.IFNA(_xlfn.XLOOKUP(Assumptions!S$84, '1 Machine Build'!$F$11:$Q$11, '1 Machine Build'!$F16:$Q16), 0), _xlfn.IFNA(_xlfn.XLOOKUP(Assumptions!S$85, '1 Machine Build'!$F$11:$Q$11, '1 Machine Build'!$F16:$Q16), 0), _xlfn.IFNA(_xlfn.XLOOKUP(Assumptions!S$86, '1 Machine Build'!$F$11:$Q$11, '1 Machine Build'!$F16:$Q16), 0), _xlfn.IFNA(_xlfn.XLOOKUP(Assumptions!S$87, '1 Machine Build'!$F$11:$Q$11, '1 Machine Build'!$F16:$Q16), 0), _xlfn.IFNA(_xlfn.XLOOKUP(Assumptions!S$88, '1 Machine Build'!$F$11:$Q$11, '1 Machine Build'!$F16:$Q16), 0))</f>
        <v>0</v>
      </c>
      <c r="V34" s="97">
        <f>SUM(_xlfn.IFNA(_xlfn.XLOOKUP(Assumptions!T$81, '1 Machine Build'!$F$11:$Q$11, '1 Machine Build'!$F16:$Q16), 0), _xlfn.IFNA(_xlfn.XLOOKUP(Assumptions!T$82, '1 Machine Build'!$F$11:$Q$11, '1 Machine Build'!$F16:$Q16), 0), _xlfn.IFNA(_xlfn.XLOOKUP(Assumptions!T$83, '1 Machine Build'!$F$11:$Q$11, '1 Machine Build'!$F16:$Q16), 0), _xlfn.IFNA(_xlfn.XLOOKUP(Assumptions!T$84, '1 Machine Build'!$F$11:$Q$11, '1 Machine Build'!$F16:$Q16), 0), _xlfn.IFNA(_xlfn.XLOOKUP(Assumptions!T$85, '1 Machine Build'!$F$11:$Q$11, '1 Machine Build'!$F16:$Q16), 0), _xlfn.IFNA(_xlfn.XLOOKUP(Assumptions!T$86, '1 Machine Build'!$F$11:$Q$11, '1 Machine Build'!$F16:$Q16), 0), _xlfn.IFNA(_xlfn.XLOOKUP(Assumptions!T$87, '1 Machine Build'!$F$11:$Q$11, '1 Machine Build'!$F16:$Q16), 0), _xlfn.IFNA(_xlfn.XLOOKUP(Assumptions!T$88, '1 Machine Build'!$F$11:$Q$11, '1 Machine Build'!$F16:$Q16), 0))</f>
        <v>0</v>
      </c>
      <c r="W34" s="97">
        <f>SUM(_xlfn.IFNA(_xlfn.XLOOKUP(Assumptions!U$81, '1 Machine Build'!$F$11:$Q$11, '1 Machine Build'!$F16:$Q16), 0), _xlfn.IFNA(_xlfn.XLOOKUP(Assumptions!U$82, '1 Machine Build'!$F$11:$Q$11, '1 Machine Build'!$F16:$Q16), 0), _xlfn.IFNA(_xlfn.XLOOKUP(Assumptions!U$83, '1 Machine Build'!$F$11:$Q$11, '1 Machine Build'!$F16:$Q16), 0), _xlfn.IFNA(_xlfn.XLOOKUP(Assumptions!U$84, '1 Machine Build'!$F$11:$Q$11, '1 Machine Build'!$F16:$Q16), 0), _xlfn.IFNA(_xlfn.XLOOKUP(Assumptions!U$85, '1 Machine Build'!$F$11:$Q$11, '1 Machine Build'!$F16:$Q16), 0), _xlfn.IFNA(_xlfn.XLOOKUP(Assumptions!U$86, '1 Machine Build'!$F$11:$Q$11, '1 Machine Build'!$F16:$Q16), 0), _xlfn.IFNA(_xlfn.XLOOKUP(Assumptions!U$87, '1 Machine Build'!$F$11:$Q$11, '1 Machine Build'!$F16:$Q16), 0), _xlfn.IFNA(_xlfn.XLOOKUP(Assumptions!U$88, '1 Machine Build'!$F$11:$Q$11, '1 Machine Build'!$F16:$Q16), 0))</f>
        <v>0</v>
      </c>
      <c r="X34" s="97">
        <f>SUM(_xlfn.IFNA(_xlfn.XLOOKUP(Assumptions!V$81, '1 Machine Build'!$F$11:$Q$11, '1 Machine Build'!$F16:$Q16), 0), _xlfn.IFNA(_xlfn.XLOOKUP(Assumptions!V$82, '1 Machine Build'!$F$11:$Q$11, '1 Machine Build'!$F16:$Q16), 0), _xlfn.IFNA(_xlfn.XLOOKUP(Assumptions!V$83, '1 Machine Build'!$F$11:$Q$11, '1 Machine Build'!$F16:$Q16), 0), _xlfn.IFNA(_xlfn.XLOOKUP(Assumptions!V$84, '1 Machine Build'!$F$11:$Q$11, '1 Machine Build'!$F16:$Q16), 0), _xlfn.IFNA(_xlfn.XLOOKUP(Assumptions!V$85, '1 Machine Build'!$F$11:$Q$11, '1 Machine Build'!$F16:$Q16), 0), _xlfn.IFNA(_xlfn.XLOOKUP(Assumptions!V$86, '1 Machine Build'!$F$11:$Q$11, '1 Machine Build'!$F16:$Q16), 0), _xlfn.IFNA(_xlfn.XLOOKUP(Assumptions!V$87, '1 Machine Build'!$F$11:$Q$11, '1 Machine Build'!$F16:$Q16), 0), _xlfn.IFNA(_xlfn.XLOOKUP(Assumptions!V$88, '1 Machine Build'!$F$11:$Q$11, '1 Machine Build'!$F16:$Q16), 0))</f>
        <v>0</v>
      </c>
      <c r="Y34" s="97">
        <f>SUM(_xlfn.IFNA(_xlfn.XLOOKUP(Assumptions!W$81, '1 Machine Build'!$F$11:$Q$11, '1 Machine Build'!$F16:$Q16), 0), _xlfn.IFNA(_xlfn.XLOOKUP(Assumptions!W$82, '1 Machine Build'!$F$11:$Q$11, '1 Machine Build'!$F16:$Q16), 0), _xlfn.IFNA(_xlfn.XLOOKUP(Assumptions!W$83, '1 Machine Build'!$F$11:$Q$11, '1 Machine Build'!$F16:$Q16), 0), _xlfn.IFNA(_xlfn.XLOOKUP(Assumptions!W$84, '1 Machine Build'!$F$11:$Q$11, '1 Machine Build'!$F16:$Q16), 0), _xlfn.IFNA(_xlfn.XLOOKUP(Assumptions!W$85, '1 Machine Build'!$F$11:$Q$11, '1 Machine Build'!$F16:$Q16), 0), _xlfn.IFNA(_xlfn.XLOOKUP(Assumptions!W$86, '1 Machine Build'!$F$11:$Q$11, '1 Machine Build'!$F16:$Q16), 0), _xlfn.IFNA(_xlfn.XLOOKUP(Assumptions!W$87, '1 Machine Build'!$F$11:$Q$11, '1 Machine Build'!$F16:$Q16), 0), _xlfn.IFNA(_xlfn.XLOOKUP(Assumptions!W$88, '1 Machine Build'!$F$11:$Q$11, '1 Machine Build'!$F16:$Q16), 0))</f>
        <v>0</v>
      </c>
      <c r="Z34" s="97">
        <f>SUM(_xlfn.IFNA(_xlfn.XLOOKUP(Assumptions!X$81, '1 Machine Build'!$F$11:$Q$11, '1 Machine Build'!$F16:$Q16), 0), _xlfn.IFNA(_xlfn.XLOOKUP(Assumptions!X$82, '1 Machine Build'!$F$11:$Q$11, '1 Machine Build'!$F16:$Q16), 0), _xlfn.IFNA(_xlfn.XLOOKUP(Assumptions!X$83, '1 Machine Build'!$F$11:$Q$11, '1 Machine Build'!$F16:$Q16), 0), _xlfn.IFNA(_xlfn.XLOOKUP(Assumptions!X$84, '1 Machine Build'!$F$11:$Q$11, '1 Machine Build'!$F16:$Q16), 0), _xlfn.IFNA(_xlfn.XLOOKUP(Assumptions!X$85, '1 Machine Build'!$F$11:$Q$11, '1 Machine Build'!$F16:$Q16), 0), _xlfn.IFNA(_xlfn.XLOOKUP(Assumptions!X$86, '1 Machine Build'!$F$11:$Q$11, '1 Machine Build'!$F16:$Q16), 0), _xlfn.IFNA(_xlfn.XLOOKUP(Assumptions!X$87, '1 Machine Build'!$F$11:$Q$11, '1 Machine Build'!$F16:$Q16), 0), _xlfn.IFNA(_xlfn.XLOOKUP(Assumptions!X$88, '1 Machine Build'!$F$11:$Q$11, '1 Machine Build'!$F16:$Q16), 0))</f>
        <v>0</v>
      </c>
      <c r="AA34" s="97">
        <f>SUM(_xlfn.IFNA(_xlfn.XLOOKUP(Assumptions!Y$81, '1 Machine Build'!$F$11:$Q$11, '1 Machine Build'!$F16:$Q16), 0), _xlfn.IFNA(_xlfn.XLOOKUP(Assumptions!Y$82, '1 Machine Build'!$F$11:$Q$11, '1 Machine Build'!$F16:$Q16), 0), _xlfn.IFNA(_xlfn.XLOOKUP(Assumptions!Y$83, '1 Machine Build'!$F$11:$Q$11, '1 Machine Build'!$F16:$Q16), 0), _xlfn.IFNA(_xlfn.XLOOKUP(Assumptions!Y$84, '1 Machine Build'!$F$11:$Q$11, '1 Machine Build'!$F16:$Q16), 0), _xlfn.IFNA(_xlfn.XLOOKUP(Assumptions!Y$85, '1 Machine Build'!$F$11:$Q$11, '1 Machine Build'!$F16:$Q16), 0), _xlfn.IFNA(_xlfn.XLOOKUP(Assumptions!Y$86, '1 Machine Build'!$F$11:$Q$11, '1 Machine Build'!$F16:$Q16), 0), _xlfn.IFNA(_xlfn.XLOOKUP(Assumptions!Y$87, '1 Machine Build'!$F$11:$Q$11, '1 Machine Build'!$F16:$Q16), 0), _xlfn.IFNA(_xlfn.XLOOKUP(Assumptions!Y$88, '1 Machine Build'!$F$11:$Q$11, '1 Machine Build'!$F16:$Q16), 0))</f>
        <v>0</v>
      </c>
      <c r="AB34" s="97">
        <f>SUM(_xlfn.IFNA(_xlfn.XLOOKUP(Assumptions!Z$81, '1 Machine Build'!$F$11:$Q$11, '1 Machine Build'!$F16:$Q16), 0), _xlfn.IFNA(_xlfn.XLOOKUP(Assumptions!Z$82, '1 Machine Build'!$F$11:$Q$11, '1 Machine Build'!$F16:$Q16), 0), _xlfn.IFNA(_xlfn.XLOOKUP(Assumptions!Z$83, '1 Machine Build'!$F$11:$Q$11, '1 Machine Build'!$F16:$Q16), 0), _xlfn.IFNA(_xlfn.XLOOKUP(Assumptions!Z$84, '1 Machine Build'!$F$11:$Q$11, '1 Machine Build'!$F16:$Q16), 0), _xlfn.IFNA(_xlfn.XLOOKUP(Assumptions!Z$85, '1 Machine Build'!$F$11:$Q$11, '1 Machine Build'!$F16:$Q16), 0), _xlfn.IFNA(_xlfn.XLOOKUP(Assumptions!Z$86, '1 Machine Build'!$F$11:$Q$11, '1 Machine Build'!$F16:$Q16), 0), _xlfn.IFNA(_xlfn.XLOOKUP(Assumptions!Z$87, '1 Machine Build'!$F$11:$Q$11, '1 Machine Build'!$F16:$Q16), 0), _xlfn.IFNA(_xlfn.XLOOKUP(Assumptions!Z$88, '1 Machine Build'!$F$11:$Q$11, '1 Machine Build'!$F16:$Q16), 0))</f>
        <v>0</v>
      </c>
      <c r="AC34" s="97">
        <f>SUM(_xlfn.IFNA(_xlfn.XLOOKUP(Assumptions!AA$81, '1 Machine Build'!$F$11:$Q$11, '1 Machine Build'!$F16:$Q16), 0), _xlfn.IFNA(_xlfn.XLOOKUP(Assumptions!AA$82, '1 Machine Build'!$F$11:$Q$11, '1 Machine Build'!$F16:$Q16), 0), _xlfn.IFNA(_xlfn.XLOOKUP(Assumptions!AA$83, '1 Machine Build'!$F$11:$Q$11, '1 Machine Build'!$F16:$Q16), 0), _xlfn.IFNA(_xlfn.XLOOKUP(Assumptions!AA$84, '1 Machine Build'!$F$11:$Q$11, '1 Machine Build'!$F16:$Q16), 0), _xlfn.IFNA(_xlfn.XLOOKUP(Assumptions!AA$85, '1 Machine Build'!$F$11:$Q$11, '1 Machine Build'!$F16:$Q16), 0), _xlfn.IFNA(_xlfn.XLOOKUP(Assumptions!AA$86, '1 Machine Build'!$F$11:$Q$11, '1 Machine Build'!$F16:$Q16), 0), _xlfn.IFNA(_xlfn.XLOOKUP(Assumptions!AA$87, '1 Machine Build'!$F$11:$Q$11, '1 Machine Build'!$F16:$Q16), 0), _xlfn.IFNA(_xlfn.XLOOKUP(Assumptions!AA$88, '1 Machine Build'!$F$11:$Q$11, '1 Machine Build'!$F16:$Q16), 0))</f>
        <v>0</v>
      </c>
      <c r="AD34" s="97">
        <f>SUM(_xlfn.IFNA(_xlfn.XLOOKUP(Assumptions!AB$81, '1 Machine Build'!$F$11:$Q$11, '1 Machine Build'!$F16:$Q16), 0), _xlfn.IFNA(_xlfn.XLOOKUP(Assumptions!AB$82, '1 Machine Build'!$F$11:$Q$11, '1 Machine Build'!$F16:$Q16), 0), _xlfn.IFNA(_xlfn.XLOOKUP(Assumptions!AB$83, '1 Machine Build'!$F$11:$Q$11, '1 Machine Build'!$F16:$Q16), 0), _xlfn.IFNA(_xlfn.XLOOKUP(Assumptions!AB$84, '1 Machine Build'!$F$11:$Q$11, '1 Machine Build'!$F16:$Q16), 0), _xlfn.IFNA(_xlfn.XLOOKUP(Assumptions!AB$85, '1 Machine Build'!$F$11:$Q$11, '1 Machine Build'!$F16:$Q16), 0), _xlfn.IFNA(_xlfn.XLOOKUP(Assumptions!AB$86, '1 Machine Build'!$F$11:$Q$11, '1 Machine Build'!$F16:$Q16), 0), _xlfn.IFNA(_xlfn.XLOOKUP(Assumptions!AB$87, '1 Machine Build'!$F$11:$Q$11, '1 Machine Build'!$F16:$Q16), 0), _xlfn.IFNA(_xlfn.XLOOKUP(Assumptions!AB$88, '1 Machine Build'!$F$11:$Q$11, '1 Machine Build'!$F16:$Q16), 0))</f>
        <v>0</v>
      </c>
      <c r="AE34" s="97">
        <f>SUM(_xlfn.IFNA(_xlfn.XLOOKUP(Assumptions!AC$81, '1 Machine Build'!$F$11:$Q$11, '1 Machine Build'!$F16:$Q16), 0), _xlfn.IFNA(_xlfn.XLOOKUP(Assumptions!AC$82, '1 Machine Build'!$F$11:$Q$11, '1 Machine Build'!$F16:$Q16), 0), _xlfn.IFNA(_xlfn.XLOOKUP(Assumptions!AC$83, '1 Machine Build'!$F$11:$Q$11, '1 Machine Build'!$F16:$Q16), 0), _xlfn.IFNA(_xlfn.XLOOKUP(Assumptions!AC$84, '1 Machine Build'!$F$11:$Q$11, '1 Machine Build'!$F16:$Q16), 0), _xlfn.IFNA(_xlfn.XLOOKUP(Assumptions!AC$85, '1 Machine Build'!$F$11:$Q$11, '1 Machine Build'!$F16:$Q16), 0), _xlfn.IFNA(_xlfn.XLOOKUP(Assumptions!AC$86, '1 Machine Build'!$F$11:$Q$11, '1 Machine Build'!$F16:$Q16), 0), _xlfn.IFNA(_xlfn.XLOOKUP(Assumptions!AC$87, '1 Machine Build'!$F$11:$Q$11, '1 Machine Build'!$F16:$Q16), 0), _xlfn.IFNA(_xlfn.XLOOKUP(Assumptions!AC$88, '1 Machine Build'!$F$11:$Q$11, '1 Machine Build'!$F16:$Q16), 0))</f>
        <v>0</v>
      </c>
      <c r="AF34" s="97">
        <f>SUM(_xlfn.IFNA(_xlfn.XLOOKUP(Assumptions!AD$81, '1 Machine Build'!$F$11:$Q$11, '1 Machine Build'!$F16:$Q16), 0), _xlfn.IFNA(_xlfn.XLOOKUP(Assumptions!AD$82, '1 Machine Build'!$F$11:$Q$11, '1 Machine Build'!$F16:$Q16), 0), _xlfn.IFNA(_xlfn.XLOOKUP(Assumptions!AD$83, '1 Machine Build'!$F$11:$Q$11, '1 Machine Build'!$F16:$Q16), 0), _xlfn.IFNA(_xlfn.XLOOKUP(Assumptions!AD$84, '1 Machine Build'!$F$11:$Q$11, '1 Machine Build'!$F16:$Q16), 0), _xlfn.IFNA(_xlfn.XLOOKUP(Assumptions!AD$85, '1 Machine Build'!$F$11:$Q$11, '1 Machine Build'!$F16:$Q16), 0), _xlfn.IFNA(_xlfn.XLOOKUP(Assumptions!AD$86, '1 Machine Build'!$F$11:$Q$11, '1 Machine Build'!$F16:$Q16), 0), _xlfn.IFNA(_xlfn.XLOOKUP(Assumptions!AD$87, '1 Machine Build'!$F$11:$Q$11, '1 Machine Build'!$F16:$Q16), 0), _xlfn.IFNA(_xlfn.XLOOKUP(Assumptions!AD$88, '1 Machine Build'!$F$11:$Q$11, '1 Machine Build'!$F16:$Q16), 0))</f>
        <v>0</v>
      </c>
      <c r="AG34" s="97">
        <f>SUM(_xlfn.IFNA(_xlfn.XLOOKUP(Assumptions!AE$81, '1 Machine Build'!$F$11:$Q$11, '1 Machine Build'!$F16:$Q16), 0), _xlfn.IFNA(_xlfn.XLOOKUP(Assumptions!AE$82, '1 Machine Build'!$F$11:$Q$11, '1 Machine Build'!$F16:$Q16), 0), _xlfn.IFNA(_xlfn.XLOOKUP(Assumptions!AE$83, '1 Machine Build'!$F$11:$Q$11, '1 Machine Build'!$F16:$Q16), 0), _xlfn.IFNA(_xlfn.XLOOKUP(Assumptions!AE$84, '1 Machine Build'!$F$11:$Q$11, '1 Machine Build'!$F16:$Q16), 0), _xlfn.IFNA(_xlfn.XLOOKUP(Assumptions!AE$85, '1 Machine Build'!$F$11:$Q$11, '1 Machine Build'!$F16:$Q16), 0), _xlfn.IFNA(_xlfn.XLOOKUP(Assumptions!AE$86, '1 Machine Build'!$F$11:$Q$11, '1 Machine Build'!$F16:$Q16), 0), _xlfn.IFNA(_xlfn.XLOOKUP(Assumptions!AE$87, '1 Machine Build'!$F$11:$Q$11, '1 Machine Build'!$F16:$Q16), 0), _xlfn.IFNA(_xlfn.XLOOKUP(Assumptions!AE$88, '1 Machine Build'!$F$11:$Q$11, '1 Machine Build'!$F16:$Q16), 0))</f>
        <v>0</v>
      </c>
      <c r="AH34" s="97">
        <f>SUM(_xlfn.IFNA(_xlfn.XLOOKUP(Assumptions!AF$81, '1 Machine Build'!$F$11:$Q$11, '1 Machine Build'!$F16:$Q16), 0), _xlfn.IFNA(_xlfn.XLOOKUP(Assumptions!AF$82, '1 Machine Build'!$F$11:$Q$11, '1 Machine Build'!$F16:$Q16), 0), _xlfn.IFNA(_xlfn.XLOOKUP(Assumptions!AF$83, '1 Machine Build'!$F$11:$Q$11, '1 Machine Build'!$F16:$Q16), 0), _xlfn.IFNA(_xlfn.XLOOKUP(Assumptions!AF$84, '1 Machine Build'!$F$11:$Q$11, '1 Machine Build'!$F16:$Q16), 0), _xlfn.IFNA(_xlfn.XLOOKUP(Assumptions!AF$85, '1 Machine Build'!$F$11:$Q$11, '1 Machine Build'!$F16:$Q16), 0), _xlfn.IFNA(_xlfn.XLOOKUP(Assumptions!AF$86, '1 Machine Build'!$F$11:$Q$11, '1 Machine Build'!$F16:$Q16), 0), _xlfn.IFNA(_xlfn.XLOOKUP(Assumptions!AF$87, '1 Machine Build'!$F$11:$Q$11, '1 Machine Build'!$F16:$Q16), 0), _xlfn.IFNA(_xlfn.XLOOKUP(Assumptions!AF$88, '1 Machine Build'!$F$11:$Q$11, '1 Machine Build'!$F16:$Q16), 0))</f>
        <v>0</v>
      </c>
      <c r="AI34" s="97">
        <f>SUM(_xlfn.IFNA(_xlfn.XLOOKUP(Assumptions!AG$81, '1 Machine Build'!$F$11:$Q$11, '1 Machine Build'!$F16:$Q16), 0), _xlfn.IFNA(_xlfn.XLOOKUP(Assumptions!AG$82, '1 Machine Build'!$F$11:$Q$11, '1 Machine Build'!$F16:$Q16), 0), _xlfn.IFNA(_xlfn.XLOOKUP(Assumptions!AG$83, '1 Machine Build'!$F$11:$Q$11, '1 Machine Build'!$F16:$Q16), 0), _xlfn.IFNA(_xlfn.XLOOKUP(Assumptions!AG$84, '1 Machine Build'!$F$11:$Q$11, '1 Machine Build'!$F16:$Q16), 0), _xlfn.IFNA(_xlfn.XLOOKUP(Assumptions!AG$85, '1 Machine Build'!$F$11:$Q$11, '1 Machine Build'!$F16:$Q16), 0), _xlfn.IFNA(_xlfn.XLOOKUP(Assumptions!AG$86, '1 Machine Build'!$F$11:$Q$11, '1 Machine Build'!$F16:$Q16), 0), _xlfn.IFNA(_xlfn.XLOOKUP(Assumptions!AG$87, '1 Machine Build'!$F$11:$Q$11, '1 Machine Build'!$F16:$Q16), 0), _xlfn.IFNA(_xlfn.XLOOKUP(Assumptions!AG$88, '1 Machine Build'!$F$11:$Q$11, '1 Machine Build'!$F16:$Q16), 0))</f>
        <v>0</v>
      </c>
      <c r="AJ34" s="97">
        <f>SUM(_xlfn.IFNA(_xlfn.XLOOKUP(Assumptions!AH$81, '1 Machine Build'!$F$11:$Q$11, '1 Machine Build'!$F16:$Q16), 0), _xlfn.IFNA(_xlfn.XLOOKUP(Assumptions!AH$82, '1 Machine Build'!$F$11:$Q$11, '1 Machine Build'!$F16:$Q16), 0), _xlfn.IFNA(_xlfn.XLOOKUP(Assumptions!AH$83, '1 Machine Build'!$F$11:$Q$11, '1 Machine Build'!$F16:$Q16), 0), _xlfn.IFNA(_xlfn.XLOOKUP(Assumptions!AH$84, '1 Machine Build'!$F$11:$Q$11, '1 Machine Build'!$F16:$Q16), 0), _xlfn.IFNA(_xlfn.XLOOKUP(Assumptions!AH$85, '1 Machine Build'!$F$11:$Q$11, '1 Machine Build'!$F16:$Q16), 0), _xlfn.IFNA(_xlfn.XLOOKUP(Assumptions!AH$86, '1 Machine Build'!$F$11:$Q$11, '1 Machine Build'!$F16:$Q16), 0), _xlfn.IFNA(_xlfn.XLOOKUP(Assumptions!AH$87, '1 Machine Build'!$F$11:$Q$11, '1 Machine Build'!$F16:$Q16), 0), _xlfn.IFNA(_xlfn.XLOOKUP(Assumptions!AH$88, '1 Machine Build'!$F$11:$Q$11, '1 Machine Build'!$F16:$Q16), 0))</f>
        <v>0</v>
      </c>
      <c r="AK34" s="97">
        <f>SUM(_xlfn.IFNA(_xlfn.XLOOKUP(Assumptions!AI$81, '1 Machine Build'!$F$11:$Q$11, '1 Machine Build'!$F16:$Q16), 0), _xlfn.IFNA(_xlfn.XLOOKUP(Assumptions!AI$82, '1 Machine Build'!$F$11:$Q$11, '1 Machine Build'!$F16:$Q16), 0), _xlfn.IFNA(_xlfn.XLOOKUP(Assumptions!AI$83, '1 Machine Build'!$F$11:$Q$11, '1 Machine Build'!$F16:$Q16), 0), _xlfn.IFNA(_xlfn.XLOOKUP(Assumptions!AI$84, '1 Machine Build'!$F$11:$Q$11, '1 Machine Build'!$F16:$Q16), 0), _xlfn.IFNA(_xlfn.XLOOKUP(Assumptions!AI$85, '1 Machine Build'!$F$11:$Q$11, '1 Machine Build'!$F16:$Q16), 0), _xlfn.IFNA(_xlfn.XLOOKUP(Assumptions!AI$86, '1 Machine Build'!$F$11:$Q$11, '1 Machine Build'!$F16:$Q16), 0), _xlfn.IFNA(_xlfn.XLOOKUP(Assumptions!AI$87, '1 Machine Build'!$F$11:$Q$11, '1 Machine Build'!$F16:$Q16), 0), _xlfn.IFNA(_xlfn.XLOOKUP(Assumptions!AI$88, '1 Machine Build'!$F$11:$Q$11, '1 Machine Build'!$F16:$Q16), 0))</f>
        <v>0</v>
      </c>
      <c r="AL34" s="97">
        <f>SUM(_xlfn.IFNA(_xlfn.XLOOKUP(Assumptions!AJ$81, '1 Machine Build'!$F$11:$Q$11, '1 Machine Build'!$F16:$Q16), 0), _xlfn.IFNA(_xlfn.XLOOKUP(Assumptions!AJ$82, '1 Machine Build'!$F$11:$Q$11, '1 Machine Build'!$F16:$Q16), 0), _xlfn.IFNA(_xlfn.XLOOKUP(Assumptions!AJ$83, '1 Machine Build'!$F$11:$Q$11, '1 Machine Build'!$F16:$Q16), 0), _xlfn.IFNA(_xlfn.XLOOKUP(Assumptions!AJ$84, '1 Machine Build'!$F$11:$Q$11, '1 Machine Build'!$F16:$Q16), 0), _xlfn.IFNA(_xlfn.XLOOKUP(Assumptions!AJ$85, '1 Machine Build'!$F$11:$Q$11, '1 Machine Build'!$F16:$Q16), 0), _xlfn.IFNA(_xlfn.XLOOKUP(Assumptions!AJ$86, '1 Machine Build'!$F$11:$Q$11, '1 Machine Build'!$F16:$Q16), 0), _xlfn.IFNA(_xlfn.XLOOKUP(Assumptions!AJ$87, '1 Machine Build'!$F$11:$Q$11, '1 Machine Build'!$F16:$Q16), 0), _xlfn.IFNA(_xlfn.XLOOKUP(Assumptions!AJ$88, '1 Machine Build'!$F$11:$Q$11, '1 Machine Build'!$F16:$Q16), 0))</f>
        <v>0</v>
      </c>
      <c r="AM34" s="97">
        <f>SUM(_xlfn.IFNA(_xlfn.XLOOKUP(Assumptions!AK$81, '1 Machine Build'!$F$11:$Q$11, '1 Machine Build'!$F16:$Q16), 0), _xlfn.IFNA(_xlfn.XLOOKUP(Assumptions!AK$82, '1 Machine Build'!$F$11:$Q$11, '1 Machine Build'!$F16:$Q16), 0), _xlfn.IFNA(_xlfn.XLOOKUP(Assumptions!AK$83, '1 Machine Build'!$F$11:$Q$11, '1 Machine Build'!$F16:$Q16), 0), _xlfn.IFNA(_xlfn.XLOOKUP(Assumptions!AK$84, '1 Machine Build'!$F$11:$Q$11, '1 Machine Build'!$F16:$Q16), 0), _xlfn.IFNA(_xlfn.XLOOKUP(Assumptions!AK$85, '1 Machine Build'!$F$11:$Q$11, '1 Machine Build'!$F16:$Q16), 0), _xlfn.IFNA(_xlfn.XLOOKUP(Assumptions!AK$86, '1 Machine Build'!$F$11:$Q$11, '1 Machine Build'!$F16:$Q16), 0), _xlfn.IFNA(_xlfn.XLOOKUP(Assumptions!AK$87, '1 Machine Build'!$F$11:$Q$11, '1 Machine Build'!$F16:$Q16), 0), _xlfn.IFNA(_xlfn.XLOOKUP(Assumptions!AK$88, '1 Machine Build'!$F$11:$Q$11, '1 Machine Build'!$F16:$Q16), 0))</f>
        <v>0</v>
      </c>
      <c r="AN34" s="97">
        <f>SUM(_xlfn.IFNA(_xlfn.XLOOKUP(Assumptions!AL$81, '1 Machine Build'!$F$11:$Q$11, '1 Machine Build'!$F16:$Q16), 0), _xlfn.IFNA(_xlfn.XLOOKUP(Assumptions!AL$82, '1 Machine Build'!$F$11:$Q$11, '1 Machine Build'!$F16:$Q16), 0), _xlfn.IFNA(_xlfn.XLOOKUP(Assumptions!AL$83, '1 Machine Build'!$F$11:$Q$11, '1 Machine Build'!$F16:$Q16), 0), _xlfn.IFNA(_xlfn.XLOOKUP(Assumptions!AL$84, '1 Machine Build'!$F$11:$Q$11, '1 Machine Build'!$F16:$Q16), 0), _xlfn.IFNA(_xlfn.XLOOKUP(Assumptions!AL$85, '1 Machine Build'!$F$11:$Q$11, '1 Machine Build'!$F16:$Q16), 0), _xlfn.IFNA(_xlfn.XLOOKUP(Assumptions!AL$86, '1 Machine Build'!$F$11:$Q$11, '1 Machine Build'!$F16:$Q16), 0), _xlfn.IFNA(_xlfn.XLOOKUP(Assumptions!AL$87, '1 Machine Build'!$F$11:$Q$11, '1 Machine Build'!$F16:$Q16), 0), _xlfn.IFNA(_xlfn.XLOOKUP(Assumptions!AL$88, '1 Machine Build'!$F$11:$Q$11, '1 Machine Build'!$F16:$Q16), 0))</f>
        <v>0</v>
      </c>
      <c r="AO34" s="97">
        <f>SUM(_xlfn.IFNA(_xlfn.XLOOKUP(Assumptions!AM$81, '1 Machine Build'!$F$11:$Q$11, '1 Machine Build'!$F16:$Q16), 0), _xlfn.IFNA(_xlfn.XLOOKUP(Assumptions!AM$82, '1 Machine Build'!$F$11:$Q$11, '1 Machine Build'!$F16:$Q16), 0), _xlfn.IFNA(_xlfn.XLOOKUP(Assumptions!AM$83, '1 Machine Build'!$F$11:$Q$11, '1 Machine Build'!$F16:$Q16), 0), _xlfn.IFNA(_xlfn.XLOOKUP(Assumptions!AM$84, '1 Machine Build'!$F$11:$Q$11, '1 Machine Build'!$F16:$Q16), 0), _xlfn.IFNA(_xlfn.XLOOKUP(Assumptions!AM$85, '1 Machine Build'!$F$11:$Q$11, '1 Machine Build'!$F16:$Q16), 0), _xlfn.IFNA(_xlfn.XLOOKUP(Assumptions!AM$86, '1 Machine Build'!$F$11:$Q$11, '1 Machine Build'!$F16:$Q16), 0), _xlfn.IFNA(_xlfn.XLOOKUP(Assumptions!AM$87, '1 Machine Build'!$F$11:$Q$11, '1 Machine Build'!$F16:$Q16), 0), _xlfn.IFNA(_xlfn.XLOOKUP(Assumptions!AM$88, '1 Machine Build'!$F$11:$Q$11, '1 Machine Build'!$F16:$Q16), 0))</f>
        <v>0</v>
      </c>
      <c r="AP34" s="97">
        <f>SUM(_xlfn.IFNA(_xlfn.XLOOKUP(Assumptions!AN$81, '1 Machine Build'!$F$11:$Q$11, '1 Machine Build'!$F16:$Q16), 0), _xlfn.IFNA(_xlfn.XLOOKUP(Assumptions!AN$82, '1 Machine Build'!$F$11:$Q$11, '1 Machine Build'!$F16:$Q16), 0), _xlfn.IFNA(_xlfn.XLOOKUP(Assumptions!AN$83, '1 Machine Build'!$F$11:$Q$11, '1 Machine Build'!$F16:$Q16), 0), _xlfn.IFNA(_xlfn.XLOOKUP(Assumptions!AN$84, '1 Machine Build'!$F$11:$Q$11, '1 Machine Build'!$F16:$Q16), 0), _xlfn.IFNA(_xlfn.XLOOKUP(Assumptions!AN$85, '1 Machine Build'!$F$11:$Q$11, '1 Machine Build'!$F16:$Q16), 0), _xlfn.IFNA(_xlfn.XLOOKUP(Assumptions!AN$86, '1 Machine Build'!$F$11:$Q$11, '1 Machine Build'!$F16:$Q16), 0), _xlfn.IFNA(_xlfn.XLOOKUP(Assumptions!AN$87, '1 Machine Build'!$F$11:$Q$11, '1 Machine Build'!$F16:$Q16), 0), _xlfn.IFNA(_xlfn.XLOOKUP(Assumptions!AN$88, '1 Machine Build'!$F$11:$Q$11, '1 Machine Build'!$F16:$Q16), 0))</f>
        <v>0</v>
      </c>
      <c r="AQ34" s="97">
        <f>SUM(_xlfn.IFNA(_xlfn.XLOOKUP(Assumptions!AO$81, '1 Machine Build'!$F$11:$Q$11, '1 Machine Build'!$F16:$Q16), 0), _xlfn.IFNA(_xlfn.XLOOKUP(Assumptions!AO$82, '1 Machine Build'!$F$11:$Q$11, '1 Machine Build'!$F16:$Q16), 0), _xlfn.IFNA(_xlfn.XLOOKUP(Assumptions!AO$83, '1 Machine Build'!$F$11:$Q$11, '1 Machine Build'!$F16:$Q16), 0), _xlfn.IFNA(_xlfn.XLOOKUP(Assumptions!AO$84, '1 Machine Build'!$F$11:$Q$11, '1 Machine Build'!$F16:$Q16), 0), _xlfn.IFNA(_xlfn.XLOOKUP(Assumptions!AO$85, '1 Machine Build'!$F$11:$Q$11, '1 Machine Build'!$F16:$Q16), 0), _xlfn.IFNA(_xlfn.XLOOKUP(Assumptions!AO$86, '1 Machine Build'!$F$11:$Q$11, '1 Machine Build'!$F16:$Q16), 0), _xlfn.IFNA(_xlfn.XLOOKUP(Assumptions!AO$87, '1 Machine Build'!$F$11:$Q$11, '1 Machine Build'!$F16:$Q16), 0), _xlfn.IFNA(_xlfn.XLOOKUP(Assumptions!AO$88, '1 Machine Build'!$F$11:$Q$11, '1 Machine Build'!$F16:$Q16), 0))</f>
        <v>0</v>
      </c>
      <c r="AR34" s="97">
        <f>SUM(_xlfn.IFNA(_xlfn.XLOOKUP(Assumptions!AP$81, '1 Machine Build'!$F$11:$Q$11, '1 Machine Build'!$F16:$Q16), 0), _xlfn.IFNA(_xlfn.XLOOKUP(Assumptions!AP$82, '1 Machine Build'!$F$11:$Q$11, '1 Machine Build'!$F16:$Q16), 0), _xlfn.IFNA(_xlfn.XLOOKUP(Assumptions!AP$83, '1 Machine Build'!$F$11:$Q$11, '1 Machine Build'!$F16:$Q16), 0), _xlfn.IFNA(_xlfn.XLOOKUP(Assumptions!AP$84, '1 Machine Build'!$F$11:$Q$11, '1 Machine Build'!$F16:$Q16), 0), _xlfn.IFNA(_xlfn.XLOOKUP(Assumptions!AP$85, '1 Machine Build'!$F$11:$Q$11, '1 Machine Build'!$F16:$Q16), 0), _xlfn.IFNA(_xlfn.XLOOKUP(Assumptions!AP$86, '1 Machine Build'!$F$11:$Q$11, '1 Machine Build'!$F16:$Q16), 0), _xlfn.IFNA(_xlfn.XLOOKUP(Assumptions!AP$87, '1 Machine Build'!$F$11:$Q$11, '1 Machine Build'!$F16:$Q16), 0), _xlfn.IFNA(_xlfn.XLOOKUP(Assumptions!AP$88, '1 Machine Build'!$F$11:$Q$11, '1 Machine Build'!$F16:$Q16), 0))</f>
        <v>0</v>
      </c>
      <c r="AS34" s="97">
        <f>SUM(_xlfn.IFNA(_xlfn.XLOOKUP(Assumptions!AQ$81, '1 Machine Build'!$F$11:$Q$11, '1 Machine Build'!$F16:$Q16), 0), _xlfn.IFNA(_xlfn.XLOOKUP(Assumptions!AQ$82, '1 Machine Build'!$F$11:$Q$11, '1 Machine Build'!$F16:$Q16), 0), _xlfn.IFNA(_xlfn.XLOOKUP(Assumptions!AQ$83, '1 Machine Build'!$F$11:$Q$11, '1 Machine Build'!$F16:$Q16), 0), _xlfn.IFNA(_xlfn.XLOOKUP(Assumptions!AQ$84, '1 Machine Build'!$F$11:$Q$11, '1 Machine Build'!$F16:$Q16), 0), _xlfn.IFNA(_xlfn.XLOOKUP(Assumptions!AQ$85, '1 Machine Build'!$F$11:$Q$11, '1 Machine Build'!$F16:$Q16), 0), _xlfn.IFNA(_xlfn.XLOOKUP(Assumptions!AQ$86, '1 Machine Build'!$F$11:$Q$11, '1 Machine Build'!$F16:$Q16), 0), _xlfn.IFNA(_xlfn.XLOOKUP(Assumptions!AQ$87, '1 Machine Build'!$F$11:$Q$11, '1 Machine Build'!$F16:$Q16), 0), _xlfn.IFNA(_xlfn.XLOOKUP(Assumptions!AQ$88, '1 Machine Build'!$F$11:$Q$11, '1 Machine Build'!$F16:$Q16), 0))</f>
        <v>0</v>
      </c>
      <c r="AT34" s="97">
        <f>SUM(_xlfn.IFNA(_xlfn.XLOOKUP(Assumptions!AR$81, '1 Machine Build'!$F$11:$Q$11, '1 Machine Build'!$F16:$Q16), 0), _xlfn.IFNA(_xlfn.XLOOKUP(Assumptions!AR$82, '1 Machine Build'!$F$11:$Q$11, '1 Machine Build'!$F16:$Q16), 0), _xlfn.IFNA(_xlfn.XLOOKUP(Assumptions!AR$83, '1 Machine Build'!$F$11:$Q$11, '1 Machine Build'!$F16:$Q16), 0), _xlfn.IFNA(_xlfn.XLOOKUP(Assumptions!AR$84, '1 Machine Build'!$F$11:$Q$11, '1 Machine Build'!$F16:$Q16), 0), _xlfn.IFNA(_xlfn.XLOOKUP(Assumptions!AR$85, '1 Machine Build'!$F$11:$Q$11, '1 Machine Build'!$F16:$Q16), 0), _xlfn.IFNA(_xlfn.XLOOKUP(Assumptions!AR$86, '1 Machine Build'!$F$11:$Q$11, '1 Machine Build'!$F16:$Q16), 0), _xlfn.IFNA(_xlfn.XLOOKUP(Assumptions!AR$87, '1 Machine Build'!$F$11:$Q$11, '1 Machine Build'!$F16:$Q16), 0), _xlfn.IFNA(_xlfn.XLOOKUP(Assumptions!AR$88, '1 Machine Build'!$F$11:$Q$11, '1 Machine Build'!$F16:$Q16), 0))</f>
        <v>0</v>
      </c>
      <c r="AU34" s="97">
        <f>SUM(_xlfn.IFNA(_xlfn.XLOOKUP(Assumptions!AS$81, '1 Machine Build'!$F$11:$Q$11, '1 Machine Build'!$F16:$Q16), 0), _xlfn.IFNA(_xlfn.XLOOKUP(Assumptions!AS$82, '1 Machine Build'!$F$11:$Q$11, '1 Machine Build'!$F16:$Q16), 0), _xlfn.IFNA(_xlfn.XLOOKUP(Assumptions!AS$83, '1 Machine Build'!$F$11:$Q$11, '1 Machine Build'!$F16:$Q16), 0), _xlfn.IFNA(_xlfn.XLOOKUP(Assumptions!AS$84, '1 Machine Build'!$F$11:$Q$11, '1 Machine Build'!$F16:$Q16), 0), _xlfn.IFNA(_xlfn.XLOOKUP(Assumptions!AS$85, '1 Machine Build'!$F$11:$Q$11, '1 Machine Build'!$F16:$Q16), 0), _xlfn.IFNA(_xlfn.XLOOKUP(Assumptions!AS$86, '1 Machine Build'!$F$11:$Q$11, '1 Machine Build'!$F16:$Q16), 0), _xlfn.IFNA(_xlfn.XLOOKUP(Assumptions!AS$87, '1 Machine Build'!$F$11:$Q$11, '1 Machine Build'!$F16:$Q16), 0), _xlfn.IFNA(_xlfn.XLOOKUP(Assumptions!AS$88, '1 Machine Build'!$F$11:$Q$11, '1 Machine Build'!$F16:$Q16), 0))</f>
        <v>0</v>
      </c>
      <c r="AV34" s="97">
        <f>SUM(_xlfn.IFNA(_xlfn.XLOOKUP(Assumptions!AT$81, '1 Machine Build'!$F$11:$Q$11, '1 Machine Build'!$F16:$Q16), 0), _xlfn.IFNA(_xlfn.XLOOKUP(Assumptions!AT$82, '1 Machine Build'!$F$11:$Q$11, '1 Machine Build'!$F16:$Q16), 0), _xlfn.IFNA(_xlfn.XLOOKUP(Assumptions!AT$83, '1 Machine Build'!$F$11:$Q$11, '1 Machine Build'!$F16:$Q16), 0), _xlfn.IFNA(_xlfn.XLOOKUP(Assumptions!AT$84, '1 Machine Build'!$F$11:$Q$11, '1 Machine Build'!$F16:$Q16), 0), _xlfn.IFNA(_xlfn.XLOOKUP(Assumptions!AT$85, '1 Machine Build'!$F$11:$Q$11, '1 Machine Build'!$F16:$Q16), 0), _xlfn.IFNA(_xlfn.XLOOKUP(Assumptions!AT$86, '1 Machine Build'!$F$11:$Q$11, '1 Machine Build'!$F16:$Q16), 0), _xlfn.IFNA(_xlfn.XLOOKUP(Assumptions!AT$87, '1 Machine Build'!$F$11:$Q$11, '1 Machine Build'!$F16:$Q16), 0), _xlfn.IFNA(_xlfn.XLOOKUP(Assumptions!AT$88, '1 Machine Build'!$F$11:$Q$11, '1 Machine Build'!$F16:$Q16), 0))</f>
        <v>0</v>
      </c>
      <c r="AW34" s="97">
        <f>SUM(_xlfn.IFNA(_xlfn.XLOOKUP(Assumptions!AU$81, '1 Machine Build'!$F$11:$Q$11, '1 Machine Build'!$F16:$Q16), 0), _xlfn.IFNA(_xlfn.XLOOKUP(Assumptions!AU$82, '1 Machine Build'!$F$11:$Q$11, '1 Machine Build'!$F16:$Q16), 0), _xlfn.IFNA(_xlfn.XLOOKUP(Assumptions!AU$83, '1 Machine Build'!$F$11:$Q$11, '1 Machine Build'!$F16:$Q16), 0), _xlfn.IFNA(_xlfn.XLOOKUP(Assumptions!AU$84, '1 Machine Build'!$F$11:$Q$11, '1 Machine Build'!$F16:$Q16), 0), _xlfn.IFNA(_xlfn.XLOOKUP(Assumptions!AU$85, '1 Machine Build'!$F$11:$Q$11, '1 Machine Build'!$F16:$Q16), 0), _xlfn.IFNA(_xlfn.XLOOKUP(Assumptions!AU$86, '1 Machine Build'!$F$11:$Q$11, '1 Machine Build'!$F16:$Q16), 0), _xlfn.IFNA(_xlfn.XLOOKUP(Assumptions!AU$87, '1 Machine Build'!$F$11:$Q$11, '1 Machine Build'!$F16:$Q16), 0), _xlfn.IFNA(_xlfn.XLOOKUP(Assumptions!AU$88, '1 Machine Build'!$F$11:$Q$11, '1 Machine Build'!$F16:$Q16), 0))</f>
        <v>0</v>
      </c>
      <c r="AX34" s="97">
        <f>SUM(_xlfn.IFNA(_xlfn.XLOOKUP(Assumptions!AV$81, '1 Machine Build'!$F$11:$Q$11, '1 Machine Build'!$F16:$Q16), 0), _xlfn.IFNA(_xlfn.XLOOKUP(Assumptions!AV$82, '1 Machine Build'!$F$11:$Q$11, '1 Machine Build'!$F16:$Q16), 0), _xlfn.IFNA(_xlfn.XLOOKUP(Assumptions!AV$83, '1 Machine Build'!$F$11:$Q$11, '1 Machine Build'!$F16:$Q16), 0), _xlfn.IFNA(_xlfn.XLOOKUP(Assumptions!AV$84, '1 Machine Build'!$F$11:$Q$11, '1 Machine Build'!$F16:$Q16), 0), _xlfn.IFNA(_xlfn.XLOOKUP(Assumptions!AV$85, '1 Machine Build'!$F$11:$Q$11, '1 Machine Build'!$F16:$Q16), 0), _xlfn.IFNA(_xlfn.XLOOKUP(Assumptions!AV$86, '1 Machine Build'!$F$11:$Q$11, '1 Machine Build'!$F16:$Q16), 0), _xlfn.IFNA(_xlfn.XLOOKUP(Assumptions!AV$87, '1 Machine Build'!$F$11:$Q$11, '1 Machine Build'!$F16:$Q16), 0), _xlfn.IFNA(_xlfn.XLOOKUP(Assumptions!AV$88, '1 Machine Build'!$F$11:$Q$11, '1 Machine Build'!$F16:$Q16), 0))</f>
        <v>0</v>
      </c>
      <c r="AY34" s="97">
        <f>SUM(_xlfn.IFNA(_xlfn.XLOOKUP(Assumptions!AW$81, '1 Machine Build'!$F$11:$Q$11, '1 Machine Build'!$F16:$Q16), 0), _xlfn.IFNA(_xlfn.XLOOKUP(Assumptions!AW$82, '1 Machine Build'!$F$11:$Q$11, '1 Machine Build'!$F16:$Q16), 0), _xlfn.IFNA(_xlfn.XLOOKUP(Assumptions!AW$83, '1 Machine Build'!$F$11:$Q$11, '1 Machine Build'!$F16:$Q16), 0), _xlfn.IFNA(_xlfn.XLOOKUP(Assumptions!AW$84, '1 Machine Build'!$F$11:$Q$11, '1 Machine Build'!$F16:$Q16), 0), _xlfn.IFNA(_xlfn.XLOOKUP(Assumptions!AW$85, '1 Machine Build'!$F$11:$Q$11, '1 Machine Build'!$F16:$Q16), 0), _xlfn.IFNA(_xlfn.XLOOKUP(Assumptions!AW$86, '1 Machine Build'!$F$11:$Q$11, '1 Machine Build'!$F16:$Q16), 0), _xlfn.IFNA(_xlfn.XLOOKUP(Assumptions!AW$87, '1 Machine Build'!$F$11:$Q$11, '1 Machine Build'!$F16:$Q16), 0), _xlfn.IFNA(_xlfn.XLOOKUP(Assumptions!AW$88, '1 Machine Build'!$F$11:$Q$11, '1 Machine Build'!$F16:$Q16), 0))</f>
        <v>0</v>
      </c>
      <c r="AZ34" s="97">
        <f>SUM(_xlfn.IFNA(_xlfn.XLOOKUP(Assumptions!AX$81, '1 Machine Build'!$F$11:$Q$11, '1 Machine Build'!$F16:$Q16), 0), _xlfn.IFNA(_xlfn.XLOOKUP(Assumptions!AX$82, '1 Machine Build'!$F$11:$Q$11, '1 Machine Build'!$F16:$Q16), 0), _xlfn.IFNA(_xlfn.XLOOKUP(Assumptions!AX$83, '1 Machine Build'!$F$11:$Q$11, '1 Machine Build'!$F16:$Q16), 0), _xlfn.IFNA(_xlfn.XLOOKUP(Assumptions!AX$84, '1 Machine Build'!$F$11:$Q$11, '1 Machine Build'!$F16:$Q16), 0), _xlfn.IFNA(_xlfn.XLOOKUP(Assumptions!AX$85, '1 Machine Build'!$F$11:$Q$11, '1 Machine Build'!$F16:$Q16), 0), _xlfn.IFNA(_xlfn.XLOOKUP(Assumptions!AX$86, '1 Machine Build'!$F$11:$Q$11, '1 Machine Build'!$F16:$Q16), 0), _xlfn.IFNA(_xlfn.XLOOKUP(Assumptions!AX$87, '1 Machine Build'!$F$11:$Q$11, '1 Machine Build'!$F16:$Q16), 0), _xlfn.IFNA(_xlfn.XLOOKUP(Assumptions!AX$88, '1 Machine Build'!$F$11:$Q$11, '1 Machine Build'!$F16:$Q16), 0))</f>
        <v>0</v>
      </c>
      <c r="BA34" s="97">
        <f>SUM(_xlfn.IFNA(_xlfn.XLOOKUP(Assumptions!AY$81, '1 Machine Build'!$F$11:$Q$11, '1 Machine Build'!$F16:$Q16), 0), _xlfn.IFNA(_xlfn.XLOOKUP(Assumptions!AY$82, '1 Machine Build'!$F$11:$Q$11, '1 Machine Build'!$F16:$Q16), 0), _xlfn.IFNA(_xlfn.XLOOKUP(Assumptions!AY$83, '1 Machine Build'!$F$11:$Q$11, '1 Machine Build'!$F16:$Q16), 0), _xlfn.IFNA(_xlfn.XLOOKUP(Assumptions!AY$84, '1 Machine Build'!$F$11:$Q$11, '1 Machine Build'!$F16:$Q16), 0), _xlfn.IFNA(_xlfn.XLOOKUP(Assumptions!AY$85, '1 Machine Build'!$F$11:$Q$11, '1 Machine Build'!$F16:$Q16), 0), _xlfn.IFNA(_xlfn.XLOOKUP(Assumptions!AY$86, '1 Machine Build'!$F$11:$Q$11, '1 Machine Build'!$F16:$Q16), 0), _xlfn.IFNA(_xlfn.XLOOKUP(Assumptions!AY$87, '1 Machine Build'!$F$11:$Q$11, '1 Machine Build'!$F16:$Q16), 0), _xlfn.IFNA(_xlfn.XLOOKUP(Assumptions!AY$88, '1 Machine Build'!$F$11:$Q$11, '1 Machine Build'!$F16:$Q16), 0))</f>
        <v>0</v>
      </c>
      <c r="BB34" s="97">
        <f>SUM(_xlfn.IFNA(_xlfn.XLOOKUP(Assumptions!AZ$81, '1 Machine Build'!$F$11:$Q$11, '1 Machine Build'!$F16:$Q16), 0), _xlfn.IFNA(_xlfn.XLOOKUP(Assumptions!AZ$82, '1 Machine Build'!$F$11:$Q$11, '1 Machine Build'!$F16:$Q16), 0), _xlfn.IFNA(_xlfn.XLOOKUP(Assumptions!AZ$83, '1 Machine Build'!$F$11:$Q$11, '1 Machine Build'!$F16:$Q16), 0), _xlfn.IFNA(_xlfn.XLOOKUP(Assumptions!AZ$84, '1 Machine Build'!$F$11:$Q$11, '1 Machine Build'!$F16:$Q16), 0), _xlfn.IFNA(_xlfn.XLOOKUP(Assumptions!AZ$85, '1 Machine Build'!$F$11:$Q$11, '1 Machine Build'!$F16:$Q16), 0), _xlfn.IFNA(_xlfn.XLOOKUP(Assumptions!AZ$86, '1 Machine Build'!$F$11:$Q$11, '1 Machine Build'!$F16:$Q16), 0), _xlfn.IFNA(_xlfn.XLOOKUP(Assumptions!AZ$87, '1 Machine Build'!$F$11:$Q$11, '1 Machine Build'!$F16:$Q16), 0), _xlfn.IFNA(_xlfn.XLOOKUP(Assumptions!AZ$88, '1 Machine Build'!$F$11:$Q$11, '1 Machine Build'!$F16:$Q16), 0))</f>
        <v>0</v>
      </c>
      <c r="BC34" s="97">
        <f>SUM(_xlfn.IFNA(_xlfn.XLOOKUP(Assumptions!BA$81, '1 Machine Build'!$F$11:$Q$11, '1 Machine Build'!$F16:$Q16), 0), _xlfn.IFNA(_xlfn.XLOOKUP(Assumptions!BA$82, '1 Machine Build'!$F$11:$Q$11, '1 Machine Build'!$F16:$Q16), 0), _xlfn.IFNA(_xlfn.XLOOKUP(Assumptions!BA$83, '1 Machine Build'!$F$11:$Q$11, '1 Machine Build'!$F16:$Q16), 0), _xlfn.IFNA(_xlfn.XLOOKUP(Assumptions!BA$84, '1 Machine Build'!$F$11:$Q$11, '1 Machine Build'!$F16:$Q16), 0), _xlfn.IFNA(_xlfn.XLOOKUP(Assumptions!BA$85, '1 Machine Build'!$F$11:$Q$11, '1 Machine Build'!$F16:$Q16), 0), _xlfn.IFNA(_xlfn.XLOOKUP(Assumptions!BA$86, '1 Machine Build'!$F$11:$Q$11, '1 Machine Build'!$F16:$Q16), 0), _xlfn.IFNA(_xlfn.XLOOKUP(Assumptions!BA$87, '1 Machine Build'!$F$11:$Q$11, '1 Machine Build'!$F16:$Q16), 0), _xlfn.IFNA(_xlfn.XLOOKUP(Assumptions!BA$88, '1 Machine Build'!$F$11:$Q$11, '1 Machine Build'!$F16:$Q16), 0))</f>
        <v>0</v>
      </c>
      <c r="BD34" s="97">
        <f>SUM(_xlfn.IFNA(_xlfn.XLOOKUP(Assumptions!BB$81, '1 Machine Build'!$F$11:$Q$11, '1 Machine Build'!$F16:$Q16), 0), _xlfn.IFNA(_xlfn.XLOOKUP(Assumptions!BB$82, '1 Machine Build'!$F$11:$Q$11, '1 Machine Build'!$F16:$Q16), 0), _xlfn.IFNA(_xlfn.XLOOKUP(Assumptions!BB$83, '1 Machine Build'!$F$11:$Q$11, '1 Machine Build'!$F16:$Q16), 0), _xlfn.IFNA(_xlfn.XLOOKUP(Assumptions!BB$84, '1 Machine Build'!$F$11:$Q$11, '1 Machine Build'!$F16:$Q16), 0), _xlfn.IFNA(_xlfn.XLOOKUP(Assumptions!BB$85, '1 Machine Build'!$F$11:$Q$11, '1 Machine Build'!$F16:$Q16), 0), _xlfn.IFNA(_xlfn.XLOOKUP(Assumptions!BB$86, '1 Machine Build'!$F$11:$Q$11, '1 Machine Build'!$F16:$Q16), 0), _xlfn.IFNA(_xlfn.XLOOKUP(Assumptions!BB$87, '1 Machine Build'!$F$11:$Q$11, '1 Machine Build'!$F16:$Q16), 0), _xlfn.IFNA(_xlfn.XLOOKUP(Assumptions!BB$88, '1 Machine Build'!$F$11:$Q$11, '1 Machine Build'!$F16:$Q16), 0))</f>
        <v>0</v>
      </c>
      <c r="BE34" s="97">
        <f>SUM(_xlfn.IFNA(_xlfn.XLOOKUP(Assumptions!BC$81, '1 Machine Build'!$F$11:$Q$11, '1 Machine Build'!$F16:$Q16), 0), _xlfn.IFNA(_xlfn.XLOOKUP(Assumptions!BC$82, '1 Machine Build'!$F$11:$Q$11, '1 Machine Build'!$F16:$Q16), 0), _xlfn.IFNA(_xlfn.XLOOKUP(Assumptions!BC$83, '1 Machine Build'!$F$11:$Q$11, '1 Machine Build'!$F16:$Q16), 0), _xlfn.IFNA(_xlfn.XLOOKUP(Assumptions!BC$84, '1 Machine Build'!$F$11:$Q$11, '1 Machine Build'!$F16:$Q16), 0), _xlfn.IFNA(_xlfn.XLOOKUP(Assumptions!BC$85, '1 Machine Build'!$F$11:$Q$11, '1 Machine Build'!$F16:$Q16), 0), _xlfn.IFNA(_xlfn.XLOOKUP(Assumptions!BC$86, '1 Machine Build'!$F$11:$Q$11, '1 Machine Build'!$F16:$Q16), 0), _xlfn.IFNA(_xlfn.XLOOKUP(Assumptions!BC$87, '1 Machine Build'!$F$11:$Q$11, '1 Machine Build'!$F16:$Q16), 0), _xlfn.IFNA(_xlfn.XLOOKUP(Assumptions!BC$88, '1 Machine Build'!$F$11:$Q$11, '1 Machine Build'!$F16:$Q16), 0))</f>
        <v>0</v>
      </c>
      <c r="BF34" s="97">
        <f>SUM(_xlfn.IFNA(_xlfn.XLOOKUP(Assumptions!BD$81, '1 Machine Build'!$F$11:$Q$11, '1 Machine Build'!$F16:$Q16), 0), _xlfn.IFNA(_xlfn.XLOOKUP(Assumptions!BD$82, '1 Machine Build'!$F$11:$Q$11, '1 Machine Build'!$F16:$Q16), 0), _xlfn.IFNA(_xlfn.XLOOKUP(Assumptions!BD$83, '1 Machine Build'!$F$11:$Q$11, '1 Machine Build'!$F16:$Q16), 0), _xlfn.IFNA(_xlfn.XLOOKUP(Assumptions!BD$84, '1 Machine Build'!$F$11:$Q$11, '1 Machine Build'!$F16:$Q16), 0), _xlfn.IFNA(_xlfn.XLOOKUP(Assumptions!BD$85, '1 Machine Build'!$F$11:$Q$11, '1 Machine Build'!$F16:$Q16), 0), _xlfn.IFNA(_xlfn.XLOOKUP(Assumptions!BD$86, '1 Machine Build'!$F$11:$Q$11, '1 Machine Build'!$F16:$Q16), 0), _xlfn.IFNA(_xlfn.XLOOKUP(Assumptions!BD$87, '1 Machine Build'!$F$11:$Q$11, '1 Machine Build'!$F16:$Q16), 0), _xlfn.IFNA(_xlfn.XLOOKUP(Assumptions!BD$88, '1 Machine Build'!$F$11:$Q$11, '1 Machine Build'!$F16:$Q16), 0))</f>
        <v>0</v>
      </c>
      <c r="BG34" s="97">
        <f>SUM(_xlfn.IFNA(_xlfn.XLOOKUP(Assumptions!BE$81, '1 Machine Build'!$F$11:$Q$11, '1 Machine Build'!$F16:$Q16), 0), _xlfn.IFNA(_xlfn.XLOOKUP(Assumptions!BE$82, '1 Machine Build'!$F$11:$Q$11, '1 Machine Build'!$F16:$Q16), 0), _xlfn.IFNA(_xlfn.XLOOKUP(Assumptions!BE$83, '1 Machine Build'!$F$11:$Q$11, '1 Machine Build'!$F16:$Q16), 0), _xlfn.IFNA(_xlfn.XLOOKUP(Assumptions!BE$84, '1 Machine Build'!$F$11:$Q$11, '1 Machine Build'!$F16:$Q16), 0), _xlfn.IFNA(_xlfn.XLOOKUP(Assumptions!BE$85, '1 Machine Build'!$F$11:$Q$11, '1 Machine Build'!$F16:$Q16), 0), _xlfn.IFNA(_xlfn.XLOOKUP(Assumptions!BE$86, '1 Machine Build'!$F$11:$Q$11, '1 Machine Build'!$F16:$Q16), 0), _xlfn.IFNA(_xlfn.XLOOKUP(Assumptions!BE$87, '1 Machine Build'!$F$11:$Q$11, '1 Machine Build'!$F16:$Q16), 0), _xlfn.IFNA(_xlfn.XLOOKUP(Assumptions!BE$88, '1 Machine Build'!$F$11:$Q$11, '1 Machine Build'!$F16:$Q16), 0))</f>
        <v>0</v>
      </c>
      <c r="BH34" s="97">
        <f>SUM(_xlfn.IFNA(_xlfn.XLOOKUP(Assumptions!BF$81, '1 Machine Build'!$F$11:$Q$11, '1 Machine Build'!$F16:$Q16), 0), _xlfn.IFNA(_xlfn.XLOOKUP(Assumptions!BF$82, '1 Machine Build'!$F$11:$Q$11, '1 Machine Build'!$F16:$Q16), 0), _xlfn.IFNA(_xlfn.XLOOKUP(Assumptions!BF$83, '1 Machine Build'!$F$11:$Q$11, '1 Machine Build'!$F16:$Q16), 0), _xlfn.IFNA(_xlfn.XLOOKUP(Assumptions!BF$84, '1 Machine Build'!$F$11:$Q$11, '1 Machine Build'!$F16:$Q16), 0), _xlfn.IFNA(_xlfn.XLOOKUP(Assumptions!BF$85, '1 Machine Build'!$F$11:$Q$11, '1 Machine Build'!$F16:$Q16), 0), _xlfn.IFNA(_xlfn.XLOOKUP(Assumptions!BF$86, '1 Machine Build'!$F$11:$Q$11, '1 Machine Build'!$F16:$Q16), 0), _xlfn.IFNA(_xlfn.XLOOKUP(Assumptions!BF$87, '1 Machine Build'!$F$11:$Q$11, '1 Machine Build'!$F16:$Q16), 0), _xlfn.IFNA(_xlfn.XLOOKUP(Assumptions!BF$88, '1 Machine Build'!$F$11:$Q$11, '1 Machine Build'!$F16:$Q16), 0))</f>
        <v>0</v>
      </c>
      <c r="BI34" s="97">
        <f>SUM(_xlfn.IFNA(_xlfn.XLOOKUP(Assumptions!BG$81, '1 Machine Build'!$F$11:$Q$11, '1 Machine Build'!$F16:$Q16), 0), _xlfn.IFNA(_xlfn.XLOOKUP(Assumptions!BG$82, '1 Machine Build'!$F$11:$Q$11, '1 Machine Build'!$F16:$Q16), 0), _xlfn.IFNA(_xlfn.XLOOKUP(Assumptions!BG$83, '1 Machine Build'!$F$11:$Q$11, '1 Machine Build'!$F16:$Q16), 0), _xlfn.IFNA(_xlfn.XLOOKUP(Assumptions!BG$84, '1 Machine Build'!$F$11:$Q$11, '1 Machine Build'!$F16:$Q16), 0), _xlfn.IFNA(_xlfn.XLOOKUP(Assumptions!BG$85, '1 Machine Build'!$F$11:$Q$11, '1 Machine Build'!$F16:$Q16), 0), _xlfn.IFNA(_xlfn.XLOOKUP(Assumptions!BG$86, '1 Machine Build'!$F$11:$Q$11, '1 Machine Build'!$F16:$Q16), 0), _xlfn.IFNA(_xlfn.XLOOKUP(Assumptions!BG$87, '1 Machine Build'!$F$11:$Q$11, '1 Machine Build'!$F16:$Q16), 0), _xlfn.IFNA(_xlfn.XLOOKUP(Assumptions!BG$88, '1 Machine Build'!$F$11:$Q$11, '1 Machine Build'!$F16:$Q16), 0))</f>
        <v>0</v>
      </c>
      <c r="BJ34" s="97">
        <f>SUM(_xlfn.IFNA(_xlfn.XLOOKUP(Assumptions!BH$81, '1 Machine Build'!$F$11:$Q$11, '1 Machine Build'!$F16:$Q16), 0), _xlfn.IFNA(_xlfn.XLOOKUP(Assumptions!BH$82, '1 Machine Build'!$F$11:$Q$11, '1 Machine Build'!$F16:$Q16), 0), _xlfn.IFNA(_xlfn.XLOOKUP(Assumptions!BH$83, '1 Machine Build'!$F$11:$Q$11, '1 Machine Build'!$F16:$Q16), 0), _xlfn.IFNA(_xlfn.XLOOKUP(Assumptions!BH$84, '1 Machine Build'!$F$11:$Q$11, '1 Machine Build'!$F16:$Q16), 0), _xlfn.IFNA(_xlfn.XLOOKUP(Assumptions!BH$85, '1 Machine Build'!$F$11:$Q$11, '1 Machine Build'!$F16:$Q16), 0), _xlfn.IFNA(_xlfn.XLOOKUP(Assumptions!BH$86, '1 Machine Build'!$F$11:$Q$11, '1 Machine Build'!$F16:$Q16), 0), _xlfn.IFNA(_xlfn.XLOOKUP(Assumptions!BH$87, '1 Machine Build'!$F$11:$Q$11, '1 Machine Build'!$F16:$Q16), 0), _xlfn.IFNA(_xlfn.XLOOKUP(Assumptions!BH$88, '1 Machine Build'!$F$11:$Q$11, '1 Machine Build'!$F16:$Q16), 0))</f>
        <v>0</v>
      </c>
      <c r="BK34" s="97">
        <f>SUM(_xlfn.IFNA(_xlfn.XLOOKUP(Assumptions!BI$81, '1 Machine Build'!$F$11:$Q$11, '1 Machine Build'!$F16:$Q16), 0), _xlfn.IFNA(_xlfn.XLOOKUP(Assumptions!BI$82, '1 Machine Build'!$F$11:$Q$11, '1 Machine Build'!$F16:$Q16), 0), _xlfn.IFNA(_xlfn.XLOOKUP(Assumptions!BI$83, '1 Machine Build'!$F$11:$Q$11, '1 Machine Build'!$F16:$Q16), 0), _xlfn.IFNA(_xlfn.XLOOKUP(Assumptions!BI$84, '1 Machine Build'!$F$11:$Q$11, '1 Machine Build'!$F16:$Q16), 0), _xlfn.IFNA(_xlfn.XLOOKUP(Assumptions!BI$85, '1 Machine Build'!$F$11:$Q$11, '1 Machine Build'!$F16:$Q16), 0), _xlfn.IFNA(_xlfn.XLOOKUP(Assumptions!BI$86, '1 Machine Build'!$F$11:$Q$11, '1 Machine Build'!$F16:$Q16), 0), _xlfn.IFNA(_xlfn.XLOOKUP(Assumptions!BI$87, '1 Machine Build'!$F$11:$Q$11, '1 Machine Build'!$F16:$Q16), 0), _xlfn.IFNA(_xlfn.XLOOKUP(Assumptions!BI$88, '1 Machine Build'!$F$11:$Q$11, '1 Machine Build'!$F16:$Q16), 0))</f>
        <v>0</v>
      </c>
      <c r="BL34" s="97">
        <f>SUM(_xlfn.IFNA(_xlfn.XLOOKUP(Assumptions!BJ$81, '1 Machine Build'!$F$11:$Q$11, '1 Machine Build'!$F16:$Q16), 0), _xlfn.IFNA(_xlfn.XLOOKUP(Assumptions!BJ$82, '1 Machine Build'!$F$11:$Q$11, '1 Machine Build'!$F16:$Q16), 0), _xlfn.IFNA(_xlfn.XLOOKUP(Assumptions!BJ$83, '1 Machine Build'!$F$11:$Q$11, '1 Machine Build'!$F16:$Q16), 0), _xlfn.IFNA(_xlfn.XLOOKUP(Assumptions!BJ$84, '1 Machine Build'!$F$11:$Q$11, '1 Machine Build'!$F16:$Q16), 0), _xlfn.IFNA(_xlfn.XLOOKUP(Assumptions!BJ$85, '1 Machine Build'!$F$11:$Q$11, '1 Machine Build'!$F16:$Q16), 0), _xlfn.IFNA(_xlfn.XLOOKUP(Assumptions!BJ$86, '1 Machine Build'!$F$11:$Q$11, '1 Machine Build'!$F16:$Q16), 0), _xlfn.IFNA(_xlfn.XLOOKUP(Assumptions!BJ$87, '1 Machine Build'!$F$11:$Q$11, '1 Machine Build'!$F16:$Q16), 0), _xlfn.IFNA(_xlfn.XLOOKUP(Assumptions!BJ$88, '1 Machine Build'!$F$11:$Q$11, '1 Machine Build'!$F16:$Q16), 0))</f>
        <v>0</v>
      </c>
      <c r="BM34" s="97">
        <f>SUM(_xlfn.IFNA(_xlfn.XLOOKUP(Assumptions!BK$81, '1 Machine Build'!$F$11:$Q$11, '1 Machine Build'!$F16:$Q16), 0), _xlfn.IFNA(_xlfn.XLOOKUP(Assumptions!BK$82, '1 Machine Build'!$F$11:$Q$11, '1 Machine Build'!$F16:$Q16), 0), _xlfn.IFNA(_xlfn.XLOOKUP(Assumptions!BK$83, '1 Machine Build'!$F$11:$Q$11, '1 Machine Build'!$F16:$Q16), 0), _xlfn.IFNA(_xlfn.XLOOKUP(Assumptions!BK$84, '1 Machine Build'!$F$11:$Q$11, '1 Machine Build'!$F16:$Q16), 0), _xlfn.IFNA(_xlfn.XLOOKUP(Assumptions!BK$85, '1 Machine Build'!$F$11:$Q$11, '1 Machine Build'!$F16:$Q16), 0), _xlfn.IFNA(_xlfn.XLOOKUP(Assumptions!BK$86, '1 Machine Build'!$F$11:$Q$11, '1 Machine Build'!$F16:$Q16), 0), _xlfn.IFNA(_xlfn.XLOOKUP(Assumptions!BK$87, '1 Machine Build'!$F$11:$Q$11, '1 Machine Build'!$F16:$Q16), 0), _xlfn.IFNA(_xlfn.XLOOKUP(Assumptions!BK$88, '1 Machine Build'!$F$11:$Q$11, '1 Machine Build'!$F16:$Q16), 0))</f>
        <v>0</v>
      </c>
      <c r="BN34" s="97">
        <f>SUM(_xlfn.IFNA(_xlfn.XLOOKUP(Assumptions!BL$81, '1 Machine Build'!$F$11:$Q$11, '1 Machine Build'!$F16:$Q16), 0), _xlfn.IFNA(_xlfn.XLOOKUP(Assumptions!BL$82, '1 Machine Build'!$F$11:$Q$11, '1 Machine Build'!$F16:$Q16), 0), _xlfn.IFNA(_xlfn.XLOOKUP(Assumptions!BL$83, '1 Machine Build'!$F$11:$Q$11, '1 Machine Build'!$F16:$Q16), 0), _xlfn.IFNA(_xlfn.XLOOKUP(Assumptions!BL$84, '1 Machine Build'!$F$11:$Q$11, '1 Machine Build'!$F16:$Q16), 0), _xlfn.IFNA(_xlfn.XLOOKUP(Assumptions!BL$85, '1 Machine Build'!$F$11:$Q$11, '1 Machine Build'!$F16:$Q16), 0), _xlfn.IFNA(_xlfn.XLOOKUP(Assumptions!BL$86, '1 Machine Build'!$F$11:$Q$11, '1 Machine Build'!$F16:$Q16), 0), _xlfn.IFNA(_xlfn.XLOOKUP(Assumptions!BL$87, '1 Machine Build'!$F$11:$Q$11, '1 Machine Build'!$F16:$Q16), 0), _xlfn.IFNA(_xlfn.XLOOKUP(Assumptions!BL$88, '1 Machine Build'!$F$11:$Q$11, '1 Machine Build'!$F16:$Q16), 0))</f>
        <v>0</v>
      </c>
      <c r="BO34" s="97">
        <f>SUM(_xlfn.IFNA(_xlfn.XLOOKUP(Assumptions!BM$81, '1 Machine Build'!$F$11:$Q$11, '1 Machine Build'!$F16:$Q16), 0), _xlfn.IFNA(_xlfn.XLOOKUP(Assumptions!BM$82, '1 Machine Build'!$F$11:$Q$11, '1 Machine Build'!$F16:$Q16), 0), _xlfn.IFNA(_xlfn.XLOOKUP(Assumptions!BM$83, '1 Machine Build'!$F$11:$Q$11, '1 Machine Build'!$F16:$Q16), 0), _xlfn.IFNA(_xlfn.XLOOKUP(Assumptions!BM$84, '1 Machine Build'!$F$11:$Q$11, '1 Machine Build'!$F16:$Q16), 0), _xlfn.IFNA(_xlfn.XLOOKUP(Assumptions!BM$85, '1 Machine Build'!$F$11:$Q$11, '1 Machine Build'!$F16:$Q16), 0), _xlfn.IFNA(_xlfn.XLOOKUP(Assumptions!BM$86, '1 Machine Build'!$F$11:$Q$11, '1 Machine Build'!$F16:$Q16), 0), _xlfn.IFNA(_xlfn.XLOOKUP(Assumptions!BM$87, '1 Machine Build'!$F$11:$Q$11, '1 Machine Build'!$F16:$Q16), 0), _xlfn.IFNA(_xlfn.XLOOKUP(Assumptions!BM$88, '1 Machine Build'!$F$11:$Q$11, '1 Machine Build'!$F16:$Q16), 0))</f>
        <v>0</v>
      </c>
      <c r="BP34" s="97">
        <f>SUM(_xlfn.IFNA(_xlfn.XLOOKUP(Assumptions!BN$81, '1 Machine Build'!$F$11:$Q$11, '1 Machine Build'!$F16:$Q16), 0), _xlfn.IFNA(_xlfn.XLOOKUP(Assumptions!BN$82, '1 Machine Build'!$F$11:$Q$11, '1 Machine Build'!$F16:$Q16), 0), _xlfn.IFNA(_xlfn.XLOOKUP(Assumptions!BN$83, '1 Machine Build'!$F$11:$Q$11, '1 Machine Build'!$F16:$Q16), 0), _xlfn.IFNA(_xlfn.XLOOKUP(Assumptions!BN$84, '1 Machine Build'!$F$11:$Q$11, '1 Machine Build'!$F16:$Q16), 0), _xlfn.IFNA(_xlfn.XLOOKUP(Assumptions!BN$85, '1 Machine Build'!$F$11:$Q$11, '1 Machine Build'!$F16:$Q16), 0), _xlfn.IFNA(_xlfn.XLOOKUP(Assumptions!BN$86, '1 Machine Build'!$F$11:$Q$11, '1 Machine Build'!$F16:$Q16), 0), _xlfn.IFNA(_xlfn.XLOOKUP(Assumptions!BN$87, '1 Machine Build'!$F$11:$Q$11, '1 Machine Build'!$F16:$Q16), 0), _xlfn.IFNA(_xlfn.XLOOKUP(Assumptions!BN$88, '1 Machine Build'!$F$11:$Q$11, '1 Machine Build'!$F16:$Q16), 0))</f>
        <v>0</v>
      </c>
      <c r="BQ34" s="97">
        <f>SUM(_xlfn.IFNA(_xlfn.XLOOKUP(Assumptions!BO$81, '1 Machine Build'!$F$11:$Q$11, '1 Machine Build'!$F16:$Q16), 0), _xlfn.IFNA(_xlfn.XLOOKUP(Assumptions!BO$82, '1 Machine Build'!$F$11:$Q$11, '1 Machine Build'!$F16:$Q16), 0), _xlfn.IFNA(_xlfn.XLOOKUP(Assumptions!BO$83, '1 Machine Build'!$F$11:$Q$11, '1 Machine Build'!$F16:$Q16), 0), _xlfn.IFNA(_xlfn.XLOOKUP(Assumptions!BO$84, '1 Machine Build'!$F$11:$Q$11, '1 Machine Build'!$F16:$Q16), 0), _xlfn.IFNA(_xlfn.XLOOKUP(Assumptions!BO$85, '1 Machine Build'!$F$11:$Q$11, '1 Machine Build'!$F16:$Q16), 0), _xlfn.IFNA(_xlfn.XLOOKUP(Assumptions!BO$86, '1 Machine Build'!$F$11:$Q$11, '1 Machine Build'!$F16:$Q16), 0), _xlfn.IFNA(_xlfn.XLOOKUP(Assumptions!BO$87, '1 Machine Build'!$F$11:$Q$11, '1 Machine Build'!$F16:$Q16), 0), _xlfn.IFNA(_xlfn.XLOOKUP(Assumptions!BO$88, '1 Machine Build'!$F$11:$Q$11, '1 Machine Build'!$F16:$Q16), 0))</f>
        <v>0</v>
      </c>
      <c r="BR34" s="97">
        <f>SUM(_xlfn.IFNA(_xlfn.XLOOKUP(Assumptions!BP$81, '1 Machine Build'!$F$11:$Q$11, '1 Machine Build'!$F16:$Q16), 0), _xlfn.IFNA(_xlfn.XLOOKUP(Assumptions!BP$82, '1 Machine Build'!$F$11:$Q$11, '1 Machine Build'!$F16:$Q16), 0), _xlfn.IFNA(_xlfn.XLOOKUP(Assumptions!BP$83, '1 Machine Build'!$F$11:$Q$11, '1 Machine Build'!$F16:$Q16), 0), _xlfn.IFNA(_xlfn.XLOOKUP(Assumptions!BP$84, '1 Machine Build'!$F$11:$Q$11, '1 Machine Build'!$F16:$Q16), 0), _xlfn.IFNA(_xlfn.XLOOKUP(Assumptions!BP$85, '1 Machine Build'!$F$11:$Q$11, '1 Machine Build'!$F16:$Q16), 0), _xlfn.IFNA(_xlfn.XLOOKUP(Assumptions!BP$86, '1 Machine Build'!$F$11:$Q$11, '1 Machine Build'!$F16:$Q16), 0), _xlfn.IFNA(_xlfn.XLOOKUP(Assumptions!BP$87, '1 Machine Build'!$F$11:$Q$11, '1 Machine Build'!$F16:$Q16), 0), _xlfn.IFNA(_xlfn.XLOOKUP(Assumptions!BP$88, '1 Machine Build'!$F$11:$Q$11, '1 Machine Build'!$F16:$Q16), 0))</f>
        <v>0</v>
      </c>
      <c r="BS34" s="97">
        <f>SUM(_xlfn.IFNA(_xlfn.XLOOKUP(Assumptions!BQ$81, '1 Machine Build'!$F$11:$Q$11, '1 Machine Build'!$F16:$Q16), 0), _xlfn.IFNA(_xlfn.XLOOKUP(Assumptions!BQ$82, '1 Machine Build'!$F$11:$Q$11, '1 Machine Build'!$F16:$Q16), 0), _xlfn.IFNA(_xlfn.XLOOKUP(Assumptions!BQ$83, '1 Machine Build'!$F$11:$Q$11, '1 Machine Build'!$F16:$Q16), 0), _xlfn.IFNA(_xlfn.XLOOKUP(Assumptions!BQ$84, '1 Machine Build'!$F$11:$Q$11, '1 Machine Build'!$F16:$Q16), 0), _xlfn.IFNA(_xlfn.XLOOKUP(Assumptions!BQ$85, '1 Machine Build'!$F$11:$Q$11, '1 Machine Build'!$F16:$Q16), 0), _xlfn.IFNA(_xlfn.XLOOKUP(Assumptions!BQ$86, '1 Machine Build'!$F$11:$Q$11, '1 Machine Build'!$F16:$Q16), 0), _xlfn.IFNA(_xlfn.XLOOKUP(Assumptions!BQ$87, '1 Machine Build'!$F$11:$Q$11, '1 Machine Build'!$F16:$Q16), 0), _xlfn.IFNA(_xlfn.XLOOKUP(Assumptions!BQ$88, '1 Machine Build'!$F$11:$Q$11, '1 Machine Build'!$F16:$Q16), 0))</f>
        <v>0</v>
      </c>
      <c r="BT34" s="97">
        <f>SUM(_xlfn.IFNA(_xlfn.XLOOKUP(Assumptions!BR$81, '1 Machine Build'!$F$11:$Q$11, '1 Machine Build'!$F16:$Q16), 0), _xlfn.IFNA(_xlfn.XLOOKUP(Assumptions!BR$82, '1 Machine Build'!$F$11:$Q$11, '1 Machine Build'!$F16:$Q16), 0), _xlfn.IFNA(_xlfn.XLOOKUP(Assumptions!BR$83, '1 Machine Build'!$F$11:$Q$11, '1 Machine Build'!$F16:$Q16), 0), _xlfn.IFNA(_xlfn.XLOOKUP(Assumptions!BR$84, '1 Machine Build'!$F$11:$Q$11, '1 Machine Build'!$F16:$Q16), 0), _xlfn.IFNA(_xlfn.XLOOKUP(Assumptions!BR$85, '1 Machine Build'!$F$11:$Q$11, '1 Machine Build'!$F16:$Q16), 0), _xlfn.IFNA(_xlfn.XLOOKUP(Assumptions!BR$86, '1 Machine Build'!$F$11:$Q$11, '1 Machine Build'!$F16:$Q16), 0), _xlfn.IFNA(_xlfn.XLOOKUP(Assumptions!BR$87, '1 Machine Build'!$F$11:$Q$11, '1 Machine Build'!$F16:$Q16), 0), _xlfn.IFNA(_xlfn.XLOOKUP(Assumptions!BR$88, '1 Machine Build'!$F$11:$Q$11, '1 Machine Build'!$F16:$Q16), 0))</f>
        <v>0</v>
      </c>
      <c r="BU34" s="97">
        <f>SUM(_xlfn.IFNA(_xlfn.XLOOKUP(Assumptions!BS$81, '1 Machine Build'!$F$11:$Q$11, '1 Machine Build'!$F16:$Q16), 0), _xlfn.IFNA(_xlfn.XLOOKUP(Assumptions!BS$82, '1 Machine Build'!$F$11:$Q$11, '1 Machine Build'!$F16:$Q16), 0), _xlfn.IFNA(_xlfn.XLOOKUP(Assumptions!BS$83, '1 Machine Build'!$F$11:$Q$11, '1 Machine Build'!$F16:$Q16), 0), _xlfn.IFNA(_xlfn.XLOOKUP(Assumptions!BS$84, '1 Machine Build'!$F$11:$Q$11, '1 Machine Build'!$F16:$Q16), 0), _xlfn.IFNA(_xlfn.XLOOKUP(Assumptions!BS$85, '1 Machine Build'!$F$11:$Q$11, '1 Machine Build'!$F16:$Q16), 0), _xlfn.IFNA(_xlfn.XLOOKUP(Assumptions!BS$86, '1 Machine Build'!$F$11:$Q$11, '1 Machine Build'!$F16:$Q16), 0), _xlfn.IFNA(_xlfn.XLOOKUP(Assumptions!BS$87, '1 Machine Build'!$F$11:$Q$11, '1 Machine Build'!$F16:$Q16), 0), _xlfn.IFNA(_xlfn.XLOOKUP(Assumptions!BS$88, '1 Machine Build'!$F$11:$Q$11, '1 Machine Build'!$F16:$Q16), 0))</f>
        <v>0</v>
      </c>
      <c r="BV34" s="97">
        <f>SUM(_xlfn.IFNA(_xlfn.XLOOKUP(Assumptions!BT$81, '1 Machine Build'!$F$11:$Q$11, '1 Machine Build'!$F16:$Q16), 0), _xlfn.IFNA(_xlfn.XLOOKUP(Assumptions!BT$82, '1 Machine Build'!$F$11:$Q$11, '1 Machine Build'!$F16:$Q16), 0), _xlfn.IFNA(_xlfn.XLOOKUP(Assumptions!BT$83, '1 Machine Build'!$F$11:$Q$11, '1 Machine Build'!$F16:$Q16), 0), _xlfn.IFNA(_xlfn.XLOOKUP(Assumptions!BT$84, '1 Machine Build'!$F$11:$Q$11, '1 Machine Build'!$F16:$Q16), 0), _xlfn.IFNA(_xlfn.XLOOKUP(Assumptions!BT$85, '1 Machine Build'!$F$11:$Q$11, '1 Machine Build'!$F16:$Q16), 0), _xlfn.IFNA(_xlfn.XLOOKUP(Assumptions!BT$86, '1 Machine Build'!$F$11:$Q$11, '1 Machine Build'!$F16:$Q16), 0), _xlfn.IFNA(_xlfn.XLOOKUP(Assumptions!BT$87, '1 Machine Build'!$F$11:$Q$11, '1 Machine Build'!$F16:$Q16), 0), _xlfn.IFNA(_xlfn.XLOOKUP(Assumptions!BT$88, '1 Machine Build'!$F$11:$Q$11, '1 Machine Build'!$F16:$Q16), 0))</f>
        <v>0</v>
      </c>
      <c r="BW34" s="97">
        <f>SUM(_xlfn.IFNA(_xlfn.XLOOKUP(Assumptions!BU$81, '1 Machine Build'!$F$11:$Q$11, '1 Machine Build'!$F16:$Q16), 0), _xlfn.IFNA(_xlfn.XLOOKUP(Assumptions!BU$82, '1 Machine Build'!$F$11:$Q$11, '1 Machine Build'!$F16:$Q16), 0), _xlfn.IFNA(_xlfn.XLOOKUP(Assumptions!BU$83, '1 Machine Build'!$F$11:$Q$11, '1 Machine Build'!$F16:$Q16), 0), _xlfn.IFNA(_xlfn.XLOOKUP(Assumptions!BU$84, '1 Machine Build'!$F$11:$Q$11, '1 Machine Build'!$F16:$Q16), 0), _xlfn.IFNA(_xlfn.XLOOKUP(Assumptions!BU$85, '1 Machine Build'!$F$11:$Q$11, '1 Machine Build'!$F16:$Q16), 0), _xlfn.IFNA(_xlfn.XLOOKUP(Assumptions!BU$86, '1 Machine Build'!$F$11:$Q$11, '1 Machine Build'!$F16:$Q16), 0), _xlfn.IFNA(_xlfn.XLOOKUP(Assumptions!BU$87, '1 Machine Build'!$F$11:$Q$11, '1 Machine Build'!$F16:$Q16), 0), _xlfn.IFNA(_xlfn.XLOOKUP(Assumptions!BU$88, '1 Machine Build'!$F$11:$Q$11, '1 Machine Build'!$F16:$Q16), 0))</f>
        <v>0</v>
      </c>
      <c r="BX34" s="97">
        <f>SUM(_xlfn.IFNA(_xlfn.XLOOKUP(Assumptions!BV$81, '1 Machine Build'!$F$11:$Q$11, '1 Machine Build'!$F16:$Q16), 0), _xlfn.IFNA(_xlfn.XLOOKUP(Assumptions!BV$82, '1 Machine Build'!$F$11:$Q$11, '1 Machine Build'!$F16:$Q16), 0), _xlfn.IFNA(_xlfn.XLOOKUP(Assumptions!BV$83, '1 Machine Build'!$F$11:$Q$11, '1 Machine Build'!$F16:$Q16), 0), _xlfn.IFNA(_xlfn.XLOOKUP(Assumptions!BV$84, '1 Machine Build'!$F$11:$Q$11, '1 Machine Build'!$F16:$Q16), 0), _xlfn.IFNA(_xlfn.XLOOKUP(Assumptions!BV$85, '1 Machine Build'!$F$11:$Q$11, '1 Machine Build'!$F16:$Q16), 0), _xlfn.IFNA(_xlfn.XLOOKUP(Assumptions!BV$86, '1 Machine Build'!$F$11:$Q$11, '1 Machine Build'!$F16:$Q16), 0), _xlfn.IFNA(_xlfn.XLOOKUP(Assumptions!BV$87, '1 Machine Build'!$F$11:$Q$11, '1 Machine Build'!$F16:$Q16), 0), _xlfn.IFNA(_xlfn.XLOOKUP(Assumptions!BV$88, '1 Machine Build'!$F$11:$Q$11, '1 Machine Build'!$F16:$Q16), 0))</f>
        <v>0</v>
      </c>
      <c r="BY34" s="97">
        <f>SUM(_xlfn.IFNA(_xlfn.XLOOKUP(Assumptions!BW$81, '1 Machine Build'!$F$11:$Q$11, '1 Machine Build'!$F16:$Q16), 0), _xlfn.IFNA(_xlfn.XLOOKUP(Assumptions!BW$82, '1 Machine Build'!$F$11:$Q$11, '1 Machine Build'!$F16:$Q16), 0), _xlfn.IFNA(_xlfn.XLOOKUP(Assumptions!BW$83, '1 Machine Build'!$F$11:$Q$11, '1 Machine Build'!$F16:$Q16), 0), _xlfn.IFNA(_xlfn.XLOOKUP(Assumptions!BW$84, '1 Machine Build'!$F$11:$Q$11, '1 Machine Build'!$F16:$Q16), 0), _xlfn.IFNA(_xlfn.XLOOKUP(Assumptions!BW$85, '1 Machine Build'!$F$11:$Q$11, '1 Machine Build'!$F16:$Q16), 0), _xlfn.IFNA(_xlfn.XLOOKUP(Assumptions!BW$86, '1 Machine Build'!$F$11:$Q$11, '1 Machine Build'!$F16:$Q16), 0), _xlfn.IFNA(_xlfn.XLOOKUP(Assumptions!BW$87, '1 Machine Build'!$F$11:$Q$11, '1 Machine Build'!$F16:$Q16), 0), _xlfn.IFNA(_xlfn.XLOOKUP(Assumptions!BW$88, '1 Machine Build'!$F$11:$Q$11, '1 Machine Build'!$F16:$Q16), 0))</f>
        <v>0</v>
      </c>
      <c r="BZ34" s="97">
        <f>SUM(_xlfn.IFNA(_xlfn.XLOOKUP(Assumptions!BX$81, '1 Machine Build'!$F$11:$Q$11, '1 Machine Build'!$F16:$Q16), 0), _xlfn.IFNA(_xlfn.XLOOKUP(Assumptions!BX$82, '1 Machine Build'!$F$11:$Q$11, '1 Machine Build'!$F16:$Q16), 0), _xlfn.IFNA(_xlfn.XLOOKUP(Assumptions!BX$83, '1 Machine Build'!$F$11:$Q$11, '1 Machine Build'!$F16:$Q16), 0), _xlfn.IFNA(_xlfn.XLOOKUP(Assumptions!BX$84, '1 Machine Build'!$F$11:$Q$11, '1 Machine Build'!$F16:$Q16), 0), _xlfn.IFNA(_xlfn.XLOOKUP(Assumptions!BX$85, '1 Machine Build'!$F$11:$Q$11, '1 Machine Build'!$F16:$Q16), 0), _xlfn.IFNA(_xlfn.XLOOKUP(Assumptions!BX$86, '1 Machine Build'!$F$11:$Q$11, '1 Machine Build'!$F16:$Q16), 0), _xlfn.IFNA(_xlfn.XLOOKUP(Assumptions!BX$87, '1 Machine Build'!$F$11:$Q$11, '1 Machine Build'!$F16:$Q16), 0), _xlfn.IFNA(_xlfn.XLOOKUP(Assumptions!BX$88, '1 Machine Build'!$F$11:$Q$11, '1 Machine Build'!$F16:$Q16), 0))</f>
        <v>0</v>
      </c>
      <c r="CA34" s="97">
        <f>SUM(_xlfn.IFNA(_xlfn.XLOOKUP(Assumptions!BY$81, '1 Machine Build'!$F$11:$Q$11, '1 Machine Build'!$F16:$Q16), 0), _xlfn.IFNA(_xlfn.XLOOKUP(Assumptions!BY$82, '1 Machine Build'!$F$11:$Q$11, '1 Machine Build'!$F16:$Q16), 0), _xlfn.IFNA(_xlfn.XLOOKUP(Assumptions!BY$83, '1 Machine Build'!$F$11:$Q$11, '1 Machine Build'!$F16:$Q16), 0), _xlfn.IFNA(_xlfn.XLOOKUP(Assumptions!BY$84, '1 Machine Build'!$F$11:$Q$11, '1 Machine Build'!$F16:$Q16), 0), _xlfn.IFNA(_xlfn.XLOOKUP(Assumptions!BY$85, '1 Machine Build'!$F$11:$Q$11, '1 Machine Build'!$F16:$Q16), 0), _xlfn.IFNA(_xlfn.XLOOKUP(Assumptions!BY$86, '1 Machine Build'!$F$11:$Q$11, '1 Machine Build'!$F16:$Q16), 0), _xlfn.IFNA(_xlfn.XLOOKUP(Assumptions!BY$87, '1 Machine Build'!$F$11:$Q$11, '1 Machine Build'!$F16:$Q16), 0), _xlfn.IFNA(_xlfn.XLOOKUP(Assumptions!BY$88, '1 Machine Build'!$F$11:$Q$11, '1 Machine Build'!$F16:$Q16), 0))</f>
        <v>0</v>
      </c>
      <c r="CB34" s="97">
        <f>SUM(_xlfn.IFNA(_xlfn.XLOOKUP(Assumptions!BZ$81, '1 Machine Build'!$F$11:$Q$11, '1 Machine Build'!$F16:$Q16), 0), _xlfn.IFNA(_xlfn.XLOOKUP(Assumptions!BZ$82, '1 Machine Build'!$F$11:$Q$11, '1 Machine Build'!$F16:$Q16), 0), _xlfn.IFNA(_xlfn.XLOOKUP(Assumptions!BZ$83, '1 Machine Build'!$F$11:$Q$11, '1 Machine Build'!$F16:$Q16), 0), _xlfn.IFNA(_xlfn.XLOOKUP(Assumptions!BZ$84, '1 Machine Build'!$F$11:$Q$11, '1 Machine Build'!$F16:$Q16), 0), _xlfn.IFNA(_xlfn.XLOOKUP(Assumptions!BZ$85, '1 Machine Build'!$F$11:$Q$11, '1 Machine Build'!$F16:$Q16), 0), _xlfn.IFNA(_xlfn.XLOOKUP(Assumptions!BZ$86, '1 Machine Build'!$F$11:$Q$11, '1 Machine Build'!$F16:$Q16), 0), _xlfn.IFNA(_xlfn.XLOOKUP(Assumptions!BZ$87, '1 Machine Build'!$F$11:$Q$11, '1 Machine Build'!$F16:$Q16), 0), _xlfn.IFNA(_xlfn.XLOOKUP(Assumptions!BZ$88, '1 Machine Build'!$F$11:$Q$11, '1 Machine Build'!$F16:$Q16), 0))</f>
        <v>0</v>
      </c>
      <c r="CC34" s="97">
        <f>SUM(_xlfn.IFNA(_xlfn.XLOOKUP(Assumptions!CA$81, '1 Machine Build'!$F$11:$Q$11, '1 Machine Build'!$F16:$Q16), 0), _xlfn.IFNA(_xlfn.XLOOKUP(Assumptions!CA$82, '1 Machine Build'!$F$11:$Q$11, '1 Machine Build'!$F16:$Q16), 0), _xlfn.IFNA(_xlfn.XLOOKUP(Assumptions!CA$83, '1 Machine Build'!$F$11:$Q$11, '1 Machine Build'!$F16:$Q16), 0), _xlfn.IFNA(_xlfn.XLOOKUP(Assumptions!CA$84, '1 Machine Build'!$F$11:$Q$11, '1 Machine Build'!$F16:$Q16), 0), _xlfn.IFNA(_xlfn.XLOOKUP(Assumptions!CA$85, '1 Machine Build'!$F$11:$Q$11, '1 Machine Build'!$F16:$Q16), 0), _xlfn.IFNA(_xlfn.XLOOKUP(Assumptions!CA$86, '1 Machine Build'!$F$11:$Q$11, '1 Machine Build'!$F16:$Q16), 0), _xlfn.IFNA(_xlfn.XLOOKUP(Assumptions!CA$87, '1 Machine Build'!$F$11:$Q$11, '1 Machine Build'!$F16:$Q16), 0), _xlfn.IFNA(_xlfn.XLOOKUP(Assumptions!CA$88, '1 Machine Build'!$F$11:$Q$11, '1 Machine Build'!$F16:$Q16), 0))</f>
        <v>0</v>
      </c>
      <c r="CD34" s="97">
        <f>SUM(_xlfn.IFNA(_xlfn.XLOOKUP(Assumptions!CB$81, '1 Machine Build'!$F$11:$Q$11, '1 Machine Build'!$F16:$Q16), 0), _xlfn.IFNA(_xlfn.XLOOKUP(Assumptions!CB$82, '1 Machine Build'!$F$11:$Q$11, '1 Machine Build'!$F16:$Q16), 0), _xlfn.IFNA(_xlfn.XLOOKUP(Assumptions!CB$83, '1 Machine Build'!$F$11:$Q$11, '1 Machine Build'!$F16:$Q16), 0), _xlfn.IFNA(_xlfn.XLOOKUP(Assumptions!CB$84, '1 Machine Build'!$F$11:$Q$11, '1 Machine Build'!$F16:$Q16), 0), _xlfn.IFNA(_xlfn.XLOOKUP(Assumptions!CB$85, '1 Machine Build'!$F$11:$Q$11, '1 Machine Build'!$F16:$Q16), 0), _xlfn.IFNA(_xlfn.XLOOKUP(Assumptions!CB$86, '1 Machine Build'!$F$11:$Q$11, '1 Machine Build'!$F16:$Q16), 0), _xlfn.IFNA(_xlfn.XLOOKUP(Assumptions!CB$87, '1 Machine Build'!$F$11:$Q$11, '1 Machine Build'!$F16:$Q16), 0), _xlfn.IFNA(_xlfn.XLOOKUP(Assumptions!CB$88, '1 Machine Build'!$F$11:$Q$11, '1 Machine Build'!$F16:$Q16), 0))</f>
        <v>0</v>
      </c>
      <c r="CE34" s="97">
        <f>SUM(_xlfn.IFNA(_xlfn.XLOOKUP(Assumptions!CC$81, '1 Machine Build'!$F$11:$Q$11, '1 Machine Build'!$F16:$Q16), 0), _xlfn.IFNA(_xlfn.XLOOKUP(Assumptions!CC$82, '1 Machine Build'!$F$11:$Q$11, '1 Machine Build'!$F16:$Q16), 0), _xlfn.IFNA(_xlfn.XLOOKUP(Assumptions!CC$83, '1 Machine Build'!$F$11:$Q$11, '1 Machine Build'!$F16:$Q16), 0), _xlfn.IFNA(_xlfn.XLOOKUP(Assumptions!CC$84, '1 Machine Build'!$F$11:$Q$11, '1 Machine Build'!$F16:$Q16), 0), _xlfn.IFNA(_xlfn.XLOOKUP(Assumptions!CC$85, '1 Machine Build'!$F$11:$Q$11, '1 Machine Build'!$F16:$Q16), 0), _xlfn.IFNA(_xlfn.XLOOKUP(Assumptions!CC$86, '1 Machine Build'!$F$11:$Q$11, '1 Machine Build'!$F16:$Q16), 0), _xlfn.IFNA(_xlfn.XLOOKUP(Assumptions!CC$87, '1 Machine Build'!$F$11:$Q$11, '1 Machine Build'!$F16:$Q16), 0), _xlfn.IFNA(_xlfn.XLOOKUP(Assumptions!CC$88, '1 Machine Build'!$F$11:$Q$11, '1 Machine Build'!$F16:$Q16), 0))</f>
        <v>0</v>
      </c>
      <c r="CF34" s="97">
        <f>SUM(_xlfn.IFNA(_xlfn.XLOOKUP(Assumptions!CD$81, '1 Machine Build'!$F$11:$Q$11, '1 Machine Build'!$F16:$Q16), 0), _xlfn.IFNA(_xlfn.XLOOKUP(Assumptions!CD$82, '1 Machine Build'!$F$11:$Q$11, '1 Machine Build'!$F16:$Q16), 0), _xlfn.IFNA(_xlfn.XLOOKUP(Assumptions!CD$83, '1 Machine Build'!$F$11:$Q$11, '1 Machine Build'!$F16:$Q16), 0), _xlfn.IFNA(_xlfn.XLOOKUP(Assumptions!CD$84, '1 Machine Build'!$F$11:$Q$11, '1 Machine Build'!$F16:$Q16), 0), _xlfn.IFNA(_xlfn.XLOOKUP(Assumptions!CD$85, '1 Machine Build'!$F$11:$Q$11, '1 Machine Build'!$F16:$Q16), 0), _xlfn.IFNA(_xlfn.XLOOKUP(Assumptions!CD$86, '1 Machine Build'!$F$11:$Q$11, '1 Machine Build'!$F16:$Q16), 0), _xlfn.IFNA(_xlfn.XLOOKUP(Assumptions!CD$87, '1 Machine Build'!$F$11:$Q$11, '1 Machine Build'!$F16:$Q16), 0), _xlfn.IFNA(_xlfn.XLOOKUP(Assumptions!CD$88, '1 Machine Build'!$F$11:$Q$11, '1 Machine Build'!$F16:$Q16), 0))</f>
        <v>0</v>
      </c>
      <c r="CG34" s="97">
        <f>SUM(_xlfn.IFNA(_xlfn.XLOOKUP(Assumptions!CE$81, '1 Machine Build'!$F$11:$Q$11, '1 Machine Build'!$F16:$Q16), 0), _xlfn.IFNA(_xlfn.XLOOKUP(Assumptions!CE$82, '1 Machine Build'!$F$11:$Q$11, '1 Machine Build'!$F16:$Q16), 0), _xlfn.IFNA(_xlfn.XLOOKUP(Assumptions!CE$83, '1 Machine Build'!$F$11:$Q$11, '1 Machine Build'!$F16:$Q16), 0), _xlfn.IFNA(_xlfn.XLOOKUP(Assumptions!CE$84, '1 Machine Build'!$F$11:$Q$11, '1 Machine Build'!$F16:$Q16), 0), _xlfn.IFNA(_xlfn.XLOOKUP(Assumptions!CE$85, '1 Machine Build'!$F$11:$Q$11, '1 Machine Build'!$F16:$Q16), 0), _xlfn.IFNA(_xlfn.XLOOKUP(Assumptions!CE$86, '1 Machine Build'!$F$11:$Q$11, '1 Machine Build'!$F16:$Q16), 0), _xlfn.IFNA(_xlfn.XLOOKUP(Assumptions!CE$87, '1 Machine Build'!$F$11:$Q$11, '1 Machine Build'!$F16:$Q16), 0), _xlfn.IFNA(_xlfn.XLOOKUP(Assumptions!CE$88, '1 Machine Build'!$F$11:$Q$11, '1 Machine Build'!$F16:$Q16), 0))</f>
        <v>0</v>
      </c>
      <c r="CH34" s="97">
        <f>SUM(_xlfn.IFNA(_xlfn.XLOOKUP(Assumptions!CF$81, '1 Machine Build'!$F$11:$Q$11, '1 Machine Build'!$F16:$Q16), 0), _xlfn.IFNA(_xlfn.XLOOKUP(Assumptions!CF$82, '1 Machine Build'!$F$11:$Q$11, '1 Machine Build'!$F16:$Q16), 0), _xlfn.IFNA(_xlfn.XLOOKUP(Assumptions!CF$83, '1 Machine Build'!$F$11:$Q$11, '1 Machine Build'!$F16:$Q16), 0), _xlfn.IFNA(_xlfn.XLOOKUP(Assumptions!CF$84, '1 Machine Build'!$F$11:$Q$11, '1 Machine Build'!$F16:$Q16), 0), _xlfn.IFNA(_xlfn.XLOOKUP(Assumptions!CF$85, '1 Machine Build'!$F$11:$Q$11, '1 Machine Build'!$F16:$Q16), 0), _xlfn.IFNA(_xlfn.XLOOKUP(Assumptions!CF$86, '1 Machine Build'!$F$11:$Q$11, '1 Machine Build'!$F16:$Q16), 0), _xlfn.IFNA(_xlfn.XLOOKUP(Assumptions!CF$87, '1 Machine Build'!$F$11:$Q$11, '1 Machine Build'!$F16:$Q16), 0), _xlfn.IFNA(_xlfn.XLOOKUP(Assumptions!CF$88, '1 Machine Build'!$F$11:$Q$11, '1 Machine Build'!$F16:$Q16), 0))</f>
        <v>0</v>
      </c>
      <c r="CI34" s="97">
        <f>SUM(_xlfn.IFNA(_xlfn.XLOOKUP(Assumptions!CG$81, '1 Machine Build'!$F$11:$Q$11, '1 Machine Build'!$F16:$Q16), 0), _xlfn.IFNA(_xlfn.XLOOKUP(Assumptions!CG$82, '1 Machine Build'!$F$11:$Q$11, '1 Machine Build'!$F16:$Q16), 0), _xlfn.IFNA(_xlfn.XLOOKUP(Assumptions!CG$83, '1 Machine Build'!$F$11:$Q$11, '1 Machine Build'!$F16:$Q16), 0), _xlfn.IFNA(_xlfn.XLOOKUP(Assumptions!CG$84, '1 Machine Build'!$F$11:$Q$11, '1 Machine Build'!$F16:$Q16), 0), _xlfn.IFNA(_xlfn.XLOOKUP(Assumptions!CG$85, '1 Machine Build'!$F$11:$Q$11, '1 Machine Build'!$F16:$Q16), 0), _xlfn.IFNA(_xlfn.XLOOKUP(Assumptions!CG$86, '1 Machine Build'!$F$11:$Q$11, '1 Machine Build'!$F16:$Q16), 0), _xlfn.IFNA(_xlfn.XLOOKUP(Assumptions!CG$87, '1 Machine Build'!$F$11:$Q$11, '1 Machine Build'!$F16:$Q16), 0), _xlfn.IFNA(_xlfn.XLOOKUP(Assumptions!CG$88, '1 Machine Build'!$F$11:$Q$11, '1 Machine Build'!$F16:$Q16), 0))</f>
        <v>0</v>
      </c>
      <c r="CJ34" s="97">
        <f>SUM(_xlfn.IFNA(_xlfn.XLOOKUP(Assumptions!CH$81, '1 Machine Build'!$F$11:$Q$11, '1 Machine Build'!$F16:$Q16), 0), _xlfn.IFNA(_xlfn.XLOOKUP(Assumptions!CH$82, '1 Machine Build'!$F$11:$Q$11, '1 Machine Build'!$F16:$Q16), 0), _xlfn.IFNA(_xlfn.XLOOKUP(Assumptions!CH$83, '1 Machine Build'!$F$11:$Q$11, '1 Machine Build'!$F16:$Q16), 0), _xlfn.IFNA(_xlfn.XLOOKUP(Assumptions!CH$84, '1 Machine Build'!$F$11:$Q$11, '1 Machine Build'!$F16:$Q16), 0), _xlfn.IFNA(_xlfn.XLOOKUP(Assumptions!CH$85, '1 Machine Build'!$F$11:$Q$11, '1 Machine Build'!$F16:$Q16), 0), _xlfn.IFNA(_xlfn.XLOOKUP(Assumptions!CH$86, '1 Machine Build'!$F$11:$Q$11, '1 Machine Build'!$F16:$Q16), 0), _xlfn.IFNA(_xlfn.XLOOKUP(Assumptions!CH$87, '1 Machine Build'!$F$11:$Q$11, '1 Machine Build'!$F16:$Q16), 0), _xlfn.IFNA(_xlfn.XLOOKUP(Assumptions!CH$88, '1 Machine Build'!$F$11:$Q$11, '1 Machine Build'!$F16:$Q16), 0))</f>
        <v>0</v>
      </c>
      <c r="CK34" s="97">
        <f>SUM(_xlfn.IFNA(_xlfn.XLOOKUP(Assumptions!CI$81, '1 Machine Build'!$F$11:$Q$11, '1 Machine Build'!$F16:$Q16), 0), _xlfn.IFNA(_xlfn.XLOOKUP(Assumptions!CI$82, '1 Machine Build'!$F$11:$Q$11, '1 Machine Build'!$F16:$Q16), 0), _xlfn.IFNA(_xlfn.XLOOKUP(Assumptions!CI$83, '1 Machine Build'!$F$11:$Q$11, '1 Machine Build'!$F16:$Q16), 0), _xlfn.IFNA(_xlfn.XLOOKUP(Assumptions!CI$84, '1 Machine Build'!$F$11:$Q$11, '1 Machine Build'!$F16:$Q16), 0), _xlfn.IFNA(_xlfn.XLOOKUP(Assumptions!CI$85, '1 Machine Build'!$F$11:$Q$11, '1 Machine Build'!$F16:$Q16), 0), _xlfn.IFNA(_xlfn.XLOOKUP(Assumptions!CI$86, '1 Machine Build'!$F$11:$Q$11, '1 Machine Build'!$F16:$Q16), 0), _xlfn.IFNA(_xlfn.XLOOKUP(Assumptions!CI$87, '1 Machine Build'!$F$11:$Q$11, '1 Machine Build'!$F16:$Q16), 0), _xlfn.IFNA(_xlfn.XLOOKUP(Assumptions!CI$88, '1 Machine Build'!$F$11:$Q$11, '1 Machine Build'!$F16:$Q16), 0))</f>
        <v>0</v>
      </c>
      <c r="CL34" s="97">
        <f>SUM(_xlfn.IFNA(_xlfn.XLOOKUP(Assumptions!CJ$81, '1 Machine Build'!$F$11:$Q$11, '1 Machine Build'!$F16:$Q16), 0), _xlfn.IFNA(_xlfn.XLOOKUP(Assumptions!CJ$82, '1 Machine Build'!$F$11:$Q$11, '1 Machine Build'!$F16:$Q16), 0), _xlfn.IFNA(_xlfn.XLOOKUP(Assumptions!CJ$83, '1 Machine Build'!$F$11:$Q$11, '1 Machine Build'!$F16:$Q16), 0), _xlfn.IFNA(_xlfn.XLOOKUP(Assumptions!CJ$84, '1 Machine Build'!$F$11:$Q$11, '1 Machine Build'!$F16:$Q16), 0), _xlfn.IFNA(_xlfn.XLOOKUP(Assumptions!CJ$85, '1 Machine Build'!$F$11:$Q$11, '1 Machine Build'!$F16:$Q16), 0), _xlfn.IFNA(_xlfn.XLOOKUP(Assumptions!CJ$86, '1 Machine Build'!$F$11:$Q$11, '1 Machine Build'!$F16:$Q16), 0), _xlfn.IFNA(_xlfn.XLOOKUP(Assumptions!CJ$87, '1 Machine Build'!$F$11:$Q$11, '1 Machine Build'!$F16:$Q16), 0), _xlfn.IFNA(_xlfn.XLOOKUP(Assumptions!CJ$88, '1 Machine Build'!$F$11:$Q$11, '1 Machine Build'!$F16:$Q16), 0))</f>
        <v>0</v>
      </c>
      <c r="CM34" s="97">
        <f>SUM(_xlfn.IFNA(_xlfn.XLOOKUP(Assumptions!CK$81, '1 Machine Build'!$F$11:$Q$11, '1 Machine Build'!$F16:$Q16), 0), _xlfn.IFNA(_xlfn.XLOOKUP(Assumptions!CK$82, '1 Machine Build'!$F$11:$Q$11, '1 Machine Build'!$F16:$Q16), 0), _xlfn.IFNA(_xlfn.XLOOKUP(Assumptions!CK$83, '1 Machine Build'!$F$11:$Q$11, '1 Machine Build'!$F16:$Q16), 0), _xlfn.IFNA(_xlfn.XLOOKUP(Assumptions!CK$84, '1 Machine Build'!$F$11:$Q$11, '1 Machine Build'!$F16:$Q16), 0), _xlfn.IFNA(_xlfn.XLOOKUP(Assumptions!CK$85, '1 Machine Build'!$F$11:$Q$11, '1 Machine Build'!$F16:$Q16), 0), _xlfn.IFNA(_xlfn.XLOOKUP(Assumptions!CK$86, '1 Machine Build'!$F$11:$Q$11, '1 Machine Build'!$F16:$Q16), 0), _xlfn.IFNA(_xlfn.XLOOKUP(Assumptions!CK$87, '1 Machine Build'!$F$11:$Q$11, '1 Machine Build'!$F16:$Q16), 0), _xlfn.IFNA(_xlfn.XLOOKUP(Assumptions!CK$88, '1 Machine Build'!$F$11:$Q$11, '1 Machine Build'!$F16:$Q16), 0))</f>
        <v>0</v>
      </c>
      <c r="CN34" s="97">
        <f>SUM(_xlfn.IFNA(_xlfn.XLOOKUP(Assumptions!CL$81, '1 Machine Build'!$F$11:$Q$11, '1 Machine Build'!$F16:$Q16), 0), _xlfn.IFNA(_xlfn.XLOOKUP(Assumptions!CL$82, '1 Machine Build'!$F$11:$Q$11, '1 Machine Build'!$F16:$Q16), 0), _xlfn.IFNA(_xlfn.XLOOKUP(Assumptions!CL$83, '1 Machine Build'!$F$11:$Q$11, '1 Machine Build'!$F16:$Q16), 0), _xlfn.IFNA(_xlfn.XLOOKUP(Assumptions!CL$84, '1 Machine Build'!$F$11:$Q$11, '1 Machine Build'!$F16:$Q16), 0), _xlfn.IFNA(_xlfn.XLOOKUP(Assumptions!CL$85, '1 Machine Build'!$F$11:$Q$11, '1 Machine Build'!$F16:$Q16), 0), _xlfn.IFNA(_xlfn.XLOOKUP(Assumptions!CL$86, '1 Machine Build'!$F$11:$Q$11, '1 Machine Build'!$F16:$Q16), 0), _xlfn.IFNA(_xlfn.XLOOKUP(Assumptions!CL$87, '1 Machine Build'!$F$11:$Q$11, '1 Machine Build'!$F16:$Q16), 0), _xlfn.IFNA(_xlfn.XLOOKUP(Assumptions!CL$88, '1 Machine Build'!$F$11:$Q$11, '1 Machine Build'!$F16:$Q16), 0))</f>
        <v>0</v>
      </c>
      <c r="CO34" s="97">
        <f>SUM(_xlfn.IFNA(_xlfn.XLOOKUP(Assumptions!CM$81, '1 Machine Build'!$F$11:$Q$11, '1 Machine Build'!$F16:$Q16), 0), _xlfn.IFNA(_xlfn.XLOOKUP(Assumptions!CM$82, '1 Machine Build'!$F$11:$Q$11, '1 Machine Build'!$F16:$Q16), 0), _xlfn.IFNA(_xlfn.XLOOKUP(Assumptions!CM$83, '1 Machine Build'!$F$11:$Q$11, '1 Machine Build'!$F16:$Q16), 0), _xlfn.IFNA(_xlfn.XLOOKUP(Assumptions!CM$84, '1 Machine Build'!$F$11:$Q$11, '1 Machine Build'!$F16:$Q16), 0), _xlfn.IFNA(_xlfn.XLOOKUP(Assumptions!CM$85, '1 Machine Build'!$F$11:$Q$11, '1 Machine Build'!$F16:$Q16), 0), _xlfn.IFNA(_xlfn.XLOOKUP(Assumptions!CM$86, '1 Machine Build'!$F$11:$Q$11, '1 Machine Build'!$F16:$Q16), 0), _xlfn.IFNA(_xlfn.XLOOKUP(Assumptions!CM$87, '1 Machine Build'!$F$11:$Q$11, '1 Machine Build'!$F16:$Q16), 0), _xlfn.IFNA(_xlfn.XLOOKUP(Assumptions!CM$88, '1 Machine Build'!$F$11:$Q$11, '1 Machine Build'!$F16:$Q16), 0))</f>
        <v>0</v>
      </c>
      <c r="CP34" s="97">
        <f>SUM(_xlfn.IFNA(_xlfn.XLOOKUP(Assumptions!CN$81, '1 Machine Build'!$F$11:$Q$11, '1 Machine Build'!$F16:$Q16), 0), _xlfn.IFNA(_xlfn.XLOOKUP(Assumptions!CN$82, '1 Machine Build'!$F$11:$Q$11, '1 Machine Build'!$F16:$Q16), 0), _xlfn.IFNA(_xlfn.XLOOKUP(Assumptions!CN$83, '1 Machine Build'!$F$11:$Q$11, '1 Machine Build'!$F16:$Q16), 0), _xlfn.IFNA(_xlfn.XLOOKUP(Assumptions!CN$84, '1 Machine Build'!$F$11:$Q$11, '1 Machine Build'!$F16:$Q16), 0), _xlfn.IFNA(_xlfn.XLOOKUP(Assumptions!CN$85, '1 Machine Build'!$F$11:$Q$11, '1 Machine Build'!$F16:$Q16), 0), _xlfn.IFNA(_xlfn.XLOOKUP(Assumptions!CN$86, '1 Machine Build'!$F$11:$Q$11, '1 Machine Build'!$F16:$Q16), 0), _xlfn.IFNA(_xlfn.XLOOKUP(Assumptions!CN$87, '1 Machine Build'!$F$11:$Q$11, '1 Machine Build'!$F16:$Q16), 0), _xlfn.IFNA(_xlfn.XLOOKUP(Assumptions!CN$88, '1 Machine Build'!$F$11:$Q$11, '1 Machine Build'!$F16:$Q16), 0))</f>
        <v>0</v>
      </c>
      <c r="CQ34" s="97">
        <f>SUM(_xlfn.IFNA(_xlfn.XLOOKUP(Assumptions!CO$81, '1 Machine Build'!$F$11:$Q$11, '1 Machine Build'!$F16:$Q16), 0), _xlfn.IFNA(_xlfn.XLOOKUP(Assumptions!CO$82, '1 Machine Build'!$F$11:$Q$11, '1 Machine Build'!$F16:$Q16), 0), _xlfn.IFNA(_xlfn.XLOOKUP(Assumptions!CO$83, '1 Machine Build'!$F$11:$Q$11, '1 Machine Build'!$F16:$Q16), 0), _xlfn.IFNA(_xlfn.XLOOKUP(Assumptions!CO$84, '1 Machine Build'!$F$11:$Q$11, '1 Machine Build'!$F16:$Q16), 0), _xlfn.IFNA(_xlfn.XLOOKUP(Assumptions!CO$85, '1 Machine Build'!$F$11:$Q$11, '1 Machine Build'!$F16:$Q16), 0), _xlfn.IFNA(_xlfn.XLOOKUP(Assumptions!CO$86, '1 Machine Build'!$F$11:$Q$11, '1 Machine Build'!$F16:$Q16), 0), _xlfn.IFNA(_xlfn.XLOOKUP(Assumptions!CO$87, '1 Machine Build'!$F$11:$Q$11, '1 Machine Build'!$F16:$Q16), 0), _xlfn.IFNA(_xlfn.XLOOKUP(Assumptions!CO$88, '1 Machine Build'!$F$11:$Q$11, '1 Machine Build'!$F16:$Q16), 0))</f>
        <v>0</v>
      </c>
      <c r="CR34" s="97">
        <f>SUM(_xlfn.IFNA(_xlfn.XLOOKUP(Assumptions!CP$81, '1 Machine Build'!$F$11:$Q$11, '1 Machine Build'!$F16:$Q16), 0), _xlfn.IFNA(_xlfn.XLOOKUP(Assumptions!CP$82, '1 Machine Build'!$F$11:$Q$11, '1 Machine Build'!$F16:$Q16), 0), _xlfn.IFNA(_xlfn.XLOOKUP(Assumptions!CP$83, '1 Machine Build'!$F$11:$Q$11, '1 Machine Build'!$F16:$Q16), 0), _xlfn.IFNA(_xlfn.XLOOKUP(Assumptions!CP$84, '1 Machine Build'!$F$11:$Q$11, '1 Machine Build'!$F16:$Q16), 0), _xlfn.IFNA(_xlfn.XLOOKUP(Assumptions!CP$85, '1 Machine Build'!$F$11:$Q$11, '1 Machine Build'!$F16:$Q16), 0), _xlfn.IFNA(_xlfn.XLOOKUP(Assumptions!CP$86, '1 Machine Build'!$F$11:$Q$11, '1 Machine Build'!$F16:$Q16), 0), _xlfn.IFNA(_xlfn.XLOOKUP(Assumptions!CP$87, '1 Machine Build'!$F$11:$Q$11, '1 Machine Build'!$F16:$Q16), 0), _xlfn.IFNA(_xlfn.XLOOKUP(Assumptions!CP$88, '1 Machine Build'!$F$11:$Q$11, '1 Machine Build'!$F16:$Q16), 0))</f>
        <v>0</v>
      </c>
      <c r="CS34" s="97">
        <f>SUM(_xlfn.IFNA(_xlfn.XLOOKUP(Assumptions!CQ$81, '1 Machine Build'!$F$11:$Q$11, '1 Machine Build'!$F16:$Q16), 0), _xlfn.IFNA(_xlfn.XLOOKUP(Assumptions!CQ$82, '1 Machine Build'!$F$11:$Q$11, '1 Machine Build'!$F16:$Q16), 0), _xlfn.IFNA(_xlfn.XLOOKUP(Assumptions!CQ$83, '1 Machine Build'!$F$11:$Q$11, '1 Machine Build'!$F16:$Q16), 0), _xlfn.IFNA(_xlfn.XLOOKUP(Assumptions!CQ$84, '1 Machine Build'!$F$11:$Q$11, '1 Machine Build'!$F16:$Q16), 0), _xlfn.IFNA(_xlfn.XLOOKUP(Assumptions!CQ$85, '1 Machine Build'!$F$11:$Q$11, '1 Machine Build'!$F16:$Q16), 0), _xlfn.IFNA(_xlfn.XLOOKUP(Assumptions!CQ$86, '1 Machine Build'!$F$11:$Q$11, '1 Machine Build'!$F16:$Q16), 0), _xlfn.IFNA(_xlfn.XLOOKUP(Assumptions!CQ$87, '1 Machine Build'!$F$11:$Q$11, '1 Machine Build'!$F16:$Q16), 0), _xlfn.IFNA(_xlfn.XLOOKUP(Assumptions!CQ$88, '1 Machine Build'!$F$11:$Q$11, '1 Machine Build'!$F16:$Q16), 0))</f>
        <v>0</v>
      </c>
      <c r="CT34" s="97">
        <f>SUM(_xlfn.IFNA(_xlfn.XLOOKUP(Assumptions!CR$81, '1 Machine Build'!$F$11:$Q$11, '1 Machine Build'!$F16:$Q16), 0), _xlfn.IFNA(_xlfn.XLOOKUP(Assumptions!CR$82, '1 Machine Build'!$F$11:$Q$11, '1 Machine Build'!$F16:$Q16), 0), _xlfn.IFNA(_xlfn.XLOOKUP(Assumptions!CR$83, '1 Machine Build'!$F$11:$Q$11, '1 Machine Build'!$F16:$Q16), 0), _xlfn.IFNA(_xlfn.XLOOKUP(Assumptions!CR$84, '1 Machine Build'!$F$11:$Q$11, '1 Machine Build'!$F16:$Q16), 0), _xlfn.IFNA(_xlfn.XLOOKUP(Assumptions!CR$85, '1 Machine Build'!$F$11:$Q$11, '1 Machine Build'!$F16:$Q16), 0), _xlfn.IFNA(_xlfn.XLOOKUP(Assumptions!CR$86, '1 Machine Build'!$F$11:$Q$11, '1 Machine Build'!$F16:$Q16), 0), _xlfn.IFNA(_xlfn.XLOOKUP(Assumptions!CR$87, '1 Machine Build'!$F$11:$Q$11, '1 Machine Build'!$F16:$Q16), 0), _xlfn.IFNA(_xlfn.XLOOKUP(Assumptions!CR$88, '1 Machine Build'!$F$11:$Q$11, '1 Machine Build'!$F16:$Q16), 0))</f>
        <v>0</v>
      </c>
      <c r="CU34" s="97">
        <f>SUM(_xlfn.IFNA(_xlfn.XLOOKUP(Assumptions!CS$81, '1 Machine Build'!$F$11:$Q$11, '1 Machine Build'!$F16:$Q16), 0), _xlfn.IFNA(_xlfn.XLOOKUP(Assumptions!CS$82, '1 Machine Build'!$F$11:$Q$11, '1 Machine Build'!$F16:$Q16), 0), _xlfn.IFNA(_xlfn.XLOOKUP(Assumptions!CS$83, '1 Machine Build'!$F$11:$Q$11, '1 Machine Build'!$F16:$Q16), 0), _xlfn.IFNA(_xlfn.XLOOKUP(Assumptions!CS$84, '1 Machine Build'!$F$11:$Q$11, '1 Machine Build'!$F16:$Q16), 0), _xlfn.IFNA(_xlfn.XLOOKUP(Assumptions!CS$85, '1 Machine Build'!$F$11:$Q$11, '1 Machine Build'!$F16:$Q16), 0), _xlfn.IFNA(_xlfn.XLOOKUP(Assumptions!CS$86, '1 Machine Build'!$F$11:$Q$11, '1 Machine Build'!$F16:$Q16), 0), _xlfn.IFNA(_xlfn.XLOOKUP(Assumptions!CS$87, '1 Machine Build'!$F$11:$Q$11, '1 Machine Build'!$F16:$Q16), 0), _xlfn.IFNA(_xlfn.XLOOKUP(Assumptions!CS$88, '1 Machine Build'!$F$11:$Q$11, '1 Machine Build'!$F16:$Q16), 0))</f>
        <v>0</v>
      </c>
      <c r="CV34" s="97">
        <f>SUM(_xlfn.IFNA(_xlfn.XLOOKUP(Assumptions!CT$81, '1 Machine Build'!$F$11:$Q$11, '1 Machine Build'!$F16:$Q16), 0), _xlfn.IFNA(_xlfn.XLOOKUP(Assumptions!CT$82, '1 Machine Build'!$F$11:$Q$11, '1 Machine Build'!$F16:$Q16), 0), _xlfn.IFNA(_xlfn.XLOOKUP(Assumptions!CT$83, '1 Machine Build'!$F$11:$Q$11, '1 Machine Build'!$F16:$Q16), 0), _xlfn.IFNA(_xlfn.XLOOKUP(Assumptions!CT$84, '1 Machine Build'!$F$11:$Q$11, '1 Machine Build'!$F16:$Q16), 0), _xlfn.IFNA(_xlfn.XLOOKUP(Assumptions!CT$85, '1 Machine Build'!$F$11:$Q$11, '1 Machine Build'!$F16:$Q16), 0), _xlfn.IFNA(_xlfn.XLOOKUP(Assumptions!CT$86, '1 Machine Build'!$F$11:$Q$11, '1 Machine Build'!$F16:$Q16), 0), _xlfn.IFNA(_xlfn.XLOOKUP(Assumptions!CT$87, '1 Machine Build'!$F$11:$Q$11, '1 Machine Build'!$F16:$Q16), 0), _xlfn.IFNA(_xlfn.XLOOKUP(Assumptions!CT$88, '1 Machine Build'!$F$11:$Q$11, '1 Machine Build'!$F16:$Q16), 0))</f>
        <v>0</v>
      </c>
      <c r="CW34" s="97">
        <f>SUM(_xlfn.IFNA(_xlfn.XLOOKUP(Assumptions!CU$81, '1 Machine Build'!$F$11:$Q$11, '1 Machine Build'!$F16:$Q16), 0), _xlfn.IFNA(_xlfn.XLOOKUP(Assumptions!CU$82, '1 Machine Build'!$F$11:$Q$11, '1 Machine Build'!$F16:$Q16), 0), _xlfn.IFNA(_xlfn.XLOOKUP(Assumptions!CU$83, '1 Machine Build'!$F$11:$Q$11, '1 Machine Build'!$F16:$Q16), 0), _xlfn.IFNA(_xlfn.XLOOKUP(Assumptions!CU$84, '1 Machine Build'!$F$11:$Q$11, '1 Machine Build'!$F16:$Q16), 0), _xlfn.IFNA(_xlfn.XLOOKUP(Assumptions!CU$85, '1 Machine Build'!$F$11:$Q$11, '1 Machine Build'!$F16:$Q16), 0), _xlfn.IFNA(_xlfn.XLOOKUP(Assumptions!CU$86, '1 Machine Build'!$F$11:$Q$11, '1 Machine Build'!$F16:$Q16), 0), _xlfn.IFNA(_xlfn.XLOOKUP(Assumptions!CU$87, '1 Machine Build'!$F$11:$Q$11, '1 Machine Build'!$F16:$Q16), 0), _xlfn.IFNA(_xlfn.XLOOKUP(Assumptions!CU$88, '1 Machine Build'!$F$11:$Q$11, '1 Machine Build'!$F16:$Q16), 0))</f>
        <v>0</v>
      </c>
      <c r="CX34" s="97">
        <f>SUM(_xlfn.IFNA(_xlfn.XLOOKUP(Assumptions!CV$81, '1 Machine Build'!$F$11:$Q$11, '1 Machine Build'!$F16:$Q16), 0), _xlfn.IFNA(_xlfn.XLOOKUP(Assumptions!CV$82, '1 Machine Build'!$F$11:$Q$11, '1 Machine Build'!$F16:$Q16), 0), _xlfn.IFNA(_xlfn.XLOOKUP(Assumptions!CV$83, '1 Machine Build'!$F$11:$Q$11, '1 Machine Build'!$F16:$Q16), 0), _xlfn.IFNA(_xlfn.XLOOKUP(Assumptions!CV$84, '1 Machine Build'!$F$11:$Q$11, '1 Machine Build'!$F16:$Q16), 0), _xlfn.IFNA(_xlfn.XLOOKUP(Assumptions!CV$85, '1 Machine Build'!$F$11:$Q$11, '1 Machine Build'!$F16:$Q16), 0), _xlfn.IFNA(_xlfn.XLOOKUP(Assumptions!CV$86, '1 Machine Build'!$F$11:$Q$11, '1 Machine Build'!$F16:$Q16), 0), _xlfn.IFNA(_xlfn.XLOOKUP(Assumptions!CV$87, '1 Machine Build'!$F$11:$Q$11, '1 Machine Build'!$F16:$Q16), 0), _xlfn.IFNA(_xlfn.XLOOKUP(Assumptions!CV$88, '1 Machine Build'!$F$11:$Q$11, '1 Machine Build'!$F16:$Q16), 0))</f>
        <v>0</v>
      </c>
      <c r="CY34" s="97">
        <f>SUM(_xlfn.IFNA(_xlfn.XLOOKUP(Assumptions!CW$81, '1 Machine Build'!$F$11:$Q$11, '1 Machine Build'!$F16:$Q16), 0), _xlfn.IFNA(_xlfn.XLOOKUP(Assumptions!CW$82, '1 Machine Build'!$F$11:$Q$11, '1 Machine Build'!$F16:$Q16), 0), _xlfn.IFNA(_xlfn.XLOOKUP(Assumptions!CW$83, '1 Machine Build'!$F$11:$Q$11, '1 Machine Build'!$F16:$Q16), 0), _xlfn.IFNA(_xlfn.XLOOKUP(Assumptions!CW$84, '1 Machine Build'!$F$11:$Q$11, '1 Machine Build'!$F16:$Q16), 0), _xlfn.IFNA(_xlfn.XLOOKUP(Assumptions!CW$85, '1 Machine Build'!$F$11:$Q$11, '1 Machine Build'!$F16:$Q16), 0), _xlfn.IFNA(_xlfn.XLOOKUP(Assumptions!CW$86, '1 Machine Build'!$F$11:$Q$11, '1 Machine Build'!$F16:$Q16), 0), _xlfn.IFNA(_xlfn.XLOOKUP(Assumptions!CW$87, '1 Machine Build'!$F$11:$Q$11, '1 Machine Build'!$F16:$Q16), 0), _xlfn.IFNA(_xlfn.XLOOKUP(Assumptions!CW$88, '1 Machine Build'!$F$11:$Q$11, '1 Machine Build'!$F16:$Q16), 0))</f>
        <v>0</v>
      </c>
      <c r="CZ34" s="97">
        <f>SUM(_xlfn.IFNA(_xlfn.XLOOKUP(Assumptions!CX$81, '1 Machine Build'!$F$11:$Q$11, '1 Machine Build'!$F16:$Q16), 0), _xlfn.IFNA(_xlfn.XLOOKUP(Assumptions!CX$82, '1 Machine Build'!$F$11:$Q$11, '1 Machine Build'!$F16:$Q16), 0), _xlfn.IFNA(_xlfn.XLOOKUP(Assumptions!CX$83, '1 Machine Build'!$F$11:$Q$11, '1 Machine Build'!$F16:$Q16), 0), _xlfn.IFNA(_xlfn.XLOOKUP(Assumptions!CX$84, '1 Machine Build'!$F$11:$Q$11, '1 Machine Build'!$F16:$Q16), 0), _xlfn.IFNA(_xlfn.XLOOKUP(Assumptions!CX$85, '1 Machine Build'!$F$11:$Q$11, '1 Machine Build'!$F16:$Q16), 0), _xlfn.IFNA(_xlfn.XLOOKUP(Assumptions!CX$86, '1 Machine Build'!$F$11:$Q$11, '1 Machine Build'!$F16:$Q16), 0), _xlfn.IFNA(_xlfn.XLOOKUP(Assumptions!CX$87, '1 Machine Build'!$F$11:$Q$11, '1 Machine Build'!$F16:$Q16), 0), _xlfn.IFNA(_xlfn.XLOOKUP(Assumptions!CX$88, '1 Machine Build'!$F$11:$Q$11, '1 Machine Build'!$F16:$Q16), 0))</f>
        <v>0</v>
      </c>
      <c r="DA34" s="97">
        <f>SUM(_xlfn.IFNA(_xlfn.XLOOKUP(Assumptions!CY$81, '1 Machine Build'!$F$11:$Q$11, '1 Machine Build'!$F16:$Q16), 0), _xlfn.IFNA(_xlfn.XLOOKUP(Assumptions!CY$82, '1 Machine Build'!$F$11:$Q$11, '1 Machine Build'!$F16:$Q16), 0), _xlfn.IFNA(_xlfn.XLOOKUP(Assumptions!CY$83, '1 Machine Build'!$F$11:$Q$11, '1 Machine Build'!$F16:$Q16), 0), _xlfn.IFNA(_xlfn.XLOOKUP(Assumptions!CY$84, '1 Machine Build'!$F$11:$Q$11, '1 Machine Build'!$F16:$Q16), 0), _xlfn.IFNA(_xlfn.XLOOKUP(Assumptions!CY$85, '1 Machine Build'!$F$11:$Q$11, '1 Machine Build'!$F16:$Q16), 0), _xlfn.IFNA(_xlfn.XLOOKUP(Assumptions!CY$86, '1 Machine Build'!$F$11:$Q$11, '1 Machine Build'!$F16:$Q16), 0), _xlfn.IFNA(_xlfn.XLOOKUP(Assumptions!CY$87, '1 Machine Build'!$F$11:$Q$11, '1 Machine Build'!$F16:$Q16), 0), _xlfn.IFNA(_xlfn.XLOOKUP(Assumptions!CY$88, '1 Machine Build'!$F$11:$Q$11, '1 Machine Build'!$F16:$Q16), 0))</f>
        <v>0</v>
      </c>
      <c r="DB34" s="97">
        <f>SUM(_xlfn.IFNA(_xlfn.XLOOKUP(Assumptions!CZ$81, '1 Machine Build'!$F$11:$Q$11, '1 Machine Build'!$F16:$Q16), 0), _xlfn.IFNA(_xlfn.XLOOKUP(Assumptions!CZ$82, '1 Machine Build'!$F$11:$Q$11, '1 Machine Build'!$F16:$Q16), 0), _xlfn.IFNA(_xlfn.XLOOKUP(Assumptions!CZ$83, '1 Machine Build'!$F$11:$Q$11, '1 Machine Build'!$F16:$Q16), 0), _xlfn.IFNA(_xlfn.XLOOKUP(Assumptions!CZ$84, '1 Machine Build'!$F$11:$Q$11, '1 Machine Build'!$F16:$Q16), 0), _xlfn.IFNA(_xlfn.XLOOKUP(Assumptions!CZ$85, '1 Machine Build'!$F$11:$Q$11, '1 Machine Build'!$F16:$Q16), 0), _xlfn.IFNA(_xlfn.XLOOKUP(Assumptions!CZ$86, '1 Machine Build'!$F$11:$Q$11, '1 Machine Build'!$F16:$Q16), 0), _xlfn.IFNA(_xlfn.XLOOKUP(Assumptions!CZ$87, '1 Machine Build'!$F$11:$Q$11, '1 Machine Build'!$F16:$Q16), 0), _xlfn.IFNA(_xlfn.XLOOKUP(Assumptions!CZ$88, '1 Machine Build'!$F$11:$Q$11, '1 Machine Build'!$F16:$Q16), 0))</f>
        <v>0</v>
      </c>
      <c r="DC34" s="97">
        <f>SUM(_xlfn.IFNA(_xlfn.XLOOKUP(Assumptions!DA$81, '1 Machine Build'!$F$11:$Q$11, '1 Machine Build'!$F16:$Q16), 0), _xlfn.IFNA(_xlfn.XLOOKUP(Assumptions!DA$82, '1 Machine Build'!$F$11:$Q$11, '1 Machine Build'!$F16:$Q16), 0), _xlfn.IFNA(_xlfn.XLOOKUP(Assumptions!DA$83, '1 Machine Build'!$F$11:$Q$11, '1 Machine Build'!$F16:$Q16), 0), _xlfn.IFNA(_xlfn.XLOOKUP(Assumptions!DA$84, '1 Machine Build'!$F$11:$Q$11, '1 Machine Build'!$F16:$Q16), 0), _xlfn.IFNA(_xlfn.XLOOKUP(Assumptions!DA$85, '1 Machine Build'!$F$11:$Q$11, '1 Machine Build'!$F16:$Q16), 0), _xlfn.IFNA(_xlfn.XLOOKUP(Assumptions!DA$86, '1 Machine Build'!$F$11:$Q$11, '1 Machine Build'!$F16:$Q16), 0), _xlfn.IFNA(_xlfn.XLOOKUP(Assumptions!DA$87, '1 Machine Build'!$F$11:$Q$11, '1 Machine Build'!$F16:$Q16), 0), _xlfn.IFNA(_xlfn.XLOOKUP(Assumptions!DA$88, '1 Machine Build'!$F$11:$Q$11, '1 Machine Build'!$F16:$Q16), 0))</f>
        <v>0</v>
      </c>
      <c r="DD34" s="97">
        <f>SUM(_xlfn.IFNA(_xlfn.XLOOKUP(Assumptions!DB$81, '1 Machine Build'!$F$11:$Q$11, '1 Machine Build'!$F16:$Q16), 0), _xlfn.IFNA(_xlfn.XLOOKUP(Assumptions!DB$82, '1 Machine Build'!$F$11:$Q$11, '1 Machine Build'!$F16:$Q16), 0), _xlfn.IFNA(_xlfn.XLOOKUP(Assumptions!DB$83, '1 Machine Build'!$F$11:$Q$11, '1 Machine Build'!$F16:$Q16), 0), _xlfn.IFNA(_xlfn.XLOOKUP(Assumptions!DB$84, '1 Machine Build'!$F$11:$Q$11, '1 Machine Build'!$F16:$Q16), 0), _xlfn.IFNA(_xlfn.XLOOKUP(Assumptions!DB$85, '1 Machine Build'!$F$11:$Q$11, '1 Machine Build'!$F16:$Q16), 0), _xlfn.IFNA(_xlfn.XLOOKUP(Assumptions!DB$86, '1 Machine Build'!$F$11:$Q$11, '1 Machine Build'!$F16:$Q16), 0), _xlfn.IFNA(_xlfn.XLOOKUP(Assumptions!DB$87, '1 Machine Build'!$F$11:$Q$11, '1 Machine Build'!$F16:$Q16), 0), _xlfn.IFNA(_xlfn.XLOOKUP(Assumptions!DB$88, '1 Machine Build'!$F$11:$Q$11, '1 Machine Build'!$F16:$Q16), 0))</f>
        <v>0</v>
      </c>
      <c r="DE34" s="97">
        <f>SUM(_xlfn.IFNA(_xlfn.XLOOKUP(Assumptions!DC$81, '1 Machine Build'!$F$11:$Q$11, '1 Machine Build'!$F16:$Q16), 0), _xlfn.IFNA(_xlfn.XLOOKUP(Assumptions!DC$82, '1 Machine Build'!$F$11:$Q$11, '1 Machine Build'!$F16:$Q16), 0), _xlfn.IFNA(_xlfn.XLOOKUP(Assumptions!DC$83, '1 Machine Build'!$F$11:$Q$11, '1 Machine Build'!$F16:$Q16), 0), _xlfn.IFNA(_xlfn.XLOOKUP(Assumptions!DC$84, '1 Machine Build'!$F$11:$Q$11, '1 Machine Build'!$F16:$Q16), 0), _xlfn.IFNA(_xlfn.XLOOKUP(Assumptions!DC$85, '1 Machine Build'!$F$11:$Q$11, '1 Machine Build'!$F16:$Q16), 0), _xlfn.IFNA(_xlfn.XLOOKUP(Assumptions!DC$86, '1 Machine Build'!$F$11:$Q$11, '1 Machine Build'!$F16:$Q16), 0), _xlfn.IFNA(_xlfn.XLOOKUP(Assumptions!DC$87, '1 Machine Build'!$F$11:$Q$11, '1 Machine Build'!$F16:$Q16), 0), _xlfn.IFNA(_xlfn.XLOOKUP(Assumptions!DC$88, '1 Machine Build'!$F$11:$Q$11, '1 Machine Build'!$F16:$Q16), 0))</f>
        <v>0</v>
      </c>
      <c r="DF34" s="97">
        <f>SUM(_xlfn.IFNA(_xlfn.XLOOKUP(Assumptions!DD$81, '1 Machine Build'!$F$11:$Q$11, '1 Machine Build'!$F16:$Q16), 0), _xlfn.IFNA(_xlfn.XLOOKUP(Assumptions!DD$82, '1 Machine Build'!$F$11:$Q$11, '1 Machine Build'!$F16:$Q16), 0), _xlfn.IFNA(_xlfn.XLOOKUP(Assumptions!DD$83, '1 Machine Build'!$F$11:$Q$11, '1 Machine Build'!$F16:$Q16), 0), _xlfn.IFNA(_xlfn.XLOOKUP(Assumptions!DD$84, '1 Machine Build'!$F$11:$Q$11, '1 Machine Build'!$F16:$Q16), 0), _xlfn.IFNA(_xlfn.XLOOKUP(Assumptions!DD$85, '1 Machine Build'!$F$11:$Q$11, '1 Machine Build'!$F16:$Q16), 0), _xlfn.IFNA(_xlfn.XLOOKUP(Assumptions!DD$86, '1 Machine Build'!$F$11:$Q$11, '1 Machine Build'!$F16:$Q16), 0), _xlfn.IFNA(_xlfn.XLOOKUP(Assumptions!DD$87, '1 Machine Build'!$F$11:$Q$11, '1 Machine Build'!$F16:$Q16), 0), _xlfn.IFNA(_xlfn.XLOOKUP(Assumptions!DD$88, '1 Machine Build'!$F$11:$Q$11, '1 Machine Build'!$F16:$Q16), 0))</f>
        <v>0</v>
      </c>
      <c r="DG34" s="97">
        <f>SUM(_xlfn.IFNA(_xlfn.XLOOKUP(Assumptions!DE$81, '1 Machine Build'!$F$11:$Q$11, '1 Machine Build'!$F16:$Q16), 0), _xlfn.IFNA(_xlfn.XLOOKUP(Assumptions!DE$82, '1 Machine Build'!$F$11:$Q$11, '1 Machine Build'!$F16:$Q16), 0), _xlfn.IFNA(_xlfn.XLOOKUP(Assumptions!DE$83, '1 Machine Build'!$F$11:$Q$11, '1 Machine Build'!$F16:$Q16), 0), _xlfn.IFNA(_xlfn.XLOOKUP(Assumptions!DE$84, '1 Machine Build'!$F$11:$Q$11, '1 Machine Build'!$F16:$Q16), 0), _xlfn.IFNA(_xlfn.XLOOKUP(Assumptions!DE$85, '1 Machine Build'!$F$11:$Q$11, '1 Machine Build'!$F16:$Q16), 0), _xlfn.IFNA(_xlfn.XLOOKUP(Assumptions!DE$86, '1 Machine Build'!$F$11:$Q$11, '1 Machine Build'!$F16:$Q16), 0), _xlfn.IFNA(_xlfn.XLOOKUP(Assumptions!DE$87, '1 Machine Build'!$F$11:$Q$11, '1 Machine Build'!$F16:$Q16), 0), _xlfn.IFNA(_xlfn.XLOOKUP(Assumptions!DE$88, '1 Machine Build'!$F$11:$Q$11, '1 Machine Build'!$F16:$Q16), 0))</f>
        <v>0</v>
      </c>
      <c r="DH34" s="97">
        <f>SUM(_xlfn.IFNA(_xlfn.XLOOKUP(Assumptions!DF$81, '1 Machine Build'!$F$11:$Q$11, '1 Machine Build'!$F16:$Q16), 0), _xlfn.IFNA(_xlfn.XLOOKUP(Assumptions!DF$82, '1 Machine Build'!$F$11:$Q$11, '1 Machine Build'!$F16:$Q16), 0), _xlfn.IFNA(_xlfn.XLOOKUP(Assumptions!DF$83, '1 Machine Build'!$F$11:$Q$11, '1 Machine Build'!$F16:$Q16), 0), _xlfn.IFNA(_xlfn.XLOOKUP(Assumptions!DF$84, '1 Machine Build'!$F$11:$Q$11, '1 Machine Build'!$F16:$Q16), 0), _xlfn.IFNA(_xlfn.XLOOKUP(Assumptions!DF$85, '1 Machine Build'!$F$11:$Q$11, '1 Machine Build'!$F16:$Q16), 0), _xlfn.IFNA(_xlfn.XLOOKUP(Assumptions!DF$86, '1 Machine Build'!$F$11:$Q$11, '1 Machine Build'!$F16:$Q16), 0), _xlfn.IFNA(_xlfn.XLOOKUP(Assumptions!DF$87, '1 Machine Build'!$F$11:$Q$11, '1 Machine Build'!$F16:$Q16), 0), _xlfn.IFNA(_xlfn.XLOOKUP(Assumptions!DF$88, '1 Machine Build'!$F$11:$Q$11, '1 Machine Build'!$F16:$Q16), 0))</f>
        <v>0</v>
      </c>
      <c r="DI34" s="97">
        <f>SUM(_xlfn.IFNA(_xlfn.XLOOKUP(Assumptions!DG$81, '1 Machine Build'!$F$11:$Q$11, '1 Machine Build'!$F16:$Q16), 0), _xlfn.IFNA(_xlfn.XLOOKUP(Assumptions!DG$82, '1 Machine Build'!$F$11:$Q$11, '1 Machine Build'!$F16:$Q16), 0), _xlfn.IFNA(_xlfn.XLOOKUP(Assumptions!DG$83, '1 Machine Build'!$F$11:$Q$11, '1 Machine Build'!$F16:$Q16), 0), _xlfn.IFNA(_xlfn.XLOOKUP(Assumptions!DG$84, '1 Machine Build'!$F$11:$Q$11, '1 Machine Build'!$F16:$Q16), 0), _xlfn.IFNA(_xlfn.XLOOKUP(Assumptions!DG$85, '1 Machine Build'!$F$11:$Q$11, '1 Machine Build'!$F16:$Q16), 0), _xlfn.IFNA(_xlfn.XLOOKUP(Assumptions!DG$86, '1 Machine Build'!$F$11:$Q$11, '1 Machine Build'!$F16:$Q16), 0), _xlfn.IFNA(_xlfn.XLOOKUP(Assumptions!DG$87, '1 Machine Build'!$F$11:$Q$11, '1 Machine Build'!$F16:$Q16), 0), _xlfn.IFNA(_xlfn.XLOOKUP(Assumptions!DG$88, '1 Machine Build'!$F$11:$Q$11, '1 Machine Build'!$F16:$Q16), 0))</f>
        <v>0</v>
      </c>
      <c r="DJ34" s="97">
        <f>SUM(_xlfn.IFNA(_xlfn.XLOOKUP(Assumptions!DH$81, '1 Machine Build'!$F$11:$Q$11, '1 Machine Build'!$F16:$Q16), 0), _xlfn.IFNA(_xlfn.XLOOKUP(Assumptions!DH$82, '1 Machine Build'!$F$11:$Q$11, '1 Machine Build'!$F16:$Q16), 0), _xlfn.IFNA(_xlfn.XLOOKUP(Assumptions!DH$83, '1 Machine Build'!$F$11:$Q$11, '1 Machine Build'!$F16:$Q16), 0), _xlfn.IFNA(_xlfn.XLOOKUP(Assumptions!DH$84, '1 Machine Build'!$F$11:$Q$11, '1 Machine Build'!$F16:$Q16), 0), _xlfn.IFNA(_xlfn.XLOOKUP(Assumptions!DH$85, '1 Machine Build'!$F$11:$Q$11, '1 Machine Build'!$F16:$Q16), 0), _xlfn.IFNA(_xlfn.XLOOKUP(Assumptions!DH$86, '1 Machine Build'!$F$11:$Q$11, '1 Machine Build'!$F16:$Q16), 0), _xlfn.IFNA(_xlfn.XLOOKUP(Assumptions!DH$87, '1 Machine Build'!$F$11:$Q$11, '1 Machine Build'!$F16:$Q16), 0), _xlfn.IFNA(_xlfn.XLOOKUP(Assumptions!DH$88, '1 Machine Build'!$F$11:$Q$11, '1 Machine Build'!$F16:$Q16), 0))</f>
        <v>0</v>
      </c>
      <c r="DK34" s="97">
        <f>SUM(_xlfn.IFNA(_xlfn.XLOOKUP(Assumptions!DI$81, '1 Machine Build'!$F$11:$Q$11, '1 Machine Build'!$F16:$Q16), 0), _xlfn.IFNA(_xlfn.XLOOKUP(Assumptions!DI$82, '1 Machine Build'!$F$11:$Q$11, '1 Machine Build'!$F16:$Q16), 0), _xlfn.IFNA(_xlfn.XLOOKUP(Assumptions!DI$83, '1 Machine Build'!$F$11:$Q$11, '1 Machine Build'!$F16:$Q16), 0), _xlfn.IFNA(_xlfn.XLOOKUP(Assumptions!DI$84, '1 Machine Build'!$F$11:$Q$11, '1 Machine Build'!$F16:$Q16), 0), _xlfn.IFNA(_xlfn.XLOOKUP(Assumptions!DI$85, '1 Machine Build'!$F$11:$Q$11, '1 Machine Build'!$F16:$Q16), 0), _xlfn.IFNA(_xlfn.XLOOKUP(Assumptions!DI$86, '1 Machine Build'!$F$11:$Q$11, '1 Machine Build'!$F16:$Q16), 0), _xlfn.IFNA(_xlfn.XLOOKUP(Assumptions!DI$87, '1 Machine Build'!$F$11:$Q$11, '1 Machine Build'!$F16:$Q16), 0), _xlfn.IFNA(_xlfn.XLOOKUP(Assumptions!DI$88, '1 Machine Build'!$F$11:$Q$11, '1 Machine Build'!$F16:$Q16), 0))</f>
        <v>0</v>
      </c>
      <c r="DL34" s="97">
        <f>SUM(_xlfn.IFNA(_xlfn.XLOOKUP(Assumptions!DJ$81, '1 Machine Build'!$F$11:$Q$11, '1 Machine Build'!$F16:$Q16), 0), _xlfn.IFNA(_xlfn.XLOOKUP(Assumptions!DJ$82, '1 Machine Build'!$F$11:$Q$11, '1 Machine Build'!$F16:$Q16), 0), _xlfn.IFNA(_xlfn.XLOOKUP(Assumptions!DJ$83, '1 Machine Build'!$F$11:$Q$11, '1 Machine Build'!$F16:$Q16), 0), _xlfn.IFNA(_xlfn.XLOOKUP(Assumptions!DJ$84, '1 Machine Build'!$F$11:$Q$11, '1 Machine Build'!$F16:$Q16), 0), _xlfn.IFNA(_xlfn.XLOOKUP(Assumptions!DJ$85, '1 Machine Build'!$F$11:$Q$11, '1 Machine Build'!$F16:$Q16), 0), _xlfn.IFNA(_xlfn.XLOOKUP(Assumptions!DJ$86, '1 Machine Build'!$F$11:$Q$11, '1 Machine Build'!$F16:$Q16), 0), _xlfn.IFNA(_xlfn.XLOOKUP(Assumptions!DJ$87, '1 Machine Build'!$F$11:$Q$11, '1 Machine Build'!$F16:$Q16), 0), _xlfn.IFNA(_xlfn.XLOOKUP(Assumptions!DJ$88, '1 Machine Build'!$F$11:$Q$11, '1 Machine Build'!$F16:$Q16), 0))</f>
        <v>0</v>
      </c>
      <c r="DM34" s="97">
        <f>SUM(_xlfn.IFNA(_xlfn.XLOOKUP(Assumptions!DK$81, '1 Machine Build'!$F$11:$Q$11, '1 Machine Build'!$F16:$Q16), 0), _xlfn.IFNA(_xlfn.XLOOKUP(Assumptions!DK$82, '1 Machine Build'!$F$11:$Q$11, '1 Machine Build'!$F16:$Q16), 0), _xlfn.IFNA(_xlfn.XLOOKUP(Assumptions!DK$83, '1 Machine Build'!$F$11:$Q$11, '1 Machine Build'!$F16:$Q16), 0), _xlfn.IFNA(_xlfn.XLOOKUP(Assumptions!DK$84, '1 Machine Build'!$F$11:$Q$11, '1 Machine Build'!$F16:$Q16), 0), _xlfn.IFNA(_xlfn.XLOOKUP(Assumptions!DK$85, '1 Machine Build'!$F$11:$Q$11, '1 Machine Build'!$F16:$Q16), 0), _xlfn.IFNA(_xlfn.XLOOKUP(Assumptions!DK$86, '1 Machine Build'!$F$11:$Q$11, '1 Machine Build'!$F16:$Q16), 0), _xlfn.IFNA(_xlfn.XLOOKUP(Assumptions!DK$87, '1 Machine Build'!$F$11:$Q$11, '1 Machine Build'!$F16:$Q16), 0), _xlfn.IFNA(_xlfn.XLOOKUP(Assumptions!DK$88, '1 Machine Build'!$F$11:$Q$11, '1 Machine Build'!$F16:$Q16), 0))</f>
        <v>0</v>
      </c>
      <c r="DN34" s="97">
        <f>SUM(_xlfn.IFNA(_xlfn.XLOOKUP(Assumptions!DL$81, '1 Machine Build'!$F$11:$Q$11, '1 Machine Build'!$F16:$Q16), 0), _xlfn.IFNA(_xlfn.XLOOKUP(Assumptions!DL$82, '1 Machine Build'!$F$11:$Q$11, '1 Machine Build'!$F16:$Q16), 0), _xlfn.IFNA(_xlfn.XLOOKUP(Assumptions!DL$83, '1 Machine Build'!$F$11:$Q$11, '1 Machine Build'!$F16:$Q16), 0), _xlfn.IFNA(_xlfn.XLOOKUP(Assumptions!DL$84, '1 Machine Build'!$F$11:$Q$11, '1 Machine Build'!$F16:$Q16), 0), _xlfn.IFNA(_xlfn.XLOOKUP(Assumptions!DL$85, '1 Machine Build'!$F$11:$Q$11, '1 Machine Build'!$F16:$Q16), 0), _xlfn.IFNA(_xlfn.XLOOKUP(Assumptions!DL$86, '1 Machine Build'!$F$11:$Q$11, '1 Machine Build'!$F16:$Q16), 0), _xlfn.IFNA(_xlfn.XLOOKUP(Assumptions!DL$87, '1 Machine Build'!$F$11:$Q$11, '1 Machine Build'!$F16:$Q16), 0), _xlfn.IFNA(_xlfn.XLOOKUP(Assumptions!DL$88, '1 Machine Build'!$F$11:$Q$11, '1 Machine Build'!$F16:$Q16), 0))</f>
        <v>0</v>
      </c>
      <c r="DO34" s="97">
        <f>SUM(_xlfn.IFNA(_xlfn.XLOOKUP(Assumptions!DM$81, '1 Machine Build'!$F$11:$Q$11, '1 Machine Build'!$F16:$Q16), 0), _xlfn.IFNA(_xlfn.XLOOKUP(Assumptions!DM$82, '1 Machine Build'!$F$11:$Q$11, '1 Machine Build'!$F16:$Q16), 0), _xlfn.IFNA(_xlfn.XLOOKUP(Assumptions!DM$83, '1 Machine Build'!$F$11:$Q$11, '1 Machine Build'!$F16:$Q16), 0), _xlfn.IFNA(_xlfn.XLOOKUP(Assumptions!DM$84, '1 Machine Build'!$F$11:$Q$11, '1 Machine Build'!$F16:$Q16), 0), _xlfn.IFNA(_xlfn.XLOOKUP(Assumptions!DM$85, '1 Machine Build'!$F$11:$Q$11, '1 Machine Build'!$F16:$Q16), 0), _xlfn.IFNA(_xlfn.XLOOKUP(Assumptions!DM$86, '1 Machine Build'!$F$11:$Q$11, '1 Machine Build'!$F16:$Q16), 0), _xlfn.IFNA(_xlfn.XLOOKUP(Assumptions!DM$87, '1 Machine Build'!$F$11:$Q$11, '1 Machine Build'!$F16:$Q16), 0), _xlfn.IFNA(_xlfn.XLOOKUP(Assumptions!DM$88, '1 Machine Build'!$F$11:$Q$11, '1 Machine Build'!$F16:$Q16), 0))</f>
        <v>0</v>
      </c>
      <c r="DP34" s="97">
        <f>SUM(_xlfn.IFNA(_xlfn.XLOOKUP(Assumptions!DN$81, '1 Machine Build'!$F$11:$Q$11, '1 Machine Build'!$F16:$Q16), 0), _xlfn.IFNA(_xlfn.XLOOKUP(Assumptions!DN$82, '1 Machine Build'!$F$11:$Q$11, '1 Machine Build'!$F16:$Q16), 0), _xlfn.IFNA(_xlfn.XLOOKUP(Assumptions!DN$83, '1 Machine Build'!$F$11:$Q$11, '1 Machine Build'!$F16:$Q16), 0), _xlfn.IFNA(_xlfn.XLOOKUP(Assumptions!DN$84, '1 Machine Build'!$F$11:$Q$11, '1 Machine Build'!$F16:$Q16), 0), _xlfn.IFNA(_xlfn.XLOOKUP(Assumptions!DN$85, '1 Machine Build'!$F$11:$Q$11, '1 Machine Build'!$F16:$Q16), 0), _xlfn.IFNA(_xlfn.XLOOKUP(Assumptions!DN$86, '1 Machine Build'!$F$11:$Q$11, '1 Machine Build'!$F16:$Q16), 0), _xlfn.IFNA(_xlfn.XLOOKUP(Assumptions!DN$87, '1 Machine Build'!$F$11:$Q$11, '1 Machine Build'!$F16:$Q16), 0), _xlfn.IFNA(_xlfn.XLOOKUP(Assumptions!DN$88, '1 Machine Build'!$F$11:$Q$11, '1 Machine Build'!$F16:$Q16), 0))</f>
        <v>0</v>
      </c>
      <c r="DQ34" s="97">
        <f>SUM(_xlfn.IFNA(_xlfn.XLOOKUP(Assumptions!DO$81, '1 Machine Build'!$F$11:$Q$11, '1 Machine Build'!$F16:$Q16), 0), _xlfn.IFNA(_xlfn.XLOOKUP(Assumptions!DO$82, '1 Machine Build'!$F$11:$Q$11, '1 Machine Build'!$F16:$Q16), 0), _xlfn.IFNA(_xlfn.XLOOKUP(Assumptions!DO$83, '1 Machine Build'!$F$11:$Q$11, '1 Machine Build'!$F16:$Q16), 0), _xlfn.IFNA(_xlfn.XLOOKUP(Assumptions!DO$84, '1 Machine Build'!$F$11:$Q$11, '1 Machine Build'!$F16:$Q16), 0), _xlfn.IFNA(_xlfn.XLOOKUP(Assumptions!DO$85, '1 Machine Build'!$F$11:$Q$11, '1 Machine Build'!$F16:$Q16), 0), _xlfn.IFNA(_xlfn.XLOOKUP(Assumptions!DO$86, '1 Machine Build'!$F$11:$Q$11, '1 Machine Build'!$F16:$Q16), 0), _xlfn.IFNA(_xlfn.XLOOKUP(Assumptions!DO$87, '1 Machine Build'!$F$11:$Q$11, '1 Machine Build'!$F16:$Q16), 0), _xlfn.IFNA(_xlfn.XLOOKUP(Assumptions!DO$88, '1 Machine Build'!$F$11:$Q$11, '1 Machine Build'!$F16:$Q16), 0))</f>
        <v>0</v>
      </c>
      <c r="DR34" s="97">
        <f>SUM(_xlfn.IFNA(_xlfn.XLOOKUP(Assumptions!DP$81, '1 Machine Build'!$F$11:$Q$11, '1 Machine Build'!$F16:$Q16), 0), _xlfn.IFNA(_xlfn.XLOOKUP(Assumptions!DP$82, '1 Machine Build'!$F$11:$Q$11, '1 Machine Build'!$F16:$Q16), 0), _xlfn.IFNA(_xlfn.XLOOKUP(Assumptions!DP$83, '1 Machine Build'!$F$11:$Q$11, '1 Machine Build'!$F16:$Q16), 0), _xlfn.IFNA(_xlfn.XLOOKUP(Assumptions!DP$84, '1 Machine Build'!$F$11:$Q$11, '1 Machine Build'!$F16:$Q16), 0), _xlfn.IFNA(_xlfn.XLOOKUP(Assumptions!DP$85, '1 Machine Build'!$F$11:$Q$11, '1 Machine Build'!$F16:$Q16), 0), _xlfn.IFNA(_xlfn.XLOOKUP(Assumptions!DP$86, '1 Machine Build'!$F$11:$Q$11, '1 Machine Build'!$F16:$Q16), 0), _xlfn.IFNA(_xlfn.XLOOKUP(Assumptions!DP$87, '1 Machine Build'!$F$11:$Q$11, '1 Machine Build'!$F16:$Q16), 0), _xlfn.IFNA(_xlfn.XLOOKUP(Assumptions!DP$88, '1 Machine Build'!$F$11:$Q$11, '1 Machine Build'!$F16:$Q16), 0))</f>
        <v>0</v>
      </c>
      <c r="DS34" s="97">
        <f>SUM(_xlfn.IFNA(_xlfn.XLOOKUP(Assumptions!DQ$81, '1 Machine Build'!$F$11:$Q$11, '1 Machine Build'!$F16:$Q16), 0), _xlfn.IFNA(_xlfn.XLOOKUP(Assumptions!DQ$82, '1 Machine Build'!$F$11:$Q$11, '1 Machine Build'!$F16:$Q16), 0), _xlfn.IFNA(_xlfn.XLOOKUP(Assumptions!DQ$83, '1 Machine Build'!$F$11:$Q$11, '1 Machine Build'!$F16:$Q16), 0), _xlfn.IFNA(_xlfn.XLOOKUP(Assumptions!DQ$84, '1 Machine Build'!$F$11:$Q$11, '1 Machine Build'!$F16:$Q16), 0), _xlfn.IFNA(_xlfn.XLOOKUP(Assumptions!DQ$85, '1 Machine Build'!$F$11:$Q$11, '1 Machine Build'!$F16:$Q16), 0), _xlfn.IFNA(_xlfn.XLOOKUP(Assumptions!DQ$86, '1 Machine Build'!$F$11:$Q$11, '1 Machine Build'!$F16:$Q16), 0), _xlfn.IFNA(_xlfn.XLOOKUP(Assumptions!DQ$87, '1 Machine Build'!$F$11:$Q$11, '1 Machine Build'!$F16:$Q16), 0), _xlfn.IFNA(_xlfn.XLOOKUP(Assumptions!DQ$88, '1 Machine Build'!$F$11:$Q$11, '1 Machine Build'!$F16:$Q16), 0))</f>
        <v>0</v>
      </c>
      <c r="DT34" s="97">
        <f>SUM(_xlfn.IFNA(_xlfn.XLOOKUP(Assumptions!DR$81, '1 Machine Build'!$F$11:$Q$11, '1 Machine Build'!$F16:$Q16), 0), _xlfn.IFNA(_xlfn.XLOOKUP(Assumptions!DR$82, '1 Machine Build'!$F$11:$Q$11, '1 Machine Build'!$F16:$Q16), 0), _xlfn.IFNA(_xlfn.XLOOKUP(Assumptions!DR$83, '1 Machine Build'!$F$11:$Q$11, '1 Machine Build'!$F16:$Q16), 0), _xlfn.IFNA(_xlfn.XLOOKUP(Assumptions!DR$84, '1 Machine Build'!$F$11:$Q$11, '1 Machine Build'!$F16:$Q16), 0), _xlfn.IFNA(_xlfn.XLOOKUP(Assumptions!DR$85, '1 Machine Build'!$F$11:$Q$11, '1 Machine Build'!$F16:$Q16), 0), _xlfn.IFNA(_xlfn.XLOOKUP(Assumptions!DR$86, '1 Machine Build'!$F$11:$Q$11, '1 Machine Build'!$F16:$Q16), 0), _xlfn.IFNA(_xlfn.XLOOKUP(Assumptions!DR$87, '1 Machine Build'!$F$11:$Q$11, '1 Machine Build'!$F16:$Q16), 0), _xlfn.IFNA(_xlfn.XLOOKUP(Assumptions!DR$88, '1 Machine Build'!$F$11:$Q$11, '1 Machine Build'!$F16:$Q16), 0))</f>
        <v>0</v>
      </c>
      <c r="DU34" s="97">
        <f>SUM(_xlfn.IFNA(_xlfn.XLOOKUP(Assumptions!DS$81, '1 Machine Build'!$F$11:$Q$11, '1 Machine Build'!$F16:$Q16), 0), _xlfn.IFNA(_xlfn.XLOOKUP(Assumptions!DS$82, '1 Machine Build'!$F$11:$Q$11, '1 Machine Build'!$F16:$Q16), 0), _xlfn.IFNA(_xlfn.XLOOKUP(Assumptions!DS$83, '1 Machine Build'!$F$11:$Q$11, '1 Machine Build'!$F16:$Q16), 0), _xlfn.IFNA(_xlfn.XLOOKUP(Assumptions!DS$84, '1 Machine Build'!$F$11:$Q$11, '1 Machine Build'!$F16:$Q16), 0), _xlfn.IFNA(_xlfn.XLOOKUP(Assumptions!DS$85, '1 Machine Build'!$F$11:$Q$11, '1 Machine Build'!$F16:$Q16), 0), _xlfn.IFNA(_xlfn.XLOOKUP(Assumptions!DS$86, '1 Machine Build'!$F$11:$Q$11, '1 Machine Build'!$F16:$Q16), 0), _xlfn.IFNA(_xlfn.XLOOKUP(Assumptions!DS$87, '1 Machine Build'!$F$11:$Q$11, '1 Machine Build'!$F16:$Q16), 0), _xlfn.IFNA(_xlfn.XLOOKUP(Assumptions!DS$88, '1 Machine Build'!$F$11:$Q$11, '1 Machine Build'!$F16:$Q16), 0))</f>
        <v>0</v>
      </c>
      <c r="DV34" s="97">
        <f>SUM(_xlfn.IFNA(_xlfn.XLOOKUP(Assumptions!DT$81, '1 Machine Build'!$F$11:$Q$11, '1 Machine Build'!$F16:$Q16), 0), _xlfn.IFNA(_xlfn.XLOOKUP(Assumptions!DT$82, '1 Machine Build'!$F$11:$Q$11, '1 Machine Build'!$F16:$Q16), 0), _xlfn.IFNA(_xlfn.XLOOKUP(Assumptions!DT$83, '1 Machine Build'!$F$11:$Q$11, '1 Machine Build'!$F16:$Q16), 0), _xlfn.IFNA(_xlfn.XLOOKUP(Assumptions!DT$84, '1 Machine Build'!$F$11:$Q$11, '1 Machine Build'!$F16:$Q16), 0), _xlfn.IFNA(_xlfn.XLOOKUP(Assumptions!DT$85, '1 Machine Build'!$F$11:$Q$11, '1 Machine Build'!$F16:$Q16), 0), _xlfn.IFNA(_xlfn.XLOOKUP(Assumptions!DT$86, '1 Machine Build'!$F$11:$Q$11, '1 Machine Build'!$F16:$Q16), 0), _xlfn.IFNA(_xlfn.XLOOKUP(Assumptions!DT$87, '1 Machine Build'!$F$11:$Q$11, '1 Machine Build'!$F16:$Q16), 0), _xlfn.IFNA(_xlfn.XLOOKUP(Assumptions!DT$88, '1 Machine Build'!$F$11:$Q$11, '1 Machine Build'!$F16:$Q16), 0))</f>
        <v>0</v>
      </c>
      <c r="DW34" s="97">
        <f>SUM(_xlfn.IFNA(_xlfn.XLOOKUP(Assumptions!DU$81, '1 Machine Build'!$F$11:$Q$11, '1 Machine Build'!$F16:$Q16), 0), _xlfn.IFNA(_xlfn.XLOOKUP(Assumptions!DU$82, '1 Machine Build'!$F$11:$Q$11, '1 Machine Build'!$F16:$Q16), 0), _xlfn.IFNA(_xlfn.XLOOKUP(Assumptions!DU$83, '1 Machine Build'!$F$11:$Q$11, '1 Machine Build'!$F16:$Q16), 0), _xlfn.IFNA(_xlfn.XLOOKUP(Assumptions!DU$84, '1 Machine Build'!$F$11:$Q$11, '1 Machine Build'!$F16:$Q16), 0), _xlfn.IFNA(_xlfn.XLOOKUP(Assumptions!DU$85, '1 Machine Build'!$F$11:$Q$11, '1 Machine Build'!$F16:$Q16), 0), _xlfn.IFNA(_xlfn.XLOOKUP(Assumptions!DU$86, '1 Machine Build'!$F$11:$Q$11, '1 Machine Build'!$F16:$Q16), 0), _xlfn.IFNA(_xlfn.XLOOKUP(Assumptions!DU$87, '1 Machine Build'!$F$11:$Q$11, '1 Machine Build'!$F16:$Q16), 0), _xlfn.IFNA(_xlfn.XLOOKUP(Assumptions!DU$88, '1 Machine Build'!$F$11:$Q$11, '1 Machine Build'!$F16:$Q16), 0))</f>
        <v>0</v>
      </c>
      <c r="DX34" s="97">
        <f>SUM(_xlfn.IFNA(_xlfn.XLOOKUP(Assumptions!DV$81, '1 Machine Build'!$F$11:$Q$11, '1 Machine Build'!$F16:$Q16), 0), _xlfn.IFNA(_xlfn.XLOOKUP(Assumptions!DV$82, '1 Machine Build'!$F$11:$Q$11, '1 Machine Build'!$F16:$Q16), 0), _xlfn.IFNA(_xlfn.XLOOKUP(Assumptions!DV$83, '1 Machine Build'!$F$11:$Q$11, '1 Machine Build'!$F16:$Q16), 0), _xlfn.IFNA(_xlfn.XLOOKUP(Assumptions!DV$84, '1 Machine Build'!$F$11:$Q$11, '1 Machine Build'!$F16:$Q16), 0), _xlfn.IFNA(_xlfn.XLOOKUP(Assumptions!DV$85, '1 Machine Build'!$F$11:$Q$11, '1 Machine Build'!$F16:$Q16), 0), _xlfn.IFNA(_xlfn.XLOOKUP(Assumptions!DV$86, '1 Machine Build'!$F$11:$Q$11, '1 Machine Build'!$F16:$Q16), 0), _xlfn.IFNA(_xlfn.XLOOKUP(Assumptions!DV$87, '1 Machine Build'!$F$11:$Q$11, '1 Machine Build'!$F16:$Q16), 0), _xlfn.IFNA(_xlfn.XLOOKUP(Assumptions!DV$88, '1 Machine Build'!$F$11:$Q$11, '1 Machine Build'!$F16:$Q16), 0))</f>
        <v>0</v>
      </c>
      <c r="DY34" s="97">
        <f>SUM(_xlfn.IFNA(_xlfn.XLOOKUP(Assumptions!DW$81, '1 Machine Build'!$F$11:$Q$11, '1 Machine Build'!$F16:$Q16), 0), _xlfn.IFNA(_xlfn.XLOOKUP(Assumptions!DW$82, '1 Machine Build'!$F$11:$Q$11, '1 Machine Build'!$F16:$Q16), 0), _xlfn.IFNA(_xlfn.XLOOKUP(Assumptions!DW$83, '1 Machine Build'!$F$11:$Q$11, '1 Machine Build'!$F16:$Q16), 0), _xlfn.IFNA(_xlfn.XLOOKUP(Assumptions!DW$84, '1 Machine Build'!$F$11:$Q$11, '1 Machine Build'!$F16:$Q16), 0), _xlfn.IFNA(_xlfn.XLOOKUP(Assumptions!DW$85, '1 Machine Build'!$F$11:$Q$11, '1 Machine Build'!$F16:$Q16), 0), _xlfn.IFNA(_xlfn.XLOOKUP(Assumptions!DW$86, '1 Machine Build'!$F$11:$Q$11, '1 Machine Build'!$F16:$Q16), 0), _xlfn.IFNA(_xlfn.XLOOKUP(Assumptions!DW$87, '1 Machine Build'!$F$11:$Q$11, '1 Machine Build'!$F16:$Q16), 0), _xlfn.IFNA(_xlfn.XLOOKUP(Assumptions!DW$88, '1 Machine Build'!$F$11:$Q$11, '1 Machine Build'!$F16:$Q16), 0))</f>
        <v>0</v>
      </c>
      <c r="DZ34" s="97">
        <f>SUM(_xlfn.IFNA(_xlfn.XLOOKUP(Assumptions!DX$81, '1 Machine Build'!$F$11:$Q$11, '1 Machine Build'!$F16:$Q16), 0), _xlfn.IFNA(_xlfn.XLOOKUP(Assumptions!DX$82, '1 Machine Build'!$F$11:$Q$11, '1 Machine Build'!$F16:$Q16), 0), _xlfn.IFNA(_xlfn.XLOOKUP(Assumptions!DX$83, '1 Machine Build'!$F$11:$Q$11, '1 Machine Build'!$F16:$Q16), 0), _xlfn.IFNA(_xlfn.XLOOKUP(Assumptions!DX$84, '1 Machine Build'!$F$11:$Q$11, '1 Machine Build'!$F16:$Q16), 0), _xlfn.IFNA(_xlfn.XLOOKUP(Assumptions!DX$85, '1 Machine Build'!$F$11:$Q$11, '1 Machine Build'!$F16:$Q16), 0), _xlfn.IFNA(_xlfn.XLOOKUP(Assumptions!DX$86, '1 Machine Build'!$F$11:$Q$11, '1 Machine Build'!$F16:$Q16), 0), _xlfn.IFNA(_xlfn.XLOOKUP(Assumptions!DX$87, '1 Machine Build'!$F$11:$Q$11, '1 Machine Build'!$F16:$Q16), 0), _xlfn.IFNA(_xlfn.XLOOKUP(Assumptions!DX$88, '1 Machine Build'!$F$11:$Q$11, '1 Machine Build'!$F16:$Q16), 0))</f>
        <v>0</v>
      </c>
      <c r="EA34" s="97">
        <f>SUM(_xlfn.IFNA(_xlfn.XLOOKUP(Assumptions!DY$81, '1 Machine Build'!$F$11:$Q$11, '1 Machine Build'!$F16:$Q16), 0), _xlfn.IFNA(_xlfn.XLOOKUP(Assumptions!DY$82, '1 Machine Build'!$F$11:$Q$11, '1 Machine Build'!$F16:$Q16), 0), _xlfn.IFNA(_xlfn.XLOOKUP(Assumptions!DY$83, '1 Machine Build'!$F$11:$Q$11, '1 Machine Build'!$F16:$Q16), 0), _xlfn.IFNA(_xlfn.XLOOKUP(Assumptions!DY$84, '1 Machine Build'!$F$11:$Q$11, '1 Machine Build'!$F16:$Q16), 0), _xlfn.IFNA(_xlfn.XLOOKUP(Assumptions!DY$85, '1 Machine Build'!$F$11:$Q$11, '1 Machine Build'!$F16:$Q16), 0), _xlfn.IFNA(_xlfn.XLOOKUP(Assumptions!DY$86, '1 Machine Build'!$F$11:$Q$11, '1 Machine Build'!$F16:$Q16), 0), _xlfn.IFNA(_xlfn.XLOOKUP(Assumptions!DY$87, '1 Machine Build'!$F$11:$Q$11, '1 Machine Build'!$F16:$Q16), 0), _xlfn.IFNA(_xlfn.XLOOKUP(Assumptions!DY$88, '1 Machine Build'!$F$11:$Q$11, '1 Machine Build'!$F16:$Q16), 0))</f>
        <v>0</v>
      </c>
      <c r="EB34" s="97">
        <f>SUM(_xlfn.IFNA(_xlfn.XLOOKUP(Assumptions!DZ$81, '1 Machine Build'!$F$11:$Q$11, '1 Machine Build'!$F16:$Q16), 0), _xlfn.IFNA(_xlfn.XLOOKUP(Assumptions!DZ$82, '1 Machine Build'!$F$11:$Q$11, '1 Machine Build'!$F16:$Q16), 0), _xlfn.IFNA(_xlfn.XLOOKUP(Assumptions!DZ$83, '1 Machine Build'!$F$11:$Q$11, '1 Machine Build'!$F16:$Q16), 0), _xlfn.IFNA(_xlfn.XLOOKUP(Assumptions!DZ$84, '1 Machine Build'!$F$11:$Q$11, '1 Machine Build'!$F16:$Q16), 0), _xlfn.IFNA(_xlfn.XLOOKUP(Assumptions!DZ$85, '1 Machine Build'!$F$11:$Q$11, '1 Machine Build'!$F16:$Q16), 0), _xlfn.IFNA(_xlfn.XLOOKUP(Assumptions!DZ$86, '1 Machine Build'!$F$11:$Q$11, '1 Machine Build'!$F16:$Q16), 0), _xlfn.IFNA(_xlfn.XLOOKUP(Assumptions!DZ$87, '1 Machine Build'!$F$11:$Q$11, '1 Machine Build'!$F16:$Q16), 0), _xlfn.IFNA(_xlfn.XLOOKUP(Assumptions!DZ$88, '1 Machine Build'!$F$11:$Q$11, '1 Machine Build'!$F16:$Q16), 0))</f>
        <v>0</v>
      </c>
      <c r="EC34" s="97">
        <f>SUM(_xlfn.IFNA(_xlfn.XLOOKUP(Assumptions!EA$81, '1 Machine Build'!$F$11:$Q$11, '1 Machine Build'!$F16:$Q16), 0), _xlfn.IFNA(_xlfn.XLOOKUP(Assumptions!EA$82, '1 Machine Build'!$F$11:$Q$11, '1 Machine Build'!$F16:$Q16), 0), _xlfn.IFNA(_xlfn.XLOOKUP(Assumptions!EA$83, '1 Machine Build'!$F$11:$Q$11, '1 Machine Build'!$F16:$Q16), 0), _xlfn.IFNA(_xlfn.XLOOKUP(Assumptions!EA$84, '1 Machine Build'!$F$11:$Q$11, '1 Machine Build'!$F16:$Q16), 0), _xlfn.IFNA(_xlfn.XLOOKUP(Assumptions!EA$85, '1 Machine Build'!$F$11:$Q$11, '1 Machine Build'!$F16:$Q16), 0), _xlfn.IFNA(_xlfn.XLOOKUP(Assumptions!EA$86, '1 Machine Build'!$F$11:$Q$11, '1 Machine Build'!$F16:$Q16), 0), _xlfn.IFNA(_xlfn.XLOOKUP(Assumptions!EA$87, '1 Machine Build'!$F$11:$Q$11, '1 Machine Build'!$F16:$Q16), 0), _xlfn.IFNA(_xlfn.XLOOKUP(Assumptions!EA$88, '1 Machine Build'!$F$11:$Q$11, '1 Machine Build'!$F16:$Q16), 0))</f>
        <v>0</v>
      </c>
      <c r="ED34" s="97">
        <f>SUM(_xlfn.IFNA(_xlfn.XLOOKUP(Assumptions!EB$81, '1 Machine Build'!$F$11:$Q$11, '1 Machine Build'!$F16:$Q16), 0), _xlfn.IFNA(_xlfn.XLOOKUP(Assumptions!EB$82, '1 Machine Build'!$F$11:$Q$11, '1 Machine Build'!$F16:$Q16), 0), _xlfn.IFNA(_xlfn.XLOOKUP(Assumptions!EB$83, '1 Machine Build'!$F$11:$Q$11, '1 Machine Build'!$F16:$Q16), 0), _xlfn.IFNA(_xlfn.XLOOKUP(Assumptions!EB$84, '1 Machine Build'!$F$11:$Q$11, '1 Machine Build'!$F16:$Q16), 0), _xlfn.IFNA(_xlfn.XLOOKUP(Assumptions!EB$85, '1 Machine Build'!$F$11:$Q$11, '1 Machine Build'!$F16:$Q16), 0), _xlfn.IFNA(_xlfn.XLOOKUP(Assumptions!EB$86, '1 Machine Build'!$F$11:$Q$11, '1 Machine Build'!$F16:$Q16), 0), _xlfn.IFNA(_xlfn.XLOOKUP(Assumptions!EB$87, '1 Machine Build'!$F$11:$Q$11, '1 Machine Build'!$F16:$Q16), 0), _xlfn.IFNA(_xlfn.XLOOKUP(Assumptions!EB$88, '1 Machine Build'!$F$11:$Q$11, '1 Machine Build'!$F16:$Q16), 0))</f>
        <v>0</v>
      </c>
      <c r="EE34" s="97">
        <f>SUM(_xlfn.IFNA(_xlfn.XLOOKUP(Assumptions!EC$81, '1 Machine Build'!$F$11:$Q$11, '1 Machine Build'!$F16:$Q16), 0), _xlfn.IFNA(_xlfn.XLOOKUP(Assumptions!EC$82, '1 Machine Build'!$F$11:$Q$11, '1 Machine Build'!$F16:$Q16), 0), _xlfn.IFNA(_xlfn.XLOOKUP(Assumptions!EC$83, '1 Machine Build'!$F$11:$Q$11, '1 Machine Build'!$F16:$Q16), 0), _xlfn.IFNA(_xlfn.XLOOKUP(Assumptions!EC$84, '1 Machine Build'!$F$11:$Q$11, '1 Machine Build'!$F16:$Q16), 0), _xlfn.IFNA(_xlfn.XLOOKUP(Assumptions!EC$85, '1 Machine Build'!$F$11:$Q$11, '1 Machine Build'!$F16:$Q16), 0), _xlfn.IFNA(_xlfn.XLOOKUP(Assumptions!EC$86, '1 Machine Build'!$F$11:$Q$11, '1 Machine Build'!$F16:$Q16), 0), _xlfn.IFNA(_xlfn.XLOOKUP(Assumptions!EC$87, '1 Machine Build'!$F$11:$Q$11, '1 Machine Build'!$F16:$Q16), 0), _xlfn.IFNA(_xlfn.XLOOKUP(Assumptions!EC$88, '1 Machine Build'!$F$11:$Q$11, '1 Machine Build'!$F16:$Q16), 0))</f>
        <v>0</v>
      </c>
      <c r="EF34" s="97">
        <f>SUM(_xlfn.IFNA(_xlfn.XLOOKUP(Assumptions!ED$81, '1 Machine Build'!$F$11:$Q$11, '1 Machine Build'!$F16:$Q16), 0), _xlfn.IFNA(_xlfn.XLOOKUP(Assumptions!ED$82, '1 Machine Build'!$F$11:$Q$11, '1 Machine Build'!$F16:$Q16), 0), _xlfn.IFNA(_xlfn.XLOOKUP(Assumptions!ED$83, '1 Machine Build'!$F$11:$Q$11, '1 Machine Build'!$F16:$Q16), 0), _xlfn.IFNA(_xlfn.XLOOKUP(Assumptions!ED$84, '1 Machine Build'!$F$11:$Q$11, '1 Machine Build'!$F16:$Q16), 0), _xlfn.IFNA(_xlfn.XLOOKUP(Assumptions!ED$85, '1 Machine Build'!$F$11:$Q$11, '1 Machine Build'!$F16:$Q16), 0), _xlfn.IFNA(_xlfn.XLOOKUP(Assumptions!ED$86, '1 Machine Build'!$F$11:$Q$11, '1 Machine Build'!$F16:$Q16), 0), _xlfn.IFNA(_xlfn.XLOOKUP(Assumptions!ED$87, '1 Machine Build'!$F$11:$Q$11, '1 Machine Build'!$F16:$Q16), 0), _xlfn.IFNA(_xlfn.XLOOKUP(Assumptions!ED$88, '1 Machine Build'!$F$11:$Q$11, '1 Machine Build'!$F16:$Q16), 0))</f>
        <v>0</v>
      </c>
      <c r="EG34" s="97">
        <f>SUM(_xlfn.IFNA(_xlfn.XLOOKUP(Assumptions!EE$81, '1 Machine Build'!$F$11:$Q$11, '1 Machine Build'!$F16:$Q16), 0), _xlfn.IFNA(_xlfn.XLOOKUP(Assumptions!EE$82, '1 Machine Build'!$F$11:$Q$11, '1 Machine Build'!$F16:$Q16), 0), _xlfn.IFNA(_xlfn.XLOOKUP(Assumptions!EE$83, '1 Machine Build'!$F$11:$Q$11, '1 Machine Build'!$F16:$Q16), 0), _xlfn.IFNA(_xlfn.XLOOKUP(Assumptions!EE$84, '1 Machine Build'!$F$11:$Q$11, '1 Machine Build'!$F16:$Q16), 0), _xlfn.IFNA(_xlfn.XLOOKUP(Assumptions!EE$85, '1 Machine Build'!$F$11:$Q$11, '1 Machine Build'!$F16:$Q16), 0), _xlfn.IFNA(_xlfn.XLOOKUP(Assumptions!EE$86, '1 Machine Build'!$F$11:$Q$11, '1 Machine Build'!$F16:$Q16), 0), _xlfn.IFNA(_xlfn.XLOOKUP(Assumptions!EE$87, '1 Machine Build'!$F$11:$Q$11, '1 Machine Build'!$F16:$Q16), 0), _xlfn.IFNA(_xlfn.XLOOKUP(Assumptions!EE$88, '1 Machine Build'!$F$11:$Q$11, '1 Machine Build'!$F16:$Q16), 0))</f>
        <v>0</v>
      </c>
      <c r="EH34" s="97">
        <f>SUM(_xlfn.IFNA(_xlfn.XLOOKUP(Assumptions!EF$81, '1 Machine Build'!$F$11:$Q$11, '1 Machine Build'!$F16:$Q16), 0), _xlfn.IFNA(_xlfn.XLOOKUP(Assumptions!EF$82, '1 Machine Build'!$F$11:$Q$11, '1 Machine Build'!$F16:$Q16), 0), _xlfn.IFNA(_xlfn.XLOOKUP(Assumptions!EF$83, '1 Machine Build'!$F$11:$Q$11, '1 Machine Build'!$F16:$Q16), 0), _xlfn.IFNA(_xlfn.XLOOKUP(Assumptions!EF$84, '1 Machine Build'!$F$11:$Q$11, '1 Machine Build'!$F16:$Q16), 0), _xlfn.IFNA(_xlfn.XLOOKUP(Assumptions!EF$85, '1 Machine Build'!$F$11:$Q$11, '1 Machine Build'!$F16:$Q16), 0), _xlfn.IFNA(_xlfn.XLOOKUP(Assumptions!EF$86, '1 Machine Build'!$F$11:$Q$11, '1 Machine Build'!$F16:$Q16), 0), _xlfn.IFNA(_xlfn.XLOOKUP(Assumptions!EF$87, '1 Machine Build'!$F$11:$Q$11, '1 Machine Build'!$F16:$Q16), 0), _xlfn.IFNA(_xlfn.XLOOKUP(Assumptions!EF$88, '1 Machine Build'!$F$11:$Q$11, '1 Machine Build'!$F16:$Q16), 0))</f>
        <v>0</v>
      </c>
      <c r="EI34" s="97">
        <f>SUM(_xlfn.IFNA(_xlfn.XLOOKUP(Assumptions!EG$81, '1 Machine Build'!$F$11:$Q$11, '1 Machine Build'!$F16:$Q16), 0), _xlfn.IFNA(_xlfn.XLOOKUP(Assumptions!EG$82, '1 Machine Build'!$F$11:$Q$11, '1 Machine Build'!$F16:$Q16), 0), _xlfn.IFNA(_xlfn.XLOOKUP(Assumptions!EG$83, '1 Machine Build'!$F$11:$Q$11, '1 Machine Build'!$F16:$Q16), 0), _xlfn.IFNA(_xlfn.XLOOKUP(Assumptions!EG$84, '1 Machine Build'!$F$11:$Q$11, '1 Machine Build'!$F16:$Q16), 0), _xlfn.IFNA(_xlfn.XLOOKUP(Assumptions!EG$85, '1 Machine Build'!$F$11:$Q$11, '1 Machine Build'!$F16:$Q16), 0), _xlfn.IFNA(_xlfn.XLOOKUP(Assumptions!EG$86, '1 Machine Build'!$F$11:$Q$11, '1 Machine Build'!$F16:$Q16), 0), _xlfn.IFNA(_xlfn.XLOOKUP(Assumptions!EG$87, '1 Machine Build'!$F$11:$Q$11, '1 Machine Build'!$F16:$Q16), 0), _xlfn.IFNA(_xlfn.XLOOKUP(Assumptions!EG$88, '1 Machine Build'!$F$11:$Q$11, '1 Machine Build'!$F16:$Q16), 0))</f>
        <v>0</v>
      </c>
      <c r="EJ34" s="97">
        <f>SUM(_xlfn.IFNA(_xlfn.XLOOKUP(Assumptions!EH$81, '1 Machine Build'!$F$11:$Q$11, '1 Machine Build'!$F16:$Q16), 0), _xlfn.IFNA(_xlfn.XLOOKUP(Assumptions!EH$82, '1 Machine Build'!$F$11:$Q$11, '1 Machine Build'!$F16:$Q16), 0), _xlfn.IFNA(_xlfn.XLOOKUP(Assumptions!EH$83, '1 Machine Build'!$F$11:$Q$11, '1 Machine Build'!$F16:$Q16), 0), _xlfn.IFNA(_xlfn.XLOOKUP(Assumptions!EH$84, '1 Machine Build'!$F$11:$Q$11, '1 Machine Build'!$F16:$Q16), 0), _xlfn.IFNA(_xlfn.XLOOKUP(Assumptions!EH$85, '1 Machine Build'!$F$11:$Q$11, '1 Machine Build'!$F16:$Q16), 0), _xlfn.IFNA(_xlfn.XLOOKUP(Assumptions!EH$86, '1 Machine Build'!$F$11:$Q$11, '1 Machine Build'!$F16:$Q16), 0), _xlfn.IFNA(_xlfn.XLOOKUP(Assumptions!EH$87, '1 Machine Build'!$F$11:$Q$11, '1 Machine Build'!$F16:$Q16), 0), _xlfn.IFNA(_xlfn.XLOOKUP(Assumptions!EH$88, '1 Machine Build'!$F$11:$Q$11, '1 Machine Build'!$F16:$Q16), 0))</f>
        <v>0</v>
      </c>
      <c r="EK34" s="97">
        <f>SUM(_xlfn.IFNA(_xlfn.XLOOKUP(Assumptions!EI$81, '1 Machine Build'!$F$11:$Q$11, '1 Machine Build'!$F16:$Q16), 0), _xlfn.IFNA(_xlfn.XLOOKUP(Assumptions!EI$82, '1 Machine Build'!$F$11:$Q$11, '1 Machine Build'!$F16:$Q16), 0), _xlfn.IFNA(_xlfn.XLOOKUP(Assumptions!EI$83, '1 Machine Build'!$F$11:$Q$11, '1 Machine Build'!$F16:$Q16), 0), _xlfn.IFNA(_xlfn.XLOOKUP(Assumptions!EI$84, '1 Machine Build'!$F$11:$Q$11, '1 Machine Build'!$F16:$Q16), 0), _xlfn.IFNA(_xlfn.XLOOKUP(Assumptions!EI$85, '1 Machine Build'!$F$11:$Q$11, '1 Machine Build'!$F16:$Q16), 0), _xlfn.IFNA(_xlfn.XLOOKUP(Assumptions!EI$86, '1 Machine Build'!$F$11:$Q$11, '1 Machine Build'!$F16:$Q16), 0), _xlfn.IFNA(_xlfn.XLOOKUP(Assumptions!EI$87, '1 Machine Build'!$F$11:$Q$11, '1 Machine Build'!$F16:$Q16), 0), _xlfn.IFNA(_xlfn.XLOOKUP(Assumptions!EI$88, '1 Machine Build'!$F$11:$Q$11, '1 Machine Build'!$F16:$Q16), 0))</f>
        <v>0</v>
      </c>
      <c r="EL34" s="97">
        <f>SUM(_xlfn.IFNA(_xlfn.XLOOKUP(Assumptions!EJ$81, '1 Machine Build'!$F$11:$Q$11, '1 Machine Build'!$F16:$Q16), 0), _xlfn.IFNA(_xlfn.XLOOKUP(Assumptions!EJ$82, '1 Machine Build'!$F$11:$Q$11, '1 Machine Build'!$F16:$Q16), 0), _xlfn.IFNA(_xlfn.XLOOKUP(Assumptions!EJ$83, '1 Machine Build'!$F$11:$Q$11, '1 Machine Build'!$F16:$Q16), 0), _xlfn.IFNA(_xlfn.XLOOKUP(Assumptions!EJ$84, '1 Machine Build'!$F$11:$Q$11, '1 Machine Build'!$F16:$Q16), 0), _xlfn.IFNA(_xlfn.XLOOKUP(Assumptions!EJ$85, '1 Machine Build'!$F$11:$Q$11, '1 Machine Build'!$F16:$Q16), 0), _xlfn.IFNA(_xlfn.XLOOKUP(Assumptions!EJ$86, '1 Machine Build'!$F$11:$Q$11, '1 Machine Build'!$F16:$Q16), 0), _xlfn.IFNA(_xlfn.XLOOKUP(Assumptions!EJ$87, '1 Machine Build'!$F$11:$Q$11, '1 Machine Build'!$F16:$Q16), 0), _xlfn.IFNA(_xlfn.XLOOKUP(Assumptions!EJ$88, '1 Machine Build'!$F$11:$Q$11, '1 Machine Build'!$F16:$Q16), 0))</f>
        <v>0</v>
      </c>
      <c r="EM34" s="97">
        <f>SUM(_xlfn.IFNA(_xlfn.XLOOKUP(Assumptions!EK$81, '1 Machine Build'!$F$11:$Q$11, '1 Machine Build'!$F16:$Q16), 0), _xlfn.IFNA(_xlfn.XLOOKUP(Assumptions!EK$82, '1 Machine Build'!$F$11:$Q$11, '1 Machine Build'!$F16:$Q16), 0), _xlfn.IFNA(_xlfn.XLOOKUP(Assumptions!EK$83, '1 Machine Build'!$F$11:$Q$11, '1 Machine Build'!$F16:$Q16), 0), _xlfn.IFNA(_xlfn.XLOOKUP(Assumptions!EK$84, '1 Machine Build'!$F$11:$Q$11, '1 Machine Build'!$F16:$Q16), 0), _xlfn.IFNA(_xlfn.XLOOKUP(Assumptions!EK$85, '1 Machine Build'!$F$11:$Q$11, '1 Machine Build'!$F16:$Q16), 0), _xlfn.IFNA(_xlfn.XLOOKUP(Assumptions!EK$86, '1 Machine Build'!$F$11:$Q$11, '1 Machine Build'!$F16:$Q16), 0), _xlfn.IFNA(_xlfn.XLOOKUP(Assumptions!EK$87, '1 Machine Build'!$F$11:$Q$11, '1 Machine Build'!$F16:$Q16), 0), _xlfn.IFNA(_xlfn.XLOOKUP(Assumptions!EK$88, '1 Machine Build'!$F$11:$Q$11, '1 Machine Build'!$F16:$Q16), 0))</f>
        <v>0</v>
      </c>
      <c r="EN34" s="97">
        <f>SUM(_xlfn.IFNA(_xlfn.XLOOKUP(Assumptions!EL$81, '1 Machine Build'!$F$11:$Q$11, '1 Machine Build'!$F16:$Q16), 0), _xlfn.IFNA(_xlfn.XLOOKUP(Assumptions!EL$82, '1 Machine Build'!$F$11:$Q$11, '1 Machine Build'!$F16:$Q16), 0), _xlfn.IFNA(_xlfn.XLOOKUP(Assumptions!EL$83, '1 Machine Build'!$F$11:$Q$11, '1 Machine Build'!$F16:$Q16), 0), _xlfn.IFNA(_xlfn.XLOOKUP(Assumptions!EL$84, '1 Machine Build'!$F$11:$Q$11, '1 Machine Build'!$F16:$Q16), 0), _xlfn.IFNA(_xlfn.XLOOKUP(Assumptions!EL$85, '1 Machine Build'!$F$11:$Q$11, '1 Machine Build'!$F16:$Q16), 0), _xlfn.IFNA(_xlfn.XLOOKUP(Assumptions!EL$86, '1 Machine Build'!$F$11:$Q$11, '1 Machine Build'!$F16:$Q16), 0), _xlfn.IFNA(_xlfn.XLOOKUP(Assumptions!EL$87, '1 Machine Build'!$F$11:$Q$11, '1 Machine Build'!$F16:$Q16), 0), _xlfn.IFNA(_xlfn.XLOOKUP(Assumptions!EL$88, '1 Machine Build'!$F$11:$Q$11, '1 Machine Build'!$F16:$Q16), 0))</f>
        <v>0</v>
      </c>
      <c r="EO34" s="97">
        <f>SUM(_xlfn.IFNA(_xlfn.XLOOKUP(Assumptions!EM$81, '1 Machine Build'!$F$11:$Q$11, '1 Machine Build'!$F16:$Q16), 0), _xlfn.IFNA(_xlfn.XLOOKUP(Assumptions!EM$82, '1 Machine Build'!$F$11:$Q$11, '1 Machine Build'!$F16:$Q16), 0), _xlfn.IFNA(_xlfn.XLOOKUP(Assumptions!EM$83, '1 Machine Build'!$F$11:$Q$11, '1 Machine Build'!$F16:$Q16), 0), _xlfn.IFNA(_xlfn.XLOOKUP(Assumptions!EM$84, '1 Machine Build'!$F$11:$Q$11, '1 Machine Build'!$F16:$Q16), 0), _xlfn.IFNA(_xlfn.XLOOKUP(Assumptions!EM$85, '1 Machine Build'!$F$11:$Q$11, '1 Machine Build'!$F16:$Q16), 0), _xlfn.IFNA(_xlfn.XLOOKUP(Assumptions!EM$86, '1 Machine Build'!$F$11:$Q$11, '1 Machine Build'!$F16:$Q16), 0), _xlfn.IFNA(_xlfn.XLOOKUP(Assumptions!EM$87, '1 Machine Build'!$F$11:$Q$11, '1 Machine Build'!$F16:$Q16), 0), _xlfn.IFNA(_xlfn.XLOOKUP(Assumptions!EM$88, '1 Machine Build'!$F$11:$Q$11, '1 Machine Build'!$F16:$Q16), 0))</f>
        <v>0</v>
      </c>
      <c r="EP34" s="97">
        <f>SUM(_xlfn.IFNA(_xlfn.XLOOKUP(Assumptions!EN$81, '1 Machine Build'!$F$11:$Q$11, '1 Machine Build'!$F16:$Q16), 0), _xlfn.IFNA(_xlfn.XLOOKUP(Assumptions!EN$82, '1 Machine Build'!$F$11:$Q$11, '1 Machine Build'!$F16:$Q16), 0), _xlfn.IFNA(_xlfn.XLOOKUP(Assumptions!EN$83, '1 Machine Build'!$F$11:$Q$11, '1 Machine Build'!$F16:$Q16), 0), _xlfn.IFNA(_xlfn.XLOOKUP(Assumptions!EN$84, '1 Machine Build'!$F$11:$Q$11, '1 Machine Build'!$F16:$Q16), 0), _xlfn.IFNA(_xlfn.XLOOKUP(Assumptions!EN$85, '1 Machine Build'!$F$11:$Q$11, '1 Machine Build'!$F16:$Q16), 0), _xlfn.IFNA(_xlfn.XLOOKUP(Assumptions!EN$86, '1 Machine Build'!$F$11:$Q$11, '1 Machine Build'!$F16:$Q16), 0), _xlfn.IFNA(_xlfn.XLOOKUP(Assumptions!EN$87, '1 Machine Build'!$F$11:$Q$11, '1 Machine Build'!$F16:$Q16), 0), _xlfn.IFNA(_xlfn.XLOOKUP(Assumptions!EN$88, '1 Machine Build'!$F$11:$Q$11, '1 Machine Build'!$F16:$Q16), 0))</f>
        <v>0</v>
      </c>
      <c r="EQ34" s="97">
        <f>SUM(_xlfn.IFNA(_xlfn.XLOOKUP(Assumptions!EO$81, '1 Machine Build'!$F$11:$Q$11, '1 Machine Build'!$F16:$Q16), 0), _xlfn.IFNA(_xlfn.XLOOKUP(Assumptions!EO$82, '1 Machine Build'!$F$11:$Q$11, '1 Machine Build'!$F16:$Q16), 0), _xlfn.IFNA(_xlfn.XLOOKUP(Assumptions!EO$83, '1 Machine Build'!$F$11:$Q$11, '1 Machine Build'!$F16:$Q16), 0), _xlfn.IFNA(_xlfn.XLOOKUP(Assumptions!EO$84, '1 Machine Build'!$F$11:$Q$11, '1 Machine Build'!$F16:$Q16), 0), _xlfn.IFNA(_xlfn.XLOOKUP(Assumptions!EO$85, '1 Machine Build'!$F$11:$Q$11, '1 Machine Build'!$F16:$Q16), 0), _xlfn.IFNA(_xlfn.XLOOKUP(Assumptions!EO$86, '1 Machine Build'!$F$11:$Q$11, '1 Machine Build'!$F16:$Q16), 0), _xlfn.IFNA(_xlfn.XLOOKUP(Assumptions!EO$87, '1 Machine Build'!$F$11:$Q$11, '1 Machine Build'!$F16:$Q16), 0), _xlfn.IFNA(_xlfn.XLOOKUP(Assumptions!EO$88, '1 Machine Build'!$F$11:$Q$11, '1 Machine Build'!$F16:$Q16), 0))</f>
        <v>0</v>
      </c>
      <c r="ER34" s="97">
        <f>SUM(_xlfn.IFNA(_xlfn.XLOOKUP(Assumptions!EP$81, '1 Machine Build'!$F$11:$Q$11, '1 Machine Build'!$F16:$Q16), 0), _xlfn.IFNA(_xlfn.XLOOKUP(Assumptions!EP$82, '1 Machine Build'!$F$11:$Q$11, '1 Machine Build'!$F16:$Q16), 0), _xlfn.IFNA(_xlfn.XLOOKUP(Assumptions!EP$83, '1 Machine Build'!$F$11:$Q$11, '1 Machine Build'!$F16:$Q16), 0), _xlfn.IFNA(_xlfn.XLOOKUP(Assumptions!EP$84, '1 Machine Build'!$F$11:$Q$11, '1 Machine Build'!$F16:$Q16), 0), _xlfn.IFNA(_xlfn.XLOOKUP(Assumptions!EP$85, '1 Machine Build'!$F$11:$Q$11, '1 Machine Build'!$F16:$Q16), 0), _xlfn.IFNA(_xlfn.XLOOKUP(Assumptions!EP$86, '1 Machine Build'!$F$11:$Q$11, '1 Machine Build'!$F16:$Q16), 0), _xlfn.IFNA(_xlfn.XLOOKUP(Assumptions!EP$87, '1 Machine Build'!$F$11:$Q$11, '1 Machine Build'!$F16:$Q16), 0), _xlfn.IFNA(_xlfn.XLOOKUP(Assumptions!EP$88, '1 Machine Build'!$F$11:$Q$11, '1 Machine Build'!$F16:$Q16), 0))</f>
        <v>0</v>
      </c>
      <c r="ES34" s="97">
        <f>SUM(_xlfn.IFNA(_xlfn.XLOOKUP(Assumptions!EQ$81, '1 Machine Build'!$F$11:$Q$11, '1 Machine Build'!$F16:$Q16), 0), _xlfn.IFNA(_xlfn.XLOOKUP(Assumptions!EQ$82, '1 Machine Build'!$F$11:$Q$11, '1 Machine Build'!$F16:$Q16), 0), _xlfn.IFNA(_xlfn.XLOOKUP(Assumptions!EQ$83, '1 Machine Build'!$F$11:$Q$11, '1 Machine Build'!$F16:$Q16), 0), _xlfn.IFNA(_xlfn.XLOOKUP(Assumptions!EQ$84, '1 Machine Build'!$F$11:$Q$11, '1 Machine Build'!$F16:$Q16), 0), _xlfn.IFNA(_xlfn.XLOOKUP(Assumptions!EQ$85, '1 Machine Build'!$F$11:$Q$11, '1 Machine Build'!$F16:$Q16), 0), _xlfn.IFNA(_xlfn.XLOOKUP(Assumptions!EQ$86, '1 Machine Build'!$F$11:$Q$11, '1 Machine Build'!$F16:$Q16), 0), _xlfn.IFNA(_xlfn.XLOOKUP(Assumptions!EQ$87, '1 Machine Build'!$F$11:$Q$11, '1 Machine Build'!$F16:$Q16), 0), _xlfn.IFNA(_xlfn.XLOOKUP(Assumptions!EQ$88, '1 Machine Build'!$F$11:$Q$11, '1 Machine Build'!$F16:$Q16), 0))</f>
        <v>0</v>
      </c>
      <c r="ET34" s="97">
        <f>SUM(_xlfn.IFNA(_xlfn.XLOOKUP(Assumptions!ER$81, '1 Machine Build'!$F$11:$Q$11, '1 Machine Build'!$F16:$Q16), 0), _xlfn.IFNA(_xlfn.XLOOKUP(Assumptions!ER$82, '1 Machine Build'!$F$11:$Q$11, '1 Machine Build'!$F16:$Q16), 0), _xlfn.IFNA(_xlfn.XLOOKUP(Assumptions!ER$83, '1 Machine Build'!$F$11:$Q$11, '1 Machine Build'!$F16:$Q16), 0), _xlfn.IFNA(_xlfn.XLOOKUP(Assumptions!ER$84, '1 Machine Build'!$F$11:$Q$11, '1 Machine Build'!$F16:$Q16), 0), _xlfn.IFNA(_xlfn.XLOOKUP(Assumptions!ER$85, '1 Machine Build'!$F$11:$Q$11, '1 Machine Build'!$F16:$Q16), 0), _xlfn.IFNA(_xlfn.XLOOKUP(Assumptions!ER$86, '1 Machine Build'!$F$11:$Q$11, '1 Machine Build'!$F16:$Q16), 0), _xlfn.IFNA(_xlfn.XLOOKUP(Assumptions!ER$87, '1 Machine Build'!$F$11:$Q$11, '1 Machine Build'!$F16:$Q16), 0), _xlfn.IFNA(_xlfn.XLOOKUP(Assumptions!ER$88, '1 Machine Build'!$F$11:$Q$11, '1 Machine Build'!$F16:$Q16), 0))</f>
        <v>0</v>
      </c>
      <c r="EU34" s="97">
        <f>SUM(_xlfn.IFNA(_xlfn.XLOOKUP(Assumptions!ES$81, '1 Machine Build'!$F$11:$Q$11, '1 Machine Build'!$F16:$Q16), 0), _xlfn.IFNA(_xlfn.XLOOKUP(Assumptions!ES$82, '1 Machine Build'!$F$11:$Q$11, '1 Machine Build'!$F16:$Q16), 0), _xlfn.IFNA(_xlfn.XLOOKUP(Assumptions!ES$83, '1 Machine Build'!$F$11:$Q$11, '1 Machine Build'!$F16:$Q16), 0), _xlfn.IFNA(_xlfn.XLOOKUP(Assumptions!ES$84, '1 Machine Build'!$F$11:$Q$11, '1 Machine Build'!$F16:$Q16), 0), _xlfn.IFNA(_xlfn.XLOOKUP(Assumptions!ES$85, '1 Machine Build'!$F$11:$Q$11, '1 Machine Build'!$F16:$Q16), 0), _xlfn.IFNA(_xlfn.XLOOKUP(Assumptions!ES$86, '1 Machine Build'!$F$11:$Q$11, '1 Machine Build'!$F16:$Q16), 0), _xlfn.IFNA(_xlfn.XLOOKUP(Assumptions!ES$87, '1 Machine Build'!$F$11:$Q$11, '1 Machine Build'!$F16:$Q16), 0), _xlfn.IFNA(_xlfn.XLOOKUP(Assumptions!ES$88, '1 Machine Build'!$F$11:$Q$11, '1 Machine Build'!$F16:$Q16), 0))</f>
        <v>0</v>
      </c>
      <c r="EV34" s="97">
        <f>SUM(_xlfn.IFNA(_xlfn.XLOOKUP(Assumptions!ET$81, '1 Machine Build'!$F$11:$Q$11, '1 Machine Build'!$F16:$Q16), 0), _xlfn.IFNA(_xlfn.XLOOKUP(Assumptions!ET$82, '1 Machine Build'!$F$11:$Q$11, '1 Machine Build'!$F16:$Q16), 0), _xlfn.IFNA(_xlfn.XLOOKUP(Assumptions!ET$83, '1 Machine Build'!$F$11:$Q$11, '1 Machine Build'!$F16:$Q16), 0), _xlfn.IFNA(_xlfn.XLOOKUP(Assumptions!ET$84, '1 Machine Build'!$F$11:$Q$11, '1 Machine Build'!$F16:$Q16), 0), _xlfn.IFNA(_xlfn.XLOOKUP(Assumptions!ET$85, '1 Machine Build'!$F$11:$Q$11, '1 Machine Build'!$F16:$Q16), 0), _xlfn.IFNA(_xlfn.XLOOKUP(Assumptions!ET$86, '1 Machine Build'!$F$11:$Q$11, '1 Machine Build'!$F16:$Q16), 0), _xlfn.IFNA(_xlfn.XLOOKUP(Assumptions!ET$87, '1 Machine Build'!$F$11:$Q$11, '1 Machine Build'!$F16:$Q16), 0), _xlfn.IFNA(_xlfn.XLOOKUP(Assumptions!ET$88, '1 Machine Build'!$F$11:$Q$11, '1 Machine Build'!$F16:$Q16), 0))</f>
        <v>0</v>
      </c>
      <c r="EW34" s="97">
        <f>SUM(_xlfn.IFNA(_xlfn.XLOOKUP(Assumptions!EU$81, '1 Machine Build'!$F$11:$Q$11, '1 Machine Build'!$F16:$Q16), 0), _xlfn.IFNA(_xlfn.XLOOKUP(Assumptions!EU$82, '1 Machine Build'!$F$11:$Q$11, '1 Machine Build'!$F16:$Q16), 0), _xlfn.IFNA(_xlfn.XLOOKUP(Assumptions!EU$83, '1 Machine Build'!$F$11:$Q$11, '1 Machine Build'!$F16:$Q16), 0), _xlfn.IFNA(_xlfn.XLOOKUP(Assumptions!EU$84, '1 Machine Build'!$F$11:$Q$11, '1 Machine Build'!$F16:$Q16), 0), _xlfn.IFNA(_xlfn.XLOOKUP(Assumptions!EU$85, '1 Machine Build'!$F$11:$Q$11, '1 Machine Build'!$F16:$Q16), 0), _xlfn.IFNA(_xlfn.XLOOKUP(Assumptions!EU$86, '1 Machine Build'!$F$11:$Q$11, '1 Machine Build'!$F16:$Q16), 0), _xlfn.IFNA(_xlfn.XLOOKUP(Assumptions!EU$87, '1 Machine Build'!$F$11:$Q$11, '1 Machine Build'!$F16:$Q16), 0), _xlfn.IFNA(_xlfn.XLOOKUP(Assumptions!EU$88, '1 Machine Build'!$F$11:$Q$11, '1 Machine Build'!$F16:$Q16), 0))</f>
        <v>0</v>
      </c>
      <c r="EX34" s="97">
        <f>SUM(_xlfn.IFNA(_xlfn.XLOOKUP(Assumptions!EV$81, '1 Machine Build'!$F$11:$Q$11, '1 Machine Build'!$F16:$Q16), 0), _xlfn.IFNA(_xlfn.XLOOKUP(Assumptions!EV$82, '1 Machine Build'!$F$11:$Q$11, '1 Machine Build'!$F16:$Q16), 0), _xlfn.IFNA(_xlfn.XLOOKUP(Assumptions!EV$83, '1 Machine Build'!$F$11:$Q$11, '1 Machine Build'!$F16:$Q16), 0), _xlfn.IFNA(_xlfn.XLOOKUP(Assumptions!EV$84, '1 Machine Build'!$F$11:$Q$11, '1 Machine Build'!$F16:$Q16), 0), _xlfn.IFNA(_xlfn.XLOOKUP(Assumptions!EV$85, '1 Machine Build'!$F$11:$Q$11, '1 Machine Build'!$F16:$Q16), 0), _xlfn.IFNA(_xlfn.XLOOKUP(Assumptions!EV$86, '1 Machine Build'!$F$11:$Q$11, '1 Machine Build'!$F16:$Q16), 0), _xlfn.IFNA(_xlfn.XLOOKUP(Assumptions!EV$87, '1 Machine Build'!$F$11:$Q$11, '1 Machine Build'!$F16:$Q16), 0), _xlfn.IFNA(_xlfn.XLOOKUP(Assumptions!EV$88, '1 Machine Build'!$F$11:$Q$11, '1 Machine Build'!$F16:$Q16), 0))</f>
        <v>0</v>
      </c>
      <c r="EY34" s="97">
        <f>SUM(_xlfn.IFNA(_xlfn.XLOOKUP(Assumptions!EW$81, '1 Machine Build'!$F$11:$Q$11, '1 Machine Build'!$F16:$Q16), 0), _xlfn.IFNA(_xlfn.XLOOKUP(Assumptions!EW$82, '1 Machine Build'!$F$11:$Q$11, '1 Machine Build'!$F16:$Q16), 0), _xlfn.IFNA(_xlfn.XLOOKUP(Assumptions!EW$83, '1 Machine Build'!$F$11:$Q$11, '1 Machine Build'!$F16:$Q16), 0), _xlfn.IFNA(_xlfn.XLOOKUP(Assumptions!EW$84, '1 Machine Build'!$F$11:$Q$11, '1 Machine Build'!$F16:$Q16), 0), _xlfn.IFNA(_xlfn.XLOOKUP(Assumptions!EW$85, '1 Machine Build'!$F$11:$Q$11, '1 Machine Build'!$F16:$Q16), 0), _xlfn.IFNA(_xlfn.XLOOKUP(Assumptions!EW$86, '1 Machine Build'!$F$11:$Q$11, '1 Machine Build'!$F16:$Q16), 0), _xlfn.IFNA(_xlfn.XLOOKUP(Assumptions!EW$87, '1 Machine Build'!$F$11:$Q$11, '1 Machine Build'!$F16:$Q16), 0), _xlfn.IFNA(_xlfn.XLOOKUP(Assumptions!EW$88, '1 Machine Build'!$F$11:$Q$11, '1 Machine Build'!$F16:$Q16), 0))</f>
        <v>0</v>
      </c>
      <c r="EZ34" s="97">
        <f>SUM(_xlfn.IFNA(_xlfn.XLOOKUP(Assumptions!EX$81, '1 Machine Build'!$F$11:$Q$11, '1 Machine Build'!$F16:$Q16), 0), _xlfn.IFNA(_xlfn.XLOOKUP(Assumptions!EX$82, '1 Machine Build'!$F$11:$Q$11, '1 Machine Build'!$F16:$Q16), 0), _xlfn.IFNA(_xlfn.XLOOKUP(Assumptions!EX$83, '1 Machine Build'!$F$11:$Q$11, '1 Machine Build'!$F16:$Q16), 0), _xlfn.IFNA(_xlfn.XLOOKUP(Assumptions!EX$84, '1 Machine Build'!$F$11:$Q$11, '1 Machine Build'!$F16:$Q16), 0), _xlfn.IFNA(_xlfn.XLOOKUP(Assumptions!EX$85, '1 Machine Build'!$F$11:$Q$11, '1 Machine Build'!$F16:$Q16), 0), _xlfn.IFNA(_xlfn.XLOOKUP(Assumptions!EX$86, '1 Machine Build'!$F$11:$Q$11, '1 Machine Build'!$F16:$Q16), 0), _xlfn.IFNA(_xlfn.XLOOKUP(Assumptions!EX$87, '1 Machine Build'!$F$11:$Q$11, '1 Machine Build'!$F16:$Q16), 0), _xlfn.IFNA(_xlfn.XLOOKUP(Assumptions!EX$88, '1 Machine Build'!$F$11:$Q$11, '1 Machine Build'!$F16:$Q16), 0))</f>
        <v>0</v>
      </c>
      <c r="FA34" s="97">
        <f>SUM(_xlfn.IFNA(_xlfn.XLOOKUP(Assumptions!EY$81, '1 Machine Build'!$F$11:$Q$11, '1 Machine Build'!$F16:$Q16), 0), _xlfn.IFNA(_xlfn.XLOOKUP(Assumptions!EY$82, '1 Machine Build'!$F$11:$Q$11, '1 Machine Build'!$F16:$Q16), 0), _xlfn.IFNA(_xlfn.XLOOKUP(Assumptions!EY$83, '1 Machine Build'!$F$11:$Q$11, '1 Machine Build'!$F16:$Q16), 0), _xlfn.IFNA(_xlfn.XLOOKUP(Assumptions!EY$84, '1 Machine Build'!$F$11:$Q$11, '1 Machine Build'!$F16:$Q16), 0), _xlfn.IFNA(_xlfn.XLOOKUP(Assumptions!EY$85, '1 Machine Build'!$F$11:$Q$11, '1 Machine Build'!$F16:$Q16), 0), _xlfn.IFNA(_xlfn.XLOOKUP(Assumptions!EY$86, '1 Machine Build'!$F$11:$Q$11, '1 Machine Build'!$F16:$Q16), 0), _xlfn.IFNA(_xlfn.XLOOKUP(Assumptions!EY$87, '1 Machine Build'!$F$11:$Q$11, '1 Machine Build'!$F16:$Q16), 0), _xlfn.IFNA(_xlfn.XLOOKUP(Assumptions!EY$88, '1 Machine Build'!$F$11:$Q$11, '1 Machine Build'!$F16:$Q16), 0))</f>
        <v>0</v>
      </c>
      <c r="FB34" s="97">
        <f>SUM(_xlfn.IFNA(_xlfn.XLOOKUP(Assumptions!EZ$81, '1 Machine Build'!$F$11:$Q$11, '1 Machine Build'!$F16:$Q16), 0), _xlfn.IFNA(_xlfn.XLOOKUP(Assumptions!EZ$82, '1 Machine Build'!$F$11:$Q$11, '1 Machine Build'!$F16:$Q16), 0), _xlfn.IFNA(_xlfn.XLOOKUP(Assumptions!EZ$83, '1 Machine Build'!$F$11:$Q$11, '1 Machine Build'!$F16:$Q16), 0), _xlfn.IFNA(_xlfn.XLOOKUP(Assumptions!EZ$84, '1 Machine Build'!$F$11:$Q$11, '1 Machine Build'!$F16:$Q16), 0), _xlfn.IFNA(_xlfn.XLOOKUP(Assumptions!EZ$85, '1 Machine Build'!$F$11:$Q$11, '1 Machine Build'!$F16:$Q16), 0), _xlfn.IFNA(_xlfn.XLOOKUP(Assumptions!EZ$86, '1 Machine Build'!$F$11:$Q$11, '1 Machine Build'!$F16:$Q16), 0), _xlfn.IFNA(_xlfn.XLOOKUP(Assumptions!EZ$87, '1 Machine Build'!$F$11:$Q$11, '1 Machine Build'!$F16:$Q16), 0), _xlfn.IFNA(_xlfn.XLOOKUP(Assumptions!EZ$88, '1 Machine Build'!$F$11:$Q$11, '1 Machine Build'!$F16:$Q16), 0))</f>
        <v>0</v>
      </c>
      <c r="FC34" s="97">
        <f>SUM(_xlfn.IFNA(_xlfn.XLOOKUP(Assumptions!FA$81, '1 Machine Build'!$F$11:$Q$11, '1 Machine Build'!$F16:$Q16), 0), _xlfn.IFNA(_xlfn.XLOOKUP(Assumptions!FA$82, '1 Machine Build'!$F$11:$Q$11, '1 Machine Build'!$F16:$Q16), 0), _xlfn.IFNA(_xlfn.XLOOKUP(Assumptions!FA$83, '1 Machine Build'!$F$11:$Q$11, '1 Machine Build'!$F16:$Q16), 0), _xlfn.IFNA(_xlfn.XLOOKUP(Assumptions!FA$84, '1 Machine Build'!$F$11:$Q$11, '1 Machine Build'!$F16:$Q16), 0), _xlfn.IFNA(_xlfn.XLOOKUP(Assumptions!FA$85, '1 Machine Build'!$F$11:$Q$11, '1 Machine Build'!$F16:$Q16), 0), _xlfn.IFNA(_xlfn.XLOOKUP(Assumptions!FA$86, '1 Machine Build'!$F$11:$Q$11, '1 Machine Build'!$F16:$Q16), 0), _xlfn.IFNA(_xlfn.XLOOKUP(Assumptions!FA$87, '1 Machine Build'!$F$11:$Q$11, '1 Machine Build'!$F16:$Q16), 0), _xlfn.IFNA(_xlfn.XLOOKUP(Assumptions!FA$88, '1 Machine Build'!$F$11:$Q$11, '1 Machine Build'!$F16:$Q16), 0))</f>
        <v>0</v>
      </c>
      <c r="FD34" s="97">
        <f>SUM(_xlfn.IFNA(_xlfn.XLOOKUP(Assumptions!FB$81, '1 Machine Build'!$F$11:$Q$11, '1 Machine Build'!$F16:$Q16), 0), _xlfn.IFNA(_xlfn.XLOOKUP(Assumptions!FB$82, '1 Machine Build'!$F$11:$Q$11, '1 Machine Build'!$F16:$Q16), 0), _xlfn.IFNA(_xlfn.XLOOKUP(Assumptions!FB$83, '1 Machine Build'!$F$11:$Q$11, '1 Machine Build'!$F16:$Q16), 0), _xlfn.IFNA(_xlfn.XLOOKUP(Assumptions!FB$84, '1 Machine Build'!$F$11:$Q$11, '1 Machine Build'!$F16:$Q16), 0), _xlfn.IFNA(_xlfn.XLOOKUP(Assumptions!FB$85, '1 Machine Build'!$F$11:$Q$11, '1 Machine Build'!$F16:$Q16), 0), _xlfn.IFNA(_xlfn.XLOOKUP(Assumptions!FB$86, '1 Machine Build'!$F$11:$Q$11, '1 Machine Build'!$F16:$Q16), 0), _xlfn.IFNA(_xlfn.XLOOKUP(Assumptions!FB$87, '1 Machine Build'!$F$11:$Q$11, '1 Machine Build'!$F16:$Q16), 0), _xlfn.IFNA(_xlfn.XLOOKUP(Assumptions!FB$88, '1 Machine Build'!$F$11:$Q$11, '1 Machine Build'!$F16:$Q16), 0))</f>
        <v>0</v>
      </c>
      <c r="FE34" s="97">
        <f>SUM(_xlfn.IFNA(_xlfn.XLOOKUP(Assumptions!FC$81, '1 Machine Build'!$F$11:$Q$11, '1 Machine Build'!$F16:$Q16), 0), _xlfn.IFNA(_xlfn.XLOOKUP(Assumptions!FC$82, '1 Machine Build'!$F$11:$Q$11, '1 Machine Build'!$F16:$Q16), 0), _xlfn.IFNA(_xlfn.XLOOKUP(Assumptions!FC$83, '1 Machine Build'!$F$11:$Q$11, '1 Machine Build'!$F16:$Q16), 0), _xlfn.IFNA(_xlfn.XLOOKUP(Assumptions!FC$84, '1 Machine Build'!$F$11:$Q$11, '1 Machine Build'!$F16:$Q16), 0), _xlfn.IFNA(_xlfn.XLOOKUP(Assumptions!FC$85, '1 Machine Build'!$F$11:$Q$11, '1 Machine Build'!$F16:$Q16), 0), _xlfn.IFNA(_xlfn.XLOOKUP(Assumptions!FC$86, '1 Machine Build'!$F$11:$Q$11, '1 Machine Build'!$F16:$Q16), 0), _xlfn.IFNA(_xlfn.XLOOKUP(Assumptions!FC$87, '1 Machine Build'!$F$11:$Q$11, '1 Machine Build'!$F16:$Q16), 0), _xlfn.IFNA(_xlfn.XLOOKUP(Assumptions!FC$88, '1 Machine Build'!$F$11:$Q$11, '1 Machine Build'!$F16:$Q16), 0))</f>
        <v>0</v>
      </c>
      <c r="FF34" s="97">
        <f>SUM(_xlfn.IFNA(_xlfn.XLOOKUP(Assumptions!FD$81, '1 Machine Build'!$F$11:$Q$11, '1 Machine Build'!$F16:$Q16), 0), _xlfn.IFNA(_xlfn.XLOOKUP(Assumptions!FD$82, '1 Machine Build'!$F$11:$Q$11, '1 Machine Build'!$F16:$Q16), 0), _xlfn.IFNA(_xlfn.XLOOKUP(Assumptions!FD$83, '1 Machine Build'!$F$11:$Q$11, '1 Machine Build'!$F16:$Q16), 0), _xlfn.IFNA(_xlfn.XLOOKUP(Assumptions!FD$84, '1 Machine Build'!$F$11:$Q$11, '1 Machine Build'!$F16:$Q16), 0), _xlfn.IFNA(_xlfn.XLOOKUP(Assumptions!FD$85, '1 Machine Build'!$F$11:$Q$11, '1 Machine Build'!$F16:$Q16), 0), _xlfn.IFNA(_xlfn.XLOOKUP(Assumptions!FD$86, '1 Machine Build'!$F$11:$Q$11, '1 Machine Build'!$F16:$Q16), 0), _xlfn.IFNA(_xlfn.XLOOKUP(Assumptions!FD$87, '1 Machine Build'!$F$11:$Q$11, '1 Machine Build'!$F16:$Q16), 0), _xlfn.IFNA(_xlfn.XLOOKUP(Assumptions!FD$88, '1 Machine Build'!$F$11:$Q$11, '1 Machine Build'!$F16:$Q16), 0))</f>
        <v>0</v>
      </c>
      <c r="FG34" s="97">
        <f>SUM(_xlfn.IFNA(_xlfn.XLOOKUP(Assumptions!FE$81, '1 Machine Build'!$F$11:$Q$11, '1 Machine Build'!$F16:$Q16), 0), _xlfn.IFNA(_xlfn.XLOOKUP(Assumptions!FE$82, '1 Machine Build'!$F$11:$Q$11, '1 Machine Build'!$F16:$Q16), 0), _xlfn.IFNA(_xlfn.XLOOKUP(Assumptions!FE$83, '1 Machine Build'!$F$11:$Q$11, '1 Machine Build'!$F16:$Q16), 0), _xlfn.IFNA(_xlfn.XLOOKUP(Assumptions!FE$84, '1 Machine Build'!$F$11:$Q$11, '1 Machine Build'!$F16:$Q16), 0), _xlfn.IFNA(_xlfn.XLOOKUP(Assumptions!FE$85, '1 Machine Build'!$F$11:$Q$11, '1 Machine Build'!$F16:$Q16), 0), _xlfn.IFNA(_xlfn.XLOOKUP(Assumptions!FE$86, '1 Machine Build'!$F$11:$Q$11, '1 Machine Build'!$F16:$Q16), 0), _xlfn.IFNA(_xlfn.XLOOKUP(Assumptions!FE$87, '1 Machine Build'!$F$11:$Q$11, '1 Machine Build'!$F16:$Q16), 0), _xlfn.IFNA(_xlfn.XLOOKUP(Assumptions!FE$88, '1 Machine Build'!$F$11:$Q$11, '1 Machine Build'!$F16:$Q16), 0))</f>
        <v>0</v>
      </c>
      <c r="FH34" s="97">
        <f>SUM(_xlfn.IFNA(_xlfn.XLOOKUP(Assumptions!FF$81, '1 Machine Build'!$F$11:$Q$11, '1 Machine Build'!$F16:$Q16), 0), _xlfn.IFNA(_xlfn.XLOOKUP(Assumptions!FF$82, '1 Machine Build'!$F$11:$Q$11, '1 Machine Build'!$F16:$Q16), 0), _xlfn.IFNA(_xlfn.XLOOKUP(Assumptions!FF$83, '1 Machine Build'!$F$11:$Q$11, '1 Machine Build'!$F16:$Q16), 0), _xlfn.IFNA(_xlfn.XLOOKUP(Assumptions!FF$84, '1 Machine Build'!$F$11:$Q$11, '1 Machine Build'!$F16:$Q16), 0), _xlfn.IFNA(_xlfn.XLOOKUP(Assumptions!FF$85, '1 Machine Build'!$F$11:$Q$11, '1 Machine Build'!$F16:$Q16), 0), _xlfn.IFNA(_xlfn.XLOOKUP(Assumptions!FF$86, '1 Machine Build'!$F$11:$Q$11, '1 Machine Build'!$F16:$Q16), 0), _xlfn.IFNA(_xlfn.XLOOKUP(Assumptions!FF$87, '1 Machine Build'!$F$11:$Q$11, '1 Machine Build'!$F16:$Q16), 0), _xlfn.IFNA(_xlfn.XLOOKUP(Assumptions!FF$88, '1 Machine Build'!$F$11:$Q$11, '1 Machine Build'!$F16:$Q16), 0))</f>
        <v>0</v>
      </c>
      <c r="FI34" s="97">
        <f>SUM(_xlfn.IFNA(_xlfn.XLOOKUP(Assumptions!FG$81, '1 Machine Build'!$F$11:$Q$11, '1 Machine Build'!$F16:$Q16), 0), _xlfn.IFNA(_xlfn.XLOOKUP(Assumptions!FG$82, '1 Machine Build'!$F$11:$Q$11, '1 Machine Build'!$F16:$Q16), 0), _xlfn.IFNA(_xlfn.XLOOKUP(Assumptions!FG$83, '1 Machine Build'!$F$11:$Q$11, '1 Machine Build'!$F16:$Q16), 0), _xlfn.IFNA(_xlfn.XLOOKUP(Assumptions!FG$84, '1 Machine Build'!$F$11:$Q$11, '1 Machine Build'!$F16:$Q16), 0), _xlfn.IFNA(_xlfn.XLOOKUP(Assumptions!FG$85, '1 Machine Build'!$F$11:$Q$11, '1 Machine Build'!$F16:$Q16), 0), _xlfn.IFNA(_xlfn.XLOOKUP(Assumptions!FG$86, '1 Machine Build'!$F$11:$Q$11, '1 Machine Build'!$F16:$Q16), 0), _xlfn.IFNA(_xlfn.XLOOKUP(Assumptions!FG$87, '1 Machine Build'!$F$11:$Q$11, '1 Machine Build'!$F16:$Q16), 0), _xlfn.IFNA(_xlfn.XLOOKUP(Assumptions!FG$88, '1 Machine Build'!$F$11:$Q$11, '1 Machine Build'!$F16:$Q16), 0))</f>
        <v>0</v>
      </c>
      <c r="FJ34" s="97">
        <f>SUM(_xlfn.IFNA(_xlfn.XLOOKUP(Assumptions!FH$81, '1 Machine Build'!$F$11:$Q$11, '1 Machine Build'!$F16:$Q16), 0), _xlfn.IFNA(_xlfn.XLOOKUP(Assumptions!FH$82, '1 Machine Build'!$F$11:$Q$11, '1 Machine Build'!$F16:$Q16), 0), _xlfn.IFNA(_xlfn.XLOOKUP(Assumptions!FH$83, '1 Machine Build'!$F$11:$Q$11, '1 Machine Build'!$F16:$Q16), 0), _xlfn.IFNA(_xlfn.XLOOKUP(Assumptions!FH$84, '1 Machine Build'!$F$11:$Q$11, '1 Machine Build'!$F16:$Q16), 0), _xlfn.IFNA(_xlfn.XLOOKUP(Assumptions!FH$85, '1 Machine Build'!$F$11:$Q$11, '1 Machine Build'!$F16:$Q16), 0), _xlfn.IFNA(_xlfn.XLOOKUP(Assumptions!FH$86, '1 Machine Build'!$F$11:$Q$11, '1 Machine Build'!$F16:$Q16), 0), _xlfn.IFNA(_xlfn.XLOOKUP(Assumptions!FH$87, '1 Machine Build'!$F$11:$Q$11, '1 Machine Build'!$F16:$Q16), 0), _xlfn.IFNA(_xlfn.XLOOKUP(Assumptions!FH$88, '1 Machine Build'!$F$11:$Q$11, '1 Machine Build'!$F16:$Q16), 0))</f>
        <v>0</v>
      </c>
      <c r="FK34" s="97">
        <f>SUM(_xlfn.IFNA(_xlfn.XLOOKUP(Assumptions!FI$81, '1 Machine Build'!$F$11:$Q$11, '1 Machine Build'!$F16:$Q16), 0), _xlfn.IFNA(_xlfn.XLOOKUP(Assumptions!FI$82, '1 Machine Build'!$F$11:$Q$11, '1 Machine Build'!$F16:$Q16), 0), _xlfn.IFNA(_xlfn.XLOOKUP(Assumptions!FI$83, '1 Machine Build'!$F$11:$Q$11, '1 Machine Build'!$F16:$Q16), 0), _xlfn.IFNA(_xlfn.XLOOKUP(Assumptions!FI$84, '1 Machine Build'!$F$11:$Q$11, '1 Machine Build'!$F16:$Q16), 0), _xlfn.IFNA(_xlfn.XLOOKUP(Assumptions!FI$85, '1 Machine Build'!$F$11:$Q$11, '1 Machine Build'!$F16:$Q16), 0), _xlfn.IFNA(_xlfn.XLOOKUP(Assumptions!FI$86, '1 Machine Build'!$F$11:$Q$11, '1 Machine Build'!$F16:$Q16), 0), _xlfn.IFNA(_xlfn.XLOOKUP(Assumptions!FI$87, '1 Machine Build'!$F$11:$Q$11, '1 Machine Build'!$F16:$Q16), 0), _xlfn.IFNA(_xlfn.XLOOKUP(Assumptions!FI$88, '1 Machine Build'!$F$11:$Q$11, '1 Machine Build'!$F16:$Q16), 0))</f>
        <v>0</v>
      </c>
      <c r="FL34" s="97">
        <f>SUM(_xlfn.IFNA(_xlfn.XLOOKUP(Assumptions!FJ$81, '1 Machine Build'!$F$11:$Q$11, '1 Machine Build'!$F16:$Q16), 0), _xlfn.IFNA(_xlfn.XLOOKUP(Assumptions!FJ$82, '1 Machine Build'!$F$11:$Q$11, '1 Machine Build'!$F16:$Q16), 0), _xlfn.IFNA(_xlfn.XLOOKUP(Assumptions!FJ$83, '1 Machine Build'!$F$11:$Q$11, '1 Machine Build'!$F16:$Q16), 0), _xlfn.IFNA(_xlfn.XLOOKUP(Assumptions!FJ$84, '1 Machine Build'!$F$11:$Q$11, '1 Machine Build'!$F16:$Q16), 0), _xlfn.IFNA(_xlfn.XLOOKUP(Assumptions!FJ$85, '1 Machine Build'!$F$11:$Q$11, '1 Machine Build'!$F16:$Q16), 0), _xlfn.IFNA(_xlfn.XLOOKUP(Assumptions!FJ$86, '1 Machine Build'!$F$11:$Q$11, '1 Machine Build'!$F16:$Q16), 0), _xlfn.IFNA(_xlfn.XLOOKUP(Assumptions!FJ$87, '1 Machine Build'!$F$11:$Q$11, '1 Machine Build'!$F16:$Q16), 0), _xlfn.IFNA(_xlfn.XLOOKUP(Assumptions!FJ$88, '1 Machine Build'!$F$11:$Q$11, '1 Machine Build'!$F16:$Q16), 0))</f>
        <v>0</v>
      </c>
      <c r="FM34" s="97">
        <f>SUM(_xlfn.IFNA(_xlfn.XLOOKUP(Assumptions!FK$81, '1 Machine Build'!$F$11:$Q$11, '1 Machine Build'!$F16:$Q16), 0), _xlfn.IFNA(_xlfn.XLOOKUP(Assumptions!FK$82, '1 Machine Build'!$F$11:$Q$11, '1 Machine Build'!$F16:$Q16), 0), _xlfn.IFNA(_xlfn.XLOOKUP(Assumptions!FK$83, '1 Machine Build'!$F$11:$Q$11, '1 Machine Build'!$F16:$Q16), 0), _xlfn.IFNA(_xlfn.XLOOKUP(Assumptions!FK$84, '1 Machine Build'!$F$11:$Q$11, '1 Machine Build'!$F16:$Q16), 0), _xlfn.IFNA(_xlfn.XLOOKUP(Assumptions!FK$85, '1 Machine Build'!$F$11:$Q$11, '1 Machine Build'!$F16:$Q16), 0), _xlfn.IFNA(_xlfn.XLOOKUP(Assumptions!FK$86, '1 Machine Build'!$F$11:$Q$11, '1 Machine Build'!$F16:$Q16), 0), _xlfn.IFNA(_xlfn.XLOOKUP(Assumptions!FK$87, '1 Machine Build'!$F$11:$Q$11, '1 Machine Build'!$F16:$Q16), 0), _xlfn.IFNA(_xlfn.XLOOKUP(Assumptions!FK$88, '1 Machine Build'!$F$11:$Q$11, '1 Machine Build'!$F16:$Q16), 0))</f>
        <v>0</v>
      </c>
      <c r="FN34" s="97">
        <f>SUM(_xlfn.IFNA(_xlfn.XLOOKUP(Assumptions!FL$81, '1 Machine Build'!$F$11:$Q$11, '1 Machine Build'!$F16:$Q16), 0), _xlfn.IFNA(_xlfn.XLOOKUP(Assumptions!FL$82, '1 Machine Build'!$F$11:$Q$11, '1 Machine Build'!$F16:$Q16), 0), _xlfn.IFNA(_xlfn.XLOOKUP(Assumptions!FL$83, '1 Machine Build'!$F$11:$Q$11, '1 Machine Build'!$F16:$Q16), 0), _xlfn.IFNA(_xlfn.XLOOKUP(Assumptions!FL$84, '1 Machine Build'!$F$11:$Q$11, '1 Machine Build'!$F16:$Q16), 0), _xlfn.IFNA(_xlfn.XLOOKUP(Assumptions!FL$85, '1 Machine Build'!$F$11:$Q$11, '1 Machine Build'!$F16:$Q16), 0), _xlfn.IFNA(_xlfn.XLOOKUP(Assumptions!FL$86, '1 Machine Build'!$F$11:$Q$11, '1 Machine Build'!$F16:$Q16), 0), _xlfn.IFNA(_xlfn.XLOOKUP(Assumptions!FL$87, '1 Machine Build'!$F$11:$Q$11, '1 Machine Build'!$F16:$Q16), 0), _xlfn.IFNA(_xlfn.XLOOKUP(Assumptions!FL$88, '1 Machine Build'!$F$11:$Q$11, '1 Machine Build'!$F16:$Q16), 0))</f>
        <v>0</v>
      </c>
      <c r="FO34" s="97">
        <f>SUM(_xlfn.IFNA(_xlfn.XLOOKUP(Assumptions!FM$81, '1 Machine Build'!$F$11:$Q$11, '1 Machine Build'!$F16:$Q16), 0), _xlfn.IFNA(_xlfn.XLOOKUP(Assumptions!FM$82, '1 Machine Build'!$F$11:$Q$11, '1 Machine Build'!$F16:$Q16), 0), _xlfn.IFNA(_xlfn.XLOOKUP(Assumptions!FM$83, '1 Machine Build'!$F$11:$Q$11, '1 Machine Build'!$F16:$Q16), 0), _xlfn.IFNA(_xlfn.XLOOKUP(Assumptions!FM$84, '1 Machine Build'!$F$11:$Q$11, '1 Machine Build'!$F16:$Q16), 0), _xlfn.IFNA(_xlfn.XLOOKUP(Assumptions!FM$85, '1 Machine Build'!$F$11:$Q$11, '1 Machine Build'!$F16:$Q16), 0), _xlfn.IFNA(_xlfn.XLOOKUP(Assumptions!FM$86, '1 Machine Build'!$F$11:$Q$11, '1 Machine Build'!$F16:$Q16), 0), _xlfn.IFNA(_xlfn.XLOOKUP(Assumptions!FM$87, '1 Machine Build'!$F$11:$Q$11, '1 Machine Build'!$F16:$Q16), 0), _xlfn.IFNA(_xlfn.XLOOKUP(Assumptions!FM$88, '1 Machine Build'!$F$11:$Q$11, '1 Machine Build'!$F16:$Q16), 0))</f>
        <v>0</v>
      </c>
      <c r="FP34" s="97">
        <f>SUM(_xlfn.IFNA(_xlfn.XLOOKUP(Assumptions!FN$81, '1 Machine Build'!$F$11:$Q$11, '1 Machine Build'!$F16:$Q16), 0), _xlfn.IFNA(_xlfn.XLOOKUP(Assumptions!FN$82, '1 Machine Build'!$F$11:$Q$11, '1 Machine Build'!$F16:$Q16), 0), _xlfn.IFNA(_xlfn.XLOOKUP(Assumptions!FN$83, '1 Machine Build'!$F$11:$Q$11, '1 Machine Build'!$F16:$Q16), 0), _xlfn.IFNA(_xlfn.XLOOKUP(Assumptions!FN$84, '1 Machine Build'!$F$11:$Q$11, '1 Machine Build'!$F16:$Q16), 0), _xlfn.IFNA(_xlfn.XLOOKUP(Assumptions!FN$85, '1 Machine Build'!$F$11:$Q$11, '1 Machine Build'!$F16:$Q16), 0), _xlfn.IFNA(_xlfn.XLOOKUP(Assumptions!FN$86, '1 Machine Build'!$F$11:$Q$11, '1 Machine Build'!$F16:$Q16), 0), _xlfn.IFNA(_xlfn.XLOOKUP(Assumptions!FN$87, '1 Machine Build'!$F$11:$Q$11, '1 Machine Build'!$F16:$Q16), 0), _xlfn.IFNA(_xlfn.XLOOKUP(Assumptions!FN$88, '1 Machine Build'!$F$11:$Q$11, '1 Machine Build'!$F16:$Q16), 0))</f>
        <v>0</v>
      </c>
      <c r="FQ34" s="97">
        <f>SUM(_xlfn.IFNA(_xlfn.XLOOKUP(Assumptions!FO$81, '1 Machine Build'!$F$11:$Q$11, '1 Machine Build'!$F16:$Q16), 0), _xlfn.IFNA(_xlfn.XLOOKUP(Assumptions!FO$82, '1 Machine Build'!$F$11:$Q$11, '1 Machine Build'!$F16:$Q16), 0), _xlfn.IFNA(_xlfn.XLOOKUP(Assumptions!FO$83, '1 Machine Build'!$F$11:$Q$11, '1 Machine Build'!$F16:$Q16), 0), _xlfn.IFNA(_xlfn.XLOOKUP(Assumptions!FO$84, '1 Machine Build'!$F$11:$Q$11, '1 Machine Build'!$F16:$Q16), 0), _xlfn.IFNA(_xlfn.XLOOKUP(Assumptions!FO$85, '1 Machine Build'!$F$11:$Q$11, '1 Machine Build'!$F16:$Q16), 0), _xlfn.IFNA(_xlfn.XLOOKUP(Assumptions!FO$86, '1 Machine Build'!$F$11:$Q$11, '1 Machine Build'!$F16:$Q16), 0), _xlfn.IFNA(_xlfn.XLOOKUP(Assumptions!FO$87, '1 Machine Build'!$F$11:$Q$11, '1 Machine Build'!$F16:$Q16), 0), _xlfn.IFNA(_xlfn.XLOOKUP(Assumptions!FO$88, '1 Machine Build'!$F$11:$Q$11, '1 Machine Build'!$F16:$Q16), 0))</f>
        <v>0</v>
      </c>
      <c r="FR34" s="97">
        <f>SUM(_xlfn.IFNA(_xlfn.XLOOKUP(Assumptions!FP$81, '1 Machine Build'!$F$11:$Q$11, '1 Machine Build'!$F16:$Q16), 0), _xlfn.IFNA(_xlfn.XLOOKUP(Assumptions!FP$82, '1 Machine Build'!$F$11:$Q$11, '1 Machine Build'!$F16:$Q16), 0), _xlfn.IFNA(_xlfn.XLOOKUP(Assumptions!FP$83, '1 Machine Build'!$F$11:$Q$11, '1 Machine Build'!$F16:$Q16), 0), _xlfn.IFNA(_xlfn.XLOOKUP(Assumptions!FP$84, '1 Machine Build'!$F$11:$Q$11, '1 Machine Build'!$F16:$Q16), 0), _xlfn.IFNA(_xlfn.XLOOKUP(Assumptions!FP$85, '1 Machine Build'!$F$11:$Q$11, '1 Machine Build'!$F16:$Q16), 0), _xlfn.IFNA(_xlfn.XLOOKUP(Assumptions!FP$86, '1 Machine Build'!$F$11:$Q$11, '1 Machine Build'!$F16:$Q16), 0), _xlfn.IFNA(_xlfn.XLOOKUP(Assumptions!FP$87, '1 Machine Build'!$F$11:$Q$11, '1 Machine Build'!$F16:$Q16), 0), _xlfn.IFNA(_xlfn.XLOOKUP(Assumptions!FP$88, '1 Machine Build'!$F$11:$Q$11, '1 Machine Build'!$F16:$Q16), 0))</f>
        <v>0</v>
      </c>
      <c r="FS34" s="97">
        <f>SUM(_xlfn.IFNA(_xlfn.XLOOKUP(Assumptions!FQ$81, '1 Machine Build'!$F$11:$Q$11, '1 Machine Build'!$F16:$Q16), 0), _xlfn.IFNA(_xlfn.XLOOKUP(Assumptions!FQ$82, '1 Machine Build'!$F$11:$Q$11, '1 Machine Build'!$F16:$Q16), 0), _xlfn.IFNA(_xlfn.XLOOKUP(Assumptions!FQ$83, '1 Machine Build'!$F$11:$Q$11, '1 Machine Build'!$F16:$Q16), 0), _xlfn.IFNA(_xlfn.XLOOKUP(Assumptions!FQ$84, '1 Machine Build'!$F$11:$Q$11, '1 Machine Build'!$F16:$Q16), 0), _xlfn.IFNA(_xlfn.XLOOKUP(Assumptions!FQ$85, '1 Machine Build'!$F$11:$Q$11, '1 Machine Build'!$F16:$Q16), 0), _xlfn.IFNA(_xlfn.XLOOKUP(Assumptions!FQ$86, '1 Machine Build'!$F$11:$Q$11, '1 Machine Build'!$F16:$Q16), 0), _xlfn.IFNA(_xlfn.XLOOKUP(Assumptions!FQ$87, '1 Machine Build'!$F$11:$Q$11, '1 Machine Build'!$F16:$Q16), 0), _xlfn.IFNA(_xlfn.XLOOKUP(Assumptions!FQ$88, '1 Machine Build'!$F$11:$Q$11, '1 Machine Build'!$F16:$Q16), 0))</f>
        <v>0</v>
      </c>
      <c r="FT34" s="97">
        <f>SUM(_xlfn.IFNA(_xlfn.XLOOKUP(Assumptions!FR$81, '1 Machine Build'!$F$11:$Q$11, '1 Machine Build'!$F16:$Q16), 0), _xlfn.IFNA(_xlfn.XLOOKUP(Assumptions!FR$82, '1 Machine Build'!$F$11:$Q$11, '1 Machine Build'!$F16:$Q16), 0), _xlfn.IFNA(_xlfn.XLOOKUP(Assumptions!FR$83, '1 Machine Build'!$F$11:$Q$11, '1 Machine Build'!$F16:$Q16), 0), _xlfn.IFNA(_xlfn.XLOOKUP(Assumptions!FR$84, '1 Machine Build'!$F$11:$Q$11, '1 Machine Build'!$F16:$Q16), 0), _xlfn.IFNA(_xlfn.XLOOKUP(Assumptions!FR$85, '1 Machine Build'!$F$11:$Q$11, '1 Machine Build'!$F16:$Q16), 0), _xlfn.IFNA(_xlfn.XLOOKUP(Assumptions!FR$86, '1 Machine Build'!$F$11:$Q$11, '1 Machine Build'!$F16:$Q16), 0), _xlfn.IFNA(_xlfn.XLOOKUP(Assumptions!FR$87, '1 Machine Build'!$F$11:$Q$11, '1 Machine Build'!$F16:$Q16), 0), _xlfn.IFNA(_xlfn.XLOOKUP(Assumptions!FR$88, '1 Machine Build'!$F$11:$Q$11, '1 Machine Build'!$F16:$Q16), 0))</f>
        <v>0</v>
      </c>
      <c r="FU34" s="97">
        <f>SUM(_xlfn.IFNA(_xlfn.XLOOKUP(Assumptions!FS$81, '1 Machine Build'!$F$11:$Q$11, '1 Machine Build'!$F16:$Q16), 0), _xlfn.IFNA(_xlfn.XLOOKUP(Assumptions!FS$82, '1 Machine Build'!$F$11:$Q$11, '1 Machine Build'!$F16:$Q16), 0), _xlfn.IFNA(_xlfn.XLOOKUP(Assumptions!FS$83, '1 Machine Build'!$F$11:$Q$11, '1 Machine Build'!$F16:$Q16), 0), _xlfn.IFNA(_xlfn.XLOOKUP(Assumptions!FS$84, '1 Machine Build'!$F$11:$Q$11, '1 Machine Build'!$F16:$Q16), 0), _xlfn.IFNA(_xlfn.XLOOKUP(Assumptions!FS$85, '1 Machine Build'!$F$11:$Q$11, '1 Machine Build'!$F16:$Q16), 0), _xlfn.IFNA(_xlfn.XLOOKUP(Assumptions!FS$86, '1 Machine Build'!$F$11:$Q$11, '1 Machine Build'!$F16:$Q16), 0), _xlfn.IFNA(_xlfn.XLOOKUP(Assumptions!FS$87, '1 Machine Build'!$F$11:$Q$11, '1 Machine Build'!$F16:$Q16), 0), _xlfn.IFNA(_xlfn.XLOOKUP(Assumptions!FS$88, '1 Machine Build'!$F$11:$Q$11, '1 Machine Build'!$F16:$Q16), 0))</f>
        <v>0</v>
      </c>
      <c r="FV34" s="97">
        <f>SUM(_xlfn.IFNA(_xlfn.XLOOKUP(Assumptions!FT$81, '1 Machine Build'!$F$11:$Q$11, '1 Machine Build'!$F16:$Q16), 0), _xlfn.IFNA(_xlfn.XLOOKUP(Assumptions!FT$82, '1 Machine Build'!$F$11:$Q$11, '1 Machine Build'!$F16:$Q16), 0), _xlfn.IFNA(_xlfn.XLOOKUP(Assumptions!FT$83, '1 Machine Build'!$F$11:$Q$11, '1 Machine Build'!$F16:$Q16), 0), _xlfn.IFNA(_xlfn.XLOOKUP(Assumptions!FT$84, '1 Machine Build'!$F$11:$Q$11, '1 Machine Build'!$F16:$Q16), 0), _xlfn.IFNA(_xlfn.XLOOKUP(Assumptions!FT$85, '1 Machine Build'!$F$11:$Q$11, '1 Machine Build'!$F16:$Q16), 0), _xlfn.IFNA(_xlfn.XLOOKUP(Assumptions!FT$86, '1 Machine Build'!$F$11:$Q$11, '1 Machine Build'!$F16:$Q16), 0), _xlfn.IFNA(_xlfn.XLOOKUP(Assumptions!FT$87, '1 Machine Build'!$F$11:$Q$11, '1 Machine Build'!$F16:$Q16), 0), _xlfn.IFNA(_xlfn.XLOOKUP(Assumptions!FT$88, '1 Machine Build'!$F$11:$Q$11, '1 Machine Build'!$F16:$Q16), 0))</f>
        <v>0</v>
      </c>
      <c r="FW34" s="97">
        <f>SUM(_xlfn.IFNA(_xlfn.XLOOKUP(Assumptions!FU$81, '1 Machine Build'!$F$11:$Q$11, '1 Machine Build'!$F16:$Q16), 0), _xlfn.IFNA(_xlfn.XLOOKUP(Assumptions!FU$82, '1 Machine Build'!$F$11:$Q$11, '1 Machine Build'!$F16:$Q16), 0), _xlfn.IFNA(_xlfn.XLOOKUP(Assumptions!FU$83, '1 Machine Build'!$F$11:$Q$11, '1 Machine Build'!$F16:$Q16), 0), _xlfn.IFNA(_xlfn.XLOOKUP(Assumptions!FU$84, '1 Machine Build'!$F$11:$Q$11, '1 Machine Build'!$F16:$Q16), 0), _xlfn.IFNA(_xlfn.XLOOKUP(Assumptions!FU$85, '1 Machine Build'!$F$11:$Q$11, '1 Machine Build'!$F16:$Q16), 0), _xlfn.IFNA(_xlfn.XLOOKUP(Assumptions!FU$86, '1 Machine Build'!$F$11:$Q$11, '1 Machine Build'!$F16:$Q16), 0), _xlfn.IFNA(_xlfn.XLOOKUP(Assumptions!FU$87, '1 Machine Build'!$F$11:$Q$11, '1 Machine Build'!$F16:$Q16), 0), _xlfn.IFNA(_xlfn.XLOOKUP(Assumptions!FU$88, '1 Machine Build'!$F$11:$Q$11, '1 Machine Build'!$F16:$Q16), 0))</f>
        <v>0</v>
      </c>
      <c r="FX34" s="97">
        <f>SUM(_xlfn.IFNA(_xlfn.XLOOKUP(Assumptions!FV$81, '1 Machine Build'!$F$11:$Q$11, '1 Machine Build'!$F16:$Q16), 0), _xlfn.IFNA(_xlfn.XLOOKUP(Assumptions!FV$82, '1 Machine Build'!$F$11:$Q$11, '1 Machine Build'!$F16:$Q16), 0), _xlfn.IFNA(_xlfn.XLOOKUP(Assumptions!FV$83, '1 Machine Build'!$F$11:$Q$11, '1 Machine Build'!$F16:$Q16), 0), _xlfn.IFNA(_xlfn.XLOOKUP(Assumptions!FV$84, '1 Machine Build'!$F$11:$Q$11, '1 Machine Build'!$F16:$Q16), 0), _xlfn.IFNA(_xlfn.XLOOKUP(Assumptions!FV$85, '1 Machine Build'!$F$11:$Q$11, '1 Machine Build'!$F16:$Q16), 0), _xlfn.IFNA(_xlfn.XLOOKUP(Assumptions!FV$86, '1 Machine Build'!$F$11:$Q$11, '1 Machine Build'!$F16:$Q16), 0), _xlfn.IFNA(_xlfn.XLOOKUP(Assumptions!FV$87, '1 Machine Build'!$F$11:$Q$11, '1 Machine Build'!$F16:$Q16), 0), _xlfn.IFNA(_xlfn.XLOOKUP(Assumptions!FV$88, '1 Machine Build'!$F$11:$Q$11, '1 Machine Build'!$F16:$Q16), 0))</f>
        <v>0</v>
      </c>
      <c r="FY34" s="97">
        <f>SUM(_xlfn.IFNA(_xlfn.XLOOKUP(Assumptions!FW$81, '1 Machine Build'!$F$11:$Q$11, '1 Machine Build'!$F16:$Q16), 0), _xlfn.IFNA(_xlfn.XLOOKUP(Assumptions!FW$82, '1 Machine Build'!$F$11:$Q$11, '1 Machine Build'!$F16:$Q16), 0), _xlfn.IFNA(_xlfn.XLOOKUP(Assumptions!FW$83, '1 Machine Build'!$F$11:$Q$11, '1 Machine Build'!$F16:$Q16), 0), _xlfn.IFNA(_xlfn.XLOOKUP(Assumptions!FW$84, '1 Machine Build'!$F$11:$Q$11, '1 Machine Build'!$F16:$Q16), 0), _xlfn.IFNA(_xlfn.XLOOKUP(Assumptions!FW$85, '1 Machine Build'!$F$11:$Q$11, '1 Machine Build'!$F16:$Q16), 0), _xlfn.IFNA(_xlfn.XLOOKUP(Assumptions!FW$86, '1 Machine Build'!$F$11:$Q$11, '1 Machine Build'!$F16:$Q16), 0), _xlfn.IFNA(_xlfn.XLOOKUP(Assumptions!FW$87, '1 Machine Build'!$F$11:$Q$11, '1 Machine Build'!$F16:$Q16), 0), _xlfn.IFNA(_xlfn.XLOOKUP(Assumptions!FW$88, '1 Machine Build'!$F$11:$Q$11, '1 Machine Build'!$F16:$Q16), 0))</f>
        <v>0</v>
      </c>
      <c r="FZ34" s="97">
        <f>SUM(_xlfn.IFNA(_xlfn.XLOOKUP(Assumptions!FX$81, '1 Machine Build'!$F$11:$Q$11, '1 Machine Build'!$F16:$Q16), 0), _xlfn.IFNA(_xlfn.XLOOKUP(Assumptions!FX$82, '1 Machine Build'!$F$11:$Q$11, '1 Machine Build'!$F16:$Q16), 0), _xlfn.IFNA(_xlfn.XLOOKUP(Assumptions!FX$83, '1 Machine Build'!$F$11:$Q$11, '1 Machine Build'!$F16:$Q16), 0), _xlfn.IFNA(_xlfn.XLOOKUP(Assumptions!FX$84, '1 Machine Build'!$F$11:$Q$11, '1 Machine Build'!$F16:$Q16), 0), _xlfn.IFNA(_xlfn.XLOOKUP(Assumptions!FX$85, '1 Machine Build'!$F$11:$Q$11, '1 Machine Build'!$F16:$Q16), 0), _xlfn.IFNA(_xlfn.XLOOKUP(Assumptions!FX$86, '1 Machine Build'!$F$11:$Q$11, '1 Machine Build'!$F16:$Q16), 0), _xlfn.IFNA(_xlfn.XLOOKUP(Assumptions!FX$87, '1 Machine Build'!$F$11:$Q$11, '1 Machine Build'!$F16:$Q16), 0), _xlfn.IFNA(_xlfn.XLOOKUP(Assumptions!FX$88, '1 Machine Build'!$F$11:$Q$11, '1 Machine Build'!$F16:$Q16), 0))</f>
        <v>0</v>
      </c>
      <c r="GA34" s="97">
        <f>SUM(_xlfn.IFNA(_xlfn.XLOOKUP(Assumptions!FY$81, '1 Machine Build'!$F$11:$Q$11, '1 Machine Build'!$F16:$Q16), 0), _xlfn.IFNA(_xlfn.XLOOKUP(Assumptions!FY$82, '1 Machine Build'!$F$11:$Q$11, '1 Machine Build'!$F16:$Q16), 0), _xlfn.IFNA(_xlfn.XLOOKUP(Assumptions!FY$83, '1 Machine Build'!$F$11:$Q$11, '1 Machine Build'!$F16:$Q16), 0), _xlfn.IFNA(_xlfn.XLOOKUP(Assumptions!FY$84, '1 Machine Build'!$F$11:$Q$11, '1 Machine Build'!$F16:$Q16), 0), _xlfn.IFNA(_xlfn.XLOOKUP(Assumptions!FY$85, '1 Machine Build'!$F$11:$Q$11, '1 Machine Build'!$F16:$Q16), 0), _xlfn.IFNA(_xlfn.XLOOKUP(Assumptions!FY$86, '1 Machine Build'!$F$11:$Q$11, '1 Machine Build'!$F16:$Q16), 0), _xlfn.IFNA(_xlfn.XLOOKUP(Assumptions!FY$87, '1 Machine Build'!$F$11:$Q$11, '1 Machine Build'!$F16:$Q16), 0), _xlfn.IFNA(_xlfn.XLOOKUP(Assumptions!FY$88, '1 Machine Build'!$F$11:$Q$11, '1 Machine Build'!$F16:$Q16), 0))</f>
        <v>0</v>
      </c>
      <c r="GB34" s="97">
        <f>SUM(_xlfn.IFNA(_xlfn.XLOOKUP(Assumptions!FZ$81, '1 Machine Build'!$F$11:$Q$11, '1 Machine Build'!$F16:$Q16), 0), _xlfn.IFNA(_xlfn.XLOOKUP(Assumptions!FZ$82, '1 Machine Build'!$F$11:$Q$11, '1 Machine Build'!$F16:$Q16), 0), _xlfn.IFNA(_xlfn.XLOOKUP(Assumptions!FZ$83, '1 Machine Build'!$F$11:$Q$11, '1 Machine Build'!$F16:$Q16), 0), _xlfn.IFNA(_xlfn.XLOOKUP(Assumptions!FZ$84, '1 Machine Build'!$F$11:$Q$11, '1 Machine Build'!$F16:$Q16), 0), _xlfn.IFNA(_xlfn.XLOOKUP(Assumptions!FZ$85, '1 Machine Build'!$F$11:$Q$11, '1 Machine Build'!$F16:$Q16), 0), _xlfn.IFNA(_xlfn.XLOOKUP(Assumptions!FZ$86, '1 Machine Build'!$F$11:$Q$11, '1 Machine Build'!$F16:$Q16), 0), _xlfn.IFNA(_xlfn.XLOOKUP(Assumptions!FZ$87, '1 Machine Build'!$F$11:$Q$11, '1 Machine Build'!$F16:$Q16), 0), _xlfn.IFNA(_xlfn.XLOOKUP(Assumptions!FZ$88, '1 Machine Build'!$F$11:$Q$11, '1 Machine Build'!$F16:$Q16), 0))</f>
        <v>0</v>
      </c>
      <c r="GC34" s="97">
        <f>SUM(_xlfn.IFNA(_xlfn.XLOOKUP(Assumptions!GA$81, '1 Machine Build'!$F$11:$Q$11, '1 Machine Build'!$F16:$Q16), 0), _xlfn.IFNA(_xlfn.XLOOKUP(Assumptions!GA$82, '1 Machine Build'!$F$11:$Q$11, '1 Machine Build'!$F16:$Q16), 0), _xlfn.IFNA(_xlfn.XLOOKUP(Assumptions!GA$83, '1 Machine Build'!$F$11:$Q$11, '1 Machine Build'!$F16:$Q16), 0), _xlfn.IFNA(_xlfn.XLOOKUP(Assumptions!GA$84, '1 Machine Build'!$F$11:$Q$11, '1 Machine Build'!$F16:$Q16), 0), _xlfn.IFNA(_xlfn.XLOOKUP(Assumptions!GA$85, '1 Machine Build'!$F$11:$Q$11, '1 Machine Build'!$F16:$Q16), 0), _xlfn.IFNA(_xlfn.XLOOKUP(Assumptions!GA$86, '1 Machine Build'!$F$11:$Q$11, '1 Machine Build'!$F16:$Q16), 0), _xlfn.IFNA(_xlfn.XLOOKUP(Assumptions!GA$87, '1 Machine Build'!$F$11:$Q$11, '1 Machine Build'!$F16:$Q16), 0), _xlfn.IFNA(_xlfn.XLOOKUP(Assumptions!GA$88, '1 Machine Build'!$F$11:$Q$11, '1 Machine Build'!$F16:$Q16), 0))</f>
        <v>0</v>
      </c>
    </row>
    <row r="35" spans="1:185">
      <c r="A35" s="80"/>
      <c r="B35" s="120"/>
      <c r="C35" s="80"/>
      <c r="D35" s="10"/>
      <c r="E35" s="96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</row>
    <row r="36" spans="1:185">
      <c r="A36" s="121"/>
      <c r="B36" s="121" t="s">
        <v>81</v>
      </c>
      <c r="C36" s="80" t="s">
        <v>42</v>
      </c>
      <c r="D36" s="10"/>
      <c r="E36" s="82">
        <f>SUM(F36:GC36)</f>
        <v>15843456.575999999</v>
      </c>
      <c r="F36" s="97">
        <f t="shared" ref="F36:AK36" si="14">SUM(F30:F34)</f>
        <v>6697158.3253333326</v>
      </c>
      <c r="G36" s="97">
        <f t="shared" si="14"/>
        <v>3337788.9173333328</v>
      </c>
      <c r="H36" s="97">
        <f t="shared" si="14"/>
        <v>3077158.3253333331</v>
      </c>
      <c r="I36" s="97">
        <f t="shared" si="14"/>
        <v>735585.85600000003</v>
      </c>
      <c r="J36" s="97">
        <f t="shared" si="14"/>
        <v>398442.91200000001</v>
      </c>
      <c r="K36" s="97">
        <f t="shared" si="14"/>
        <v>553103.08266666671</v>
      </c>
      <c r="L36" s="97">
        <f t="shared" si="14"/>
        <v>510109.5786666667</v>
      </c>
      <c r="M36" s="97">
        <f t="shared" si="14"/>
        <v>510109.5786666667</v>
      </c>
      <c r="N36" s="97">
        <f t="shared" si="14"/>
        <v>6000</v>
      </c>
      <c r="O36" s="97">
        <f t="shared" si="14"/>
        <v>6000</v>
      </c>
      <c r="P36" s="97">
        <f t="shared" si="14"/>
        <v>6000</v>
      </c>
      <c r="Q36" s="97">
        <f t="shared" si="14"/>
        <v>6000</v>
      </c>
      <c r="R36" s="97">
        <f t="shared" si="14"/>
        <v>0</v>
      </c>
      <c r="S36" s="97">
        <f t="shared" si="14"/>
        <v>0</v>
      </c>
      <c r="T36" s="97">
        <f t="shared" si="14"/>
        <v>0</v>
      </c>
      <c r="U36" s="97">
        <f t="shared" si="14"/>
        <v>0</v>
      </c>
      <c r="V36" s="97">
        <f t="shared" si="14"/>
        <v>0</v>
      </c>
      <c r="W36" s="97">
        <f t="shared" si="14"/>
        <v>0</v>
      </c>
      <c r="X36" s="97">
        <f t="shared" si="14"/>
        <v>0</v>
      </c>
      <c r="Y36" s="97">
        <f t="shared" si="14"/>
        <v>0</v>
      </c>
      <c r="Z36" s="97">
        <f t="shared" si="14"/>
        <v>0</v>
      </c>
      <c r="AA36" s="97">
        <f t="shared" si="14"/>
        <v>0</v>
      </c>
      <c r="AB36" s="97">
        <f t="shared" si="14"/>
        <v>0</v>
      </c>
      <c r="AC36" s="97">
        <f t="shared" si="14"/>
        <v>0</v>
      </c>
      <c r="AD36" s="97">
        <f t="shared" si="14"/>
        <v>0</v>
      </c>
      <c r="AE36" s="97">
        <f t="shared" si="14"/>
        <v>0</v>
      </c>
      <c r="AF36" s="97">
        <f t="shared" si="14"/>
        <v>0</v>
      </c>
      <c r="AG36" s="97">
        <f t="shared" si="14"/>
        <v>0</v>
      </c>
      <c r="AH36" s="97">
        <f t="shared" si="14"/>
        <v>0</v>
      </c>
      <c r="AI36" s="97">
        <f t="shared" si="14"/>
        <v>0</v>
      </c>
      <c r="AJ36" s="97">
        <f t="shared" si="14"/>
        <v>0</v>
      </c>
      <c r="AK36" s="97">
        <f t="shared" si="14"/>
        <v>0</v>
      </c>
      <c r="AL36" s="97">
        <f t="shared" ref="AL36:BQ36" si="15">SUM(AL30:AL34)</f>
        <v>0</v>
      </c>
      <c r="AM36" s="97">
        <f t="shared" si="15"/>
        <v>0</v>
      </c>
      <c r="AN36" s="97">
        <f t="shared" si="15"/>
        <v>0</v>
      </c>
      <c r="AO36" s="97">
        <f t="shared" si="15"/>
        <v>0</v>
      </c>
      <c r="AP36" s="97">
        <f t="shared" si="15"/>
        <v>0</v>
      </c>
      <c r="AQ36" s="97">
        <f t="shared" si="15"/>
        <v>0</v>
      </c>
      <c r="AR36" s="97">
        <f t="shared" si="15"/>
        <v>0</v>
      </c>
      <c r="AS36" s="97">
        <f t="shared" si="15"/>
        <v>0</v>
      </c>
      <c r="AT36" s="97">
        <f t="shared" si="15"/>
        <v>0</v>
      </c>
      <c r="AU36" s="97">
        <f t="shared" si="15"/>
        <v>0</v>
      </c>
      <c r="AV36" s="97">
        <f t="shared" si="15"/>
        <v>0</v>
      </c>
      <c r="AW36" s="97">
        <f t="shared" si="15"/>
        <v>0</v>
      </c>
      <c r="AX36" s="97">
        <f t="shared" si="15"/>
        <v>0</v>
      </c>
      <c r="AY36" s="97">
        <f t="shared" si="15"/>
        <v>0</v>
      </c>
      <c r="AZ36" s="97">
        <f t="shared" si="15"/>
        <v>0</v>
      </c>
      <c r="BA36" s="97">
        <f t="shared" si="15"/>
        <v>0</v>
      </c>
      <c r="BB36" s="97">
        <f t="shared" si="15"/>
        <v>0</v>
      </c>
      <c r="BC36" s="97">
        <f t="shared" si="15"/>
        <v>0</v>
      </c>
      <c r="BD36" s="97">
        <f t="shared" si="15"/>
        <v>0</v>
      </c>
      <c r="BE36" s="97">
        <f t="shared" si="15"/>
        <v>0</v>
      </c>
      <c r="BF36" s="97">
        <f t="shared" si="15"/>
        <v>0</v>
      </c>
      <c r="BG36" s="97">
        <f t="shared" si="15"/>
        <v>0</v>
      </c>
      <c r="BH36" s="97">
        <f t="shared" si="15"/>
        <v>0</v>
      </c>
      <c r="BI36" s="97">
        <f t="shared" si="15"/>
        <v>0</v>
      </c>
      <c r="BJ36" s="97">
        <f t="shared" si="15"/>
        <v>0</v>
      </c>
      <c r="BK36" s="97">
        <f t="shared" si="15"/>
        <v>0</v>
      </c>
      <c r="BL36" s="97">
        <f t="shared" si="15"/>
        <v>0</v>
      </c>
      <c r="BM36" s="97">
        <f t="shared" si="15"/>
        <v>0</v>
      </c>
      <c r="BN36" s="97">
        <f t="shared" si="15"/>
        <v>0</v>
      </c>
      <c r="BO36" s="97">
        <f t="shared" si="15"/>
        <v>0</v>
      </c>
      <c r="BP36" s="97">
        <f t="shared" si="15"/>
        <v>0</v>
      </c>
      <c r="BQ36" s="97">
        <f t="shared" si="15"/>
        <v>0</v>
      </c>
      <c r="BR36" s="97">
        <f t="shared" ref="BR36:CW36" si="16">SUM(BR30:BR34)</f>
        <v>0</v>
      </c>
      <c r="BS36" s="97">
        <f t="shared" si="16"/>
        <v>0</v>
      </c>
      <c r="BT36" s="97">
        <f t="shared" si="16"/>
        <v>0</v>
      </c>
      <c r="BU36" s="97">
        <f t="shared" si="16"/>
        <v>0</v>
      </c>
      <c r="BV36" s="97">
        <f t="shared" si="16"/>
        <v>0</v>
      </c>
      <c r="BW36" s="97">
        <f t="shared" si="16"/>
        <v>0</v>
      </c>
      <c r="BX36" s="97">
        <f t="shared" si="16"/>
        <v>0</v>
      </c>
      <c r="BY36" s="97">
        <f t="shared" si="16"/>
        <v>0</v>
      </c>
      <c r="BZ36" s="97">
        <f t="shared" si="16"/>
        <v>0</v>
      </c>
      <c r="CA36" s="97">
        <f t="shared" si="16"/>
        <v>0</v>
      </c>
      <c r="CB36" s="97">
        <f t="shared" si="16"/>
        <v>0</v>
      </c>
      <c r="CC36" s="97">
        <f t="shared" si="16"/>
        <v>0</v>
      </c>
      <c r="CD36" s="97">
        <f t="shared" si="16"/>
        <v>0</v>
      </c>
      <c r="CE36" s="97">
        <f t="shared" si="16"/>
        <v>0</v>
      </c>
      <c r="CF36" s="97">
        <f t="shared" si="16"/>
        <v>0</v>
      </c>
      <c r="CG36" s="97">
        <f t="shared" si="16"/>
        <v>0</v>
      </c>
      <c r="CH36" s="97">
        <f t="shared" si="16"/>
        <v>0</v>
      </c>
      <c r="CI36" s="97">
        <f t="shared" si="16"/>
        <v>0</v>
      </c>
      <c r="CJ36" s="97">
        <f t="shared" si="16"/>
        <v>0</v>
      </c>
      <c r="CK36" s="97">
        <f t="shared" si="16"/>
        <v>0</v>
      </c>
      <c r="CL36" s="97">
        <f t="shared" si="16"/>
        <v>0</v>
      </c>
      <c r="CM36" s="97">
        <f t="shared" si="16"/>
        <v>0</v>
      </c>
      <c r="CN36" s="97">
        <f t="shared" si="16"/>
        <v>0</v>
      </c>
      <c r="CO36" s="97">
        <f t="shared" si="16"/>
        <v>0</v>
      </c>
      <c r="CP36" s="97">
        <f t="shared" si="16"/>
        <v>0</v>
      </c>
      <c r="CQ36" s="97">
        <f t="shared" si="16"/>
        <v>0</v>
      </c>
      <c r="CR36" s="97">
        <f t="shared" si="16"/>
        <v>0</v>
      </c>
      <c r="CS36" s="97">
        <f t="shared" si="16"/>
        <v>0</v>
      </c>
      <c r="CT36" s="97">
        <f t="shared" si="16"/>
        <v>0</v>
      </c>
      <c r="CU36" s="97">
        <f t="shared" si="16"/>
        <v>0</v>
      </c>
      <c r="CV36" s="97">
        <f t="shared" si="16"/>
        <v>0</v>
      </c>
      <c r="CW36" s="97">
        <f t="shared" si="16"/>
        <v>0</v>
      </c>
      <c r="CX36" s="97">
        <f t="shared" ref="CX36:EC36" si="17">SUM(CX30:CX34)</f>
        <v>0</v>
      </c>
      <c r="CY36" s="97">
        <f t="shared" si="17"/>
        <v>0</v>
      </c>
      <c r="CZ36" s="97">
        <f t="shared" si="17"/>
        <v>0</v>
      </c>
      <c r="DA36" s="97">
        <f t="shared" si="17"/>
        <v>0</v>
      </c>
      <c r="DB36" s="97">
        <f t="shared" si="17"/>
        <v>0</v>
      </c>
      <c r="DC36" s="97">
        <f t="shared" si="17"/>
        <v>0</v>
      </c>
      <c r="DD36" s="97">
        <f t="shared" si="17"/>
        <v>0</v>
      </c>
      <c r="DE36" s="97">
        <f t="shared" si="17"/>
        <v>0</v>
      </c>
      <c r="DF36" s="97">
        <f t="shared" si="17"/>
        <v>0</v>
      </c>
      <c r="DG36" s="97">
        <f t="shared" si="17"/>
        <v>0</v>
      </c>
      <c r="DH36" s="97">
        <f t="shared" si="17"/>
        <v>0</v>
      </c>
      <c r="DI36" s="97">
        <f t="shared" si="17"/>
        <v>0</v>
      </c>
      <c r="DJ36" s="97">
        <f t="shared" si="17"/>
        <v>0</v>
      </c>
      <c r="DK36" s="97">
        <f t="shared" si="17"/>
        <v>0</v>
      </c>
      <c r="DL36" s="97">
        <f t="shared" si="17"/>
        <v>0</v>
      </c>
      <c r="DM36" s="97">
        <f t="shared" si="17"/>
        <v>0</v>
      </c>
      <c r="DN36" s="97">
        <f t="shared" si="17"/>
        <v>0</v>
      </c>
      <c r="DO36" s="97">
        <f t="shared" si="17"/>
        <v>0</v>
      </c>
      <c r="DP36" s="97">
        <f t="shared" si="17"/>
        <v>0</v>
      </c>
      <c r="DQ36" s="97">
        <f t="shared" si="17"/>
        <v>0</v>
      </c>
      <c r="DR36" s="97">
        <f t="shared" si="17"/>
        <v>0</v>
      </c>
      <c r="DS36" s="97">
        <f t="shared" si="17"/>
        <v>0</v>
      </c>
      <c r="DT36" s="97">
        <f t="shared" si="17"/>
        <v>0</v>
      </c>
      <c r="DU36" s="97">
        <f t="shared" si="17"/>
        <v>0</v>
      </c>
      <c r="DV36" s="97">
        <f t="shared" si="17"/>
        <v>0</v>
      </c>
      <c r="DW36" s="97">
        <f t="shared" si="17"/>
        <v>0</v>
      </c>
      <c r="DX36" s="97">
        <f t="shared" si="17"/>
        <v>0</v>
      </c>
      <c r="DY36" s="97">
        <f t="shared" si="17"/>
        <v>0</v>
      </c>
      <c r="DZ36" s="97">
        <f t="shared" si="17"/>
        <v>0</v>
      </c>
      <c r="EA36" s="97">
        <f t="shared" si="17"/>
        <v>0</v>
      </c>
      <c r="EB36" s="97">
        <f t="shared" si="17"/>
        <v>0</v>
      </c>
      <c r="EC36" s="97">
        <f t="shared" si="17"/>
        <v>0</v>
      </c>
      <c r="ED36" s="97">
        <f t="shared" ref="ED36:FI36" si="18">SUM(ED30:ED34)</f>
        <v>0</v>
      </c>
      <c r="EE36" s="97">
        <f t="shared" si="18"/>
        <v>0</v>
      </c>
      <c r="EF36" s="97">
        <f t="shared" si="18"/>
        <v>0</v>
      </c>
      <c r="EG36" s="97">
        <f t="shared" si="18"/>
        <v>0</v>
      </c>
      <c r="EH36" s="97">
        <f t="shared" si="18"/>
        <v>0</v>
      </c>
      <c r="EI36" s="97">
        <f t="shared" si="18"/>
        <v>0</v>
      </c>
      <c r="EJ36" s="97">
        <f t="shared" si="18"/>
        <v>0</v>
      </c>
      <c r="EK36" s="97">
        <f t="shared" si="18"/>
        <v>0</v>
      </c>
      <c r="EL36" s="97">
        <f t="shared" si="18"/>
        <v>0</v>
      </c>
      <c r="EM36" s="97">
        <f t="shared" si="18"/>
        <v>0</v>
      </c>
      <c r="EN36" s="97">
        <f t="shared" si="18"/>
        <v>0</v>
      </c>
      <c r="EO36" s="97">
        <f t="shared" si="18"/>
        <v>0</v>
      </c>
      <c r="EP36" s="97">
        <f t="shared" si="18"/>
        <v>0</v>
      </c>
      <c r="EQ36" s="97">
        <f t="shared" si="18"/>
        <v>0</v>
      </c>
      <c r="ER36" s="97">
        <f t="shared" si="18"/>
        <v>0</v>
      </c>
      <c r="ES36" s="97">
        <f t="shared" si="18"/>
        <v>0</v>
      </c>
      <c r="ET36" s="97">
        <f t="shared" si="18"/>
        <v>0</v>
      </c>
      <c r="EU36" s="97">
        <f t="shared" si="18"/>
        <v>0</v>
      </c>
      <c r="EV36" s="97">
        <f t="shared" si="18"/>
        <v>0</v>
      </c>
      <c r="EW36" s="97">
        <f t="shared" si="18"/>
        <v>0</v>
      </c>
      <c r="EX36" s="97">
        <f t="shared" si="18"/>
        <v>0</v>
      </c>
      <c r="EY36" s="97">
        <f t="shared" si="18"/>
        <v>0</v>
      </c>
      <c r="EZ36" s="97">
        <f t="shared" si="18"/>
        <v>0</v>
      </c>
      <c r="FA36" s="97">
        <f t="shared" si="18"/>
        <v>0</v>
      </c>
      <c r="FB36" s="97">
        <f t="shared" si="18"/>
        <v>0</v>
      </c>
      <c r="FC36" s="97">
        <f t="shared" si="18"/>
        <v>0</v>
      </c>
      <c r="FD36" s="97">
        <f t="shared" si="18"/>
        <v>0</v>
      </c>
      <c r="FE36" s="97">
        <f t="shared" si="18"/>
        <v>0</v>
      </c>
      <c r="FF36" s="97">
        <f t="shared" si="18"/>
        <v>0</v>
      </c>
      <c r="FG36" s="97">
        <f t="shared" si="18"/>
        <v>0</v>
      </c>
      <c r="FH36" s="97">
        <f t="shared" si="18"/>
        <v>0</v>
      </c>
      <c r="FI36" s="97">
        <f t="shared" si="18"/>
        <v>0</v>
      </c>
      <c r="FJ36" s="97">
        <f t="shared" ref="FJ36:GC36" si="19">SUM(FJ30:FJ34)</f>
        <v>0</v>
      </c>
      <c r="FK36" s="97">
        <f t="shared" si="19"/>
        <v>0</v>
      </c>
      <c r="FL36" s="97">
        <f t="shared" si="19"/>
        <v>0</v>
      </c>
      <c r="FM36" s="97">
        <f t="shared" si="19"/>
        <v>0</v>
      </c>
      <c r="FN36" s="97">
        <f t="shared" si="19"/>
        <v>0</v>
      </c>
      <c r="FO36" s="97">
        <f t="shared" si="19"/>
        <v>0</v>
      </c>
      <c r="FP36" s="97">
        <f t="shared" si="19"/>
        <v>0</v>
      </c>
      <c r="FQ36" s="97">
        <f t="shared" si="19"/>
        <v>0</v>
      </c>
      <c r="FR36" s="97">
        <f t="shared" si="19"/>
        <v>0</v>
      </c>
      <c r="FS36" s="97">
        <f t="shared" si="19"/>
        <v>0</v>
      </c>
      <c r="FT36" s="97">
        <f t="shared" si="19"/>
        <v>0</v>
      </c>
      <c r="FU36" s="97">
        <f t="shared" si="19"/>
        <v>0</v>
      </c>
      <c r="FV36" s="97">
        <f t="shared" si="19"/>
        <v>0</v>
      </c>
      <c r="FW36" s="97">
        <f t="shared" si="19"/>
        <v>0</v>
      </c>
      <c r="FX36" s="97">
        <f t="shared" si="19"/>
        <v>0</v>
      </c>
      <c r="FY36" s="97">
        <f t="shared" si="19"/>
        <v>0</v>
      </c>
      <c r="FZ36" s="97">
        <f t="shared" si="19"/>
        <v>0</v>
      </c>
      <c r="GA36" s="97">
        <f t="shared" si="19"/>
        <v>0</v>
      </c>
      <c r="GB36" s="97">
        <f t="shared" si="19"/>
        <v>0</v>
      </c>
      <c r="GC36" s="97">
        <f t="shared" si="19"/>
        <v>0</v>
      </c>
    </row>
    <row r="37" spans="1:185">
      <c r="A37" s="80"/>
      <c r="B37" s="80"/>
      <c r="C37" s="80"/>
      <c r="D37" s="80"/>
      <c r="E37" s="82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0"/>
      <c r="DA37" s="80"/>
      <c r="DB37" s="80"/>
      <c r="DC37" s="80"/>
      <c r="DD37" s="80"/>
      <c r="DE37" s="80"/>
      <c r="DF37" s="80"/>
      <c r="DG37" s="80"/>
      <c r="DH37" s="80"/>
      <c r="DI37" s="80"/>
      <c r="DJ37" s="80"/>
      <c r="DK37" s="80"/>
      <c r="DL37" s="80"/>
      <c r="DM37" s="80"/>
      <c r="DN37" s="80"/>
      <c r="DO37" s="80"/>
      <c r="DP37" s="80"/>
      <c r="DQ37" s="80"/>
      <c r="DR37" s="80"/>
      <c r="DS37" s="80"/>
      <c r="DT37" s="80"/>
      <c r="DU37" s="80"/>
      <c r="DV37" s="80"/>
      <c r="DW37" s="80"/>
      <c r="DX37" s="80"/>
      <c r="DY37" s="80"/>
      <c r="DZ37" s="80"/>
      <c r="EA37" s="80"/>
      <c r="EB37" s="80"/>
      <c r="EC37" s="80"/>
      <c r="ED37" s="80"/>
      <c r="EE37" s="80"/>
      <c r="EF37" s="80"/>
      <c r="EG37" s="80"/>
      <c r="EH37" s="80"/>
      <c r="EI37" s="80"/>
      <c r="EJ37" s="80"/>
      <c r="EK37" s="80"/>
      <c r="EL37" s="80"/>
      <c r="EM37" s="80"/>
      <c r="EN37" s="80"/>
      <c r="EO37" s="80"/>
      <c r="EP37" s="80"/>
      <c r="EQ37" s="80"/>
      <c r="ER37" s="80"/>
      <c r="ES37" s="80"/>
      <c r="ET37" s="80"/>
      <c r="EU37" s="80"/>
      <c r="EV37" s="80"/>
      <c r="EW37" s="80"/>
      <c r="EX37" s="80"/>
      <c r="EY37" s="80"/>
      <c r="EZ37" s="80"/>
      <c r="FA37" s="80"/>
      <c r="FB37" s="80"/>
      <c r="FC37" s="80"/>
      <c r="FD37" s="80"/>
      <c r="FE37" s="80"/>
      <c r="FF37" s="80"/>
      <c r="FG37" s="80"/>
      <c r="FH37" s="80"/>
      <c r="FI37" s="80"/>
      <c r="FJ37" s="80"/>
      <c r="FK37" s="80"/>
      <c r="FL37" s="80"/>
      <c r="FM37" s="80"/>
      <c r="FN37" s="80"/>
      <c r="FO37" s="80"/>
      <c r="FP37" s="80"/>
      <c r="FQ37" s="80"/>
      <c r="FR37" s="80"/>
      <c r="FS37" s="80"/>
      <c r="FT37" s="80"/>
      <c r="FU37" s="80"/>
      <c r="FV37" s="80"/>
      <c r="FW37" s="80"/>
      <c r="FX37" s="80"/>
      <c r="FY37" s="80"/>
      <c r="FZ37" s="80"/>
      <c r="GA37" s="80"/>
      <c r="GB37" s="80"/>
      <c r="GC37" s="80"/>
    </row>
    <row r="38" spans="1:185">
      <c r="A38" s="80"/>
      <c r="B38" t="s">
        <v>87</v>
      </c>
      <c r="C38" s="80"/>
      <c r="D38" s="80"/>
      <c r="E38" s="82"/>
      <c r="F38" s="80"/>
      <c r="G38" s="77"/>
      <c r="H38" s="77"/>
      <c r="I38" s="77"/>
      <c r="J38" s="77"/>
      <c r="K38" s="77"/>
      <c r="L38" s="80"/>
      <c r="M38" s="77"/>
      <c r="N38" s="77"/>
      <c r="O38" s="101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214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  <c r="DV38" s="77"/>
      <c r="DW38" s="77"/>
      <c r="DX38" s="77"/>
      <c r="DY38" s="77"/>
      <c r="DZ38" s="77"/>
      <c r="EA38" s="77"/>
      <c r="EB38" s="77"/>
      <c r="EC38" s="77"/>
      <c r="ED38" s="77"/>
      <c r="EE38" s="77"/>
      <c r="EF38" s="77"/>
      <c r="EG38" s="77"/>
      <c r="EH38" s="77"/>
      <c r="EI38" s="77"/>
      <c r="EJ38" s="77"/>
      <c r="EK38" s="77"/>
      <c r="EL38" s="77"/>
      <c r="EM38" s="77"/>
      <c r="EN38" s="77"/>
      <c r="EO38" s="77"/>
      <c r="EP38" s="77"/>
      <c r="EQ38" s="77"/>
      <c r="ER38" s="77"/>
      <c r="ES38" s="77"/>
      <c r="ET38" s="77"/>
      <c r="EU38" s="77"/>
      <c r="EV38" s="77"/>
      <c r="EW38" s="77"/>
      <c r="EX38" s="77"/>
      <c r="EY38" s="77"/>
      <c r="EZ38" s="77"/>
      <c r="FA38" s="77"/>
      <c r="FB38" s="77"/>
      <c r="FC38" s="77"/>
      <c r="FD38" s="77"/>
      <c r="FE38" s="77"/>
      <c r="FF38" s="77"/>
      <c r="FG38" s="77"/>
      <c r="FH38" s="77"/>
      <c r="FI38" s="77"/>
      <c r="FJ38" s="77"/>
      <c r="FK38" s="77"/>
      <c r="FL38" s="77"/>
      <c r="FM38" s="77"/>
      <c r="FN38" s="77"/>
      <c r="FO38" s="77"/>
      <c r="FP38" s="77"/>
      <c r="FQ38" s="77"/>
      <c r="FR38" s="77"/>
      <c r="FS38" s="77"/>
      <c r="FT38" s="77"/>
      <c r="FU38" s="77"/>
      <c r="FV38" s="77"/>
      <c r="FW38" s="77"/>
      <c r="FX38" s="77"/>
      <c r="FY38" s="77"/>
      <c r="FZ38" s="77"/>
      <c r="GA38" s="77"/>
      <c r="GB38" s="77"/>
      <c r="GC38" s="77"/>
    </row>
    <row r="39" spans="1:185">
      <c r="A39" s="80"/>
      <c r="B39" t="s">
        <v>88</v>
      </c>
      <c r="C39" s="80"/>
      <c r="D39" s="80"/>
      <c r="E39" s="82"/>
      <c r="F39" s="77">
        <f>IF(AND(_xlfn.XLOOKUP(12, Assumptions!$D$81:$GA$81, $F$5:$GC$5)&lt;F$5, _xlfn.XLOOKUP(12, Assumptions!$D$81:$GA$81, $F$5:$GC$5)+Assumptions!$D$9*12&gt;=F$5), _xlfn.XLOOKUP("Series A", Proforma!$F$21:$GC$21, Proforma!$F$26:$GC$26)/(Assumptions!$D$9*12), 0)</f>
        <v>0</v>
      </c>
      <c r="G39" s="77">
        <f>IF(AND(_xlfn.XLOOKUP(12, Assumptions!$D$81:$GA$81, $F$5:$GC$5)&lt;G$5, _xlfn.XLOOKUP(12, Assumptions!$D$81:$GA$81, $F$5:$GC$5)+Assumptions!$D$9*12&gt;=G$5), _xlfn.XLOOKUP("Series A", Proforma!$F$21:$GC$21, Proforma!$F$26:$GC$26)/(Assumptions!$D$9*12), 0)</f>
        <v>0</v>
      </c>
      <c r="H39" s="77">
        <f>IF(AND(_xlfn.XLOOKUP(12, Assumptions!$D$81:$GA$81, $F$5:$GC$5)&lt;H$5, _xlfn.XLOOKUP(12, Assumptions!$D$81:$GA$81, $F$5:$GC$5)+Assumptions!$D$9*12&gt;=H$5), _xlfn.XLOOKUP("Series A", Proforma!$F$21:$GC$21, Proforma!$F$26:$GC$26)/(Assumptions!$D$9*12), 0)</f>
        <v>0</v>
      </c>
      <c r="I39" s="77">
        <f>IF(AND(_xlfn.XLOOKUP(12, Assumptions!$D$81:$GA$81, $F$5:$GC$5)&lt;I$5, _xlfn.XLOOKUP(12, Assumptions!$D$81:$GA$81, $F$5:$GC$5)+Assumptions!$D$9*12&gt;=I$5), _xlfn.XLOOKUP("Series A", Proforma!$F$21:$GC$21, Proforma!$F$26:$GC$26)/(Assumptions!$D$9*12), 0)</f>
        <v>0</v>
      </c>
      <c r="J39" s="77">
        <f>IF(AND(_xlfn.XLOOKUP(12, Assumptions!$D$81:$GA$81, $F$5:$GC$5)&lt;J$5, _xlfn.XLOOKUP(12, Assumptions!$D$81:$GA$81, $F$5:$GC$5)+Assumptions!$D$9*12&gt;=J$5), _xlfn.XLOOKUP("Series A", Proforma!$F$21:$GC$21, Proforma!$F$26:$GC$26)/(Assumptions!$D$9*12), 0)</f>
        <v>0</v>
      </c>
      <c r="K39" s="77">
        <f>IF(AND(_xlfn.XLOOKUP(12, Assumptions!$D$81:$GA$81, $F$5:$GC$5)&lt;K$5, _xlfn.XLOOKUP(12, Assumptions!$D$81:$GA$81, $F$5:$GC$5)+Assumptions!$D$9*12&gt;=K$5), _xlfn.XLOOKUP("Series A", Proforma!$F$21:$GC$21, Proforma!$F$26:$GC$26)/(Assumptions!$D$9*12), 0)</f>
        <v>0</v>
      </c>
      <c r="L39" s="77">
        <f>IF(AND(_xlfn.XLOOKUP(12, Assumptions!$D$81:$GA$81, $F$5:$GC$5)&lt;L$5, _xlfn.XLOOKUP(12, Assumptions!$D$81:$GA$81, $F$5:$GC$5)+Assumptions!$D$9*12&gt;=L$5), _xlfn.XLOOKUP("Series A", Proforma!$F$21:$GC$21, Proforma!$F$26:$GC$26)/(Assumptions!$D$9*12), 0)</f>
        <v>0</v>
      </c>
      <c r="M39" s="77">
        <f>IF(AND(_xlfn.XLOOKUP(12, Assumptions!$D$81:$GA$81, $F$5:$GC$5)&lt;M$5, _xlfn.XLOOKUP(12, Assumptions!$D$81:$GA$81, $F$5:$GC$5)+Assumptions!$D$9*12&gt;=M$5), _xlfn.XLOOKUP("Series A", Proforma!$F$21:$GC$21, Proforma!$F$26:$GC$26)/(Assumptions!$D$9*12), 0)</f>
        <v>0</v>
      </c>
      <c r="N39" s="77">
        <f>IF(AND(_xlfn.XLOOKUP(12, Assumptions!$D$81:$GA$81, $F$5:$GC$5)&lt;N$5, _xlfn.XLOOKUP(12, Assumptions!$D$81:$GA$81, $F$5:$GC$5)+Assumptions!$D$9*12&gt;=N$5), _xlfn.XLOOKUP("Series A", Proforma!$F$21:$GC$21, Proforma!$F$26:$GC$26)/(Assumptions!$D$9*12), 0)</f>
        <v>0</v>
      </c>
      <c r="O39" s="77">
        <f>IF(AND(_xlfn.XLOOKUP(12, Assumptions!$D$81:$GA$81, $F$5:$GC$5)&lt;O$5, _xlfn.XLOOKUP(12, Assumptions!$D$81:$GA$81, $F$5:$GC$5)+Assumptions!$D$9*12&gt;=O$5), _xlfn.XLOOKUP("Series A", Proforma!$F$21:$GC$21, Proforma!$F$26:$GC$26)/(Assumptions!$D$9*12), 0)</f>
        <v>0</v>
      </c>
      <c r="P39" s="77">
        <f>IF(AND(_xlfn.XLOOKUP(12, Assumptions!$D$81:$GA$81, $F$5:$GC$5)&lt;P$5, _xlfn.XLOOKUP(12, Assumptions!$D$81:$GA$81, $F$5:$GC$5)+Assumptions!$D$9*12&gt;=P$5), _xlfn.XLOOKUP("Series A", Proforma!$F$21:$GC$21, Proforma!$F$26:$GC$26)/(Assumptions!$D$9*12), 0)</f>
        <v>0</v>
      </c>
      <c r="Q39" s="77">
        <f>IF(AND(_xlfn.XLOOKUP(12, Assumptions!$D$81:$GA$81, $F$5:$GC$5)&lt;Q$5, _xlfn.XLOOKUP(12, Assumptions!$D$81:$GA$81, $F$5:$GC$5)+Assumptions!$D$9*12&gt;=Q$5), _xlfn.XLOOKUP("Series A", Proforma!$F$21:$GC$21, Proforma!$F$26:$GC$26)/(Assumptions!$D$9*12), 0)</f>
        <v>0</v>
      </c>
      <c r="R39" s="77">
        <f>IF(AND(_xlfn.XLOOKUP(12, Assumptions!$D$81:$GA$81, $F$5:$GC$5)&lt;R$5, _xlfn.XLOOKUP(12, Assumptions!$D$81:$GA$81, $F$5:$GC$5)+Assumptions!$D$9*12&gt;=R$5), _xlfn.XLOOKUP("Series A", Proforma!$F$21:$GC$21, Proforma!$F$26:$GC$26)/(Assumptions!$D$9*12), 0)</f>
        <v>83333.333333333328</v>
      </c>
      <c r="S39" s="77">
        <f>IF(AND(_xlfn.XLOOKUP(12, Assumptions!$D$81:$GA$81, $F$5:$GC$5)&lt;S$5, _xlfn.XLOOKUP(12, Assumptions!$D$81:$GA$81, $F$5:$GC$5)+Assumptions!$D$9*12&gt;=S$5), _xlfn.XLOOKUP("Series A", Proforma!$F$21:$GC$21, Proforma!$F$26:$GC$26)/(Assumptions!$D$9*12), 0)</f>
        <v>83333.333333333328</v>
      </c>
      <c r="T39" s="77">
        <f>IF(AND(_xlfn.XLOOKUP(12, Assumptions!$D$81:$GA$81, $F$5:$GC$5)&lt;T$5, _xlfn.XLOOKUP(12, Assumptions!$D$81:$GA$81, $F$5:$GC$5)+Assumptions!$D$9*12&gt;=T$5), _xlfn.XLOOKUP("Series A", Proforma!$F$21:$GC$21, Proforma!$F$26:$GC$26)/(Assumptions!$D$9*12), 0)</f>
        <v>83333.333333333328</v>
      </c>
      <c r="U39" s="77">
        <f>IF(AND(_xlfn.XLOOKUP(12, Assumptions!$D$81:$GA$81, $F$5:$GC$5)&lt;U$5, _xlfn.XLOOKUP(12, Assumptions!$D$81:$GA$81, $F$5:$GC$5)+Assumptions!$D$9*12&gt;=U$5), _xlfn.XLOOKUP("Series A", Proforma!$F$21:$GC$21, Proforma!$F$26:$GC$26)/(Assumptions!$D$9*12), 0)</f>
        <v>83333.333333333328</v>
      </c>
      <c r="V39" s="77">
        <f>IF(AND(_xlfn.XLOOKUP(12, Assumptions!$D$81:$GA$81, $F$5:$GC$5)&lt;V$5, _xlfn.XLOOKUP(12, Assumptions!$D$81:$GA$81, $F$5:$GC$5)+Assumptions!$D$9*12&gt;=V$5), _xlfn.XLOOKUP("Series A", Proforma!$F$21:$GC$21, Proforma!$F$26:$GC$26)/(Assumptions!$D$9*12), 0)</f>
        <v>83333.333333333328</v>
      </c>
      <c r="W39" s="77">
        <f>IF(AND(_xlfn.XLOOKUP(12, Assumptions!$D$81:$GA$81, $F$5:$GC$5)&lt;W$5, _xlfn.XLOOKUP(12, Assumptions!$D$81:$GA$81, $F$5:$GC$5)+Assumptions!$D$9*12&gt;=W$5), _xlfn.XLOOKUP("Series A", Proforma!$F$21:$GC$21, Proforma!$F$26:$GC$26)/(Assumptions!$D$9*12), 0)</f>
        <v>83333.333333333328</v>
      </c>
      <c r="X39" s="77">
        <f>IF(AND(_xlfn.XLOOKUP(12, Assumptions!$D$81:$GA$81, $F$5:$GC$5)&lt;X$5, _xlfn.XLOOKUP(12, Assumptions!$D$81:$GA$81, $F$5:$GC$5)+Assumptions!$D$9*12&gt;=X$5), _xlfn.XLOOKUP("Series A", Proforma!$F$21:$GC$21, Proforma!$F$26:$GC$26)/(Assumptions!$D$9*12), 0)</f>
        <v>83333.333333333328</v>
      </c>
      <c r="Y39" s="77">
        <f>IF(AND(_xlfn.XLOOKUP(12, Assumptions!$D$81:$GA$81, $F$5:$GC$5)&lt;Y$5, _xlfn.XLOOKUP(12, Assumptions!$D$81:$GA$81, $F$5:$GC$5)+Assumptions!$D$9*12&gt;=Y$5), _xlfn.XLOOKUP("Series A", Proforma!$F$21:$GC$21, Proforma!$F$26:$GC$26)/(Assumptions!$D$9*12), 0)</f>
        <v>83333.333333333328</v>
      </c>
      <c r="Z39" s="77">
        <f>IF(AND(_xlfn.XLOOKUP(12, Assumptions!$D$81:$GA$81, $F$5:$GC$5)&lt;Z$5, _xlfn.XLOOKUP(12, Assumptions!$D$81:$GA$81, $F$5:$GC$5)+Assumptions!$D$9*12&gt;=Z$5), _xlfn.XLOOKUP("Series A", Proforma!$F$21:$GC$21, Proforma!$F$26:$GC$26)/(Assumptions!$D$9*12), 0)</f>
        <v>83333.333333333328</v>
      </c>
      <c r="AA39" s="77">
        <f>IF(AND(_xlfn.XLOOKUP(12, Assumptions!$D$81:$GA$81, $F$5:$GC$5)&lt;AA$5, _xlfn.XLOOKUP(12, Assumptions!$D$81:$GA$81, $F$5:$GC$5)+Assumptions!$D$9*12&gt;=AA$5), _xlfn.XLOOKUP("Series A", Proforma!$F$21:$GC$21, Proforma!$F$26:$GC$26)/(Assumptions!$D$9*12), 0)</f>
        <v>83333.333333333328</v>
      </c>
      <c r="AB39" s="77">
        <f>IF(AND(_xlfn.XLOOKUP(12, Assumptions!$D$81:$GA$81, $F$5:$GC$5)&lt;AB$5, _xlfn.XLOOKUP(12, Assumptions!$D$81:$GA$81, $F$5:$GC$5)+Assumptions!$D$9*12&gt;=AB$5), _xlfn.XLOOKUP("Series A", Proforma!$F$21:$GC$21, Proforma!$F$26:$GC$26)/(Assumptions!$D$9*12), 0)</f>
        <v>83333.333333333328</v>
      </c>
      <c r="AC39" s="77">
        <f>IF(AND(_xlfn.XLOOKUP(12, Assumptions!$D$81:$GA$81, $F$5:$GC$5)&lt;AC$5, _xlfn.XLOOKUP(12, Assumptions!$D$81:$GA$81, $F$5:$GC$5)+Assumptions!$D$9*12&gt;=AC$5), _xlfn.XLOOKUP("Series A", Proforma!$F$21:$GC$21, Proforma!$F$26:$GC$26)/(Assumptions!$D$9*12), 0)</f>
        <v>83333.333333333328</v>
      </c>
      <c r="AD39" s="77">
        <f>IF(AND(_xlfn.XLOOKUP(12, Assumptions!$D$81:$GA$81, $F$5:$GC$5)&lt;AD$5, _xlfn.XLOOKUP(12, Assumptions!$D$81:$GA$81, $F$5:$GC$5)+Assumptions!$D$9*12&gt;=AD$5), _xlfn.XLOOKUP("Series A", Proforma!$F$21:$GC$21, Proforma!$F$26:$GC$26)/(Assumptions!$D$9*12), 0)</f>
        <v>83333.333333333328</v>
      </c>
      <c r="AE39" s="77">
        <f>IF(AND(_xlfn.XLOOKUP(12, Assumptions!$D$81:$GA$81, $F$5:$GC$5)&lt;AE$5, _xlfn.XLOOKUP(12, Assumptions!$D$81:$GA$81, $F$5:$GC$5)+Assumptions!$D$9*12&gt;=AE$5), _xlfn.XLOOKUP("Series A", Proforma!$F$21:$GC$21, Proforma!$F$26:$GC$26)/(Assumptions!$D$9*12), 0)</f>
        <v>83333.333333333328</v>
      </c>
      <c r="AF39" s="77">
        <f>IF(AND(_xlfn.XLOOKUP(12, Assumptions!$D$81:$GA$81, $F$5:$GC$5)&lt;AF$5, _xlfn.XLOOKUP(12, Assumptions!$D$81:$GA$81, $F$5:$GC$5)+Assumptions!$D$9*12&gt;=AF$5), _xlfn.XLOOKUP("Series A", Proforma!$F$21:$GC$21, Proforma!$F$26:$GC$26)/(Assumptions!$D$9*12), 0)</f>
        <v>83333.333333333328</v>
      </c>
      <c r="AG39" s="77">
        <f>IF(AND(_xlfn.XLOOKUP(12, Assumptions!$D$81:$GA$81, $F$5:$GC$5)&lt;AG$5, _xlfn.XLOOKUP(12, Assumptions!$D$81:$GA$81, $F$5:$GC$5)+Assumptions!$D$9*12&gt;=AG$5), _xlfn.XLOOKUP("Series A", Proforma!$F$21:$GC$21, Proforma!$F$26:$GC$26)/(Assumptions!$D$9*12), 0)</f>
        <v>83333.333333333328</v>
      </c>
      <c r="AH39" s="77">
        <f>IF(AND(_xlfn.XLOOKUP(12, Assumptions!$D$81:$GA$81, $F$5:$GC$5)&lt;AH$5, _xlfn.XLOOKUP(12, Assumptions!$D$81:$GA$81, $F$5:$GC$5)+Assumptions!$D$9*12&gt;=AH$5), _xlfn.XLOOKUP("Series A", Proforma!$F$21:$GC$21, Proforma!$F$26:$GC$26)/(Assumptions!$D$9*12), 0)</f>
        <v>83333.333333333328</v>
      </c>
      <c r="AI39" s="77">
        <f>IF(AND(_xlfn.XLOOKUP(12, Assumptions!$D$81:$GA$81, $F$5:$GC$5)&lt;AI$5, _xlfn.XLOOKUP(12, Assumptions!$D$81:$GA$81, $F$5:$GC$5)+Assumptions!$D$9*12&gt;=AI$5), _xlfn.XLOOKUP("Series A", Proforma!$F$21:$GC$21, Proforma!$F$26:$GC$26)/(Assumptions!$D$9*12), 0)</f>
        <v>83333.333333333328</v>
      </c>
      <c r="AJ39" s="77">
        <f>IF(AND(_xlfn.XLOOKUP(12, Assumptions!$D$81:$GA$81, $F$5:$GC$5)&lt;AJ$5, _xlfn.XLOOKUP(12, Assumptions!$D$81:$GA$81, $F$5:$GC$5)+Assumptions!$D$9*12&gt;=AJ$5), _xlfn.XLOOKUP("Series A", Proforma!$F$21:$GC$21, Proforma!$F$26:$GC$26)/(Assumptions!$D$9*12), 0)</f>
        <v>83333.333333333328</v>
      </c>
      <c r="AK39" s="77">
        <f>IF(AND(_xlfn.XLOOKUP(12, Assumptions!$D$81:$GA$81, $F$5:$GC$5)&lt;AK$5, _xlfn.XLOOKUP(12, Assumptions!$D$81:$GA$81, $F$5:$GC$5)+Assumptions!$D$9*12&gt;=AK$5), _xlfn.XLOOKUP("Series A", Proforma!$F$21:$GC$21, Proforma!$F$26:$GC$26)/(Assumptions!$D$9*12), 0)</f>
        <v>83333.333333333328</v>
      </c>
      <c r="AL39" s="77">
        <f>IF(AND(_xlfn.XLOOKUP(12, Assumptions!$D$81:$GA$81, $F$5:$GC$5)&lt;AL$5, _xlfn.XLOOKUP(12, Assumptions!$D$81:$GA$81, $F$5:$GC$5)+Assumptions!$D$9*12&gt;=AL$5), _xlfn.XLOOKUP("Series A", Proforma!$F$21:$GC$21, Proforma!$F$26:$GC$26)/(Assumptions!$D$9*12), 0)</f>
        <v>83333.333333333328</v>
      </c>
      <c r="AM39" s="77">
        <f>IF(AND(_xlfn.XLOOKUP(12, Assumptions!$D$81:$GA$81, $F$5:$GC$5)&lt;AM$5, _xlfn.XLOOKUP(12, Assumptions!$D$81:$GA$81, $F$5:$GC$5)+Assumptions!$D$9*12&gt;=AM$5), _xlfn.XLOOKUP("Series A", Proforma!$F$21:$GC$21, Proforma!$F$26:$GC$26)/(Assumptions!$D$9*12), 0)</f>
        <v>83333.333333333328</v>
      </c>
      <c r="AN39" s="77">
        <f>IF(AND(_xlfn.XLOOKUP(12, Assumptions!$D$81:$GA$81, $F$5:$GC$5)&lt;AN$5, _xlfn.XLOOKUP(12, Assumptions!$D$81:$GA$81, $F$5:$GC$5)+Assumptions!$D$9*12&gt;=AN$5), _xlfn.XLOOKUP("Series A", Proforma!$F$21:$GC$21, Proforma!$F$26:$GC$26)/(Assumptions!$D$9*12), 0)</f>
        <v>83333.333333333328</v>
      </c>
      <c r="AO39" s="77">
        <f>IF(AND(_xlfn.XLOOKUP(12, Assumptions!$D$81:$GA$81, $F$5:$GC$5)&lt;AO$5, _xlfn.XLOOKUP(12, Assumptions!$D$81:$GA$81, $F$5:$GC$5)+Assumptions!$D$9*12&gt;=AO$5), _xlfn.XLOOKUP("Series A", Proforma!$F$21:$GC$21, Proforma!$F$26:$GC$26)/(Assumptions!$D$9*12), 0)</f>
        <v>83333.333333333328</v>
      </c>
      <c r="AP39" s="77">
        <f>IF(AND(_xlfn.XLOOKUP(12, Assumptions!$D$81:$GA$81, $F$5:$GC$5)&lt;AP$5, _xlfn.XLOOKUP(12, Assumptions!$D$81:$GA$81, $F$5:$GC$5)+Assumptions!$D$9*12&gt;=AP$5), _xlfn.XLOOKUP("Series A", Proforma!$F$21:$GC$21, Proforma!$F$26:$GC$26)/(Assumptions!$D$9*12), 0)</f>
        <v>83333.333333333328</v>
      </c>
      <c r="AQ39" s="77">
        <f>IF(AND(_xlfn.XLOOKUP(12, Assumptions!$D$81:$GA$81, $F$5:$GC$5)&lt;AQ$5, _xlfn.XLOOKUP(12, Assumptions!$D$81:$GA$81, $F$5:$GC$5)+Assumptions!$D$9*12&gt;=AQ$5), _xlfn.XLOOKUP("Series A", Proforma!$F$21:$GC$21, Proforma!$F$26:$GC$26)/(Assumptions!$D$9*12), 0)</f>
        <v>83333.333333333328</v>
      </c>
      <c r="AR39" s="77">
        <f>IF(AND(_xlfn.XLOOKUP(12, Assumptions!$D$81:$GA$81, $F$5:$GC$5)&lt;AR$5, _xlfn.XLOOKUP(12, Assumptions!$D$81:$GA$81, $F$5:$GC$5)+Assumptions!$D$9*12&gt;=AR$5), _xlfn.XLOOKUP("Series A", Proforma!$F$21:$GC$21, Proforma!$F$26:$GC$26)/(Assumptions!$D$9*12), 0)</f>
        <v>83333.333333333328</v>
      </c>
      <c r="AS39" s="77">
        <f>IF(AND(_xlfn.XLOOKUP(12, Assumptions!$D$81:$GA$81, $F$5:$GC$5)&lt;AS$5, _xlfn.XLOOKUP(12, Assumptions!$D$81:$GA$81, $F$5:$GC$5)+Assumptions!$D$9*12&gt;=AS$5), _xlfn.XLOOKUP("Series A", Proforma!$F$21:$GC$21, Proforma!$F$26:$GC$26)/(Assumptions!$D$9*12), 0)</f>
        <v>83333.333333333328</v>
      </c>
      <c r="AT39" s="77">
        <f>IF(AND(_xlfn.XLOOKUP(12, Assumptions!$D$81:$GA$81, $F$5:$GC$5)&lt;AT$5, _xlfn.XLOOKUP(12, Assumptions!$D$81:$GA$81, $F$5:$GC$5)+Assumptions!$D$9*12&gt;=AT$5), _xlfn.XLOOKUP("Series A", Proforma!$F$21:$GC$21, Proforma!$F$26:$GC$26)/(Assumptions!$D$9*12), 0)</f>
        <v>83333.333333333328</v>
      </c>
      <c r="AU39" s="77">
        <f>IF(AND(_xlfn.XLOOKUP(12, Assumptions!$D$81:$GA$81, $F$5:$GC$5)&lt;AU$5, _xlfn.XLOOKUP(12, Assumptions!$D$81:$GA$81, $F$5:$GC$5)+Assumptions!$D$9*12&gt;=AU$5), _xlfn.XLOOKUP("Series A", Proforma!$F$21:$GC$21, Proforma!$F$26:$GC$26)/(Assumptions!$D$9*12), 0)</f>
        <v>83333.333333333328</v>
      </c>
      <c r="AV39" s="77">
        <f>IF(AND(_xlfn.XLOOKUP(12, Assumptions!$D$81:$GA$81, $F$5:$GC$5)&lt;AV$5, _xlfn.XLOOKUP(12, Assumptions!$D$81:$GA$81, $F$5:$GC$5)+Assumptions!$D$9*12&gt;=AV$5), _xlfn.XLOOKUP("Series A", Proforma!$F$21:$GC$21, Proforma!$F$26:$GC$26)/(Assumptions!$D$9*12), 0)</f>
        <v>83333.333333333328</v>
      </c>
      <c r="AW39" s="77">
        <f>IF(AND(_xlfn.XLOOKUP(12, Assumptions!$D$81:$GA$81, $F$5:$GC$5)&lt;AW$5, _xlfn.XLOOKUP(12, Assumptions!$D$81:$GA$81, $F$5:$GC$5)+Assumptions!$D$9*12&gt;=AW$5), _xlfn.XLOOKUP("Series A", Proforma!$F$21:$GC$21, Proforma!$F$26:$GC$26)/(Assumptions!$D$9*12), 0)</f>
        <v>83333.333333333328</v>
      </c>
      <c r="AX39" s="77">
        <f>IF(AND(_xlfn.XLOOKUP(12, Assumptions!$D$81:$GA$81, $F$5:$GC$5)&lt;AX$5, _xlfn.XLOOKUP(12, Assumptions!$D$81:$GA$81, $F$5:$GC$5)+Assumptions!$D$9*12&gt;=AX$5), _xlfn.XLOOKUP("Series A", Proforma!$F$21:$GC$21, Proforma!$F$26:$GC$26)/(Assumptions!$D$9*12), 0)</f>
        <v>83333.333333333328</v>
      </c>
      <c r="AY39" s="77">
        <f>IF(AND(_xlfn.XLOOKUP(12, Assumptions!$D$81:$GA$81, $F$5:$GC$5)&lt;AY$5, _xlfn.XLOOKUP(12, Assumptions!$D$81:$GA$81, $F$5:$GC$5)+Assumptions!$D$9*12&gt;=AY$5), _xlfn.XLOOKUP("Series A", Proforma!$F$21:$GC$21, Proforma!$F$26:$GC$26)/(Assumptions!$D$9*12), 0)</f>
        <v>83333.333333333328</v>
      </c>
      <c r="AZ39" s="77">
        <f>IF(AND(_xlfn.XLOOKUP(12, Assumptions!$D$81:$GA$81, $F$5:$GC$5)&lt;AZ$5, _xlfn.XLOOKUP(12, Assumptions!$D$81:$GA$81, $F$5:$GC$5)+Assumptions!$D$9*12&gt;=AZ$5), _xlfn.XLOOKUP("Series A", Proforma!$F$21:$GC$21, Proforma!$F$26:$GC$26)/(Assumptions!$D$9*12), 0)</f>
        <v>83333.333333333328</v>
      </c>
      <c r="BA39" s="77">
        <f>IF(AND(_xlfn.XLOOKUP(12, Assumptions!$D$81:$GA$81, $F$5:$GC$5)&lt;BA$5, _xlfn.XLOOKUP(12, Assumptions!$D$81:$GA$81, $F$5:$GC$5)+Assumptions!$D$9*12&gt;=BA$5), _xlfn.XLOOKUP("Series A", Proforma!$F$21:$GC$21, Proforma!$F$26:$GC$26)/(Assumptions!$D$9*12), 0)</f>
        <v>83333.333333333328</v>
      </c>
      <c r="BB39" s="77">
        <f>IF(AND(_xlfn.XLOOKUP(12, Assumptions!$D$81:$GA$81, $F$5:$GC$5)&lt;BB$5, _xlfn.XLOOKUP(12, Assumptions!$D$81:$GA$81, $F$5:$GC$5)+Assumptions!$D$9*12&gt;=BB$5), _xlfn.XLOOKUP("Series A", Proforma!$F$21:$GC$21, Proforma!$F$26:$GC$26)/(Assumptions!$D$9*12), 0)</f>
        <v>83333.333333333328</v>
      </c>
      <c r="BC39" s="77">
        <f>IF(AND(_xlfn.XLOOKUP(12, Assumptions!$D$81:$GA$81, $F$5:$GC$5)&lt;BC$5, _xlfn.XLOOKUP(12, Assumptions!$D$81:$GA$81, $F$5:$GC$5)+Assumptions!$D$9*12&gt;=BC$5), _xlfn.XLOOKUP("Series A", Proforma!$F$21:$GC$21, Proforma!$F$26:$GC$26)/(Assumptions!$D$9*12), 0)</f>
        <v>83333.333333333328</v>
      </c>
      <c r="BD39" s="77">
        <f>IF(AND(_xlfn.XLOOKUP(12, Assumptions!$D$81:$GA$81, $F$5:$GC$5)&lt;BD$5, _xlfn.XLOOKUP(12, Assumptions!$D$81:$GA$81, $F$5:$GC$5)+Assumptions!$D$9*12&gt;=BD$5), _xlfn.XLOOKUP("Series A", Proforma!$F$21:$GC$21, Proforma!$F$26:$GC$26)/(Assumptions!$D$9*12), 0)</f>
        <v>83333.333333333328</v>
      </c>
      <c r="BE39" s="77">
        <f>IF(AND(_xlfn.XLOOKUP(12, Assumptions!$D$81:$GA$81, $F$5:$GC$5)&lt;BE$5, _xlfn.XLOOKUP(12, Assumptions!$D$81:$GA$81, $F$5:$GC$5)+Assumptions!$D$9*12&gt;=BE$5), _xlfn.XLOOKUP("Series A", Proforma!$F$21:$GC$21, Proforma!$F$26:$GC$26)/(Assumptions!$D$9*12), 0)</f>
        <v>83333.333333333328</v>
      </c>
      <c r="BF39" s="77">
        <f>IF(AND(_xlfn.XLOOKUP(12, Assumptions!$D$81:$GA$81, $F$5:$GC$5)&lt;BF$5, _xlfn.XLOOKUP(12, Assumptions!$D$81:$GA$81, $F$5:$GC$5)+Assumptions!$D$9*12&gt;=BF$5), _xlfn.XLOOKUP("Series A", Proforma!$F$21:$GC$21, Proforma!$F$26:$GC$26)/(Assumptions!$D$9*12), 0)</f>
        <v>83333.333333333328</v>
      </c>
      <c r="BG39" s="77">
        <f>IF(AND(_xlfn.XLOOKUP(12, Assumptions!$D$81:$GA$81, $F$5:$GC$5)&lt;BG$5, _xlfn.XLOOKUP(12, Assumptions!$D$81:$GA$81, $F$5:$GC$5)+Assumptions!$D$9*12&gt;=BG$5), _xlfn.XLOOKUP("Series A", Proforma!$F$21:$GC$21, Proforma!$F$26:$GC$26)/(Assumptions!$D$9*12), 0)</f>
        <v>83333.333333333328</v>
      </c>
      <c r="BH39" s="77">
        <f>IF(AND(_xlfn.XLOOKUP(12, Assumptions!$D$81:$GA$81, $F$5:$GC$5)&lt;BH$5, _xlfn.XLOOKUP(12, Assumptions!$D$81:$GA$81, $F$5:$GC$5)+Assumptions!$D$9*12&gt;=BH$5), _xlfn.XLOOKUP("Series A", Proforma!$F$21:$GC$21, Proforma!$F$26:$GC$26)/(Assumptions!$D$9*12), 0)</f>
        <v>83333.333333333328</v>
      </c>
      <c r="BI39" s="77">
        <f>IF(AND(_xlfn.XLOOKUP(12, Assumptions!$D$81:$GA$81, $F$5:$GC$5)&lt;BI$5, _xlfn.XLOOKUP(12, Assumptions!$D$81:$GA$81, $F$5:$GC$5)+Assumptions!$D$9*12&gt;=BI$5), _xlfn.XLOOKUP("Series A", Proforma!$F$21:$GC$21, Proforma!$F$26:$GC$26)/(Assumptions!$D$9*12), 0)</f>
        <v>83333.333333333328</v>
      </c>
      <c r="BJ39" s="77">
        <f>IF(AND(_xlfn.XLOOKUP(12, Assumptions!$D$81:$GA$81, $F$5:$GC$5)&lt;BJ$5, _xlfn.XLOOKUP(12, Assumptions!$D$81:$GA$81, $F$5:$GC$5)+Assumptions!$D$9*12&gt;=BJ$5), _xlfn.XLOOKUP("Series A", Proforma!$F$21:$GC$21, Proforma!$F$26:$GC$26)/(Assumptions!$D$9*12), 0)</f>
        <v>83333.333333333328</v>
      </c>
      <c r="BK39" s="77">
        <f>IF(AND(_xlfn.XLOOKUP(12, Assumptions!$D$81:$GA$81, $F$5:$GC$5)&lt;BK$5, _xlfn.XLOOKUP(12, Assumptions!$D$81:$GA$81, $F$5:$GC$5)+Assumptions!$D$9*12&gt;=BK$5), _xlfn.XLOOKUP("Series A", Proforma!$F$21:$GC$21, Proforma!$F$26:$GC$26)/(Assumptions!$D$9*12), 0)</f>
        <v>83333.333333333328</v>
      </c>
      <c r="BL39" s="77">
        <f>IF(AND(_xlfn.XLOOKUP(12, Assumptions!$D$81:$GA$81, $F$5:$GC$5)&lt;BL$5, _xlfn.XLOOKUP(12, Assumptions!$D$81:$GA$81, $F$5:$GC$5)+Assumptions!$D$9*12&gt;=BL$5), _xlfn.XLOOKUP("Series A", Proforma!$F$21:$GC$21, Proforma!$F$26:$GC$26)/(Assumptions!$D$9*12), 0)</f>
        <v>83333.333333333328</v>
      </c>
      <c r="BM39" s="77">
        <f>IF(AND(_xlfn.XLOOKUP(12, Assumptions!$D$81:$GA$81, $F$5:$GC$5)&lt;BM$5, _xlfn.XLOOKUP(12, Assumptions!$D$81:$GA$81, $F$5:$GC$5)+Assumptions!$D$9*12&gt;=BM$5), _xlfn.XLOOKUP("Series A", Proforma!$F$21:$GC$21, Proforma!$F$26:$GC$26)/(Assumptions!$D$9*12), 0)</f>
        <v>83333.333333333328</v>
      </c>
      <c r="BN39" s="77">
        <f>IF(AND(_xlfn.XLOOKUP(12, Assumptions!$D$81:$GA$81, $F$5:$GC$5)&lt;BN$5, _xlfn.XLOOKUP(12, Assumptions!$D$81:$GA$81, $F$5:$GC$5)+Assumptions!$D$9*12&gt;=BN$5), _xlfn.XLOOKUP("Series A", Proforma!$F$21:$GC$21, Proforma!$F$26:$GC$26)/(Assumptions!$D$9*12), 0)</f>
        <v>83333.333333333328</v>
      </c>
      <c r="BO39" s="77">
        <f>IF(AND(_xlfn.XLOOKUP(12, Assumptions!$D$81:$GA$81, $F$5:$GC$5)&lt;BO$5, _xlfn.XLOOKUP(12, Assumptions!$D$81:$GA$81, $F$5:$GC$5)+Assumptions!$D$9*12&gt;=BO$5), _xlfn.XLOOKUP("Series A", Proforma!$F$21:$GC$21, Proforma!$F$26:$GC$26)/(Assumptions!$D$9*12), 0)</f>
        <v>83333.333333333328</v>
      </c>
      <c r="BP39" s="77">
        <f>IF(AND(_xlfn.XLOOKUP(12, Assumptions!$D$81:$GA$81, $F$5:$GC$5)&lt;BP$5, _xlfn.XLOOKUP(12, Assumptions!$D$81:$GA$81, $F$5:$GC$5)+Assumptions!$D$9*12&gt;=BP$5), _xlfn.XLOOKUP("Series A", Proforma!$F$21:$GC$21, Proforma!$F$26:$GC$26)/(Assumptions!$D$9*12), 0)</f>
        <v>83333.333333333328</v>
      </c>
      <c r="BQ39" s="77">
        <f>IF(AND(_xlfn.XLOOKUP(12, Assumptions!$D$81:$GA$81, $F$5:$GC$5)&lt;BQ$5, _xlfn.XLOOKUP(12, Assumptions!$D$81:$GA$81, $F$5:$GC$5)+Assumptions!$D$9*12&gt;=BQ$5), _xlfn.XLOOKUP("Series A", Proforma!$F$21:$GC$21, Proforma!$F$26:$GC$26)/(Assumptions!$D$9*12), 0)</f>
        <v>83333.333333333328</v>
      </c>
      <c r="BR39" s="77">
        <f>IF(AND(_xlfn.XLOOKUP(12, Assumptions!$D$81:$GA$81, $F$5:$GC$5)&lt;BR$5, _xlfn.XLOOKUP(12, Assumptions!$D$81:$GA$81, $F$5:$GC$5)+Assumptions!$D$9*12&gt;=BR$5), _xlfn.XLOOKUP("Series A", Proforma!$F$21:$GC$21, Proforma!$F$26:$GC$26)/(Assumptions!$D$9*12), 0)</f>
        <v>83333.333333333328</v>
      </c>
      <c r="BS39" s="77">
        <f>IF(AND(_xlfn.XLOOKUP(12, Assumptions!$D$81:$GA$81, $F$5:$GC$5)&lt;BS$5, _xlfn.XLOOKUP(12, Assumptions!$D$81:$GA$81, $F$5:$GC$5)+Assumptions!$D$9*12&gt;=BS$5), _xlfn.XLOOKUP("Series A", Proforma!$F$21:$GC$21, Proforma!$F$26:$GC$26)/(Assumptions!$D$9*12), 0)</f>
        <v>83333.333333333328</v>
      </c>
      <c r="BT39" s="77">
        <f>IF(AND(_xlfn.XLOOKUP(12, Assumptions!$D$81:$GA$81, $F$5:$GC$5)&lt;BT$5, _xlfn.XLOOKUP(12, Assumptions!$D$81:$GA$81, $F$5:$GC$5)+Assumptions!$D$9*12&gt;=BT$5), _xlfn.XLOOKUP("Series A", Proforma!$F$21:$GC$21, Proforma!$F$26:$GC$26)/(Assumptions!$D$9*12), 0)</f>
        <v>83333.333333333328</v>
      </c>
      <c r="BU39" s="77">
        <f>IF(AND(_xlfn.XLOOKUP(12, Assumptions!$D$81:$GA$81, $F$5:$GC$5)&lt;BU$5, _xlfn.XLOOKUP(12, Assumptions!$D$81:$GA$81, $F$5:$GC$5)+Assumptions!$D$9*12&gt;=BU$5), _xlfn.XLOOKUP("Series A", Proforma!$F$21:$GC$21, Proforma!$F$26:$GC$26)/(Assumptions!$D$9*12), 0)</f>
        <v>83333.333333333328</v>
      </c>
      <c r="BV39" s="77">
        <f>IF(AND(_xlfn.XLOOKUP(12, Assumptions!$D$81:$GA$81, $F$5:$GC$5)&lt;BV$5, _xlfn.XLOOKUP(12, Assumptions!$D$81:$GA$81, $F$5:$GC$5)+Assumptions!$D$9*12&gt;=BV$5), _xlfn.XLOOKUP("Series A", Proforma!$F$21:$GC$21, Proforma!$F$26:$GC$26)/(Assumptions!$D$9*12), 0)</f>
        <v>83333.333333333328</v>
      </c>
      <c r="BW39" s="77">
        <f>IF(AND(_xlfn.XLOOKUP(12, Assumptions!$D$81:$GA$81, $F$5:$GC$5)&lt;BW$5, _xlfn.XLOOKUP(12, Assumptions!$D$81:$GA$81, $F$5:$GC$5)+Assumptions!$D$9*12&gt;=BW$5), _xlfn.XLOOKUP("Series A", Proforma!$F$21:$GC$21, Proforma!$F$26:$GC$26)/(Assumptions!$D$9*12), 0)</f>
        <v>83333.333333333328</v>
      </c>
      <c r="BX39" s="77">
        <f>IF(AND(_xlfn.XLOOKUP(12, Assumptions!$D$81:$GA$81, $F$5:$GC$5)&lt;BX$5, _xlfn.XLOOKUP(12, Assumptions!$D$81:$GA$81, $F$5:$GC$5)+Assumptions!$D$9*12&gt;=BX$5), _xlfn.XLOOKUP("Series A", Proforma!$F$21:$GC$21, Proforma!$F$26:$GC$26)/(Assumptions!$D$9*12), 0)</f>
        <v>83333.333333333328</v>
      </c>
      <c r="BY39" s="77">
        <f>IF(AND(_xlfn.XLOOKUP(12, Assumptions!$D$81:$GA$81, $F$5:$GC$5)&lt;BY$5, _xlfn.XLOOKUP(12, Assumptions!$D$81:$GA$81, $F$5:$GC$5)+Assumptions!$D$9*12&gt;=BY$5), _xlfn.XLOOKUP("Series A", Proforma!$F$21:$GC$21, Proforma!$F$26:$GC$26)/(Assumptions!$D$9*12), 0)</f>
        <v>83333.333333333328</v>
      </c>
      <c r="BZ39" s="77">
        <f>IF(AND(_xlfn.XLOOKUP(12, Assumptions!$D$81:$GA$81, $F$5:$GC$5)&lt;BZ$5, _xlfn.XLOOKUP(12, Assumptions!$D$81:$GA$81, $F$5:$GC$5)+Assumptions!$D$9*12&gt;=BZ$5), _xlfn.XLOOKUP("Series A", Proforma!$F$21:$GC$21, Proforma!$F$26:$GC$26)/(Assumptions!$D$9*12), 0)</f>
        <v>83333.333333333328</v>
      </c>
      <c r="CA39" s="77">
        <f>IF(AND(_xlfn.XLOOKUP(12, Assumptions!$D$81:$GA$81, $F$5:$GC$5)&lt;CA$5, _xlfn.XLOOKUP(12, Assumptions!$D$81:$GA$81, $F$5:$GC$5)+Assumptions!$D$9*12&gt;=CA$5), _xlfn.XLOOKUP("Series A", Proforma!$F$21:$GC$21, Proforma!$F$26:$GC$26)/(Assumptions!$D$9*12), 0)</f>
        <v>83333.333333333328</v>
      </c>
      <c r="CB39" s="77">
        <f>IF(AND(_xlfn.XLOOKUP(12, Assumptions!$D$81:$GA$81, $F$5:$GC$5)&lt;CB$5, _xlfn.XLOOKUP(12, Assumptions!$D$81:$GA$81, $F$5:$GC$5)+Assumptions!$D$9*12&gt;=CB$5), _xlfn.XLOOKUP("Series A", Proforma!$F$21:$GC$21, Proforma!$F$26:$GC$26)/(Assumptions!$D$9*12), 0)</f>
        <v>83333.333333333328</v>
      </c>
      <c r="CC39" s="77">
        <f>IF(AND(_xlfn.XLOOKUP(12, Assumptions!$D$81:$GA$81, $F$5:$GC$5)&lt;CC$5, _xlfn.XLOOKUP(12, Assumptions!$D$81:$GA$81, $F$5:$GC$5)+Assumptions!$D$9*12&gt;=CC$5), _xlfn.XLOOKUP("Series A", Proforma!$F$21:$GC$21, Proforma!$F$26:$GC$26)/(Assumptions!$D$9*12), 0)</f>
        <v>83333.333333333328</v>
      </c>
      <c r="CD39" s="77">
        <f>IF(AND(_xlfn.XLOOKUP(12, Assumptions!$D$81:$GA$81, $F$5:$GC$5)&lt;CD$5, _xlfn.XLOOKUP(12, Assumptions!$D$81:$GA$81, $F$5:$GC$5)+Assumptions!$D$9*12&gt;=CD$5), _xlfn.XLOOKUP("Series A", Proforma!$F$21:$GC$21, Proforma!$F$26:$GC$26)/(Assumptions!$D$9*12), 0)</f>
        <v>83333.333333333328</v>
      </c>
      <c r="CE39" s="77">
        <f>IF(AND(_xlfn.XLOOKUP(12, Assumptions!$D$81:$GA$81, $F$5:$GC$5)&lt;CE$5, _xlfn.XLOOKUP(12, Assumptions!$D$81:$GA$81, $F$5:$GC$5)+Assumptions!$D$9*12&gt;=CE$5), _xlfn.XLOOKUP("Series A", Proforma!$F$21:$GC$21, Proforma!$F$26:$GC$26)/(Assumptions!$D$9*12), 0)</f>
        <v>83333.333333333328</v>
      </c>
      <c r="CF39" s="77">
        <f>IF(AND(_xlfn.XLOOKUP(12, Assumptions!$D$81:$GA$81, $F$5:$GC$5)&lt;CF$5, _xlfn.XLOOKUP(12, Assumptions!$D$81:$GA$81, $F$5:$GC$5)+Assumptions!$D$9*12&gt;=CF$5), _xlfn.XLOOKUP("Series A", Proforma!$F$21:$GC$21, Proforma!$F$26:$GC$26)/(Assumptions!$D$9*12), 0)</f>
        <v>83333.333333333328</v>
      </c>
      <c r="CG39" s="77">
        <f>IF(AND(_xlfn.XLOOKUP(12, Assumptions!$D$81:$GA$81, $F$5:$GC$5)&lt;CG$5, _xlfn.XLOOKUP(12, Assumptions!$D$81:$GA$81, $F$5:$GC$5)+Assumptions!$D$9*12&gt;=CG$5), _xlfn.XLOOKUP("Series A", Proforma!$F$21:$GC$21, Proforma!$F$26:$GC$26)/(Assumptions!$D$9*12), 0)</f>
        <v>83333.333333333328</v>
      </c>
      <c r="CH39" s="77">
        <f>IF(AND(_xlfn.XLOOKUP(12, Assumptions!$D$81:$GA$81, $F$5:$GC$5)&lt;CH$5, _xlfn.XLOOKUP(12, Assumptions!$D$81:$GA$81, $F$5:$GC$5)+Assumptions!$D$9*12&gt;=CH$5), _xlfn.XLOOKUP("Series A", Proforma!$F$21:$GC$21, Proforma!$F$26:$GC$26)/(Assumptions!$D$9*12), 0)</f>
        <v>83333.333333333328</v>
      </c>
      <c r="CI39" s="77">
        <f>IF(AND(_xlfn.XLOOKUP(12, Assumptions!$D$81:$GA$81, $F$5:$GC$5)&lt;CI$5, _xlfn.XLOOKUP(12, Assumptions!$D$81:$GA$81, $F$5:$GC$5)+Assumptions!$D$9*12&gt;=CI$5), _xlfn.XLOOKUP("Series A", Proforma!$F$21:$GC$21, Proforma!$F$26:$GC$26)/(Assumptions!$D$9*12), 0)</f>
        <v>83333.333333333328</v>
      </c>
      <c r="CJ39" s="77">
        <f>IF(AND(_xlfn.XLOOKUP(12, Assumptions!$D$81:$GA$81, $F$5:$GC$5)&lt;CJ$5, _xlfn.XLOOKUP(12, Assumptions!$D$81:$GA$81, $F$5:$GC$5)+Assumptions!$D$9*12&gt;=CJ$5), _xlfn.XLOOKUP("Series A", Proforma!$F$21:$GC$21, Proforma!$F$26:$GC$26)/(Assumptions!$D$9*12), 0)</f>
        <v>83333.333333333328</v>
      </c>
      <c r="CK39" s="77">
        <f>IF(AND(_xlfn.XLOOKUP(12, Assumptions!$D$81:$GA$81, $F$5:$GC$5)&lt;CK$5, _xlfn.XLOOKUP(12, Assumptions!$D$81:$GA$81, $F$5:$GC$5)+Assumptions!$D$9*12&gt;=CK$5), _xlfn.XLOOKUP("Series A", Proforma!$F$21:$GC$21, Proforma!$F$26:$GC$26)/(Assumptions!$D$9*12), 0)</f>
        <v>83333.333333333328</v>
      </c>
      <c r="CL39" s="77">
        <f>IF(AND(_xlfn.XLOOKUP(12, Assumptions!$D$81:$GA$81, $F$5:$GC$5)&lt;CL$5, _xlfn.XLOOKUP(12, Assumptions!$D$81:$GA$81, $F$5:$GC$5)+Assumptions!$D$9*12&gt;=CL$5), _xlfn.XLOOKUP("Series A", Proforma!$F$21:$GC$21, Proforma!$F$26:$GC$26)/(Assumptions!$D$9*12), 0)</f>
        <v>83333.333333333328</v>
      </c>
      <c r="CM39" s="77">
        <f>IF(AND(_xlfn.XLOOKUP(12, Assumptions!$D$81:$GA$81, $F$5:$GC$5)&lt;CM$5, _xlfn.XLOOKUP(12, Assumptions!$D$81:$GA$81, $F$5:$GC$5)+Assumptions!$D$9*12&gt;=CM$5), _xlfn.XLOOKUP("Series A", Proforma!$F$21:$GC$21, Proforma!$F$26:$GC$26)/(Assumptions!$D$9*12), 0)</f>
        <v>83333.333333333328</v>
      </c>
      <c r="CN39" s="77">
        <f>IF(AND(_xlfn.XLOOKUP(12, Assumptions!$D$81:$GA$81, $F$5:$GC$5)&lt;CN$5, _xlfn.XLOOKUP(12, Assumptions!$D$81:$GA$81, $F$5:$GC$5)+Assumptions!$D$9*12&gt;=CN$5), _xlfn.XLOOKUP("Series A", Proforma!$F$21:$GC$21, Proforma!$F$26:$GC$26)/(Assumptions!$D$9*12), 0)</f>
        <v>83333.333333333328</v>
      </c>
      <c r="CO39" s="77">
        <f>IF(AND(_xlfn.XLOOKUP(12, Assumptions!$D$81:$GA$81, $F$5:$GC$5)&lt;CO$5, _xlfn.XLOOKUP(12, Assumptions!$D$81:$GA$81, $F$5:$GC$5)+Assumptions!$D$9*12&gt;=CO$5), _xlfn.XLOOKUP("Series A", Proforma!$F$21:$GC$21, Proforma!$F$26:$GC$26)/(Assumptions!$D$9*12), 0)</f>
        <v>83333.333333333328</v>
      </c>
      <c r="CP39" s="77">
        <f>IF(AND(_xlfn.XLOOKUP(12, Assumptions!$D$81:$GA$81, $F$5:$GC$5)&lt;CP$5, _xlfn.XLOOKUP(12, Assumptions!$D$81:$GA$81, $F$5:$GC$5)+Assumptions!$D$9*12&gt;=CP$5), _xlfn.XLOOKUP("Series A", Proforma!$F$21:$GC$21, Proforma!$F$26:$GC$26)/(Assumptions!$D$9*12), 0)</f>
        <v>83333.333333333328</v>
      </c>
      <c r="CQ39" s="77">
        <f>IF(AND(_xlfn.XLOOKUP(12, Assumptions!$D$81:$GA$81, $F$5:$GC$5)&lt;CQ$5, _xlfn.XLOOKUP(12, Assumptions!$D$81:$GA$81, $F$5:$GC$5)+Assumptions!$D$9*12&gt;=CQ$5), _xlfn.XLOOKUP("Series A", Proforma!$F$21:$GC$21, Proforma!$F$26:$GC$26)/(Assumptions!$D$9*12), 0)</f>
        <v>83333.333333333328</v>
      </c>
      <c r="CR39" s="77">
        <f>IF(AND(_xlfn.XLOOKUP(12, Assumptions!$D$81:$GA$81, $F$5:$GC$5)&lt;CR$5, _xlfn.XLOOKUP(12, Assumptions!$D$81:$GA$81, $F$5:$GC$5)+Assumptions!$D$9*12&gt;=CR$5), _xlfn.XLOOKUP("Series A", Proforma!$F$21:$GC$21, Proforma!$F$26:$GC$26)/(Assumptions!$D$9*12), 0)</f>
        <v>83333.333333333328</v>
      </c>
      <c r="CS39" s="77">
        <f>IF(AND(_xlfn.XLOOKUP(12, Assumptions!$D$81:$GA$81, $F$5:$GC$5)&lt;CS$5, _xlfn.XLOOKUP(12, Assumptions!$D$81:$GA$81, $F$5:$GC$5)+Assumptions!$D$9*12&gt;=CS$5), _xlfn.XLOOKUP("Series A", Proforma!$F$21:$GC$21, Proforma!$F$26:$GC$26)/(Assumptions!$D$9*12), 0)</f>
        <v>83333.333333333328</v>
      </c>
      <c r="CT39" s="77">
        <f>IF(AND(_xlfn.XLOOKUP(12, Assumptions!$D$81:$GA$81, $F$5:$GC$5)&lt;CT$5, _xlfn.XLOOKUP(12, Assumptions!$D$81:$GA$81, $F$5:$GC$5)+Assumptions!$D$9*12&gt;=CT$5), _xlfn.XLOOKUP("Series A", Proforma!$F$21:$GC$21, Proforma!$F$26:$GC$26)/(Assumptions!$D$9*12), 0)</f>
        <v>83333.333333333328</v>
      </c>
      <c r="CU39" s="77">
        <f>IF(AND(_xlfn.XLOOKUP(12, Assumptions!$D$81:$GA$81, $F$5:$GC$5)&lt;CU$5, _xlfn.XLOOKUP(12, Assumptions!$D$81:$GA$81, $F$5:$GC$5)+Assumptions!$D$9*12&gt;=CU$5), _xlfn.XLOOKUP("Series A", Proforma!$F$21:$GC$21, Proforma!$F$26:$GC$26)/(Assumptions!$D$9*12), 0)</f>
        <v>83333.333333333328</v>
      </c>
      <c r="CV39" s="77">
        <f>IF(AND(_xlfn.XLOOKUP(12, Assumptions!$D$81:$GA$81, $F$5:$GC$5)&lt;CV$5, _xlfn.XLOOKUP(12, Assumptions!$D$81:$GA$81, $F$5:$GC$5)+Assumptions!$D$9*12&gt;=CV$5), _xlfn.XLOOKUP("Series A", Proforma!$F$21:$GC$21, Proforma!$F$26:$GC$26)/(Assumptions!$D$9*12), 0)</f>
        <v>83333.333333333328</v>
      </c>
      <c r="CW39" s="77">
        <f>IF(AND(_xlfn.XLOOKUP(12, Assumptions!$D$81:$GA$81, $F$5:$GC$5)&lt;CW$5, _xlfn.XLOOKUP(12, Assumptions!$D$81:$GA$81, $F$5:$GC$5)+Assumptions!$D$9*12&gt;=CW$5), _xlfn.XLOOKUP("Series A", Proforma!$F$21:$GC$21, Proforma!$F$26:$GC$26)/(Assumptions!$D$9*12), 0)</f>
        <v>83333.333333333328</v>
      </c>
      <c r="CX39" s="77">
        <f>IF(AND(_xlfn.XLOOKUP(12, Assumptions!$D$81:$GA$81, $F$5:$GC$5)&lt;CX$5, _xlfn.XLOOKUP(12, Assumptions!$D$81:$GA$81, $F$5:$GC$5)+Assumptions!$D$9*12&gt;=CX$5), _xlfn.XLOOKUP("Series A", Proforma!$F$21:$GC$21, Proforma!$F$26:$GC$26)/(Assumptions!$D$9*12), 0)</f>
        <v>83333.333333333328</v>
      </c>
      <c r="CY39" s="77">
        <f>IF(AND(_xlfn.XLOOKUP(12, Assumptions!$D$81:$GA$81, $F$5:$GC$5)&lt;CY$5, _xlfn.XLOOKUP(12, Assumptions!$D$81:$GA$81, $F$5:$GC$5)+Assumptions!$D$9*12&gt;=CY$5), _xlfn.XLOOKUP("Series A", Proforma!$F$21:$GC$21, Proforma!$F$26:$GC$26)/(Assumptions!$D$9*12), 0)</f>
        <v>83333.333333333328</v>
      </c>
      <c r="CZ39" s="77">
        <f>IF(AND(_xlfn.XLOOKUP(12, Assumptions!$D$81:$GA$81, $F$5:$GC$5)&lt;CZ$5, _xlfn.XLOOKUP(12, Assumptions!$D$81:$GA$81, $F$5:$GC$5)+Assumptions!$D$9*12&gt;=CZ$5), _xlfn.XLOOKUP("Series A", Proforma!$F$21:$GC$21, Proforma!$F$26:$GC$26)/(Assumptions!$D$9*12), 0)</f>
        <v>83333.333333333328</v>
      </c>
      <c r="DA39" s="77">
        <f>IF(AND(_xlfn.XLOOKUP(12, Assumptions!$D$81:$GA$81, $F$5:$GC$5)&lt;DA$5, _xlfn.XLOOKUP(12, Assumptions!$D$81:$GA$81, $F$5:$GC$5)+Assumptions!$D$9*12&gt;=DA$5), _xlfn.XLOOKUP("Series A", Proforma!$F$21:$GC$21, Proforma!$F$26:$GC$26)/(Assumptions!$D$9*12), 0)</f>
        <v>83333.333333333328</v>
      </c>
      <c r="DB39" s="77">
        <f>IF(AND(_xlfn.XLOOKUP(12, Assumptions!$D$81:$GA$81, $F$5:$GC$5)&lt;DB$5, _xlfn.XLOOKUP(12, Assumptions!$D$81:$GA$81, $F$5:$GC$5)+Assumptions!$D$9*12&gt;=DB$5), _xlfn.XLOOKUP("Series A", Proforma!$F$21:$GC$21, Proforma!$F$26:$GC$26)/(Assumptions!$D$9*12), 0)</f>
        <v>83333.333333333328</v>
      </c>
      <c r="DC39" s="77">
        <f>IF(AND(_xlfn.XLOOKUP(12, Assumptions!$D$81:$GA$81, $F$5:$GC$5)&lt;DC$5, _xlfn.XLOOKUP(12, Assumptions!$D$81:$GA$81, $F$5:$GC$5)+Assumptions!$D$9*12&gt;=DC$5), _xlfn.XLOOKUP("Series A", Proforma!$F$21:$GC$21, Proforma!$F$26:$GC$26)/(Assumptions!$D$9*12), 0)</f>
        <v>83333.333333333328</v>
      </c>
      <c r="DD39" s="77">
        <f>IF(AND(_xlfn.XLOOKUP(12, Assumptions!$D$81:$GA$81, $F$5:$GC$5)&lt;DD$5, _xlfn.XLOOKUP(12, Assumptions!$D$81:$GA$81, $F$5:$GC$5)+Assumptions!$D$9*12&gt;=DD$5), _xlfn.XLOOKUP("Series A", Proforma!$F$21:$GC$21, Proforma!$F$26:$GC$26)/(Assumptions!$D$9*12), 0)</f>
        <v>83333.333333333328</v>
      </c>
      <c r="DE39" s="77">
        <f>IF(AND(_xlfn.XLOOKUP(12, Assumptions!$D$81:$GA$81, $F$5:$GC$5)&lt;DE$5, _xlfn.XLOOKUP(12, Assumptions!$D$81:$GA$81, $F$5:$GC$5)+Assumptions!$D$9*12&gt;=DE$5), _xlfn.XLOOKUP("Series A", Proforma!$F$21:$GC$21, Proforma!$F$26:$GC$26)/(Assumptions!$D$9*12), 0)</f>
        <v>83333.333333333328</v>
      </c>
      <c r="DF39" s="77">
        <f>IF(AND(_xlfn.XLOOKUP(12, Assumptions!$D$81:$GA$81, $F$5:$GC$5)&lt;DF$5, _xlfn.XLOOKUP(12, Assumptions!$D$81:$GA$81, $F$5:$GC$5)+Assumptions!$D$9*12&gt;=DF$5), _xlfn.XLOOKUP("Series A", Proforma!$F$21:$GC$21, Proforma!$F$26:$GC$26)/(Assumptions!$D$9*12), 0)</f>
        <v>83333.333333333328</v>
      </c>
      <c r="DG39" s="77">
        <f>IF(AND(_xlfn.XLOOKUP(12, Assumptions!$D$81:$GA$81, $F$5:$GC$5)&lt;DG$5, _xlfn.XLOOKUP(12, Assumptions!$D$81:$GA$81, $F$5:$GC$5)+Assumptions!$D$9*12&gt;=DG$5), _xlfn.XLOOKUP("Series A", Proforma!$F$21:$GC$21, Proforma!$F$26:$GC$26)/(Assumptions!$D$9*12), 0)</f>
        <v>83333.333333333328</v>
      </c>
      <c r="DH39" s="77">
        <f>IF(AND(_xlfn.XLOOKUP(12, Assumptions!$D$81:$GA$81, $F$5:$GC$5)&lt;DH$5, _xlfn.XLOOKUP(12, Assumptions!$D$81:$GA$81, $F$5:$GC$5)+Assumptions!$D$9*12&gt;=DH$5), _xlfn.XLOOKUP("Series A", Proforma!$F$21:$GC$21, Proforma!$F$26:$GC$26)/(Assumptions!$D$9*12), 0)</f>
        <v>83333.333333333328</v>
      </c>
      <c r="DI39" s="77">
        <f>IF(AND(_xlfn.XLOOKUP(12, Assumptions!$D$81:$GA$81, $F$5:$GC$5)&lt;DI$5, _xlfn.XLOOKUP(12, Assumptions!$D$81:$GA$81, $F$5:$GC$5)+Assumptions!$D$9*12&gt;=DI$5), _xlfn.XLOOKUP("Series A", Proforma!$F$21:$GC$21, Proforma!$F$26:$GC$26)/(Assumptions!$D$9*12), 0)</f>
        <v>83333.333333333328</v>
      </c>
      <c r="DJ39" s="77">
        <f>IF(AND(_xlfn.XLOOKUP(12, Assumptions!$D$81:$GA$81, $F$5:$GC$5)&lt;DJ$5, _xlfn.XLOOKUP(12, Assumptions!$D$81:$GA$81, $F$5:$GC$5)+Assumptions!$D$9*12&gt;=DJ$5), _xlfn.XLOOKUP("Series A", Proforma!$F$21:$GC$21, Proforma!$F$26:$GC$26)/(Assumptions!$D$9*12), 0)</f>
        <v>83333.333333333328</v>
      </c>
      <c r="DK39" s="77">
        <f>IF(AND(_xlfn.XLOOKUP(12, Assumptions!$D$81:$GA$81, $F$5:$GC$5)&lt;DK$5, _xlfn.XLOOKUP(12, Assumptions!$D$81:$GA$81, $F$5:$GC$5)+Assumptions!$D$9*12&gt;=DK$5), _xlfn.XLOOKUP("Series A", Proforma!$F$21:$GC$21, Proforma!$F$26:$GC$26)/(Assumptions!$D$9*12), 0)</f>
        <v>83333.333333333328</v>
      </c>
      <c r="DL39" s="77">
        <f>IF(AND(_xlfn.XLOOKUP(12, Assumptions!$D$81:$GA$81, $F$5:$GC$5)&lt;DL$5, _xlfn.XLOOKUP(12, Assumptions!$D$81:$GA$81, $F$5:$GC$5)+Assumptions!$D$9*12&gt;=DL$5), _xlfn.XLOOKUP("Series A", Proforma!$F$21:$GC$21, Proforma!$F$26:$GC$26)/(Assumptions!$D$9*12), 0)</f>
        <v>83333.333333333328</v>
      </c>
      <c r="DM39" s="77">
        <f>IF(AND(_xlfn.XLOOKUP(12, Assumptions!$D$81:$GA$81, $F$5:$GC$5)&lt;DM$5, _xlfn.XLOOKUP(12, Assumptions!$D$81:$GA$81, $F$5:$GC$5)+Assumptions!$D$9*12&gt;=DM$5), _xlfn.XLOOKUP("Series A", Proforma!$F$21:$GC$21, Proforma!$F$26:$GC$26)/(Assumptions!$D$9*12), 0)</f>
        <v>83333.333333333328</v>
      </c>
      <c r="DN39" s="77">
        <f>IF(AND(_xlfn.XLOOKUP(12, Assumptions!$D$81:$GA$81, $F$5:$GC$5)&lt;DN$5, _xlfn.XLOOKUP(12, Assumptions!$D$81:$GA$81, $F$5:$GC$5)+Assumptions!$D$9*12&gt;=DN$5), _xlfn.XLOOKUP("Series A", Proforma!$F$21:$GC$21, Proforma!$F$26:$GC$26)/(Assumptions!$D$9*12), 0)</f>
        <v>83333.333333333328</v>
      </c>
      <c r="DO39" s="77">
        <f>IF(AND(_xlfn.XLOOKUP(12, Assumptions!$D$81:$GA$81, $F$5:$GC$5)&lt;DO$5, _xlfn.XLOOKUP(12, Assumptions!$D$81:$GA$81, $F$5:$GC$5)+Assumptions!$D$9*12&gt;=DO$5), _xlfn.XLOOKUP("Series A", Proforma!$F$21:$GC$21, Proforma!$F$26:$GC$26)/(Assumptions!$D$9*12), 0)</f>
        <v>83333.333333333328</v>
      </c>
      <c r="DP39" s="77">
        <f>IF(AND(_xlfn.XLOOKUP(12, Assumptions!$D$81:$GA$81, $F$5:$GC$5)&lt;DP$5, _xlfn.XLOOKUP(12, Assumptions!$D$81:$GA$81, $F$5:$GC$5)+Assumptions!$D$9*12&gt;=DP$5), _xlfn.XLOOKUP("Series A", Proforma!$F$21:$GC$21, Proforma!$F$26:$GC$26)/(Assumptions!$D$9*12), 0)</f>
        <v>83333.333333333328</v>
      </c>
      <c r="DQ39" s="77">
        <f>IF(AND(_xlfn.XLOOKUP(12, Assumptions!$D$81:$GA$81, $F$5:$GC$5)&lt;DQ$5, _xlfn.XLOOKUP(12, Assumptions!$D$81:$GA$81, $F$5:$GC$5)+Assumptions!$D$9*12&gt;=DQ$5), _xlfn.XLOOKUP("Series A", Proforma!$F$21:$GC$21, Proforma!$F$26:$GC$26)/(Assumptions!$D$9*12), 0)</f>
        <v>83333.333333333328</v>
      </c>
      <c r="DR39" s="77">
        <f>IF(AND(_xlfn.XLOOKUP(12, Assumptions!$D$81:$GA$81, $F$5:$GC$5)&lt;DR$5, _xlfn.XLOOKUP(12, Assumptions!$D$81:$GA$81, $F$5:$GC$5)+Assumptions!$D$9*12&gt;=DR$5), _xlfn.XLOOKUP("Series A", Proforma!$F$21:$GC$21, Proforma!$F$26:$GC$26)/(Assumptions!$D$9*12), 0)</f>
        <v>83333.333333333328</v>
      </c>
      <c r="DS39" s="77">
        <f>IF(AND(_xlfn.XLOOKUP(12, Assumptions!$D$81:$GA$81, $F$5:$GC$5)&lt;DS$5, _xlfn.XLOOKUP(12, Assumptions!$D$81:$GA$81, $F$5:$GC$5)+Assumptions!$D$9*12&gt;=DS$5), _xlfn.XLOOKUP("Series A", Proforma!$F$21:$GC$21, Proforma!$F$26:$GC$26)/(Assumptions!$D$9*12), 0)</f>
        <v>83333.333333333328</v>
      </c>
      <c r="DT39" s="77">
        <f>IF(AND(_xlfn.XLOOKUP(12, Assumptions!$D$81:$GA$81, $F$5:$GC$5)&lt;DT$5, _xlfn.XLOOKUP(12, Assumptions!$D$81:$GA$81, $F$5:$GC$5)+Assumptions!$D$9*12&gt;=DT$5), _xlfn.XLOOKUP("Series A", Proforma!$F$21:$GC$21, Proforma!$F$26:$GC$26)/(Assumptions!$D$9*12), 0)</f>
        <v>83333.333333333328</v>
      </c>
      <c r="DU39" s="77">
        <f>IF(AND(_xlfn.XLOOKUP(12, Assumptions!$D$81:$GA$81, $F$5:$GC$5)&lt;DU$5, _xlfn.XLOOKUP(12, Assumptions!$D$81:$GA$81, $F$5:$GC$5)+Assumptions!$D$9*12&gt;=DU$5), _xlfn.XLOOKUP("Series A", Proforma!$F$21:$GC$21, Proforma!$F$26:$GC$26)/(Assumptions!$D$9*12), 0)</f>
        <v>83333.333333333328</v>
      </c>
      <c r="DV39" s="77">
        <f>IF(AND(_xlfn.XLOOKUP(12, Assumptions!$D$81:$GA$81, $F$5:$GC$5)&lt;DV$5, _xlfn.XLOOKUP(12, Assumptions!$D$81:$GA$81, $F$5:$GC$5)+Assumptions!$D$9*12&gt;=DV$5), _xlfn.XLOOKUP("Series A", Proforma!$F$21:$GC$21, Proforma!$F$26:$GC$26)/(Assumptions!$D$9*12), 0)</f>
        <v>83333.333333333328</v>
      </c>
      <c r="DW39" s="77">
        <f>IF(AND(_xlfn.XLOOKUP(12, Assumptions!$D$81:$GA$81, $F$5:$GC$5)&lt;DW$5, _xlfn.XLOOKUP(12, Assumptions!$D$81:$GA$81, $F$5:$GC$5)+Assumptions!$D$9*12&gt;=DW$5), _xlfn.XLOOKUP("Series A", Proforma!$F$21:$GC$21, Proforma!$F$26:$GC$26)/(Assumptions!$D$9*12), 0)</f>
        <v>83333.333333333328</v>
      </c>
      <c r="DX39" s="77">
        <f>IF(AND(_xlfn.XLOOKUP(12, Assumptions!$D$81:$GA$81, $F$5:$GC$5)&lt;DX$5, _xlfn.XLOOKUP(12, Assumptions!$D$81:$GA$81, $F$5:$GC$5)+Assumptions!$D$9*12&gt;=DX$5), _xlfn.XLOOKUP("Series A", Proforma!$F$21:$GC$21, Proforma!$F$26:$GC$26)/(Assumptions!$D$9*12), 0)</f>
        <v>83333.333333333328</v>
      </c>
      <c r="DY39" s="77">
        <f>IF(AND(_xlfn.XLOOKUP(12, Assumptions!$D$81:$GA$81, $F$5:$GC$5)&lt;DY$5, _xlfn.XLOOKUP(12, Assumptions!$D$81:$GA$81, $F$5:$GC$5)+Assumptions!$D$9*12&gt;=DY$5), _xlfn.XLOOKUP("Series A", Proforma!$F$21:$GC$21, Proforma!$F$26:$GC$26)/(Assumptions!$D$9*12), 0)</f>
        <v>83333.333333333328</v>
      </c>
      <c r="DZ39" s="77">
        <f>IF(AND(_xlfn.XLOOKUP(12, Assumptions!$D$81:$GA$81, $F$5:$GC$5)&lt;DZ$5, _xlfn.XLOOKUP(12, Assumptions!$D$81:$GA$81, $F$5:$GC$5)+Assumptions!$D$9*12&gt;=DZ$5), _xlfn.XLOOKUP("Series A", Proforma!$F$21:$GC$21, Proforma!$F$26:$GC$26)/(Assumptions!$D$9*12), 0)</f>
        <v>83333.333333333328</v>
      </c>
      <c r="EA39" s="77">
        <f>IF(AND(_xlfn.XLOOKUP(12, Assumptions!$D$81:$GA$81, $F$5:$GC$5)&lt;EA$5, _xlfn.XLOOKUP(12, Assumptions!$D$81:$GA$81, $F$5:$GC$5)+Assumptions!$D$9*12&gt;=EA$5), _xlfn.XLOOKUP("Series A", Proforma!$F$21:$GC$21, Proforma!$F$26:$GC$26)/(Assumptions!$D$9*12), 0)</f>
        <v>83333.333333333328</v>
      </c>
      <c r="EB39" s="77">
        <f>IF(AND(_xlfn.XLOOKUP(12, Assumptions!$D$81:$GA$81, $F$5:$GC$5)&lt;EB$5, _xlfn.XLOOKUP(12, Assumptions!$D$81:$GA$81, $F$5:$GC$5)+Assumptions!$D$9*12&gt;=EB$5), _xlfn.XLOOKUP("Series A", Proforma!$F$21:$GC$21, Proforma!$F$26:$GC$26)/(Assumptions!$D$9*12), 0)</f>
        <v>83333.333333333328</v>
      </c>
      <c r="EC39" s="77">
        <f>IF(AND(_xlfn.XLOOKUP(12, Assumptions!$D$81:$GA$81, $F$5:$GC$5)&lt;EC$5, _xlfn.XLOOKUP(12, Assumptions!$D$81:$GA$81, $F$5:$GC$5)+Assumptions!$D$9*12&gt;=EC$5), _xlfn.XLOOKUP("Series A", Proforma!$F$21:$GC$21, Proforma!$F$26:$GC$26)/(Assumptions!$D$9*12), 0)</f>
        <v>83333.333333333328</v>
      </c>
      <c r="ED39" s="77">
        <f>IF(AND(_xlfn.XLOOKUP(12, Assumptions!$D$81:$GA$81, $F$5:$GC$5)&lt;ED$5, _xlfn.XLOOKUP(12, Assumptions!$D$81:$GA$81, $F$5:$GC$5)+Assumptions!$D$9*12&gt;=ED$5), _xlfn.XLOOKUP("Series A", Proforma!$F$21:$GC$21, Proforma!$F$26:$GC$26)/(Assumptions!$D$9*12), 0)</f>
        <v>83333.333333333328</v>
      </c>
      <c r="EE39" s="77">
        <f>IF(AND(_xlfn.XLOOKUP(12, Assumptions!$D$81:$GA$81, $F$5:$GC$5)&lt;EE$5, _xlfn.XLOOKUP(12, Assumptions!$D$81:$GA$81, $F$5:$GC$5)+Assumptions!$D$9*12&gt;=EE$5), _xlfn.XLOOKUP("Series A", Proforma!$F$21:$GC$21, Proforma!$F$26:$GC$26)/(Assumptions!$D$9*12), 0)</f>
        <v>83333.333333333328</v>
      </c>
      <c r="EF39" s="77">
        <f>IF(AND(_xlfn.XLOOKUP(12, Assumptions!$D$81:$GA$81, $F$5:$GC$5)&lt;EF$5, _xlfn.XLOOKUP(12, Assumptions!$D$81:$GA$81, $F$5:$GC$5)+Assumptions!$D$9*12&gt;=EF$5), _xlfn.XLOOKUP("Series A", Proforma!$F$21:$GC$21, Proforma!$F$26:$GC$26)/(Assumptions!$D$9*12), 0)</f>
        <v>83333.333333333328</v>
      </c>
      <c r="EG39" s="77">
        <f>IF(AND(_xlfn.XLOOKUP(12, Assumptions!$D$81:$GA$81, $F$5:$GC$5)&lt;EG$5, _xlfn.XLOOKUP(12, Assumptions!$D$81:$GA$81, $F$5:$GC$5)+Assumptions!$D$9*12&gt;=EG$5), _xlfn.XLOOKUP("Series A", Proforma!$F$21:$GC$21, Proforma!$F$26:$GC$26)/(Assumptions!$D$9*12), 0)</f>
        <v>83333.333333333328</v>
      </c>
      <c r="EH39" s="77">
        <f>IF(AND(_xlfn.XLOOKUP(12, Assumptions!$D$81:$GA$81, $F$5:$GC$5)&lt;EH$5, _xlfn.XLOOKUP(12, Assumptions!$D$81:$GA$81, $F$5:$GC$5)+Assumptions!$D$9*12&gt;=EH$5), _xlfn.XLOOKUP("Series A", Proforma!$F$21:$GC$21, Proforma!$F$26:$GC$26)/(Assumptions!$D$9*12), 0)</f>
        <v>83333.333333333328</v>
      </c>
      <c r="EI39" s="77">
        <f>IF(AND(_xlfn.XLOOKUP(12, Assumptions!$D$81:$GA$81, $F$5:$GC$5)&lt;EI$5, _xlfn.XLOOKUP(12, Assumptions!$D$81:$GA$81, $F$5:$GC$5)+Assumptions!$D$9*12&gt;=EI$5), _xlfn.XLOOKUP("Series A", Proforma!$F$21:$GC$21, Proforma!$F$26:$GC$26)/(Assumptions!$D$9*12), 0)</f>
        <v>83333.333333333328</v>
      </c>
      <c r="EJ39" s="77">
        <f>IF(AND(_xlfn.XLOOKUP(12, Assumptions!$D$81:$GA$81, $F$5:$GC$5)&lt;EJ$5, _xlfn.XLOOKUP(12, Assumptions!$D$81:$GA$81, $F$5:$GC$5)+Assumptions!$D$9*12&gt;=EJ$5), _xlfn.XLOOKUP("Series A", Proforma!$F$21:$GC$21, Proforma!$F$26:$GC$26)/(Assumptions!$D$9*12), 0)</f>
        <v>83333.333333333328</v>
      </c>
      <c r="EK39" s="77">
        <f>IF(AND(_xlfn.XLOOKUP(12, Assumptions!$D$81:$GA$81, $F$5:$GC$5)&lt;EK$5, _xlfn.XLOOKUP(12, Assumptions!$D$81:$GA$81, $F$5:$GC$5)+Assumptions!$D$9*12&gt;=EK$5), _xlfn.XLOOKUP("Series A", Proforma!$F$21:$GC$21, Proforma!$F$26:$GC$26)/(Assumptions!$D$9*12), 0)</f>
        <v>83333.333333333328</v>
      </c>
      <c r="EL39" s="77">
        <f>IF(AND(_xlfn.XLOOKUP(12, Assumptions!$D$81:$GA$81, $F$5:$GC$5)&lt;EL$5, _xlfn.XLOOKUP(12, Assumptions!$D$81:$GA$81, $F$5:$GC$5)+Assumptions!$D$9*12&gt;=EL$5), _xlfn.XLOOKUP("Series A", Proforma!$F$21:$GC$21, Proforma!$F$26:$GC$26)/(Assumptions!$D$9*12), 0)</f>
        <v>83333.333333333328</v>
      </c>
      <c r="EM39" s="77">
        <f>IF(AND(_xlfn.XLOOKUP(12, Assumptions!$D$81:$GA$81, $F$5:$GC$5)&lt;EM$5, _xlfn.XLOOKUP(12, Assumptions!$D$81:$GA$81, $F$5:$GC$5)+Assumptions!$D$9*12&gt;=EM$5), _xlfn.XLOOKUP("Series A", Proforma!$F$21:$GC$21, Proforma!$F$26:$GC$26)/(Assumptions!$D$9*12), 0)</f>
        <v>83333.333333333328</v>
      </c>
      <c r="EN39" s="77">
        <f>IF(AND(_xlfn.XLOOKUP(12, Assumptions!$D$81:$GA$81, $F$5:$GC$5)&lt;EN$5, _xlfn.XLOOKUP(12, Assumptions!$D$81:$GA$81, $F$5:$GC$5)+Assumptions!$D$9*12&gt;=EN$5), _xlfn.XLOOKUP("Series A", Proforma!$F$21:$GC$21, Proforma!$F$26:$GC$26)/(Assumptions!$D$9*12), 0)</f>
        <v>83333.333333333328</v>
      </c>
      <c r="EO39" s="77">
        <f>IF(AND(_xlfn.XLOOKUP(12, Assumptions!$D$81:$GA$81, $F$5:$GC$5)&lt;EO$5, _xlfn.XLOOKUP(12, Assumptions!$D$81:$GA$81, $F$5:$GC$5)+Assumptions!$D$9*12&gt;=EO$5), _xlfn.XLOOKUP("Series A", Proforma!$F$21:$GC$21, Proforma!$F$26:$GC$26)/(Assumptions!$D$9*12), 0)</f>
        <v>83333.333333333328</v>
      </c>
      <c r="EP39" s="77">
        <f>IF(AND(_xlfn.XLOOKUP(12, Assumptions!$D$81:$GA$81, $F$5:$GC$5)&lt;EP$5, _xlfn.XLOOKUP(12, Assumptions!$D$81:$GA$81, $F$5:$GC$5)+Assumptions!$D$9*12&gt;=EP$5), _xlfn.XLOOKUP("Series A", Proforma!$F$21:$GC$21, Proforma!$F$26:$GC$26)/(Assumptions!$D$9*12), 0)</f>
        <v>83333.333333333328</v>
      </c>
      <c r="EQ39" s="77">
        <f>IF(AND(_xlfn.XLOOKUP(12, Assumptions!$D$81:$GA$81, $F$5:$GC$5)&lt;EQ$5, _xlfn.XLOOKUP(12, Assumptions!$D$81:$GA$81, $F$5:$GC$5)+Assumptions!$D$9*12&gt;=EQ$5), _xlfn.XLOOKUP("Series A", Proforma!$F$21:$GC$21, Proforma!$F$26:$GC$26)/(Assumptions!$D$9*12), 0)</f>
        <v>83333.333333333328</v>
      </c>
      <c r="ER39" s="77">
        <f>IF(AND(_xlfn.XLOOKUP(12, Assumptions!$D$81:$GA$81, $F$5:$GC$5)&lt;ER$5, _xlfn.XLOOKUP(12, Assumptions!$D$81:$GA$81, $F$5:$GC$5)+Assumptions!$D$9*12&gt;=ER$5), _xlfn.XLOOKUP("Series A", Proforma!$F$21:$GC$21, Proforma!$F$26:$GC$26)/(Assumptions!$D$9*12), 0)</f>
        <v>83333.333333333328</v>
      </c>
      <c r="ES39" s="77">
        <f>IF(AND(_xlfn.XLOOKUP(12, Assumptions!$D$81:$GA$81, $F$5:$GC$5)&lt;ES$5, _xlfn.XLOOKUP(12, Assumptions!$D$81:$GA$81, $F$5:$GC$5)+Assumptions!$D$9*12&gt;=ES$5), _xlfn.XLOOKUP("Series A", Proforma!$F$21:$GC$21, Proforma!$F$26:$GC$26)/(Assumptions!$D$9*12), 0)</f>
        <v>83333.333333333328</v>
      </c>
      <c r="ET39" s="77">
        <f>IF(AND(_xlfn.XLOOKUP(12, Assumptions!$D$81:$GA$81, $F$5:$GC$5)&lt;ET$5, _xlfn.XLOOKUP(12, Assumptions!$D$81:$GA$81, $F$5:$GC$5)+Assumptions!$D$9*12&gt;=ET$5), _xlfn.XLOOKUP("Series A", Proforma!$F$21:$GC$21, Proforma!$F$26:$GC$26)/(Assumptions!$D$9*12), 0)</f>
        <v>83333.333333333328</v>
      </c>
      <c r="EU39" s="77">
        <f>IF(AND(_xlfn.XLOOKUP(12, Assumptions!$D$81:$GA$81, $F$5:$GC$5)&lt;EU$5, _xlfn.XLOOKUP(12, Assumptions!$D$81:$GA$81, $F$5:$GC$5)+Assumptions!$D$9*12&gt;=EU$5), _xlfn.XLOOKUP("Series A", Proforma!$F$21:$GC$21, Proforma!$F$26:$GC$26)/(Assumptions!$D$9*12), 0)</f>
        <v>83333.333333333328</v>
      </c>
      <c r="EV39" s="77">
        <f>IF(AND(_xlfn.XLOOKUP(12, Assumptions!$D$81:$GA$81, $F$5:$GC$5)&lt;EV$5, _xlfn.XLOOKUP(12, Assumptions!$D$81:$GA$81, $F$5:$GC$5)+Assumptions!$D$9*12&gt;=EV$5), _xlfn.XLOOKUP("Series A", Proforma!$F$21:$GC$21, Proforma!$F$26:$GC$26)/(Assumptions!$D$9*12), 0)</f>
        <v>83333.333333333328</v>
      </c>
      <c r="EW39" s="77">
        <f>IF(AND(_xlfn.XLOOKUP(12, Assumptions!$D$81:$GA$81, $F$5:$GC$5)&lt;EW$5, _xlfn.XLOOKUP(12, Assumptions!$D$81:$GA$81, $F$5:$GC$5)+Assumptions!$D$9*12&gt;=EW$5), _xlfn.XLOOKUP("Series A", Proforma!$F$21:$GC$21, Proforma!$F$26:$GC$26)/(Assumptions!$D$9*12), 0)</f>
        <v>83333.333333333328</v>
      </c>
      <c r="EX39" s="77">
        <f>IF(AND(_xlfn.XLOOKUP(12, Assumptions!$D$81:$GA$81, $F$5:$GC$5)&lt;EX$5, _xlfn.XLOOKUP(12, Assumptions!$D$81:$GA$81, $F$5:$GC$5)+Assumptions!$D$9*12&gt;=EX$5), _xlfn.XLOOKUP("Series A", Proforma!$F$21:$GC$21, Proforma!$F$26:$GC$26)/(Assumptions!$D$9*12), 0)</f>
        <v>83333.333333333328</v>
      </c>
      <c r="EY39" s="77">
        <f>IF(AND(_xlfn.XLOOKUP(12, Assumptions!$D$81:$GA$81, $F$5:$GC$5)&lt;EY$5, _xlfn.XLOOKUP(12, Assumptions!$D$81:$GA$81, $F$5:$GC$5)+Assumptions!$D$9*12&gt;=EY$5), _xlfn.XLOOKUP("Series A", Proforma!$F$21:$GC$21, Proforma!$F$26:$GC$26)/(Assumptions!$D$9*12), 0)</f>
        <v>83333.333333333328</v>
      </c>
      <c r="EZ39" s="77">
        <f>IF(AND(_xlfn.XLOOKUP(12, Assumptions!$D$81:$GA$81, $F$5:$GC$5)&lt;EZ$5, _xlfn.XLOOKUP(12, Assumptions!$D$81:$GA$81, $F$5:$GC$5)+Assumptions!$D$9*12&gt;=EZ$5), _xlfn.XLOOKUP("Series A", Proforma!$F$21:$GC$21, Proforma!$F$26:$GC$26)/(Assumptions!$D$9*12), 0)</f>
        <v>83333.333333333328</v>
      </c>
      <c r="FA39" s="77">
        <f>IF(AND(_xlfn.XLOOKUP(12, Assumptions!$D$81:$GA$81, $F$5:$GC$5)&lt;FA$5, _xlfn.XLOOKUP(12, Assumptions!$D$81:$GA$81, $F$5:$GC$5)+Assumptions!$D$9*12&gt;=FA$5), _xlfn.XLOOKUP("Series A", Proforma!$F$21:$GC$21, Proforma!$F$26:$GC$26)/(Assumptions!$D$9*12), 0)</f>
        <v>83333.333333333328</v>
      </c>
      <c r="FB39" s="77">
        <f>IF(AND(_xlfn.XLOOKUP(12, Assumptions!$D$81:$GA$81, $F$5:$GC$5)&lt;FB$5, _xlfn.XLOOKUP(12, Assumptions!$D$81:$GA$81, $F$5:$GC$5)+Assumptions!$D$9*12&gt;=FB$5), _xlfn.XLOOKUP("Series A", Proforma!$F$21:$GC$21, Proforma!$F$26:$GC$26)/(Assumptions!$D$9*12), 0)</f>
        <v>83333.333333333328</v>
      </c>
      <c r="FC39" s="77">
        <f>IF(AND(_xlfn.XLOOKUP(12, Assumptions!$D$81:$GA$81, $F$5:$GC$5)&lt;FC$5, _xlfn.XLOOKUP(12, Assumptions!$D$81:$GA$81, $F$5:$GC$5)+Assumptions!$D$9*12&gt;=FC$5), _xlfn.XLOOKUP("Series A", Proforma!$F$21:$GC$21, Proforma!$F$26:$GC$26)/(Assumptions!$D$9*12), 0)</f>
        <v>83333.333333333328</v>
      </c>
      <c r="FD39" s="77">
        <f>IF(AND(_xlfn.XLOOKUP(12, Assumptions!$D$81:$GA$81, $F$5:$GC$5)&lt;FD$5, _xlfn.XLOOKUP(12, Assumptions!$D$81:$GA$81, $F$5:$GC$5)+Assumptions!$D$9*12&gt;=FD$5), _xlfn.XLOOKUP("Series A", Proforma!$F$21:$GC$21, Proforma!$F$26:$GC$26)/(Assumptions!$D$9*12), 0)</f>
        <v>83333.333333333328</v>
      </c>
      <c r="FE39" s="77">
        <f>IF(AND(_xlfn.XLOOKUP(12, Assumptions!$D$81:$GA$81, $F$5:$GC$5)&lt;FE$5, _xlfn.XLOOKUP(12, Assumptions!$D$81:$GA$81, $F$5:$GC$5)+Assumptions!$D$9*12&gt;=FE$5), _xlfn.XLOOKUP("Series A", Proforma!$F$21:$GC$21, Proforma!$F$26:$GC$26)/(Assumptions!$D$9*12), 0)</f>
        <v>83333.333333333328</v>
      </c>
      <c r="FF39" s="77">
        <f>IF(AND(_xlfn.XLOOKUP(12, Assumptions!$D$81:$GA$81, $F$5:$GC$5)&lt;FF$5, _xlfn.XLOOKUP(12, Assumptions!$D$81:$GA$81, $F$5:$GC$5)+Assumptions!$D$9*12&gt;=FF$5), _xlfn.XLOOKUP("Series A", Proforma!$F$21:$GC$21, Proforma!$F$26:$GC$26)/(Assumptions!$D$9*12), 0)</f>
        <v>83333.333333333328</v>
      </c>
      <c r="FG39" s="77">
        <f>IF(AND(_xlfn.XLOOKUP(12, Assumptions!$D$81:$GA$81, $F$5:$GC$5)&lt;FG$5, _xlfn.XLOOKUP(12, Assumptions!$D$81:$GA$81, $F$5:$GC$5)+Assumptions!$D$9*12&gt;=FG$5), _xlfn.XLOOKUP("Series A", Proforma!$F$21:$GC$21, Proforma!$F$26:$GC$26)/(Assumptions!$D$9*12), 0)</f>
        <v>83333.333333333328</v>
      </c>
      <c r="FH39" s="77">
        <f>IF(AND(_xlfn.XLOOKUP(12, Assumptions!$D$81:$GA$81, $F$5:$GC$5)&lt;FH$5, _xlfn.XLOOKUP(12, Assumptions!$D$81:$GA$81, $F$5:$GC$5)+Assumptions!$D$9*12&gt;=FH$5), _xlfn.XLOOKUP("Series A", Proforma!$F$21:$GC$21, Proforma!$F$26:$GC$26)/(Assumptions!$D$9*12), 0)</f>
        <v>83333.333333333328</v>
      </c>
      <c r="FI39" s="77">
        <f>IF(AND(_xlfn.XLOOKUP(12, Assumptions!$D$81:$GA$81, $F$5:$GC$5)&lt;FI$5, _xlfn.XLOOKUP(12, Assumptions!$D$81:$GA$81, $F$5:$GC$5)+Assumptions!$D$9*12&gt;=FI$5), _xlfn.XLOOKUP("Series A", Proforma!$F$21:$GC$21, Proforma!$F$26:$GC$26)/(Assumptions!$D$9*12), 0)</f>
        <v>83333.333333333328</v>
      </c>
      <c r="FJ39" s="77">
        <f>IF(AND(_xlfn.XLOOKUP(12, Assumptions!$D$81:$GA$81, $F$5:$GC$5)&lt;FJ$5, _xlfn.XLOOKUP(12, Assumptions!$D$81:$GA$81, $F$5:$GC$5)+Assumptions!$D$9*12&gt;=FJ$5), _xlfn.XLOOKUP("Series A", Proforma!$F$21:$GC$21, Proforma!$F$26:$GC$26)/(Assumptions!$D$9*12), 0)</f>
        <v>83333.333333333328</v>
      </c>
      <c r="FK39" s="77">
        <f>IF(AND(_xlfn.XLOOKUP(12, Assumptions!$D$81:$GA$81, $F$5:$GC$5)&lt;FK$5, _xlfn.XLOOKUP(12, Assumptions!$D$81:$GA$81, $F$5:$GC$5)+Assumptions!$D$9*12&gt;=FK$5), _xlfn.XLOOKUP("Series A", Proforma!$F$21:$GC$21, Proforma!$F$26:$GC$26)/(Assumptions!$D$9*12), 0)</f>
        <v>83333.333333333328</v>
      </c>
      <c r="FL39" s="77">
        <f>IF(AND(_xlfn.XLOOKUP(12, Assumptions!$D$81:$GA$81, $F$5:$GC$5)&lt;FL$5, _xlfn.XLOOKUP(12, Assumptions!$D$81:$GA$81, $F$5:$GC$5)+Assumptions!$D$9*12&gt;=FL$5), _xlfn.XLOOKUP("Series A", Proforma!$F$21:$GC$21, Proforma!$F$26:$GC$26)/(Assumptions!$D$9*12), 0)</f>
        <v>83333.333333333328</v>
      </c>
      <c r="FM39" s="77">
        <f>IF(AND(_xlfn.XLOOKUP(12, Assumptions!$D$81:$GA$81, $F$5:$GC$5)&lt;FM$5, _xlfn.XLOOKUP(12, Assumptions!$D$81:$GA$81, $F$5:$GC$5)+Assumptions!$D$9*12&gt;=FM$5), _xlfn.XLOOKUP("Series A", Proforma!$F$21:$GC$21, Proforma!$F$26:$GC$26)/(Assumptions!$D$9*12), 0)</f>
        <v>83333.333333333328</v>
      </c>
      <c r="FN39" s="77">
        <f>IF(AND(_xlfn.XLOOKUP(12, Assumptions!$D$81:$GA$81, $F$5:$GC$5)&lt;FN$5, _xlfn.XLOOKUP(12, Assumptions!$D$81:$GA$81, $F$5:$GC$5)+Assumptions!$D$9*12&gt;=FN$5), _xlfn.XLOOKUP("Series A", Proforma!$F$21:$GC$21, Proforma!$F$26:$GC$26)/(Assumptions!$D$9*12), 0)</f>
        <v>83333.333333333328</v>
      </c>
      <c r="FO39" s="77">
        <f>IF(AND(_xlfn.XLOOKUP(12, Assumptions!$D$81:$GA$81, $F$5:$GC$5)&lt;FO$5, _xlfn.XLOOKUP(12, Assumptions!$D$81:$GA$81, $F$5:$GC$5)+Assumptions!$D$9*12&gt;=FO$5), _xlfn.XLOOKUP("Series A", Proforma!$F$21:$GC$21, Proforma!$F$26:$GC$26)/(Assumptions!$D$9*12), 0)</f>
        <v>83333.333333333328</v>
      </c>
      <c r="FP39" s="77">
        <f>IF(AND(_xlfn.XLOOKUP(12, Assumptions!$D$81:$GA$81, $F$5:$GC$5)&lt;FP$5, _xlfn.XLOOKUP(12, Assumptions!$D$81:$GA$81, $F$5:$GC$5)+Assumptions!$D$9*12&gt;=FP$5), _xlfn.XLOOKUP("Series A", Proforma!$F$21:$GC$21, Proforma!$F$26:$GC$26)/(Assumptions!$D$9*12), 0)</f>
        <v>83333.333333333328</v>
      </c>
      <c r="FQ39" s="77">
        <f>IF(AND(_xlfn.XLOOKUP(12, Assumptions!$D$81:$GA$81, $F$5:$GC$5)&lt;FQ$5, _xlfn.XLOOKUP(12, Assumptions!$D$81:$GA$81, $F$5:$GC$5)+Assumptions!$D$9*12&gt;=FQ$5), _xlfn.XLOOKUP("Series A", Proforma!$F$21:$GC$21, Proforma!$F$26:$GC$26)/(Assumptions!$D$9*12), 0)</f>
        <v>83333.333333333328</v>
      </c>
      <c r="FR39" s="77">
        <f>IF(AND(_xlfn.XLOOKUP(12, Assumptions!$D$81:$GA$81, $F$5:$GC$5)&lt;FR$5, _xlfn.XLOOKUP(12, Assumptions!$D$81:$GA$81, $F$5:$GC$5)+Assumptions!$D$9*12&gt;=FR$5), _xlfn.XLOOKUP("Series A", Proforma!$F$21:$GC$21, Proforma!$F$26:$GC$26)/(Assumptions!$D$9*12), 0)</f>
        <v>83333.333333333328</v>
      </c>
      <c r="FS39" s="77">
        <f>IF(AND(_xlfn.XLOOKUP(12, Assumptions!$D$81:$GA$81, $F$5:$GC$5)&lt;FS$5, _xlfn.XLOOKUP(12, Assumptions!$D$81:$GA$81, $F$5:$GC$5)+Assumptions!$D$9*12&gt;=FS$5), _xlfn.XLOOKUP("Series A", Proforma!$F$21:$GC$21, Proforma!$F$26:$GC$26)/(Assumptions!$D$9*12), 0)</f>
        <v>83333.333333333328</v>
      </c>
      <c r="FT39" s="77">
        <f>IF(AND(_xlfn.XLOOKUP(12, Assumptions!$D$81:$GA$81, $F$5:$GC$5)&lt;FT$5, _xlfn.XLOOKUP(12, Assumptions!$D$81:$GA$81, $F$5:$GC$5)+Assumptions!$D$9*12&gt;=FT$5), _xlfn.XLOOKUP("Series A", Proforma!$F$21:$GC$21, Proforma!$F$26:$GC$26)/(Assumptions!$D$9*12), 0)</f>
        <v>83333.333333333328</v>
      </c>
      <c r="FU39" s="77">
        <f>IF(AND(_xlfn.XLOOKUP(12, Assumptions!$D$81:$GA$81, $F$5:$GC$5)&lt;FU$5, _xlfn.XLOOKUP(12, Assumptions!$D$81:$GA$81, $F$5:$GC$5)+Assumptions!$D$9*12&gt;=FU$5), _xlfn.XLOOKUP("Series A", Proforma!$F$21:$GC$21, Proforma!$F$26:$GC$26)/(Assumptions!$D$9*12), 0)</f>
        <v>83333.333333333328</v>
      </c>
      <c r="FV39" s="77">
        <f>IF(AND(_xlfn.XLOOKUP(12, Assumptions!$D$81:$GA$81, $F$5:$GC$5)&lt;FV$5, _xlfn.XLOOKUP(12, Assumptions!$D$81:$GA$81, $F$5:$GC$5)+Assumptions!$D$9*12&gt;=FV$5), _xlfn.XLOOKUP("Series A", Proforma!$F$21:$GC$21, Proforma!$F$26:$GC$26)/(Assumptions!$D$9*12), 0)</f>
        <v>83333.333333333328</v>
      </c>
      <c r="FW39" s="77">
        <f>IF(AND(_xlfn.XLOOKUP(12, Assumptions!$D$81:$GA$81, $F$5:$GC$5)&lt;FW$5, _xlfn.XLOOKUP(12, Assumptions!$D$81:$GA$81, $F$5:$GC$5)+Assumptions!$D$9*12&gt;=FW$5), _xlfn.XLOOKUP("Series A", Proforma!$F$21:$GC$21, Proforma!$F$26:$GC$26)/(Assumptions!$D$9*12), 0)</f>
        <v>83333.333333333328</v>
      </c>
      <c r="FX39" s="77">
        <f>IF(AND(_xlfn.XLOOKUP(12, Assumptions!$D$81:$GA$81, $F$5:$GC$5)&lt;FX$5, _xlfn.XLOOKUP(12, Assumptions!$D$81:$GA$81, $F$5:$GC$5)+Assumptions!$D$9*12&gt;=FX$5), _xlfn.XLOOKUP("Series A", Proforma!$F$21:$GC$21, Proforma!$F$26:$GC$26)/(Assumptions!$D$9*12), 0)</f>
        <v>83333.333333333328</v>
      </c>
      <c r="FY39" s="77">
        <f>IF(AND(_xlfn.XLOOKUP(12, Assumptions!$D$81:$GA$81, $F$5:$GC$5)&lt;FY$5, _xlfn.XLOOKUP(12, Assumptions!$D$81:$GA$81, $F$5:$GC$5)+Assumptions!$D$9*12&gt;=FY$5), _xlfn.XLOOKUP("Series A", Proforma!$F$21:$GC$21, Proforma!$F$26:$GC$26)/(Assumptions!$D$9*12), 0)</f>
        <v>83333.333333333328</v>
      </c>
      <c r="FZ39" s="77">
        <f>IF(AND(_xlfn.XLOOKUP(12, Assumptions!$D$81:$GA$81, $F$5:$GC$5)&lt;FZ$5, _xlfn.XLOOKUP(12, Assumptions!$D$81:$GA$81, $F$5:$GC$5)+Assumptions!$D$9*12&gt;=FZ$5), _xlfn.XLOOKUP("Series A", Proforma!$F$21:$GC$21, Proforma!$F$26:$GC$26)/(Assumptions!$D$9*12), 0)</f>
        <v>83333.333333333328</v>
      </c>
      <c r="GA39" s="77">
        <f>IF(AND(_xlfn.XLOOKUP(12, Assumptions!$D$81:$GA$81, $F$5:$GC$5)&lt;GA$5, _xlfn.XLOOKUP(12, Assumptions!$D$81:$GA$81, $F$5:$GC$5)+Assumptions!$D$9*12&gt;=GA$5), _xlfn.XLOOKUP("Series A", Proforma!$F$21:$GC$21, Proforma!$F$26:$GC$26)/(Assumptions!$D$9*12), 0)</f>
        <v>83333.333333333328</v>
      </c>
      <c r="GB39" s="77">
        <f>IF(AND(_xlfn.XLOOKUP(12, Assumptions!$D$81:$GA$81, $F$5:$GC$5)&lt;GB$5, _xlfn.XLOOKUP(12, Assumptions!$D$81:$GA$81, $F$5:$GC$5)+Assumptions!$D$9*12&gt;=GB$5), _xlfn.XLOOKUP("Series A", Proforma!$F$21:$GC$21, Proforma!$F$26:$GC$26)/(Assumptions!$D$9*12), 0)</f>
        <v>83333.333333333328</v>
      </c>
      <c r="GC39" s="77">
        <f>IF(AND(_xlfn.XLOOKUP(12, Assumptions!$D$81:$GA$81, $F$5:$GC$5)&lt;GC$5, _xlfn.XLOOKUP(12, Assumptions!$D$81:$GA$81, $F$5:$GC$5)+Assumptions!$D$9*12&gt;=GC$5), _xlfn.XLOOKUP("Series A", Proforma!$F$21:$GC$21, Proforma!$F$26:$GC$26)/(Assumptions!$D$9*12), 0)</f>
        <v>83333.333333333328</v>
      </c>
    </row>
    <row r="40" spans="1:185">
      <c r="A40" s="80"/>
      <c r="B40" t="s">
        <v>89</v>
      </c>
      <c r="C40" s="80"/>
      <c r="D40" s="80"/>
      <c r="E40" s="82"/>
      <c r="F40" s="77">
        <f>_xlfn.IFNA(IF(AND(_xlfn.XLOOKUP(MAX($F$23:$GC$23), Assumptions!$A$81:$A$88, Assumptions!$B$81:$B$88)+(Assumptions!$D$33-1)&lt;F$5, _xlfn.XLOOKUP(MAX($F$23:$GC$23), Assumptions!$A$81:$A$88, Assumptions!$B$81:$B$88)+(Assumptions!$D$33-1)+Assumptions!$D$9*12&gt;=F$5), ($E$36-Assumptions!$D$23)/(Assumptions!$D$9*12), 0), 0)</f>
        <v>0</v>
      </c>
      <c r="G40" s="77">
        <f>_xlfn.IFNA(IF(AND(_xlfn.XLOOKUP(MAX($F$23:$GC$23), Assumptions!$A$81:$A$88, Assumptions!$B$81:$B$88)+(Assumptions!$D$33-1)&lt;G$5, _xlfn.XLOOKUP(MAX($F$23:$GC$23), Assumptions!$A$81:$A$88, Assumptions!$B$81:$B$88)+(Assumptions!$D$33-1)+Assumptions!$D$9*12&gt;=G$5), ($E$36-Assumptions!$D$23)/(Assumptions!$D$9*12), 0), 0)</f>
        <v>0</v>
      </c>
      <c r="H40" s="77">
        <f>_xlfn.IFNA(IF(AND(_xlfn.XLOOKUP(MAX($F$23:$GC$23), Assumptions!$A$81:$A$88, Assumptions!$B$81:$B$88)+(Assumptions!$D$33-1)&lt;H$5, _xlfn.XLOOKUP(MAX($F$23:$GC$23), Assumptions!$A$81:$A$88, Assumptions!$B$81:$B$88)+(Assumptions!$D$33-1)+Assumptions!$D$9*12&gt;=H$5), ($E$36-Assumptions!$D$23)/(Assumptions!$D$9*12), 0), 0)</f>
        <v>0</v>
      </c>
      <c r="I40" s="77">
        <f>_xlfn.IFNA(IF(AND(_xlfn.XLOOKUP(MAX($F$23:$GC$23), Assumptions!$A$81:$A$88, Assumptions!$B$81:$B$88)+(Assumptions!$D$33-1)&lt;I$5, _xlfn.XLOOKUP(MAX($F$23:$GC$23), Assumptions!$A$81:$A$88, Assumptions!$B$81:$B$88)+(Assumptions!$D$33-1)+Assumptions!$D$9*12&gt;=I$5), ($E$36-Assumptions!$D$23)/(Assumptions!$D$9*12), 0), 0)</f>
        <v>0</v>
      </c>
      <c r="J40" s="77">
        <f>_xlfn.IFNA(IF(AND(_xlfn.XLOOKUP(MAX($F$23:$GC$23), Assumptions!$A$81:$A$88, Assumptions!$B$81:$B$88)+(Assumptions!$D$33-1)&lt;J$5, _xlfn.XLOOKUP(MAX($F$23:$GC$23), Assumptions!$A$81:$A$88, Assumptions!$B$81:$B$88)+(Assumptions!$D$33-1)+Assumptions!$D$9*12&gt;=J$5), ($E$36-Assumptions!$D$23)/(Assumptions!$D$9*12), 0), 0)</f>
        <v>0</v>
      </c>
      <c r="K40" s="77">
        <f>_xlfn.IFNA(IF(AND(_xlfn.XLOOKUP(MAX($F$23:$GC$23), Assumptions!$A$81:$A$88, Assumptions!$B$81:$B$88)+(Assumptions!$D$33-1)&lt;K$5, _xlfn.XLOOKUP(MAX($F$23:$GC$23), Assumptions!$A$81:$A$88, Assumptions!$B$81:$B$88)+(Assumptions!$D$33-1)+Assumptions!$D$9*12&gt;=K$5), ($E$36-Assumptions!$D$23)/(Assumptions!$D$9*12), 0), 0)</f>
        <v>0</v>
      </c>
      <c r="L40" s="77">
        <f>_xlfn.IFNA(IF(AND(_xlfn.XLOOKUP(MAX($F$23:$GC$23), Assumptions!$A$81:$A$88, Assumptions!$B$81:$B$88)+(Assumptions!$D$33-1)&lt;L$5, _xlfn.XLOOKUP(MAX($F$23:$GC$23), Assumptions!$A$81:$A$88, Assumptions!$B$81:$B$88)+(Assumptions!$D$33-1)+Assumptions!$D$9*12&gt;=L$5), ($E$36-Assumptions!$D$23)/(Assumptions!$D$9*12), 0), 0)</f>
        <v>0</v>
      </c>
      <c r="M40" s="77">
        <f>_xlfn.IFNA(IF(AND(_xlfn.XLOOKUP(MAX($F$23:$GC$23), Assumptions!$A$81:$A$88, Assumptions!$B$81:$B$88)+(Assumptions!$D$33-1)&lt;M$5, _xlfn.XLOOKUP(MAX($F$23:$GC$23), Assumptions!$A$81:$A$88, Assumptions!$B$81:$B$88)+(Assumptions!$D$33-1)+Assumptions!$D$9*12&gt;=M$5), ($E$36-Assumptions!$D$23)/(Assumptions!$D$9*12), 0), 0)</f>
        <v>0</v>
      </c>
      <c r="N40" s="77">
        <f>_xlfn.IFNA(IF(AND(_xlfn.XLOOKUP(MAX($F$23:$GC$23), Assumptions!$A$81:$A$88, Assumptions!$B$81:$B$88)+(Assumptions!$D$33-1)&lt;N$5, _xlfn.XLOOKUP(MAX($F$23:$GC$23), Assumptions!$A$81:$A$88, Assumptions!$B$81:$B$88)+(Assumptions!$D$33-1)+Assumptions!$D$9*12&gt;=N$5), ($E$36-Assumptions!$D$23)/(Assumptions!$D$9*12), 0), 0)</f>
        <v>4685.8698666666633</v>
      </c>
      <c r="O40" s="77">
        <f>_xlfn.IFNA(IF(AND(_xlfn.XLOOKUP(MAX($F$23:$GC$23), Assumptions!$A$81:$A$88, Assumptions!$B$81:$B$88)+(Assumptions!$D$33-1)&lt;O$5, _xlfn.XLOOKUP(MAX($F$23:$GC$23), Assumptions!$A$81:$A$88, Assumptions!$B$81:$B$88)+(Assumptions!$D$33-1)+Assumptions!$D$9*12&gt;=O$5), ($E$36-Assumptions!$D$23)/(Assumptions!$D$9*12), 0), 0)</f>
        <v>4685.8698666666633</v>
      </c>
      <c r="P40" s="77">
        <f>_xlfn.IFNA(IF(AND(_xlfn.XLOOKUP(MAX($F$23:$GC$23), Assumptions!$A$81:$A$88, Assumptions!$B$81:$B$88)+(Assumptions!$D$33-1)&lt;P$5, _xlfn.XLOOKUP(MAX($F$23:$GC$23), Assumptions!$A$81:$A$88, Assumptions!$B$81:$B$88)+(Assumptions!$D$33-1)+Assumptions!$D$9*12&gt;=P$5), ($E$36-Assumptions!$D$23)/(Assumptions!$D$9*12), 0), 0)</f>
        <v>4685.8698666666633</v>
      </c>
      <c r="Q40" s="77">
        <f>_xlfn.IFNA(IF(AND(_xlfn.XLOOKUP(MAX($F$23:$GC$23), Assumptions!$A$81:$A$88, Assumptions!$B$81:$B$88)+(Assumptions!$D$33-1)&lt;Q$5, _xlfn.XLOOKUP(MAX($F$23:$GC$23), Assumptions!$A$81:$A$88, Assumptions!$B$81:$B$88)+(Assumptions!$D$33-1)+Assumptions!$D$9*12&gt;=Q$5), ($E$36-Assumptions!$D$23)/(Assumptions!$D$9*12), 0), 0)</f>
        <v>4685.8698666666633</v>
      </c>
      <c r="R40" s="77">
        <f>_xlfn.IFNA(IF(AND(_xlfn.XLOOKUP(MAX($F$23:$GC$23), Assumptions!$A$81:$A$88, Assumptions!$B$81:$B$88)+(Assumptions!$D$33-1)&lt;R$5, _xlfn.XLOOKUP(MAX($F$23:$GC$23), Assumptions!$A$81:$A$88, Assumptions!$B$81:$B$88)+(Assumptions!$D$33-1)+Assumptions!$D$9*12&gt;=R$5), ($E$36-Assumptions!$D$23)/(Assumptions!$D$9*12), 0), 0)</f>
        <v>4685.8698666666633</v>
      </c>
      <c r="S40" s="77">
        <f>_xlfn.IFNA(IF(AND(_xlfn.XLOOKUP(MAX($F$23:$GC$23), Assumptions!$A$81:$A$88, Assumptions!$B$81:$B$88)+(Assumptions!$D$33-1)&lt;S$5, _xlfn.XLOOKUP(MAX($F$23:$GC$23), Assumptions!$A$81:$A$88, Assumptions!$B$81:$B$88)+(Assumptions!$D$33-1)+Assumptions!$D$9*12&gt;=S$5), ($E$36-Assumptions!$D$23)/(Assumptions!$D$9*12), 0), 0)</f>
        <v>4685.8698666666633</v>
      </c>
      <c r="T40" s="77">
        <f>_xlfn.IFNA(IF(AND(_xlfn.XLOOKUP(MAX($F$23:$GC$23), Assumptions!$A$81:$A$88, Assumptions!$B$81:$B$88)+(Assumptions!$D$33-1)&lt;T$5, _xlfn.XLOOKUP(MAX($F$23:$GC$23), Assumptions!$A$81:$A$88, Assumptions!$B$81:$B$88)+(Assumptions!$D$33-1)+Assumptions!$D$9*12&gt;=T$5), ($E$36-Assumptions!$D$23)/(Assumptions!$D$9*12), 0), 0)</f>
        <v>4685.8698666666633</v>
      </c>
      <c r="U40" s="77">
        <f>_xlfn.IFNA(IF(AND(_xlfn.XLOOKUP(MAX($F$23:$GC$23), Assumptions!$A$81:$A$88, Assumptions!$B$81:$B$88)+(Assumptions!$D$33-1)&lt;U$5, _xlfn.XLOOKUP(MAX($F$23:$GC$23), Assumptions!$A$81:$A$88, Assumptions!$B$81:$B$88)+(Assumptions!$D$33-1)+Assumptions!$D$9*12&gt;=U$5), ($E$36-Assumptions!$D$23)/(Assumptions!$D$9*12), 0), 0)</f>
        <v>4685.8698666666633</v>
      </c>
      <c r="V40" s="77">
        <f>_xlfn.IFNA(IF(AND(_xlfn.XLOOKUP(MAX($F$23:$GC$23), Assumptions!$A$81:$A$88, Assumptions!$B$81:$B$88)+(Assumptions!$D$33-1)&lt;V$5, _xlfn.XLOOKUP(MAX($F$23:$GC$23), Assumptions!$A$81:$A$88, Assumptions!$B$81:$B$88)+(Assumptions!$D$33-1)+Assumptions!$D$9*12&gt;=V$5), ($E$36-Assumptions!$D$23)/(Assumptions!$D$9*12), 0), 0)</f>
        <v>4685.8698666666633</v>
      </c>
      <c r="W40" s="77">
        <f>_xlfn.IFNA(IF(AND(_xlfn.XLOOKUP(MAX($F$23:$GC$23), Assumptions!$A$81:$A$88, Assumptions!$B$81:$B$88)+(Assumptions!$D$33-1)&lt;W$5, _xlfn.XLOOKUP(MAX($F$23:$GC$23), Assumptions!$A$81:$A$88, Assumptions!$B$81:$B$88)+(Assumptions!$D$33-1)+Assumptions!$D$9*12&gt;=W$5), ($E$36-Assumptions!$D$23)/(Assumptions!$D$9*12), 0), 0)</f>
        <v>4685.8698666666633</v>
      </c>
      <c r="X40" s="77">
        <f>_xlfn.IFNA(IF(AND(_xlfn.XLOOKUP(MAX($F$23:$GC$23), Assumptions!$A$81:$A$88, Assumptions!$B$81:$B$88)+(Assumptions!$D$33-1)&lt;X$5, _xlfn.XLOOKUP(MAX($F$23:$GC$23), Assumptions!$A$81:$A$88, Assumptions!$B$81:$B$88)+(Assumptions!$D$33-1)+Assumptions!$D$9*12&gt;=X$5), ($E$36-Assumptions!$D$23)/(Assumptions!$D$9*12), 0), 0)</f>
        <v>4685.8698666666633</v>
      </c>
      <c r="Y40" s="77">
        <f>_xlfn.IFNA(IF(AND(_xlfn.XLOOKUP(MAX($F$23:$GC$23), Assumptions!$A$81:$A$88, Assumptions!$B$81:$B$88)+(Assumptions!$D$33-1)&lt;Y$5, _xlfn.XLOOKUP(MAX($F$23:$GC$23), Assumptions!$A$81:$A$88, Assumptions!$B$81:$B$88)+(Assumptions!$D$33-1)+Assumptions!$D$9*12&gt;=Y$5), ($E$36-Assumptions!$D$23)/(Assumptions!$D$9*12), 0), 0)</f>
        <v>4685.8698666666633</v>
      </c>
      <c r="Z40" s="77">
        <f>_xlfn.IFNA(IF(AND(_xlfn.XLOOKUP(MAX($F$23:$GC$23), Assumptions!$A$81:$A$88, Assumptions!$B$81:$B$88)+(Assumptions!$D$33-1)&lt;Z$5, _xlfn.XLOOKUP(MAX($F$23:$GC$23), Assumptions!$A$81:$A$88, Assumptions!$B$81:$B$88)+(Assumptions!$D$33-1)+Assumptions!$D$9*12&gt;=Z$5), ($E$36-Assumptions!$D$23)/(Assumptions!$D$9*12), 0), 0)</f>
        <v>4685.8698666666633</v>
      </c>
      <c r="AA40" s="77">
        <f>_xlfn.IFNA(IF(AND(_xlfn.XLOOKUP(MAX($F$23:$GC$23), Assumptions!$A$81:$A$88, Assumptions!$B$81:$B$88)+(Assumptions!$D$33-1)&lt;AA$5, _xlfn.XLOOKUP(MAX($F$23:$GC$23), Assumptions!$A$81:$A$88, Assumptions!$B$81:$B$88)+(Assumptions!$D$33-1)+Assumptions!$D$9*12&gt;=AA$5), ($E$36-Assumptions!$D$23)/(Assumptions!$D$9*12), 0), 0)</f>
        <v>4685.8698666666633</v>
      </c>
      <c r="AB40" s="77">
        <f>_xlfn.IFNA(IF(AND(_xlfn.XLOOKUP(MAX($F$23:$GC$23), Assumptions!$A$81:$A$88, Assumptions!$B$81:$B$88)+(Assumptions!$D$33-1)&lt;AB$5, _xlfn.XLOOKUP(MAX($F$23:$GC$23), Assumptions!$A$81:$A$88, Assumptions!$B$81:$B$88)+(Assumptions!$D$33-1)+Assumptions!$D$9*12&gt;=AB$5), ($E$36-Assumptions!$D$23)/(Assumptions!$D$9*12), 0), 0)</f>
        <v>4685.8698666666633</v>
      </c>
      <c r="AC40" s="77">
        <f>_xlfn.IFNA(IF(AND(_xlfn.XLOOKUP(MAX($F$23:$GC$23), Assumptions!$A$81:$A$88, Assumptions!$B$81:$B$88)+(Assumptions!$D$33-1)&lt;AC$5, _xlfn.XLOOKUP(MAX($F$23:$GC$23), Assumptions!$A$81:$A$88, Assumptions!$B$81:$B$88)+(Assumptions!$D$33-1)+Assumptions!$D$9*12&gt;=AC$5), ($E$36-Assumptions!$D$23)/(Assumptions!$D$9*12), 0), 0)</f>
        <v>4685.8698666666633</v>
      </c>
      <c r="AD40" s="77">
        <f>_xlfn.IFNA(IF(AND(_xlfn.XLOOKUP(MAX($F$23:$GC$23), Assumptions!$A$81:$A$88, Assumptions!$B$81:$B$88)+(Assumptions!$D$33-1)&lt;AD$5, _xlfn.XLOOKUP(MAX($F$23:$GC$23), Assumptions!$A$81:$A$88, Assumptions!$B$81:$B$88)+(Assumptions!$D$33-1)+Assumptions!$D$9*12&gt;=AD$5), ($E$36-Assumptions!$D$23)/(Assumptions!$D$9*12), 0), 0)</f>
        <v>4685.8698666666633</v>
      </c>
      <c r="AE40" s="77">
        <f>_xlfn.IFNA(IF(AND(_xlfn.XLOOKUP(MAX($F$23:$GC$23), Assumptions!$A$81:$A$88, Assumptions!$B$81:$B$88)+(Assumptions!$D$33-1)&lt;AE$5, _xlfn.XLOOKUP(MAX($F$23:$GC$23), Assumptions!$A$81:$A$88, Assumptions!$B$81:$B$88)+(Assumptions!$D$33-1)+Assumptions!$D$9*12&gt;=AE$5), ($E$36-Assumptions!$D$23)/(Assumptions!$D$9*12), 0), 0)</f>
        <v>4685.8698666666633</v>
      </c>
      <c r="AF40" s="77">
        <f>_xlfn.IFNA(IF(AND(_xlfn.XLOOKUP(MAX($F$23:$GC$23), Assumptions!$A$81:$A$88, Assumptions!$B$81:$B$88)+(Assumptions!$D$33-1)&lt;AF$5, _xlfn.XLOOKUP(MAX($F$23:$GC$23), Assumptions!$A$81:$A$88, Assumptions!$B$81:$B$88)+(Assumptions!$D$33-1)+Assumptions!$D$9*12&gt;=AF$5), ($E$36-Assumptions!$D$23)/(Assumptions!$D$9*12), 0), 0)</f>
        <v>4685.8698666666633</v>
      </c>
      <c r="AG40" s="77">
        <f>_xlfn.IFNA(IF(AND(_xlfn.XLOOKUP(MAX($F$23:$GC$23), Assumptions!$A$81:$A$88, Assumptions!$B$81:$B$88)+(Assumptions!$D$33-1)&lt;AG$5, _xlfn.XLOOKUP(MAX($F$23:$GC$23), Assumptions!$A$81:$A$88, Assumptions!$B$81:$B$88)+(Assumptions!$D$33-1)+Assumptions!$D$9*12&gt;=AG$5), ($E$36-Assumptions!$D$23)/(Assumptions!$D$9*12), 0), 0)</f>
        <v>4685.8698666666633</v>
      </c>
      <c r="AH40" s="77">
        <f>_xlfn.IFNA(IF(AND(_xlfn.XLOOKUP(MAX($F$23:$GC$23), Assumptions!$A$81:$A$88, Assumptions!$B$81:$B$88)+(Assumptions!$D$33-1)&lt;AH$5, _xlfn.XLOOKUP(MAX($F$23:$GC$23), Assumptions!$A$81:$A$88, Assumptions!$B$81:$B$88)+(Assumptions!$D$33-1)+Assumptions!$D$9*12&gt;=AH$5), ($E$36-Assumptions!$D$23)/(Assumptions!$D$9*12), 0), 0)</f>
        <v>4685.8698666666633</v>
      </c>
      <c r="AI40" s="77">
        <f>_xlfn.IFNA(IF(AND(_xlfn.XLOOKUP(MAX($F$23:$GC$23), Assumptions!$A$81:$A$88, Assumptions!$B$81:$B$88)+(Assumptions!$D$33-1)&lt;AI$5, _xlfn.XLOOKUP(MAX($F$23:$GC$23), Assumptions!$A$81:$A$88, Assumptions!$B$81:$B$88)+(Assumptions!$D$33-1)+Assumptions!$D$9*12&gt;=AI$5), ($E$36-Assumptions!$D$23)/(Assumptions!$D$9*12), 0), 0)</f>
        <v>4685.8698666666633</v>
      </c>
      <c r="AJ40" s="77">
        <f>_xlfn.IFNA(IF(AND(_xlfn.XLOOKUP(MAX($F$23:$GC$23), Assumptions!$A$81:$A$88, Assumptions!$B$81:$B$88)+(Assumptions!$D$33-1)&lt;AJ$5, _xlfn.XLOOKUP(MAX($F$23:$GC$23), Assumptions!$A$81:$A$88, Assumptions!$B$81:$B$88)+(Assumptions!$D$33-1)+Assumptions!$D$9*12&gt;=AJ$5), ($E$36-Assumptions!$D$23)/(Assumptions!$D$9*12), 0), 0)</f>
        <v>4685.8698666666633</v>
      </c>
      <c r="AK40" s="77">
        <f>_xlfn.IFNA(IF(AND(_xlfn.XLOOKUP(MAX($F$23:$GC$23), Assumptions!$A$81:$A$88, Assumptions!$B$81:$B$88)+(Assumptions!$D$33-1)&lt;AK$5, _xlfn.XLOOKUP(MAX($F$23:$GC$23), Assumptions!$A$81:$A$88, Assumptions!$B$81:$B$88)+(Assumptions!$D$33-1)+Assumptions!$D$9*12&gt;=AK$5), ($E$36-Assumptions!$D$23)/(Assumptions!$D$9*12), 0), 0)</f>
        <v>4685.8698666666633</v>
      </c>
      <c r="AL40" s="77">
        <f>_xlfn.IFNA(IF(AND(_xlfn.XLOOKUP(MAX($F$23:$GC$23), Assumptions!$A$81:$A$88, Assumptions!$B$81:$B$88)+(Assumptions!$D$33-1)&lt;AL$5, _xlfn.XLOOKUP(MAX($F$23:$GC$23), Assumptions!$A$81:$A$88, Assumptions!$B$81:$B$88)+(Assumptions!$D$33-1)+Assumptions!$D$9*12&gt;=AL$5), ($E$36-Assumptions!$D$23)/(Assumptions!$D$9*12), 0), 0)</f>
        <v>4685.8698666666633</v>
      </c>
      <c r="AM40" s="77">
        <f>_xlfn.IFNA(IF(AND(_xlfn.XLOOKUP(MAX($F$23:$GC$23), Assumptions!$A$81:$A$88, Assumptions!$B$81:$B$88)+(Assumptions!$D$33-1)&lt;AM$5, _xlfn.XLOOKUP(MAX($F$23:$GC$23), Assumptions!$A$81:$A$88, Assumptions!$B$81:$B$88)+(Assumptions!$D$33-1)+Assumptions!$D$9*12&gt;=AM$5), ($E$36-Assumptions!$D$23)/(Assumptions!$D$9*12), 0), 0)</f>
        <v>4685.8698666666633</v>
      </c>
      <c r="AN40" s="77">
        <f>_xlfn.IFNA(IF(AND(_xlfn.XLOOKUP(MAX($F$23:$GC$23), Assumptions!$A$81:$A$88, Assumptions!$B$81:$B$88)+(Assumptions!$D$33-1)&lt;AN$5, _xlfn.XLOOKUP(MAX($F$23:$GC$23), Assumptions!$A$81:$A$88, Assumptions!$B$81:$B$88)+(Assumptions!$D$33-1)+Assumptions!$D$9*12&gt;=AN$5), ($E$36-Assumptions!$D$23)/(Assumptions!$D$9*12), 0), 0)</f>
        <v>4685.8698666666633</v>
      </c>
      <c r="AO40" s="77">
        <f>_xlfn.IFNA(IF(AND(_xlfn.XLOOKUP(MAX($F$23:$GC$23), Assumptions!$A$81:$A$88, Assumptions!$B$81:$B$88)+(Assumptions!$D$33-1)&lt;AO$5, _xlfn.XLOOKUP(MAX($F$23:$GC$23), Assumptions!$A$81:$A$88, Assumptions!$B$81:$B$88)+(Assumptions!$D$33-1)+Assumptions!$D$9*12&gt;=AO$5), ($E$36-Assumptions!$D$23)/(Assumptions!$D$9*12), 0), 0)</f>
        <v>4685.8698666666633</v>
      </c>
      <c r="AP40" s="77">
        <f>_xlfn.IFNA(IF(AND(_xlfn.XLOOKUP(MAX($F$23:$GC$23), Assumptions!$A$81:$A$88, Assumptions!$B$81:$B$88)+(Assumptions!$D$33-1)&lt;AP$5, _xlfn.XLOOKUP(MAX($F$23:$GC$23), Assumptions!$A$81:$A$88, Assumptions!$B$81:$B$88)+(Assumptions!$D$33-1)+Assumptions!$D$9*12&gt;=AP$5), ($E$36-Assumptions!$D$23)/(Assumptions!$D$9*12), 0), 0)</f>
        <v>4685.8698666666633</v>
      </c>
      <c r="AQ40" s="77">
        <f>_xlfn.IFNA(IF(AND(_xlfn.XLOOKUP(MAX($F$23:$GC$23), Assumptions!$A$81:$A$88, Assumptions!$B$81:$B$88)+(Assumptions!$D$33-1)&lt;AQ$5, _xlfn.XLOOKUP(MAX($F$23:$GC$23), Assumptions!$A$81:$A$88, Assumptions!$B$81:$B$88)+(Assumptions!$D$33-1)+Assumptions!$D$9*12&gt;=AQ$5), ($E$36-Assumptions!$D$23)/(Assumptions!$D$9*12), 0), 0)</f>
        <v>4685.8698666666633</v>
      </c>
      <c r="AR40" s="77">
        <f>_xlfn.IFNA(IF(AND(_xlfn.XLOOKUP(MAX($F$23:$GC$23), Assumptions!$A$81:$A$88, Assumptions!$B$81:$B$88)+(Assumptions!$D$33-1)&lt;AR$5, _xlfn.XLOOKUP(MAX($F$23:$GC$23), Assumptions!$A$81:$A$88, Assumptions!$B$81:$B$88)+(Assumptions!$D$33-1)+Assumptions!$D$9*12&gt;=AR$5), ($E$36-Assumptions!$D$23)/(Assumptions!$D$9*12), 0), 0)</f>
        <v>4685.8698666666633</v>
      </c>
      <c r="AS40" s="77">
        <f>_xlfn.IFNA(IF(AND(_xlfn.XLOOKUP(MAX($F$23:$GC$23), Assumptions!$A$81:$A$88, Assumptions!$B$81:$B$88)+(Assumptions!$D$33-1)&lt;AS$5, _xlfn.XLOOKUP(MAX($F$23:$GC$23), Assumptions!$A$81:$A$88, Assumptions!$B$81:$B$88)+(Assumptions!$D$33-1)+Assumptions!$D$9*12&gt;=AS$5), ($E$36-Assumptions!$D$23)/(Assumptions!$D$9*12), 0), 0)</f>
        <v>4685.8698666666633</v>
      </c>
      <c r="AT40" s="77">
        <f>_xlfn.IFNA(IF(AND(_xlfn.XLOOKUP(MAX($F$23:$GC$23), Assumptions!$A$81:$A$88, Assumptions!$B$81:$B$88)+(Assumptions!$D$33-1)&lt;AT$5, _xlfn.XLOOKUP(MAX($F$23:$GC$23), Assumptions!$A$81:$A$88, Assumptions!$B$81:$B$88)+(Assumptions!$D$33-1)+Assumptions!$D$9*12&gt;=AT$5), ($E$36-Assumptions!$D$23)/(Assumptions!$D$9*12), 0), 0)</f>
        <v>4685.8698666666633</v>
      </c>
      <c r="AU40" s="77">
        <f>_xlfn.IFNA(IF(AND(_xlfn.XLOOKUP(MAX($F$23:$GC$23), Assumptions!$A$81:$A$88, Assumptions!$B$81:$B$88)+(Assumptions!$D$33-1)&lt;AU$5, _xlfn.XLOOKUP(MAX($F$23:$GC$23), Assumptions!$A$81:$A$88, Assumptions!$B$81:$B$88)+(Assumptions!$D$33-1)+Assumptions!$D$9*12&gt;=AU$5), ($E$36-Assumptions!$D$23)/(Assumptions!$D$9*12), 0), 0)</f>
        <v>4685.8698666666633</v>
      </c>
      <c r="AV40" s="77">
        <f>_xlfn.IFNA(IF(AND(_xlfn.XLOOKUP(MAX($F$23:$GC$23), Assumptions!$A$81:$A$88, Assumptions!$B$81:$B$88)+(Assumptions!$D$33-1)&lt;AV$5, _xlfn.XLOOKUP(MAX($F$23:$GC$23), Assumptions!$A$81:$A$88, Assumptions!$B$81:$B$88)+(Assumptions!$D$33-1)+Assumptions!$D$9*12&gt;=AV$5), ($E$36-Assumptions!$D$23)/(Assumptions!$D$9*12), 0), 0)</f>
        <v>4685.8698666666633</v>
      </c>
      <c r="AW40" s="77">
        <f>_xlfn.IFNA(IF(AND(_xlfn.XLOOKUP(MAX($F$23:$GC$23), Assumptions!$A$81:$A$88, Assumptions!$B$81:$B$88)+(Assumptions!$D$33-1)&lt;AW$5, _xlfn.XLOOKUP(MAX($F$23:$GC$23), Assumptions!$A$81:$A$88, Assumptions!$B$81:$B$88)+(Assumptions!$D$33-1)+Assumptions!$D$9*12&gt;=AW$5), ($E$36-Assumptions!$D$23)/(Assumptions!$D$9*12), 0), 0)</f>
        <v>4685.8698666666633</v>
      </c>
      <c r="AX40" s="77">
        <f>_xlfn.IFNA(IF(AND(_xlfn.XLOOKUP(MAX($F$23:$GC$23), Assumptions!$A$81:$A$88, Assumptions!$B$81:$B$88)+(Assumptions!$D$33-1)&lt;AX$5, _xlfn.XLOOKUP(MAX($F$23:$GC$23), Assumptions!$A$81:$A$88, Assumptions!$B$81:$B$88)+(Assumptions!$D$33-1)+Assumptions!$D$9*12&gt;=AX$5), ($E$36-Assumptions!$D$23)/(Assumptions!$D$9*12), 0), 0)</f>
        <v>4685.8698666666633</v>
      </c>
      <c r="AY40" s="77">
        <f>_xlfn.IFNA(IF(AND(_xlfn.XLOOKUP(MAX($F$23:$GC$23), Assumptions!$A$81:$A$88, Assumptions!$B$81:$B$88)+(Assumptions!$D$33-1)&lt;AY$5, _xlfn.XLOOKUP(MAX($F$23:$GC$23), Assumptions!$A$81:$A$88, Assumptions!$B$81:$B$88)+(Assumptions!$D$33-1)+Assumptions!$D$9*12&gt;=AY$5), ($E$36-Assumptions!$D$23)/(Assumptions!$D$9*12), 0), 0)</f>
        <v>4685.8698666666633</v>
      </c>
      <c r="AZ40" s="77">
        <f>_xlfn.IFNA(IF(AND(_xlfn.XLOOKUP(MAX($F$23:$GC$23), Assumptions!$A$81:$A$88, Assumptions!$B$81:$B$88)+(Assumptions!$D$33-1)&lt;AZ$5, _xlfn.XLOOKUP(MAX($F$23:$GC$23), Assumptions!$A$81:$A$88, Assumptions!$B$81:$B$88)+(Assumptions!$D$33-1)+Assumptions!$D$9*12&gt;=AZ$5), ($E$36-Assumptions!$D$23)/(Assumptions!$D$9*12), 0), 0)</f>
        <v>4685.8698666666633</v>
      </c>
      <c r="BA40" s="77">
        <f>_xlfn.IFNA(IF(AND(_xlfn.XLOOKUP(MAX($F$23:$GC$23), Assumptions!$A$81:$A$88, Assumptions!$B$81:$B$88)+(Assumptions!$D$33-1)&lt;BA$5, _xlfn.XLOOKUP(MAX($F$23:$GC$23), Assumptions!$A$81:$A$88, Assumptions!$B$81:$B$88)+(Assumptions!$D$33-1)+Assumptions!$D$9*12&gt;=BA$5), ($E$36-Assumptions!$D$23)/(Assumptions!$D$9*12), 0), 0)</f>
        <v>4685.8698666666633</v>
      </c>
      <c r="BB40" s="77">
        <f>_xlfn.IFNA(IF(AND(_xlfn.XLOOKUP(MAX($F$23:$GC$23), Assumptions!$A$81:$A$88, Assumptions!$B$81:$B$88)+(Assumptions!$D$33-1)&lt;BB$5, _xlfn.XLOOKUP(MAX($F$23:$GC$23), Assumptions!$A$81:$A$88, Assumptions!$B$81:$B$88)+(Assumptions!$D$33-1)+Assumptions!$D$9*12&gt;=BB$5), ($E$36-Assumptions!$D$23)/(Assumptions!$D$9*12), 0), 0)</f>
        <v>4685.8698666666633</v>
      </c>
      <c r="BC40" s="77">
        <f>_xlfn.IFNA(IF(AND(_xlfn.XLOOKUP(MAX($F$23:$GC$23), Assumptions!$A$81:$A$88, Assumptions!$B$81:$B$88)+(Assumptions!$D$33-1)&lt;BC$5, _xlfn.XLOOKUP(MAX($F$23:$GC$23), Assumptions!$A$81:$A$88, Assumptions!$B$81:$B$88)+(Assumptions!$D$33-1)+Assumptions!$D$9*12&gt;=BC$5), ($E$36-Assumptions!$D$23)/(Assumptions!$D$9*12), 0), 0)</f>
        <v>4685.8698666666633</v>
      </c>
      <c r="BD40" s="77">
        <f>_xlfn.IFNA(IF(AND(_xlfn.XLOOKUP(MAX($F$23:$GC$23), Assumptions!$A$81:$A$88, Assumptions!$B$81:$B$88)+(Assumptions!$D$33-1)&lt;BD$5, _xlfn.XLOOKUP(MAX($F$23:$GC$23), Assumptions!$A$81:$A$88, Assumptions!$B$81:$B$88)+(Assumptions!$D$33-1)+Assumptions!$D$9*12&gt;=BD$5), ($E$36-Assumptions!$D$23)/(Assumptions!$D$9*12), 0), 0)</f>
        <v>4685.8698666666633</v>
      </c>
      <c r="BE40" s="77">
        <f>_xlfn.IFNA(IF(AND(_xlfn.XLOOKUP(MAX($F$23:$GC$23), Assumptions!$A$81:$A$88, Assumptions!$B$81:$B$88)+(Assumptions!$D$33-1)&lt;BE$5, _xlfn.XLOOKUP(MAX($F$23:$GC$23), Assumptions!$A$81:$A$88, Assumptions!$B$81:$B$88)+(Assumptions!$D$33-1)+Assumptions!$D$9*12&gt;=BE$5), ($E$36-Assumptions!$D$23)/(Assumptions!$D$9*12), 0), 0)</f>
        <v>4685.8698666666633</v>
      </c>
      <c r="BF40" s="77">
        <f>_xlfn.IFNA(IF(AND(_xlfn.XLOOKUP(MAX($F$23:$GC$23), Assumptions!$A$81:$A$88, Assumptions!$B$81:$B$88)+(Assumptions!$D$33-1)&lt;BF$5, _xlfn.XLOOKUP(MAX($F$23:$GC$23), Assumptions!$A$81:$A$88, Assumptions!$B$81:$B$88)+(Assumptions!$D$33-1)+Assumptions!$D$9*12&gt;=BF$5), ($E$36-Assumptions!$D$23)/(Assumptions!$D$9*12), 0), 0)</f>
        <v>4685.8698666666633</v>
      </c>
      <c r="BG40" s="77">
        <f>_xlfn.IFNA(IF(AND(_xlfn.XLOOKUP(MAX($F$23:$GC$23), Assumptions!$A$81:$A$88, Assumptions!$B$81:$B$88)+(Assumptions!$D$33-1)&lt;BG$5, _xlfn.XLOOKUP(MAX($F$23:$GC$23), Assumptions!$A$81:$A$88, Assumptions!$B$81:$B$88)+(Assumptions!$D$33-1)+Assumptions!$D$9*12&gt;=BG$5), ($E$36-Assumptions!$D$23)/(Assumptions!$D$9*12), 0), 0)</f>
        <v>4685.8698666666633</v>
      </c>
      <c r="BH40" s="77">
        <f>_xlfn.IFNA(IF(AND(_xlfn.XLOOKUP(MAX($F$23:$GC$23), Assumptions!$A$81:$A$88, Assumptions!$B$81:$B$88)+(Assumptions!$D$33-1)&lt;BH$5, _xlfn.XLOOKUP(MAX($F$23:$GC$23), Assumptions!$A$81:$A$88, Assumptions!$B$81:$B$88)+(Assumptions!$D$33-1)+Assumptions!$D$9*12&gt;=BH$5), ($E$36-Assumptions!$D$23)/(Assumptions!$D$9*12), 0), 0)</f>
        <v>4685.8698666666633</v>
      </c>
      <c r="BI40" s="77">
        <f>_xlfn.IFNA(IF(AND(_xlfn.XLOOKUP(MAX($F$23:$GC$23), Assumptions!$A$81:$A$88, Assumptions!$B$81:$B$88)+(Assumptions!$D$33-1)&lt;BI$5, _xlfn.XLOOKUP(MAX($F$23:$GC$23), Assumptions!$A$81:$A$88, Assumptions!$B$81:$B$88)+(Assumptions!$D$33-1)+Assumptions!$D$9*12&gt;=BI$5), ($E$36-Assumptions!$D$23)/(Assumptions!$D$9*12), 0), 0)</f>
        <v>4685.8698666666633</v>
      </c>
      <c r="BJ40" s="77">
        <f>_xlfn.IFNA(IF(AND(_xlfn.XLOOKUP(MAX($F$23:$GC$23), Assumptions!$A$81:$A$88, Assumptions!$B$81:$B$88)+(Assumptions!$D$33-1)&lt;BJ$5, _xlfn.XLOOKUP(MAX($F$23:$GC$23), Assumptions!$A$81:$A$88, Assumptions!$B$81:$B$88)+(Assumptions!$D$33-1)+Assumptions!$D$9*12&gt;=BJ$5), ($E$36-Assumptions!$D$23)/(Assumptions!$D$9*12), 0), 0)</f>
        <v>4685.8698666666633</v>
      </c>
      <c r="BK40" s="77">
        <f>_xlfn.IFNA(IF(AND(_xlfn.XLOOKUP(MAX($F$23:$GC$23), Assumptions!$A$81:$A$88, Assumptions!$B$81:$B$88)+(Assumptions!$D$33-1)&lt;BK$5, _xlfn.XLOOKUP(MAX($F$23:$GC$23), Assumptions!$A$81:$A$88, Assumptions!$B$81:$B$88)+(Assumptions!$D$33-1)+Assumptions!$D$9*12&gt;=BK$5), ($E$36-Assumptions!$D$23)/(Assumptions!$D$9*12), 0), 0)</f>
        <v>4685.8698666666633</v>
      </c>
      <c r="BL40" s="77">
        <f>_xlfn.IFNA(IF(AND(_xlfn.XLOOKUP(MAX($F$23:$GC$23), Assumptions!$A$81:$A$88, Assumptions!$B$81:$B$88)+(Assumptions!$D$33-1)&lt;BL$5, _xlfn.XLOOKUP(MAX($F$23:$GC$23), Assumptions!$A$81:$A$88, Assumptions!$B$81:$B$88)+(Assumptions!$D$33-1)+Assumptions!$D$9*12&gt;=BL$5), ($E$36-Assumptions!$D$23)/(Assumptions!$D$9*12), 0), 0)</f>
        <v>4685.8698666666633</v>
      </c>
      <c r="BM40" s="77">
        <f>_xlfn.IFNA(IF(AND(_xlfn.XLOOKUP(MAX($F$23:$GC$23), Assumptions!$A$81:$A$88, Assumptions!$B$81:$B$88)+(Assumptions!$D$33-1)&lt;BM$5, _xlfn.XLOOKUP(MAX($F$23:$GC$23), Assumptions!$A$81:$A$88, Assumptions!$B$81:$B$88)+(Assumptions!$D$33-1)+Assumptions!$D$9*12&gt;=BM$5), ($E$36-Assumptions!$D$23)/(Assumptions!$D$9*12), 0), 0)</f>
        <v>4685.8698666666633</v>
      </c>
      <c r="BN40" s="77">
        <f>_xlfn.IFNA(IF(AND(_xlfn.XLOOKUP(MAX($F$23:$GC$23), Assumptions!$A$81:$A$88, Assumptions!$B$81:$B$88)+(Assumptions!$D$33-1)&lt;BN$5, _xlfn.XLOOKUP(MAX($F$23:$GC$23), Assumptions!$A$81:$A$88, Assumptions!$B$81:$B$88)+(Assumptions!$D$33-1)+Assumptions!$D$9*12&gt;=BN$5), ($E$36-Assumptions!$D$23)/(Assumptions!$D$9*12), 0), 0)</f>
        <v>4685.8698666666633</v>
      </c>
      <c r="BO40" s="77">
        <f>_xlfn.IFNA(IF(AND(_xlfn.XLOOKUP(MAX($F$23:$GC$23), Assumptions!$A$81:$A$88, Assumptions!$B$81:$B$88)+(Assumptions!$D$33-1)&lt;BO$5, _xlfn.XLOOKUP(MAX($F$23:$GC$23), Assumptions!$A$81:$A$88, Assumptions!$B$81:$B$88)+(Assumptions!$D$33-1)+Assumptions!$D$9*12&gt;=BO$5), ($E$36-Assumptions!$D$23)/(Assumptions!$D$9*12), 0), 0)</f>
        <v>4685.8698666666633</v>
      </c>
      <c r="BP40" s="77">
        <f>_xlfn.IFNA(IF(AND(_xlfn.XLOOKUP(MAX($F$23:$GC$23), Assumptions!$A$81:$A$88, Assumptions!$B$81:$B$88)+(Assumptions!$D$33-1)&lt;BP$5, _xlfn.XLOOKUP(MAX($F$23:$GC$23), Assumptions!$A$81:$A$88, Assumptions!$B$81:$B$88)+(Assumptions!$D$33-1)+Assumptions!$D$9*12&gt;=BP$5), ($E$36-Assumptions!$D$23)/(Assumptions!$D$9*12), 0), 0)</f>
        <v>4685.8698666666633</v>
      </c>
      <c r="BQ40" s="77">
        <f>_xlfn.IFNA(IF(AND(_xlfn.XLOOKUP(MAX($F$23:$GC$23), Assumptions!$A$81:$A$88, Assumptions!$B$81:$B$88)+(Assumptions!$D$33-1)&lt;BQ$5, _xlfn.XLOOKUP(MAX($F$23:$GC$23), Assumptions!$A$81:$A$88, Assumptions!$B$81:$B$88)+(Assumptions!$D$33-1)+Assumptions!$D$9*12&gt;=BQ$5), ($E$36-Assumptions!$D$23)/(Assumptions!$D$9*12), 0), 0)</f>
        <v>4685.8698666666633</v>
      </c>
      <c r="BR40" s="77">
        <f>_xlfn.IFNA(IF(AND(_xlfn.XLOOKUP(MAX($F$23:$GC$23), Assumptions!$A$81:$A$88, Assumptions!$B$81:$B$88)+(Assumptions!$D$33-1)&lt;BR$5, _xlfn.XLOOKUP(MAX($F$23:$GC$23), Assumptions!$A$81:$A$88, Assumptions!$B$81:$B$88)+(Assumptions!$D$33-1)+Assumptions!$D$9*12&gt;=BR$5), ($E$36-Assumptions!$D$23)/(Assumptions!$D$9*12), 0), 0)</f>
        <v>4685.8698666666633</v>
      </c>
      <c r="BS40" s="77">
        <f>_xlfn.IFNA(IF(AND(_xlfn.XLOOKUP(MAX($F$23:$GC$23), Assumptions!$A$81:$A$88, Assumptions!$B$81:$B$88)+(Assumptions!$D$33-1)&lt;BS$5, _xlfn.XLOOKUP(MAX($F$23:$GC$23), Assumptions!$A$81:$A$88, Assumptions!$B$81:$B$88)+(Assumptions!$D$33-1)+Assumptions!$D$9*12&gt;=BS$5), ($E$36-Assumptions!$D$23)/(Assumptions!$D$9*12), 0), 0)</f>
        <v>4685.8698666666633</v>
      </c>
      <c r="BT40" s="77">
        <f>_xlfn.IFNA(IF(AND(_xlfn.XLOOKUP(MAX($F$23:$GC$23), Assumptions!$A$81:$A$88, Assumptions!$B$81:$B$88)+(Assumptions!$D$33-1)&lt;BT$5, _xlfn.XLOOKUP(MAX($F$23:$GC$23), Assumptions!$A$81:$A$88, Assumptions!$B$81:$B$88)+(Assumptions!$D$33-1)+Assumptions!$D$9*12&gt;=BT$5), ($E$36-Assumptions!$D$23)/(Assumptions!$D$9*12), 0), 0)</f>
        <v>4685.8698666666633</v>
      </c>
      <c r="BU40" s="77">
        <f>_xlfn.IFNA(IF(AND(_xlfn.XLOOKUP(MAX($F$23:$GC$23), Assumptions!$A$81:$A$88, Assumptions!$B$81:$B$88)+(Assumptions!$D$33-1)&lt;BU$5, _xlfn.XLOOKUP(MAX($F$23:$GC$23), Assumptions!$A$81:$A$88, Assumptions!$B$81:$B$88)+(Assumptions!$D$33-1)+Assumptions!$D$9*12&gt;=BU$5), ($E$36-Assumptions!$D$23)/(Assumptions!$D$9*12), 0), 0)</f>
        <v>4685.8698666666633</v>
      </c>
      <c r="BV40" s="77">
        <f>_xlfn.IFNA(IF(AND(_xlfn.XLOOKUP(MAX($F$23:$GC$23), Assumptions!$A$81:$A$88, Assumptions!$B$81:$B$88)+(Assumptions!$D$33-1)&lt;BV$5, _xlfn.XLOOKUP(MAX($F$23:$GC$23), Assumptions!$A$81:$A$88, Assumptions!$B$81:$B$88)+(Assumptions!$D$33-1)+Assumptions!$D$9*12&gt;=BV$5), ($E$36-Assumptions!$D$23)/(Assumptions!$D$9*12), 0), 0)</f>
        <v>4685.8698666666633</v>
      </c>
      <c r="BW40" s="77">
        <f>_xlfn.IFNA(IF(AND(_xlfn.XLOOKUP(MAX($F$23:$GC$23), Assumptions!$A$81:$A$88, Assumptions!$B$81:$B$88)+(Assumptions!$D$33-1)&lt;BW$5, _xlfn.XLOOKUP(MAX($F$23:$GC$23), Assumptions!$A$81:$A$88, Assumptions!$B$81:$B$88)+(Assumptions!$D$33-1)+Assumptions!$D$9*12&gt;=BW$5), ($E$36-Assumptions!$D$23)/(Assumptions!$D$9*12), 0), 0)</f>
        <v>4685.8698666666633</v>
      </c>
      <c r="BX40" s="77">
        <f>_xlfn.IFNA(IF(AND(_xlfn.XLOOKUP(MAX($F$23:$GC$23), Assumptions!$A$81:$A$88, Assumptions!$B$81:$B$88)+(Assumptions!$D$33-1)&lt;BX$5, _xlfn.XLOOKUP(MAX($F$23:$GC$23), Assumptions!$A$81:$A$88, Assumptions!$B$81:$B$88)+(Assumptions!$D$33-1)+Assumptions!$D$9*12&gt;=BX$5), ($E$36-Assumptions!$D$23)/(Assumptions!$D$9*12), 0), 0)</f>
        <v>4685.8698666666633</v>
      </c>
      <c r="BY40" s="77">
        <f>_xlfn.IFNA(IF(AND(_xlfn.XLOOKUP(MAX($F$23:$GC$23), Assumptions!$A$81:$A$88, Assumptions!$B$81:$B$88)+(Assumptions!$D$33-1)&lt;BY$5, _xlfn.XLOOKUP(MAX($F$23:$GC$23), Assumptions!$A$81:$A$88, Assumptions!$B$81:$B$88)+(Assumptions!$D$33-1)+Assumptions!$D$9*12&gt;=BY$5), ($E$36-Assumptions!$D$23)/(Assumptions!$D$9*12), 0), 0)</f>
        <v>4685.8698666666633</v>
      </c>
      <c r="BZ40" s="77">
        <f>_xlfn.IFNA(IF(AND(_xlfn.XLOOKUP(MAX($F$23:$GC$23), Assumptions!$A$81:$A$88, Assumptions!$B$81:$B$88)+(Assumptions!$D$33-1)&lt;BZ$5, _xlfn.XLOOKUP(MAX($F$23:$GC$23), Assumptions!$A$81:$A$88, Assumptions!$B$81:$B$88)+(Assumptions!$D$33-1)+Assumptions!$D$9*12&gt;=BZ$5), ($E$36-Assumptions!$D$23)/(Assumptions!$D$9*12), 0), 0)</f>
        <v>4685.8698666666633</v>
      </c>
      <c r="CA40" s="77">
        <f>_xlfn.IFNA(IF(AND(_xlfn.XLOOKUP(MAX($F$23:$GC$23), Assumptions!$A$81:$A$88, Assumptions!$B$81:$B$88)+(Assumptions!$D$33-1)&lt;CA$5, _xlfn.XLOOKUP(MAX($F$23:$GC$23), Assumptions!$A$81:$A$88, Assumptions!$B$81:$B$88)+(Assumptions!$D$33-1)+Assumptions!$D$9*12&gt;=CA$5), ($E$36-Assumptions!$D$23)/(Assumptions!$D$9*12), 0), 0)</f>
        <v>4685.8698666666633</v>
      </c>
      <c r="CB40" s="77">
        <f>_xlfn.IFNA(IF(AND(_xlfn.XLOOKUP(MAX($F$23:$GC$23), Assumptions!$A$81:$A$88, Assumptions!$B$81:$B$88)+(Assumptions!$D$33-1)&lt;CB$5, _xlfn.XLOOKUP(MAX($F$23:$GC$23), Assumptions!$A$81:$A$88, Assumptions!$B$81:$B$88)+(Assumptions!$D$33-1)+Assumptions!$D$9*12&gt;=CB$5), ($E$36-Assumptions!$D$23)/(Assumptions!$D$9*12), 0), 0)</f>
        <v>4685.8698666666633</v>
      </c>
      <c r="CC40" s="77">
        <f>_xlfn.IFNA(IF(AND(_xlfn.XLOOKUP(MAX($F$23:$GC$23), Assumptions!$A$81:$A$88, Assumptions!$B$81:$B$88)+(Assumptions!$D$33-1)&lt;CC$5, _xlfn.XLOOKUP(MAX($F$23:$GC$23), Assumptions!$A$81:$A$88, Assumptions!$B$81:$B$88)+(Assumptions!$D$33-1)+Assumptions!$D$9*12&gt;=CC$5), ($E$36-Assumptions!$D$23)/(Assumptions!$D$9*12), 0), 0)</f>
        <v>4685.8698666666633</v>
      </c>
      <c r="CD40" s="77">
        <f>_xlfn.IFNA(IF(AND(_xlfn.XLOOKUP(MAX($F$23:$GC$23), Assumptions!$A$81:$A$88, Assumptions!$B$81:$B$88)+(Assumptions!$D$33-1)&lt;CD$5, _xlfn.XLOOKUP(MAX($F$23:$GC$23), Assumptions!$A$81:$A$88, Assumptions!$B$81:$B$88)+(Assumptions!$D$33-1)+Assumptions!$D$9*12&gt;=CD$5), ($E$36-Assumptions!$D$23)/(Assumptions!$D$9*12), 0), 0)</f>
        <v>4685.8698666666633</v>
      </c>
      <c r="CE40" s="77">
        <f>_xlfn.IFNA(IF(AND(_xlfn.XLOOKUP(MAX($F$23:$GC$23), Assumptions!$A$81:$A$88, Assumptions!$B$81:$B$88)+(Assumptions!$D$33-1)&lt;CE$5, _xlfn.XLOOKUP(MAX($F$23:$GC$23), Assumptions!$A$81:$A$88, Assumptions!$B$81:$B$88)+(Assumptions!$D$33-1)+Assumptions!$D$9*12&gt;=CE$5), ($E$36-Assumptions!$D$23)/(Assumptions!$D$9*12), 0), 0)</f>
        <v>4685.8698666666633</v>
      </c>
      <c r="CF40" s="77">
        <f>_xlfn.IFNA(IF(AND(_xlfn.XLOOKUP(MAX($F$23:$GC$23), Assumptions!$A$81:$A$88, Assumptions!$B$81:$B$88)+(Assumptions!$D$33-1)&lt;CF$5, _xlfn.XLOOKUP(MAX($F$23:$GC$23), Assumptions!$A$81:$A$88, Assumptions!$B$81:$B$88)+(Assumptions!$D$33-1)+Assumptions!$D$9*12&gt;=CF$5), ($E$36-Assumptions!$D$23)/(Assumptions!$D$9*12), 0), 0)</f>
        <v>4685.8698666666633</v>
      </c>
      <c r="CG40" s="77">
        <f>_xlfn.IFNA(IF(AND(_xlfn.XLOOKUP(MAX($F$23:$GC$23), Assumptions!$A$81:$A$88, Assumptions!$B$81:$B$88)+(Assumptions!$D$33-1)&lt;CG$5, _xlfn.XLOOKUP(MAX($F$23:$GC$23), Assumptions!$A$81:$A$88, Assumptions!$B$81:$B$88)+(Assumptions!$D$33-1)+Assumptions!$D$9*12&gt;=CG$5), ($E$36-Assumptions!$D$23)/(Assumptions!$D$9*12), 0), 0)</f>
        <v>4685.8698666666633</v>
      </c>
      <c r="CH40" s="77">
        <f>_xlfn.IFNA(IF(AND(_xlfn.XLOOKUP(MAX($F$23:$GC$23), Assumptions!$A$81:$A$88, Assumptions!$B$81:$B$88)+(Assumptions!$D$33-1)&lt;CH$5, _xlfn.XLOOKUP(MAX($F$23:$GC$23), Assumptions!$A$81:$A$88, Assumptions!$B$81:$B$88)+(Assumptions!$D$33-1)+Assumptions!$D$9*12&gt;=CH$5), ($E$36-Assumptions!$D$23)/(Assumptions!$D$9*12), 0), 0)</f>
        <v>4685.8698666666633</v>
      </c>
      <c r="CI40" s="77">
        <f>_xlfn.IFNA(IF(AND(_xlfn.XLOOKUP(MAX($F$23:$GC$23), Assumptions!$A$81:$A$88, Assumptions!$B$81:$B$88)+(Assumptions!$D$33-1)&lt;CI$5, _xlfn.XLOOKUP(MAX($F$23:$GC$23), Assumptions!$A$81:$A$88, Assumptions!$B$81:$B$88)+(Assumptions!$D$33-1)+Assumptions!$D$9*12&gt;=CI$5), ($E$36-Assumptions!$D$23)/(Assumptions!$D$9*12), 0), 0)</f>
        <v>4685.8698666666633</v>
      </c>
      <c r="CJ40" s="77">
        <f>_xlfn.IFNA(IF(AND(_xlfn.XLOOKUP(MAX($F$23:$GC$23), Assumptions!$A$81:$A$88, Assumptions!$B$81:$B$88)+(Assumptions!$D$33-1)&lt;CJ$5, _xlfn.XLOOKUP(MAX($F$23:$GC$23), Assumptions!$A$81:$A$88, Assumptions!$B$81:$B$88)+(Assumptions!$D$33-1)+Assumptions!$D$9*12&gt;=CJ$5), ($E$36-Assumptions!$D$23)/(Assumptions!$D$9*12), 0), 0)</f>
        <v>4685.8698666666633</v>
      </c>
      <c r="CK40" s="77">
        <f>_xlfn.IFNA(IF(AND(_xlfn.XLOOKUP(MAX($F$23:$GC$23), Assumptions!$A$81:$A$88, Assumptions!$B$81:$B$88)+(Assumptions!$D$33-1)&lt;CK$5, _xlfn.XLOOKUP(MAX($F$23:$GC$23), Assumptions!$A$81:$A$88, Assumptions!$B$81:$B$88)+(Assumptions!$D$33-1)+Assumptions!$D$9*12&gt;=CK$5), ($E$36-Assumptions!$D$23)/(Assumptions!$D$9*12), 0), 0)</f>
        <v>4685.8698666666633</v>
      </c>
      <c r="CL40" s="77">
        <f>_xlfn.IFNA(IF(AND(_xlfn.XLOOKUP(MAX($F$23:$GC$23), Assumptions!$A$81:$A$88, Assumptions!$B$81:$B$88)+(Assumptions!$D$33-1)&lt;CL$5, _xlfn.XLOOKUP(MAX($F$23:$GC$23), Assumptions!$A$81:$A$88, Assumptions!$B$81:$B$88)+(Assumptions!$D$33-1)+Assumptions!$D$9*12&gt;=CL$5), ($E$36-Assumptions!$D$23)/(Assumptions!$D$9*12), 0), 0)</f>
        <v>4685.8698666666633</v>
      </c>
      <c r="CM40" s="77">
        <f>_xlfn.IFNA(IF(AND(_xlfn.XLOOKUP(MAX($F$23:$GC$23), Assumptions!$A$81:$A$88, Assumptions!$B$81:$B$88)+(Assumptions!$D$33-1)&lt;CM$5, _xlfn.XLOOKUP(MAX($F$23:$GC$23), Assumptions!$A$81:$A$88, Assumptions!$B$81:$B$88)+(Assumptions!$D$33-1)+Assumptions!$D$9*12&gt;=CM$5), ($E$36-Assumptions!$D$23)/(Assumptions!$D$9*12), 0), 0)</f>
        <v>4685.8698666666633</v>
      </c>
      <c r="CN40" s="77">
        <f>_xlfn.IFNA(IF(AND(_xlfn.XLOOKUP(MAX($F$23:$GC$23), Assumptions!$A$81:$A$88, Assumptions!$B$81:$B$88)+(Assumptions!$D$33-1)&lt;CN$5, _xlfn.XLOOKUP(MAX($F$23:$GC$23), Assumptions!$A$81:$A$88, Assumptions!$B$81:$B$88)+(Assumptions!$D$33-1)+Assumptions!$D$9*12&gt;=CN$5), ($E$36-Assumptions!$D$23)/(Assumptions!$D$9*12), 0), 0)</f>
        <v>4685.8698666666633</v>
      </c>
      <c r="CO40" s="77">
        <f>_xlfn.IFNA(IF(AND(_xlfn.XLOOKUP(MAX($F$23:$GC$23), Assumptions!$A$81:$A$88, Assumptions!$B$81:$B$88)+(Assumptions!$D$33-1)&lt;CO$5, _xlfn.XLOOKUP(MAX($F$23:$GC$23), Assumptions!$A$81:$A$88, Assumptions!$B$81:$B$88)+(Assumptions!$D$33-1)+Assumptions!$D$9*12&gt;=CO$5), ($E$36-Assumptions!$D$23)/(Assumptions!$D$9*12), 0), 0)</f>
        <v>4685.8698666666633</v>
      </c>
      <c r="CP40" s="77">
        <f>_xlfn.IFNA(IF(AND(_xlfn.XLOOKUP(MAX($F$23:$GC$23), Assumptions!$A$81:$A$88, Assumptions!$B$81:$B$88)+(Assumptions!$D$33-1)&lt;CP$5, _xlfn.XLOOKUP(MAX($F$23:$GC$23), Assumptions!$A$81:$A$88, Assumptions!$B$81:$B$88)+(Assumptions!$D$33-1)+Assumptions!$D$9*12&gt;=CP$5), ($E$36-Assumptions!$D$23)/(Assumptions!$D$9*12), 0), 0)</f>
        <v>4685.8698666666633</v>
      </c>
      <c r="CQ40" s="77">
        <f>_xlfn.IFNA(IF(AND(_xlfn.XLOOKUP(MAX($F$23:$GC$23), Assumptions!$A$81:$A$88, Assumptions!$B$81:$B$88)+(Assumptions!$D$33-1)&lt;CQ$5, _xlfn.XLOOKUP(MAX($F$23:$GC$23), Assumptions!$A$81:$A$88, Assumptions!$B$81:$B$88)+(Assumptions!$D$33-1)+Assumptions!$D$9*12&gt;=CQ$5), ($E$36-Assumptions!$D$23)/(Assumptions!$D$9*12), 0), 0)</f>
        <v>4685.8698666666633</v>
      </c>
      <c r="CR40" s="77">
        <f>_xlfn.IFNA(IF(AND(_xlfn.XLOOKUP(MAX($F$23:$GC$23), Assumptions!$A$81:$A$88, Assumptions!$B$81:$B$88)+(Assumptions!$D$33-1)&lt;CR$5, _xlfn.XLOOKUP(MAX($F$23:$GC$23), Assumptions!$A$81:$A$88, Assumptions!$B$81:$B$88)+(Assumptions!$D$33-1)+Assumptions!$D$9*12&gt;=CR$5), ($E$36-Assumptions!$D$23)/(Assumptions!$D$9*12), 0), 0)</f>
        <v>4685.8698666666633</v>
      </c>
      <c r="CS40" s="77">
        <f>_xlfn.IFNA(IF(AND(_xlfn.XLOOKUP(MAX($F$23:$GC$23), Assumptions!$A$81:$A$88, Assumptions!$B$81:$B$88)+(Assumptions!$D$33-1)&lt;CS$5, _xlfn.XLOOKUP(MAX($F$23:$GC$23), Assumptions!$A$81:$A$88, Assumptions!$B$81:$B$88)+(Assumptions!$D$33-1)+Assumptions!$D$9*12&gt;=CS$5), ($E$36-Assumptions!$D$23)/(Assumptions!$D$9*12), 0), 0)</f>
        <v>4685.8698666666633</v>
      </c>
      <c r="CT40" s="77">
        <f>_xlfn.IFNA(IF(AND(_xlfn.XLOOKUP(MAX($F$23:$GC$23), Assumptions!$A$81:$A$88, Assumptions!$B$81:$B$88)+(Assumptions!$D$33-1)&lt;CT$5, _xlfn.XLOOKUP(MAX($F$23:$GC$23), Assumptions!$A$81:$A$88, Assumptions!$B$81:$B$88)+(Assumptions!$D$33-1)+Assumptions!$D$9*12&gt;=CT$5), ($E$36-Assumptions!$D$23)/(Assumptions!$D$9*12), 0), 0)</f>
        <v>4685.8698666666633</v>
      </c>
      <c r="CU40" s="77">
        <f>_xlfn.IFNA(IF(AND(_xlfn.XLOOKUP(MAX($F$23:$GC$23), Assumptions!$A$81:$A$88, Assumptions!$B$81:$B$88)+(Assumptions!$D$33-1)&lt;CU$5, _xlfn.XLOOKUP(MAX($F$23:$GC$23), Assumptions!$A$81:$A$88, Assumptions!$B$81:$B$88)+(Assumptions!$D$33-1)+Assumptions!$D$9*12&gt;=CU$5), ($E$36-Assumptions!$D$23)/(Assumptions!$D$9*12), 0), 0)</f>
        <v>4685.8698666666633</v>
      </c>
      <c r="CV40" s="77">
        <f>_xlfn.IFNA(IF(AND(_xlfn.XLOOKUP(MAX($F$23:$GC$23), Assumptions!$A$81:$A$88, Assumptions!$B$81:$B$88)+(Assumptions!$D$33-1)&lt;CV$5, _xlfn.XLOOKUP(MAX($F$23:$GC$23), Assumptions!$A$81:$A$88, Assumptions!$B$81:$B$88)+(Assumptions!$D$33-1)+Assumptions!$D$9*12&gt;=CV$5), ($E$36-Assumptions!$D$23)/(Assumptions!$D$9*12), 0), 0)</f>
        <v>4685.8698666666633</v>
      </c>
      <c r="CW40" s="77">
        <f>_xlfn.IFNA(IF(AND(_xlfn.XLOOKUP(MAX($F$23:$GC$23), Assumptions!$A$81:$A$88, Assumptions!$B$81:$B$88)+(Assumptions!$D$33-1)&lt;CW$5, _xlfn.XLOOKUP(MAX($F$23:$GC$23), Assumptions!$A$81:$A$88, Assumptions!$B$81:$B$88)+(Assumptions!$D$33-1)+Assumptions!$D$9*12&gt;=CW$5), ($E$36-Assumptions!$D$23)/(Assumptions!$D$9*12), 0), 0)</f>
        <v>4685.8698666666633</v>
      </c>
      <c r="CX40" s="77">
        <f>_xlfn.IFNA(IF(AND(_xlfn.XLOOKUP(MAX($F$23:$GC$23), Assumptions!$A$81:$A$88, Assumptions!$B$81:$B$88)+(Assumptions!$D$33-1)&lt;CX$5, _xlfn.XLOOKUP(MAX($F$23:$GC$23), Assumptions!$A$81:$A$88, Assumptions!$B$81:$B$88)+(Assumptions!$D$33-1)+Assumptions!$D$9*12&gt;=CX$5), ($E$36-Assumptions!$D$23)/(Assumptions!$D$9*12), 0), 0)</f>
        <v>4685.8698666666633</v>
      </c>
      <c r="CY40" s="77">
        <f>_xlfn.IFNA(IF(AND(_xlfn.XLOOKUP(MAX($F$23:$GC$23), Assumptions!$A$81:$A$88, Assumptions!$B$81:$B$88)+(Assumptions!$D$33-1)&lt;CY$5, _xlfn.XLOOKUP(MAX($F$23:$GC$23), Assumptions!$A$81:$A$88, Assumptions!$B$81:$B$88)+(Assumptions!$D$33-1)+Assumptions!$D$9*12&gt;=CY$5), ($E$36-Assumptions!$D$23)/(Assumptions!$D$9*12), 0), 0)</f>
        <v>4685.8698666666633</v>
      </c>
      <c r="CZ40" s="77">
        <f>_xlfn.IFNA(IF(AND(_xlfn.XLOOKUP(MAX($F$23:$GC$23), Assumptions!$A$81:$A$88, Assumptions!$B$81:$B$88)+(Assumptions!$D$33-1)&lt;CZ$5, _xlfn.XLOOKUP(MAX($F$23:$GC$23), Assumptions!$A$81:$A$88, Assumptions!$B$81:$B$88)+(Assumptions!$D$33-1)+Assumptions!$D$9*12&gt;=CZ$5), ($E$36-Assumptions!$D$23)/(Assumptions!$D$9*12), 0), 0)</f>
        <v>4685.8698666666633</v>
      </c>
      <c r="DA40" s="77">
        <f>_xlfn.IFNA(IF(AND(_xlfn.XLOOKUP(MAX($F$23:$GC$23), Assumptions!$A$81:$A$88, Assumptions!$B$81:$B$88)+(Assumptions!$D$33-1)&lt;DA$5, _xlfn.XLOOKUP(MAX($F$23:$GC$23), Assumptions!$A$81:$A$88, Assumptions!$B$81:$B$88)+(Assumptions!$D$33-1)+Assumptions!$D$9*12&gt;=DA$5), ($E$36-Assumptions!$D$23)/(Assumptions!$D$9*12), 0), 0)</f>
        <v>4685.8698666666633</v>
      </c>
      <c r="DB40" s="77">
        <f>_xlfn.IFNA(IF(AND(_xlfn.XLOOKUP(MAX($F$23:$GC$23), Assumptions!$A$81:$A$88, Assumptions!$B$81:$B$88)+(Assumptions!$D$33-1)&lt;DB$5, _xlfn.XLOOKUP(MAX($F$23:$GC$23), Assumptions!$A$81:$A$88, Assumptions!$B$81:$B$88)+(Assumptions!$D$33-1)+Assumptions!$D$9*12&gt;=DB$5), ($E$36-Assumptions!$D$23)/(Assumptions!$D$9*12), 0), 0)</f>
        <v>4685.8698666666633</v>
      </c>
      <c r="DC40" s="77">
        <f>_xlfn.IFNA(IF(AND(_xlfn.XLOOKUP(MAX($F$23:$GC$23), Assumptions!$A$81:$A$88, Assumptions!$B$81:$B$88)+(Assumptions!$D$33-1)&lt;DC$5, _xlfn.XLOOKUP(MAX($F$23:$GC$23), Assumptions!$A$81:$A$88, Assumptions!$B$81:$B$88)+(Assumptions!$D$33-1)+Assumptions!$D$9*12&gt;=DC$5), ($E$36-Assumptions!$D$23)/(Assumptions!$D$9*12), 0), 0)</f>
        <v>4685.8698666666633</v>
      </c>
      <c r="DD40" s="77">
        <f>_xlfn.IFNA(IF(AND(_xlfn.XLOOKUP(MAX($F$23:$GC$23), Assumptions!$A$81:$A$88, Assumptions!$B$81:$B$88)+(Assumptions!$D$33-1)&lt;DD$5, _xlfn.XLOOKUP(MAX($F$23:$GC$23), Assumptions!$A$81:$A$88, Assumptions!$B$81:$B$88)+(Assumptions!$D$33-1)+Assumptions!$D$9*12&gt;=DD$5), ($E$36-Assumptions!$D$23)/(Assumptions!$D$9*12), 0), 0)</f>
        <v>4685.8698666666633</v>
      </c>
      <c r="DE40" s="77">
        <f>_xlfn.IFNA(IF(AND(_xlfn.XLOOKUP(MAX($F$23:$GC$23), Assumptions!$A$81:$A$88, Assumptions!$B$81:$B$88)+(Assumptions!$D$33-1)&lt;DE$5, _xlfn.XLOOKUP(MAX($F$23:$GC$23), Assumptions!$A$81:$A$88, Assumptions!$B$81:$B$88)+(Assumptions!$D$33-1)+Assumptions!$D$9*12&gt;=DE$5), ($E$36-Assumptions!$D$23)/(Assumptions!$D$9*12), 0), 0)</f>
        <v>4685.8698666666633</v>
      </c>
      <c r="DF40" s="77">
        <f>_xlfn.IFNA(IF(AND(_xlfn.XLOOKUP(MAX($F$23:$GC$23), Assumptions!$A$81:$A$88, Assumptions!$B$81:$B$88)+(Assumptions!$D$33-1)&lt;DF$5, _xlfn.XLOOKUP(MAX($F$23:$GC$23), Assumptions!$A$81:$A$88, Assumptions!$B$81:$B$88)+(Assumptions!$D$33-1)+Assumptions!$D$9*12&gt;=DF$5), ($E$36-Assumptions!$D$23)/(Assumptions!$D$9*12), 0), 0)</f>
        <v>4685.8698666666633</v>
      </c>
      <c r="DG40" s="77">
        <f>_xlfn.IFNA(IF(AND(_xlfn.XLOOKUP(MAX($F$23:$GC$23), Assumptions!$A$81:$A$88, Assumptions!$B$81:$B$88)+(Assumptions!$D$33-1)&lt;DG$5, _xlfn.XLOOKUP(MAX($F$23:$GC$23), Assumptions!$A$81:$A$88, Assumptions!$B$81:$B$88)+(Assumptions!$D$33-1)+Assumptions!$D$9*12&gt;=DG$5), ($E$36-Assumptions!$D$23)/(Assumptions!$D$9*12), 0), 0)</f>
        <v>4685.8698666666633</v>
      </c>
      <c r="DH40" s="77">
        <f>_xlfn.IFNA(IF(AND(_xlfn.XLOOKUP(MAX($F$23:$GC$23), Assumptions!$A$81:$A$88, Assumptions!$B$81:$B$88)+(Assumptions!$D$33-1)&lt;DH$5, _xlfn.XLOOKUP(MAX($F$23:$GC$23), Assumptions!$A$81:$A$88, Assumptions!$B$81:$B$88)+(Assumptions!$D$33-1)+Assumptions!$D$9*12&gt;=DH$5), ($E$36-Assumptions!$D$23)/(Assumptions!$D$9*12), 0), 0)</f>
        <v>4685.8698666666633</v>
      </c>
      <c r="DI40" s="77">
        <f>_xlfn.IFNA(IF(AND(_xlfn.XLOOKUP(MAX($F$23:$GC$23), Assumptions!$A$81:$A$88, Assumptions!$B$81:$B$88)+(Assumptions!$D$33-1)&lt;DI$5, _xlfn.XLOOKUP(MAX($F$23:$GC$23), Assumptions!$A$81:$A$88, Assumptions!$B$81:$B$88)+(Assumptions!$D$33-1)+Assumptions!$D$9*12&gt;=DI$5), ($E$36-Assumptions!$D$23)/(Assumptions!$D$9*12), 0), 0)</f>
        <v>4685.8698666666633</v>
      </c>
      <c r="DJ40" s="77">
        <f>_xlfn.IFNA(IF(AND(_xlfn.XLOOKUP(MAX($F$23:$GC$23), Assumptions!$A$81:$A$88, Assumptions!$B$81:$B$88)+(Assumptions!$D$33-1)&lt;DJ$5, _xlfn.XLOOKUP(MAX($F$23:$GC$23), Assumptions!$A$81:$A$88, Assumptions!$B$81:$B$88)+(Assumptions!$D$33-1)+Assumptions!$D$9*12&gt;=DJ$5), ($E$36-Assumptions!$D$23)/(Assumptions!$D$9*12), 0), 0)</f>
        <v>4685.8698666666633</v>
      </c>
      <c r="DK40" s="77">
        <f>_xlfn.IFNA(IF(AND(_xlfn.XLOOKUP(MAX($F$23:$GC$23), Assumptions!$A$81:$A$88, Assumptions!$B$81:$B$88)+(Assumptions!$D$33-1)&lt;DK$5, _xlfn.XLOOKUP(MAX($F$23:$GC$23), Assumptions!$A$81:$A$88, Assumptions!$B$81:$B$88)+(Assumptions!$D$33-1)+Assumptions!$D$9*12&gt;=DK$5), ($E$36-Assumptions!$D$23)/(Assumptions!$D$9*12), 0), 0)</f>
        <v>4685.8698666666633</v>
      </c>
      <c r="DL40" s="77">
        <f>_xlfn.IFNA(IF(AND(_xlfn.XLOOKUP(MAX($F$23:$GC$23), Assumptions!$A$81:$A$88, Assumptions!$B$81:$B$88)+(Assumptions!$D$33-1)&lt;DL$5, _xlfn.XLOOKUP(MAX($F$23:$GC$23), Assumptions!$A$81:$A$88, Assumptions!$B$81:$B$88)+(Assumptions!$D$33-1)+Assumptions!$D$9*12&gt;=DL$5), ($E$36-Assumptions!$D$23)/(Assumptions!$D$9*12), 0), 0)</f>
        <v>4685.8698666666633</v>
      </c>
      <c r="DM40" s="77">
        <f>_xlfn.IFNA(IF(AND(_xlfn.XLOOKUP(MAX($F$23:$GC$23), Assumptions!$A$81:$A$88, Assumptions!$B$81:$B$88)+(Assumptions!$D$33-1)&lt;DM$5, _xlfn.XLOOKUP(MAX($F$23:$GC$23), Assumptions!$A$81:$A$88, Assumptions!$B$81:$B$88)+(Assumptions!$D$33-1)+Assumptions!$D$9*12&gt;=DM$5), ($E$36-Assumptions!$D$23)/(Assumptions!$D$9*12), 0), 0)</f>
        <v>4685.8698666666633</v>
      </c>
      <c r="DN40" s="77">
        <f>_xlfn.IFNA(IF(AND(_xlfn.XLOOKUP(MAX($F$23:$GC$23), Assumptions!$A$81:$A$88, Assumptions!$B$81:$B$88)+(Assumptions!$D$33-1)&lt;DN$5, _xlfn.XLOOKUP(MAX($F$23:$GC$23), Assumptions!$A$81:$A$88, Assumptions!$B$81:$B$88)+(Assumptions!$D$33-1)+Assumptions!$D$9*12&gt;=DN$5), ($E$36-Assumptions!$D$23)/(Assumptions!$D$9*12), 0), 0)</f>
        <v>4685.8698666666633</v>
      </c>
      <c r="DO40" s="77">
        <f>_xlfn.IFNA(IF(AND(_xlfn.XLOOKUP(MAX($F$23:$GC$23), Assumptions!$A$81:$A$88, Assumptions!$B$81:$B$88)+(Assumptions!$D$33-1)&lt;DO$5, _xlfn.XLOOKUP(MAX($F$23:$GC$23), Assumptions!$A$81:$A$88, Assumptions!$B$81:$B$88)+(Assumptions!$D$33-1)+Assumptions!$D$9*12&gt;=DO$5), ($E$36-Assumptions!$D$23)/(Assumptions!$D$9*12), 0), 0)</f>
        <v>4685.8698666666633</v>
      </c>
      <c r="DP40" s="77">
        <f>_xlfn.IFNA(IF(AND(_xlfn.XLOOKUP(MAX($F$23:$GC$23), Assumptions!$A$81:$A$88, Assumptions!$B$81:$B$88)+(Assumptions!$D$33-1)&lt;DP$5, _xlfn.XLOOKUP(MAX($F$23:$GC$23), Assumptions!$A$81:$A$88, Assumptions!$B$81:$B$88)+(Assumptions!$D$33-1)+Assumptions!$D$9*12&gt;=DP$5), ($E$36-Assumptions!$D$23)/(Assumptions!$D$9*12), 0), 0)</f>
        <v>4685.8698666666633</v>
      </c>
      <c r="DQ40" s="77">
        <f>_xlfn.IFNA(IF(AND(_xlfn.XLOOKUP(MAX($F$23:$GC$23), Assumptions!$A$81:$A$88, Assumptions!$B$81:$B$88)+(Assumptions!$D$33-1)&lt;DQ$5, _xlfn.XLOOKUP(MAX($F$23:$GC$23), Assumptions!$A$81:$A$88, Assumptions!$B$81:$B$88)+(Assumptions!$D$33-1)+Assumptions!$D$9*12&gt;=DQ$5), ($E$36-Assumptions!$D$23)/(Assumptions!$D$9*12), 0), 0)</f>
        <v>4685.8698666666633</v>
      </c>
      <c r="DR40" s="77">
        <f>_xlfn.IFNA(IF(AND(_xlfn.XLOOKUP(MAX($F$23:$GC$23), Assumptions!$A$81:$A$88, Assumptions!$B$81:$B$88)+(Assumptions!$D$33-1)&lt;DR$5, _xlfn.XLOOKUP(MAX($F$23:$GC$23), Assumptions!$A$81:$A$88, Assumptions!$B$81:$B$88)+(Assumptions!$D$33-1)+Assumptions!$D$9*12&gt;=DR$5), ($E$36-Assumptions!$D$23)/(Assumptions!$D$9*12), 0), 0)</f>
        <v>4685.8698666666633</v>
      </c>
      <c r="DS40" s="77">
        <f>_xlfn.IFNA(IF(AND(_xlfn.XLOOKUP(MAX($F$23:$GC$23), Assumptions!$A$81:$A$88, Assumptions!$B$81:$B$88)+(Assumptions!$D$33-1)&lt;DS$5, _xlfn.XLOOKUP(MAX($F$23:$GC$23), Assumptions!$A$81:$A$88, Assumptions!$B$81:$B$88)+(Assumptions!$D$33-1)+Assumptions!$D$9*12&gt;=DS$5), ($E$36-Assumptions!$D$23)/(Assumptions!$D$9*12), 0), 0)</f>
        <v>4685.8698666666633</v>
      </c>
      <c r="DT40" s="77">
        <f>_xlfn.IFNA(IF(AND(_xlfn.XLOOKUP(MAX($F$23:$GC$23), Assumptions!$A$81:$A$88, Assumptions!$B$81:$B$88)+(Assumptions!$D$33-1)&lt;DT$5, _xlfn.XLOOKUP(MAX($F$23:$GC$23), Assumptions!$A$81:$A$88, Assumptions!$B$81:$B$88)+(Assumptions!$D$33-1)+Assumptions!$D$9*12&gt;=DT$5), ($E$36-Assumptions!$D$23)/(Assumptions!$D$9*12), 0), 0)</f>
        <v>4685.8698666666633</v>
      </c>
      <c r="DU40" s="77">
        <f>_xlfn.IFNA(IF(AND(_xlfn.XLOOKUP(MAX($F$23:$GC$23), Assumptions!$A$81:$A$88, Assumptions!$B$81:$B$88)+(Assumptions!$D$33-1)&lt;DU$5, _xlfn.XLOOKUP(MAX($F$23:$GC$23), Assumptions!$A$81:$A$88, Assumptions!$B$81:$B$88)+(Assumptions!$D$33-1)+Assumptions!$D$9*12&gt;=DU$5), ($E$36-Assumptions!$D$23)/(Assumptions!$D$9*12), 0), 0)</f>
        <v>4685.8698666666633</v>
      </c>
      <c r="DV40" s="77">
        <f>_xlfn.IFNA(IF(AND(_xlfn.XLOOKUP(MAX($F$23:$GC$23), Assumptions!$A$81:$A$88, Assumptions!$B$81:$B$88)+(Assumptions!$D$33-1)&lt;DV$5, _xlfn.XLOOKUP(MAX($F$23:$GC$23), Assumptions!$A$81:$A$88, Assumptions!$B$81:$B$88)+(Assumptions!$D$33-1)+Assumptions!$D$9*12&gt;=DV$5), ($E$36-Assumptions!$D$23)/(Assumptions!$D$9*12), 0), 0)</f>
        <v>4685.8698666666633</v>
      </c>
      <c r="DW40" s="77">
        <f>_xlfn.IFNA(IF(AND(_xlfn.XLOOKUP(MAX($F$23:$GC$23), Assumptions!$A$81:$A$88, Assumptions!$B$81:$B$88)+(Assumptions!$D$33-1)&lt;DW$5, _xlfn.XLOOKUP(MAX($F$23:$GC$23), Assumptions!$A$81:$A$88, Assumptions!$B$81:$B$88)+(Assumptions!$D$33-1)+Assumptions!$D$9*12&gt;=DW$5), ($E$36-Assumptions!$D$23)/(Assumptions!$D$9*12), 0), 0)</f>
        <v>4685.8698666666633</v>
      </c>
      <c r="DX40" s="77">
        <f>_xlfn.IFNA(IF(AND(_xlfn.XLOOKUP(MAX($F$23:$GC$23), Assumptions!$A$81:$A$88, Assumptions!$B$81:$B$88)+(Assumptions!$D$33-1)&lt;DX$5, _xlfn.XLOOKUP(MAX($F$23:$GC$23), Assumptions!$A$81:$A$88, Assumptions!$B$81:$B$88)+(Assumptions!$D$33-1)+Assumptions!$D$9*12&gt;=DX$5), ($E$36-Assumptions!$D$23)/(Assumptions!$D$9*12), 0), 0)</f>
        <v>4685.8698666666633</v>
      </c>
      <c r="DY40" s="77">
        <f>_xlfn.IFNA(IF(AND(_xlfn.XLOOKUP(MAX($F$23:$GC$23), Assumptions!$A$81:$A$88, Assumptions!$B$81:$B$88)+(Assumptions!$D$33-1)&lt;DY$5, _xlfn.XLOOKUP(MAX($F$23:$GC$23), Assumptions!$A$81:$A$88, Assumptions!$B$81:$B$88)+(Assumptions!$D$33-1)+Assumptions!$D$9*12&gt;=DY$5), ($E$36-Assumptions!$D$23)/(Assumptions!$D$9*12), 0), 0)</f>
        <v>4685.8698666666633</v>
      </c>
      <c r="DZ40" s="77">
        <f>_xlfn.IFNA(IF(AND(_xlfn.XLOOKUP(MAX($F$23:$GC$23), Assumptions!$A$81:$A$88, Assumptions!$B$81:$B$88)+(Assumptions!$D$33-1)&lt;DZ$5, _xlfn.XLOOKUP(MAX($F$23:$GC$23), Assumptions!$A$81:$A$88, Assumptions!$B$81:$B$88)+(Assumptions!$D$33-1)+Assumptions!$D$9*12&gt;=DZ$5), ($E$36-Assumptions!$D$23)/(Assumptions!$D$9*12), 0), 0)</f>
        <v>4685.8698666666633</v>
      </c>
      <c r="EA40" s="77">
        <f>_xlfn.IFNA(IF(AND(_xlfn.XLOOKUP(MAX($F$23:$GC$23), Assumptions!$A$81:$A$88, Assumptions!$B$81:$B$88)+(Assumptions!$D$33-1)&lt;EA$5, _xlfn.XLOOKUP(MAX($F$23:$GC$23), Assumptions!$A$81:$A$88, Assumptions!$B$81:$B$88)+(Assumptions!$D$33-1)+Assumptions!$D$9*12&gt;=EA$5), ($E$36-Assumptions!$D$23)/(Assumptions!$D$9*12), 0), 0)</f>
        <v>4685.8698666666633</v>
      </c>
      <c r="EB40" s="77">
        <f>_xlfn.IFNA(IF(AND(_xlfn.XLOOKUP(MAX($F$23:$GC$23), Assumptions!$A$81:$A$88, Assumptions!$B$81:$B$88)+(Assumptions!$D$33-1)&lt;EB$5, _xlfn.XLOOKUP(MAX($F$23:$GC$23), Assumptions!$A$81:$A$88, Assumptions!$B$81:$B$88)+(Assumptions!$D$33-1)+Assumptions!$D$9*12&gt;=EB$5), ($E$36-Assumptions!$D$23)/(Assumptions!$D$9*12), 0), 0)</f>
        <v>4685.8698666666633</v>
      </c>
      <c r="EC40" s="77">
        <f>_xlfn.IFNA(IF(AND(_xlfn.XLOOKUP(MAX($F$23:$GC$23), Assumptions!$A$81:$A$88, Assumptions!$B$81:$B$88)+(Assumptions!$D$33-1)&lt;EC$5, _xlfn.XLOOKUP(MAX($F$23:$GC$23), Assumptions!$A$81:$A$88, Assumptions!$B$81:$B$88)+(Assumptions!$D$33-1)+Assumptions!$D$9*12&gt;=EC$5), ($E$36-Assumptions!$D$23)/(Assumptions!$D$9*12), 0), 0)</f>
        <v>4685.8698666666633</v>
      </c>
      <c r="ED40" s="77">
        <f>_xlfn.IFNA(IF(AND(_xlfn.XLOOKUP(MAX($F$23:$GC$23), Assumptions!$A$81:$A$88, Assumptions!$B$81:$B$88)+(Assumptions!$D$33-1)&lt;ED$5, _xlfn.XLOOKUP(MAX($F$23:$GC$23), Assumptions!$A$81:$A$88, Assumptions!$B$81:$B$88)+(Assumptions!$D$33-1)+Assumptions!$D$9*12&gt;=ED$5), ($E$36-Assumptions!$D$23)/(Assumptions!$D$9*12), 0), 0)</f>
        <v>4685.8698666666633</v>
      </c>
      <c r="EE40" s="77">
        <f>_xlfn.IFNA(IF(AND(_xlfn.XLOOKUP(MAX($F$23:$GC$23), Assumptions!$A$81:$A$88, Assumptions!$B$81:$B$88)+(Assumptions!$D$33-1)&lt;EE$5, _xlfn.XLOOKUP(MAX($F$23:$GC$23), Assumptions!$A$81:$A$88, Assumptions!$B$81:$B$88)+(Assumptions!$D$33-1)+Assumptions!$D$9*12&gt;=EE$5), ($E$36-Assumptions!$D$23)/(Assumptions!$D$9*12), 0), 0)</f>
        <v>4685.8698666666633</v>
      </c>
      <c r="EF40" s="77">
        <f>_xlfn.IFNA(IF(AND(_xlfn.XLOOKUP(MAX($F$23:$GC$23), Assumptions!$A$81:$A$88, Assumptions!$B$81:$B$88)+(Assumptions!$D$33-1)&lt;EF$5, _xlfn.XLOOKUP(MAX($F$23:$GC$23), Assumptions!$A$81:$A$88, Assumptions!$B$81:$B$88)+(Assumptions!$D$33-1)+Assumptions!$D$9*12&gt;=EF$5), ($E$36-Assumptions!$D$23)/(Assumptions!$D$9*12), 0), 0)</f>
        <v>4685.8698666666633</v>
      </c>
      <c r="EG40" s="77">
        <f>_xlfn.IFNA(IF(AND(_xlfn.XLOOKUP(MAX($F$23:$GC$23), Assumptions!$A$81:$A$88, Assumptions!$B$81:$B$88)+(Assumptions!$D$33-1)&lt;EG$5, _xlfn.XLOOKUP(MAX($F$23:$GC$23), Assumptions!$A$81:$A$88, Assumptions!$B$81:$B$88)+(Assumptions!$D$33-1)+Assumptions!$D$9*12&gt;=EG$5), ($E$36-Assumptions!$D$23)/(Assumptions!$D$9*12), 0), 0)</f>
        <v>4685.8698666666633</v>
      </c>
      <c r="EH40" s="77">
        <f>_xlfn.IFNA(IF(AND(_xlfn.XLOOKUP(MAX($F$23:$GC$23), Assumptions!$A$81:$A$88, Assumptions!$B$81:$B$88)+(Assumptions!$D$33-1)&lt;EH$5, _xlfn.XLOOKUP(MAX($F$23:$GC$23), Assumptions!$A$81:$A$88, Assumptions!$B$81:$B$88)+(Assumptions!$D$33-1)+Assumptions!$D$9*12&gt;=EH$5), ($E$36-Assumptions!$D$23)/(Assumptions!$D$9*12), 0), 0)</f>
        <v>4685.8698666666633</v>
      </c>
      <c r="EI40" s="77">
        <f>_xlfn.IFNA(IF(AND(_xlfn.XLOOKUP(MAX($F$23:$GC$23), Assumptions!$A$81:$A$88, Assumptions!$B$81:$B$88)+(Assumptions!$D$33-1)&lt;EI$5, _xlfn.XLOOKUP(MAX($F$23:$GC$23), Assumptions!$A$81:$A$88, Assumptions!$B$81:$B$88)+(Assumptions!$D$33-1)+Assumptions!$D$9*12&gt;=EI$5), ($E$36-Assumptions!$D$23)/(Assumptions!$D$9*12), 0), 0)</f>
        <v>4685.8698666666633</v>
      </c>
      <c r="EJ40" s="77">
        <f>_xlfn.IFNA(IF(AND(_xlfn.XLOOKUP(MAX($F$23:$GC$23), Assumptions!$A$81:$A$88, Assumptions!$B$81:$B$88)+(Assumptions!$D$33-1)&lt;EJ$5, _xlfn.XLOOKUP(MAX($F$23:$GC$23), Assumptions!$A$81:$A$88, Assumptions!$B$81:$B$88)+(Assumptions!$D$33-1)+Assumptions!$D$9*12&gt;=EJ$5), ($E$36-Assumptions!$D$23)/(Assumptions!$D$9*12), 0), 0)</f>
        <v>4685.8698666666633</v>
      </c>
      <c r="EK40" s="77">
        <f>_xlfn.IFNA(IF(AND(_xlfn.XLOOKUP(MAX($F$23:$GC$23), Assumptions!$A$81:$A$88, Assumptions!$B$81:$B$88)+(Assumptions!$D$33-1)&lt;EK$5, _xlfn.XLOOKUP(MAX($F$23:$GC$23), Assumptions!$A$81:$A$88, Assumptions!$B$81:$B$88)+(Assumptions!$D$33-1)+Assumptions!$D$9*12&gt;=EK$5), ($E$36-Assumptions!$D$23)/(Assumptions!$D$9*12), 0), 0)</f>
        <v>4685.8698666666633</v>
      </c>
      <c r="EL40" s="77">
        <f>_xlfn.IFNA(IF(AND(_xlfn.XLOOKUP(MAX($F$23:$GC$23), Assumptions!$A$81:$A$88, Assumptions!$B$81:$B$88)+(Assumptions!$D$33-1)&lt;EL$5, _xlfn.XLOOKUP(MAX($F$23:$GC$23), Assumptions!$A$81:$A$88, Assumptions!$B$81:$B$88)+(Assumptions!$D$33-1)+Assumptions!$D$9*12&gt;=EL$5), ($E$36-Assumptions!$D$23)/(Assumptions!$D$9*12), 0), 0)</f>
        <v>4685.8698666666633</v>
      </c>
      <c r="EM40" s="77">
        <f>_xlfn.IFNA(IF(AND(_xlfn.XLOOKUP(MAX($F$23:$GC$23), Assumptions!$A$81:$A$88, Assumptions!$B$81:$B$88)+(Assumptions!$D$33-1)&lt;EM$5, _xlfn.XLOOKUP(MAX($F$23:$GC$23), Assumptions!$A$81:$A$88, Assumptions!$B$81:$B$88)+(Assumptions!$D$33-1)+Assumptions!$D$9*12&gt;=EM$5), ($E$36-Assumptions!$D$23)/(Assumptions!$D$9*12), 0), 0)</f>
        <v>4685.8698666666633</v>
      </c>
      <c r="EN40" s="77">
        <f>_xlfn.IFNA(IF(AND(_xlfn.XLOOKUP(MAX($F$23:$GC$23), Assumptions!$A$81:$A$88, Assumptions!$B$81:$B$88)+(Assumptions!$D$33-1)&lt;EN$5, _xlfn.XLOOKUP(MAX($F$23:$GC$23), Assumptions!$A$81:$A$88, Assumptions!$B$81:$B$88)+(Assumptions!$D$33-1)+Assumptions!$D$9*12&gt;=EN$5), ($E$36-Assumptions!$D$23)/(Assumptions!$D$9*12), 0), 0)</f>
        <v>4685.8698666666633</v>
      </c>
      <c r="EO40" s="77">
        <f>_xlfn.IFNA(IF(AND(_xlfn.XLOOKUP(MAX($F$23:$GC$23), Assumptions!$A$81:$A$88, Assumptions!$B$81:$B$88)+(Assumptions!$D$33-1)&lt;EO$5, _xlfn.XLOOKUP(MAX($F$23:$GC$23), Assumptions!$A$81:$A$88, Assumptions!$B$81:$B$88)+(Assumptions!$D$33-1)+Assumptions!$D$9*12&gt;=EO$5), ($E$36-Assumptions!$D$23)/(Assumptions!$D$9*12), 0), 0)</f>
        <v>4685.8698666666633</v>
      </c>
      <c r="EP40" s="77">
        <f>_xlfn.IFNA(IF(AND(_xlfn.XLOOKUP(MAX($F$23:$GC$23), Assumptions!$A$81:$A$88, Assumptions!$B$81:$B$88)+(Assumptions!$D$33-1)&lt;EP$5, _xlfn.XLOOKUP(MAX($F$23:$GC$23), Assumptions!$A$81:$A$88, Assumptions!$B$81:$B$88)+(Assumptions!$D$33-1)+Assumptions!$D$9*12&gt;=EP$5), ($E$36-Assumptions!$D$23)/(Assumptions!$D$9*12), 0), 0)</f>
        <v>4685.8698666666633</v>
      </c>
      <c r="EQ40" s="77">
        <f>_xlfn.IFNA(IF(AND(_xlfn.XLOOKUP(MAX($F$23:$GC$23), Assumptions!$A$81:$A$88, Assumptions!$B$81:$B$88)+(Assumptions!$D$33-1)&lt;EQ$5, _xlfn.XLOOKUP(MAX($F$23:$GC$23), Assumptions!$A$81:$A$88, Assumptions!$B$81:$B$88)+(Assumptions!$D$33-1)+Assumptions!$D$9*12&gt;=EQ$5), ($E$36-Assumptions!$D$23)/(Assumptions!$D$9*12), 0), 0)</f>
        <v>4685.8698666666633</v>
      </c>
      <c r="ER40" s="77">
        <f>_xlfn.IFNA(IF(AND(_xlfn.XLOOKUP(MAX($F$23:$GC$23), Assumptions!$A$81:$A$88, Assumptions!$B$81:$B$88)+(Assumptions!$D$33-1)&lt;ER$5, _xlfn.XLOOKUP(MAX($F$23:$GC$23), Assumptions!$A$81:$A$88, Assumptions!$B$81:$B$88)+(Assumptions!$D$33-1)+Assumptions!$D$9*12&gt;=ER$5), ($E$36-Assumptions!$D$23)/(Assumptions!$D$9*12), 0), 0)</f>
        <v>4685.8698666666633</v>
      </c>
      <c r="ES40" s="77">
        <f>_xlfn.IFNA(IF(AND(_xlfn.XLOOKUP(MAX($F$23:$GC$23), Assumptions!$A$81:$A$88, Assumptions!$B$81:$B$88)+(Assumptions!$D$33-1)&lt;ES$5, _xlfn.XLOOKUP(MAX($F$23:$GC$23), Assumptions!$A$81:$A$88, Assumptions!$B$81:$B$88)+(Assumptions!$D$33-1)+Assumptions!$D$9*12&gt;=ES$5), ($E$36-Assumptions!$D$23)/(Assumptions!$D$9*12), 0), 0)</f>
        <v>4685.8698666666633</v>
      </c>
      <c r="ET40" s="77">
        <f>_xlfn.IFNA(IF(AND(_xlfn.XLOOKUP(MAX($F$23:$GC$23), Assumptions!$A$81:$A$88, Assumptions!$B$81:$B$88)+(Assumptions!$D$33-1)&lt;ET$5, _xlfn.XLOOKUP(MAX($F$23:$GC$23), Assumptions!$A$81:$A$88, Assumptions!$B$81:$B$88)+(Assumptions!$D$33-1)+Assumptions!$D$9*12&gt;=ET$5), ($E$36-Assumptions!$D$23)/(Assumptions!$D$9*12), 0), 0)</f>
        <v>4685.8698666666633</v>
      </c>
      <c r="EU40" s="77">
        <f>_xlfn.IFNA(IF(AND(_xlfn.XLOOKUP(MAX($F$23:$GC$23), Assumptions!$A$81:$A$88, Assumptions!$B$81:$B$88)+(Assumptions!$D$33-1)&lt;EU$5, _xlfn.XLOOKUP(MAX($F$23:$GC$23), Assumptions!$A$81:$A$88, Assumptions!$B$81:$B$88)+(Assumptions!$D$33-1)+Assumptions!$D$9*12&gt;=EU$5), ($E$36-Assumptions!$D$23)/(Assumptions!$D$9*12), 0), 0)</f>
        <v>4685.8698666666633</v>
      </c>
      <c r="EV40" s="77">
        <f>_xlfn.IFNA(IF(AND(_xlfn.XLOOKUP(MAX($F$23:$GC$23), Assumptions!$A$81:$A$88, Assumptions!$B$81:$B$88)+(Assumptions!$D$33-1)&lt;EV$5, _xlfn.XLOOKUP(MAX($F$23:$GC$23), Assumptions!$A$81:$A$88, Assumptions!$B$81:$B$88)+(Assumptions!$D$33-1)+Assumptions!$D$9*12&gt;=EV$5), ($E$36-Assumptions!$D$23)/(Assumptions!$D$9*12), 0), 0)</f>
        <v>4685.8698666666633</v>
      </c>
      <c r="EW40" s="77">
        <f>_xlfn.IFNA(IF(AND(_xlfn.XLOOKUP(MAX($F$23:$GC$23), Assumptions!$A$81:$A$88, Assumptions!$B$81:$B$88)+(Assumptions!$D$33-1)&lt;EW$5, _xlfn.XLOOKUP(MAX($F$23:$GC$23), Assumptions!$A$81:$A$88, Assumptions!$B$81:$B$88)+(Assumptions!$D$33-1)+Assumptions!$D$9*12&gt;=EW$5), ($E$36-Assumptions!$D$23)/(Assumptions!$D$9*12), 0), 0)</f>
        <v>4685.8698666666633</v>
      </c>
      <c r="EX40" s="77">
        <f>_xlfn.IFNA(IF(AND(_xlfn.XLOOKUP(MAX($F$23:$GC$23), Assumptions!$A$81:$A$88, Assumptions!$B$81:$B$88)+(Assumptions!$D$33-1)&lt;EX$5, _xlfn.XLOOKUP(MAX($F$23:$GC$23), Assumptions!$A$81:$A$88, Assumptions!$B$81:$B$88)+(Assumptions!$D$33-1)+Assumptions!$D$9*12&gt;=EX$5), ($E$36-Assumptions!$D$23)/(Assumptions!$D$9*12), 0), 0)</f>
        <v>4685.8698666666633</v>
      </c>
      <c r="EY40" s="77">
        <f>_xlfn.IFNA(IF(AND(_xlfn.XLOOKUP(MAX($F$23:$GC$23), Assumptions!$A$81:$A$88, Assumptions!$B$81:$B$88)+(Assumptions!$D$33-1)&lt;EY$5, _xlfn.XLOOKUP(MAX($F$23:$GC$23), Assumptions!$A$81:$A$88, Assumptions!$B$81:$B$88)+(Assumptions!$D$33-1)+Assumptions!$D$9*12&gt;=EY$5), ($E$36-Assumptions!$D$23)/(Assumptions!$D$9*12), 0), 0)</f>
        <v>4685.8698666666633</v>
      </c>
      <c r="EZ40" s="77">
        <f>_xlfn.IFNA(IF(AND(_xlfn.XLOOKUP(MAX($F$23:$GC$23), Assumptions!$A$81:$A$88, Assumptions!$B$81:$B$88)+(Assumptions!$D$33-1)&lt;EZ$5, _xlfn.XLOOKUP(MAX($F$23:$GC$23), Assumptions!$A$81:$A$88, Assumptions!$B$81:$B$88)+(Assumptions!$D$33-1)+Assumptions!$D$9*12&gt;=EZ$5), ($E$36-Assumptions!$D$23)/(Assumptions!$D$9*12), 0), 0)</f>
        <v>4685.8698666666633</v>
      </c>
      <c r="FA40" s="77">
        <f>_xlfn.IFNA(IF(AND(_xlfn.XLOOKUP(MAX($F$23:$GC$23), Assumptions!$A$81:$A$88, Assumptions!$B$81:$B$88)+(Assumptions!$D$33-1)&lt;FA$5, _xlfn.XLOOKUP(MAX($F$23:$GC$23), Assumptions!$A$81:$A$88, Assumptions!$B$81:$B$88)+(Assumptions!$D$33-1)+Assumptions!$D$9*12&gt;=FA$5), ($E$36-Assumptions!$D$23)/(Assumptions!$D$9*12), 0), 0)</f>
        <v>4685.8698666666633</v>
      </c>
      <c r="FB40" s="77">
        <f>_xlfn.IFNA(IF(AND(_xlfn.XLOOKUP(MAX($F$23:$GC$23), Assumptions!$A$81:$A$88, Assumptions!$B$81:$B$88)+(Assumptions!$D$33-1)&lt;FB$5, _xlfn.XLOOKUP(MAX($F$23:$GC$23), Assumptions!$A$81:$A$88, Assumptions!$B$81:$B$88)+(Assumptions!$D$33-1)+Assumptions!$D$9*12&gt;=FB$5), ($E$36-Assumptions!$D$23)/(Assumptions!$D$9*12), 0), 0)</f>
        <v>4685.8698666666633</v>
      </c>
      <c r="FC40" s="77">
        <f>_xlfn.IFNA(IF(AND(_xlfn.XLOOKUP(MAX($F$23:$GC$23), Assumptions!$A$81:$A$88, Assumptions!$B$81:$B$88)+(Assumptions!$D$33-1)&lt;FC$5, _xlfn.XLOOKUP(MAX($F$23:$GC$23), Assumptions!$A$81:$A$88, Assumptions!$B$81:$B$88)+(Assumptions!$D$33-1)+Assumptions!$D$9*12&gt;=FC$5), ($E$36-Assumptions!$D$23)/(Assumptions!$D$9*12), 0), 0)</f>
        <v>4685.8698666666633</v>
      </c>
      <c r="FD40" s="77">
        <f>_xlfn.IFNA(IF(AND(_xlfn.XLOOKUP(MAX($F$23:$GC$23), Assumptions!$A$81:$A$88, Assumptions!$B$81:$B$88)+(Assumptions!$D$33-1)&lt;FD$5, _xlfn.XLOOKUP(MAX($F$23:$GC$23), Assumptions!$A$81:$A$88, Assumptions!$B$81:$B$88)+(Assumptions!$D$33-1)+Assumptions!$D$9*12&gt;=FD$5), ($E$36-Assumptions!$D$23)/(Assumptions!$D$9*12), 0), 0)</f>
        <v>4685.8698666666633</v>
      </c>
      <c r="FE40" s="77">
        <f>_xlfn.IFNA(IF(AND(_xlfn.XLOOKUP(MAX($F$23:$GC$23), Assumptions!$A$81:$A$88, Assumptions!$B$81:$B$88)+(Assumptions!$D$33-1)&lt;FE$5, _xlfn.XLOOKUP(MAX($F$23:$GC$23), Assumptions!$A$81:$A$88, Assumptions!$B$81:$B$88)+(Assumptions!$D$33-1)+Assumptions!$D$9*12&gt;=FE$5), ($E$36-Assumptions!$D$23)/(Assumptions!$D$9*12), 0), 0)</f>
        <v>4685.8698666666633</v>
      </c>
      <c r="FF40" s="77">
        <f>_xlfn.IFNA(IF(AND(_xlfn.XLOOKUP(MAX($F$23:$GC$23), Assumptions!$A$81:$A$88, Assumptions!$B$81:$B$88)+(Assumptions!$D$33-1)&lt;FF$5, _xlfn.XLOOKUP(MAX($F$23:$GC$23), Assumptions!$A$81:$A$88, Assumptions!$B$81:$B$88)+(Assumptions!$D$33-1)+Assumptions!$D$9*12&gt;=FF$5), ($E$36-Assumptions!$D$23)/(Assumptions!$D$9*12), 0), 0)</f>
        <v>4685.8698666666633</v>
      </c>
      <c r="FG40" s="77">
        <f>_xlfn.IFNA(IF(AND(_xlfn.XLOOKUP(MAX($F$23:$GC$23), Assumptions!$A$81:$A$88, Assumptions!$B$81:$B$88)+(Assumptions!$D$33-1)&lt;FG$5, _xlfn.XLOOKUP(MAX($F$23:$GC$23), Assumptions!$A$81:$A$88, Assumptions!$B$81:$B$88)+(Assumptions!$D$33-1)+Assumptions!$D$9*12&gt;=FG$5), ($E$36-Assumptions!$D$23)/(Assumptions!$D$9*12), 0), 0)</f>
        <v>4685.8698666666633</v>
      </c>
      <c r="FH40" s="77">
        <f>_xlfn.IFNA(IF(AND(_xlfn.XLOOKUP(MAX($F$23:$GC$23), Assumptions!$A$81:$A$88, Assumptions!$B$81:$B$88)+(Assumptions!$D$33-1)&lt;FH$5, _xlfn.XLOOKUP(MAX($F$23:$GC$23), Assumptions!$A$81:$A$88, Assumptions!$B$81:$B$88)+(Assumptions!$D$33-1)+Assumptions!$D$9*12&gt;=FH$5), ($E$36-Assumptions!$D$23)/(Assumptions!$D$9*12), 0), 0)</f>
        <v>4685.8698666666633</v>
      </c>
      <c r="FI40" s="77">
        <f>_xlfn.IFNA(IF(AND(_xlfn.XLOOKUP(MAX($F$23:$GC$23), Assumptions!$A$81:$A$88, Assumptions!$B$81:$B$88)+(Assumptions!$D$33-1)&lt;FI$5, _xlfn.XLOOKUP(MAX($F$23:$GC$23), Assumptions!$A$81:$A$88, Assumptions!$B$81:$B$88)+(Assumptions!$D$33-1)+Assumptions!$D$9*12&gt;=FI$5), ($E$36-Assumptions!$D$23)/(Assumptions!$D$9*12), 0), 0)</f>
        <v>4685.8698666666633</v>
      </c>
      <c r="FJ40" s="77">
        <f>_xlfn.IFNA(IF(AND(_xlfn.XLOOKUP(MAX($F$23:$GC$23), Assumptions!$A$81:$A$88, Assumptions!$B$81:$B$88)+(Assumptions!$D$33-1)&lt;FJ$5, _xlfn.XLOOKUP(MAX($F$23:$GC$23), Assumptions!$A$81:$A$88, Assumptions!$B$81:$B$88)+(Assumptions!$D$33-1)+Assumptions!$D$9*12&gt;=FJ$5), ($E$36-Assumptions!$D$23)/(Assumptions!$D$9*12), 0), 0)</f>
        <v>4685.8698666666633</v>
      </c>
      <c r="FK40" s="77">
        <f>_xlfn.IFNA(IF(AND(_xlfn.XLOOKUP(MAX($F$23:$GC$23), Assumptions!$A$81:$A$88, Assumptions!$B$81:$B$88)+(Assumptions!$D$33-1)&lt;FK$5, _xlfn.XLOOKUP(MAX($F$23:$GC$23), Assumptions!$A$81:$A$88, Assumptions!$B$81:$B$88)+(Assumptions!$D$33-1)+Assumptions!$D$9*12&gt;=FK$5), ($E$36-Assumptions!$D$23)/(Assumptions!$D$9*12), 0), 0)</f>
        <v>4685.8698666666633</v>
      </c>
      <c r="FL40" s="77">
        <f>_xlfn.IFNA(IF(AND(_xlfn.XLOOKUP(MAX($F$23:$GC$23), Assumptions!$A$81:$A$88, Assumptions!$B$81:$B$88)+(Assumptions!$D$33-1)&lt;FL$5, _xlfn.XLOOKUP(MAX($F$23:$GC$23), Assumptions!$A$81:$A$88, Assumptions!$B$81:$B$88)+(Assumptions!$D$33-1)+Assumptions!$D$9*12&gt;=FL$5), ($E$36-Assumptions!$D$23)/(Assumptions!$D$9*12), 0), 0)</f>
        <v>4685.8698666666633</v>
      </c>
      <c r="FM40" s="77">
        <f>_xlfn.IFNA(IF(AND(_xlfn.XLOOKUP(MAX($F$23:$GC$23), Assumptions!$A$81:$A$88, Assumptions!$B$81:$B$88)+(Assumptions!$D$33-1)&lt;FM$5, _xlfn.XLOOKUP(MAX($F$23:$GC$23), Assumptions!$A$81:$A$88, Assumptions!$B$81:$B$88)+(Assumptions!$D$33-1)+Assumptions!$D$9*12&gt;=FM$5), ($E$36-Assumptions!$D$23)/(Assumptions!$D$9*12), 0), 0)</f>
        <v>4685.8698666666633</v>
      </c>
      <c r="FN40" s="77">
        <f>_xlfn.IFNA(IF(AND(_xlfn.XLOOKUP(MAX($F$23:$GC$23), Assumptions!$A$81:$A$88, Assumptions!$B$81:$B$88)+(Assumptions!$D$33-1)&lt;FN$5, _xlfn.XLOOKUP(MAX($F$23:$GC$23), Assumptions!$A$81:$A$88, Assumptions!$B$81:$B$88)+(Assumptions!$D$33-1)+Assumptions!$D$9*12&gt;=FN$5), ($E$36-Assumptions!$D$23)/(Assumptions!$D$9*12), 0), 0)</f>
        <v>4685.8698666666633</v>
      </c>
      <c r="FO40" s="77">
        <f>_xlfn.IFNA(IF(AND(_xlfn.XLOOKUP(MAX($F$23:$GC$23), Assumptions!$A$81:$A$88, Assumptions!$B$81:$B$88)+(Assumptions!$D$33-1)&lt;FO$5, _xlfn.XLOOKUP(MAX($F$23:$GC$23), Assumptions!$A$81:$A$88, Assumptions!$B$81:$B$88)+(Assumptions!$D$33-1)+Assumptions!$D$9*12&gt;=FO$5), ($E$36-Assumptions!$D$23)/(Assumptions!$D$9*12), 0), 0)</f>
        <v>4685.8698666666633</v>
      </c>
      <c r="FP40" s="77">
        <f>_xlfn.IFNA(IF(AND(_xlfn.XLOOKUP(MAX($F$23:$GC$23), Assumptions!$A$81:$A$88, Assumptions!$B$81:$B$88)+(Assumptions!$D$33-1)&lt;FP$5, _xlfn.XLOOKUP(MAX($F$23:$GC$23), Assumptions!$A$81:$A$88, Assumptions!$B$81:$B$88)+(Assumptions!$D$33-1)+Assumptions!$D$9*12&gt;=FP$5), ($E$36-Assumptions!$D$23)/(Assumptions!$D$9*12), 0), 0)</f>
        <v>4685.8698666666633</v>
      </c>
      <c r="FQ40" s="77">
        <f>_xlfn.IFNA(IF(AND(_xlfn.XLOOKUP(MAX($F$23:$GC$23), Assumptions!$A$81:$A$88, Assumptions!$B$81:$B$88)+(Assumptions!$D$33-1)&lt;FQ$5, _xlfn.XLOOKUP(MAX($F$23:$GC$23), Assumptions!$A$81:$A$88, Assumptions!$B$81:$B$88)+(Assumptions!$D$33-1)+Assumptions!$D$9*12&gt;=FQ$5), ($E$36-Assumptions!$D$23)/(Assumptions!$D$9*12), 0), 0)</f>
        <v>4685.8698666666633</v>
      </c>
      <c r="FR40" s="77">
        <f>_xlfn.IFNA(IF(AND(_xlfn.XLOOKUP(MAX($F$23:$GC$23), Assumptions!$A$81:$A$88, Assumptions!$B$81:$B$88)+(Assumptions!$D$33-1)&lt;FR$5, _xlfn.XLOOKUP(MAX($F$23:$GC$23), Assumptions!$A$81:$A$88, Assumptions!$B$81:$B$88)+(Assumptions!$D$33-1)+Assumptions!$D$9*12&gt;=FR$5), ($E$36-Assumptions!$D$23)/(Assumptions!$D$9*12), 0), 0)</f>
        <v>4685.8698666666633</v>
      </c>
      <c r="FS40" s="77">
        <f>_xlfn.IFNA(IF(AND(_xlfn.XLOOKUP(MAX($F$23:$GC$23), Assumptions!$A$81:$A$88, Assumptions!$B$81:$B$88)+(Assumptions!$D$33-1)&lt;FS$5, _xlfn.XLOOKUP(MAX($F$23:$GC$23), Assumptions!$A$81:$A$88, Assumptions!$B$81:$B$88)+(Assumptions!$D$33-1)+Assumptions!$D$9*12&gt;=FS$5), ($E$36-Assumptions!$D$23)/(Assumptions!$D$9*12), 0), 0)</f>
        <v>4685.8698666666633</v>
      </c>
      <c r="FT40" s="77">
        <f>_xlfn.IFNA(IF(AND(_xlfn.XLOOKUP(MAX($F$23:$GC$23), Assumptions!$A$81:$A$88, Assumptions!$B$81:$B$88)+(Assumptions!$D$33-1)&lt;FT$5, _xlfn.XLOOKUP(MAX($F$23:$GC$23), Assumptions!$A$81:$A$88, Assumptions!$B$81:$B$88)+(Assumptions!$D$33-1)+Assumptions!$D$9*12&gt;=FT$5), ($E$36-Assumptions!$D$23)/(Assumptions!$D$9*12), 0), 0)</f>
        <v>4685.8698666666633</v>
      </c>
      <c r="FU40" s="77">
        <f>_xlfn.IFNA(IF(AND(_xlfn.XLOOKUP(MAX($F$23:$GC$23), Assumptions!$A$81:$A$88, Assumptions!$B$81:$B$88)+(Assumptions!$D$33-1)&lt;FU$5, _xlfn.XLOOKUP(MAX($F$23:$GC$23), Assumptions!$A$81:$A$88, Assumptions!$B$81:$B$88)+(Assumptions!$D$33-1)+Assumptions!$D$9*12&gt;=FU$5), ($E$36-Assumptions!$D$23)/(Assumptions!$D$9*12), 0), 0)</f>
        <v>4685.8698666666633</v>
      </c>
      <c r="FV40" s="77">
        <f>_xlfn.IFNA(IF(AND(_xlfn.XLOOKUP(MAX($F$23:$GC$23), Assumptions!$A$81:$A$88, Assumptions!$B$81:$B$88)+(Assumptions!$D$33-1)&lt;FV$5, _xlfn.XLOOKUP(MAX($F$23:$GC$23), Assumptions!$A$81:$A$88, Assumptions!$B$81:$B$88)+(Assumptions!$D$33-1)+Assumptions!$D$9*12&gt;=FV$5), ($E$36-Assumptions!$D$23)/(Assumptions!$D$9*12), 0), 0)</f>
        <v>4685.8698666666633</v>
      </c>
      <c r="FW40" s="77">
        <f>_xlfn.IFNA(IF(AND(_xlfn.XLOOKUP(MAX($F$23:$GC$23), Assumptions!$A$81:$A$88, Assumptions!$B$81:$B$88)+(Assumptions!$D$33-1)&lt;FW$5, _xlfn.XLOOKUP(MAX($F$23:$GC$23), Assumptions!$A$81:$A$88, Assumptions!$B$81:$B$88)+(Assumptions!$D$33-1)+Assumptions!$D$9*12&gt;=FW$5), ($E$36-Assumptions!$D$23)/(Assumptions!$D$9*12), 0), 0)</f>
        <v>4685.8698666666633</v>
      </c>
      <c r="FX40" s="77">
        <f>_xlfn.IFNA(IF(AND(_xlfn.XLOOKUP(MAX($F$23:$GC$23), Assumptions!$A$81:$A$88, Assumptions!$B$81:$B$88)+(Assumptions!$D$33-1)&lt;FX$5, _xlfn.XLOOKUP(MAX($F$23:$GC$23), Assumptions!$A$81:$A$88, Assumptions!$B$81:$B$88)+(Assumptions!$D$33-1)+Assumptions!$D$9*12&gt;=FX$5), ($E$36-Assumptions!$D$23)/(Assumptions!$D$9*12), 0), 0)</f>
        <v>4685.8698666666633</v>
      </c>
      <c r="FY40" s="77">
        <f>_xlfn.IFNA(IF(AND(_xlfn.XLOOKUP(MAX($F$23:$GC$23), Assumptions!$A$81:$A$88, Assumptions!$B$81:$B$88)+(Assumptions!$D$33-1)&lt;FY$5, _xlfn.XLOOKUP(MAX($F$23:$GC$23), Assumptions!$A$81:$A$88, Assumptions!$B$81:$B$88)+(Assumptions!$D$33-1)+Assumptions!$D$9*12&gt;=FY$5), ($E$36-Assumptions!$D$23)/(Assumptions!$D$9*12), 0), 0)</f>
        <v>4685.8698666666633</v>
      </c>
      <c r="FZ40" s="77">
        <f>_xlfn.IFNA(IF(AND(_xlfn.XLOOKUP(MAX($F$23:$GC$23), Assumptions!$A$81:$A$88, Assumptions!$B$81:$B$88)+(Assumptions!$D$33-1)&lt;FZ$5, _xlfn.XLOOKUP(MAX($F$23:$GC$23), Assumptions!$A$81:$A$88, Assumptions!$B$81:$B$88)+(Assumptions!$D$33-1)+Assumptions!$D$9*12&gt;=FZ$5), ($E$36-Assumptions!$D$23)/(Assumptions!$D$9*12), 0), 0)</f>
        <v>4685.8698666666633</v>
      </c>
      <c r="GA40" s="77">
        <f>_xlfn.IFNA(IF(AND(_xlfn.XLOOKUP(MAX($F$23:$GC$23), Assumptions!$A$81:$A$88, Assumptions!$B$81:$B$88)+(Assumptions!$D$33-1)&lt;GA$5, _xlfn.XLOOKUP(MAX($F$23:$GC$23), Assumptions!$A$81:$A$88, Assumptions!$B$81:$B$88)+(Assumptions!$D$33-1)+Assumptions!$D$9*12&gt;=GA$5), ($E$36-Assumptions!$D$23)/(Assumptions!$D$9*12), 0), 0)</f>
        <v>4685.8698666666633</v>
      </c>
      <c r="GB40" s="77">
        <f>_xlfn.IFNA(IF(AND(_xlfn.XLOOKUP(MAX($F$23:$GC$23), Assumptions!$A$81:$A$88, Assumptions!$B$81:$B$88)+(Assumptions!$D$33-1)&lt;GB$5, _xlfn.XLOOKUP(MAX($F$23:$GC$23), Assumptions!$A$81:$A$88, Assumptions!$B$81:$B$88)+(Assumptions!$D$33-1)+Assumptions!$D$9*12&gt;=GB$5), ($E$36-Assumptions!$D$23)/(Assumptions!$D$9*12), 0), 0)</f>
        <v>4685.8698666666633</v>
      </c>
      <c r="GC40" s="77">
        <f>_xlfn.IFNA(IF(AND(_xlfn.XLOOKUP(MAX($F$23:$GC$23), Assumptions!$A$81:$A$88, Assumptions!$B$81:$B$88)+(Assumptions!$D$33-1)&lt;GC$5, _xlfn.XLOOKUP(MAX($F$23:$GC$23), Assumptions!$A$81:$A$88, Assumptions!$B$81:$B$88)+(Assumptions!$D$33-1)+Assumptions!$D$9*12&gt;=GC$5), ($E$36-Assumptions!$D$23)/(Assumptions!$D$9*12), 0), 0)</f>
        <v>4685.8698666666633</v>
      </c>
    </row>
    <row r="41" spans="1:185">
      <c r="A41" s="80"/>
      <c r="B41" s="10" t="s">
        <v>90</v>
      </c>
      <c r="C41" s="80" t="s">
        <v>44</v>
      </c>
      <c r="D41" s="80"/>
      <c r="E41" s="82"/>
      <c r="F41" s="77">
        <f t="shared" ref="F41:AK41" si="20">F40+F39</f>
        <v>0</v>
      </c>
      <c r="G41" s="77">
        <f t="shared" si="20"/>
        <v>0</v>
      </c>
      <c r="H41" s="77">
        <f t="shared" si="20"/>
        <v>0</v>
      </c>
      <c r="I41" s="77">
        <f t="shared" si="20"/>
        <v>0</v>
      </c>
      <c r="J41" s="77">
        <f t="shared" si="20"/>
        <v>0</v>
      </c>
      <c r="K41" s="77">
        <f t="shared" si="20"/>
        <v>0</v>
      </c>
      <c r="L41" s="77">
        <f t="shared" si="20"/>
        <v>0</v>
      </c>
      <c r="M41" s="77">
        <f t="shared" si="20"/>
        <v>0</v>
      </c>
      <c r="N41" s="77">
        <f t="shared" si="20"/>
        <v>4685.8698666666633</v>
      </c>
      <c r="O41" s="77">
        <f t="shared" si="20"/>
        <v>4685.8698666666633</v>
      </c>
      <c r="P41" s="77">
        <f t="shared" si="20"/>
        <v>4685.8698666666633</v>
      </c>
      <c r="Q41" s="77">
        <f t="shared" si="20"/>
        <v>4685.8698666666633</v>
      </c>
      <c r="R41" s="77">
        <f t="shared" si="20"/>
        <v>88019.203199999989</v>
      </c>
      <c r="S41" s="77">
        <f t="shared" si="20"/>
        <v>88019.203199999989</v>
      </c>
      <c r="T41" s="77">
        <f t="shared" si="20"/>
        <v>88019.203199999989</v>
      </c>
      <c r="U41" s="77">
        <f t="shared" si="20"/>
        <v>88019.203199999989</v>
      </c>
      <c r="V41" s="77">
        <f t="shared" si="20"/>
        <v>88019.203199999989</v>
      </c>
      <c r="W41" s="77">
        <f t="shared" si="20"/>
        <v>88019.203199999989</v>
      </c>
      <c r="X41" s="77">
        <f t="shared" si="20"/>
        <v>88019.203199999989</v>
      </c>
      <c r="Y41" s="77">
        <f t="shared" si="20"/>
        <v>88019.203199999989</v>
      </c>
      <c r="Z41" s="77">
        <f t="shared" si="20"/>
        <v>88019.203199999989</v>
      </c>
      <c r="AA41" s="77">
        <f t="shared" si="20"/>
        <v>88019.203199999989</v>
      </c>
      <c r="AB41" s="77">
        <f t="shared" si="20"/>
        <v>88019.203199999989</v>
      </c>
      <c r="AC41" s="77">
        <f t="shared" si="20"/>
        <v>88019.203199999989</v>
      </c>
      <c r="AD41" s="77">
        <f t="shared" si="20"/>
        <v>88019.203199999989</v>
      </c>
      <c r="AE41" s="77">
        <f t="shared" si="20"/>
        <v>88019.203199999989</v>
      </c>
      <c r="AF41" s="77">
        <f t="shared" si="20"/>
        <v>88019.203199999989</v>
      </c>
      <c r="AG41" s="77">
        <f t="shared" si="20"/>
        <v>88019.203199999989</v>
      </c>
      <c r="AH41" s="77">
        <f t="shared" si="20"/>
        <v>88019.203199999989</v>
      </c>
      <c r="AI41" s="77">
        <f t="shared" si="20"/>
        <v>88019.203199999989</v>
      </c>
      <c r="AJ41" s="77">
        <f t="shared" si="20"/>
        <v>88019.203199999989</v>
      </c>
      <c r="AK41" s="77">
        <f t="shared" si="20"/>
        <v>88019.203199999989</v>
      </c>
      <c r="AL41" s="77">
        <f t="shared" ref="AL41:BQ41" si="21">AL40+AL39</f>
        <v>88019.203199999989</v>
      </c>
      <c r="AM41" s="77">
        <f t="shared" si="21"/>
        <v>88019.203199999989</v>
      </c>
      <c r="AN41" s="77">
        <f t="shared" si="21"/>
        <v>88019.203199999989</v>
      </c>
      <c r="AO41" s="77">
        <f t="shared" si="21"/>
        <v>88019.203199999989</v>
      </c>
      <c r="AP41" s="77">
        <f t="shared" si="21"/>
        <v>88019.203199999989</v>
      </c>
      <c r="AQ41" s="77">
        <f t="shared" si="21"/>
        <v>88019.203199999989</v>
      </c>
      <c r="AR41" s="77">
        <f t="shared" si="21"/>
        <v>88019.203199999989</v>
      </c>
      <c r="AS41" s="77">
        <f t="shared" si="21"/>
        <v>88019.203199999989</v>
      </c>
      <c r="AT41" s="77">
        <f t="shared" si="21"/>
        <v>88019.203199999989</v>
      </c>
      <c r="AU41" s="77">
        <f t="shared" si="21"/>
        <v>88019.203199999989</v>
      </c>
      <c r="AV41" s="77">
        <f t="shared" si="21"/>
        <v>88019.203199999989</v>
      </c>
      <c r="AW41" s="77">
        <f t="shared" si="21"/>
        <v>88019.203199999989</v>
      </c>
      <c r="AX41" s="77">
        <f t="shared" si="21"/>
        <v>88019.203199999989</v>
      </c>
      <c r="AY41" s="77">
        <f t="shared" si="21"/>
        <v>88019.203199999989</v>
      </c>
      <c r="AZ41" s="77">
        <f t="shared" si="21"/>
        <v>88019.203199999989</v>
      </c>
      <c r="BA41" s="77">
        <f t="shared" si="21"/>
        <v>88019.203199999989</v>
      </c>
      <c r="BB41" s="77">
        <f t="shared" si="21"/>
        <v>88019.203199999989</v>
      </c>
      <c r="BC41" s="77">
        <f t="shared" si="21"/>
        <v>88019.203199999989</v>
      </c>
      <c r="BD41" s="77">
        <f t="shared" si="21"/>
        <v>88019.203199999989</v>
      </c>
      <c r="BE41" s="77">
        <f t="shared" si="21"/>
        <v>88019.203199999989</v>
      </c>
      <c r="BF41" s="77">
        <f t="shared" si="21"/>
        <v>88019.203199999989</v>
      </c>
      <c r="BG41" s="77">
        <f t="shared" si="21"/>
        <v>88019.203199999989</v>
      </c>
      <c r="BH41" s="77">
        <f t="shared" si="21"/>
        <v>88019.203199999989</v>
      </c>
      <c r="BI41" s="77">
        <f t="shared" si="21"/>
        <v>88019.203199999989</v>
      </c>
      <c r="BJ41" s="77">
        <f t="shared" si="21"/>
        <v>88019.203199999989</v>
      </c>
      <c r="BK41" s="77">
        <f t="shared" si="21"/>
        <v>88019.203199999989</v>
      </c>
      <c r="BL41" s="77">
        <f t="shared" si="21"/>
        <v>88019.203199999989</v>
      </c>
      <c r="BM41" s="77">
        <f t="shared" si="21"/>
        <v>88019.203199999989</v>
      </c>
      <c r="BN41" s="77">
        <f t="shared" si="21"/>
        <v>88019.203199999989</v>
      </c>
      <c r="BO41" s="77">
        <f t="shared" si="21"/>
        <v>88019.203199999989</v>
      </c>
      <c r="BP41" s="77">
        <f t="shared" si="21"/>
        <v>88019.203199999989</v>
      </c>
      <c r="BQ41" s="77">
        <f t="shared" si="21"/>
        <v>88019.203199999989</v>
      </c>
      <c r="BR41" s="77">
        <f t="shared" ref="BR41:CW41" si="22">BR40+BR39</f>
        <v>88019.203199999989</v>
      </c>
      <c r="BS41" s="77">
        <f t="shared" si="22"/>
        <v>88019.203199999989</v>
      </c>
      <c r="BT41" s="77">
        <f t="shared" si="22"/>
        <v>88019.203199999989</v>
      </c>
      <c r="BU41" s="77">
        <f t="shared" si="22"/>
        <v>88019.203199999989</v>
      </c>
      <c r="BV41" s="77">
        <f t="shared" si="22"/>
        <v>88019.203199999989</v>
      </c>
      <c r="BW41" s="77">
        <f t="shared" si="22"/>
        <v>88019.203199999989</v>
      </c>
      <c r="BX41" s="77">
        <f t="shared" si="22"/>
        <v>88019.203199999989</v>
      </c>
      <c r="BY41" s="77">
        <f t="shared" si="22"/>
        <v>88019.203199999989</v>
      </c>
      <c r="BZ41" s="77">
        <f t="shared" si="22"/>
        <v>88019.203199999989</v>
      </c>
      <c r="CA41" s="77">
        <f t="shared" si="22"/>
        <v>88019.203199999989</v>
      </c>
      <c r="CB41" s="77">
        <f t="shared" si="22"/>
        <v>88019.203199999989</v>
      </c>
      <c r="CC41" s="77">
        <f t="shared" si="22"/>
        <v>88019.203199999989</v>
      </c>
      <c r="CD41" s="77">
        <f t="shared" si="22"/>
        <v>88019.203199999989</v>
      </c>
      <c r="CE41" s="77">
        <f t="shared" si="22"/>
        <v>88019.203199999989</v>
      </c>
      <c r="CF41" s="77">
        <f t="shared" si="22"/>
        <v>88019.203199999989</v>
      </c>
      <c r="CG41" s="77">
        <f t="shared" si="22"/>
        <v>88019.203199999989</v>
      </c>
      <c r="CH41" s="77">
        <f t="shared" si="22"/>
        <v>88019.203199999989</v>
      </c>
      <c r="CI41" s="77">
        <f t="shared" si="22"/>
        <v>88019.203199999989</v>
      </c>
      <c r="CJ41" s="77">
        <f t="shared" si="22"/>
        <v>88019.203199999989</v>
      </c>
      <c r="CK41" s="77">
        <f t="shared" si="22"/>
        <v>88019.203199999989</v>
      </c>
      <c r="CL41" s="77">
        <f t="shared" si="22"/>
        <v>88019.203199999989</v>
      </c>
      <c r="CM41" s="77">
        <f t="shared" si="22"/>
        <v>88019.203199999989</v>
      </c>
      <c r="CN41" s="77">
        <f t="shared" si="22"/>
        <v>88019.203199999989</v>
      </c>
      <c r="CO41" s="77">
        <f t="shared" si="22"/>
        <v>88019.203199999989</v>
      </c>
      <c r="CP41" s="77">
        <f t="shared" si="22"/>
        <v>88019.203199999989</v>
      </c>
      <c r="CQ41" s="77">
        <f t="shared" si="22"/>
        <v>88019.203199999989</v>
      </c>
      <c r="CR41" s="77">
        <f t="shared" si="22"/>
        <v>88019.203199999989</v>
      </c>
      <c r="CS41" s="77">
        <f t="shared" si="22"/>
        <v>88019.203199999989</v>
      </c>
      <c r="CT41" s="77">
        <f t="shared" si="22"/>
        <v>88019.203199999989</v>
      </c>
      <c r="CU41" s="77">
        <f t="shared" si="22"/>
        <v>88019.203199999989</v>
      </c>
      <c r="CV41" s="77">
        <f t="shared" si="22"/>
        <v>88019.203199999989</v>
      </c>
      <c r="CW41" s="77">
        <f t="shared" si="22"/>
        <v>88019.203199999989</v>
      </c>
      <c r="CX41" s="77">
        <f t="shared" ref="CX41:EC41" si="23">CX40+CX39</f>
        <v>88019.203199999989</v>
      </c>
      <c r="CY41" s="77">
        <f t="shared" si="23"/>
        <v>88019.203199999989</v>
      </c>
      <c r="CZ41" s="77">
        <f t="shared" si="23"/>
        <v>88019.203199999989</v>
      </c>
      <c r="DA41" s="77">
        <f t="shared" si="23"/>
        <v>88019.203199999989</v>
      </c>
      <c r="DB41" s="77">
        <f t="shared" si="23"/>
        <v>88019.203199999989</v>
      </c>
      <c r="DC41" s="77">
        <f t="shared" si="23"/>
        <v>88019.203199999989</v>
      </c>
      <c r="DD41" s="77">
        <f t="shared" si="23"/>
        <v>88019.203199999989</v>
      </c>
      <c r="DE41" s="77">
        <f t="shared" si="23"/>
        <v>88019.203199999989</v>
      </c>
      <c r="DF41" s="77">
        <f t="shared" si="23"/>
        <v>88019.203199999989</v>
      </c>
      <c r="DG41" s="77">
        <f t="shared" si="23"/>
        <v>88019.203199999989</v>
      </c>
      <c r="DH41" s="77">
        <f t="shared" si="23"/>
        <v>88019.203199999989</v>
      </c>
      <c r="DI41" s="77">
        <f t="shared" si="23"/>
        <v>88019.203199999989</v>
      </c>
      <c r="DJ41" s="77">
        <f t="shared" si="23"/>
        <v>88019.203199999989</v>
      </c>
      <c r="DK41" s="77">
        <f t="shared" si="23"/>
        <v>88019.203199999989</v>
      </c>
      <c r="DL41" s="77">
        <f t="shared" si="23"/>
        <v>88019.203199999989</v>
      </c>
      <c r="DM41" s="77">
        <f t="shared" si="23"/>
        <v>88019.203199999989</v>
      </c>
      <c r="DN41" s="77">
        <f t="shared" si="23"/>
        <v>88019.203199999989</v>
      </c>
      <c r="DO41" s="77">
        <f t="shared" si="23"/>
        <v>88019.203199999989</v>
      </c>
      <c r="DP41" s="77">
        <f t="shared" si="23"/>
        <v>88019.203199999989</v>
      </c>
      <c r="DQ41" s="77">
        <f t="shared" si="23"/>
        <v>88019.203199999989</v>
      </c>
      <c r="DR41" s="77">
        <f t="shared" si="23"/>
        <v>88019.203199999989</v>
      </c>
      <c r="DS41" s="77">
        <f t="shared" si="23"/>
        <v>88019.203199999989</v>
      </c>
      <c r="DT41" s="77">
        <f t="shared" si="23"/>
        <v>88019.203199999989</v>
      </c>
      <c r="DU41" s="77">
        <f t="shared" si="23"/>
        <v>88019.203199999989</v>
      </c>
      <c r="DV41" s="77">
        <f t="shared" si="23"/>
        <v>88019.203199999989</v>
      </c>
      <c r="DW41" s="77">
        <f t="shared" si="23"/>
        <v>88019.203199999989</v>
      </c>
      <c r="DX41" s="77">
        <f t="shared" si="23"/>
        <v>88019.203199999989</v>
      </c>
      <c r="DY41" s="77">
        <f t="shared" si="23"/>
        <v>88019.203199999989</v>
      </c>
      <c r="DZ41" s="77">
        <f t="shared" si="23"/>
        <v>88019.203199999989</v>
      </c>
      <c r="EA41" s="77">
        <f t="shared" si="23"/>
        <v>88019.203199999989</v>
      </c>
      <c r="EB41" s="77">
        <f t="shared" si="23"/>
        <v>88019.203199999989</v>
      </c>
      <c r="EC41" s="77">
        <f t="shared" si="23"/>
        <v>88019.203199999989</v>
      </c>
      <c r="ED41" s="77">
        <f t="shared" ref="ED41:FI41" si="24">ED40+ED39</f>
        <v>88019.203199999989</v>
      </c>
      <c r="EE41" s="77">
        <f t="shared" si="24"/>
        <v>88019.203199999989</v>
      </c>
      <c r="EF41" s="77">
        <f t="shared" si="24"/>
        <v>88019.203199999989</v>
      </c>
      <c r="EG41" s="77">
        <f t="shared" si="24"/>
        <v>88019.203199999989</v>
      </c>
      <c r="EH41" s="77">
        <f t="shared" si="24"/>
        <v>88019.203199999989</v>
      </c>
      <c r="EI41" s="77">
        <f t="shared" si="24"/>
        <v>88019.203199999989</v>
      </c>
      <c r="EJ41" s="77">
        <f t="shared" si="24"/>
        <v>88019.203199999989</v>
      </c>
      <c r="EK41" s="77">
        <f t="shared" si="24"/>
        <v>88019.203199999989</v>
      </c>
      <c r="EL41" s="77">
        <f t="shared" si="24"/>
        <v>88019.203199999989</v>
      </c>
      <c r="EM41" s="77">
        <f t="shared" si="24"/>
        <v>88019.203199999989</v>
      </c>
      <c r="EN41" s="77">
        <f t="shared" si="24"/>
        <v>88019.203199999989</v>
      </c>
      <c r="EO41" s="77">
        <f t="shared" si="24"/>
        <v>88019.203199999989</v>
      </c>
      <c r="EP41" s="77">
        <f t="shared" si="24"/>
        <v>88019.203199999989</v>
      </c>
      <c r="EQ41" s="77">
        <f t="shared" si="24"/>
        <v>88019.203199999989</v>
      </c>
      <c r="ER41" s="77">
        <f t="shared" si="24"/>
        <v>88019.203199999989</v>
      </c>
      <c r="ES41" s="77">
        <f t="shared" si="24"/>
        <v>88019.203199999989</v>
      </c>
      <c r="ET41" s="77">
        <f t="shared" si="24"/>
        <v>88019.203199999989</v>
      </c>
      <c r="EU41" s="77">
        <f t="shared" si="24"/>
        <v>88019.203199999989</v>
      </c>
      <c r="EV41" s="77">
        <f t="shared" si="24"/>
        <v>88019.203199999989</v>
      </c>
      <c r="EW41" s="77">
        <f t="shared" si="24"/>
        <v>88019.203199999989</v>
      </c>
      <c r="EX41" s="77">
        <f t="shared" si="24"/>
        <v>88019.203199999989</v>
      </c>
      <c r="EY41" s="77">
        <f t="shared" si="24"/>
        <v>88019.203199999989</v>
      </c>
      <c r="EZ41" s="77">
        <f t="shared" si="24"/>
        <v>88019.203199999989</v>
      </c>
      <c r="FA41" s="77">
        <f t="shared" si="24"/>
        <v>88019.203199999989</v>
      </c>
      <c r="FB41" s="77">
        <f t="shared" si="24"/>
        <v>88019.203199999989</v>
      </c>
      <c r="FC41" s="77">
        <f t="shared" si="24"/>
        <v>88019.203199999989</v>
      </c>
      <c r="FD41" s="77">
        <f t="shared" si="24"/>
        <v>88019.203199999989</v>
      </c>
      <c r="FE41" s="77">
        <f t="shared" si="24"/>
        <v>88019.203199999989</v>
      </c>
      <c r="FF41" s="77">
        <f t="shared" si="24"/>
        <v>88019.203199999989</v>
      </c>
      <c r="FG41" s="77">
        <f t="shared" si="24"/>
        <v>88019.203199999989</v>
      </c>
      <c r="FH41" s="77">
        <f t="shared" si="24"/>
        <v>88019.203199999989</v>
      </c>
      <c r="FI41" s="77">
        <f t="shared" si="24"/>
        <v>88019.203199999989</v>
      </c>
      <c r="FJ41" s="77">
        <f t="shared" ref="FJ41:GC41" si="25">FJ40+FJ39</f>
        <v>88019.203199999989</v>
      </c>
      <c r="FK41" s="77">
        <f t="shared" si="25"/>
        <v>88019.203199999989</v>
      </c>
      <c r="FL41" s="77">
        <f t="shared" si="25"/>
        <v>88019.203199999989</v>
      </c>
      <c r="FM41" s="77">
        <f t="shared" si="25"/>
        <v>88019.203199999989</v>
      </c>
      <c r="FN41" s="77">
        <f t="shared" si="25"/>
        <v>88019.203199999989</v>
      </c>
      <c r="FO41" s="77">
        <f t="shared" si="25"/>
        <v>88019.203199999989</v>
      </c>
      <c r="FP41" s="77">
        <f t="shared" si="25"/>
        <v>88019.203199999989</v>
      </c>
      <c r="FQ41" s="77">
        <f t="shared" si="25"/>
        <v>88019.203199999989</v>
      </c>
      <c r="FR41" s="77">
        <f t="shared" si="25"/>
        <v>88019.203199999989</v>
      </c>
      <c r="FS41" s="77">
        <f t="shared" si="25"/>
        <v>88019.203199999989</v>
      </c>
      <c r="FT41" s="77">
        <f t="shared" si="25"/>
        <v>88019.203199999989</v>
      </c>
      <c r="FU41" s="77">
        <f t="shared" si="25"/>
        <v>88019.203199999989</v>
      </c>
      <c r="FV41" s="77">
        <f t="shared" si="25"/>
        <v>88019.203199999989</v>
      </c>
      <c r="FW41" s="77">
        <f t="shared" si="25"/>
        <v>88019.203199999989</v>
      </c>
      <c r="FX41" s="77">
        <f t="shared" si="25"/>
        <v>88019.203199999989</v>
      </c>
      <c r="FY41" s="77">
        <f t="shared" si="25"/>
        <v>88019.203199999989</v>
      </c>
      <c r="FZ41" s="77">
        <f t="shared" si="25"/>
        <v>88019.203199999989</v>
      </c>
      <c r="GA41" s="77">
        <f t="shared" si="25"/>
        <v>88019.203199999989</v>
      </c>
      <c r="GB41" s="77">
        <f t="shared" si="25"/>
        <v>88019.203199999989</v>
      </c>
      <c r="GC41" s="77">
        <f t="shared" si="25"/>
        <v>88019.203199999989</v>
      </c>
    </row>
    <row r="42" spans="1:185">
      <c r="A42" s="80"/>
      <c r="B42" s="80"/>
      <c r="C42" s="80"/>
      <c r="D42" s="80"/>
      <c r="E42" s="82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7"/>
      <c r="DA42" s="77"/>
      <c r="DB42" s="77"/>
      <c r="DC42" s="77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77"/>
      <c r="DQ42" s="77"/>
      <c r="DR42" s="77"/>
      <c r="DS42" s="77"/>
      <c r="DT42" s="77"/>
      <c r="DU42" s="77"/>
      <c r="DV42" s="77"/>
      <c r="DW42" s="77"/>
      <c r="DX42" s="77"/>
      <c r="DY42" s="77"/>
      <c r="DZ42" s="77"/>
      <c r="EA42" s="77"/>
      <c r="EB42" s="77"/>
      <c r="EC42" s="77"/>
      <c r="ED42" s="77"/>
      <c r="EE42" s="77"/>
      <c r="EF42" s="77"/>
      <c r="EG42" s="77"/>
      <c r="EH42" s="77"/>
      <c r="EI42" s="77"/>
      <c r="EJ42" s="77"/>
      <c r="EK42" s="77"/>
      <c r="EL42" s="77"/>
      <c r="EM42" s="77"/>
      <c r="EN42" s="77"/>
      <c r="EO42" s="77"/>
      <c r="EP42" s="77"/>
      <c r="EQ42" s="77"/>
      <c r="ER42" s="77"/>
      <c r="ES42" s="77"/>
      <c r="ET42" s="77"/>
      <c r="EU42" s="77"/>
      <c r="EV42" s="77"/>
      <c r="EW42" s="77"/>
      <c r="EX42" s="77"/>
      <c r="EY42" s="77"/>
      <c r="EZ42" s="77"/>
      <c r="FA42" s="77"/>
      <c r="FB42" s="77"/>
      <c r="FC42" s="77"/>
      <c r="FD42" s="77"/>
      <c r="FE42" s="77"/>
      <c r="FF42" s="77"/>
      <c r="FG42" s="77"/>
      <c r="FH42" s="77"/>
      <c r="FI42" s="77"/>
      <c r="FJ42" s="77"/>
      <c r="FK42" s="77"/>
      <c r="FL42" s="77"/>
      <c r="FM42" s="77"/>
      <c r="FN42" s="77"/>
      <c r="FO42" s="77"/>
      <c r="FP42" s="77"/>
      <c r="FQ42" s="77"/>
      <c r="FR42" s="77"/>
      <c r="FS42" s="77"/>
      <c r="FT42" s="77"/>
      <c r="FU42" s="77"/>
      <c r="FV42" s="77"/>
      <c r="FW42" s="77"/>
      <c r="FX42" s="77"/>
      <c r="FY42" s="77"/>
      <c r="FZ42" s="77"/>
      <c r="GA42" s="77"/>
      <c r="GB42" s="77"/>
      <c r="GC42" s="77"/>
    </row>
    <row r="43" spans="1:185">
      <c r="A43" s="6" t="s">
        <v>91</v>
      </c>
      <c r="B43" s="80"/>
      <c r="C43" s="80"/>
      <c r="D43" s="80"/>
      <c r="E43" s="82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/>
      <c r="CH43" s="77"/>
      <c r="CI43" s="77"/>
      <c r="CJ43" s="77"/>
      <c r="CK43" s="77"/>
      <c r="CL43" s="77"/>
      <c r="CM43" s="77"/>
      <c r="CN43" s="77"/>
      <c r="CO43" s="77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7"/>
      <c r="DA43" s="77"/>
      <c r="DB43" s="77"/>
      <c r="DC43" s="77"/>
      <c r="DD43" s="77"/>
      <c r="DE43" s="77"/>
      <c r="DF43" s="77"/>
      <c r="DG43" s="77"/>
      <c r="DH43" s="77"/>
      <c r="DI43" s="77"/>
      <c r="DJ43" s="77"/>
      <c r="DK43" s="77"/>
      <c r="DL43" s="77"/>
      <c r="DM43" s="77"/>
      <c r="DN43" s="77"/>
      <c r="DO43" s="77"/>
      <c r="DP43" s="77"/>
      <c r="DQ43" s="77"/>
      <c r="DR43" s="77"/>
      <c r="DS43" s="77"/>
      <c r="DT43" s="77"/>
      <c r="DU43" s="77"/>
      <c r="DV43" s="77"/>
      <c r="DW43" s="77"/>
      <c r="DX43" s="77"/>
      <c r="DY43" s="77"/>
      <c r="DZ43" s="77"/>
      <c r="EA43" s="77"/>
      <c r="EB43" s="77"/>
      <c r="EC43" s="77"/>
      <c r="ED43" s="77"/>
      <c r="EE43" s="77"/>
      <c r="EF43" s="77"/>
      <c r="EG43" s="77"/>
      <c r="EH43" s="77"/>
      <c r="EI43" s="77"/>
      <c r="EJ43" s="77"/>
      <c r="EK43" s="77"/>
      <c r="EL43" s="77"/>
      <c r="EM43" s="77"/>
      <c r="EN43" s="77"/>
      <c r="EO43" s="77"/>
      <c r="EP43" s="77"/>
      <c r="EQ43" s="77"/>
      <c r="ER43" s="77"/>
      <c r="ES43" s="77"/>
      <c r="ET43" s="77"/>
      <c r="EU43" s="77"/>
      <c r="EV43" s="77"/>
      <c r="EW43" s="77"/>
      <c r="EX43" s="77"/>
      <c r="EY43" s="77"/>
      <c r="EZ43" s="77"/>
      <c r="FA43" s="77"/>
      <c r="FB43" s="77"/>
      <c r="FC43" s="77"/>
      <c r="FD43" s="77"/>
      <c r="FE43" s="77"/>
      <c r="FF43" s="77"/>
      <c r="FG43" s="77"/>
      <c r="FH43" s="77"/>
      <c r="FI43" s="77"/>
      <c r="FJ43" s="77"/>
      <c r="FK43" s="77"/>
      <c r="FL43" s="77"/>
      <c r="FM43" s="77"/>
      <c r="FN43" s="77"/>
      <c r="FO43" s="77"/>
      <c r="FP43" s="77"/>
      <c r="FQ43" s="77"/>
      <c r="FR43" s="77"/>
      <c r="FS43" s="77"/>
      <c r="FT43" s="77"/>
      <c r="FU43" s="77"/>
      <c r="FV43" s="77"/>
      <c r="FW43" s="77"/>
      <c r="FX43" s="77"/>
      <c r="FY43" s="77"/>
      <c r="FZ43" s="77"/>
      <c r="GA43" s="77"/>
      <c r="GB43" s="77"/>
      <c r="GC43" s="77"/>
    </row>
    <row r="44" spans="1:185">
      <c r="A44" s="80"/>
      <c r="B44" s="80" t="s">
        <v>92</v>
      </c>
      <c r="C44" s="80"/>
      <c r="D44" s="80"/>
      <c r="E44" s="82">
        <f>SUM(F44:GC44)</f>
        <v>1799200</v>
      </c>
      <c r="F44" s="77">
        <f>IF(F$23&gt;0, Assumptions!$G59, 0)</f>
        <v>0</v>
      </c>
      <c r="G44" s="77">
        <f>IF(G$23&gt;0, Assumptions!$G59, 0)</f>
        <v>0</v>
      </c>
      <c r="H44" s="77">
        <f>IF(H$23&gt;0, Assumptions!$G59, 0)</f>
        <v>0</v>
      </c>
      <c r="I44" s="77">
        <f>IF(I$23&gt;0, Assumptions!$G59, 0)</f>
        <v>0</v>
      </c>
      <c r="J44" s="77">
        <f>IF(J$23&gt;0, Assumptions!$G59, 0)</f>
        <v>0</v>
      </c>
      <c r="K44" s="77">
        <f>IF(K$23&gt;0, Assumptions!$G59, 0)</f>
        <v>0</v>
      </c>
      <c r="L44" s="77">
        <f>IF(L$23&gt;0, Assumptions!$G59, 0)</f>
        <v>0</v>
      </c>
      <c r="M44" s="77">
        <f>IF(M$23&gt;0, Assumptions!$G59, 0)</f>
        <v>10400</v>
      </c>
      <c r="N44" s="77">
        <f>IF(N$23&gt;0, Assumptions!$G59, 0)</f>
        <v>10400</v>
      </c>
      <c r="O44" s="77">
        <f>IF(O$23&gt;0, Assumptions!$G59, 0)</f>
        <v>10400</v>
      </c>
      <c r="P44" s="77">
        <f>IF(P$23&gt;0, Assumptions!$G59, 0)</f>
        <v>10400</v>
      </c>
      <c r="Q44" s="77">
        <f>IF(Q$23&gt;0, Assumptions!$G59, 0)</f>
        <v>10400</v>
      </c>
      <c r="R44" s="77">
        <f>IF(R$23&gt;0, Assumptions!$G59, 0)</f>
        <v>10400</v>
      </c>
      <c r="S44" s="77">
        <f>IF(S$23&gt;0, Assumptions!$G59, 0)</f>
        <v>10400</v>
      </c>
      <c r="T44" s="77">
        <f>IF(T$23&gt;0, Assumptions!$G59, 0)</f>
        <v>10400</v>
      </c>
      <c r="U44" s="77">
        <f>IF(U$23&gt;0, Assumptions!$G59, 0)</f>
        <v>10400</v>
      </c>
      <c r="V44" s="77">
        <f>IF(V$23&gt;0, Assumptions!$G59, 0)</f>
        <v>10400</v>
      </c>
      <c r="W44" s="77">
        <f>IF(W$23&gt;0, Assumptions!$G59, 0)</f>
        <v>10400</v>
      </c>
      <c r="X44" s="77">
        <f>IF(X$23&gt;0, Assumptions!$G59, 0)</f>
        <v>10400</v>
      </c>
      <c r="Y44" s="77">
        <f>IF(Y$23&gt;0, Assumptions!$G59, 0)</f>
        <v>10400</v>
      </c>
      <c r="Z44" s="77">
        <f>IF(Z$23&gt;0, Assumptions!$G59, 0)</f>
        <v>10400</v>
      </c>
      <c r="AA44" s="77">
        <f>IF(AA$23&gt;0, Assumptions!$G59, 0)</f>
        <v>10400</v>
      </c>
      <c r="AB44" s="77">
        <f>IF(AB$23&gt;0, Assumptions!$G59, 0)</f>
        <v>10400</v>
      </c>
      <c r="AC44" s="77">
        <f>IF(AC$23&gt;0, Assumptions!$G59, 0)</f>
        <v>10400</v>
      </c>
      <c r="AD44" s="77">
        <f>IF(AD$23&gt;0, Assumptions!$G59, 0)</f>
        <v>10400</v>
      </c>
      <c r="AE44" s="77">
        <f>IF(AE$23&gt;0, Assumptions!$G59, 0)</f>
        <v>10400</v>
      </c>
      <c r="AF44" s="77">
        <f>IF(AF$23&gt;0, Assumptions!$G59, 0)</f>
        <v>10400</v>
      </c>
      <c r="AG44" s="77">
        <f>IF(AG$23&gt;0, Assumptions!$G59, 0)</f>
        <v>10400</v>
      </c>
      <c r="AH44" s="77">
        <f>IF(AH$23&gt;0, Assumptions!$G59, 0)</f>
        <v>10400</v>
      </c>
      <c r="AI44" s="77">
        <f>IF(AI$23&gt;0, Assumptions!$G59, 0)</f>
        <v>10400</v>
      </c>
      <c r="AJ44" s="77">
        <f>IF(AJ$23&gt;0, Assumptions!$G59, 0)</f>
        <v>10400</v>
      </c>
      <c r="AK44" s="77">
        <f>IF(AK$23&gt;0, Assumptions!$G59, 0)</f>
        <v>10400</v>
      </c>
      <c r="AL44" s="77">
        <f>IF(AL$23&gt;0, Assumptions!$G59, 0)</f>
        <v>10400</v>
      </c>
      <c r="AM44" s="77">
        <f>IF(AM$23&gt;0, Assumptions!$G59, 0)</f>
        <v>10400</v>
      </c>
      <c r="AN44" s="77">
        <f>IF(AN$23&gt;0, Assumptions!$G59, 0)</f>
        <v>10400</v>
      </c>
      <c r="AO44" s="77">
        <f>IF(AO$23&gt;0, Assumptions!$G59, 0)</f>
        <v>10400</v>
      </c>
      <c r="AP44" s="77">
        <f>IF(AP$23&gt;0, Assumptions!$G59, 0)</f>
        <v>10400</v>
      </c>
      <c r="AQ44" s="77">
        <f>IF(AQ$23&gt;0, Assumptions!$G59, 0)</f>
        <v>10400</v>
      </c>
      <c r="AR44" s="77">
        <f>IF(AR$23&gt;0, Assumptions!$G59, 0)</f>
        <v>10400</v>
      </c>
      <c r="AS44" s="77">
        <f>IF(AS$23&gt;0, Assumptions!$G59, 0)</f>
        <v>10400</v>
      </c>
      <c r="AT44" s="77">
        <f>IF(AT$23&gt;0, Assumptions!$G59, 0)</f>
        <v>10400</v>
      </c>
      <c r="AU44" s="77">
        <f>IF(AU$23&gt;0, Assumptions!$G59, 0)</f>
        <v>10400</v>
      </c>
      <c r="AV44" s="77">
        <f>IF(AV$23&gt;0, Assumptions!$G59, 0)</f>
        <v>10400</v>
      </c>
      <c r="AW44" s="77">
        <f>IF(AW$23&gt;0, Assumptions!$G59, 0)</f>
        <v>10400</v>
      </c>
      <c r="AX44" s="77">
        <f>IF(AX$23&gt;0, Assumptions!$G59, 0)</f>
        <v>10400</v>
      </c>
      <c r="AY44" s="77">
        <f>IF(AY$23&gt;0, Assumptions!$G59, 0)</f>
        <v>10400</v>
      </c>
      <c r="AZ44" s="77">
        <f>IF(AZ$23&gt;0, Assumptions!$G59, 0)</f>
        <v>10400</v>
      </c>
      <c r="BA44" s="77">
        <f>IF(BA$23&gt;0, Assumptions!$G59, 0)</f>
        <v>10400</v>
      </c>
      <c r="BB44" s="77">
        <f>IF(BB$23&gt;0, Assumptions!$G59, 0)</f>
        <v>10400</v>
      </c>
      <c r="BC44" s="77">
        <f>IF(BC$23&gt;0, Assumptions!$G59, 0)</f>
        <v>10400</v>
      </c>
      <c r="BD44" s="77">
        <f>IF(BD$23&gt;0, Assumptions!$G59, 0)</f>
        <v>10400</v>
      </c>
      <c r="BE44" s="77">
        <f>IF(BE$23&gt;0, Assumptions!$G59, 0)</f>
        <v>10400</v>
      </c>
      <c r="BF44" s="77">
        <f>IF(BF$23&gt;0, Assumptions!$G59, 0)</f>
        <v>10400</v>
      </c>
      <c r="BG44" s="77">
        <f>IF(BG$23&gt;0, Assumptions!$G59, 0)</f>
        <v>10400</v>
      </c>
      <c r="BH44" s="77">
        <f>IF(BH$23&gt;0, Assumptions!$G59, 0)</f>
        <v>10400</v>
      </c>
      <c r="BI44" s="77">
        <f>IF(BI$23&gt;0, Assumptions!$G59, 0)</f>
        <v>10400</v>
      </c>
      <c r="BJ44" s="77">
        <f>IF(BJ$23&gt;0, Assumptions!$G59, 0)</f>
        <v>10400</v>
      </c>
      <c r="BK44" s="77">
        <f>IF(BK$23&gt;0, Assumptions!$G59, 0)</f>
        <v>10400</v>
      </c>
      <c r="BL44" s="77">
        <f>IF(BL$23&gt;0, Assumptions!$G59, 0)</f>
        <v>10400</v>
      </c>
      <c r="BM44" s="77">
        <f>IF(BM$23&gt;0, Assumptions!$G59, 0)</f>
        <v>10400</v>
      </c>
      <c r="BN44" s="77">
        <f>IF(BN$23&gt;0, Assumptions!$G59, 0)</f>
        <v>10400</v>
      </c>
      <c r="BO44" s="77">
        <f>IF(BO$23&gt;0, Assumptions!$G59, 0)</f>
        <v>10400</v>
      </c>
      <c r="BP44" s="77">
        <f>IF(BP$23&gt;0, Assumptions!$G59, 0)</f>
        <v>10400</v>
      </c>
      <c r="BQ44" s="77">
        <f>IF(BQ$23&gt;0, Assumptions!$G59, 0)</f>
        <v>10400</v>
      </c>
      <c r="BR44" s="77">
        <f>IF(BR$23&gt;0, Assumptions!$G59, 0)</f>
        <v>10400</v>
      </c>
      <c r="BS44" s="77">
        <f>IF(BS$23&gt;0, Assumptions!$G59, 0)</f>
        <v>10400</v>
      </c>
      <c r="BT44" s="77">
        <f>IF(BT$23&gt;0, Assumptions!$G59, 0)</f>
        <v>10400</v>
      </c>
      <c r="BU44" s="77">
        <f>IF(BU$23&gt;0, Assumptions!$G59, 0)</f>
        <v>10400</v>
      </c>
      <c r="BV44" s="77">
        <f>IF(BV$23&gt;0, Assumptions!$G59, 0)</f>
        <v>10400</v>
      </c>
      <c r="BW44" s="77">
        <f>IF(BW$23&gt;0, Assumptions!$G59, 0)</f>
        <v>10400</v>
      </c>
      <c r="BX44" s="77">
        <f>IF(BX$23&gt;0, Assumptions!$G59, 0)</f>
        <v>10400</v>
      </c>
      <c r="BY44" s="77">
        <f>IF(BY$23&gt;0, Assumptions!$G59, 0)</f>
        <v>10400</v>
      </c>
      <c r="BZ44" s="77">
        <f>IF(BZ$23&gt;0, Assumptions!$G59, 0)</f>
        <v>10400</v>
      </c>
      <c r="CA44" s="77">
        <f>IF(CA$23&gt;0, Assumptions!$G59, 0)</f>
        <v>10400</v>
      </c>
      <c r="CB44" s="77">
        <f>IF(CB$23&gt;0, Assumptions!$G59, 0)</f>
        <v>10400</v>
      </c>
      <c r="CC44" s="77">
        <f>IF(CC$23&gt;0, Assumptions!$G59, 0)</f>
        <v>10400</v>
      </c>
      <c r="CD44" s="77">
        <f>IF(CD$23&gt;0, Assumptions!$G59, 0)</f>
        <v>10400</v>
      </c>
      <c r="CE44" s="77">
        <f>IF(CE$23&gt;0, Assumptions!$G59, 0)</f>
        <v>10400</v>
      </c>
      <c r="CF44" s="77">
        <f>IF(CF$23&gt;0, Assumptions!$G59, 0)</f>
        <v>10400</v>
      </c>
      <c r="CG44" s="77">
        <f>IF(CG$23&gt;0, Assumptions!$G59, 0)</f>
        <v>10400</v>
      </c>
      <c r="CH44" s="77">
        <f>IF(CH$23&gt;0, Assumptions!$G59, 0)</f>
        <v>10400</v>
      </c>
      <c r="CI44" s="77">
        <f>IF(CI$23&gt;0, Assumptions!$G59, 0)</f>
        <v>10400</v>
      </c>
      <c r="CJ44" s="77">
        <f>IF(CJ$23&gt;0, Assumptions!$G59, 0)</f>
        <v>10400</v>
      </c>
      <c r="CK44" s="77">
        <f>IF(CK$23&gt;0, Assumptions!$G59, 0)</f>
        <v>10400</v>
      </c>
      <c r="CL44" s="77">
        <f>IF(CL$23&gt;0, Assumptions!$G59, 0)</f>
        <v>10400</v>
      </c>
      <c r="CM44" s="77">
        <f>IF(CM$23&gt;0, Assumptions!$G59, 0)</f>
        <v>10400</v>
      </c>
      <c r="CN44" s="77">
        <f>IF(CN$23&gt;0, Assumptions!$G59, 0)</f>
        <v>10400</v>
      </c>
      <c r="CO44" s="77">
        <f>IF(CO$23&gt;0, Assumptions!$G59, 0)</f>
        <v>10400</v>
      </c>
      <c r="CP44" s="77">
        <f>IF(CP$23&gt;0, Assumptions!$G59, 0)</f>
        <v>10400</v>
      </c>
      <c r="CQ44" s="77">
        <f>IF(CQ$23&gt;0, Assumptions!$G59, 0)</f>
        <v>10400</v>
      </c>
      <c r="CR44" s="77">
        <f>IF(CR$23&gt;0, Assumptions!$G59, 0)</f>
        <v>10400</v>
      </c>
      <c r="CS44" s="77">
        <f>IF(CS$23&gt;0, Assumptions!$G59, 0)</f>
        <v>10400</v>
      </c>
      <c r="CT44" s="77">
        <f>IF(CT$23&gt;0, Assumptions!$G59, 0)</f>
        <v>10400</v>
      </c>
      <c r="CU44" s="77">
        <f>IF(CU$23&gt;0, Assumptions!$G59, 0)</f>
        <v>10400</v>
      </c>
      <c r="CV44" s="77">
        <f>IF(CV$23&gt;0, Assumptions!$G59, 0)</f>
        <v>10400</v>
      </c>
      <c r="CW44" s="77">
        <f>IF(CW$23&gt;0, Assumptions!$G59, 0)</f>
        <v>10400</v>
      </c>
      <c r="CX44" s="77">
        <f>IF(CX$23&gt;0, Assumptions!$G59, 0)</f>
        <v>10400</v>
      </c>
      <c r="CY44" s="77">
        <f>IF(CY$23&gt;0, Assumptions!$G59, 0)</f>
        <v>10400</v>
      </c>
      <c r="CZ44" s="77">
        <f>IF(CZ$23&gt;0, Assumptions!$G59, 0)</f>
        <v>10400</v>
      </c>
      <c r="DA44" s="77">
        <f>IF(DA$23&gt;0, Assumptions!$G59, 0)</f>
        <v>10400</v>
      </c>
      <c r="DB44" s="77">
        <f>IF(DB$23&gt;0, Assumptions!$G59, 0)</f>
        <v>10400</v>
      </c>
      <c r="DC44" s="77">
        <f>IF(DC$23&gt;0, Assumptions!$G59, 0)</f>
        <v>10400</v>
      </c>
      <c r="DD44" s="77">
        <f>IF(DD$23&gt;0, Assumptions!$G59, 0)</f>
        <v>10400</v>
      </c>
      <c r="DE44" s="77">
        <f>IF(DE$23&gt;0, Assumptions!$G59, 0)</f>
        <v>10400</v>
      </c>
      <c r="DF44" s="77">
        <f>IF(DF$23&gt;0, Assumptions!$G59, 0)</f>
        <v>10400</v>
      </c>
      <c r="DG44" s="77">
        <f>IF(DG$23&gt;0, Assumptions!$G59, 0)</f>
        <v>10400</v>
      </c>
      <c r="DH44" s="77">
        <f>IF(DH$23&gt;0, Assumptions!$G59, 0)</f>
        <v>10400</v>
      </c>
      <c r="DI44" s="77">
        <f>IF(DI$23&gt;0, Assumptions!$G59, 0)</f>
        <v>10400</v>
      </c>
      <c r="DJ44" s="77">
        <f>IF(DJ$23&gt;0, Assumptions!$G59, 0)</f>
        <v>10400</v>
      </c>
      <c r="DK44" s="77">
        <f>IF(DK$23&gt;0, Assumptions!$G59, 0)</f>
        <v>10400</v>
      </c>
      <c r="DL44" s="77">
        <f>IF(DL$23&gt;0, Assumptions!$G59, 0)</f>
        <v>10400</v>
      </c>
      <c r="DM44" s="77">
        <f>IF(DM$23&gt;0, Assumptions!$G59, 0)</f>
        <v>10400</v>
      </c>
      <c r="DN44" s="77">
        <f>IF(DN$23&gt;0, Assumptions!$G59, 0)</f>
        <v>10400</v>
      </c>
      <c r="DO44" s="77">
        <f>IF(DO$23&gt;0, Assumptions!$G59, 0)</f>
        <v>10400</v>
      </c>
      <c r="DP44" s="77">
        <f>IF(DP$23&gt;0, Assumptions!$G59, 0)</f>
        <v>10400</v>
      </c>
      <c r="DQ44" s="77">
        <f>IF(DQ$23&gt;0, Assumptions!$G59, 0)</f>
        <v>10400</v>
      </c>
      <c r="DR44" s="77">
        <f>IF(DR$23&gt;0, Assumptions!$G59, 0)</f>
        <v>10400</v>
      </c>
      <c r="DS44" s="77">
        <f>IF(DS$23&gt;0, Assumptions!$G59, 0)</f>
        <v>10400</v>
      </c>
      <c r="DT44" s="77">
        <f>IF(DT$23&gt;0, Assumptions!$G59, 0)</f>
        <v>10400</v>
      </c>
      <c r="DU44" s="77">
        <f>IF(DU$23&gt;0, Assumptions!$G59, 0)</f>
        <v>10400</v>
      </c>
      <c r="DV44" s="77">
        <f>IF(DV$23&gt;0, Assumptions!$G59, 0)</f>
        <v>10400</v>
      </c>
      <c r="DW44" s="77">
        <f>IF(DW$23&gt;0, Assumptions!$G59, 0)</f>
        <v>10400</v>
      </c>
      <c r="DX44" s="77">
        <f>IF(DX$23&gt;0, Assumptions!$G59, 0)</f>
        <v>10400</v>
      </c>
      <c r="DY44" s="77">
        <f>IF(DY$23&gt;0, Assumptions!$G59, 0)</f>
        <v>10400</v>
      </c>
      <c r="DZ44" s="77">
        <f>IF(DZ$23&gt;0, Assumptions!$G59, 0)</f>
        <v>10400</v>
      </c>
      <c r="EA44" s="77">
        <f>IF(EA$23&gt;0, Assumptions!$G59, 0)</f>
        <v>10400</v>
      </c>
      <c r="EB44" s="77">
        <f>IF(EB$23&gt;0, Assumptions!$G59, 0)</f>
        <v>10400</v>
      </c>
      <c r="EC44" s="77">
        <f>IF(EC$23&gt;0, Assumptions!$G59, 0)</f>
        <v>10400</v>
      </c>
      <c r="ED44" s="77">
        <f>IF(ED$23&gt;0, Assumptions!$G59, 0)</f>
        <v>10400</v>
      </c>
      <c r="EE44" s="77">
        <f>IF(EE$23&gt;0, Assumptions!$G59, 0)</f>
        <v>10400</v>
      </c>
      <c r="EF44" s="77">
        <f>IF(EF$23&gt;0, Assumptions!$G59, 0)</f>
        <v>10400</v>
      </c>
      <c r="EG44" s="77">
        <f>IF(EG$23&gt;0, Assumptions!$G59, 0)</f>
        <v>10400</v>
      </c>
      <c r="EH44" s="77">
        <f>IF(EH$23&gt;0, Assumptions!$G59, 0)</f>
        <v>10400</v>
      </c>
      <c r="EI44" s="77">
        <f>IF(EI$23&gt;0, Assumptions!$G59, 0)</f>
        <v>10400</v>
      </c>
      <c r="EJ44" s="77">
        <f>IF(EJ$23&gt;0, Assumptions!$G59, 0)</f>
        <v>10400</v>
      </c>
      <c r="EK44" s="77">
        <f>IF(EK$23&gt;0, Assumptions!$G59, 0)</f>
        <v>10400</v>
      </c>
      <c r="EL44" s="77">
        <f>IF(EL$23&gt;0, Assumptions!$G59, 0)</f>
        <v>10400</v>
      </c>
      <c r="EM44" s="77">
        <f>IF(EM$23&gt;0, Assumptions!$G59, 0)</f>
        <v>10400</v>
      </c>
      <c r="EN44" s="77">
        <f>IF(EN$23&gt;0, Assumptions!$G59, 0)</f>
        <v>10400</v>
      </c>
      <c r="EO44" s="77">
        <f>IF(EO$23&gt;0, Assumptions!$G59, 0)</f>
        <v>10400</v>
      </c>
      <c r="EP44" s="77">
        <f>IF(EP$23&gt;0, Assumptions!$G59, 0)</f>
        <v>10400</v>
      </c>
      <c r="EQ44" s="77">
        <f>IF(EQ$23&gt;0, Assumptions!$G59, 0)</f>
        <v>10400</v>
      </c>
      <c r="ER44" s="77">
        <f>IF(ER$23&gt;0, Assumptions!$G59, 0)</f>
        <v>10400</v>
      </c>
      <c r="ES44" s="77">
        <f>IF(ES$23&gt;0, Assumptions!$G59, 0)</f>
        <v>10400</v>
      </c>
      <c r="ET44" s="77">
        <f>IF(ET$23&gt;0, Assumptions!$G59, 0)</f>
        <v>10400</v>
      </c>
      <c r="EU44" s="77">
        <f>IF(EU$23&gt;0, Assumptions!$G59, 0)</f>
        <v>10400</v>
      </c>
      <c r="EV44" s="77">
        <f>IF(EV$23&gt;0, Assumptions!$G59, 0)</f>
        <v>10400</v>
      </c>
      <c r="EW44" s="77">
        <f>IF(EW$23&gt;0, Assumptions!$G59, 0)</f>
        <v>10400</v>
      </c>
      <c r="EX44" s="77">
        <f>IF(EX$23&gt;0, Assumptions!$G59, 0)</f>
        <v>10400</v>
      </c>
      <c r="EY44" s="77">
        <f>IF(EY$23&gt;0, Assumptions!$G59, 0)</f>
        <v>10400</v>
      </c>
      <c r="EZ44" s="77">
        <f>IF(EZ$23&gt;0, Assumptions!$G59, 0)</f>
        <v>10400</v>
      </c>
      <c r="FA44" s="77">
        <f>IF(FA$23&gt;0, Assumptions!$G59, 0)</f>
        <v>10400</v>
      </c>
      <c r="FB44" s="77">
        <f>IF(FB$23&gt;0, Assumptions!$G59, 0)</f>
        <v>10400</v>
      </c>
      <c r="FC44" s="77">
        <f>IF(FC$23&gt;0, Assumptions!$G59, 0)</f>
        <v>10400</v>
      </c>
      <c r="FD44" s="77">
        <f>IF(FD$23&gt;0, Assumptions!$G59, 0)</f>
        <v>10400</v>
      </c>
      <c r="FE44" s="77">
        <f>IF(FE$23&gt;0, Assumptions!$G59, 0)</f>
        <v>10400</v>
      </c>
      <c r="FF44" s="77">
        <f>IF(FF$23&gt;0, Assumptions!$G59, 0)</f>
        <v>10400</v>
      </c>
      <c r="FG44" s="77">
        <f>IF(FG$23&gt;0, Assumptions!$G59, 0)</f>
        <v>10400</v>
      </c>
      <c r="FH44" s="77">
        <f>IF(FH$23&gt;0, Assumptions!$G59, 0)</f>
        <v>10400</v>
      </c>
      <c r="FI44" s="77">
        <f>IF(FI$23&gt;0, Assumptions!$G59, 0)</f>
        <v>10400</v>
      </c>
      <c r="FJ44" s="77">
        <f>IF(FJ$23&gt;0, Assumptions!$G59, 0)</f>
        <v>10400</v>
      </c>
      <c r="FK44" s="77">
        <f>IF(FK$23&gt;0, Assumptions!$G59, 0)</f>
        <v>10400</v>
      </c>
      <c r="FL44" s="77">
        <f>IF(FL$23&gt;0, Assumptions!$G59, 0)</f>
        <v>10400</v>
      </c>
      <c r="FM44" s="77">
        <f>IF(FM$23&gt;0, Assumptions!$G59, 0)</f>
        <v>10400</v>
      </c>
      <c r="FN44" s="77">
        <f>IF(FN$23&gt;0, Assumptions!$G59, 0)</f>
        <v>10400</v>
      </c>
      <c r="FO44" s="77">
        <f>IF(FO$23&gt;0, Assumptions!$G59, 0)</f>
        <v>10400</v>
      </c>
      <c r="FP44" s="77">
        <f>IF(FP$23&gt;0, Assumptions!$G59, 0)</f>
        <v>10400</v>
      </c>
      <c r="FQ44" s="77">
        <f>IF(FQ$23&gt;0, Assumptions!$G59, 0)</f>
        <v>10400</v>
      </c>
      <c r="FR44" s="77">
        <f>IF(FR$23&gt;0, Assumptions!$G59, 0)</f>
        <v>10400</v>
      </c>
      <c r="FS44" s="77">
        <f>IF(FS$23&gt;0, Assumptions!$G59, 0)</f>
        <v>10400</v>
      </c>
      <c r="FT44" s="77">
        <f>IF(FT$23&gt;0, Assumptions!$G59, 0)</f>
        <v>10400</v>
      </c>
      <c r="FU44" s="77">
        <f>IF(FU$23&gt;0, Assumptions!$G59, 0)</f>
        <v>10400</v>
      </c>
      <c r="FV44" s="77">
        <f>IF(FV$23&gt;0, Assumptions!$G59, 0)</f>
        <v>10400</v>
      </c>
      <c r="FW44" s="77">
        <f>IF(FW$23&gt;0, Assumptions!$G59, 0)</f>
        <v>10400</v>
      </c>
      <c r="FX44" s="77">
        <f>IF(FX$23&gt;0, Assumptions!$G59, 0)</f>
        <v>10400</v>
      </c>
      <c r="FY44" s="77">
        <f>IF(FY$23&gt;0, Assumptions!$G59, 0)</f>
        <v>10400</v>
      </c>
      <c r="FZ44" s="77">
        <f>IF(FZ$23&gt;0, Assumptions!$G59, 0)</f>
        <v>10400</v>
      </c>
      <c r="GA44" s="77">
        <f>IF(GA$23&gt;0, Assumptions!$G59, 0)</f>
        <v>10400</v>
      </c>
      <c r="GB44" s="77">
        <f>IF(GB$23&gt;0, Assumptions!$G59, 0)</f>
        <v>10400</v>
      </c>
      <c r="GC44" s="77">
        <f>IF(GC$23&gt;0, Assumptions!$G59, 0)</f>
        <v>10400</v>
      </c>
    </row>
    <row r="45" spans="1:185">
      <c r="A45" s="80"/>
      <c r="B45" s="80" t="s">
        <v>93</v>
      </c>
      <c r="C45" s="80"/>
      <c r="D45" s="80"/>
      <c r="E45" s="82">
        <f>SUM(F45:GC45)</f>
        <v>1574300</v>
      </c>
      <c r="F45" s="77">
        <f>IF(F$23&gt;0, Assumptions!$G60, 0)</f>
        <v>0</v>
      </c>
      <c r="G45" s="77">
        <f>IF(G$23&gt;0, Assumptions!$G60, 0)</f>
        <v>0</v>
      </c>
      <c r="H45" s="77">
        <f>IF(H$23&gt;0, Assumptions!$G60, 0)</f>
        <v>0</v>
      </c>
      <c r="I45" s="77">
        <f>IF(I$23&gt;0, Assumptions!$G60, 0)</f>
        <v>0</v>
      </c>
      <c r="J45" s="77">
        <f>IF(J$23&gt;0, Assumptions!$G60, 0)</f>
        <v>0</v>
      </c>
      <c r="K45" s="77">
        <f>IF(K$23&gt;0, Assumptions!$G60, 0)</f>
        <v>0</v>
      </c>
      <c r="L45" s="77">
        <f>IF(L$23&gt;0, Assumptions!$G60, 0)</f>
        <v>0</v>
      </c>
      <c r="M45" s="77">
        <f>IF(M$23&gt;0, Assumptions!$G60, 0)</f>
        <v>9100</v>
      </c>
      <c r="N45" s="77">
        <f>IF(N$23&gt;0, Assumptions!$G60, 0)</f>
        <v>9100</v>
      </c>
      <c r="O45" s="77">
        <f>IF(O$23&gt;0, Assumptions!$G60, 0)</f>
        <v>9100</v>
      </c>
      <c r="P45" s="77">
        <f>IF(P$23&gt;0, Assumptions!$G60, 0)</f>
        <v>9100</v>
      </c>
      <c r="Q45" s="77">
        <f>IF(Q$23&gt;0, Assumptions!$G60, 0)</f>
        <v>9100</v>
      </c>
      <c r="R45" s="77">
        <f>IF(R$23&gt;0, Assumptions!$G60, 0)</f>
        <v>9100</v>
      </c>
      <c r="S45" s="77">
        <f>IF(S$23&gt;0, Assumptions!$G60, 0)</f>
        <v>9100</v>
      </c>
      <c r="T45" s="77">
        <f>IF(T$23&gt;0, Assumptions!$G60, 0)</f>
        <v>9100</v>
      </c>
      <c r="U45" s="77">
        <f>IF(U$23&gt;0, Assumptions!$G60, 0)</f>
        <v>9100</v>
      </c>
      <c r="V45" s="77">
        <f>IF(V$23&gt;0, Assumptions!$G60, 0)</f>
        <v>9100</v>
      </c>
      <c r="W45" s="77">
        <f>IF(W$23&gt;0, Assumptions!$G60, 0)</f>
        <v>9100</v>
      </c>
      <c r="X45" s="77">
        <f>IF(X$23&gt;0, Assumptions!$G60, 0)</f>
        <v>9100</v>
      </c>
      <c r="Y45" s="77">
        <f>IF(Y$23&gt;0, Assumptions!$G60, 0)</f>
        <v>9100</v>
      </c>
      <c r="Z45" s="77">
        <f>IF(Z$23&gt;0, Assumptions!$G60, 0)</f>
        <v>9100</v>
      </c>
      <c r="AA45" s="77">
        <f>IF(AA$23&gt;0, Assumptions!$G60, 0)</f>
        <v>9100</v>
      </c>
      <c r="AB45" s="77">
        <f>IF(AB$23&gt;0, Assumptions!$G60, 0)</f>
        <v>9100</v>
      </c>
      <c r="AC45" s="77">
        <f>IF(AC$23&gt;0, Assumptions!$G60, 0)</f>
        <v>9100</v>
      </c>
      <c r="AD45" s="77">
        <f>IF(AD$23&gt;0, Assumptions!$G60, 0)</f>
        <v>9100</v>
      </c>
      <c r="AE45" s="77">
        <f>IF(AE$23&gt;0, Assumptions!$G60, 0)</f>
        <v>9100</v>
      </c>
      <c r="AF45" s="77">
        <f>IF(AF$23&gt;0, Assumptions!$G60, 0)</f>
        <v>9100</v>
      </c>
      <c r="AG45" s="77">
        <f>IF(AG$23&gt;0, Assumptions!$G60, 0)</f>
        <v>9100</v>
      </c>
      <c r="AH45" s="77">
        <f>IF(AH$23&gt;0, Assumptions!$G60, 0)</f>
        <v>9100</v>
      </c>
      <c r="AI45" s="77">
        <f>IF(AI$23&gt;0, Assumptions!$G60, 0)</f>
        <v>9100</v>
      </c>
      <c r="AJ45" s="77">
        <f>IF(AJ$23&gt;0, Assumptions!$G60, 0)</f>
        <v>9100</v>
      </c>
      <c r="AK45" s="77">
        <f>IF(AK$23&gt;0, Assumptions!$G60, 0)</f>
        <v>9100</v>
      </c>
      <c r="AL45" s="77">
        <f>IF(AL$23&gt;0, Assumptions!$G60, 0)</f>
        <v>9100</v>
      </c>
      <c r="AM45" s="77">
        <f>IF(AM$23&gt;0, Assumptions!$G60, 0)</f>
        <v>9100</v>
      </c>
      <c r="AN45" s="77">
        <f>IF(AN$23&gt;0, Assumptions!$G60, 0)</f>
        <v>9100</v>
      </c>
      <c r="AO45" s="77">
        <f>IF(AO$23&gt;0, Assumptions!$G60, 0)</f>
        <v>9100</v>
      </c>
      <c r="AP45" s="77">
        <f>IF(AP$23&gt;0, Assumptions!$G60, 0)</f>
        <v>9100</v>
      </c>
      <c r="AQ45" s="77">
        <f>IF(AQ$23&gt;0, Assumptions!$G60, 0)</f>
        <v>9100</v>
      </c>
      <c r="AR45" s="77">
        <f>IF(AR$23&gt;0, Assumptions!$G60, 0)</f>
        <v>9100</v>
      </c>
      <c r="AS45" s="77">
        <f>IF(AS$23&gt;0, Assumptions!$G60, 0)</f>
        <v>9100</v>
      </c>
      <c r="AT45" s="77">
        <f>IF(AT$23&gt;0, Assumptions!$G60, 0)</f>
        <v>9100</v>
      </c>
      <c r="AU45" s="77">
        <f>IF(AU$23&gt;0, Assumptions!$G60, 0)</f>
        <v>9100</v>
      </c>
      <c r="AV45" s="77">
        <f>IF(AV$23&gt;0, Assumptions!$G60, 0)</f>
        <v>9100</v>
      </c>
      <c r="AW45" s="77">
        <f>IF(AW$23&gt;0, Assumptions!$G60, 0)</f>
        <v>9100</v>
      </c>
      <c r="AX45" s="77">
        <f>IF(AX$23&gt;0, Assumptions!$G60, 0)</f>
        <v>9100</v>
      </c>
      <c r="AY45" s="77">
        <f>IF(AY$23&gt;0, Assumptions!$G60, 0)</f>
        <v>9100</v>
      </c>
      <c r="AZ45" s="77">
        <f>IF(AZ$23&gt;0, Assumptions!$G60, 0)</f>
        <v>9100</v>
      </c>
      <c r="BA45" s="77">
        <f>IF(BA$23&gt;0, Assumptions!$G60, 0)</f>
        <v>9100</v>
      </c>
      <c r="BB45" s="77">
        <f>IF(BB$23&gt;0, Assumptions!$G60, 0)</f>
        <v>9100</v>
      </c>
      <c r="BC45" s="77">
        <f>IF(BC$23&gt;0, Assumptions!$G60, 0)</f>
        <v>9100</v>
      </c>
      <c r="BD45" s="77">
        <f>IF(BD$23&gt;0, Assumptions!$G60, 0)</f>
        <v>9100</v>
      </c>
      <c r="BE45" s="77">
        <f>IF(BE$23&gt;0, Assumptions!$G60, 0)</f>
        <v>9100</v>
      </c>
      <c r="BF45" s="77">
        <f>IF(BF$23&gt;0, Assumptions!$G60, 0)</f>
        <v>9100</v>
      </c>
      <c r="BG45" s="77">
        <f>IF(BG$23&gt;0, Assumptions!$G60, 0)</f>
        <v>9100</v>
      </c>
      <c r="BH45" s="77">
        <f>IF(BH$23&gt;0, Assumptions!$G60, 0)</f>
        <v>9100</v>
      </c>
      <c r="BI45" s="77">
        <f>IF(BI$23&gt;0, Assumptions!$G60, 0)</f>
        <v>9100</v>
      </c>
      <c r="BJ45" s="77">
        <f>IF(BJ$23&gt;0, Assumptions!$G60, 0)</f>
        <v>9100</v>
      </c>
      <c r="BK45" s="77">
        <f>IF(BK$23&gt;0, Assumptions!$G60, 0)</f>
        <v>9100</v>
      </c>
      <c r="BL45" s="77">
        <f>IF(BL$23&gt;0, Assumptions!$G60, 0)</f>
        <v>9100</v>
      </c>
      <c r="BM45" s="77">
        <f>IF(BM$23&gt;0, Assumptions!$G60, 0)</f>
        <v>9100</v>
      </c>
      <c r="BN45" s="77">
        <f>IF(BN$23&gt;0, Assumptions!$G60, 0)</f>
        <v>9100</v>
      </c>
      <c r="BO45" s="77">
        <f>IF(BO$23&gt;0, Assumptions!$G60, 0)</f>
        <v>9100</v>
      </c>
      <c r="BP45" s="77">
        <f>IF(BP$23&gt;0, Assumptions!$G60, 0)</f>
        <v>9100</v>
      </c>
      <c r="BQ45" s="77">
        <f>IF(BQ$23&gt;0, Assumptions!$G60, 0)</f>
        <v>9100</v>
      </c>
      <c r="BR45" s="77">
        <f>IF(BR$23&gt;0, Assumptions!$G60, 0)</f>
        <v>9100</v>
      </c>
      <c r="BS45" s="77">
        <f>IF(BS$23&gt;0, Assumptions!$G60, 0)</f>
        <v>9100</v>
      </c>
      <c r="BT45" s="77">
        <f>IF(BT$23&gt;0, Assumptions!$G60, 0)</f>
        <v>9100</v>
      </c>
      <c r="BU45" s="77">
        <f>IF(BU$23&gt;0, Assumptions!$G60, 0)</f>
        <v>9100</v>
      </c>
      <c r="BV45" s="77">
        <f>IF(BV$23&gt;0, Assumptions!$G60, 0)</f>
        <v>9100</v>
      </c>
      <c r="BW45" s="77">
        <f>IF(BW$23&gt;0, Assumptions!$G60, 0)</f>
        <v>9100</v>
      </c>
      <c r="BX45" s="77">
        <f>IF(BX$23&gt;0, Assumptions!$G60, 0)</f>
        <v>9100</v>
      </c>
      <c r="BY45" s="77">
        <f>IF(BY$23&gt;0, Assumptions!$G60, 0)</f>
        <v>9100</v>
      </c>
      <c r="BZ45" s="77">
        <f>IF(BZ$23&gt;0, Assumptions!$G60, 0)</f>
        <v>9100</v>
      </c>
      <c r="CA45" s="77">
        <f>IF(CA$23&gt;0, Assumptions!$G60, 0)</f>
        <v>9100</v>
      </c>
      <c r="CB45" s="77">
        <f>IF(CB$23&gt;0, Assumptions!$G60, 0)</f>
        <v>9100</v>
      </c>
      <c r="CC45" s="77">
        <f>IF(CC$23&gt;0, Assumptions!$G60, 0)</f>
        <v>9100</v>
      </c>
      <c r="CD45" s="77">
        <f>IF(CD$23&gt;0, Assumptions!$G60, 0)</f>
        <v>9100</v>
      </c>
      <c r="CE45" s="77">
        <f>IF(CE$23&gt;0, Assumptions!$G60, 0)</f>
        <v>9100</v>
      </c>
      <c r="CF45" s="77">
        <f>IF(CF$23&gt;0, Assumptions!$G60, 0)</f>
        <v>9100</v>
      </c>
      <c r="CG45" s="77">
        <f>IF(CG$23&gt;0, Assumptions!$G60, 0)</f>
        <v>9100</v>
      </c>
      <c r="CH45" s="77">
        <f>IF(CH$23&gt;0, Assumptions!$G60, 0)</f>
        <v>9100</v>
      </c>
      <c r="CI45" s="77">
        <f>IF(CI$23&gt;0, Assumptions!$G60, 0)</f>
        <v>9100</v>
      </c>
      <c r="CJ45" s="77">
        <f>IF(CJ$23&gt;0, Assumptions!$G60, 0)</f>
        <v>9100</v>
      </c>
      <c r="CK45" s="77">
        <f>IF(CK$23&gt;0, Assumptions!$G60, 0)</f>
        <v>9100</v>
      </c>
      <c r="CL45" s="77">
        <f>IF(CL$23&gt;0, Assumptions!$G60, 0)</f>
        <v>9100</v>
      </c>
      <c r="CM45" s="77">
        <f>IF(CM$23&gt;0, Assumptions!$G60, 0)</f>
        <v>9100</v>
      </c>
      <c r="CN45" s="77">
        <f>IF(CN$23&gt;0, Assumptions!$G60, 0)</f>
        <v>9100</v>
      </c>
      <c r="CO45" s="77">
        <f>IF(CO$23&gt;0, Assumptions!$G60, 0)</f>
        <v>9100</v>
      </c>
      <c r="CP45" s="77">
        <f>IF(CP$23&gt;0, Assumptions!$G60, 0)</f>
        <v>9100</v>
      </c>
      <c r="CQ45" s="77">
        <f>IF(CQ$23&gt;0, Assumptions!$G60, 0)</f>
        <v>9100</v>
      </c>
      <c r="CR45" s="77">
        <f>IF(CR$23&gt;0, Assumptions!$G60, 0)</f>
        <v>9100</v>
      </c>
      <c r="CS45" s="77">
        <f>IF(CS$23&gt;0, Assumptions!$G60, 0)</f>
        <v>9100</v>
      </c>
      <c r="CT45" s="77">
        <f>IF(CT$23&gt;0, Assumptions!$G60, 0)</f>
        <v>9100</v>
      </c>
      <c r="CU45" s="77">
        <f>IF(CU$23&gt;0, Assumptions!$G60, 0)</f>
        <v>9100</v>
      </c>
      <c r="CV45" s="77">
        <f>IF(CV$23&gt;0, Assumptions!$G60, 0)</f>
        <v>9100</v>
      </c>
      <c r="CW45" s="77">
        <f>IF(CW$23&gt;0, Assumptions!$G60, 0)</f>
        <v>9100</v>
      </c>
      <c r="CX45" s="77">
        <f>IF(CX$23&gt;0, Assumptions!$G60, 0)</f>
        <v>9100</v>
      </c>
      <c r="CY45" s="77">
        <f>IF(CY$23&gt;0, Assumptions!$G60, 0)</f>
        <v>9100</v>
      </c>
      <c r="CZ45" s="77">
        <f>IF(CZ$23&gt;0, Assumptions!$G60, 0)</f>
        <v>9100</v>
      </c>
      <c r="DA45" s="77">
        <f>IF(DA$23&gt;0, Assumptions!$G60, 0)</f>
        <v>9100</v>
      </c>
      <c r="DB45" s="77">
        <f>IF(DB$23&gt;0, Assumptions!$G60, 0)</f>
        <v>9100</v>
      </c>
      <c r="DC45" s="77">
        <f>IF(DC$23&gt;0, Assumptions!$G60, 0)</f>
        <v>9100</v>
      </c>
      <c r="DD45" s="77">
        <f>IF(DD$23&gt;0, Assumptions!$G60, 0)</f>
        <v>9100</v>
      </c>
      <c r="DE45" s="77">
        <f>IF(DE$23&gt;0, Assumptions!$G60, 0)</f>
        <v>9100</v>
      </c>
      <c r="DF45" s="77">
        <f>IF(DF$23&gt;0, Assumptions!$G60, 0)</f>
        <v>9100</v>
      </c>
      <c r="DG45" s="77">
        <f>IF(DG$23&gt;0, Assumptions!$G60, 0)</f>
        <v>9100</v>
      </c>
      <c r="DH45" s="77">
        <f>IF(DH$23&gt;0, Assumptions!$G60, 0)</f>
        <v>9100</v>
      </c>
      <c r="DI45" s="77">
        <f>IF(DI$23&gt;0, Assumptions!$G60, 0)</f>
        <v>9100</v>
      </c>
      <c r="DJ45" s="77">
        <f>IF(DJ$23&gt;0, Assumptions!$G60, 0)</f>
        <v>9100</v>
      </c>
      <c r="DK45" s="77">
        <f>IF(DK$23&gt;0, Assumptions!$G60, 0)</f>
        <v>9100</v>
      </c>
      <c r="DL45" s="77">
        <f>IF(DL$23&gt;0, Assumptions!$G60, 0)</f>
        <v>9100</v>
      </c>
      <c r="DM45" s="77">
        <f>IF(DM$23&gt;0, Assumptions!$G60, 0)</f>
        <v>9100</v>
      </c>
      <c r="DN45" s="77">
        <f>IF(DN$23&gt;0, Assumptions!$G60, 0)</f>
        <v>9100</v>
      </c>
      <c r="DO45" s="77">
        <f>IF(DO$23&gt;0, Assumptions!$G60, 0)</f>
        <v>9100</v>
      </c>
      <c r="DP45" s="77">
        <f>IF(DP$23&gt;0, Assumptions!$G60, 0)</f>
        <v>9100</v>
      </c>
      <c r="DQ45" s="77">
        <f>IF(DQ$23&gt;0, Assumptions!$G60, 0)</f>
        <v>9100</v>
      </c>
      <c r="DR45" s="77">
        <f>IF(DR$23&gt;0, Assumptions!$G60, 0)</f>
        <v>9100</v>
      </c>
      <c r="DS45" s="77">
        <f>IF(DS$23&gt;0, Assumptions!$G60, 0)</f>
        <v>9100</v>
      </c>
      <c r="DT45" s="77">
        <f>IF(DT$23&gt;0, Assumptions!$G60, 0)</f>
        <v>9100</v>
      </c>
      <c r="DU45" s="77">
        <f>IF(DU$23&gt;0, Assumptions!$G60, 0)</f>
        <v>9100</v>
      </c>
      <c r="DV45" s="77">
        <f>IF(DV$23&gt;0, Assumptions!$G60, 0)</f>
        <v>9100</v>
      </c>
      <c r="DW45" s="77">
        <f>IF(DW$23&gt;0, Assumptions!$G60, 0)</f>
        <v>9100</v>
      </c>
      <c r="DX45" s="77">
        <f>IF(DX$23&gt;0, Assumptions!$G60, 0)</f>
        <v>9100</v>
      </c>
      <c r="DY45" s="77">
        <f>IF(DY$23&gt;0, Assumptions!$G60, 0)</f>
        <v>9100</v>
      </c>
      <c r="DZ45" s="77">
        <f>IF(DZ$23&gt;0, Assumptions!$G60, 0)</f>
        <v>9100</v>
      </c>
      <c r="EA45" s="77">
        <f>IF(EA$23&gt;0, Assumptions!$G60, 0)</f>
        <v>9100</v>
      </c>
      <c r="EB45" s="77">
        <f>IF(EB$23&gt;0, Assumptions!$G60, 0)</f>
        <v>9100</v>
      </c>
      <c r="EC45" s="77">
        <f>IF(EC$23&gt;0, Assumptions!$G60, 0)</f>
        <v>9100</v>
      </c>
      <c r="ED45" s="77">
        <f>IF(ED$23&gt;0, Assumptions!$G60, 0)</f>
        <v>9100</v>
      </c>
      <c r="EE45" s="77">
        <f>IF(EE$23&gt;0, Assumptions!$G60, 0)</f>
        <v>9100</v>
      </c>
      <c r="EF45" s="77">
        <f>IF(EF$23&gt;0, Assumptions!$G60, 0)</f>
        <v>9100</v>
      </c>
      <c r="EG45" s="77">
        <f>IF(EG$23&gt;0, Assumptions!$G60, 0)</f>
        <v>9100</v>
      </c>
      <c r="EH45" s="77">
        <f>IF(EH$23&gt;0, Assumptions!$G60, 0)</f>
        <v>9100</v>
      </c>
      <c r="EI45" s="77">
        <f>IF(EI$23&gt;0, Assumptions!$G60, 0)</f>
        <v>9100</v>
      </c>
      <c r="EJ45" s="77">
        <f>IF(EJ$23&gt;0, Assumptions!$G60, 0)</f>
        <v>9100</v>
      </c>
      <c r="EK45" s="77">
        <f>IF(EK$23&gt;0, Assumptions!$G60, 0)</f>
        <v>9100</v>
      </c>
      <c r="EL45" s="77">
        <f>IF(EL$23&gt;0, Assumptions!$G60, 0)</f>
        <v>9100</v>
      </c>
      <c r="EM45" s="77">
        <f>IF(EM$23&gt;0, Assumptions!$G60, 0)</f>
        <v>9100</v>
      </c>
      <c r="EN45" s="77">
        <f>IF(EN$23&gt;0, Assumptions!$G60, 0)</f>
        <v>9100</v>
      </c>
      <c r="EO45" s="77">
        <f>IF(EO$23&gt;0, Assumptions!$G60, 0)</f>
        <v>9100</v>
      </c>
      <c r="EP45" s="77">
        <f>IF(EP$23&gt;0, Assumptions!$G60, 0)</f>
        <v>9100</v>
      </c>
      <c r="EQ45" s="77">
        <f>IF(EQ$23&gt;0, Assumptions!$G60, 0)</f>
        <v>9100</v>
      </c>
      <c r="ER45" s="77">
        <f>IF(ER$23&gt;0, Assumptions!$G60, 0)</f>
        <v>9100</v>
      </c>
      <c r="ES45" s="77">
        <f>IF(ES$23&gt;0, Assumptions!$G60, 0)</f>
        <v>9100</v>
      </c>
      <c r="ET45" s="77">
        <f>IF(ET$23&gt;0, Assumptions!$G60, 0)</f>
        <v>9100</v>
      </c>
      <c r="EU45" s="77">
        <f>IF(EU$23&gt;0, Assumptions!$G60, 0)</f>
        <v>9100</v>
      </c>
      <c r="EV45" s="77">
        <f>IF(EV$23&gt;0, Assumptions!$G60, 0)</f>
        <v>9100</v>
      </c>
      <c r="EW45" s="77">
        <f>IF(EW$23&gt;0, Assumptions!$G60, 0)</f>
        <v>9100</v>
      </c>
      <c r="EX45" s="77">
        <f>IF(EX$23&gt;0, Assumptions!$G60, 0)</f>
        <v>9100</v>
      </c>
      <c r="EY45" s="77">
        <f>IF(EY$23&gt;0, Assumptions!$G60, 0)</f>
        <v>9100</v>
      </c>
      <c r="EZ45" s="77">
        <f>IF(EZ$23&gt;0, Assumptions!$G60, 0)</f>
        <v>9100</v>
      </c>
      <c r="FA45" s="77">
        <f>IF(FA$23&gt;0, Assumptions!$G60, 0)</f>
        <v>9100</v>
      </c>
      <c r="FB45" s="77">
        <f>IF(FB$23&gt;0, Assumptions!$G60, 0)</f>
        <v>9100</v>
      </c>
      <c r="FC45" s="77">
        <f>IF(FC$23&gt;0, Assumptions!$G60, 0)</f>
        <v>9100</v>
      </c>
      <c r="FD45" s="77">
        <f>IF(FD$23&gt;0, Assumptions!$G60, 0)</f>
        <v>9100</v>
      </c>
      <c r="FE45" s="77">
        <f>IF(FE$23&gt;0, Assumptions!$G60, 0)</f>
        <v>9100</v>
      </c>
      <c r="FF45" s="77">
        <f>IF(FF$23&gt;0, Assumptions!$G60, 0)</f>
        <v>9100</v>
      </c>
      <c r="FG45" s="77">
        <f>IF(FG$23&gt;0, Assumptions!$G60, 0)</f>
        <v>9100</v>
      </c>
      <c r="FH45" s="77">
        <f>IF(FH$23&gt;0, Assumptions!$G60, 0)</f>
        <v>9100</v>
      </c>
      <c r="FI45" s="77">
        <f>IF(FI$23&gt;0, Assumptions!$G60, 0)</f>
        <v>9100</v>
      </c>
      <c r="FJ45" s="77">
        <f>IF(FJ$23&gt;0, Assumptions!$G60, 0)</f>
        <v>9100</v>
      </c>
      <c r="FK45" s="77">
        <f>IF(FK$23&gt;0, Assumptions!$G60, 0)</f>
        <v>9100</v>
      </c>
      <c r="FL45" s="77">
        <f>IF(FL$23&gt;0, Assumptions!$G60, 0)</f>
        <v>9100</v>
      </c>
      <c r="FM45" s="77">
        <f>IF(FM$23&gt;0, Assumptions!$G60, 0)</f>
        <v>9100</v>
      </c>
      <c r="FN45" s="77">
        <f>IF(FN$23&gt;0, Assumptions!$G60, 0)</f>
        <v>9100</v>
      </c>
      <c r="FO45" s="77">
        <f>IF(FO$23&gt;0, Assumptions!$G60, 0)</f>
        <v>9100</v>
      </c>
      <c r="FP45" s="77">
        <f>IF(FP$23&gt;0, Assumptions!$G60, 0)</f>
        <v>9100</v>
      </c>
      <c r="FQ45" s="77">
        <f>IF(FQ$23&gt;0, Assumptions!$G60, 0)</f>
        <v>9100</v>
      </c>
      <c r="FR45" s="77">
        <f>IF(FR$23&gt;0, Assumptions!$G60, 0)</f>
        <v>9100</v>
      </c>
      <c r="FS45" s="77">
        <f>IF(FS$23&gt;0, Assumptions!$G60, 0)</f>
        <v>9100</v>
      </c>
      <c r="FT45" s="77">
        <f>IF(FT$23&gt;0, Assumptions!$G60, 0)</f>
        <v>9100</v>
      </c>
      <c r="FU45" s="77">
        <f>IF(FU$23&gt;0, Assumptions!$G60, 0)</f>
        <v>9100</v>
      </c>
      <c r="FV45" s="77">
        <f>IF(FV$23&gt;0, Assumptions!$G60, 0)</f>
        <v>9100</v>
      </c>
      <c r="FW45" s="77">
        <f>IF(FW$23&gt;0, Assumptions!$G60, 0)</f>
        <v>9100</v>
      </c>
      <c r="FX45" s="77">
        <f>IF(FX$23&gt;0, Assumptions!$G60, 0)</f>
        <v>9100</v>
      </c>
      <c r="FY45" s="77">
        <f>IF(FY$23&gt;0, Assumptions!$G60, 0)</f>
        <v>9100</v>
      </c>
      <c r="FZ45" s="77">
        <f>IF(FZ$23&gt;0, Assumptions!$G60, 0)</f>
        <v>9100</v>
      </c>
      <c r="GA45" s="77">
        <f>IF(GA$23&gt;0, Assumptions!$G60, 0)</f>
        <v>9100</v>
      </c>
      <c r="GB45" s="77">
        <f>IF(GB$23&gt;0, Assumptions!$G60, 0)</f>
        <v>9100</v>
      </c>
      <c r="GC45" s="77">
        <f>IF(GC$23&gt;0, Assumptions!$G60, 0)</f>
        <v>9100</v>
      </c>
    </row>
    <row r="46" spans="1:185">
      <c r="A46" s="80"/>
      <c r="B46" s="80" t="s">
        <v>94</v>
      </c>
      <c r="C46" s="80"/>
      <c r="D46" s="80"/>
      <c r="E46" s="82">
        <f t="shared" ref="E46:E50" si="26">SUM(F46:GC46)</f>
        <v>1574300</v>
      </c>
      <c r="F46" s="77">
        <f>IF(F$23&gt;0, Assumptions!$G61, 0)</f>
        <v>0</v>
      </c>
      <c r="G46" s="77">
        <f>IF(G$23&gt;0, Assumptions!$G61, 0)</f>
        <v>0</v>
      </c>
      <c r="H46" s="77">
        <f>IF(H$23&gt;0, Assumptions!$G61, 0)</f>
        <v>0</v>
      </c>
      <c r="I46" s="77">
        <f>IF(I$23&gt;0, Assumptions!$G61, 0)</f>
        <v>0</v>
      </c>
      <c r="J46" s="77">
        <f>IF(J$23&gt;0, Assumptions!$G61, 0)</f>
        <v>0</v>
      </c>
      <c r="K46" s="77">
        <f>IF(K$23&gt;0, Assumptions!$G61, 0)</f>
        <v>0</v>
      </c>
      <c r="L46" s="77">
        <f>IF(L$23&gt;0, Assumptions!$G61, 0)</f>
        <v>0</v>
      </c>
      <c r="M46" s="77">
        <f>IF(M$23&gt;0, Assumptions!$G61, 0)</f>
        <v>9100</v>
      </c>
      <c r="N46" s="77">
        <f>IF(N$23&gt;0, Assumptions!$G61, 0)</f>
        <v>9100</v>
      </c>
      <c r="O46" s="77">
        <f>IF(O$23&gt;0, Assumptions!$G61, 0)</f>
        <v>9100</v>
      </c>
      <c r="P46" s="77">
        <f>IF(P$23&gt;0, Assumptions!$G61, 0)</f>
        <v>9100</v>
      </c>
      <c r="Q46" s="77">
        <f>IF(Q$23&gt;0, Assumptions!$G61, 0)</f>
        <v>9100</v>
      </c>
      <c r="R46" s="77">
        <f>IF(R$23&gt;0, Assumptions!$G61, 0)</f>
        <v>9100</v>
      </c>
      <c r="S46" s="77">
        <f>IF(S$23&gt;0, Assumptions!$G61, 0)</f>
        <v>9100</v>
      </c>
      <c r="T46" s="77">
        <f>IF(T$23&gt;0, Assumptions!$G61, 0)</f>
        <v>9100</v>
      </c>
      <c r="U46" s="77">
        <f>IF(U$23&gt;0, Assumptions!$G61, 0)</f>
        <v>9100</v>
      </c>
      <c r="V46" s="77">
        <f>IF(V$23&gt;0, Assumptions!$G61, 0)</f>
        <v>9100</v>
      </c>
      <c r="W46" s="77">
        <f>IF(W$23&gt;0, Assumptions!$G61, 0)</f>
        <v>9100</v>
      </c>
      <c r="X46" s="77">
        <f>IF(X$23&gt;0, Assumptions!$G61, 0)</f>
        <v>9100</v>
      </c>
      <c r="Y46" s="77">
        <f>IF(Y$23&gt;0, Assumptions!$G61, 0)</f>
        <v>9100</v>
      </c>
      <c r="Z46" s="77">
        <f>IF(Z$23&gt;0, Assumptions!$G61, 0)</f>
        <v>9100</v>
      </c>
      <c r="AA46" s="77">
        <f>IF(AA$23&gt;0, Assumptions!$G61, 0)</f>
        <v>9100</v>
      </c>
      <c r="AB46" s="77">
        <f>IF(AB$23&gt;0, Assumptions!$G61, 0)</f>
        <v>9100</v>
      </c>
      <c r="AC46" s="77">
        <f>IF(AC$23&gt;0, Assumptions!$G61, 0)</f>
        <v>9100</v>
      </c>
      <c r="AD46" s="77">
        <f>IF(AD$23&gt;0, Assumptions!$G61, 0)</f>
        <v>9100</v>
      </c>
      <c r="AE46" s="77">
        <f>IF(AE$23&gt;0, Assumptions!$G61, 0)</f>
        <v>9100</v>
      </c>
      <c r="AF46" s="77">
        <f>IF(AF$23&gt;0, Assumptions!$G61, 0)</f>
        <v>9100</v>
      </c>
      <c r="AG46" s="77">
        <f>IF(AG$23&gt;0, Assumptions!$G61, 0)</f>
        <v>9100</v>
      </c>
      <c r="AH46" s="77">
        <f>IF(AH$23&gt;0, Assumptions!$G61, 0)</f>
        <v>9100</v>
      </c>
      <c r="AI46" s="77">
        <f>IF(AI$23&gt;0, Assumptions!$G61, 0)</f>
        <v>9100</v>
      </c>
      <c r="AJ46" s="77">
        <f>IF(AJ$23&gt;0, Assumptions!$G61, 0)</f>
        <v>9100</v>
      </c>
      <c r="AK46" s="77">
        <f>IF(AK$23&gt;0, Assumptions!$G61, 0)</f>
        <v>9100</v>
      </c>
      <c r="AL46" s="77">
        <f>IF(AL$23&gt;0, Assumptions!$G61, 0)</f>
        <v>9100</v>
      </c>
      <c r="AM46" s="77">
        <f>IF(AM$23&gt;0, Assumptions!$G61, 0)</f>
        <v>9100</v>
      </c>
      <c r="AN46" s="77">
        <f>IF(AN$23&gt;0, Assumptions!$G61, 0)</f>
        <v>9100</v>
      </c>
      <c r="AO46" s="77">
        <f>IF(AO$23&gt;0, Assumptions!$G61, 0)</f>
        <v>9100</v>
      </c>
      <c r="AP46" s="77">
        <f>IF(AP$23&gt;0, Assumptions!$G61, 0)</f>
        <v>9100</v>
      </c>
      <c r="AQ46" s="77">
        <f>IF(AQ$23&gt;0, Assumptions!$G61, 0)</f>
        <v>9100</v>
      </c>
      <c r="AR46" s="77">
        <f>IF(AR$23&gt;0, Assumptions!$G61, 0)</f>
        <v>9100</v>
      </c>
      <c r="AS46" s="77">
        <f>IF(AS$23&gt;0, Assumptions!$G61, 0)</f>
        <v>9100</v>
      </c>
      <c r="AT46" s="77">
        <f>IF(AT$23&gt;0, Assumptions!$G61, 0)</f>
        <v>9100</v>
      </c>
      <c r="AU46" s="77">
        <f>IF(AU$23&gt;0, Assumptions!$G61, 0)</f>
        <v>9100</v>
      </c>
      <c r="AV46" s="77">
        <f>IF(AV$23&gt;0, Assumptions!$G61, 0)</f>
        <v>9100</v>
      </c>
      <c r="AW46" s="77">
        <f>IF(AW$23&gt;0, Assumptions!$G61, 0)</f>
        <v>9100</v>
      </c>
      <c r="AX46" s="77">
        <f>IF(AX$23&gt;0, Assumptions!$G61, 0)</f>
        <v>9100</v>
      </c>
      <c r="AY46" s="77">
        <f>IF(AY$23&gt;0, Assumptions!$G61, 0)</f>
        <v>9100</v>
      </c>
      <c r="AZ46" s="77">
        <f>IF(AZ$23&gt;0, Assumptions!$G61, 0)</f>
        <v>9100</v>
      </c>
      <c r="BA46" s="77">
        <f>IF(BA$23&gt;0, Assumptions!$G61, 0)</f>
        <v>9100</v>
      </c>
      <c r="BB46" s="77">
        <f>IF(BB$23&gt;0, Assumptions!$G61, 0)</f>
        <v>9100</v>
      </c>
      <c r="BC46" s="77">
        <f>IF(BC$23&gt;0, Assumptions!$G61, 0)</f>
        <v>9100</v>
      </c>
      <c r="BD46" s="77">
        <f>IF(BD$23&gt;0, Assumptions!$G61, 0)</f>
        <v>9100</v>
      </c>
      <c r="BE46" s="77">
        <f>IF(BE$23&gt;0, Assumptions!$G61, 0)</f>
        <v>9100</v>
      </c>
      <c r="BF46" s="77">
        <f>IF(BF$23&gt;0, Assumptions!$G61, 0)</f>
        <v>9100</v>
      </c>
      <c r="BG46" s="77">
        <f>IF(BG$23&gt;0, Assumptions!$G61, 0)</f>
        <v>9100</v>
      </c>
      <c r="BH46" s="77">
        <f>IF(BH$23&gt;0, Assumptions!$G61, 0)</f>
        <v>9100</v>
      </c>
      <c r="BI46" s="77">
        <f>IF(BI$23&gt;0, Assumptions!$G61, 0)</f>
        <v>9100</v>
      </c>
      <c r="BJ46" s="77">
        <f>IF(BJ$23&gt;0, Assumptions!$G61, 0)</f>
        <v>9100</v>
      </c>
      <c r="BK46" s="77">
        <f>IF(BK$23&gt;0, Assumptions!$G61, 0)</f>
        <v>9100</v>
      </c>
      <c r="BL46" s="77">
        <f>IF(BL$23&gt;0, Assumptions!$G61, 0)</f>
        <v>9100</v>
      </c>
      <c r="BM46" s="77">
        <f>IF(BM$23&gt;0, Assumptions!$G61, 0)</f>
        <v>9100</v>
      </c>
      <c r="BN46" s="77">
        <f>IF(BN$23&gt;0, Assumptions!$G61, 0)</f>
        <v>9100</v>
      </c>
      <c r="BO46" s="77">
        <f>IF(BO$23&gt;0, Assumptions!$G61, 0)</f>
        <v>9100</v>
      </c>
      <c r="BP46" s="77">
        <f>IF(BP$23&gt;0, Assumptions!$G61, 0)</f>
        <v>9100</v>
      </c>
      <c r="BQ46" s="77">
        <f>IF(BQ$23&gt;0, Assumptions!$G61, 0)</f>
        <v>9100</v>
      </c>
      <c r="BR46" s="77">
        <f>IF(BR$23&gt;0, Assumptions!$G61, 0)</f>
        <v>9100</v>
      </c>
      <c r="BS46" s="77">
        <f>IF(BS$23&gt;0, Assumptions!$G61, 0)</f>
        <v>9100</v>
      </c>
      <c r="BT46" s="77">
        <f>IF(BT$23&gt;0, Assumptions!$G61, 0)</f>
        <v>9100</v>
      </c>
      <c r="BU46" s="77">
        <f>IF(BU$23&gt;0, Assumptions!$G61, 0)</f>
        <v>9100</v>
      </c>
      <c r="BV46" s="77">
        <f>IF(BV$23&gt;0, Assumptions!$G61, 0)</f>
        <v>9100</v>
      </c>
      <c r="BW46" s="77">
        <f>IF(BW$23&gt;0, Assumptions!$G61, 0)</f>
        <v>9100</v>
      </c>
      <c r="BX46" s="77">
        <f>IF(BX$23&gt;0, Assumptions!$G61, 0)</f>
        <v>9100</v>
      </c>
      <c r="BY46" s="77">
        <f>IF(BY$23&gt;0, Assumptions!$G61, 0)</f>
        <v>9100</v>
      </c>
      <c r="BZ46" s="77">
        <f>IF(BZ$23&gt;0, Assumptions!$G61, 0)</f>
        <v>9100</v>
      </c>
      <c r="CA46" s="77">
        <f>IF(CA$23&gt;0, Assumptions!$G61, 0)</f>
        <v>9100</v>
      </c>
      <c r="CB46" s="77">
        <f>IF(CB$23&gt;0, Assumptions!$G61, 0)</f>
        <v>9100</v>
      </c>
      <c r="CC46" s="77">
        <f>IF(CC$23&gt;0, Assumptions!$G61, 0)</f>
        <v>9100</v>
      </c>
      <c r="CD46" s="77">
        <f>IF(CD$23&gt;0, Assumptions!$G61, 0)</f>
        <v>9100</v>
      </c>
      <c r="CE46" s="77">
        <f>IF(CE$23&gt;0, Assumptions!$G61, 0)</f>
        <v>9100</v>
      </c>
      <c r="CF46" s="77">
        <f>IF(CF$23&gt;0, Assumptions!$G61, 0)</f>
        <v>9100</v>
      </c>
      <c r="CG46" s="77">
        <f>IF(CG$23&gt;0, Assumptions!$G61, 0)</f>
        <v>9100</v>
      </c>
      <c r="CH46" s="77">
        <f>IF(CH$23&gt;0, Assumptions!$G61, 0)</f>
        <v>9100</v>
      </c>
      <c r="CI46" s="77">
        <f>IF(CI$23&gt;0, Assumptions!$G61, 0)</f>
        <v>9100</v>
      </c>
      <c r="CJ46" s="77">
        <f>IF(CJ$23&gt;0, Assumptions!$G61, 0)</f>
        <v>9100</v>
      </c>
      <c r="CK46" s="77">
        <f>IF(CK$23&gt;0, Assumptions!$G61, 0)</f>
        <v>9100</v>
      </c>
      <c r="CL46" s="77">
        <f>IF(CL$23&gt;0, Assumptions!$G61, 0)</f>
        <v>9100</v>
      </c>
      <c r="CM46" s="77">
        <f>IF(CM$23&gt;0, Assumptions!$G61, 0)</f>
        <v>9100</v>
      </c>
      <c r="CN46" s="77">
        <f>IF(CN$23&gt;0, Assumptions!$G61, 0)</f>
        <v>9100</v>
      </c>
      <c r="CO46" s="77">
        <f>IF(CO$23&gt;0, Assumptions!$G61, 0)</f>
        <v>9100</v>
      </c>
      <c r="CP46" s="77">
        <f>IF(CP$23&gt;0, Assumptions!$G61, 0)</f>
        <v>9100</v>
      </c>
      <c r="CQ46" s="77">
        <f>IF(CQ$23&gt;0, Assumptions!$G61, 0)</f>
        <v>9100</v>
      </c>
      <c r="CR46" s="77">
        <f>IF(CR$23&gt;0, Assumptions!$G61, 0)</f>
        <v>9100</v>
      </c>
      <c r="CS46" s="77">
        <f>IF(CS$23&gt;0, Assumptions!$G61, 0)</f>
        <v>9100</v>
      </c>
      <c r="CT46" s="77">
        <f>IF(CT$23&gt;0, Assumptions!$G61, 0)</f>
        <v>9100</v>
      </c>
      <c r="CU46" s="77">
        <f>IF(CU$23&gt;0, Assumptions!$G61, 0)</f>
        <v>9100</v>
      </c>
      <c r="CV46" s="77">
        <f>IF(CV$23&gt;0, Assumptions!$G61, 0)</f>
        <v>9100</v>
      </c>
      <c r="CW46" s="77">
        <f>IF(CW$23&gt;0, Assumptions!$G61, 0)</f>
        <v>9100</v>
      </c>
      <c r="CX46" s="77">
        <f>IF(CX$23&gt;0, Assumptions!$G61, 0)</f>
        <v>9100</v>
      </c>
      <c r="CY46" s="77">
        <f>IF(CY$23&gt;0, Assumptions!$G61, 0)</f>
        <v>9100</v>
      </c>
      <c r="CZ46" s="77">
        <f>IF(CZ$23&gt;0, Assumptions!$G61, 0)</f>
        <v>9100</v>
      </c>
      <c r="DA46" s="77">
        <f>IF(DA$23&gt;0, Assumptions!$G61, 0)</f>
        <v>9100</v>
      </c>
      <c r="DB46" s="77">
        <f>IF(DB$23&gt;0, Assumptions!$G61, 0)</f>
        <v>9100</v>
      </c>
      <c r="DC46" s="77">
        <f>IF(DC$23&gt;0, Assumptions!$G61, 0)</f>
        <v>9100</v>
      </c>
      <c r="DD46" s="77">
        <f>IF(DD$23&gt;0, Assumptions!$G61, 0)</f>
        <v>9100</v>
      </c>
      <c r="DE46" s="77">
        <f>IF(DE$23&gt;0, Assumptions!$G61, 0)</f>
        <v>9100</v>
      </c>
      <c r="DF46" s="77">
        <f>IF(DF$23&gt;0, Assumptions!$G61, 0)</f>
        <v>9100</v>
      </c>
      <c r="DG46" s="77">
        <f>IF(DG$23&gt;0, Assumptions!$G61, 0)</f>
        <v>9100</v>
      </c>
      <c r="DH46" s="77">
        <f>IF(DH$23&gt;0, Assumptions!$G61, 0)</f>
        <v>9100</v>
      </c>
      <c r="DI46" s="77">
        <f>IF(DI$23&gt;0, Assumptions!$G61, 0)</f>
        <v>9100</v>
      </c>
      <c r="DJ46" s="77">
        <f>IF(DJ$23&gt;0, Assumptions!$G61, 0)</f>
        <v>9100</v>
      </c>
      <c r="DK46" s="77">
        <f>IF(DK$23&gt;0, Assumptions!$G61, 0)</f>
        <v>9100</v>
      </c>
      <c r="DL46" s="77">
        <f>IF(DL$23&gt;0, Assumptions!$G61, 0)</f>
        <v>9100</v>
      </c>
      <c r="DM46" s="77">
        <f>IF(DM$23&gt;0, Assumptions!$G61, 0)</f>
        <v>9100</v>
      </c>
      <c r="DN46" s="77">
        <f>IF(DN$23&gt;0, Assumptions!$G61, 0)</f>
        <v>9100</v>
      </c>
      <c r="DO46" s="77">
        <f>IF(DO$23&gt;0, Assumptions!$G61, 0)</f>
        <v>9100</v>
      </c>
      <c r="DP46" s="77">
        <f>IF(DP$23&gt;0, Assumptions!$G61, 0)</f>
        <v>9100</v>
      </c>
      <c r="DQ46" s="77">
        <f>IF(DQ$23&gt;0, Assumptions!$G61, 0)</f>
        <v>9100</v>
      </c>
      <c r="DR46" s="77">
        <f>IF(DR$23&gt;0, Assumptions!$G61, 0)</f>
        <v>9100</v>
      </c>
      <c r="DS46" s="77">
        <f>IF(DS$23&gt;0, Assumptions!$G61, 0)</f>
        <v>9100</v>
      </c>
      <c r="DT46" s="77">
        <f>IF(DT$23&gt;0, Assumptions!$G61, 0)</f>
        <v>9100</v>
      </c>
      <c r="DU46" s="77">
        <f>IF(DU$23&gt;0, Assumptions!$G61, 0)</f>
        <v>9100</v>
      </c>
      <c r="DV46" s="77">
        <f>IF(DV$23&gt;0, Assumptions!$G61, 0)</f>
        <v>9100</v>
      </c>
      <c r="DW46" s="77">
        <f>IF(DW$23&gt;0, Assumptions!$G61, 0)</f>
        <v>9100</v>
      </c>
      <c r="DX46" s="77">
        <f>IF(DX$23&gt;0, Assumptions!$G61, 0)</f>
        <v>9100</v>
      </c>
      <c r="DY46" s="77">
        <f>IF(DY$23&gt;0, Assumptions!$G61, 0)</f>
        <v>9100</v>
      </c>
      <c r="DZ46" s="77">
        <f>IF(DZ$23&gt;0, Assumptions!$G61, 0)</f>
        <v>9100</v>
      </c>
      <c r="EA46" s="77">
        <f>IF(EA$23&gt;0, Assumptions!$G61, 0)</f>
        <v>9100</v>
      </c>
      <c r="EB46" s="77">
        <f>IF(EB$23&gt;0, Assumptions!$G61, 0)</f>
        <v>9100</v>
      </c>
      <c r="EC46" s="77">
        <f>IF(EC$23&gt;0, Assumptions!$G61, 0)</f>
        <v>9100</v>
      </c>
      <c r="ED46" s="77">
        <f>IF(ED$23&gt;0, Assumptions!$G61, 0)</f>
        <v>9100</v>
      </c>
      <c r="EE46" s="77">
        <f>IF(EE$23&gt;0, Assumptions!$G61, 0)</f>
        <v>9100</v>
      </c>
      <c r="EF46" s="77">
        <f>IF(EF$23&gt;0, Assumptions!$G61, 0)</f>
        <v>9100</v>
      </c>
      <c r="EG46" s="77">
        <f>IF(EG$23&gt;0, Assumptions!$G61, 0)</f>
        <v>9100</v>
      </c>
      <c r="EH46" s="77">
        <f>IF(EH$23&gt;0, Assumptions!$G61, 0)</f>
        <v>9100</v>
      </c>
      <c r="EI46" s="77">
        <f>IF(EI$23&gt;0, Assumptions!$G61, 0)</f>
        <v>9100</v>
      </c>
      <c r="EJ46" s="77">
        <f>IF(EJ$23&gt;0, Assumptions!$G61, 0)</f>
        <v>9100</v>
      </c>
      <c r="EK46" s="77">
        <f>IF(EK$23&gt;0, Assumptions!$G61, 0)</f>
        <v>9100</v>
      </c>
      <c r="EL46" s="77">
        <f>IF(EL$23&gt;0, Assumptions!$G61, 0)</f>
        <v>9100</v>
      </c>
      <c r="EM46" s="77">
        <f>IF(EM$23&gt;0, Assumptions!$G61, 0)</f>
        <v>9100</v>
      </c>
      <c r="EN46" s="77">
        <f>IF(EN$23&gt;0, Assumptions!$G61, 0)</f>
        <v>9100</v>
      </c>
      <c r="EO46" s="77">
        <f>IF(EO$23&gt;0, Assumptions!$G61, 0)</f>
        <v>9100</v>
      </c>
      <c r="EP46" s="77">
        <f>IF(EP$23&gt;0, Assumptions!$G61, 0)</f>
        <v>9100</v>
      </c>
      <c r="EQ46" s="77">
        <f>IF(EQ$23&gt;0, Assumptions!$G61, 0)</f>
        <v>9100</v>
      </c>
      <c r="ER46" s="77">
        <f>IF(ER$23&gt;0, Assumptions!$G61, 0)</f>
        <v>9100</v>
      </c>
      <c r="ES46" s="77">
        <f>IF(ES$23&gt;0, Assumptions!$G61, 0)</f>
        <v>9100</v>
      </c>
      <c r="ET46" s="77">
        <f>IF(ET$23&gt;0, Assumptions!$G61, 0)</f>
        <v>9100</v>
      </c>
      <c r="EU46" s="77">
        <f>IF(EU$23&gt;0, Assumptions!$G61, 0)</f>
        <v>9100</v>
      </c>
      <c r="EV46" s="77">
        <f>IF(EV$23&gt;0, Assumptions!$G61, 0)</f>
        <v>9100</v>
      </c>
      <c r="EW46" s="77">
        <f>IF(EW$23&gt;0, Assumptions!$G61, 0)</f>
        <v>9100</v>
      </c>
      <c r="EX46" s="77">
        <f>IF(EX$23&gt;0, Assumptions!$G61, 0)</f>
        <v>9100</v>
      </c>
      <c r="EY46" s="77">
        <f>IF(EY$23&gt;0, Assumptions!$G61, 0)</f>
        <v>9100</v>
      </c>
      <c r="EZ46" s="77">
        <f>IF(EZ$23&gt;0, Assumptions!$G61, 0)</f>
        <v>9100</v>
      </c>
      <c r="FA46" s="77">
        <f>IF(FA$23&gt;0, Assumptions!$G61, 0)</f>
        <v>9100</v>
      </c>
      <c r="FB46" s="77">
        <f>IF(FB$23&gt;0, Assumptions!$G61, 0)</f>
        <v>9100</v>
      </c>
      <c r="FC46" s="77">
        <f>IF(FC$23&gt;0, Assumptions!$G61, 0)</f>
        <v>9100</v>
      </c>
      <c r="FD46" s="77">
        <f>IF(FD$23&gt;0, Assumptions!$G61, 0)</f>
        <v>9100</v>
      </c>
      <c r="FE46" s="77">
        <f>IF(FE$23&gt;0, Assumptions!$G61, 0)</f>
        <v>9100</v>
      </c>
      <c r="FF46" s="77">
        <f>IF(FF$23&gt;0, Assumptions!$G61, 0)</f>
        <v>9100</v>
      </c>
      <c r="FG46" s="77">
        <f>IF(FG$23&gt;0, Assumptions!$G61, 0)</f>
        <v>9100</v>
      </c>
      <c r="FH46" s="77">
        <f>IF(FH$23&gt;0, Assumptions!$G61, 0)</f>
        <v>9100</v>
      </c>
      <c r="FI46" s="77">
        <f>IF(FI$23&gt;0, Assumptions!$G61, 0)</f>
        <v>9100</v>
      </c>
      <c r="FJ46" s="77">
        <f>IF(FJ$23&gt;0, Assumptions!$G61, 0)</f>
        <v>9100</v>
      </c>
      <c r="FK46" s="77">
        <f>IF(FK$23&gt;0, Assumptions!$G61, 0)</f>
        <v>9100</v>
      </c>
      <c r="FL46" s="77">
        <f>IF(FL$23&gt;0, Assumptions!$G61, 0)</f>
        <v>9100</v>
      </c>
      <c r="FM46" s="77">
        <f>IF(FM$23&gt;0, Assumptions!$G61, 0)</f>
        <v>9100</v>
      </c>
      <c r="FN46" s="77">
        <f>IF(FN$23&gt;0, Assumptions!$G61, 0)</f>
        <v>9100</v>
      </c>
      <c r="FO46" s="77">
        <f>IF(FO$23&gt;0, Assumptions!$G61, 0)</f>
        <v>9100</v>
      </c>
      <c r="FP46" s="77">
        <f>IF(FP$23&gt;0, Assumptions!$G61, 0)</f>
        <v>9100</v>
      </c>
      <c r="FQ46" s="77">
        <f>IF(FQ$23&gt;0, Assumptions!$G61, 0)</f>
        <v>9100</v>
      </c>
      <c r="FR46" s="77">
        <f>IF(FR$23&gt;0, Assumptions!$G61, 0)</f>
        <v>9100</v>
      </c>
      <c r="FS46" s="77">
        <f>IF(FS$23&gt;0, Assumptions!$G61, 0)</f>
        <v>9100</v>
      </c>
      <c r="FT46" s="77">
        <f>IF(FT$23&gt;0, Assumptions!$G61, 0)</f>
        <v>9100</v>
      </c>
      <c r="FU46" s="77">
        <f>IF(FU$23&gt;0, Assumptions!$G61, 0)</f>
        <v>9100</v>
      </c>
      <c r="FV46" s="77">
        <f>IF(FV$23&gt;0, Assumptions!$G61, 0)</f>
        <v>9100</v>
      </c>
      <c r="FW46" s="77">
        <f>IF(FW$23&gt;0, Assumptions!$G61, 0)</f>
        <v>9100</v>
      </c>
      <c r="FX46" s="77">
        <f>IF(FX$23&gt;0, Assumptions!$G61, 0)</f>
        <v>9100</v>
      </c>
      <c r="FY46" s="77">
        <f>IF(FY$23&gt;0, Assumptions!$G61, 0)</f>
        <v>9100</v>
      </c>
      <c r="FZ46" s="77">
        <f>IF(FZ$23&gt;0, Assumptions!$G61, 0)</f>
        <v>9100</v>
      </c>
      <c r="GA46" s="77">
        <f>IF(GA$23&gt;0, Assumptions!$G61, 0)</f>
        <v>9100</v>
      </c>
      <c r="GB46" s="77">
        <f>IF(GB$23&gt;0, Assumptions!$G61, 0)</f>
        <v>9100</v>
      </c>
      <c r="GC46" s="77">
        <f>IF(GC$23&gt;0, Assumptions!$G61, 0)</f>
        <v>9100</v>
      </c>
    </row>
    <row r="47" spans="1:185">
      <c r="A47" s="80"/>
      <c r="B47" s="80" t="s">
        <v>95</v>
      </c>
      <c r="C47" s="80"/>
      <c r="D47" s="80"/>
      <c r="E47" s="82">
        <f t="shared" si="26"/>
        <v>1574300</v>
      </c>
      <c r="F47" s="77">
        <f>IF(F$23&gt;0, Assumptions!$G62, 0)</f>
        <v>0</v>
      </c>
      <c r="G47" s="77">
        <f>IF(G$23&gt;0, Assumptions!$G62, 0)</f>
        <v>0</v>
      </c>
      <c r="H47" s="77">
        <f>IF(H$23&gt;0, Assumptions!$G62, 0)</f>
        <v>0</v>
      </c>
      <c r="I47" s="77">
        <f>IF(I$23&gt;0, Assumptions!$G62, 0)</f>
        <v>0</v>
      </c>
      <c r="J47" s="77">
        <f>IF(J$23&gt;0, Assumptions!$G62, 0)</f>
        <v>0</v>
      </c>
      <c r="K47" s="77">
        <f>IF(K$23&gt;0, Assumptions!$G62, 0)</f>
        <v>0</v>
      </c>
      <c r="L47" s="77">
        <f>IF(L$23&gt;0, Assumptions!$G62, 0)</f>
        <v>0</v>
      </c>
      <c r="M47" s="77">
        <f>IF(M$23&gt;0, Assumptions!$G62, 0)</f>
        <v>9100</v>
      </c>
      <c r="N47" s="77">
        <f>IF(N$23&gt;0, Assumptions!$G62, 0)</f>
        <v>9100</v>
      </c>
      <c r="O47" s="77">
        <f>IF(O$23&gt;0, Assumptions!$G62, 0)</f>
        <v>9100</v>
      </c>
      <c r="P47" s="77">
        <f>IF(P$23&gt;0, Assumptions!$G62, 0)</f>
        <v>9100</v>
      </c>
      <c r="Q47" s="77">
        <f>IF(Q$23&gt;0, Assumptions!$G62, 0)</f>
        <v>9100</v>
      </c>
      <c r="R47" s="77">
        <f>IF(R$23&gt;0, Assumptions!$G62, 0)</f>
        <v>9100</v>
      </c>
      <c r="S47" s="77">
        <f>IF(S$23&gt;0, Assumptions!$G62, 0)</f>
        <v>9100</v>
      </c>
      <c r="T47" s="77">
        <f>IF(T$23&gt;0, Assumptions!$G62, 0)</f>
        <v>9100</v>
      </c>
      <c r="U47" s="77">
        <f>IF(U$23&gt;0, Assumptions!$G62, 0)</f>
        <v>9100</v>
      </c>
      <c r="V47" s="77">
        <f>IF(V$23&gt;0, Assumptions!$G62, 0)</f>
        <v>9100</v>
      </c>
      <c r="W47" s="77">
        <f>IF(W$23&gt;0, Assumptions!$G62, 0)</f>
        <v>9100</v>
      </c>
      <c r="X47" s="77">
        <f>IF(X$23&gt;0, Assumptions!$G62, 0)</f>
        <v>9100</v>
      </c>
      <c r="Y47" s="77">
        <f>IF(Y$23&gt;0, Assumptions!$G62, 0)</f>
        <v>9100</v>
      </c>
      <c r="Z47" s="77">
        <f>IF(Z$23&gt;0, Assumptions!$G62, 0)</f>
        <v>9100</v>
      </c>
      <c r="AA47" s="77">
        <f>IF(AA$23&gt;0, Assumptions!$G62, 0)</f>
        <v>9100</v>
      </c>
      <c r="AB47" s="77">
        <f>IF(AB$23&gt;0, Assumptions!$G62, 0)</f>
        <v>9100</v>
      </c>
      <c r="AC47" s="77">
        <f>IF(AC$23&gt;0, Assumptions!$G62, 0)</f>
        <v>9100</v>
      </c>
      <c r="AD47" s="77">
        <f>IF(AD$23&gt;0, Assumptions!$G62, 0)</f>
        <v>9100</v>
      </c>
      <c r="AE47" s="77">
        <f>IF(AE$23&gt;0, Assumptions!$G62, 0)</f>
        <v>9100</v>
      </c>
      <c r="AF47" s="77">
        <f>IF(AF$23&gt;0, Assumptions!$G62, 0)</f>
        <v>9100</v>
      </c>
      <c r="AG47" s="77">
        <f>IF(AG$23&gt;0, Assumptions!$G62, 0)</f>
        <v>9100</v>
      </c>
      <c r="AH47" s="77">
        <f>IF(AH$23&gt;0, Assumptions!$G62, 0)</f>
        <v>9100</v>
      </c>
      <c r="AI47" s="77">
        <f>IF(AI$23&gt;0, Assumptions!$G62, 0)</f>
        <v>9100</v>
      </c>
      <c r="AJ47" s="77">
        <f>IF(AJ$23&gt;0, Assumptions!$G62, 0)</f>
        <v>9100</v>
      </c>
      <c r="AK47" s="77">
        <f>IF(AK$23&gt;0, Assumptions!$G62, 0)</f>
        <v>9100</v>
      </c>
      <c r="AL47" s="77">
        <f>IF(AL$23&gt;0, Assumptions!$G62, 0)</f>
        <v>9100</v>
      </c>
      <c r="AM47" s="77">
        <f>IF(AM$23&gt;0, Assumptions!$G62, 0)</f>
        <v>9100</v>
      </c>
      <c r="AN47" s="77">
        <f>IF(AN$23&gt;0, Assumptions!$G62, 0)</f>
        <v>9100</v>
      </c>
      <c r="AO47" s="77">
        <f>IF(AO$23&gt;0, Assumptions!$G62, 0)</f>
        <v>9100</v>
      </c>
      <c r="AP47" s="77">
        <f>IF(AP$23&gt;0, Assumptions!$G62, 0)</f>
        <v>9100</v>
      </c>
      <c r="AQ47" s="77">
        <f>IF(AQ$23&gt;0, Assumptions!$G62, 0)</f>
        <v>9100</v>
      </c>
      <c r="AR47" s="77">
        <f>IF(AR$23&gt;0, Assumptions!$G62, 0)</f>
        <v>9100</v>
      </c>
      <c r="AS47" s="77">
        <f>IF(AS$23&gt;0, Assumptions!$G62, 0)</f>
        <v>9100</v>
      </c>
      <c r="AT47" s="77">
        <f>IF(AT$23&gt;0, Assumptions!$G62, 0)</f>
        <v>9100</v>
      </c>
      <c r="AU47" s="77">
        <f>IF(AU$23&gt;0, Assumptions!$G62, 0)</f>
        <v>9100</v>
      </c>
      <c r="AV47" s="77">
        <f>IF(AV$23&gt;0, Assumptions!$G62, 0)</f>
        <v>9100</v>
      </c>
      <c r="AW47" s="77">
        <f>IF(AW$23&gt;0, Assumptions!$G62, 0)</f>
        <v>9100</v>
      </c>
      <c r="AX47" s="77">
        <f>IF(AX$23&gt;0, Assumptions!$G62, 0)</f>
        <v>9100</v>
      </c>
      <c r="AY47" s="77">
        <f>IF(AY$23&gt;0, Assumptions!$G62, 0)</f>
        <v>9100</v>
      </c>
      <c r="AZ47" s="77">
        <f>IF(AZ$23&gt;0, Assumptions!$G62, 0)</f>
        <v>9100</v>
      </c>
      <c r="BA47" s="77">
        <f>IF(BA$23&gt;0, Assumptions!$G62, 0)</f>
        <v>9100</v>
      </c>
      <c r="BB47" s="77">
        <f>IF(BB$23&gt;0, Assumptions!$G62, 0)</f>
        <v>9100</v>
      </c>
      <c r="BC47" s="77">
        <f>IF(BC$23&gt;0, Assumptions!$G62, 0)</f>
        <v>9100</v>
      </c>
      <c r="BD47" s="77">
        <f>IF(BD$23&gt;0, Assumptions!$G62, 0)</f>
        <v>9100</v>
      </c>
      <c r="BE47" s="77">
        <f>IF(BE$23&gt;0, Assumptions!$G62, 0)</f>
        <v>9100</v>
      </c>
      <c r="BF47" s="77">
        <f>IF(BF$23&gt;0, Assumptions!$G62, 0)</f>
        <v>9100</v>
      </c>
      <c r="BG47" s="77">
        <f>IF(BG$23&gt;0, Assumptions!$G62, 0)</f>
        <v>9100</v>
      </c>
      <c r="BH47" s="77">
        <f>IF(BH$23&gt;0, Assumptions!$G62, 0)</f>
        <v>9100</v>
      </c>
      <c r="BI47" s="77">
        <f>IF(BI$23&gt;0, Assumptions!$G62, 0)</f>
        <v>9100</v>
      </c>
      <c r="BJ47" s="77">
        <f>IF(BJ$23&gt;0, Assumptions!$G62, 0)</f>
        <v>9100</v>
      </c>
      <c r="BK47" s="77">
        <f>IF(BK$23&gt;0, Assumptions!$G62, 0)</f>
        <v>9100</v>
      </c>
      <c r="BL47" s="77">
        <f>IF(BL$23&gt;0, Assumptions!$G62, 0)</f>
        <v>9100</v>
      </c>
      <c r="BM47" s="77">
        <f>IF(BM$23&gt;0, Assumptions!$G62, 0)</f>
        <v>9100</v>
      </c>
      <c r="BN47" s="77">
        <f>IF(BN$23&gt;0, Assumptions!$G62, 0)</f>
        <v>9100</v>
      </c>
      <c r="BO47" s="77">
        <f>IF(BO$23&gt;0, Assumptions!$G62, 0)</f>
        <v>9100</v>
      </c>
      <c r="BP47" s="77">
        <f>IF(BP$23&gt;0, Assumptions!$G62, 0)</f>
        <v>9100</v>
      </c>
      <c r="BQ47" s="77">
        <f>IF(BQ$23&gt;0, Assumptions!$G62, 0)</f>
        <v>9100</v>
      </c>
      <c r="BR47" s="77">
        <f>IF(BR$23&gt;0, Assumptions!$G62, 0)</f>
        <v>9100</v>
      </c>
      <c r="BS47" s="77">
        <f>IF(BS$23&gt;0, Assumptions!$G62, 0)</f>
        <v>9100</v>
      </c>
      <c r="BT47" s="77">
        <f>IF(BT$23&gt;0, Assumptions!$G62, 0)</f>
        <v>9100</v>
      </c>
      <c r="BU47" s="77">
        <f>IF(BU$23&gt;0, Assumptions!$G62, 0)</f>
        <v>9100</v>
      </c>
      <c r="BV47" s="77">
        <f>IF(BV$23&gt;0, Assumptions!$G62, 0)</f>
        <v>9100</v>
      </c>
      <c r="BW47" s="77">
        <f>IF(BW$23&gt;0, Assumptions!$G62, 0)</f>
        <v>9100</v>
      </c>
      <c r="BX47" s="77">
        <f>IF(BX$23&gt;0, Assumptions!$G62, 0)</f>
        <v>9100</v>
      </c>
      <c r="BY47" s="77">
        <f>IF(BY$23&gt;0, Assumptions!$G62, 0)</f>
        <v>9100</v>
      </c>
      <c r="BZ47" s="77">
        <f>IF(BZ$23&gt;0, Assumptions!$G62, 0)</f>
        <v>9100</v>
      </c>
      <c r="CA47" s="77">
        <f>IF(CA$23&gt;0, Assumptions!$G62, 0)</f>
        <v>9100</v>
      </c>
      <c r="CB47" s="77">
        <f>IF(CB$23&gt;0, Assumptions!$G62, 0)</f>
        <v>9100</v>
      </c>
      <c r="CC47" s="77">
        <f>IF(CC$23&gt;0, Assumptions!$G62, 0)</f>
        <v>9100</v>
      </c>
      <c r="CD47" s="77">
        <f>IF(CD$23&gt;0, Assumptions!$G62, 0)</f>
        <v>9100</v>
      </c>
      <c r="CE47" s="77">
        <f>IF(CE$23&gt;0, Assumptions!$G62, 0)</f>
        <v>9100</v>
      </c>
      <c r="CF47" s="77">
        <f>IF(CF$23&gt;0, Assumptions!$G62, 0)</f>
        <v>9100</v>
      </c>
      <c r="CG47" s="77">
        <f>IF(CG$23&gt;0, Assumptions!$G62, 0)</f>
        <v>9100</v>
      </c>
      <c r="CH47" s="77">
        <f>IF(CH$23&gt;0, Assumptions!$G62, 0)</f>
        <v>9100</v>
      </c>
      <c r="CI47" s="77">
        <f>IF(CI$23&gt;0, Assumptions!$G62, 0)</f>
        <v>9100</v>
      </c>
      <c r="CJ47" s="77">
        <f>IF(CJ$23&gt;0, Assumptions!$G62, 0)</f>
        <v>9100</v>
      </c>
      <c r="CK47" s="77">
        <f>IF(CK$23&gt;0, Assumptions!$G62, 0)</f>
        <v>9100</v>
      </c>
      <c r="CL47" s="77">
        <f>IF(CL$23&gt;0, Assumptions!$G62, 0)</f>
        <v>9100</v>
      </c>
      <c r="CM47" s="77">
        <f>IF(CM$23&gt;0, Assumptions!$G62, 0)</f>
        <v>9100</v>
      </c>
      <c r="CN47" s="77">
        <f>IF(CN$23&gt;0, Assumptions!$G62, 0)</f>
        <v>9100</v>
      </c>
      <c r="CO47" s="77">
        <f>IF(CO$23&gt;0, Assumptions!$G62, 0)</f>
        <v>9100</v>
      </c>
      <c r="CP47" s="77">
        <f>IF(CP$23&gt;0, Assumptions!$G62, 0)</f>
        <v>9100</v>
      </c>
      <c r="CQ47" s="77">
        <f>IF(CQ$23&gt;0, Assumptions!$G62, 0)</f>
        <v>9100</v>
      </c>
      <c r="CR47" s="77">
        <f>IF(CR$23&gt;0, Assumptions!$G62, 0)</f>
        <v>9100</v>
      </c>
      <c r="CS47" s="77">
        <f>IF(CS$23&gt;0, Assumptions!$G62, 0)</f>
        <v>9100</v>
      </c>
      <c r="CT47" s="77">
        <f>IF(CT$23&gt;0, Assumptions!$G62, 0)</f>
        <v>9100</v>
      </c>
      <c r="CU47" s="77">
        <f>IF(CU$23&gt;0, Assumptions!$G62, 0)</f>
        <v>9100</v>
      </c>
      <c r="CV47" s="77">
        <f>IF(CV$23&gt;0, Assumptions!$G62, 0)</f>
        <v>9100</v>
      </c>
      <c r="CW47" s="77">
        <f>IF(CW$23&gt;0, Assumptions!$G62, 0)</f>
        <v>9100</v>
      </c>
      <c r="CX47" s="77">
        <f>IF(CX$23&gt;0, Assumptions!$G62, 0)</f>
        <v>9100</v>
      </c>
      <c r="CY47" s="77">
        <f>IF(CY$23&gt;0, Assumptions!$G62, 0)</f>
        <v>9100</v>
      </c>
      <c r="CZ47" s="77">
        <f>IF(CZ$23&gt;0, Assumptions!$G62, 0)</f>
        <v>9100</v>
      </c>
      <c r="DA47" s="77">
        <f>IF(DA$23&gt;0, Assumptions!$G62, 0)</f>
        <v>9100</v>
      </c>
      <c r="DB47" s="77">
        <f>IF(DB$23&gt;0, Assumptions!$G62, 0)</f>
        <v>9100</v>
      </c>
      <c r="DC47" s="77">
        <f>IF(DC$23&gt;0, Assumptions!$G62, 0)</f>
        <v>9100</v>
      </c>
      <c r="DD47" s="77">
        <f>IF(DD$23&gt;0, Assumptions!$G62, 0)</f>
        <v>9100</v>
      </c>
      <c r="DE47" s="77">
        <f>IF(DE$23&gt;0, Assumptions!$G62, 0)</f>
        <v>9100</v>
      </c>
      <c r="DF47" s="77">
        <f>IF(DF$23&gt;0, Assumptions!$G62, 0)</f>
        <v>9100</v>
      </c>
      <c r="DG47" s="77">
        <f>IF(DG$23&gt;0, Assumptions!$G62, 0)</f>
        <v>9100</v>
      </c>
      <c r="DH47" s="77">
        <f>IF(DH$23&gt;0, Assumptions!$G62, 0)</f>
        <v>9100</v>
      </c>
      <c r="DI47" s="77">
        <f>IF(DI$23&gt;0, Assumptions!$G62, 0)</f>
        <v>9100</v>
      </c>
      <c r="DJ47" s="77">
        <f>IF(DJ$23&gt;0, Assumptions!$G62, 0)</f>
        <v>9100</v>
      </c>
      <c r="DK47" s="77">
        <f>IF(DK$23&gt;0, Assumptions!$G62, 0)</f>
        <v>9100</v>
      </c>
      <c r="DL47" s="77">
        <f>IF(DL$23&gt;0, Assumptions!$G62, 0)</f>
        <v>9100</v>
      </c>
      <c r="DM47" s="77">
        <f>IF(DM$23&gt;0, Assumptions!$G62, 0)</f>
        <v>9100</v>
      </c>
      <c r="DN47" s="77">
        <f>IF(DN$23&gt;0, Assumptions!$G62, 0)</f>
        <v>9100</v>
      </c>
      <c r="DO47" s="77">
        <f>IF(DO$23&gt;0, Assumptions!$G62, 0)</f>
        <v>9100</v>
      </c>
      <c r="DP47" s="77">
        <f>IF(DP$23&gt;0, Assumptions!$G62, 0)</f>
        <v>9100</v>
      </c>
      <c r="DQ47" s="77">
        <f>IF(DQ$23&gt;0, Assumptions!$G62, 0)</f>
        <v>9100</v>
      </c>
      <c r="DR47" s="77">
        <f>IF(DR$23&gt;0, Assumptions!$G62, 0)</f>
        <v>9100</v>
      </c>
      <c r="DS47" s="77">
        <f>IF(DS$23&gt;0, Assumptions!$G62, 0)</f>
        <v>9100</v>
      </c>
      <c r="DT47" s="77">
        <f>IF(DT$23&gt;0, Assumptions!$G62, 0)</f>
        <v>9100</v>
      </c>
      <c r="DU47" s="77">
        <f>IF(DU$23&gt;0, Assumptions!$G62, 0)</f>
        <v>9100</v>
      </c>
      <c r="DV47" s="77">
        <f>IF(DV$23&gt;0, Assumptions!$G62, 0)</f>
        <v>9100</v>
      </c>
      <c r="DW47" s="77">
        <f>IF(DW$23&gt;0, Assumptions!$G62, 0)</f>
        <v>9100</v>
      </c>
      <c r="DX47" s="77">
        <f>IF(DX$23&gt;0, Assumptions!$G62, 0)</f>
        <v>9100</v>
      </c>
      <c r="DY47" s="77">
        <f>IF(DY$23&gt;0, Assumptions!$G62, 0)</f>
        <v>9100</v>
      </c>
      <c r="DZ47" s="77">
        <f>IF(DZ$23&gt;0, Assumptions!$G62, 0)</f>
        <v>9100</v>
      </c>
      <c r="EA47" s="77">
        <f>IF(EA$23&gt;0, Assumptions!$G62, 0)</f>
        <v>9100</v>
      </c>
      <c r="EB47" s="77">
        <f>IF(EB$23&gt;0, Assumptions!$G62, 0)</f>
        <v>9100</v>
      </c>
      <c r="EC47" s="77">
        <f>IF(EC$23&gt;0, Assumptions!$G62, 0)</f>
        <v>9100</v>
      </c>
      <c r="ED47" s="77">
        <f>IF(ED$23&gt;0, Assumptions!$G62, 0)</f>
        <v>9100</v>
      </c>
      <c r="EE47" s="77">
        <f>IF(EE$23&gt;0, Assumptions!$G62, 0)</f>
        <v>9100</v>
      </c>
      <c r="EF47" s="77">
        <f>IF(EF$23&gt;0, Assumptions!$G62, 0)</f>
        <v>9100</v>
      </c>
      <c r="EG47" s="77">
        <f>IF(EG$23&gt;0, Assumptions!$G62, 0)</f>
        <v>9100</v>
      </c>
      <c r="EH47" s="77">
        <f>IF(EH$23&gt;0, Assumptions!$G62, 0)</f>
        <v>9100</v>
      </c>
      <c r="EI47" s="77">
        <f>IF(EI$23&gt;0, Assumptions!$G62, 0)</f>
        <v>9100</v>
      </c>
      <c r="EJ47" s="77">
        <f>IF(EJ$23&gt;0, Assumptions!$G62, 0)</f>
        <v>9100</v>
      </c>
      <c r="EK47" s="77">
        <f>IF(EK$23&gt;0, Assumptions!$G62, 0)</f>
        <v>9100</v>
      </c>
      <c r="EL47" s="77">
        <f>IF(EL$23&gt;0, Assumptions!$G62, 0)</f>
        <v>9100</v>
      </c>
      <c r="EM47" s="77">
        <f>IF(EM$23&gt;0, Assumptions!$G62, 0)</f>
        <v>9100</v>
      </c>
      <c r="EN47" s="77">
        <f>IF(EN$23&gt;0, Assumptions!$G62, 0)</f>
        <v>9100</v>
      </c>
      <c r="EO47" s="77">
        <f>IF(EO$23&gt;0, Assumptions!$G62, 0)</f>
        <v>9100</v>
      </c>
      <c r="EP47" s="77">
        <f>IF(EP$23&gt;0, Assumptions!$G62, 0)</f>
        <v>9100</v>
      </c>
      <c r="EQ47" s="77">
        <f>IF(EQ$23&gt;0, Assumptions!$G62, 0)</f>
        <v>9100</v>
      </c>
      <c r="ER47" s="77">
        <f>IF(ER$23&gt;0, Assumptions!$G62, 0)</f>
        <v>9100</v>
      </c>
      <c r="ES47" s="77">
        <f>IF(ES$23&gt;0, Assumptions!$G62, 0)</f>
        <v>9100</v>
      </c>
      <c r="ET47" s="77">
        <f>IF(ET$23&gt;0, Assumptions!$G62, 0)</f>
        <v>9100</v>
      </c>
      <c r="EU47" s="77">
        <f>IF(EU$23&gt;0, Assumptions!$G62, 0)</f>
        <v>9100</v>
      </c>
      <c r="EV47" s="77">
        <f>IF(EV$23&gt;0, Assumptions!$G62, 0)</f>
        <v>9100</v>
      </c>
      <c r="EW47" s="77">
        <f>IF(EW$23&gt;0, Assumptions!$G62, 0)</f>
        <v>9100</v>
      </c>
      <c r="EX47" s="77">
        <f>IF(EX$23&gt;0, Assumptions!$G62, 0)</f>
        <v>9100</v>
      </c>
      <c r="EY47" s="77">
        <f>IF(EY$23&gt;0, Assumptions!$G62, 0)</f>
        <v>9100</v>
      </c>
      <c r="EZ47" s="77">
        <f>IF(EZ$23&gt;0, Assumptions!$G62, 0)</f>
        <v>9100</v>
      </c>
      <c r="FA47" s="77">
        <f>IF(FA$23&gt;0, Assumptions!$G62, 0)</f>
        <v>9100</v>
      </c>
      <c r="FB47" s="77">
        <f>IF(FB$23&gt;0, Assumptions!$G62, 0)</f>
        <v>9100</v>
      </c>
      <c r="FC47" s="77">
        <f>IF(FC$23&gt;0, Assumptions!$G62, 0)</f>
        <v>9100</v>
      </c>
      <c r="FD47" s="77">
        <f>IF(FD$23&gt;0, Assumptions!$G62, 0)</f>
        <v>9100</v>
      </c>
      <c r="FE47" s="77">
        <f>IF(FE$23&gt;0, Assumptions!$G62, 0)</f>
        <v>9100</v>
      </c>
      <c r="FF47" s="77">
        <f>IF(FF$23&gt;0, Assumptions!$G62, 0)</f>
        <v>9100</v>
      </c>
      <c r="FG47" s="77">
        <f>IF(FG$23&gt;0, Assumptions!$G62, 0)</f>
        <v>9100</v>
      </c>
      <c r="FH47" s="77">
        <f>IF(FH$23&gt;0, Assumptions!$G62, 0)</f>
        <v>9100</v>
      </c>
      <c r="FI47" s="77">
        <f>IF(FI$23&gt;0, Assumptions!$G62, 0)</f>
        <v>9100</v>
      </c>
      <c r="FJ47" s="77">
        <f>IF(FJ$23&gt;0, Assumptions!$G62, 0)</f>
        <v>9100</v>
      </c>
      <c r="FK47" s="77">
        <f>IF(FK$23&gt;0, Assumptions!$G62, 0)</f>
        <v>9100</v>
      </c>
      <c r="FL47" s="77">
        <f>IF(FL$23&gt;0, Assumptions!$G62, 0)</f>
        <v>9100</v>
      </c>
      <c r="FM47" s="77">
        <f>IF(FM$23&gt;0, Assumptions!$G62, 0)</f>
        <v>9100</v>
      </c>
      <c r="FN47" s="77">
        <f>IF(FN$23&gt;0, Assumptions!$G62, 0)</f>
        <v>9100</v>
      </c>
      <c r="FO47" s="77">
        <f>IF(FO$23&gt;0, Assumptions!$G62, 0)</f>
        <v>9100</v>
      </c>
      <c r="FP47" s="77">
        <f>IF(FP$23&gt;0, Assumptions!$G62, 0)</f>
        <v>9100</v>
      </c>
      <c r="FQ47" s="77">
        <f>IF(FQ$23&gt;0, Assumptions!$G62, 0)</f>
        <v>9100</v>
      </c>
      <c r="FR47" s="77">
        <f>IF(FR$23&gt;0, Assumptions!$G62, 0)</f>
        <v>9100</v>
      </c>
      <c r="FS47" s="77">
        <f>IF(FS$23&gt;0, Assumptions!$G62, 0)</f>
        <v>9100</v>
      </c>
      <c r="FT47" s="77">
        <f>IF(FT$23&gt;0, Assumptions!$G62, 0)</f>
        <v>9100</v>
      </c>
      <c r="FU47" s="77">
        <f>IF(FU$23&gt;0, Assumptions!$G62, 0)</f>
        <v>9100</v>
      </c>
      <c r="FV47" s="77">
        <f>IF(FV$23&gt;0, Assumptions!$G62, 0)</f>
        <v>9100</v>
      </c>
      <c r="FW47" s="77">
        <f>IF(FW$23&gt;0, Assumptions!$G62, 0)</f>
        <v>9100</v>
      </c>
      <c r="FX47" s="77">
        <f>IF(FX$23&gt;0, Assumptions!$G62, 0)</f>
        <v>9100</v>
      </c>
      <c r="FY47" s="77">
        <f>IF(FY$23&gt;0, Assumptions!$G62, 0)</f>
        <v>9100</v>
      </c>
      <c r="FZ47" s="77">
        <f>IF(FZ$23&gt;0, Assumptions!$G62, 0)</f>
        <v>9100</v>
      </c>
      <c r="GA47" s="77">
        <f>IF(GA$23&gt;0, Assumptions!$G62, 0)</f>
        <v>9100</v>
      </c>
      <c r="GB47" s="77">
        <f>IF(GB$23&gt;0, Assumptions!$G62, 0)</f>
        <v>9100</v>
      </c>
      <c r="GC47" s="77">
        <f>IF(GC$23&gt;0, Assumptions!$G62, 0)</f>
        <v>9100</v>
      </c>
    </row>
    <row r="48" spans="1:185">
      <c r="A48" s="80"/>
      <c r="B48" s="80" t="s">
        <v>96</v>
      </c>
      <c r="C48" s="80"/>
      <c r="D48" s="80"/>
      <c r="E48" s="82">
        <f t="shared" si="26"/>
        <v>1124500</v>
      </c>
      <c r="F48" s="77">
        <f>IF(F$23&gt;0, Assumptions!$G63, 0)</f>
        <v>0</v>
      </c>
      <c r="G48" s="77">
        <f>IF(G$23&gt;0, Assumptions!$G63, 0)</f>
        <v>0</v>
      </c>
      <c r="H48" s="77">
        <f>IF(H$23&gt;0, Assumptions!$G63, 0)</f>
        <v>0</v>
      </c>
      <c r="I48" s="77">
        <f>IF(I$23&gt;0, Assumptions!$G63, 0)</f>
        <v>0</v>
      </c>
      <c r="J48" s="77">
        <f>IF(J$23&gt;0, Assumptions!$G63, 0)</f>
        <v>0</v>
      </c>
      <c r="K48" s="77">
        <f>IF(K$23&gt;0, Assumptions!$G63, 0)</f>
        <v>0</v>
      </c>
      <c r="L48" s="77">
        <f>IF(L$23&gt;0, Assumptions!$G63, 0)</f>
        <v>0</v>
      </c>
      <c r="M48" s="77">
        <f>IF(M$23&gt;0, Assumptions!$G63, 0)</f>
        <v>6500</v>
      </c>
      <c r="N48" s="77">
        <f>IF(N$23&gt;0, Assumptions!$G63, 0)</f>
        <v>6500</v>
      </c>
      <c r="O48" s="77">
        <f>IF(O$23&gt;0, Assumptions!$G63, 0)</f>
        <v>6500</v>
      </c>
      <c r="P48" s="77">
        <f>IF(P$23&gt;0, Assumptions!$G63, 0)</f>
        <v>6500</v>
      </c>
      <c r="Q48" s="77">
        <f>IF(Q$23&gt;0, Assumptions!$G63, 0)</f>
        <v>6500</v>
      </c>
      <c r="R48" s="77">
        <f>IF(R$23&gt;0, Assumptions!$G63, 0)</f>
        <v>6500</v>
      </c>
      <c r="S48" s="77">
        <f>IF(S$23&gt;0, Assumptions!$G63, 0)</f>
        <v>6500</v>
      </c>
      <c r="T48" s="77">
        <f>IF(T$23&gt;0, Assumptions!$G63, 0)</f>
        <v>6500</v>
      </c>
      <c r="U48" s="77">
        <f>IF(U$23&gt;0, Assumptions!$G63, 0)</f>
        <v>6500</v>
      </c>
      <c r="V48" s="77">
        <f>IF(V$23&gt;0, Assumptions!$G63, 0)</f>
        <v>6500</v>
      </c>
      <c r="W48" s="77">
        <f>IF(W$23&gt;0, Assumptions!$G63, 0)</f>
        <v>6500</v>
      </c>
      <c r="X48" s="77">
        <f>IF(X$23&gt;0, Assumptions!$G63, 0)</f>
        <v>6500</v>
      </c>
      <c r="Y48" s="77">
        <f>IF(Y$23&gt;0, Assumptions!$G63, 0)</f>
        <v>6500</v>
      </c>
      <c r="Z48" s="77">
        <f>IF(Z$23&gt;0, Assumptions!$G63, 0)</f>
        <v>6500</v>
      </c>
      <c r="AA48" s="77">
        <f>IF(AA$23&gt;0, Assumptions!$G63, 0)</f>
        <v>6500</v>
      </c>
      <c r="AB48" s="77">
        <f>IF(AB$23&gt;0, Assumptions!$G63, 0)</f>
        <v>6500</v>
      </c>
      <c r="AC48" s="77">
        <f>IF(AC$23&gt;0, Assumptions!$G63, 0)</f>
        <v>6500</v>
      </c>
      <c r="AD48" s="77">
        <f>IF(AD$23&gt;0, Assumptions!$G63, 0)</f>
        <v>6500</v>
      </c>
      <c r="AE48" s="77">
        <f>IF(AE$23&gt;0, Assumptions!$G63, 0)</f>
        <v>6500</v>
      </c>
      <c r="AF48" s="77">
        <f>IF(AF$23&gt;0, Assumptions!$G63, 0)</f>
        <v>6500</v>
      </c>
      <c r="AG48" s="77">
        <f>IF(AG$23&gt;0, Assumptions!$G63, 0)</f>
        <v>6500</v>
      </c>
      <c r="AH48" s="77">
        <f>IF(AH$23&gt;0, Assumptions!$G63, 0)</f>
        <v>6500</v>
      </c>
      <c r="AI48" s="77">
        <f>IF(AI$23&gt;0, Assumptions!$G63, 0)</f>
        <v>6500</v>
      </c>
      <c r="AJ48" s="77">
        <f>IF(AJ$23&gt;0, Assumptions!$G63, 0)</f>
        <v>6500</v>
      </c>
      <c r="AK48" s="77">
        <f>IF(AK$23&gt;0, Assumptions!$G63, 0)</f>
        <v>6500</v>
      </c>
      <c r="AL48" s="77">
        <f>IF(AL$23&gt;0, Assumptions!$G63, 0)</f>
        <v>6500</v>
      </c>
      <c r="AM48" s="77">
        <f>IF(AM$23&gt;0, Assumptions!$G63, 0)</f>
        <v>6500</v>
      </c>
      <c r="AN48" s="77">
        <f>IF(AN$23&gt;0, Assumptions!$G63, 0)</f>
        <v>6500</v>
      </c>
      <c r="AO48" s="77">
        <f>IF(AO$23&gt;0, Assumptions!$G63, 0)</f>
        <v>6500</v>
      </c>
      <c r="AP48" s="77">
        <f>IF(AP$23&gt;0, Assumptions!$G63, 0)</f>
        <v>6500</v>
      </c>
      <c r="AQ48" s="77">
        <f>IF(AQ$23&gt;0, Assumptions!$G63, 0)</f>
        <v>6500</v>
      </c>
      <c r="AR48" s="77">
        <f>IF(AR$23&gt;0, Assumptions!$G63, 0)</f>
        <v>6500</v>
      </c>
      <c r="AS48" s="77">
        <f>IF(AS$23&gt;0, Assumptions!$G63, 0)</f>
        <v>6500</v>
      </c>
      <c r="AT48" s="77">
        <f>IF(AT$23&gt;0, Assumptions!$G63, 0)</f>
        <v>6500</v>
      </c>
      <c r="AU48" s="77">
        <f>IF(AU$23&gt;0, Assumptions!$G63, 0)</f>
        <v>6500</v>
      </c>
      <c r="AV48" s="77">
        <f>IF(AV$23&gt;0, Assumptions!$G63, 0)</f>
        <v>6500</v>
      </c>
      <c r="AW48" s="77">
        <f>IF(AW$23&gt;0, Assumptions!$G63, 0)</f>
        <v>6500</v>
      </c>
      <c r="AX48" s="77">
        <f>IF(AX$23&gt;0, Assumptions!$G63, 0)</f>
        <v>6500</v>
      </c>
      <c r="AY48" s="77">
        <f>IF(AY$23&gt;0, Assumptions!$G63, 0)</f>
        <v>6500</v>
      </c>
      <c r="AZ48" s="77">
        <f>IF(AZ$23&gt;0, Assumptions!$G63, 0)</f>
        <v>6500</v>
      </c>
      <c r="BA48" s="77">
        <f>IF(BA$23&gt;0, Assumptions!$G63, 0)</f>
        <v>6500</v>
      </c>
      <c r="BB48" s="77">
        <f>IF(BB$23&gt;0, Assumptions!$G63, 0)</f>
        <v>6500</v>
      </c>
      <c r="BC48" s="77">
        <f>IF(BC$23&gt;0, Assumptions!$G63, 0)</f>
        <v>6500</v>
      </c>
      <c r="BD48" s="77">
        <f>IF(BD$23&gt;0, Assumptions!$G63, 0)</f>
        <v>6500</v>
      </c>
      <c r="BE48" s="77">
        <f>IF(BE$23&gt;0, Assumptions!$G63, 0)</f>
        <v>6500</v>
      </c>
      <c r="BF48" s="77">
        <f>IF(BF$23&gt;0, Assumptions!$G63, 0)</f>
        <v>6500</v>
      </c>
      <c r="BG48" s="77">
        <f>IF(BG$23&gt;0, Assumptions!$G63, 0)</f>
        <v>6500</v>
      </c>
      <c r="BH48" s="77">
        <f>IF(BH$23&gt;0, Assumptions!$G63, 0)</f>
        <v>6500</v>
      </c>
      <c r="BI48" s="77">
        <f>IF(BI$23&gt;0, Assumptions!$G63, 0)</f>
        <v>6500</v>
      </c>
      <c r="BJ48" s="77">
        <f>IF(BJ$23&gt;0, Assumptions!$G63, 0)</f>
        <v>6500</v>
      </c>
      <c r="BK48" s="77">
        <f>IF(BK$23&gt;0, Assumptions!$G63, 0)</f>
        <v>6500</v>
      </c>
      <c r="BL48" s="77">
        <f>IF(BL$23&gt;0, Assumptions!$G63, 0)</f>
        <v>6500</v>
      </c>
      <c r="BM48" s="77">
        <f>IF(BM$23&gt;0, Assumptions!$G63, 0)</f>
        <v>6500</v>
      </c>
      <c r="BN48" s="77">
        <f>IF(BN$23&gt;0, Assumptions!$G63, 0)</f>
        <v>6500</v>
      </c>
      <c r="BO48" s="77">
        <f>IF(BO$23&gt;0, Assumptions!$G63, 0)</f>
        <v>6500</v>
      </c>
      <c r="BP48" s="77">
        <f>IF(BP$23&gt;0, Assumptions!$G63, 0)</f>
        <v>6500</v>
      </c>
      <c r="BQ48" s="77">
        <f>IF(BQ$23&gt;0, Assumptions!$G63, 0)</f>
        <v>6500</v>
      </c>
      <c r="BR48" s="77">
        <f>IF(BR$23&gt;0, Assumptions!$G63, 0)</f>
        <v>6500</v>
      </c>
      <c r="BS48" s="77">
        <f>IF(BS$23&gt;0, Assumptions!$G63, 0)</f>
        <v>6500</v>
      </c>
      <c r="BT48" s="77">
        <f>IF(BT$23&gt;0, Assumptions!$G63, 0)</f>
        <v>6500</v>
      </c>
      <c r="BU48" s="77">
        <f>IF(BU$23&gt;0, Assumptions!$G63, 0)</f>
        <v>6500</v>
      </c>
      <c r="BV48" s="77">
        <f>IF(BV$23&gt;0, Assumptions!$G63, 0)</f>
        <v>6500</v>
      </c>
      <c r="BW48" s="77">
        <f>IF(BW$23&gt;0, Assumptions!$G63, 0)</f>
        <v>6500</v>
      </c>
      <c r="BX48" s="77">
        <f>IF(BX$23&gt;0, Assumptions!$G63, 0)</f>
        <v>6500</v>
      </c>
      <c r="BY48" s="77">
        <f>IF(BY$23&gt;0, Assumptions!$G63, 0)</f>
        <v>6500</v>
      </c>
      <c r="BZ48" s="77">
        <f>IF(BZ$23&gt;0, Assumptions!$G63, 0)</f>
        <v>6500</v>
      </c>
      <c r="CA48" s="77">
        <f>IF(CA$23&gt;0, Assumptions!$G63, 0)</f>
        <v>6500</v>
      </c>
      <c r="CB48" s="77">
        <f>IF(CB$23&gt;0, Assumptions!$G63, 0)</f>
        <v>6500</v>
      </c>
      <c r="CC48" s="77">
        <f>IF(CC$23&gt;0, Assumptions!$G63, 0)</f>
        <v>6500</v>
      </c>
      <c r="CD48" s="77">
        <f>IF(CD$23&gt;0, Assumptions!$G63, 0)</f>
        <v>6500</v>
      </c>
      <c r="CE48" s="77">
        <f>IF(CE$23&gt;0, Assumptions!$G63, 0)</f>
        <v>6500</v>
      </c>
      <c r="CF48" s="77">
        <f>IF(CF$23&gt;0, Assumptions!$G63, 0)</f>
        <v>6500</v>
      </c>
      <c r="CG48" s="77">
        <f>IF(CG$23&gt;0, Assumptions!$G63, 0)</f>
        <v>6500</v>
      </c>
      <c r="CH48" s="77">
        <f>IF(CH$23&gt;0, Assumptions!$G63, 0)</f>
        <v>6500</v>
      </c>
      <c r="CI48" s="77">
        <f>IF(CI$23&gt;0, Assumptions!$G63, 0)</f>
        <v>6500</v>
      </c>
      <c r="CJ48" s="77">
        <f>IF(CJ$23&gt;0, Assumptions!$G63, 0)</f>
        <v>6500</v>
      </c>
      <c r="CK48" s="77">
        <f>IF(CK$23&gt;0, Assumptions!$G63, 0)</f>
        <v>6500</v>
      </c>
      <c r="CL48" s="77">
        <f>IF(CL$23&gt;0, Assumptions!$G63, 0)</f>
        <v>6500</v>
      </c>
      <c r="CM48" s="77">
        <f>IF(CM$23&gt;0, Assumptions!$G63, 0)</f>
        <v>6500</v>
      </c>
      <c r="CN48" s="77">
        <f>IF(CN$23&gt;0, Assumptions!$G63, 0)</f>
        <v>6500</v>
      </c>
      <c r="CO48" s="77">
        <f>IF(CO$23&gt;0, Assumptions!$G63, 0)</f>
        <v>6500</v>
      </c>
      <c r="CP48" s="77">
        <f>IF(CP$23&gt;0, Assumptions!$G63, 0)</f>
        <v>6500</v>
      </c>
      <c r="CQ48" s="77">
        <f>IF(CQ$23&gt;0, Assumptions!$G63, 0)</f>
        <v>6500</v>
      </c>
      <c r="CR48" s="77">
        <f>IF(CR$23&gt;0, Assumptions!$G63, 0)</f>
        <v>6500</v>
      </c>
      <c r="CS48" s="77">
        <f>IF(CS$23&gt;0, Assumptions!$G63, 0)</f>
        <v>6500</v>
      </c>
      <c r="CT48" s="77">
        <f>IF(CT$23&gt;0, Assumptions!$G63, 0)</f>
        <v>6500</v>
      </c>
      <c r="CU48" s="77">
        <f>IF(CU$23&gt;0, Assumptions!$G63, 0)</f>
        <v>6500</v>
      </c>
      <c r="CV48" s="77">
        <f>IF(CV$23&gt;0, Assumptions!$G63, 0)</f>
        <v>6500</v>
      </c>
      <c r="CW48" s="77">
        <f>IF(CW$23&gt;0, Assumptions!$G63, 0)</f>
        <v>6500</v>
      </c>
      <c r="CX48" s="77">
        <f>IF(CX$23&gt;0, Assumptions!$G63, 0)</f>
        <v>6500</v>
      </c>
      <c r="CY48" s="77">
        <f>IF(CY$23&gt;0, Assumptions!$G63, 0)</f>
        <v>6500</v>
      </c>
      <c r="CZ48" s="77">
        <f>IF(CZ$23&gt;0, Assumptions!$G63, 0)</f>
        <v>6500</v>
      </c>
      <c r="DA48" s="77">
        <f>IF(DA$23&gt;0, Assumptions!$G63, 0)</f>
        <v>6500</v>
      </c>
      <c r="DB48" s="77">
        <f>IF(DB$23&gt;0, Assumptions!$G63, 0)</f>
        <v>6500</v>
      </c>
      <c r="DC48" s="77">
        <f>IF(DC$23&gt;0, Assumptions!$G63, 0)</f>
        <v>6500</v>
      </c>
      <c r="DD48" s="77">
        <f>IF(DD$23&gt;0, Assumptions!$G63, 0)</f>
        <v>6500</v>
      </c>
      <c r="DE48" s="77">
        <f>IF(DE$23&gt;0, Assumptions!$G63, 0)</f>
        <v>6500</v>
      </c>
      <c r="DF48" s="77">
        <f>IF(DF$23&gt;0, Assumptions!$G63, 0)</f>
        <v>6500</v>
      </c>
      <c r="DG48" s="77">
        <f>IF(DG$23&gt;0, Assumptions!$G63, 0)</f>
        <v>6500</v>
      </c>
      <c r="DH48" s="77">
        <f>IF(DH$23&gt;0, Assumptions!$G63, 0)</f>
        <v>6500</v>
      </c>
      <c r="DI48" s="77">
        <f>IF(DI$23&gt;0, Assumptions!$G63, 0)</f>
        <v>6500</v>
      </c>
      <c r="DJ48" s="77">
        <f>IF(DJ$23&gt;0, Assumptions!$G63, 0)</f>
        <v>6500</v>
      </c>
      <c r="DK48" s="77">
        <f>IF(DK$23&gt;0, Assumptions!$G63, 0)</f>
        <v>6500</v>
      </c>
      <c r="DL48" s="77">
        <f>IF(DL$23&gt;0, Assumptions!$G63, 0)</f>
        <v>6500</v>
      </c>
      <c r="DM48" s="77">
        <f>IF(DM$23&gt;0, Assumptions!$G63, 0)</f>
        <v>6500</v>
      </c>
      <c r="DN48" s="77">
        <f>IF(DN$23&gt;0, Assumptions!$G63, 0)</f>
        <v>6500</v>
      </c>
      <c r="DO48" s="77">
        <f>IF(DO$23&gt;0, Assumptions!$G63, 0)</f>
        <v>6500</v>
      </c>
      <c r="DP48" s="77">
        <f>IF(DP$23&gt;0, Assumptions!$G63, 0)</f>
        <v>6500</v>
      </c>
      <c r="DQ48" s="77">
        <f>IF(DQ$23&gt;0, Assumptions!$G63, 0)</f>
        <v>6500</v>
      </c>
      <c r="DR48" s="77">
        <f>IF(DR$23&gt;0, Assumptions!$G63, 0)</f>
        <v>6500</v>
      </c>
      <c r="DS48" s="77">
        <f>IF(DS$23&gt;0, Assumptions!$G63, 0)</f>
        <v>6500</v>
      </c>
      <c r="DT48" s="77">
        <f>IF(DT$23&gt;0, Assumptions!$G63, 0)</f>
        <v>6500</v>
      </c>
      <c r="DU48" s="77">
        <f>IF(DU$23&gt;0, Assumptions!$G63, 0)</f>
        <v>6500</v>
      </c>
      <c r="DV48" s="77">
        <f>IF(DV$23&gt;0, Assumptions!$G63, 0)</f>
        <v>6500</v>
      </c>
      <c r="DW48" s="77">
        <f>IF(DW$23&gt;0, Assumptions!$G63, 0)</f>
        <v>6500</v>
      </c>
      <c r="DX48" s="77">
        <f>IF(DX$23&gt;0, Assumptions!$G63, 0)</f>
        <v>6500</v>
      </c>
      <c r="DY48" s="77">
        <f>IF(DY$23&gt;0, Assumptions!$G63, 0)</f>
        <v>6500</v>
      </c>
      <c r="DZ48" s="77">
        <f>IF(DZ$23&gt;0, Assumptions!$G63, 0)</f>
        <v>6500</v>
      </c>
      <c r="EA48" s="77">
        <f>IF(EA$23&gt;0, Assumptions!$G63, 0)</f>
        <v>6500</v>
      </c>
      <c r="EB48" s="77">
        <f>IF(EB$23&gt;0, Assumptions!$G63, 0)</f>
        <v>6500</v>
      </c>
      <c r="EC48" s="77">
        <f>IF(EC$23&gt;0, Assumptions!$G63, 0)</f>
        <v>6500</v>
      </c>
      <c r="ED48" s="77">
        <f>IF(ED$23&gt;0, Assumptions!$G63, 0)</f>
        <v>6500</v>
      </c>
      <c r="EE48" s="77">
        <f>IF(EE$23&gt;0, Assumptions!$G63, 0)</f>
        <v>6500</v>
      </c>
      <c r="EF48" s="77">
        <f>IF(EF$23&gt;0, Assumptions!$G63, 0)</f>
        <v>6500</v>
      </c>
      <c r="EG48" s="77">
        <f>IF(EG$23&gt;0, Assumptions!$G63, 0)</f>
        <v>6500</v>
      </c>
      <c r="EH48" s="77">
        <f>IF(EH$23&gt;0, Assumptions!$G63, 0)</f>
        <v>6500</v>
      </c>
      <c r="EI48" s="77">
        <f>IF(EI$23&gt;0, Assumptions!$G63, 0)</f>
        <v>6500</v>
      </c>
      <c r="EJ48" s="77">
        <f>IF(EJ$23&gt;0, Assumptions!$G63, 0)</f>
        <v>6500</v>
      </c>
      <c r="EK48" s="77">
        <f>IF(EK$23&gt;0, Assumptions!$G63, 0)</f>
        <v>6500</v>
      </c>
      <c r="EL48" s="77">
        <f>IF(EL$23&gt;0, Assumptions!$G63, 0)</f>
        <v>6500</v>
      </c>
      <c r="EM48" s="77">
        <f>IF(EM$23&gt;0, Assumptions!$G63, 0)</f>
        <v>6500</v>
      </c>
      <c r="EN48" s="77">
        <f>IF(EN$23&gt;0, Assumptions!$G63, 0)</f>
        <v>6500</v>
      </c>
      <c r="EO48" s="77">
        <f>IF(EO$23&gt;0, Assumptions!$G63, 0)</f>
        <v>6500</v>
      </c>
      <c r="EP48" s="77">
        <f>IF(EP$23&gt;0, Assumptions!$G63, 0)</f>
        <v>6500</v>
      </c>
      <c r="EQ48" s="77">
        <f>IF(EQ$23&gt;0, Assumptions!$G63, 0)</f>
        <v>6500</v>
      </c>
      <c r="ER48" s="77">
        <f>IF(ER$23&gt;0, Assumptions!$G63, 0)</f>
        <v>6500</v>
      </c>
      <c r="ES48" s="77">
        <f>IF(ES$23&gt;0, Assumptions!$G63, 0)</f>
        <v>6500</v>
      </c>
      <c r="ET48" s="77">
        <f>IF(ET$23&gt;0, Assumptions!$G63, 0)</f>
        <v>6500</v>
      </c>
      <c r="EU48" s="77">
        <f>IF(EU$23&gt;0, Assumptions!$G63, 0)</f>
        <v>6500</v>
      </c>
      <c r="EV48" s="77">
        <f>IF(EV$23&gt;0, Assumptions!$G63, 0)</f>
        <v>6500</v>
      </c>
      <c r="EW48" s="77">
        <f>IF(EW$23&gt;0, Assumptions!$G63, 0)</f>
        <v>6500</v>
      </c>
      <c r="EX48" s="77">
        <f>IF(EX$23&gt;0, Assumptions!$G63, 0)</f>
        <v>6500</v>
      </c>
      <c r="EY48" s="77">
        <f>IF(EY$23&gt;0, Assumptions!$G63, 0)</f>
        <v>6500</v>
      </c>
      <c r="EZ48" s="77">
        <f>IF(EZ$23&gt;0, Assumptions!$G63, 0)</f>
        <v>6500</v>
      </c>
      <c r="FA48" s="77">
        <f>IF(FA$23&gt;0, Assumptions!$G63, 0)</f>
        <v>6500</v>
      </c>
      <c r="FB48" s="77">
        <f>IF(FB$23&gt;0, Assumptions!$G63, 0)</f>
        <v>6500</v>
      </c>
      <c r="FC48" s="77">
        <f>IF(FC$23&gt;0, Assumptions!$G63, 0)</f>
        <v>6500</v>
      </c>
      <c r="FD48" s="77">
        <f>IF(FD$23&gt;0, Assumptions!$G63, 0)</f>
        <v>6500</v>
      </c>
      <c r="FE48" s="77">
        <f>IF(FE$23&gt;0, Assumptions!$G63, 0)</f>
        <v>6500</v>
      </c>
      <c r="FF48" s="77">
        <f>IF(FF$23&gt;0, Assumptions!$G63, 0)</f>
        <v>6500</v>
      </c>
      <c r="FG48" s="77">
        <f>IF(FG$23&gt;0, Assumptions!$G63, 0)</f>
        <v>6500</v>
      </c>
      <c r="FH48" s="77">
        <f>IF(FH$23&gt;0, Assumptions!$G63, 0)</f>
        <v>6500</v>
      </c>
      <c r="FI48" s="77">
        <f>IF(FI$23&gt;0, Assumptions!$G63, 0)</f>
        <v>6500</v>
      </c>
      <c r="FJ48" s="77">
        <f>IF(FJ$23&gt;0, Assumptions!$G63, 0)</f>
        <v>6500</v>
      </c>
      <c r="FK48" s="77">
        <f>IF(FK$23&gt;0, Assumptions!$G63, 0)</f>
        <v>6500</v>
      </c>
      <c r="FL48" s="77">
        <f>IF(FL$23&gt;0, Assumptions!$G63, 0)</f>
        <v>6500</v>
      </c>
      <c r="FM48" s="77">
        <f>IF(FM$23&gt;0, Assumptions!$G63, 0)</f>
        <v>6500</v>
      </c>
      <c r="FN48" s="77">
        <f>IF(FN$23&gt;0, Assumptions!$G63, 0)</f>
        <v>6500</v>
      </c>
      <c r="FO48" s="77">
        <f>IF(FO$23&gt;0, Assumptions!$G63, 0)</f>
        <v>6500</v>
      </c>
      <c r="FP48" s="77">
        <f>IF(FP$23&gt;0, Assumptions!$G63, 0)</f>
        <v>6500</v>
      </c>
      <c r="FQ48" s="77">
        <f>IF(FQ$23&gt;0, Assumptions!$G63, 0)</f>
        <v>6500</v>
      </c>
      <c r="FR48" s="77">
        <f>IF(FR$23&gt;0, Assumptions!$G63, 0)</f>
        <v>6500</v>
      </c>
      <c r="FS48" s="77">
        <f>IF(FS$23&gt;0, Assumptions!$G63, 0)</f>
        <v>6500</v>
      </c>
      <c r="FT48" s="77">
        <f>IF(FT$23&gt;0, Assumptions!$G63, 0)</f>
        <v>6500</v>
      </c>
      <c r="FU48" s="77">
        <f>IF(FU$23&gt;0, Assumptions!$G63, 0)</f>
        <v>6500</v>
      </c>
      <c r="FV48" s="77">
        <f>IF(FV$23&gt;0, Assumptions!$G63, 0)</f>
        <v>6500</v>
      </c>
      <c r="FW48" s="77">
        <f>IF(FW$23&gt;0, Assumptions!$G63, 0)</f>
        <v>6500</v>
      </c>
      <c r="FX48" s="77">
        <f>IF(FX$23&gt;0, Assumptions!$G63, 0)</f>
        <v>6500</v>
      </c>
      <c r="FY48" s="77">
        <f>IF(FY$23&gt;0, Assumptions!$G63, 0)</f>
        <v>6500</v>
      </c>
      <c r="FZ48" s="77">
        <f>IF(FZ$23&gt;0, Assumptions!$G63, 0)</f>
        <v>6500</v>
      </c>
      <c r="GA48" s="77">
        <f>IF(GA$23&gt;0, Assumptions!$G63, 0)</f>
        <v>6500</v>
      </c>
      <c r="GB48" s="77">
        <f>IF(GB$23&gt;0, Assumptions!$G63, 0)</f>
        <v>6500</v>
      </c>
      <c r="GC48" s="77">
        <f>IF(GC$23&gt;0, Assumptions!$G63, 0)</f>
        <v>6500</v>
      </c>
    </row>
    <row r="49" spans="1:185">
      <c r="A49" s="80"/>
      <c r="B49" s="80" t="s">
        <v>97</v>
      </c>
      <c r="C49" s="80"/>
      <c r="D49" s="80"/>
      <c r="E49" s="82">
        <f t="shared" si="26"/>
        <v>1124500</v>
      </c>
      <c r="F49" s="77">
        <f>IF(F$23&gt;0, Assumptions!$G64, 0)</f>
        <v>0</v>
      </c>
      <c r="G49" s="77">
        <f>IF(G$23&gt;0, Assumptions!$G64, 0)</f>
        <v>0</v>
      </c>
      <c r="H49" s="77">
        <f>IF(H$23&gt;0, Assumptions!$G64, 0)</f>
        <v>0</v>
      </c>
      <c r="I49" s="77">
        <f>IF(I$23&gt;0, Assumptions!$G64, 0)</f>
        <v>0</v>
      </c>
      <c r="J49" s="77">
        <f>IF(J$23&gt;0, Assumptions!$G64, 0)</f>
        <v>0</v>
      </c>
      <c r="K49" s="77">
        <f>IF(K$23&gt;0, Assumptions!$G64, 0)</f>
        <v>0</v>
      </c>
      <c r="L49" s="77">
        <f>IF(L$23&gt;0, Assumptions!$G64, 0)</f>
        <v>0</v>
      </c>
      <c r="M49" s="77">
        <f>IF(M$23&gt;0, Assumptions!$G64, 0)</f>
        <v>6500</v>
      </c>
      <c r="N49" s="77">
        <f>IF(N$23&gt;0, Assumptions!$G64, 0)</f>
        <v>6500</v>
      </c>
      <c r="O49" s="77">
        <f>IF(O$23&gt;0, Assumptions!$G64, 0)</f>
        <v>6500</v>
      </c>
      <c r="P49" s="77">
        <f>IF(P$23&gt;0, Assumptions!$G64, 0)</f>
        <v>6500</v>
      </c>
      <c r="Q49" s="77">
        <f>IF(Q$23&gt;0, Assumptions!$G64, 0)</f>
        <v>6500</v>
      </c>
      <c r="R49" s="77">
        <f>IF(R$23&gt;0, Assumptions!$G64, 0)</f>
        <v>6500</v>
      </c>
      <c r="S49" s="77">
        <f>IF(S$23&gt;0, Assumptions!$G64, 0)</f>
        <v>6500</v>
      </c>
      <c r="T49" s="77">
        <f>IF(T$23&gt;0, Assumptions!$G64, 0)</f>
        <v>6500</v>
      </c>
      <c r="U49" s="77">
        <f>IF(U$23&gt;0, Assumptions!$G64, 0)</f>
        <v>6500</v>
      </c>
      <c r="V49" s="77">
        <f>IF(V$23&gt;0, Assumptions!$G64, 0)</f>
        <v>6500</v>
      </c>
      <c r="W49" s="77">
        <f>IF(W$23&gt;0, Assumptions!$G64, 0)</f>
        <v>6500</v>
      </c>
      <c r="X49" s="77">
        <f>IF(X$23&gt;0, Assumptions!$G64, 0)</f>
        <v>6500</v>
      </c>
      <c r="Y49" s="77">
        <f>IF(Y$23&gt;0, Assumptions!$G64, 0)</f>
        <v>6500</v>
      </c>
      <c r="Z49" s="77">
        <f>IF(Z$23&gt;0, Assumptions!$G64, 0)</f>
        <v>6500</v>
      </c>
      <c r="AA49" s="77">
        <f>IF(AA$23&gt;0, Assumptions!$G64, 0)</f>
        <v>6500</v>
      </c>
      <c r="AB49" s="77">
        <f>IF(AB$23&gt;0, Assumptions!$G64, 0)</f>
        <v>6500</v>
      </c>
      <c r="AC49" s="77">
        <f>IF(AC$23&gt;0, Assumptions!$G64, 0)</f>
        <v>6500</v>
      </c>
      <c r="AD49" s="77">
        <f>IF(AD$23&gt;0, Assumptions!$G64, 0)</f>
        <v>6500</v>
      </c>
      <c r="AE49" s="77">
        <f>IF(AE$23&gt;0, Assumptions!$G64, 0)</f>
        <v>6500</v>
      </c>
      <c r="AF49" s="77">
        <f>IF(AF$23&gt;0, Assumptions!$G64, 0)</f>
        <v>6500</v>
      </c>
      <c r="AG49" s="77">
        <f>IF(AG$23&gt;0, Assumptions!$G64, 0)</f>
        <v>6500</v>
      </c>
      <c r="AH49" s="77">
        <f>IF(AH$23&gt;0, Assumptions!$G64, 0)</f>
        <v>6500</v>
      </c>
      <c r="AI49" s="77">
        <f>IF(AI$23&gt;0, Assumptions!$G64, 0)</f>
        <v>6500</v>
      </c>
      <c r="AJ49" s="77">
        <f>IF(AJ$23&gt;0, Assumptions!$G64, 0)</f>
        <v>6500</v>
      </c>
      <c r="AK49" s="77">
        <f>IF(AK$23&gt;0, Assumptions!$G64, 0)</f>
        <v>6500</v>
      </c>
      <c r="AL49" s="77">
        <f>IF(AL$23&gt;0, Assumptions!$G64, 0)</f>
        <v>6500</v>
      </c>
      <c r="AM49" s="77">
        <f>IF(AM$23&gt;0, Assumptions!$G64, 0)</f>
        <v>6500</v>
      </c>
      <c r="AN49" s="77">
        <f>IF(AN$23&gt;0, Assumptions!$G64, 0)</f>
        <v>6500</v>
      </c>
      <c r="AO49" s="77">
        <f>IF(AO$23&gt;0, Assumptions!$G64, 0)</f>
        <v>6500</v>
      </c>
      <c r="AP49" s="77">
        <f>IF(AP$23&gt;0, Assumptions!$G64, 0)</f>
        <v>6500</v>
      </c>
      <c r="AQ49" s="77">
        <f>IF(AQ$23&gt;0, Assumptions!$G64, 0)</f>
        <v>6500</v>
      </c>
      <c r="AR49" s="77">
        <f>IF(AR$23&gt;0, Assumptions!$G64, 0)</f>
        <v>6500</v>
      </c>
      <c r="AS49" s="77">
        <f>IF(AS$23&gt;0, Assumptions!$G64, 0)</f>
        <v>6500</v>
      </c>
      <c r="AT49" s="77">
        <f>IF(AT$23&gt;0, Assumptions!$G64, 0)</f>
        <v>6500</v>
      </c>
      <c r="AU49" s="77">
        <f>IF(AU$23&gt;0, Assumptions!$G64, 0)</f>
        <v>6500</v>
      </c>
      <c r="AV49" s="77">
        <f>IF(AV$23&gt;0, Assumptions!$G64, 0)</f>
        <v>6500</v>
      </c>
      <c r="AW49" s="77">
        <f>IF(AW$23&gt;0, Assumptions!$G64, 0)</f>
        <v>6500</v>
      </c>
      <c r="AX49" s="77">
        <f>IF(AX$23&gt;0, Assumptions!$G64, 0)</f>
        <v>6500</v>
      </c>
      <c r="AY49" s="77">
        <f>IF(AY$23&gt;0, Assumptions!$G64, 0)</f>
        <v>6500</v>
      </c>
      <c r="AZ49" s="77">
        <f>IF(AZ$23&gt;0, Assumptions!$G64, 0)</f>
        <v>6500</v>
      </c>
      <c r="BA49" s="77">
        <f>IF(BA$23&gt;0, Assumptions!$G64, 0)</f>
        <v>6500</v>
      </c>
      <c r="BB49" s="77">
        <f>IF(BB$23&gt;0, Assumptions!$G64, 0)</f>
        <v>6500</v>
      </c>
      <c r="BC49" s="77">
        <f>IF(BC$23&gt;0, Assumptions!$G64, 0)</f>
        <v>6500</v>
      </c>
      <c r="BD49" s="77">
        <f>IF(BD$23&gt;0, Assumptions!$G64, 0)</f>
        <v>6500</v>
      </c>
      <c r="BE49" s="77">
        <f>IF(BE$23&gt;0, Assumptions!$G64, 0)</f>
        <v>6500</v>
      </c>
      <c r="BF49" s="77">
        <f>IF(BF$23&gt;0, Assumptions!$G64, 0)</f>
        <v>6500</v>
      </c>
      <c r="BG49" s="77">
        <f>IF(BG$23&gt;0, Assumptions!$G64, 0)</f>
        <v>6500</v>
      </c>
      <c r="BH49" s="77">
        <f>IF(BH$23&gt;0, Assumptions!$G64, 0)</f>
        <v>6500</v>
      </c>
      <c r="BI49" s="77">
        <f>IF(BI$23&gt;0, Assumptions!$G64, 0)</f>
        <v>6500</v>
      </c>
      <c r="BJ49" s="77">
        <f>IF(BJ$23&gt;0, Assumptions!$G64, 0)</f>
        <v>6500</v>
      </c>
      <c r="BK49" s="77">
        <f>IF(BK$23&gt;0, Assumptions!$G64, 0)</f>
        <v>6500</v>
      </c>
      <c r="BL49" s="77">
        <f>IF(BL$23&gt;0, Assumptions!$G64, 0)</f>
        <v>6500</v>
      </c>
      <c r="BM49" s="77">
        <f>IF(BM$23&gt;0, Assumptions!$G64, 0)</f>
        <v>6500</v>
      </c>
      <c r="BN49" s="77">
        <f>IF(BN$23&gt;0, Assumptions!$G64, 0)</f>
        <v>6500</v>
      </c>
      <c r="BO49" s="77">
        <f>IF(BO$23&gt;0, Assumptions!$G64, 0)</f>
        <v>6500</v>
      </c>
      <c r="BP49" s="77">
        <f>IF(BP$23&gt;0, Assumptions!$G64, 0)</f>
        <v>6500</v>
      </c>
      <c r="BQ49" s="77">
        <f>IF(BQ$23&gt;0, Assumptions!$G64, 0)</f>
        <v>6500</v>
      </c>
      <c r="BR49" s="77">
        <f>IF(BR$23&gt;0, Assumptions!$G64, 0)</f>
        <v>6500</v>
      </c>
      <c r="BS49" s="77">
        <f>IF(BS$23&gt;0, Assumptions!$G64, 0)</f>
        <v>6500</v>
      </c>
      <c r="BT49" s="77">
        <f>IF(BT$23&gt;0, Assumptions!$G64, 0)</f>
        <v>6500</v>
      </c>
      <c r="BU49" s="77">
        <f>IF(BU$23&gt;0, Assumptions!$G64, 0)</f>
        <v>6500</v>
      </c>
      <c r="BV49" s="77">
        <f>IF(BV$23&gt;0, Assumptions!$G64, 0)</f>
        <v>6500</v>
      </c>
      <c r="BW49" s="77">
        <f>IF(BW$23&gt;0, Assumptions!$G64, 0)</f>
        <v>6500</v>
      </c>
      <c r="BX49" s="77">
        <f>IF(BX$23&gt;0, Assumptions!$G64, 0)</f>
        <v>6500</v>
      </c>
      <c r="BY49" s="77">
        <f>IF(BY$23&gt;0, Assumptions!$G64, 0)</f>
        <v>6500</v>
      </c>
      <c r="BZ49" s="77">
        <f>IF(BZ$23&gt;0, Assumptions!$G64, 0)</f>
        <v>6500</v>
      </c>
      <c r="CA49" s="77">
        <f>IF(CA$23&gt;0, Assumptions!$G64, 0)</f>
        <v>6500</v>
      </c>
      <c r="CB49" s="77">
        <f>IF(CB$23&gt;0, Assumptions!$G64, 0)</f>
        <v>6500</v>
      </c>
      <c r="CC49" s="77">
        <f>IF(CC$23&gt;0, Assumptions!$G64, 0)</f>
        <v>6500</v>
      </c>
      <c r="CD49" s="77">
        <f>IF(CD$23&gt;0, Assumptions!$G64, 0)</f>
        <v>6500</v>
      </c>
      <c r="CE49" s="77">
        <f>IF(CE$23&gt;0, Assumptions!$G64, 0)</f>
        <v>6500</v>
      </c>
      <c r="CF49" s="77">
        <f>IF(CF$23&gt;0, Assumptions!$G64, 0)</f>
        <v>6500</v>
      </c>
      <c r="CG49" s="77">
        <f>IF(CG$23&gt;0, Assumptions!$G64, 0)</f>
        <v>6500</v>
      </c>
      <c r="CH49" s="77">
        <f>IF(CH$23&gt;0, Assumptions!$G64, 0)</f>
        <v>6500</v>
      </c>
      <c r="CI49" s="77">
        <f>IF(CI$23&gt;0, Assumptions!$G64, 0)</f>
        <v>6500</v>
      </c>
      <c r="CJ49" s="77">
        <f>IF(CJ$23&gt;0, Assumptions!$G64, 0)</f>
        <v>6500</v>
      </c>
      <c r="CK49" s="77">
        <f>IF(CK$23&gt;0, Assumptions!$G64, 0)</f>
        <v>6500</v>
      </c>
      <c r="CL49" s="77">
        <f>IF(CL$23&gt;0, Assumptions!$G64, 0)</f>
        <v>6500</v>
      </c>
      <c r="CM49" s="77">
        <f>IF(CM$23&gt;0, Assumptions!$G64, 0)</f>
        <v>6500</v>
      </c>
      <c r="CN49" s="77">
        <f>IF(CN$23&gt;0, Assumptions!$G64, 0)</f>
        <v>6500</v>
      </c>
      <c r="CO49" s="77">
        <f>IF(CO$23&gt;0, Assumptions!$G64, 0)</f>
        <v>6500</v>
      </c>
      <c r="CP49" s="77">
        <f>IF(CP$23&gt;0, Assumptions!$G64, 0)</f>
        <v>6500</v>
      </c>
      <c r="CQ49" s="77">
        <f>IF(CQ$23&gt;0, Assumptions!$G64, 0)</f>
        <v>6500</v>
      </c>
      <c r="CR49" s="77">
        <f>IF(CR$23&gt;0, Assumptions!$G64, 0)</f>
        <v>6500</v>
      </c>
      <c r="CS49" s="77">
        <f>IF(CS$23&gt;0, Assumptions!$G64, 0)</f>
        <v>6500</v>
      </c>
      <c r="CT49" s="77">
        <f>IF(CT$23&gt;0, Assumptions!$G64, 0)</f>
        <v>6500</v>
      </c>
      <c r="CU49" s="77">
        <f>IF(CU$23&gt;0, Assumptions!$G64, 0)</f>
        <v>6500</v>
      </c>
      <c r="CV49" s="77">
        <f>IF(CV$23&gt;0, Assumptions!$G64, 0)</f>
        <v>6500</v>
      </c>
      <c r="CW49" s="77">
        <f>IF(CW$23&gt;0, Assumptions!$G64, 0)</f>
        <v>6500</v>
      </c>
      <c r="CX49" s="77">
        <f>IF(CX$23&gt;0, Assumptions!$G64, 0)</f>
        <v>6500</v>
      </c>
      <c r="CY49" s="77">
        <f>IF(CY$23&gt;0, Assumptions!$G64, 0)</f>
        <v>6500</v>
      </c>
      <c r="CZ49" s="77">
        <f>IF(CZ$23&gt;0, Assumptions!$G64, 0)</f>
        <v>6500</v>
      </c>
      <c r="DA49" s="77">
        <f>IF(DA$23&gt;0, Assumptions!$G64, 0)</f>
        <v>6500</v>
      </c>
      <c r="DB49" s="77">
        <f>IF(DB$23&gt;0, Assumptions!$G64, 0)</f>
        <v>6500</v>
      </c>
      <c r="DC49" s="77">
        <f>IF(DC$23&gt;0, Assumptions!$G64, 0)</f>
        <v>6500</v>
      </c>
      <c r="DD49" s="77">
        <f>IF(DD$23&gt;0, Assumptions!$G64, 0)</f>
        <v>6500</v>
      </c>
      <c r="DE49" s="77">
        <f>IF(DE$23&gt;0, Assumptions!$G64, 0)</f>
        <v>6500</v>
      </c>
      <c r="DF49" s="77">
        <f>IF(DF$23&gt;0, Assumptions!$G64, 0)</f>
        <v>6500</v>
      </c>
      <c r="DG49" s="77">
        <f>IF(DG$23&gt;0, Assumptions!$G64, 0)</f>
        <v>6500</v>
      </c>
      <c r="DH49" s="77">
        <f>IF(DH$23&gt;0, Assumptions!$G64, 0)</f>
        <v>6500</v>
      </c>
      <c r="DI49" s="77">
        <f>IF(DI$23&gt;0, Assumptions!$G64, 0)</f>
        <v>6500</v>
      </c>
      <c r="DJ49" s="77">
        <f>IF(DJ$23&gt;0, Assumptions!$G64, 0)</f>
        <v>6500</v>
      </c>
      <c r="DK49" s="77">
        <f>IF(DK$23&gt;0, Assumptions!$G64, 0)</f>
        <v>6500</v>
      </c>
      <c r="DL49" s="77">
        <f>IF(DL$23&gt;0, Assumptions!$G64, 0)</f>
        <v>6500</v>
      </c>
      <c r="DM49" s="77">
        <f>IF(DM$23&gt;0, Assumptions!$G64, 0)</f>
        <v>6500</v>
      </c>
      <c r="DN49" s="77">
        <f>IF(DN$23&gt;0, Assumptions!$G64, 0)</f>
        <v>6500</v>
      </c>
      <c r="DO49" s="77">
        <f>IF(DO$23&gt;0, Assumptions!$G64, 0)</f>
        <v>6500</v>
      </c>
      <c r="DP49" s="77">
        <f>IF(DP$23&gt;0, Assumptions!$G64, 0)</f>
        <v>6500</v>
      </c>
      <c r="DQ49" s="77">
        <f>IF(DQ$23&gt;0, Assumptions!$G64, 0)</f>
        <v>6500</v>
      </c>
      <c r="DR49" s="77">
        <f>IF(DR$23&gt;0, Assumptions!$G64, 0)</f>
        <v>6500</v>
      </c>
      <c r="DS49" s="77">
        <f>IF(DS$23&gt;0, Assumptions!$G64, 0)</f>
        <v>6500</v>
      </c>
      <c r="DT49" s="77">
        <f>IF(DT$23&gt;0, Assumptions!$G64, 0)</f>
        <v>6500</v>
      </c>
      <c r="DU49" s="77">
        <f>IF(DU$23&gt;0, Assumptions!$G64, 0)</f>
        <v>6500</v>
      </c>
      <c r="DV49" s="77">
        <f>IF(DV$23&gt;0, Assumptions!$G64, 0)</f>
        <v>6500</v>
      </c>
      <c r="DW49" s="77">
        <f>IF(DW$23&gt;0, Assumptions!$G64, 0)</f>
        <v>6500</v>
      </c>
      <c r="DX49" s="77">
        <f>IF(DX$23&gt;0, Assumptions!$G64, 0)</f>
        <v>6500</v>
      </c>
      <c r="DY49" s="77">
        <f>IF(DY$23&gt;0, Assumptions!$G64, 0)</f>
        <v>6500</v>
      </c>
      <c r="DZ49" s="77">
        <f>IF(DZ$23&gt;0, Assumptions!$G64, 0)</f>
        <v>6500</v>
      </c>
      <c r="EA49" s="77">
        <f>IF(EA$23&gt;0, Assumptions!$G64, 0)</f>
        <v>6500</v>
      </c>
      <c r="EB49" s="77">
        <f>IF(EB$23&gt;0, Assumptions!$G64, 0)</f>
        <v>6500</v>
      </c>
      <c r="EC49" s="77">
        <f>IF(EC$23&gt;0, Assumptions!$G64, 0)</f>
        <v>6500</v>
      </c>
      <c r="ED49" s="77">
        <f>IF(ED$23&gt;0, Assumptions!$G64, 0)</f>
        <v>6500</v>
      </c>
      <c r="EE49" s="77">
        <f>IF(EE$23&gt;0, Assumptions!$G64, 0)</f>
        <v>6500</v>
      </c>
      <c r="EF49" s="77">
        <f>IF(EF$23&gt;0, Assumptions!$G64, 0)</f>
        <v>6500</v>
      </c>
      <c r="EG49" s="77">
        <f>IF(EG$23&gt;0, Assumptions!$G64, 0)</f>
        <v>6500</v>
      </c>
      <c r="EH49" s="77">
        <f>IF(EH$23&gt;0, Assumptions!$G64, 0)</f>
        <v>6500</v>
      </c>
      <c r="EI49" s="77">
        <f>IF(EI$23&gt;0, Assumptions!$G64, 0)</f>
        <v>6500</v>
      </c>
      <c r="EJ49" s="77">
        <f>IF(EJ$23&gt;0, Assumptions!$G64, 0)</f>
        <v>6500</v>
      </c>
      <c r="EK49" s="77">
        <f>IF(EK$23&gt;0, Assumptions!$G64, 0)</f>
        <v>6500</v>
      </c>
      <c r="EL49" s="77">
        <f>IF(EL$23&gt;0, Assumptions!$G64, 0)</f>
        <v>6500</v>
      </c>
      <c r="EM49" s="77">
        <f>IF(EM$23&gt;0, Assumptions!$G64, 0)</f>
        <v>6500</v>
      </c>
      <c r="EN49" s="77">
        <f>IF(EN$23&gt;0, Assumptions!$G64, 0)</f>
        <v>6500</v>
      </c>
      <c r="EO49" s="77">
        <f>IF(EO$23&gt;0, Assumptions!$G64, 0)</f>
        <v>6500</v>
      </c>
      <c r="EP49" s="77">
        <f>IF(EP$23&gt;0, Assumptions!$G64, 0)</f>
        <v>6500</v>
      </c>
      <c r="EQ49" s="77">
        <f>IF(EQ$23&gt;0, Assumptions!$G64, 0)</f>
        <v>6500</v>
      </c>
      <c r="ER49" s="77">
        <f>IF(ER$23&gt;0, Assumptions!$G64, 0)</f>
        <v>6500</v>
      </c>
      <c r="ES49" s="77">
        <f>IF(ES$23&gt;0, Assumptions!$G64, 0)</f>
        <v>6500</v>
      </c>
      <c r="ET49" s="77">
        <f>IF(ET$23&gt;0, Assumptions!$G64, 0)</f>
        <v>6500</v>
      </c>
      <c r="EU49" s="77">
        <f>IF(EU$23&gt;0, Assumptions!$G64, 0)</f>
        <v>6500</v>
      </c>
      <c r="EV49" s="77">
        <f>IF(EV$23&gt;0, Assumptions!$G64, 0)</f>
        <v>6500</v>
      </c>
      <c r="EW49" s="77">
        <f>IF(EW$23&gt;0, Assumptions!$G64, 0)</f>
        <v>6500</v>
      </c>
      <c r="EX49" s="77">
        <f>IF(EX$23&gt;0, Assumptions!$G64, 0)</f>
        <v>6500</v>
      </c>
      <c r="EY49" s="77">
        <f>IF(EY$23&gt;0, Assumptions!$G64, 0)</f>
        <v>6500</v>
      </c>
      <c r="EZ49" s="77">
        <f>IF(EZ$23&gt;0, Assumptions!$G64, 0)</f>
        <v>6500</v>
      </c>
      <c r="FA49" s="77">
        <f>IF(FA$23&gt;0, Assumptions!$G64, 0)</f>
        <v>6500</v>
      </c>
      <c r="FB49" s="77">
        <f>IF(FB$23&gt;0, Assumptions!$G64, 0)</f>
        <v>6500</v>
      </c>
      <c r="FC49" s="77">
        <f>IF(FC$23&gt;0, Assumptions!$G64, 0)</f>
        <v>6500</v>
      </c>
      <c r="FD49" s="77">
        <f>IF(FD$23&gt;0, Assumptions!$G64, 0)</f>
        <v>6500</v>
      </c>
      <c r="FE49" s="77">
        <f>IF(FE$23&gt;0, Assumptions!$G64, 0)</f>
        <v>6500</v>
      </c>
      <c r="FF49" s="77">
        <f>IF(FF$23&gt;0, Assumptions!$G64, 0)</f>
        <v>6500</v>
      </c>
      <c r="FG49" s="77">
        <f>IF(FG$23&gt;0, Assumptions!$G64, 0)</f>
        <v>6500</v>
      </c>
      <c r="FH49" s="77">
        <f>IF(FH$23&gt;0, Assumptions!$G64, 0)</f>
        <v>6500</v>
      </c>
      <c r="FI49" s="77">
        <f>IF(FI$23&gt;0, Assumptions!$G64, 0)</f>
        <v>6500</v>
      </c>
      <c r="FJ49" s="77">
        <f>IF(FJ$23&gt;0, Assumptions!$G64, 0)</f>
        <v>6500</v>
      </c>
      <c r="FK49" s="77">
        <f>IF(FK$23&gt;0, Assumptions!$G64, 0)</f>
        <v>6500</v>
      </c>
      <c r="FL49" s="77">
        <f>IF(FL$23&gt;0, Assumptions!$G64, 0)</f>
        <v>6500</v>
      </c>
      <c r="FM49" s="77">
        <f>IF(FM$23&gt;0, Assumptions!$G64, 0)</f>
        <v>6500</v>
      </c>
      <c r="FN49" s="77">
        <f>IF(FN$23&gt;0, Assumptions!$G64, 0)</f>
        <v>6500</v>
      </c>
      <c r="FO49" s="77">
        <f>IF(FO$23&gt;0, Assumptions!$G64, 0)</f>
        <v>6500</v>
      </c>
      <c r="FP49" s="77">
        <f>IF(FP$23&gt;0, Assumptions!$G64, 0)</f>
        <v>6500</v>
      </c>
      <c r="FQ49" s="77">
        <f>IF(FQ$23&gt;0, Assumptions!$G64, 0)</f>
        <v>6500</v>
      </c>
      <c r="FR49" s="77">
        <f>IF(FR$23&gt;0, Assumptions!$G64, 0)</f>
        <v>6500</v>
      </c>
      <c r="FS49" s="77">
        <f>IF(FS$23&gt;0, Assumptions!$G64, 0)</f>
        <v>6500</v>
      </c>
      <c r="FT49" s="77">
        <f>IF(FT$23&gt;0, Assumptions!$G64, 0)</f>
        <v>6500</v>
      </c>
      <c r="FU49" s="77">
        <f>IF(FU$23&gt;0, Assumptions!$G64, 0)</f>
        <v>6500</v>
      </c>
      <c r="FV49" s="77">
        <f>IF(FV$23&gt;0, Assumptions!$G64, 0)</f>
        <v>6500</v>
      </c>
      <c r="FW49" s="77">
        <f>IF(FW$23&gt;0, Assumptions!$G64, 0)</f>
        <v>6500</v>
      </c>
      <c r="FX49" s="77">
        <f>IF(FX$23&gt;0, Assumptions!$G64, 0)</f>
        <v>6500</v>
      </c>
      <c r="FY49" s="77">
        <f>IF(FY$23&gt;0, Assumptions!$G64, 0)</f>
        <v>6500</v>
      </c>
      <c r="FZ49" s="77">
        <f>IF(FZ$23&gt;0, Assumptions!$G64, 0)</f>
        <v>6500</v>
      </c>
      <c r="GA49" s="77">
        <f>IF(GA$23&gt;0, Assumptions!$G64, 0)</f>
        <v>6500</v>
      </c>
      <c r="GB49" s="77">
        <f>IF(GB$23&gt;0, Assumptions!$G64, 0)</f>
        <v>6500</v>
      </c>
      <c r="GC49" s="77">
        <f>IF(GC$23&gt;0, Assumptions!$G64, 0)</f>
        <v>6500</v>
      </c>
    </row>
    <row r="50" spans="1:185">
      <c r="A50" s="80"/>
      <c r="B50" s="80" t="s">
        <v>98</v>
      </c>
      <c r="C50" s="80"/>
      <c r="D50" s="80"/>
      <c r="E50" s="82">
        <f t="shared" si="26"/>
        <v>1574300</v>
      </c>
      <c r="F50" s="249">
        <f>IF(F$23&gt;0, Assumptions!$G65, 0)</f>
        <v>0</v>
      </c>
      <c r="G50" s="249">
        <f>IF(G$23&gt;0, Assumptions!$G65, 0)</f>
        <v>0</v>
      </c>
      <c r="H50" s="249">
        <f>IF(H$23&gt;0, Assumptions!$G65, 0)</f>
        <v>0</v>
      </c>
      <c r="I50" s="249">
        <f>IF(I$23&gt;0, Assumptions!$G65, 0)</f>
        <v>0</v>
      </c>
      <c r="J50" s="249">
        <f>IF(J$23&gt;0, Assumptions!$G65, 0)</f>
        <v>0</v>
      </c>
      <c r="K50" s="249">
        <f>IF(K$23&gt;0, Assumptions!$G65, 0)</f>
        <v>0</v>
      </c>
      <c r="L50" s="249">
        <f>IF(L$23&gt;0, Assumptions!$G65, 0)</f>
        <v>0</v>
      </c>
      <c r="M50" s="249">
        <f>IF(M$23&gt;0, Assumptions!$G65, 0)</f>
        <v>9100</v>
      </c>
      <c r="N50" s="249">
        <f>IF(N$23&gt;0, Assumptions!$G65, 0)</f>
        <v>9100</v>
      </c>
      <c r="O50" s="249">
        <f>IF(O$23&gt;0, Assumptions!$G65, 0)</f>
        <v>9100</v>
      </c>
      <c r="P50" s="249">
        <f>IF(P$23&gt;0, Assumptions!$G65, 0)</f>
        <v>9100</v>
      </c>
      <c r="Q50" s="249">
        <f>IF(Q$23&gt;0, Assumptions!$G65, 0)</f>
        <v>9100</v>
      </c>
      <c r="R50" s="249">
        <f>IF(R$23&gt;0, Assumptions!$G65, 0)</f>
        <v>9100</v>
      </c>
      <c r="S50" s="249">
        <f>IF(S$23&gt;0, Assumptions!$G65, 0)</f>
        <v>9100</v>
      </c>
      <c r="T50" s="249">
        <f>IF(T$23&gt;0, Assumptions!$G65, 0)</f>
        <v>9100</v>
      </c>
      <c r="U50" s="249">
        <f>IF(U$23&gt;0, Assumptions!$G65, 0)</f>
        <v>9100</v>
      </c>
      <c r="V50" s="249">
        <f>IF(V$23&gt;0, Assumptions!$G65, 0)</f>
        <v>9100</v>
      </c>
      <c r="W50" s="249">
        <f>IF(W$23&gt;0, Assumptions!$G65, 0)</f>
        <v>9100</v>
      </c>
      <c r="X50" s="249">
        <f>IF(X$23&gt;0, Assumptions!$G65, 0)</f>
        <v>9100</v>
      </c>
      <c r="Y50" s="249">
        <f>IF(Y$23&gt;0, Assumptions!$G65, 0)</f>
        <v>9100</v>
      </c>
      <c r="Z50" s="249">
        <f>IF(Z$23&gt;0, Assumptions!$G65, 0)</f>
        <v>9100</v>
      </c>
      <c r="AA50" s="249">
        <f>IF(AA$23&gt;0, Assumptions!$G65, 0)</f>
        <v>9100</v>
      </c>
      <c r="AB50" s="249">
        <f>IF(AB$23&gt;0, Assumptions!$G65, 0)</f>
        <v>9100</v>
      </c>
      <c r="AC50" s="249">
        <f>IF(AC$23&gt;0, Assumptions!$G65, 0)</f>
        <v>9100</v>
      </c>
      <c r="AD50" s="249">
        <f>IF(AD$23&gt;0, Assumptions!$G65, 0)</f>
        <v>9100</v>
      </c>
      <c r="AE50" s="249">
        <f>IF(AE$23&gt;0, Assumptions!$G65, 0)</f>
        <v>9100</v>
      </c>
      <c r="AF50" s="249">
        <f>IF(AF$23&gt;0, Assumptions!$G65, 0)</f>
        <v>9100</v>
      </c>
      <c r="AG50" s="249">
        <f>IF(AG$23&gt;0, Assumptions!$G65, 0)</f>
        <v>9100</v>
      </c>
      <c r="AH50" s="249">
        <f>IF(AH$23&gt;0, Assumptions!$G65, 0)</f>
        <v>9100</v>
      </c>
      <c r="AI50" s="249">
        <f>IF(AI$23&gt;0, Assumptions!$G65, 0)</f>
        <v>9100</v>
      </c>
      <c r="AJ50" s="249">
        <f>IF(AJ$23&gt;0, Assumptions!$G65, 0)</f>
        <v>9100</v>
      </c>
      <c r="AK50" s="249">
        <f>IF(AK$23&gt;0, Assumptions!$G65, 0)</f>
        <v>9100</v>
      </c>
      <c r="AL50" s="249">
        <f>IF(AL$23&gt;0, Assumptions!$G65, 0)</f>
        <v>9100</v>
      </c>
      <c r="AM50" s="249">
        <f>IF(AM$23&gt;0, Assumptions!$G65, 0)</f>
        <v>9100</v>
      </c>
      <c r="AN50" s="249">
        <f>IF(AN$23&gt;0, Assumptions!$G65, 0)</f>
        <v>9100</v>
      </c>
      <c r="AO50" s="249">
        <f>IF(AO$23&gt;0, Assumptions!$G65, 0)</f>
        <v>9100</v>
      </c>
      <c r="AP50" s="249">
        <f>IF(AP$23&gt;0, Assumptions!$G65, 0)</f>
        <v>9100</v>
      </c>
      <c r="AQ50" s="249">
        <f>IF(AQ$23&gt;0, Assumptions!$G65, 0)</f>
        <v>9100</v>
      </c>
      <c r="AR50" s="249">
        <f>IF(AR$23&gt;0, Assumptions!$G65, 0)</f>
        <v>9100</v>
      </c>
      <c r="AS50" s="249">
        <f>IF(AS$23&gt;0, Assumptions!$G65, 0)</f>
        <v>9100</v>
      </c>
      <c r="AT50" s="249">
        <f>IF(AT$23&gt;0, Assumptions!$G65, 0)</f>
        <v>9100</v>
      </c>
      <c r="AU50" s="249">
        <f>IF(AU$23&gt;0, Assumptions!$G65, 0)</f>
        <v>9100</v>
      </c>
      <c r="AV50" s="249">
        <f>IF(AV$23&gt;0, Assumptions!$G65, 0)</f>
        <v>9100</v>
      </c>
      <c r="AW50" s="249">
        <f>IF(AW$23&gt;0, Assumptions!$G65, 0)</f>
        <v>9100</v>
      </c>
      <c r="AX50" s="249">
        <f>IF(AX$23&gt;0, Assumptions!$G65, 0)</f>
        <v>9100</v>
      </c>
      <c r="AY50" s="249">
        <f>IF(AY$23&gt;0, Assumptions!$G65, 0)</f>
        <v>9100</v>
      </c>
      <c r="AZ50" s="249">
        <f>IF(AZ$23&gt;0, Assumptions!$G65, 0)</f>
        <v>9100</v>
      </c>
      <c r="BA50" s="249">
        <f>IF(BA$23&gt;0, Assumptions!$G65, 0)</f>
        <v>9100</v>
      </c>
      <c r="BB50" s="249">
        <f>IF(BB$23&gt;0, Assumptions!$G65, 0)</f>
        <v>9100</v>
      </c>
      <c r="BC50" s="249">
        <f>IF(BC$23&gt;0, Assumptions!$G65, 0)</f>
        <v>9100</v>
      </c>
      <c r="BD50" s="249">
        <f>IF(BD$23&gt;0, Assumptions!$G65, 0)</f>
        <v>9100</v>
      </c>
      <c r="BE50" s="249">
        <f>IF(BE$23&gt;0, Assumptions!$G65, 0)</f>
        <v>9100</v>
      </c>
      <c r="BF50" s="249">
        <f>IF(BF$23&gt;0, Assumptions!$G65, 0)</f>
        <v>9100</v>
      </c>
      <c r="BG50" s="249">
        <f>IF(BG$23&gt;0, Assumptions!$G65, 0)</f>
        <v>9100</v>
      </c>
      <c r="BH50" s="249">
        <f>IF(BH$23&gt;0, Assumptions!$G65, 0)</f>
        <v>9100</v>
      </c>
      <c r="BI50" s="249">
        <f>IF(BI$23&gt;0, Assumptions!$G65, 0)</f>
        <v>9100</v>
      </c>
      <c r="BJ50" s="249">
        <f>IF(BJ$23&gt;0, Assumptions!$G65, 0)</f>
        <v>9100</v>
      </c>
      <c r="BK50" s="249">
        <f>IF(BK$23&gt;0, Assumptions!$G65, 0)</f>
        <v>9100</v>
      </c>
      <c r="BL50" s="249">
        <f>IF(BL$23&gt;0, Assumptions!$G65, 0)</f>
        <v>9100</v>
      </c>
      <c r="BM50" s="249">
        <f>IF(BM$23&gt;0, Assumptions!$G65, 0)</f>
        <v>9100</v>
      </c>
      <c r="BN50" s="249">
        <f>IF(BN$23&gt;0, Assumptions!$G65, 0)</f>
        <v>9100</v>
      </c>
      <c r="BO50" s="249">
        <f>IF(BO$23&gt;0, Assumptions!$G65, 0)</f>
        <v>9100</v>
      </c>
      <c r="BP50" s="249">
        <f>IF(BP$23&gt;0, Assumptions!$G65, 0)</f>
        <v>9100</v>
      </c>
      <c r="BQ50" s="249">
        <f>IF(BQ$23&gt;0, Assumptions!$G65, 0)</f>
        <v>9100</v>
      </c>
      <c r="BR50" s="249">
        <f>IF(BR$23&gt;0, Assumptions!$G65, 0)</f>
        <v>9100</v>
      </c>
      <c r="BS50" s="249">
        <f>IF(BS$23&gt;0, Assumptions!$G65, 0)</f>
        <v>9100</v>
      </c>
      <c r="BT50" s="249">
        <f>IF(BT$23&gt;0, Assumptions!$G65, 0)</f>
        <v>9100</v>
      </c>
      <c r="BU50" s="249">
        <f>IF(BU$23&gt;0, Assumptions!$G65, 0)</f>
        <v>9100</v>
      </c>
      <c r="BV50" s="249">
        <f>IF(BV$23&gt;0, Assumptions!$G65, 0)</f>
        <v>9100</v>
      </c>
      <c r="BW50" s="249">
        <f>IF(BW$23&gt;0, Assumptions!$G65, 0)</f>
        <v>9100</v>
      </c>
      <c r="BX50" s="249">
        <f>IF(BX$23&gt;0, Assumptions!$G65, 0)</f>
        <v>9100</v>
      </c>
      <c r="BY50" s="249">
        <f>IF(BY$23&gt;0, Assumptions!$G65, 0)</f>
        <v>9100</v>
      </c>
      <c r="BZ50" s="249">
        <f>IF(BZ$23&gt;0, Assumptions!$G65, 0)</f>
        <v>9100</v>
      </c>
      <c r="CA50" s="249">
        <f>IF(CA$23&gt;0, Assumptions!$G65, 0)</f>
        <v>9100</v>
      </c>
      <c r="CB50" s="249">
        <f>IF(CB$23&gt;0, Assumptions!$G65, 0)</f>
        <v>9100</v>
      </c>
      <c r="CC50" s="249">
        <f>IF(CC$23&gt;0, Assumptions!$G65, 0)</f>
        <v>9100</v>
      </c>
      <c r="CD50" s="249">
        <f>IF(CD$23&gt;0, Assumptions!$G65, 0)</f>
        <v>9100</v>
      </c>
      <c r="CE50" s="249">
        <f>IF(CE$23&gt;0, Assumptions!$G65, 0)</f>
        <v>9100</v>
      </c>
      <c r="CF50" s="249">
        <f>IF(CF$23&gt;0, Assumptions!$G65, 0)</f>
        <v>9100</v>
      </c>
      <c r="CG50" s="249">
        <f>IF(CG$23&gt;0, Assumptions!$G65, 0)</f>
        <v>9100</v>
      </c>
      <c r="CH50" s="249">
        <f>IF(CH$23&gt;0, Assumptions!$G65, 0)</f>
        <v>9100</v>
      </c>
      <c r="CI50" s="249">
        <f>IF(CI$23&gt;0, Assumptions!$G65, 0)</f>
        <v>9100</v>
      </c>
      <c r="CJ50" s="249">
        <f>IF(CJ$23&gt;0, Assumptions!$G65, 0)</f>
        <v>9100</v>
      </c>
      <c r="CK50" s="249">
        <f>IF(CK$23&gt;0, Assumptions!$G65, 0)</f>
        <v>9100</v>
      </c>
      <c r="CL50" s="249">
        <f>IF(CL$23&gt;0, Assumptions!$G65, 0)</f>
        <v>9100</v>
      </c>
      <c r="CM50" s="249">
        <f>IF(CM$23&gt;0, Assumptions!$G65, 0)</f>
        <v>9100</v>
      </c>
      <c r="CN50" s="249">
        <f>IF(CN$23&gt;0, Assumptions!$G65, 0)</f>
        <v>9100</v>
      </c>
      <c r="CO50" s="249">
        <f>IF(CO$23&gt;0, Assumptions!$G65, 0)</f>
        <v>9100</v>
      </c>
      <c r="CP50" s="249">
        <f>IF(CP$23&gt;0, Assumptions!$G65, 0)</f>
        <v>9100</v>
      </c>
      <c r="CQ50" s="249">
        <f>IF(CQ$23&gt;0, Assumptions!$G65, 0)</f>
        <v>9100</v>
      </c>
      <c r="CR50" s="249">
        <f>IF(CR$23&gt;0, Assumptions!$G65, 0)</f>
        <v>9100</v>
      </c>
      <c r="CS50" s="249">
        <f>IF(CS$23&gt;0, Assumptions!$G65, 0)</f>
        <v>9100</v>
      </c>
      <c r="CT50" s="249">
        <f>IF(CT$23&gt;0, Assumptions!$G65, 0)</f>
        <v>9100</v>
      </c>
      <c r="CU50" s="249">
        <f>IF(CU$23&gt;0, Assumptions!$G65, 0)</f>
        <v>9100</v>
      </c>
      <c r="CV50" s="249">
        <f>IF(CV$23&gt;0, Assumptions!$G65, 0)</f>
        <v>9100</v>
      </c>
      <c r="CW50" s="249">
        <f>IF(CW$23&gt;0, Assumptions!$G65, 0)</f>
        <v>9100</v>
      </c>
      <c r="CX50" s="249">
        <f>IF(CX$23&gt;0, Assumptions!$G65, 0)</f>
        <v>9100</v>
      </c>
      <c r="CY50" s="249">
        <f>IF(CY$23&gt;0, Assumptions!$G65, 0)</f>
        <v>9100</v>
      </c>
      <c r="CZ50" s="249">
        <f>IF(CZ$23&gt;0, Assumptions!$G65, 0)</f>
        <v>9100</v>
      </c>
      <c r="DA50" s="249">
        <f>IF(DA$23&gt;0, Assumptions!$G65, 0)</f>
        <v>9100</v>
      </c>
      <c r="DB50" s="249">
        <f>IF(DB$23&gt;0, Assumptions!$G65, 0)</f>
        <v>9100</v>
      </c>
      <c r="DC50" s="249">
        <f>IF(DC$23&gt;0, Assumptions!$G65, 0)</f>
        <v>9100</v>
      </c>
      <c r="DD50" s="249">
        <f>IF(DD$23&gt;0, Assumptions!$G65, 0)</f>
        <v>9100</v>
      </c>
      <c r="DE50" s="249">
        <f>IF(DE$23&gt;0, Assumptions!$G65, 0)</f>
        <v>9100</v>
      </c>
      <c r="DF50" s="249">
        <f>IF(DF$23&gt;0, Assumptions!$G65, 0)</f>
        <v>9100</v>
      </c>
      <c r="DG50" s="249">
        <f>IF(DG$23&gt;0, Assumptions!$G65, 0)</f>
        <v>9100</v>
      </c>
      <c r="DH50" s="249">
        <f>IF(DH$23&gt;0, Assumptions!$G65, 0)</f>
        <v>9100</v>
      </c>
      <c r="DI50" s="249">
        <f>IF(DI$23&gt;0, Assumptions!$G65, 0)</f>
        <v>9100</v>
      </c>
      <c r="DJ50" s="249">
        <f>IF(DJ$23&gt;0, Assumptions!$G65, 0)</f>
        <v>9100</v>
      </c>
      <c r="DK50" s="249">
        <f>IF(DK$23&gt;0, Assumptions!$G65, 0)</f>
        <v>9100</v>
      </c>
      <c r="DL50" s="249">
        <f>IF(DL$23&gt;0, Assumptions!$G65, 0)</f>
        <v>9100</v>
      </c>
      <c r="DM50" s="249">
        <f>IF(DM$23&gt;0, Assumptions!$G65, 0)</f>
        <v>9100</v>
      </c>
      <c r="DN50" s="249">
        <f>IF(DN$23&gt;0, Assumptions!$G65, 0)</f>
        <v>9100</v>
      </c>
      <c r="DO50" s="249">
        <f>IF(DO$23&gt;0, Assumptions!$G65, 0)</f>
        <v>9100</v>
      </c>
      <c r="DP50" s="249">
        <f>IF(DP$23&gt;0, Assumptions!$G65, 0)</f>
        <v>9100</v>
      </c>
      <c r="DQ50" s="249">
        <f>IF(DQ$23&gt;0, Assumptions!$G65, 0)</f>
        <v>9100</v>
      </c>
      <c r="DR50" s="249">
        <f>IF(DR$23&gt;0, Assumptions!$G65, 0)</f>
        <v>9100</v>
      </c>
      <c r="DS50" s="249">
        <f>IF(DS$23&gt;0, Assumptions!$G65, 0)</f>
        <v>9100</v>
      </c>
      <c r="DT50" s="249">
        <f>IF(DT$23&gt;0, Assumptions!$G65, 0)</f>
        <v>9100</v>
      </c>
      <c r="DU50" s="249">
        <f>IF(DU$23&gt;0, Assumptions!$G65, 0)</f>
        <v>9100</v>
      </c>
      <c r="DV50" s="249">
        <f>IF(DV$23&gt;0, Assumptions!$G65, 0)</f>
        <v>9100</v>
      </c>
      <c r="DW50" s="249">
        <f>IF(DW$23&gt;0, Assumptions!$G65, 0)</f>
        <v>9100</v>
      </c>
      <c r="DX50" s="249">
        <f>IF(DX$23&gt;0, Assumptions!$G65, 0)</f>
        <v>9100</v>
      </c>
      <c r="DY50" s="249">
        <f>IF(DY$23&gt;0, Assumptions!$G65, 0)</f>
        <v>9100</v>
      </c>
      <c r="DZ50" s="249">
        <f>IF(DZ$23&gt;0, Assumptions!$G65, 0)</f>
        <v>9100</v>
      </c>
      <c r="EA50" s="249">
        <f>IF(EA$23&gt;0, Assumptions!$G65, 0)</f>
        <v>9100</v>
      </c>
      <c r="EB50" s="249">
        <f>IF(EB$23&gt;0, Assumptions!$G65, 0)</f>
        <v>9100</v>
      </c>
      <c r="EC50" s="249">
        <f>IF(EC$23&gt;0, Assumptions!$G65, 0)</f>
        <v>9100</v>
      </c>
      <c r="ED50" s="249">
        <f>IF(ED$23&gt;0, Assumptions!$G65, 0)</f>
        <v>9100</v>
      </c>
      <c r="EE50" s="249">
        <f>IF(EE$23&gt;0, Assumptions!$G65, 0)</f>
        <v>9100</v>
      </c>
      <c r="EF50" s="249">
        <f>IF(EF$23&gt;0, Assumptions!$G65, 0)</f>
        <v>9100</v>
      </c>
      <c r="EG50" s="249">
        <f>IF(EG$23&gt;0, Assumptions!$G65, 0)</f>
        <v>9100</v>
      </c>
      <c r="EH50" s="249">
        <f>IF(EH$23&gt;0, Assumptions!$G65, 0)</f>
        <v>9100</v>
      </c>
      <c r="EI50" s="249">
        <f>IF(EI$23&gt;0, Assumptions!$G65, 0)</f>
        <v>9100</v>
      </c>
      <c r="EJ50" s="249">
        <f>IF(EJ$23&gt;0, Assumptions!$G65, 0)</f>
        <v>9100</v>
      </c>
      <c r="EK50" s="249">
        <f>IF(EK$23&gt;0, Assumptions!$G65, 0)</f>
        <v>9100</v>
      </c>
      <c r="EL50" s="249">
        <f>IF(EL$23&gt;0, Assumptions!$G65, 0)</f>
        <v>9100</v>
      </c>
      <c r="EM50" s="249">
        <f>IF(EM$23&gt;0, Assumptions!$G65, 0)</f>
        <v>9100</v>
      </c>
      <c r="EN50" s="249">
        <f>IF(EN$23&gt;0, Assumptions!$G65, 0)</f>
        <v>9100</v>
      </c>
      <c r="EO50" s="249">
        <f>IF(EO$23&gt;0, Assumptions!$G65, 0)</f>
        <v>9100</v>
      </c>
      <c r="EP50" s="249">
        <f>IF(EP$23&gt;0, Assumptions!$G65, 0)</f>
        <v>9100</v>
      </c>
      <c r="EQ50" s="249">
        <f>IF(EQ$23&gt;0, Assumptions!$G65, 0)</f>
        <v>9100</v>
      </c>
      <c r="ER50" s="249">
        <f>IF(ER$23&gt;0, Assumptions!$G65, 0)</f>
        <v>9100</v>
      </c>
      <c r="ES50" s="249">
        <f>IF(ES$23&gt;0, Assumptions!$G65, 0)</f>
        <v>9100</v>
      </c>
      <c r="ET50" s="249">
        <f>IF(ET$23&gt;0, Assumptions!$G65, 0)</f>
        <v>9100</v>
      </c>
      <c r="EU50" s="249">
        <f>IF(EU$23&gt;0, Assumptions!$G65, 0)</f>
        <v>9100</v>
      </c>
      <c r="EV50" s="249">
        <f>IF(EV$23&gt;0, Assumptions!$G65, 0)</f>
        <v>9100</v>
      </c>
      <c r="EW50" s="249">
        <f>IF(EW$23&gt;0, Assumptions!$G65, 0)</f>
        <v>9100</v>
      </c>
      <c r="EX50" s="249">
        <f>IF(EX$23&gt;0, Assumptions!$G65, 0)</f>
        <v>9100</v>
      </c>
      <c r="EY50" s="249">
        <f>IF(EY$23&gt;0, Assumptions!$G65, 0)</f>
        <v>9100</v>
      </c>
      <c r="EZ50" s="249">
        <f>IF(EZ$23&gt;0, Assumptions!$G65, 0)</f>
        <v>9100</v>
      </c>
      <c r="FA50" s="249">
        <f>IF(FA$23&gt;0, Assumptions!$G65, 0)</f>
        <v>9100</v>
      </c>
      <c r="FB50" s="249">
        <f>IF(FB$23&gt;0, Assumptions!$G65, 0)</f>
        <v>9100</v>
      </c>
      <c r="FC50" s="249">
        <f>IF(FC$23&gt;0, Assumptions!$G65, 0)</f>
        <v>9100</v>
      </c>
      <c r="FD50" s="249">
        <f>IF(FD$23&gt;0, Assumptions!$G65, 0)</f>
        <v>9100</v>
      </c>
      <c r="FE50" s="249">
        <f>IF(FE$23&gt;0, Assumptions!$G65, 0)</f>
        <v>9100</v>
      </c>
      <c r="FF50" s="249">
        <f>IF(FF$23&gt;0, Assumptions!$G65, 0)</f>
        <v>9100</v>
      </c>
      <c r="FG50" s="249">
        <f>IF(FG$23&gt;0, Assumptions!$G65, 0)</f>
        <v>9100</v>
      </c>
      <c r="FH50" s="249">
        <f>IF(FH$23&gt;0, Assumptions!$G65, 0)</f>
        <v>9100</v>
      </c>
      <c r="FI50" s="249">
        <f>IF(FI$23&gt;0, Assumptions!$G65, 0)</f>
        <v>9100</v>
      </c>
      <c r="FJ50" s="249">
        <f>IF(FJ$23&gt;0, Assumptions!$G65, 0)</f>
        <v>9100</v>
      </c>
      <c r="FK50" s="249">
        <f>IF(FK$23&gt;0, Assumptions!$G65, 0)</f>
        <v>9100</v>
      </c>
      <c r="FL50" s="249">
        <f>IF(FL$23&gt;0, Assumptions!$G65, 0)</f>
        <v>9100</v>
      </c>
      <c r="FM50" s="249">
        <f>IF(FM$23&gt;0, Assumptions!$G65, 0)</f>
        <v>9100</v>
      </c>
      <c r="FN50" s="249">
        <f>IF(FN$23&gt;0, Assumptions!$G65, 0)</f>
        <v>9100</v>
      </c>
      <c r="FO50" s="249">
        <f>IF(FO$23&gt;0, Assumptions!$G65, 0)</f>
        <v>9100</v>
      </c>
      <c r="FP50" s="249">
        <f>IF(FP$23&gt;0, Assumptions!$G65, 0)</f>
        <v>9100</v>
      </c>
      <c r="FQ50" s="249">
        <f>IF(FQ$23&gt;0, Assumptions!$G65, 0)</f>
        <v>9100</v>
      </c>
      <c r="FR50" s="249">
        <f>IF(FR$23&gt;0, Assumptions!$G65, 0)</f>
        <v>9100</v>
      </c>
      <c r="FS50" s="249">
        <f>IF(FS$23&gt;0, Assumptions!$G65, 0)</f>
        <v>9100</v>
      </c>
      <c r="FT50" s="249">
        <f>IF(FT$23&gt;0, Assumptions!$G65, 0)</f>
        <v>9100</v>
      </c>
      <c r="FU50" s="249">
        <f>IF(FU$23&gt;0, Assumptions!$G65, 0)</f>
        <v>9100</v>
      </c>
      <c r="FV50" s="249">
        <f>IF(FV$23&gt;0, Assumptions!$G65, 0)</f>
        <v>9100</v>
      </c>
      <c r="FW50" s="249">
        <f>IF(FW$23&gt;0, Assumptions!$G65, 0)</f>
        <v>9100</v>
      </c>
      <c r="FX50" s="249">
        <f>IF(FX$23&gt;0, Assumptions!$G65, 0)</f>
        <v>9100</v>
      </c>
      <c r="FY50" s="249">
        <f>IF(FY$23&gt;0, Assumptions!$G65, 0)</f>
        <v>9100</v>
      </c>
      <c r="FZ50" s="249">
        <f>IF(FZ$23&gt;0, Assumptions!$G65, 0)</f>
        <v>9100</v>
      </c>
      <c r="GA50" s="249">
        <f>IF(GA$23&gt;0, Assumptions!$G65, 0)</f>
        <v>9100</v>
      </c>
      <c r="GB50" s="249">
        <f>IF(GB$23&gt;0, Assumptions!$G65, 0)</f>
        <v>9100</v>
      </c>
      <c r="GC50" s="249">
        <f>IF(GC$23&gt;0, Assumptions!$G65, 0)</f>
        <v>9100</v>
      </c>
    </row>
    <row r="51" spans="1:185">
      <c r="A51" s="80"/>
      <c r="B51" s="80" t="s">
        <v>99</v>
      </c>
      <c r="C51" s="80" t="s">
        <v>35</v>
      </c>
      <c r="D51" s="80"/>
      <c r="E51" s="82">
        <f>SUM(F51:GC51)</f>
        <v>10345400</v>
      </c>
      <c r="F51" s="102">
        <f t="shared" ref="F51:G51" si="27">SUM(F43:F49)</f>
        <v>0</v>
      </c>
      <c r="G51" s="102">
        <f t="shared" si="27"/>
        <v>0</v>
      </c>
      <c r="H51" s="102">
        <f>SUM(H43:H49)</f>
        <v>0</v>
      </c>
      <c r="I51" s="102">
        <f>SUM(I43:I49)</f>
        <v>0</v>
      </c>
      <c r="J51" s="102">
        <f>SUM(J43:J49)</f>
        <v>0</v>
      </c>
      <c r="K51" s="102">
        <f t="shared" ref="K51:AP51" si="28">SUM(K44:K50)</f>
        <v>0</v>
      </c>
      <c r="L51" s="102">
        <f t="shared" si="28"/>
        <v>0</v>
      </c>
      <c r="M51" s="102">
        <f t="shared" si="28"/>
        <v>59800</v>
      </c>
      <c r="N51" s="102">
        <f t="shared" si="28"/>
        <v>59800</v>
      </c>
      <c r="O51" s="102">
        <f t="shared" si="28"/>
        <v>59800</v>
      </c>
      <c r="P51" s="102">
        <f t="shared" si="28"/>
        <v>59800</v>
      </c>
      <c r="Q51" s="102">
        <f t="shared" si="28"/>
        <v>59800</v>
      </c>
      <c r="R51" s="102">
        <f t="shared" si="28"/>
        <v>59800</v>
      </c>
      <c r="S51" s="102">
        <f t="shared" si="28"/>
        <v>59800</v>
      </c>
      <c r="T51" s="102">
        <f t="shared" si="28"/>
        <v>59800</v>
      </c>
      <c r="U51" s="102">
        <f t="shared" si="28"/>
        <v>59800</v>
      </c>
      <c r="V51" s="102">
        <f t="shared" si="28"/>
        <v>59800</v>
      </c>
      <c r="W51" s="102">
        <f t="shared" si="28"/>
        <v>59800</v>
      </c>
      <c r="X51" s="102">
        <f t="shared" si="28"/>
        <v>59800</v>
      </c>
      <c r="Y51" s="102">
        <f t="shared" si="28"/>
        <v>59800</v>
      </c>
      <c r="Z51" s="102">
        <f t="shared" si="28"/>
        <v>59800</v>
      </c>
      <c r="AA51" s="102">
        <f t="shared" si="28"/>
        <v>59800</v>
      </c>
      <c r="AB51" s="102">
        <f t="shared" si="28"/>
        <v>59800</v>
      </c>
      <c r="AC51" s="102">
        <f t="shared" si="28"/>
        <v>59800</v>
      </c>
      <c r="AD51" s="102">
        <f t="shared" si="28"/>
        <v>59800</v>
      </c>
      <c r="AE51" s="102">
        <f t="shared" si="28"/>
        <v>59800</v>
      </c>
      <c r="AF51" s="102">
        <f t="shared" si="28"/>
        <v>59800</v>
      </c>
      <c r="AG51" s="102">
        <f t="shared" si="28"/>
        <v>59800</v>
      </c>
      <c r="AH51" s="102">
        <f t="shared" si="28"/>
        <v>59800</v>
      </c>
      <c r="AI51" s="102">
        <f t="shared" si="28"/>
        <v>59800</v>
      </c>
      <c r="AJ51" s="102">
        <f t="shared" si="28"/>
        <v>59800</v>
      </c>
      <c r="AK51" s="102">
        <f t="shared" si="28"/>
        <v>59800</v>
      </c>
      <c r="AL51" s="102">
        <f t="shared" si="28"/>
        <v>59800</v>
      </c>
      <c r="AM51" s="102">
        <f t="shared" si="28"/>
        <v>59800</v>
      </c>
      <c r="AN51" s="102">
        <f t="shared" si="28"/>
        <v>59800</v>
      </c>
      <c r="AO51" s="102">
        <f t="shared" si="28"/>
        <v>59800</v>
      </c>
      <c r="AP51" s="102">
        <f t="shared" si="28"/>
        <v>59800</v>
      </c>
      <c r="AQ51" s="102">
        <f t="shared" ref="AQ51:BV51" si="29">SUM(AQ44:AQ50)</f>
        <v>59800</v>
      </c>
      <c r="AR51" s="102">
        <f t="shared" si="29"/>
        <v>59800</v>
      </c>
      <c r="AS51" s="102">
        <f t="shared" si="29"/>
        <v>59800</v>
      </c>
      <c r="AT51" s="102">
        <f t="shared" si="29"/>
        <v>59800</v>
      </c>
      <c r="AU51" s="102">
        <f t="shared" si="29"/>
        <v>59800</v>
      </c>
      <c r="AV51" s="102">
        <f t="shared" si="29"/>
        <v>59800</v>
      </c>
      <c r="AW51" s="102">
        <f t="shared" si="29"/>
        <v>59800</v>
      </c>
      <c r="AX51" s="102">
        <f t="shared" si="29"/>
        <v>59800</v>
      </c>
      <c r="AY51" s="102">
        <f t="shared" si="29"/>
        <v>59800</v>
      </c>
      <c r="AZ51" s="102">
        <f t="shared" si="29"/>
        <v>59800</v>
      </c>
      <c r="BA51" s="102">
        <f t="shared" si="29"/>
        <v>59800</v>
      </c>
      <c r="BB51" s="102">
        <f t="shared" si="29"/>
        <v>59800</v>
      </c>
      <c r="BC51" s="102">
        <f t="shared" si="29"/>
        <v>59800</v>
      </c>
      <c r="BD51" s="102">
        <f t="shared" si="29"/>
        <v>59800</v>
      </c>
      <c r="BE51" s="102">
        <f t="shared" si="29"/>
        <v>59800</v>
      </c>
      <c r="BF51" s="102">
        <f t="shared" si="29"/>
        <v>59800</v>
      </c>
      <c r="BG51" s="102">
        <f t="shared" si="29"/>
        <v>59800</v>
      </c>
      <c r="BH51" s="102">
        <f t="shared" si="29"/>
        <v>59800</v>
      </c>
      <c r="BI51" s="102">
        <f t="shared" si="29"/>
        <v>59800</v>
      </c>
      <c r="BJ51" s="102">
        <f t="shared" si="29"/>
        <v>59800</v>
      </c>
      <c r="BK51" s="102">
        <f t="shared" si="29"/>
        <v>59800</v>
      </c>
      <c r="BL51" s="102">
        <f t="shared" si="29"/>
        <v>59800</v>
      </c>
      <c r="BM51" s="102">
        <f t="shared" si="29"/>
        <v>59800</v>
      </c>
      <c r="BN51" s="102">
        <f t="shared" si="29"/>
        <v>59800</v>
      </c>
      <c r="BO51" s="102">
        <f t="shared" si="29"/>
        <v>59800</v>
      </c>
      <c r="BP51" s="102">
        <f t="shared" si="29"/>
        <v>59800</v>
      </c>
      <c r="BQ51" s="102">
        <f t="shared" si="29"/>
        <v>59800</v>
      </c>
      <c r="BR51" s="102">
        <f t="shared" si="29"/>
        <v>59800</v>
      </c>
      <c r="BS51" s="102">
        <f t="shared" si="29"/>
        <v>59800</v>
      </c>
      <c r="BT51" s="102">
        <f t="shared" si="29"/>
        <v>59800</v>
      </c>
      <c r="BU51" s="102">
        <f t="shared" si="29"/>
        <v>59800</v>
      </c>
      <c r="BV51" s="102">
        <f t="shared" si="29"/>
        <v>59800</v>
      </c>
      <c r="BW51" s="102">
        <f t="shared" ref="BW51:DB51" si="30">SUM(BW44:BW50)</f>
        <v>59800</v>
      </c>
      <c r="BX51" s="102">
        <f t="shared" si="30"/>
        <v>59800</v>
      </c>
      <c r="BY51" s="102">
        <f t="shared" si="30"/>
        <v>59800</v>
      </c>
      <c r="BZ51" s="102">
        <f t="shared" si="30"/>
        <v>59800</v>
      </c>
      <c r="CA51" s="102">
        <f t="shared" si="30"/>
        <v>59800</v>
      </c>
      <c r="CB51" s="102">
        <f t="shared" si="30"/>
        <v>59800</v>
      </c>
      <c r="CC51" s="102">
        <f t="shared" si="30"/>
        <v>59800</v>
      </c>
      <c r="CD51" s="102">
        <f t="shared" si="30"/>
        <v>59800</v>
      </c>
      <c r="CE51" s="102">
        <f t="shared" si="30"/>
        <v>59800</v>
      </c>
      <c r="CF51" s="102">
        <f t="shared" si="30"/>
        <v>59800</v>
      </c>
      <c r="CG51" s="102">
        <f t="shared" si="30"/>
        <v>59800</v>
      </c>
      <c r="CH51" s="102">
        <f t="shared" si="30"/>
        <v>59800</v>
      </c>
      <c r="CI51" s="102">
        <f t="shared" si="30"/>
        <v>59800</v>
      </c>
      <c r="CJ51" s="102">
        <f t="shared" si="30"/>
        <v>59800</v>
      </c>
      <c r="CK51" s="102">
        <f t="shared" si="30"/>
        <v>59800</v>
      </c>
      <c r="CL51" s="102">
        <f t="shared" si="30"/>
        <v>59800</v>
      </c>
      <c r="CM51" s="102">
        <f t="shared" si="30"/>
        <v>59800</v>
      </c>
      <c r="CN51" s="102">
        <f t="shared" si="30"/>
        <v>59800</v>
      </c>
      <c r="CO51" s="102">
        <f t="shared" si="30"/>
        <v>59800</v>
      </c>
      <c r="CP51" s="102">
        <f t="shared" si="30"/>
        <v>59800</v>
      </c>
      <c r="CQ51" s="102">
        <f t="shared" si="30"/>
        <v>59800</v>
      </c>
      <c r="CR51" s="102">
        <f t="shared" si="30"/>
        <v>59800</v>
      </c>
      <c r="CS51" s="102">
        <f t="shared" si="30"/>
        <v>59800</v>
      </c>
      <c r="CT51" s="102">
        <f t="shared" si="30"/>
        <v>59800</v>
      </c>
      <c r="CU51" s="102">
        <f t="shared" si="30"/>
        <v>59800</v>
      </c>
      <c r="CV51" s="102">
        <f t="shared" si="30"/>
        <v>59800</v>
      </c>
      <c r="CW51" s="102">
        <f t="shared" si="30"/>
        <v>59800</v>
      </c>
      <c r="CX51" s="102">
        <f t="shared" si="30"/>
        <v>59800</v>
      </c>
      <c r="CY51" s="102">
        <f t="shared" si="30"/>
        <v>59800</v>
      </c>
      <c r="CZ51" s="102">
        <f t="shared" si="30"/>
        <v>59800</v>
      </c>
      <c r="DA51" s="102">
        <f t="shared" si="30"/>
        <v>59800</v>
      </c>
      <c r="DB51" s="102">
        <f t="shared" si="30"/>
        <v>59800</v>
      </c>
      <c r="DC51" s="102">
        <f t="shared" ref="DC51:EH51" si="31">SUM(DC44:DC50)</f>
        <v>59800</v>
      </c>
      <c r="DD51" s="102">
        <f t="shared" si="31"/>
        <v>59800</v>
      </c>
      <c r="DE51" s="102">
        <f t="shared" si="31"/>
        <v>59800</v>
      </c>
      <c r="DF51" s="102">
        <f t="shared" si="31"/>
        <v>59800</v>
      </c>
      <c r="DG51" s="102">
        <f t="shared" si="31"/>
        <v>59800</v>
      </c>
      <c r="DH51" s="102">
        <f t="shared" si="31"/>
        <v>59800</v>
      </c>
      <c r="DI51" s="102">
        <f t="shared" si="31"/>
        <v>59800</v>
      </c>
      <c r="DJ51" s="102">
        <f t="shared" si="31"/>
        <v>59800</v>
      </c>
      <c r="DK51" s="102">
        <f t="shared" si="31"/>
        <v>59800</v>
      </c>
      <c r="DL51" s="102">
        <f t="shared" si="31"/>
        <v>59800</v>
      </c>
      <c r="DM51" s="102">
        <f t="shared" si="31"/>
        <v>59800</v>
      </c>
      <c r="DN51" s="102">
        <f t="shared" si="31"/>
        <v>59800</v>
      </c>
      <c r="DO51" s="102">
        <f t="shared" si="31"/>
        <v>59800</v>
      </c>
      <c r="DP51" s="102">
        <f t="shared" si="31"/>
        <v>59800</v>
      </c>
      <c r="DQ51" s="102">
        <f t="shared" si="31"/>
        <v>59800</v>
      </c>
      <c r="DR51" s="102">
        <f t="shared" si="31"/>
        <v>59800</v>
      </c>
      <c r="DS51" s="102">
        <f t="shared" si="31"/>
        <v>59800</v>
      </c>
      <c r="DT51" s="102">
        <f t="shared" si="31"/>
        <v>59800</v>
      </c>
      <c r="DU51" s="102">
        <f t="shared" si="31"/>
        <v>59800</v>
      </c>
      <c r="DV51" s="102">
        <f t="shared" si="31"/>
        <v>59800</v>
      </c>
      <c r="DW51" s="102">
        <f t="shared" si="31"/>
        <v>59800</v>
      </c>
      <c r="DX51" s="102">
        <f t="shared" si="31"/>
        <v>59800</v>
      </c>
      <c r="DY51" s="102">
        <f t="shared" si="31"/>
        <v>59800</v>
      </c>
      <c r="DZ51" s="102">
        <f t="shared" si="31"/>
        <v>59800</v>
      </c>
      <c r="EA51" s="102">
        <f t="shared" si="31"/>
        <v>59800</v>
      </c>
      <c r="EB51" s="102">
        <f t="shared" si="31"/>
        <v>59800</v>
      </c>
      <c r="EC51" s="102">
        <f t="shared" si="31"/>
        <v>59800</v>
      </c>
      <c r="ED51" s="102">
        <f t="shared" si="31"/>
        <v>59800</v>
      </c>
      <c r="EE51" s="102">
        <f t="shared" si="31"/>
        <v>59800</v>
      </c>
      <c r="EF51" s="102">
        <f t="shared" si="31"/>
        <v>59800</v>
      </c>
      <c r="EG51" s="102">
        <f t="shared" si="31"/>
        <v>59800</v>
      </c>
      <c r="EH51" s="102">
        <f t="shared" si="31"/>
        <v>59800</v>
      </c>
      <c r="EI51" s="102">
        <f t="shared" ref="EI51:FN51" si="32">SUM(EI44:EI50)</f>
        <v>59800</v>
      </c>
      <c r="EJ51" s="102">
        <f t="shared" si="32"/>
        <v>59800</v>
      </c>
      <c r="EK51" s="102">
        <f t="shared" si="32"/>
        <v>59800</v>
      </c>
      <c r="EL51" s="102">
        <f t="shared" si="32"/>
        <v>59800</v>
      </c>
      <c r="EM51" s="102">
        <f t="shared" si="32"/>
        <v>59800</v>
      </c>
      <c r="EN51" s="102">
        <f t="shared" si="32"/>
        <v>59800</v>
      </c>
      <c r="EO51" s="102">
        <f t="shared" si="32"/>
        <v>59800</v>
      </c>
      <c r="EP51" s="102">
        <f t="shared" si="32"/>
        <v>59800</v>
      </c>
      <c r="EQ51" s="102">
        <f t="shared" si="32"/>
        <v>59800</v>
      </c>
      <c r="ER51" s="102">
        <f t="shared" si="32"/>
        <v>59800</v>
      </c>
      <c r="ES51" s="102">
        <f t="shared" si="32"/>
        <v>59800</v>
      </c>
      <c r="ET51" s="102">
        <f t="shared" si="32"/>
        <v>59800</v>
      </c>
      <c r="EU51" s="102">
        <f t="shared" si="32"/>
        <v>59800</v>
      </c>
      <c r="EV51" s="102">
        <f t="shared" si="32"/>
        <v>59800</v>
      </c>
      <c r="EW51" s="102">
        <f t="shared" si="32"/>
        <v>59800</v>
      </c>
      <c r="EX51" s="102">
        <f t="shared" si="32"/>
        <v>59800</v>
      </c>
      <c r="EY51" s="102">
        <f t="shared" si="32"/>
        <v>59800</v>
      </c>
      <c r="EZ51" s="102">
        <f t="shared" si="32"/>
        <v>59800</v>
      </c>
      <c r="FA51" s="102">
        <f t="shared" si="32"/>
        <v>59800</v>
      </c>
      <c r="FB51" s="102">
        <f t="shared" si="32"/>
        <v>59800</v>
      </c>
      <c r="FC51" s="102">
        <f t="shared" si="32"/>
        <v>59800</v>
      </c>
      <c r="FD51" s="102">
        <f t="shared" si="32"/>
        <v>59800</v>
      </c>
      <c r="FE51" s="102">
        <f t="shared" si="32"/>
        <v>59800</v>
      </c>
      <c r="FF51" s="102">
        <f t="shared" si="32"/>
        <v>59800</v>
      </c>
      <c r="FG51" s="102">
        <f t="shared" si="32"/>
        <v>59800</v>
      </c>
      <c r="FH51" s="102">
        <f t="shared" si="32"/>
        <v>59800</v>
      </c>
      <c r="FI51" s="102">
        <f t="shared" si="32"/>
        <v>59800</v>
      </c>
      <c r="FJ51" s="102">
        <f t="shared" si="32"/>
        <v>59800</v>
      </c>
      <c r="FK51" s="102">
        <f t="shared" si="32"/>
        <v>59800</v>
      </c>
      <c r="FL51" s="102">
        <f t="shared" si="32"/>
        <v>59800</v>
      </c>
      <c r="FM51" s="102">
        <f t="shared" si="32"/>
        <v>59800</v>
      </c>
      <c r="FN51" s="102">
        <f t="shared" si="32"/>
        <v>59800</v>
      </c>
      <c r="FO51" s="102">
        <f t="shared" ref="FO51:GC51" si="33">SUM(FO44:FO50)</f>
        <v>59800</v>
      </c>
      <c r="FP51" s="102">
        <f t="shared" si="33"/>
        <v>59800</v>
      </c>
      <c r="FQ51" s="102">
        <f t="shared" si="33"/>
        <v>59800</v>
      </c>
      <c r="FR51" s="102">
        <f t="shared" si="33"/>
        <v>59800</v>
      </c>
      <c r="FS51" s="102">
        <f t="shared" si="33"/>
        <v>59800</v>
      </c>
      <c r="FT51" s="102">
        <f t="shared" si="33"/>
        <v>59800</v>
      </c>
      <c r="FU51" s="102">
        <f t="shared" si="33"/>
        <v>59800</v>
      </c>
      <c r="FV51" s="102">
        <f t="shared" si="33"/>
        <v>59800</v>
      </c>
      <c r="FW51" s="102">
        <f t="shared" si="33"/>
        <v>59800</v>
      </c>
      <c r="FX51" s="102">
        <f t="shared" si="33"/>
        <v>59800</v>
      </c>
      <c r="FY51" s="102">
        <f t="shared" si="33"/>
        <v>59800</v>
      </c>
      <c r="FZ51" s="102">
        <f t="shared" si="33"/>
        <v>59800</v>
      </c>
      <c r="GA51" s="102">
        <f t="shared" si="33"/>
        <v>59800</v>
      </c>
      <c r="GB51" s="102">
        <f t="shared" si="33"/>
        <v>59800</v>
      </c>
      <c r="GC51" s="102">
        <f t="shared" si="33"/>
        <v>59800</v>
      </c>
    </row>
    <row r="52" spans="1:185">
      <c r="A52" s="80"/>
      <c r="B52" s="80" t="s">
        <v>100</v>
      </c>
      <c r="C52" s="80"/>
      <c r="D52" s="80"/>
      <c r="E52" s="103">
        <f>SUM(E51:E51)/SUM(E155:E158)</f>
        <v>3.331006485754151E-2</v>
      </c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0"/>
      <c r="CW52" s="80"/>
      <c r="CX52" s="80"/>
      <c r="CY52" s="80"/>
      <c r="CZ52" s="80"/>
      <c r="DA52" s="80"/>
      <c r="DB52" s="80"/>
      <c r="DC52" s="80"/>
      <c r="DD52" s="80"/>
      <c r="DE52" s="80"/>
      <c r="DF52" s="80"/>
      <c r="DG52" s="80"/>
      <c r="DH52" s="80"/>
      <c r="DI52" s="80"/>
      <c r="DJ52" s="80"/>
      <c r="DK52" s="80"/>
      <c r="DL52" s="80"/>
      <c r="DM52" s="80"/>
      <c r="DN52" s="80"/>
      <c r="DO52" s="80"/>
      <c r="DP52" s="80"/>
      <c r="DQ52" s="80"/>
      <c r="DR52" s="80"/>
      <c r="DS52" s="80"/>
      <c r="DT52" s="80"/>
      <c r="DU52" s="80"/>
      <c r="DV52" s="80"/>
      <c r="DW52" s="80"/>
      <c r="DX52" s="80"/>
      <c r="DY52" s="80"/>
      <c r="DZ52" s="80"/>
      <c r="EA52" s="80"/>
      <c r="EB52" s="80"/>
      <c r="EC52" s="80"/>
      <c r="ED52" s="80"/>
      <c r="EE52" s="80"/>
      <c r="EF52" s="80"/>
      <c r="EG52" s="80"/>
      <c r="EH52" s="80"/>
      <c r="EI52" s="80"/>
      <c r="EJ52" s="80"/>
      <c r="EK52" s="80"/>
      <c r="EL52" s="80"/>
      <c r="EM52" s="80"/>
      <c r="EN52" s="80"/>
      <c r="EO52" s="80"/>
      <c r="EP52" s="80"/>
      <c r="EQ52" s="80"/>
      <c r="ER52" s="80"/>
      <c r="ES52" s="80"/>
      <c r="ET52" s="80"/>
      <c r="EU52" s="80"/>
      <c r="EV52" s="80"/>
      <c r="EW52" s="80"/>
      <c r="EX52" s="80"/>
      <c r="EY52" s="80"/>
      <c r="EZ52" s="80"/>
      <c r="FA52" s="80"/>
      <c r="FB52" s="80"/>
      <c r="FC52" s="80"/>
      <c r="FD52" s="80"/>
      <c r="FE52" s="80"/>
      <c r="FF52" s="80"/>
      <c r="FG52" s="80"/>
      <c r="FH52" s="80"/>
      <c r="FI52" s="80"/>
      <c r="FJ52" s="80"/>
      <c r="FK52" s="80"/>
      <c r="FL52" s="80"/>
      <c r="FM52" s="80"/>
      <c r="FN52" s="80"/>
      <c r="FO52" s="80"/>
      <c r="FP52" s="80"/>
      <c r="FQ52" s="80"/>
      <c r="FR52" s="80"/>
      <c r="FS52" s="80"/>
      <c r="FT52" s="80"/>
      <c r="FU52" s="80"/>
      <c r="FV52" s="80"/>
      <c r="FW52" s="80"/>
      <c r="FX52" s="80"/>
      <c r="FY52" s="80"/>
      <c r="FZ52" s="80"/>
      <c r="GA52" s="80"/>
      <c r="GB52" s="80"/>
      <c r="GC52" s="80"/>
    </row>
    <row r="53" spans="1:185">
      <c r="A53" s="80"/>
      <c r="B53" s="80"/>
      <c r="C53" s="80"/>
      <c r="D53" s="80"/>
      <c r="E53" s="103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/>
      <c r="DG53" s="80"/>
      <c r="DH53" s="80"/>
      <c r="DI53" s="80"/>
      <c r="DJ53" s="80"/>
      <c r="DK53" s="80"/>
      <c r="DL53" s="80"/>
      <c r="DM53" s="80"/>
      <c r="DN53" s="80"/>
      <c r="DO53" s="80"/>
      <c r="DP53" s="80"/>
      <c r="DQ53" s="80"/>
      <c r="DR53" s="80"/>
      <c r="DS53" s="80"/>
      <c r="DT53" s="80"/>
      <c r="DU53" s="80"/>
      <c r="DV53" s="80"/>
      <c r="DW53" s="80"/>
      <c r="DX53" s="80"/>
      <c r="DY53" s="80"/>
      <c r="DZ53" s="80"/>
      <c r="EA53" s="80"/>
      <c r="EB53" s="80"/>
      <c r="EC53" s="80"/>
      <c r="ED53" s="80"/>
      <c r="EE53" s="80"/>
      <c r="EF53" s="80"/>
      <c r="EG53" s="80"/>
      <c r="EH53" s="80"/>
      <c r="EI53" s="80"/>
      <c r="EJ53" s="80"/>
      <c r="EK53" s="80"/>
      <c r="EL53" s="80"/>
      <c r="EM53" s="80"/>
      <c r="EN53" s="80"/>
      <c r="EO53" s="80"/>
      <c r="EP53" s="80"/>
      <c r="EQ53" s="80"/>
      <c r="ER53" s="80"/>
      <c r="ES53" s="80"/>
      <c r="ET53" s="80"/>
      <c r="EU53" s="80"/>
      <c r="EV53" s="80"/>
      <c r="EW53" s="80"/>
      <c r="EX53" s="80"/>
      <c r="EY53" s="80"/>
      <c r="EZ53" s="80"/>
      <c r="FA53" s="80"/>
      <c r="FB53" s="80"/>
      <c r="FC53" s="80"/>
      <c r="FD53" s="80"/>
      <c r="FE53" s="80"/>
      <c r="FF53" s="80"/>
      <c r="FG53" s="80"/>
      <c r="FH53" s="80"/>
      <c r="FI53" s="80"/>
      <c r="FJ53" s="80"/>
      <c r="FK53" s="80"/>
      <c r="FL53" s="80"/>
      <c r="FM53" s="80"/>
      <c r="FN53" s="80"/>
      <c r="FO53" s="80"/>
      <c r="FP53" s="80"/>
      <c r="FQ53" s="80"/>
      <c r="FR53" s="80"/>
      <c r="FS53" s="80"/>
      <c r="FT53" s="80"/>
      <c r="FU53" s="80"/>
      <c r="FV53" s="80"/>
      <c r="FW53" s="80"/>
      <c r="FX53" s="80"/>
      <c r="FY53" s="80"/>
      <c r="FZ53" s="80"/>
      <c r="GA53" s="80"/>
      <c r="GB53" s="80"/>
      <c r="GC53" s="80"/>
    </row>
    <row r="54" spans="1:185">
      <c r="A54" s="6" t="s">
        <v>101</v>
      </c>
      <c r="B54" s="80"/>
      <c r="C54" s="80"/>
      <c r="D54" s="80"/>
      <c r="E54" s="82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80"/>
      <c r="DH54" s="80"/>
      <c r="DI54" s="80"/>
      <c r="DJ54" s="80"/>
      <c r="DK54" s="80"/>
      <c r="DL54" s="80"/>
      <c r="DM54" s="80"/>
      <c r="DN54" s="80"/>
      <c r="DO54" s="80"/>
      <c r="DP54" s="80"/>
      <c r="DQ54" s="80"/>
      <c r="DR54" s="80"/>
      <c r="DS54" s="80"/>
      <c r="DT54" s="80"/>
      <c r="DU54" s="80"/>
      <c r="DV54" s="80"/>
      <c r="DW54" s="80"/>
      <c r="DX54" s="80"/>
      <c r="DY54" s="80"/>
      <c r="DZ54" s="80"/>
      <c r="EA54" s="80"/>
      <c r="EB54" s="80"/>
      <c r="EC54" s="80"/>
      <c r="ED54" s="80"/>
      <c r="EE54" s="80"/>
      <c r="EF54" s="80"/>
      <c r="EG54" s="80"/>
      <c r="EH54" s="80"/>
      <c r="EI54" s="80"/>
      <c r="EJ54" s="80"/>
      <c r="EK54" s="80"/>
      <c r="EL54" s="80"/>
      <c r="EM54" s="80"/>
      <c r="EN54" s="80"/>
      <c r="EO54" s="80"/>
      <c r="EP54" s="80"/>
      <c r="EQ54" s="80"/>
      <c r="ER54" s="80"/>
      <c r="ES54" s="80"/>
      <c r="ET54" s="80"/>
      <c r="EU54" s="80"/>
      <c r="EV54" s="80"/>
      <c r="EW54" s="80"/>
      <c r="EX54" s="80"/>
      <c r="EY54" s="80"/>
      <c r="EZ54" s="80"/>
      <c r="FA54" s="80"/>
      <c r="FB54" s="80"/>
      <c r="FC54" s="80"/>
      <c r="FD54" s="80"/>
      <c r="FE54" s="80"/>
      <c r="FF54" s="80"/>
      <c r="FG54" s="80"/>
      <c r="FH54" s="80"/>
      <c r="FI54" s="80"/>
      <c r="FJ54" s="80"/>
      <c r="FK54" s="80"/>
      <c r="FL54" s="80"/>
      <c r="FM54" s="80"/>
      <c r="FN54" s="80"/>
      <c r="FO54" s="80"/>
      <c r="FP54" s="80"/>
      <c r="FQ54" s="80"/>
      <c r="FR54" s="80"/>
      <c r="FS54" s="80"/>
      <c r="FT54" s="80"/>
      <c r="FU54" s="80"/>
      <c r="FV54" s="80"/>
      <c r="FW54" s="80"/>
      <c r="FX54" s="80"/>
      <c r="FY54" s="80"/>
      <c r="FZ54" s="80"/>
      <c r="GA54" s="80"/>
      <c r="GB54" s="80"/>
      <c r="GC54" s="80"/>
    </row>
    <row r="55" spans="1:185">
      <c r="A55" s="6"/>
      <c r="B55" s="80" t="s">
        <v>102</v>
      </c>
      <c r="C55" s="80"/>
      <c r="D55" s="80"/>
      <c r="E55" s="82"/>
      <c r="F55" s="100">
        <f>IF(F$23&gt;0, 12, 0)</f>
        <v>0</v>
      </c>
      <c r="G55" s="100">
        <f t="shared" ref="G55:BR56" si="34">IF(G$23&gt;0, 12, 0)</f>
        <v>0</v>
      </c>
      <c r="H55" s="100">
        <f t="shared" si="34"/>
        <v>0</v>
      </c>
      <c r="I55" s="100">
        <f t="shared" si="34"/>
        <v>0</v>
      </c>
      <c r="J55" s="100">
        <f t="shared" si="34"/>
        <v>0</v>
      </c>
      <c r="K55" s="100">
        <f t="shared" si="34"/>
        <v>0</v>
      </c>
      <c r="L55" s="100">
        <f t="shared" si="34"/>
        <v>0</v>
      </c>
      <c r="M55" s="100">
        <f t="shared" si="34"/>
        <v>12</v>
      </c>
      <c r="N55" s="100">
        <f t="shared" si="34"/>
        <v>12</v>
      </c>
      <c r="O55" s="100">
        <f t="shared" si="34"/>
        <v>12</v>
      </c>
      <c r="P55" s="100">
        <f t="shared" si="34"/>
        <v>12</v>
      </c>
      <c r="Q55" s="100">
        <f t="shared" si="34"/>
        <v>12</v>
      </c>
      <c r="R55" s="100">
        <f t="shared" si="34"/>
        <v>12</v>
      </c>
      <c r="S55" s="100">
        <f t="shared" si="34"/>
        <v>12</v>
      </c>
      <c r="T55" s="100">
        <f t="shared" si="34"/>
        <v>12</v>
      </c>
      <c r="U55" s="100">
        <f t="shared" si="34"/>
        <v>12</v>
      </c>
      <c r="V55" s="100">
        <f t="shared" si="34"/>
        <v>12</v>
      </c>
      <c r="W55" s="100">
        <f t="shared" si="34"/>
        <v>12</v>
      </c>
      <c r="X55" s="100">
        <f t="shared" si="34"/>
        <v>12</v>
      </c>
      <c r="Y55" s="100">
        <f t="shared" si="34"/>
        <v>12</v>
      </c>
      <c r="Z55" s="100">
        <f t="shared" si="34"/>
        <v>12</v>
      </c>
      <c r="AA55" s="100">
        <f t="shared" si="34"/>
        <v>12</v>
      </c>
      <c r="AB55" s="100">
        <f t="shared" si="34"/>
        <v>12</v>
      </c>
      <c r="AC55" s="100">
        <f t="shared" si="34"/>
        <v>12</v>
      </c>
      <c r="AD55" s="100">
        <f t="shared" si="34"/>
        <v>12</v>
      </c>
      <c r="AE55" s="100">
        <f t="shared" si="34"/>
        <v>12</v>
      </c>
      <c r="AF55" s="100">
        <f t="shared" si="34"/>
        <v>12</v>
      </c>
      <c r="AG55" s="100">
        <f t="shared" si="34"/>
        <v>12</v>
      </c>
      <c r="AH55" s="100">
        <f t="shared" si="34"/>
        <v>12</v>
      </c>
      <c r="AI55" s="100">
        <f t="shared" si="34"/>
        <v>12</v>
      </c>
      <c r="AJ55" s="100">
        <f t="shared" si="34"/>
        <v>12</v>
      </c>
      <c r="AK55" s="100">
        <f t="shared" si="34"/>
        <v>12</v>
      </c>
      <c r="AL55" s="100">
        <f t="shared" si="34"/>
        <v>12</v>
      </c>
      <c r="AM55" s="100">
        <f t="shared" si="34"/>
        <v>12</v>
      </c>
      <c r="AN55" s="100">
        <f t="shared" si="34"/>
        <v>12</v>
      </c>
      <c r="AO55" s="100">
        <f t="shared" si="34"/>
        <v>12</v>
      </c>
      <c r="AP55" s="100">
        <f t="shared" si="34"/>
        <v>12</v>
      </c>
      <c r="AQ55" s="100">
        <f t="shared" si="34"/>
        <v>12</v>
      </c>
      <c r="AR55" s="100">
        <f t="shared" si="34"/>
        <v>12</v>
      </c>
      <c r="AS55" s="100">
        <f t="shared" si="34"/>
        <v>12</v>
      </c>
      <c r="AT55" s="100">
        <f t="shared" si="34"/>
        <v>12</v>
      </c>
      <c r="AU55" s="100">
        <f t="shared" si="34"/>
        <v>12</v>
      </c>
      <c r="AV55" s="100">
        <f t="shared" si="34"/>
        <v>12</v>
      </c>
      <c r="AW55" s="100">
        <f t="shared" si="34"/>
        <v>12</v>
      </c>
      <c r="AX55" s="100">
        <f t="shared" si="34"/>
        <v>12</v>
      </c>
      <c r="AY55" s="100">
        <f t="shared" si="34"/>
        <v>12</v>
      </c>
      <c r="AZ55" s="100">
        <f t="shared" si="34"/>
        <v>12</v>
      </c>
      <c r="BA55" s="100">
        <f t="shared" si="34"/>
        <v>12</v>
      </c>
      <c r="BB55" s="100">
        <f t="shared" si="34"/>
        <v>12</v>
      </c>
      <c r="BC55" s="100">
        <f t="shared" si="34"/>
        <v>12</v>
      </c>
      <c r="BD55" s="100">
        <f t="shared" si="34"/>
        <v>12</v>
      </c>
      <c r="BE55" s="100">
        <f t="shared" si="34"/>
        <v>12</v>
      </c>
      <c r="BF55" s="100">
        <f t="shared" si="34"/>
        <v>12</v>
      </c>
      <c r="BG55" s="100">
        <f t="shared" si="34"/>
        <v>12</v>
      </c>
      <c r="BH55" s="100">
        <f t="shared" si="34"/>
        <v>12</v>
      </c>
      <c r="BI55" s="100">
        <f t="shared" si="34"/>
        <v>12</v>
      </c>
      <c r="BJ55" s="100">
        <f t="shared" si="34"/>
        <v>12</v>
      </c>
      <c r="BK55" s="100">
        <f t="shared" si="34"/>
        <v>12</v>
      </c>
      <c r="BL55" s="100">
        <f t="shared" si="34"/>
        <v>12</v>
      </c>
      <c r="BM55" s="100">
        <f t="shared" si="34"/>
        <v>12</v>
      </c>
      <c r="BN55" s="100">
        <f t="shared" si="34"/>
        <v>12</v>
      </c>
      <c r="BO55" s="100">
        <f t="shared" si="34"/>
        <v>12</v>
      </c>
      <c r="BP55" s="100">
        <f t="shared" si="34"/>
        <v>12</v>
      </c>
      <c r="BQ55" s="100">
        <f t="shared" si="34"/>
        <v>12</v>
      </c>
      <c r="BR55" s="100">
        <f t="shared" si="34"/>
        <v>12</v>
      </c>
      <c r="BS55" s="100">
        <f t="shared" ref="BS55:ED56" si="35">IF(BS$23&gt;0, 12, 0)</f>
        <v>12</v>
      </c>
      <c r="BT55" s="100">
        <f t="shared" si="35"/>
        <v>12</v>
      </c>
      <c r="BU55" s="100">
        <f t="shared" si="35"/>
        <v>12</v>
      </c>
      <c r="BV55" s="100">
        <f t="shared" si="35"/>
        <v>12</v>
      </c>
      <c r="BW55" s="100">
        <f t="shared" si="35"/>
        <v>12</v>
      </c>
      <c r="BX55" s="100">
        <f t="shared" si="35"/>
        <v>12</v>
      </c>
      <c r="BY55" s="100">
        <f t="shared" si="35"/>
        <v>12</v>
      </c>
      <c r="BZ55" s="100">
        <f t="shared" si="35"/>
        <v>12</v>
      </c>
      <c r="CA55" s="100">
        <f t="shared" si="35"/>
        <v>12</v>
      </c>
      <c r="CB55" s="100">
        <f t="shared" si="35"/>
        <v>12</v>
      </c>
      <c r="CC55" s="100">
        <f t="shared" si="35"/>
        <v>12</v>
      </c>
      <c r="CD55" s="100">
        <f t="shared" si="35"/>
        <v>12</v>
      </c>
      <c r="CE55" s="100">
        <f t="shared" si="35"/>
        <v>12</v>
      </c>
      <c r="CF55" s="100">
        <f t="shared" si="35"/>
        <v>12</v>
      </c>
      <c r="CG55" s="100">
        <f t="shared" si="35"/>
        <v>12</v>
      </c>
      <c r="CH55" s="100">
        <f t="shared" si="35"/>
        <v>12</v>
      </c>
      <c r="CI55" s="100">
        <f t="shared" si="35"/>
        <v>12</v>
      </c>
      <c r="CJ55" s="100">
        <f t="shared" si="35"/>
        <v>12</v>
      </c>
      <c r="CK55" s="100">
        <f t="shared" si="35"/>
        <v>12</v>
      </c>
      <c r="CL55" s="100">
        <f t="shared" si="35"/>
        <v>12</v>
      </c>
      <c r="CM55" s="100">
        <f t="shared" si="35"/>
        <v>12</v>
      </c>
      <c r="CN55" s="100">
        <f t="shared" si="35"/>
        <v>12</v>
      </c>
      <c r="CO55" s="100">
        <f t="shared" si="35"/>
        <v>12</v>
      </c>
      <c r="CP55" s="100">
        <f t="shared" si="35"/>
        <v>12</v>
      </c>
      <c r="CQ55" s="100">
        <f t="shared" si="35"/>
        <v>12</v>
      </c>
      <c r="CR55" s="100">
        <f t="shared" si="35"/>
        <v>12</v>
      </c>
      <c r="CS55" s="100">
        <f t="shared" si="35"/>
        <v>12</v>
      </c>
      <c r="CT55" s="100">
        <f t="shared" si="35"/>
        <v>12</v>
      </c>
      <c r="CU55" s="100">
        <f t="shared" si="35"/>
        <v>12</v>
      </c>
      <c r="CV55" s="100">
        <f t="shared" si="35"/>
        <v>12</v>
      </c>
      <c r="CW55" s="100">
        <f t="shared" si="35"/>
        <v>12</v>
      </c>
      <c r="CX55" s="100">
        <f t="shared" si="35"/>
        <v>12</v>
      </c>
      <c r="CY55" s="100">
        <f t="shared" si="35"/>
        <v>12</v>
      </c>
      <c r="CZ55" s="100">
        <f t="shared" si="35"/>
        <v>12</v>
      </c>
      <c r="DA55" s="100">
        <f t="shared" si="35"/>
        <v>12</v>
      </c>
      <c r="DB55" s="100">
        <f t="shared" si="35"/>
        <v>12</v>
      </c>
      <c r="DC55" s="100">
        <f t="shared" si="35"/>
        <v>12</v>
      </c>
      <c r="DD55" s="100">
        <f t="shared" si="35"/>
        <v>12</v>
      </c>
      <c r="DE55" s="100">
        <f t="shared" si="35"/>
        <v>12</v>
      </c>
      <c r="DF55" s="100">
        <f t="shared" si="35"/>
        <v>12</v>
      </c>
      <c r="DG55" s="100">
        <f t="shared" si="35"/>
        <v>12</v>
      </c>
      <c r="DH55" s="100">
        <f t="shared" si="35"/>
        <v>12</v>
      </c>
      <c r="DI55" s="100">
        <f t="shared" si="35"/>
        <v>12</v>
      </c>
      <c r="DJ55" s="100">
        <f t="shared" si="35"/>
        <v>12</v>
      </c>
      <c r="DK55" s="100">
        <f t="shared" si="35"/>
        <v>12</v>
      </c>
      <c r="DL55" s="100">
        <f t="shared" si="35"/>
        <v>12</v>
      </c>
      <c r="DM55" s="100">
        <f t="shared" si="35"/>
        <v>12</v>
      </c>
      <c r="DN55" s="100">
        <f t="shared" si="35"/>
        <v>12</v>
      </c>
      <c r="DO55" s="100">
        <f t="shared" si="35"/>
        <v>12</v>
      </c>
      <c r="DP55" s="100">
        <f t="shared" si="35"/>
        <v>12</v>
      </c>
      <c r="DQ55" s="100">
        <f t="shared" si="35"/>
        <v>12</v>
      </c>
      <c r="DR55" s="100">
        <f t="shared" si="35"/>
        <v>12</v>
      </c>
      <c r="DS55" s="100">
        <f t="shared" si="35"/>
        <v>12</v>
      </c>
      <c r="DT55" s="100">
        <f t="shared" si="35"/>
        <v>12</v>
      </c>
      <c r="DU55" s="100">
        <f t="shared" si="35"/>
        <v>12</v>
      </c>
      <c r="DV55" s="100">
        <f t="shared" si="35"/>
        <v>12</v>
      </c>
      <c r="DW55" s="100">
        <f t="shared" si="35"/>
        <v>12</v>
      </c>
      <c r="DX55" s="100">
        <f t="shared" si="35"/>
        <v>12</v>
      </c>
      <c r="DY55" s="100">
        <f t="shared" si="35"/>
        <v>12</v>
      </c>
      <c r="DZ55" s="100">
        <f t="shared" si="35"/>
        <v>12</v>
      </c>
      <c r="EA55" s="100">
        <f t="shared" si="35"/>
        <v>12</v>
      </c>
      <c r="EB55" s="100">
        <f t="shared" si="35"/>
        <v>12</v>
      </c>
      <c r="EC55" s="100">
        <f t="shared" si="35"/>
        <v>12</v>
      </c>
      <c r="ED55" s="100">
        <f t="shared" si="35"/>
        <v>12</v>
      </c>
      <c r="EE55" s="100">
        <f t="shared" ref="EE55:GC56" si="36">IF(EE$23&gt;0, 12, 0)</f>
        <v>12</v>
      </c>
      <c r="EF55" s="100">
        <f t="shared" si="36"/>
        <v>12</v>
      </c>
      <c r="EG55" s="100">
        <f t="shared" si="36"/>
        <v>12</v>
      </c>
      <c r="EH55" s="100">
        <f t="shared" si="36"/>
        <v>12</v>
      </c>
      <c r="EI55" s="100">
        <f t="shared" si="36"/>
        <v>12</v>
      </c>
      <c r="EJ55" s="100">
        <f t="shared" si="36"/>
        <v>12</v>
      </c>
      <c r="EK55" s="100">
        <f t="shared" si="36"/>
        <v>12</v>
      </c>
      <c r="EL55" s="100">
        <f t="shared" si="36"/>
        <v>12</v>
      </c>
      <c r="EM55" s="100">
        <f t="shared" si="36"/>
        <v>12</v>
      </c>
      <c r="EN55" s="100">
        <f t="shared" si="36"/>
        <v>12</v>
      </c>
      <c r="EO55" s="100">
        <f t="shared" si="36"/>
        <v>12</v>
      </c>
      <c r="EP55" s="100">
        <f t="shared" si="36"/>
        <v>12</v>
      </c>
      <c r="EQ55" s="100">
        <f t="shared" si="36"/>
        <v>12</v>
      </c>
      <c r="ER55" s="100">
        <f t="shared" si="36"/>
        <v>12</v>
      </c>
      <c r="ES55" s="100">
        <f t="shared" si="36"/>
        <v>12</v>
      </c>
      <c r="ET55" s="100">
        <f t="shared" si="36"/>
        <v>12</v>
      </c>
      <c r="EU55" s="100">
        <f t="shared" si="36"/>
        <v>12</v>
      </c>
      <c r="EV55" s="100">
        <f t="shared" si="36"/>
        <v>12</v>
      </c>
      <c r="EW55" s="100">
        <f t="shared" si="36"/>
        <v>12</v>
      </c>
      <c r="EX55" s="100">
        <f t="shared" si="36"/>
        <v>12</v>
      </c>
      <c r="EY55" s="100">
        <f t="shared" si="36"/>
        <v>12</v>
      </c>
      <c r="EZ55" s="100">
        <f t="shared" si="36"/>
        <v>12</v>
      </c>
      <c r="FA55" s="100">
        <f t="shared" si="36"/>
        <v>12</v>
      </c>
      <c r="FB55" s="100">
        <f t="shared" si="36"/>
        <v>12</v>
      </c>
      <c r="FC55" s="100">
        <f t="shared" si="36"/>
        <v>12</v>
      </c>
      <c r="FD55" s="100">
        <f t="shared" si="36"/>
        <v>12</v>
      </c>
      <c r="FE55" s="100">
        <f t="shared" si="36"/>
        <v>12</v>
      </c>
      <c r="FF55" s="100">
        <f t="shared" si="36"/>
        <v>12</v>
      </c>
      <c r="FG55" s="100">
        <f t="shared" si="36"/>
        <v>12</v>
      </c>
      <c r="FH55" s="100">
        <f t="shared" si="36"/>
        <v>12</v>
      </c>
      <c r="FI55" s="100">
        <f t="shared" si="36"/>
        <v>12</v>
      </c>
      <c r="FJ55" s="100">
        <f t="shared" si="36"/>
        <v>12</v>
      </c>
      <c r="FK55" s="100">
        <f t="shared" si="36"/>
        <v>12</v>
      </c>
      <c r="FL55" s="100">
        <f t="shared" si="36"/>
        <v>12</v>
      </c>
      <c r="FM55" s="100">
        <f t="shared" si="36"/>
        <v>12</v>
      </c>
      <c r="FN55" s="100">
        <f t="shared" si="36"/>
        <v>12</v>
      </c>
      <c r="FO55" s="100">
        <f t="shared" si="36"/>
        <v>12</v>
      </c>
      <c r="FP55" s="100">
        <f t="shared" si="36"/>
        <v>12</v>
      </c>
      <c r="FQ55" s="100">
        <f t="shared" si="36"/>
        <v>12</v>
      </c>
      <c r="FR55" s="100">
        <f t="shared" si="36"/>
        <v>12</v>
      </c>
      <c r="FS55" s="100">
        <f t="shared" si="36"/>
        <v>12</v>
      </c>
      <c r="FT55" s="100">
        <f t="shared" si="36"/>
        <v>12</v>
      </c>
      <c r="FU55" s="100">
        <f t="shared" si="36"/>
        <v>12</v>
      </c>
      <c r="FV55" s="100">
        <f t="shared" si="36"/>
        <v>12</v>
      </c>
      <c r="FW55" s="100">
        <f t="shared" si="36"/>
        <v>12</v>
      </c>
      <c r="FX55" s="100">
        <f t="shared" si="36"/>
        <v>12</v>
      </c>
      <c r="FY55" s="100">
        <f t="shared" si="36"/>
        <v>12</v>
      </c>
      <c r="FZ55" s="100">
        <f t="shared" si="36"/>
        <v>12</v>
      </c>
      <c r="GA55" s="100">
        <f t="shared" si="36"/>
        <v>12</v>
      </c>
      <c r="GB55" s="100">
        <f t="shared" si="36"/>
        <v>12</v>
      </c>
      <c r="GC55" s="100">
        <f t="shared" si="36"/>
        <v>12</v>
      </c>
    </row>
    <row r="56" spans="1:185">
      <c r="A56" s="6"/>
      <c r="B56" s="80" t="s">
        <v>103</v>
      </c>
      <c r="C56" s="80"/>
      <c r="D56" s="80"/>
      <c r="E56" s="82"/>
      <c r="F56" s="100">
        <f>IF(F$23&gt;0, 12, 0)</f>
        <v>0</v>
      </c>
      <c r="G56" s="100">
        <f t="shared" si="34"/>
        <v>0</v>
      </c>
      <c r="H56" s="100">
        <f t="shared" si="34"/>
        <v>0</v>
      </c>
      <c r="I56" s="100">
        <f t="shared" si="34"/>
        <v>0</v>
      </c>
      <c r="J56" s="100">
        <f t="shared" si="34"/>
        <v>0</v>
      </c>
      <c r="K56" s="100">
        <f t="shared" si="34"/>
        <v>0</v>
      </c>
      <c r="L56" s="100">
        <f t="shared" si="34"/>
        <v>0</v>
      </c>
      <c r="M56" s="100">
        <f t="shared" si="34"/>
        <v>12</v>
      </c>
      <c r="N56" s="100">
        <f t="shared" si="34"/>
        <v>12</v>
      </c>
      <c r="O56" s="100">
        <f t="shared" si="34"/>
        <v>12</v>
      </c>
      <c r="P56" s="100">
        <f t="shared" si="34"/>
        <v>12</v>
      </c>
      <c r="Q56" s="100">
        <f t="shared" si="34"/>
        <v>12</v>
      </c>
      <c r="R56" s="100">
        <f t="shared" si="34"/>
        <v>12</v>
      </c>
      <c r="S56" s="100">
        <f t="shared" si="34"/>
        <v>12</v>
      </c>
      <c r="T56" s="100">
        <f t="shared" si="34"/>
        <v>12</v>
      </c>
      <c r="U56" s="100">
        <f t="shared" si="34"/>
        <v>12</v>
      </c>
      <c r="V56" s="100">
        <f t="shared" si="34"/>
        <v>12</v>
      </c>
      <c r="W56" s="100">
        <f t="shared" si="34"/>
        <v>12</v>
      </c>
      <c r="X56" s="100">
        <f t="shared" si="34"/>
        <v>12</v>
      </c>
      <c r="Y56" s="100">
        <f t="shared" si="34"/>
        <v>12</v>
      </c>
      <c r="Z56" s="100">
        <f t="shared" si="34"/>
        <v>12</v>
      </c>
      <c r="AA56" s="100">
        <f t="shared" si="34"/>
        <v>12</v>
      </c>
      <c r="AB56" s="100">
        <f t="shared" si="34"/>
        <v>12</v>
      </c>
      <c r="AC56" s="100">
        <f t="shared" si="34"/>
        <v>12</v>
      </c>
      <c r="AD56" s="100">
        <f t="shared" si="34"/>
        <v>12</v>
      </c>
      <c r="AE56" s="100">
        <f t="shared" si="34"/>
        <v>12</v>
      </c>
      <c r="AF56" s="100">
        <f t="shared" si="34"/>
        <v>12</v>
      </c>
      <c r="AG56" s="100">
        <f t="shared" si="34"/>
        <v>12</v>
      </c>
      <c r="AH56" s="100">
        <f t="shared" si="34"/>
        <v>12</v>
      </c>
      <c r="AI56" s="100">
        <f t="shared" si="34"/>
        <v>12</v>
      </c>
      <c r="AJ56" s="100">
        <f t="shared" si="34"/>
        <v>12</v>
      </c>
      <c r="AK56" s="100">
        <f t="shared" si="34"/>
        <v>12</v>
      </c>
      <c r="AL56" s="100">
        <f t="shared" si="34"/>
        <v>12</v>
      </c>
      <c r="AM56" s="100">
        <f t="shared" si="34"/>
        <v>12</v>
      </c>
      <c r="AN56" s="100">
        <f t="shared" si="34"/>
        <v>12</v>
      </c>
      <c r="AO56" s="100">
        <f t="shared" si="34"/>
        <v>12</v>
      </c>
      <c r="AP56" s="100">
        <f t="shared" si="34"/>
        <v>12</v>
      </c>
      <c r="AQ56" s="100">
        <f t="shared" si="34"/>
        <v>12</v>
      </c>
      <c r="AR56" s="100">
        <f t="shared" si="34"/>
        <v>12</v>
      </c>
      <c r="AS56" s="100">
        <f t="shared" si="34"/>
        <v>12</v>
      </c>
      <c r="AT56" s="100">
        <f t="shared" si="34"/>
        <v>12</v>
      </c>
      <c r="AU56" s="100">
        <f t="shared" si="34"/>
        <v>12</v>
      </c>
      <c r="AV56" s="100">
        <f t="shared" si="34"/>
        <v>12</v>
      </c>
      <c r="AW56" s="100">
        <f t="shared" si="34"/>
        <v>12</v>
      </c>
      <c r="AX56" s="100">
        <f t="shared" si="34"/>
        <v>12</v>
      </c>
      <c r="AY56" s="100">
        <f t="shared" si="34"/>
        <v>12</v>
      </c>
      <c r="AZ56" s="100">
        <f t="shared" si="34"/>
        <v>12</v>
      </c>
      <c r="BA56" s="100">
        <f t="shared" si="34"/>
        <v>12</v>
      </c>
      <c r="BB56" s="100">
        <f t="shared" si="34"/>
        <v>12</v>
      </c>
      <c r="BC56" s="100">
        <f t="shared" si="34"/>
        <v>12</v>
      </c>
      <c r="BD56" s="100">
        <f t="shared" si="34"/>
        <v>12</v>
      </c>
      <c r="BE56" s="100">
        <f t="shared" si="34"/>
        <v>12</v>
      </c>
      <c r="BF56" s="100">
        <f t="shared" si="34"/>
        <v>12</v>
      </c>
      <c r="BG56" s="100">
        <f t="shared" si="34"/>
        <v>12</v>
      </c>
      <c r="BH56" s="100">
        <f t="shared" si="34"/>
        <v>12</v>
      </c>
      <c r="BI56" s="100">
        <f t="shared" si="34"/>
        <v>12</v>
      </c>
      <c r="BJ56" s="100">
        <f t="shared" si="34"/>
        <v>12</v>
      </c>
      <c r="BK56" s="100">
        <f t="shared" si="34"/>
        <v>12</v>
      </c>
      <c r="BL56" s="100">
        <f t="shared" si="34"/>
        <v>12</v>
      </c>
      <c r="BM56" s="100">
        <f t="shared" si="34"/>
        <v>12</v>
      </c>
      <c r="BN56" s="100">
        <f t="shared" si="34"/>
        <v>12</v>
      </c>
      <c r="BO56" s="100">
        <f t="shared" si="34"/>
        <v>12</v>
      </c>
      <c r="BP56" s="100">
        <f t="shared" si="34"/>
        <v>12</v>
      </c>
      <c r="BQ56" s="100">
        <f t="shared" si="34"/>
        <v>12</v>
      </c>
      <c r="BR56" s="100">
        <f t="shared" si="34"/>
        <v>12</v>
      </c>
      <c r="BS56" s="100">
        <f t="shared" si="35"/>
        <v>12</v>
      </c>
      <c r="BT56" s="100">
        <f t="shared" si="35"/>
        <v>12</v>
      </c>
      <c r="BU56" s="100">
        <f t="shared" si="35"/>
        <v>12</v>
      </c>
      <c r="BV56" s="100">
        <f t="shared" si="35"/>
        <v>12</v>
      </c>
      <c r="BW56" s="100">
        <f t="shared" si="35"/>
        <v>12</v>
      </c>
      <c r="BX56" s="100">
        <f t="shared" si="35"/>
        <v>12</v>
      </c>
      <c r="BY56" s="100">
        <f t="shared" si="35"/>
        <v>12</v>
      </c>
      <c r="BZ56" s="100">
        <f t="shared" si="35"/>
        <v>12</v>
      </c>
      <c r="CA56" s="100">
        <f t="shared" si="35"/>
        <v>12</v>
      </c>
      <c r="CB56" s="100">
        <f t="shared" si="35"/>
        <v>12</v>
      </c>
      <c r="CC56" s="100">
        <f t="shared" si="35"/>
        <v>12</v>
      </c>
      <c r="CD56" s="100">
        <f t="shared" si="35"/>
        <v>12</v>
      </c>
      <c r="CE56" s="100">
        <f t="shared" si="35"/>
        <v>12</v>
      </c>
      <c r="CF56" s="100">
        <f t="shared" si="35"/>
        <v>12</v>
      </c>
      <c r="CG56" s="100">
        <f t="shared" si="35"/>
        <v>12</v>
      </c>
      <c r="CH56" s="100">
        <f t="shared" si="35"/>
        <v>12</v>
      </c>
      <c r="CI56" s="100">
        <f t="shared" si="35"/>
        <v>12</v>
      </c>
      <c r="CJ56" s="100">
        <f t="shared" si="35"/>
        <v>12</v>
      </c>
      <c r="CK56" s="100">
        <f t="shared" si="35"/>
        <v>12</v>
      </c>
      <c r="CL56" s="100">
        <f t="shared" si="35"/>
        <v>12</v>
      </c>
      <c r="CM56" s="100">
        <f t="shared" si="35"/>
        <v>12</v>
      </c>
      <c r="CN56" s="100">
        <f t="shared" si="35"/>
        <v>12</v>
      </c>
      <c r="CO56" s="100">
        <f t="shared" si="35"/>
        <v>12</v>
      </c>
      <c r="CP56" s="100">
        <f t="shared" si="35"/>
        <v>12</v>
      </c>
      <c r="CQ56" s="100">
        <f t="shared" si="35"/>
        <v>12</v>
      </c>
      <c r="CR56" s="100">
        <f t="shared" si="35"/>
        <v>12</v>
      </c>
      <c r="CS56" s="100">
        <f t="shared" si="35"/>
        <v>12</v>
      </c>
      <c r="CT56" s="100">
        <f t="shared" si="35"/>
        <v>12</v>
      </c>
      <c r="CU56" s="100">
        <f t="shared" si="35"/>
        <v>12</v>
      </c>
      <c r="CV56" s="100">
        <f t="shared" si="35"/>
        <v>12</v>
      </c>
      <c r="CW56" s="100">
        <f t="shared" si="35"/>
        <v>12</v>
      </c>
      <c r="CX56" s="100">
        <f t="shared" si="35"/>
        <v>12</v>
      </c>
      <c r="CY56" s="100">
        <f t="shared" si="35"/>
        <v>12</v>
      </c>
      <c r="CZ56" s="100">
        <f t="shared" si="35"/>
        <v>12</v>
      </c>
      <c r="DA56" s="100">
        <f t="shared" si="35"/>
        <v>12</v>
      </c>
      <c r="DB56" s="100">
        <f t="shared" si="35"/>
        <v>12</v>
      </c>
      <c r="DC56" s="100">
        <f t="shared" si="35"/>
        <v>12</v>
      </c>
      <c r="DD56" s="100">
        <f t="shared" si="35"/>
        <v>12</v>
      </c>
      <c r="DE56" s="100">
        <f t="shared" si="35"/>
        <v>12</v>
      </c>
      <c r="DF56" s="100">
        <f t="shared" si="35"/>
        <v>12</v>
      </c>
      <c r="DG56" s="100">
        <f t="shared" si="35"/>
        <v>12</v>
      </c>
      <c r="DH56" s="100">
        <f t="shared" si="35"/>
        <v>12</v>
      </c>
      <c r="DI56" s="100">
        <f t="shared" si="35"/>
        <v>12</v>
      </c>
      <c r="DJ56" s="100">
        <f t="shared" si="35"/>
        <v>12</v>
      </c>
      <c r="DK56" s="100">
        <f t="shared" si="35"/>
        <v>12</v>
      </c>
      <c r="DL56" s="100">
        <f t="shared" si="35"/>
        <v>12</v>
      </c>
      <c r="DM56" s="100">
        <f t="shared" si="35"/>
        <v>12</v>
      </c>
      <c r="DN56" s="100">
        <f t="shared" si="35"/>
        <v>12</v>
      </c>
      <c r="DO56" s="100">
        <f t="shared" si="35"/>
        <v>12</v>
      </c>
      <c r="DP56" s="100">
        <f t="shared" si="35"/>
        <v>12</v>
      </c>
      <c r="DQ56" s="100">
        <f t="shared" si="35"/>
        <v>12</v>
      </c>
      <c r="DR56" s="100">
        <f t="shared" si="35"/>
        <v>12</v>
      </c>
      <c r="DS56" s="100">
        <f t="shared" si="35"/>
        <v>12</v>
      </c>
      <c r="DT56" s="100">
        <f t="shared" si="35"/>
        <v>12</v>
      </c>
      <c r="DU56" s="100">
        <f t="shared" si="35"/>
        <v>12</v>
      </c>
      <c r="DV56" s="100">
        <f t="shared" si="35"/>
        <v>12</v>
      </c>
      <c r="DW56" s="100">
        <f t="shared" si="35"/>
        <v>12</v>
      </c>
      <c r="DX56" s="100">
        <f t="shared" si="35"/>
        <v>12</v>
      </c>
      <c r="DY56" s="100">
        <f t="shared" si="35"/>
        <v>12</v>
      </c>
      <c r="DZ56" s="100">
        <f t="shared" si="35"/>
        <v>12</v>
      </c>
      <c r="EA56" s="100">
        <f t="shared" si="35"/>
        <v>12</v>
      </c>
      <c r="EB56" s="100">
        <f t="shared" si="35"/>
        <v>12</v>
      </c>
      <c r="EC56" s="100">
        <f t="shared" si="35"/>
        <v>12</v>
      </c>
      <c r="ED56" s="100">
        <f t="shared" si="35"/>
        <v>12</v>
      </c>
      <c r="EE56" s="100">
        <f t="shared" si="36"/>
        <v>12</v>
      </c>
      <c r="EF56" s="100">
        <f t="shared" si="36"/>
        <v>12</v>
      </c>
      <c r="EG56" s="100">
        <f t="shared" si="36"/>
        <v>12</v>
      </c>
      <c r="EH56" s="100">
        <f t="shared" si="36"/>
        <v>12</v>
      </c>
      <c r="EI56" s="100">
        <f t="shared" si="36"/>
        <v>12</v>
      </c>
      <c r="EJ56" s="100">
        <f t="shared" si="36"/>
        <v>12</v>
      </c>
      <c r="EK56" s="100">
        <f t="shared" si="36"/>
        <v>12</v>
      </c>
      <c r="EL56" s="100">
        <f t="shared" si="36"/>
        <v>12</v>
      </c>
      <c r="EM56" s="100">
        <f t="shared" si="36"/>
        <v>12</v>
      </c>
      <c r="EN56" s="100">
        <f t="shared" si="36"/>
        <v>12</v>
      </c>
      <c r="EO56" s="100">
        <f t="shared" si="36"/>
        <v>12</v>
      </c>
      <c r="EP56" s="100">
        <f t="shared" si="36"/>
        <v>12</v>
      </c>
      <c r="EQ56" s="100">
        <f t="shared" si="36"/>
        <v>12</v>
      </c>
      <c r="ER56" s="100">
        <f t="shared" si="36"/>
        <v>12</v>
      </c>
      <c r="ES56" s="100">
        <f t="shared" si="36"/>
        <v>12</v>
      </c>
      <c r="ET56" s="100">
        <f t="shared" si="36"/>
        <v>12</v>
      </c>
      <c r="EU56" s="100">
        <f t="shared" si="36"/>
        <v>12</v>
      </c>
      <c r="EV56" s="100">
        <f t="shared" si="36"/>
        <v>12</v>
      </c>
      <c r="EW56" s="100">
        <f t="shared" si="36"/>
        <v>12</v>
      </c>
      <c r="EX56" s="100">
        <f t="shared" si="36"/>
        <v>12</v>
      </c>
      <c r="EY56" s="100">
        <f t="shared" si="36"/>
        <v>12</v>
      </c>
      <c r="EZ56" s="100">
        <f t="shared" si="36"/>
        <v>12</v>
      </c>
      <c r="FA56" s="100">
        <f t="shared" si="36"/>
        <v>12</v>
      </c>
      <c r="FB56" s="100">
        <f t="shared" si="36"/>
        <v>12</v>
      </c>
      <c r="FC56" s="100">
        <f t="shared" si="36"/>
        <v>12</v>
      </c>
      <c r="FD56" s="100">
        <f t="shared" si="36"/>
        <v>12</v>
      </c>
      <c r="FE56" s="100">
        <f t="shared" si="36"/>
        <v>12</v>
      </c>
      <c r="FF56" s="100">
        <f t="shared" si="36"/>
        <v>12</v>
      </c>
      <c r="FG56" s="100">
        <f t="shared" si="36"/>
        <v>12</v>
      </c>
      <c r="FH56" s="100">
        <f t="shared" si="36"/>
        <v>12</v>
      </c>
      <c r="FI56" s="100">
        <f t="shared" si="36"/>
        <v>12</v>
      </c>
      <c r="FJ56" s="100">
        <f t="shared" si="36"/>
        <v>12</v>
      </c>
      <c r="FK56" s="100">
        <f t="shared" si="36"/>
        <v>12</v>
      </c>
      <c r="FL56" s="100">
        <f t="shared" si="36"/>
        <v>12</v>
      </c>
      <c r="FM56" s="100">
        <f t="shared" si="36"/>
        <v>12</v>
      </c>
      <c r="FN56" s="100">
        <f t="shared" si="36"/>
        <v>12</v>
      </c>
      <c r="FO56" s="100">
        <f t="shared" si="36"/>
        <v>12</v>
      </c>
      <c r="FP56" s="100">
        <f t="shared" si="36"/>
        <v>12</v>
      </c>
      <c r="FQ56" s="100">
        <f t="shared" si="36"/>
        <v>12</v>
      </c>
      <c r="FR56" s="100">
        <f t="shared" si="36"/>
        <v>12</v>
      </c>
      <c r="FS56" s="100">
        <f t="shared" si="36"/>
        <v>12</v>
      </c>
      <c r="FT56" s="100">
        <f t="shared" si="36"/>
        <v>12</v>
      </c>
      <c r="FU56" s="100">
        <f t="shared" si="36"/>
        <v>12</v>
      </c>
      <c r="FV56" s="100">
        <f t="shared" si="36"/>
        <v>12</v>
      </c>
      <c r="FW56" s="100">
        <f t="shared" si="36"/>
        <v>12</v>
      </c>
      <c r="FX56" s="100">
        <f t="shared" si="36"/>
        <v>12</v>
      </c>
      <c r="FY56" s="100">
        <f t="shared" si="36"/>
        <v>12</v>
      </c>
      <c r="FZ56" s="100">
        <f t="shared" si="36"/>
        <v>12</v>
      </c>
      <c r="GA56" s="100">
        <f t="shared" si="36"/>
        <v>12</v>
      </c>
      <c r="GB56" s="100">
        <f t="shared" si="36"/>
        <v>12</v>
      </c>
      <c r="GC56" s="100">
        <f t="shared" si="36"/>
        <v>12</v>
      </c>
    </row>
    <row r="57" spans="1:185">
      <c r="A57" s="10" t="s">
        <v>104</v>
      </c>
      <c r="B57" s="80"/>
      <c r="C57" s="80"/>
      <c r="D57" s="80"/>
      <c r="E57" s="82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80"/>
      <c r="FF57" s="80"/>
      <c r="FG57" s="80"/>
      <c r="FH57" s="80"/>
      <c r="FI57" s="80"/>
      <c r="FJ57" s="80"/>
      <c r="FK57" s="80"/>
      <c r="FL57" s="80"/>
      <c r="FM57" s="80"/>
      <c r="FN57" s="80"/>
      <c r="FO57" s="80"/>
      <c r="FP57" s="80"/>
      <c r="FQ57" s="80"/>
      <c r="FR57" s="80"/>
      <c r="FS57" s="80"/>
      <c r="FT57" s="80"/>
      <c r="FU57" s="80"/>
      <c r="FV57" s="80"/>
      <c r="FW57" s="80"/>
      <c r="FX57" s="80"/>
      <c r="FY57" s="80"/>
      <c r="FZ57" s="80"/>
      <c r="GA57" s="80"/>
      <c r="GB57" s="80"/>
      <c r="GC57" s="80"/>
    </row>
    <row r="58" spans="1:185">
      <c r="A58" s="80"/>
      <c r="B58" s="80" t="s">
        <v>105</v>
      </c>
      <c r="C58" s="80"/>
      <c r="D58" s="80"/>
      <c r="E58" s="82"/>
      <c r="F58" s="104">
        <f>Assumptions!$D$37*(1+Assumptions!$D$66)</f>
        <v>65</v>
      </c>
      <c r="G58" s="104">
        <f>Assumptions!$D$37*(1+Assumptions!$D$66)</f>
        <v>65</v>
      </c>
      <c r="H58" s="104">
        <f>Assumptions!$D$37*(1+Assumptions!$D$66)</f>
        <v>65</v>
      </c>
      <c r="I58" s="104">
        <f>Assumptions!$D$37*(1+Assumptions!$D$66)</f>
        <v>65</v>
      </c>
      <c r="J58" s="104">
        <f>Assumptions!$D$37*(1+Assumptions!$D$66)</f>
        <v>65</v>
      </c>
      <c r="K58" s="104">
        <f>Assumptions!$D$37*(1+Assumptions!$D$66)</f>
        <v>65</v>
      </c>
      <c r="L58" s="104">
        <f>Assumptions!$D$37*(1+Assumptions!$D$66)</f>
        <v>65</v>
      </c>
      <c r="M58" s="104">
        <f>Assumptions!$D$37*(1+Assumptions!$D$66)</f>
        <v>65</v>
      </c>
      <c r="N58" s="104">
        <f>Assumptions!$D$37*(1+Assumptions!$D$66)</f>
        <v>65</v>
      </c>
      <c r="O58" s="104">
        <f>Assumptions!$D$37*(1+Assumptions!$D$66)</f>
        <v>65</v>
      </c>
      <c r="P58" s="104">
        <f>Assumptions!$D$37*(1+Assumptions!$D$66)</f>
        <v>65</v>
      </c>
      <c r="Q58" s="104">
        <f>Assumptions!$D$37*(1+Assumptions!$D$66)</f>
        <v>65</v>
      </c>
      <c r="R58" s="104">
        <f>Assumptions!$D$37*(1+Assumptions!$D$66)</f>
        <v>65</v>
      </c>
      <c r="S58" s="104">
        <f>Assumptions!$D$37*(1+Assumptions!$D$66)</f>
        <v>65</v>
      </c>
      <c r="T58" s="104">
        <f>Assumptions!$D$37*(1+Assumptions!$D$66)</f>
        <v>65</v>
      </c>
      <c r="U58" s="104">
        <f>Assumptions!$D$37*(1+Assumptions!$D$66)</f>
        <v>65</v>
      </c>
      <c r="V58" s="104">
        <f>Assumptions!$D$37*(1+Assumptions!$D$66)</f>
        <v>65</v>
      </c>
      <c r="W58" s="104">
        <f>Assumptions!$D$37*(1+Assumptions!$D$66)</f>
        <v>65</v>
      </c>
      <c r="X58" s="104">
        <f>Assumptions!$D$37*(1+Assumptions!$D$66)</f>
        <v>65</v>
      </c>
      <c r="Y58" s="104">
        <f>Assumptions!$D$37*(1+Assumptions!$D$66)</f>
        <v>65</v>
      </c>
      <c r="Z58" s="104">
        <f>Assumptions!$D$37*(1+Assumptions!$D$66)</f>
        <v>65</v>
      </c>
      <c r="AA58" s="104">
        <f>Assumptions!$D$37*(1+Assumptions!$D$66)</f>
        <v>65</v>
      </c>
      <c r="AB58" s="104">
        <f>Assumptions!$D$37*(1+Assumptions!$D$66)</f>
        <v>65</v>
      </c>
      <c r="AC58" s="104">
        <f>Assumptions!$D$37*(1+Assumptions!$D$66)</f>
        <v>65</v>
      </c>
      <c r="AD58" s="104">
        <f>Assumptions!$D$37*(1+Assumptions!$D$66)</f>
        <v>65</v>
      </c>
      <c r="AE58" s="104">
        <f>Assumptions!$D$37*(1+Assumptions!$D$66)</f>
        <v>65</v>
      </c>
      <c r="AF58" s="104">
        <f>Assumptions!$D$37*(1+Assumptions!$D$66)</f>
        <v>65</v>
      </c>
      <c r="AG58" s="104">
        <f>Assumptions!$D$37*(1+Assumptions!$D$66)</f>
        <v>65</v>
      </c>
      <c r="AH58" s="104">
        <f>Assumptions!$D$37*(1+Assumptions!$D$66)</f>
        <v>65</v>
      </c>
      <c r="AI58" s="104">
        <f>Assumptions!$D$37*(1+Assumptions!$D$66)</f>
        <v>65</v>
      </c>
      <c r="AJ58" s="104">
        <f>Assumptions!$D$37*(1+Assumptions!$D$66)</f>
        <v>65</v>
      </c>
      <c r="AK58" s="104">
        <f>Assumptions!$D$37*(1+Assumptions!$D$66)</f>
        <v>65</v>
      </c>
      <c r="AL58" s="104">
        <f>Assumptions!$D$37*(1+Assumptions!$D$66)</f>
        <v>65</v>
      </c>
      <c r="AM58" s="104">
        <f>Assumptions!$D$37*(1+Assumptions!$D$66)</f>
        <v>65</v>
      </c>
      <c r="AN58" s="104">
        <f>Assumptions!$D$37*(1+Assumptions!$D$66)</f>
        <v>65</v>
      </c>
      <c r="AO58" s="104">
        <f>Assumptions!$D$37*(1+Assumptions!$D$66)</f>
        <v>65</v>
      </c>
      <c r="AP58" s="104">
        <f>Assumptions!$D$37*(1+Assumptions!$D$66)</f>
        <v>65</v>
      </c>
      <c r="AQ58" s="104">
        <f>Assumptions!$D$37*(1+Assumptions!$D$66)</f>
        <v>65</v>
      </c>
      <c r="AR58" s="104">
        <f>Assumptions!$D$37*(1+Assumptions!$D$66)</f>
        <v>65</v>
      </c>
      <c r="AS58" s="104">
        <f>Assumptions!$D$37*(1+Assumptions!$D$66)</f>
        <v>65</v>
      </c>
      <c r="AT58" s="104">
        <f>Assumptions!$D$37*(1+Assumptions!$D$66)</f>
        <v>65</v>
      </c>
      <c r="AU58" s="104">
        <f>Assumptions!$D$37*(1+Assumptions!$D$66)</f>
        <v>65</v>
      </c>
      <c r="AV58" s="104">
        <f>Assumptions!$D$37*(1+Assumptions!$D$66)</f>
        <v>65</v>
      </c>
      <c r="AW58" s="104">
        <f>Assumptions!$D$37*(1+Assumptions!$D$66)</f>
        <v>65</v>
      </c>
      <c r="AX58" s="104">
        <f>Assumptions!$D$37*(1+Assumptions!$D$66)</f>
        <v>65</v>
      </c>
      <c r="AY58" s="104">
        <f>Assumptions!$D$37*(1+Assumptions!$D$66)</f>
        <v>65</v>
      </c>
      <c r="AZ58" s="104">
        <f>Assumptions!$D$37*(1+Assumptions!$D$66)</f>
        <v>65</v>
      </c>
      <c r="BA58" s="104">
        <f>Assumptions!$D$37*(1+Assumptions!$D$66)</f>
        <v>65</v>
      </c>
      <c r="BB58" s="104">
        <f>Assumptions!$D$37*(1+Assumptions!$D$66)</f>
        <v>65</v>
      </c>
      <c r="BC58" s="104">
        <f>Assumptions!$D$37*(1+Assumptions!$D$66)</f>
        <v>65</v>
      </c>
      <c r="BD58" s="104">
        <f>Assumptions!$D$37*(1+Assumptions!$D$66)</f>
        <v>65</v>
      </c>
      <c r="BE58" s="104">
        <f>Assumptions!$D$37*(1+Assumptions!$D$66)</f>
        <v>65</v>
      </c>
      <c r="BF58" s="104">
        <f>Assumptions!$D$37*(1+Assumptions!$D$66)</f>
        <v>65</v>
      </c>
      <c r="BG58" s="104">
        <f>Assumptions!$D$37*(1+Assumptions!$D$66)</f>
        <v>65</v>
      </c>
      <c r="BH58" s="104">
        <f>Assumptions!$D$37*(1+Assumptions!$D$66)</f>
        <v>65</v>
      </c>
      <c r="BI58" s="104">
        <f>Assumptions!$D$37*(1+Assumptions!$D$66)</f>
        <v>65</v>
      </c>
      <c r="BJ58" s="104">
        <f>Assumptions!$D$37*(1+Assumptions!$D$66)</f>
        <v>65</v>
      </c>
      <c r="BK58" s="104">
        <f>Assumptions!$D$37*(1+Assumptions!$D$66)</f>
        <v>65</v>
      </c>
      <c r="BL58" s="104">
        <f>Assumptions!$D$37*(1+Assumptions!$D$66)</f>
        <v>65</v>
      </c>
      <c r="BM58" s="104">
        <f>Assumptions!$D$37*(1+Assumptions!$D$66)</f>
        <v>65</v>
      </c>
      <c r="BN58" s="104">
        <f>Assumptions!$D$37*(1+Assumptions!$D$66)</f>
        <v>65</v>
      </c>
      <c r="BO58" s="104">
        <f>Assumptions!$D$37*(1+Assumptions!$D$66)</f>
        <v>65</v>
      </c>
      <c r="BP58" s="104">
        <f>Assumptions!$D$37*(1+Assumptions!$D$66)</f>
        <v>65</v>
      </c>
      <c r="BQ58" s="104">
        <f>Assumptions!$D$37*(1+Assumptions!$D$66)</f>
        <v>65</v>
      </c>
      <c r="BR58" s="104">
        <f>Assumptions!$D$37*(1+Assumptions!$D$66)</f>
        <v>65</v>
      </c>
      <c r="BS58" s="104">
        <f>Assumptions!$D$37*(1+Assumptions!$D$66)</f>
        <v>65</v>
      </c>
      <c r="BT58" s="104">
        <f>Assumptions!$D$37*(1+Assumptions!$D$66)</f>
        <v>65</v>
      </c>
      <c r="BU58" s="104">
        <f>Assumptions!$D$37*(1+Assumptions!$D$66)</f>
        <v>65</v>
      </c>
      <c r="BV58" s="104">
        <f>Assumptions!$D$37*(1+Assumptions!$D$66)</f>
        <v>65</v>
      </c>
      <c r="BW58" s="104">
        <f>Assumptions!$D$37*(1+Assumptions!$D$66)</f>
        <v>65</v>
      </c>
      <c r="BX58" s="104">
        <f>Assumptions!$D$37*(1+Assumptions!$D$66)</f>
        <v>65</v>
      </c>
      <c r="BY58" s="104">
        <f>Assumptions!$D$37*(1+Assumptions!$D$66)</f>
        <v>65</v>
      </c>
      <c r="BZ58" s="104">
        <f>Assumptions!$D$37*(1+Assumptions!$D$66)</f>
        <v>65</v>
      </c>
      <c r="CA58" s="104">
        <f>Assumptions!$D$37*(1+Assumptions!$D$66)</f>
        <v>65</v>
      </c>
      <c r="CB58" s="104">
        <f>Assumptions!$D$37*(1+Assumptions!$D$66)</f>
        <v>65</v>
      </c>
      <c r="CC58" s="104">
        <f>Assumptions!$D$37*(1+Assumptions!$D$66)</f>
        <v>65</v>
      </c>
      <c r="CD58" s="104">
        <f>Assumptions!$D$37*(1+Assumptions!$D$66)</f>
        <v>65</v>
      </c>
      <c r="CE58" s="104">
        <f>Assumptions!$D$37*(1+Assumptions!$D$66)</f>
        <v>65</v>
      </c>
      <c r="CF58" s="104">
        <f>Assumptions!$D$37*(1+Assumptions!$D$66)</f>
        <v>65</v>
      </c>
      <c r="CG58" s="104">
        <f>Assumptions!$D$37*(1+Assumptions!$D$66)</f>
        <v>65</v>
      </c>
      <c r="CH58" s="104">
        <f>Assumptions!$D$37*(1+Assumptions!$D$66)</f>
        <v>65</v>
      </c>
      <c r="CI58" s="104">
        <f>Assumptions!$D$37*(1+Assumptions!$D$66)</f>
        <v>65</v>
      </c>
      <c r="CJ58" s="104">
        <f>Assumptions!$D$37*(1+Assumptions!$D$66)</f>
        <v>65</v>
      </c>
      <c r="CK58" s="104">
        <f>Assumptions!$D$37*(1+Assumptions!$D$66)</f>
        <v>65</v>
      </c>
      <c r="CL58" s="104">
        <f>Assumptions!$D$37*(1+Assumptions!$D$66)</f>
        <v>65</v>
      </c>
      <c r="CM58" s="104">
        <f>Assumptions!$D$37*(1+Assumptions!$D$66)</f>
        <v>65</v>
      </c>
      <c r="CN58" s="104">
        <f>Assumptions!$D$37*(1+Assumptions!$D$66)</f>
        <v>65</v>
      </c>
      <c r="CO58" s="104">
        <f>Assumptions!$D$37*(1+Assumptions!$D$66)</f>
        <v>65</v>
      </c>
      <c r="CP58" s="104">
        <f>Assumptions!$D$37*(1+Assumptions!$D$66)</f>
        <v>65</v>
      </c>
      <c r="CQ58" s="104">
        <f>Assumptions!$D$37*(1+Assumptions!$D$66)</f>
        <v>65</v>
      </c>
      <c r="CR58" s="104">
        <f>Assumptions!$D$37*(1+Assumptions!$D$66)</f>
        <v>65</v>
      </c>
      <c r="CS58" s="104">
        <f>Assumptions!$D$37*(1+Assumptions!$D$66)</f>
        <v>65</v>
      </c>
      <c r="CT58" s="104">
        <f>Assumptions!$D$37*(1+Assumptions!$D$66)</f>
        <v>65</v>
      </c>
      <c r="CU58" s="104">
        <f>Assumptions!$D$37*(1+Assumptions!$D$66)</f>
        <v>65</v>
      </c>
      <c r="CV58" s="104">
        <f>Assumptions!$D$37*(1+Assumptions!$D$66)</f>
        <v>65</v>
      </c>
      <c r="CW58" s="104">
        <f>Assumptions!$D$37*(1+Assumptions!$D$66)</f>
        <v>65</v>
      </c>
      <c r="CX58" s="104">
        <f>Assumptions!$D$37*(1+Assumptions!$D$66)</f>
        <v>65</v>
      </c>
      <c r="CY58" s="104">
        <f>Assumptions!$D$37*(1+Assumptions!$D$66)</f>
        <v>65</v>
      </c>
      <c r="CZ58" s="104">
        <f>Assumptions!$D$37*(1+Assumptions!$D$66)</f>
        <v>65</v>
      </c>
      <c r="DA58" s="104">
        <f>Assumptions!$D$37*(1+Assumptions!$D$66)</f>
        <v>65</v>
      </c>
      <c r="DB58" s="104">
        <f>Assumptions!$D$37*(1+Assumptions!$D$66)</f>
        <v>65</v>
      </c>
      <c r="DC58" s="104">
        <f>Assumptions!$D$37*(1+Assumptions!$D$66)</f>
        <v>65</v>
      </c>
      <c r="DD58" s="104">
        <f>Assumptions!$D$37*(1+Assumptions!$D$66)</f>
        <v>65</v>
      </c>
      <c r="DE58" s="104">
        <f>Assumptions!$D$37*(1+Assumptions!$D$66)</f>
        <v>65</v>
      </c>
      <c r="DF58" s="104">
        <f>Assumptions!$D$37*(1+Assumptions!$D$66)</f>
        <v>65</v>
      </c>
      <c r="DG58" s="104">
        <f>Assumptions!$D$37*(1+Assumptions!$D$66)</f>
        <v>65</v>
      </c>
      <c r="DH58" s="104">
        <f>Assumptions!$D$37*(1+Assumptions!$D$66)</f>
        <v>65</v>
      </c>
      <c r="DI58" s="104">
        <f>Assumptions!$D$37*(1+Assumptions!$D$66)</f>
        <v>65</v>
      </c>
      <c r="DJ58" s="104">
        <f>Assumptions!$D$37*(1+Assumptions!$D$66)</f>
        <v>65</v>
      </c>
      <c r="DK58" s="104">
        <f>Assumptions!$D$37*(1+Assumptions!$D$66)</f>
        <v>65</v>
      </c>
      <c r="DL58" s="104">
        <f>Assumptions!$D$37*(1+Assumptions!$D$66)</f>
        <v>65</v>
      </c>
      <c r="DM58" s="104">
        <f>Assumptions!$D$37*(1+Assumptions!$D$66)</f>
        <v>65</v>
      </c>
      <c r="DN58" s="104">
        <f>Assumptions!$D$37*(1+Assumptions!$D$66)</f>
        <v>65</v>
      </c>
      <c r="DO58" s="104">
        <f>Assumptions!$D$37*(1+Assumptions!$D$66)</f>
        <v>65</v>
      </c>
      <c r="DP58" s="104">
        <f>Assumptions!$D$37*(1+Assumptions!$D$66)</f>
        <v>65</v>
      </c>
      <c r="DQ58" s="104">
        <f>Assumptions!$D$37*(1+Assumptions!$D$66)</f>
        <v>65</v>
      </c>
      <c r="DR58" s="104">
        <f>Assumptions!$D$37*(1+Assumptions!$D$66)</f>
        <v>65</v>
      </c>
      <c r="DS58" s="104">
        <f>Assumptions!$D$37*(1+Assumptions!$D$66)</f>
        <v>65</v>
      </c>
      <c r="DT58" s="104">
        <f>Assumptions!$D$37*(1+Assumptions!$D$66)</f>
        <v>65</v>
      </c>
      <c r="DU58" s="104">
        <f>Assumptions!$D$37*(1+Assumptions!$D$66)</f>
        <v>65</v>
      </c>
      <c r="DV58" s="104">
        <f>Assumptions!$D$37*(1+Assumptions!$D$66)</f>
        <v>65</v>
      </c>
      <c r="DW58" s="104">
        <f>Assumptions!$D$37*(1+Assumptions!$D$66)</f>
        <v>65</v>
      </c>
      <c r="DX58" s="104">
        <f>Assumptions!$D$37*(1+Assumptions!$D$66)</f>
        <v>65</v>
      </c>
      <c r="DY58" s="104">
        <f>Assumptions!$D$37*(1+Assumptions!$D$66)</f>
        <v>65</v>
      </c>
      <c r="DZ58" s="104">
        <f>Assumptions!$D$37*(1+Assumptions!$D$66)</f>
        <v>65</v>
      </c>
      <c r="EA58" s="104">
        <f>Assumptions!$D$37*(1+Assumptions!$D$66)</f>
        <v>65</v>
      </c>
      <c r="EB58" s="104">
        <f>Assumptions!$D$37*(1+Assumptions!$D$66)</f>
        <v>65</v>
      </c>
      <c r="EC58" s="104">
        <f>Assumptions!$D$37*(1+Assumptions!$D$66)</f>
        <v>65</v>
      </c>
      <c r="ED58" s="104">
        <f>Assumptions!$D$37*(1+Assumptions!$D$66)</f>
        <v>65</v>
      </c>
      <c r="EE58" s="104">
        <f>Assumptions!$D$37*(1+Assumptions!$D$66)</f>
        <v>65</v>
      </c>
      <c r="EF58" s="104">
        <f>Assumptions!$D$37*(1+Assumptions!$D$66)</f>
        <v>65</v>
      </c>
      <c r="EG58" s="104">
        <f>Assumptions!$D$37*(1+Assumptions!$D$66)</f>
        <v>65</v>
      </c>
      <c r="EH58" s="104">
        <f>Assumptions!$D$37*(1+Assumptions!$D$66)</f>
        <v>65</v>
      </c>
      <c r="EI58" s="104">
        <f>Assumptions!$D$37*(1+Assumptions!$D$66)</f>
        <v>65</v>
      </c>
      <c r="EJ58" s="104">
        <f>Assumptions!$D$37*(1+Assumptions!$D$66)</f>
        <v>65</v>
      </c>
      <c r="EK58" s="104">
        <f>Assumptions!$D$37*(1+Assumptions!$D$66)</f>
        <v>65</v>
      </c>
      <c r="EL58" s="104">
        <f>Assumptions!$D$37*(1+Assumptions!$D$66)</f>
        <v>65</v>
      </c>
      <c r="EM58" s="104">
        <f>Assumptions!$D$37*(1+Assumptions!$D$66)</f>
        <v>65</v>
      </c>
      <c r="EN58" s="104">
        <f>Assumptions!$D$37*(1+Assumptions!$D$66)</f>
        <v>65</v>
      </c>
      <c r="EO58" s="104">
        <f>Assumptions!$D$37*(1+Assumptions!$D$66)</f>
        <v>65</v>
      </c>
      <c r="EP58" s="104">
        <f>Assumptions!$D$37*(1+Assumptions!$D$66)</f>
        <v>65</v>
      </c>
      <c r="EQ58" s="104">
        <f>Assumptions!$D$37*(1+Assumptions!$D$66)</f>
        <v>65</v>
      </c>
      <c r="ER58" s="104">
        <f>Assumptions!$D$37*(1+Assumptions!$D$66)</f>
        <v>65</v>
      </c>
      <c r="ES58" s="104">
        <f>Assumptions!$D$37*(1+Assumptions!$D$66)</f>
        <v>65</v>
      </c>
      <c r="ET58" s="104">
        <f>Assumptions!$D$37*(1+Assumptions!$D$66)</f>
        <v>65</v>
      </c>
      <c r="EU58" s="104">
        <f>Assumptions!$D$37*(1+Assumptions!$D$66)</f>
        <v>65</v>
      </c>
      <c r="EV58" s="104">
        <f>Assumptions!$D$37*(1+Assumptions!$D$66)</f>
        <v>65</v>
      </c>
      <c r="EW58" s="104">
        <f>Assumptions!$D$37*(1+Assumptions!$D$66)</f>
        <v>65</v>
      </c>
      <c r="EX58" s="104">
        <f>Assumptions!$D$37*(1+Assumptions!$D$66)</f>
        <v>65</v>
      </c>
      <c r="EY58" s="104">
        <f>Assumptions!$D$37*(1+Assumptions!$D$66)</f>
        <v>65</v>
      </c>
      <c r="EZ58" s="104">
        <f>Assumptions!$D$37*(1+Assumptions!$D$66)</f>
        <v>65</v>
      </c>
      <c r="FA58" s="104">
        <f>Assumptions!$D$37*(1+Assumptions!$D$66)</f>
        <v>65</v>
      </c>
      <c r="FB58" s="104">
        <f>Assumptions!$D$37*(1+Assumptions!$D$66)</f>
        <v>65</v>
      </c>
      <c r="FC58" s="104">
        <f>Assumptions!$D$37*(1+Assumptions!$D$66)</f>
        <v>65</v>
      </c>
      <c r="FD58" s="104">
        <f>Assumptions!$D$37*(1+Assumptions!$D$66)</f>
        <v>65</v>
      </c>
      <c r="FE58" s="104">
        <f>Assumptions!$D$37*(1+Assumptions!$D$66)</f>
        <v>65</v>
      </c>
      <c r="FF58" s="104">
        <f>Assumptions!$D$37*(1+Assumptions!$D$66)</f>
        <v>65</v>
      </c>
      <c r="FG58" s="104">
        <f>Assumptions!$D$37*(1+Assumptions!$D$66)</f>
        <v>65</v>
      </c>
      <c r="FH58" s="104">
        <f>Assumptions!$D$37*(1+Assumptions!$D$66)</f>
        <v>65</v>
      </c>
      <c r="FI58" s="104">
        <f>Assumptions!$D$37*(1+Assumptions!$D$66)</f>
        <v>65</v>
      </c>
      <c r="FJ58" s="104">
        <f>Assumptions!$D$37*(1+Assumptions!$D$66)</f>
        <v>65</v>
      </c>
      <c r="FK58" s="104">
        <f>Assumptions!$D$37*(1+Assumptions!$D$66)</f>
        <v>65</v>
      </c>
      <c r="FL58" s="104">
        <f>Assumptions!$D$37*(1+Assumptions!$D$66)</f>
        <v>65</v>
      </c>
      <c r="FM58" s="104">
        <f>Assumptions!$D$37*(1+Assumptions!$D$66)</f>
        <v>65</v>
      </c>
      <c r="FN58" s="104">
        <f>Assumptions!$D$37*(1+Assumptions!$D$66)</f>
        <v>65</v>
      </c>
      <c r="FO58" s="104">
        <f>Assumptions!$D$37*(1+Assumptions!$D$66)</f>
        <v>65</v>
      </c>
      <c r="FP58" s="104">
        <f>Assumptions!$D$37*(1+Assumptions!$D$66)</f>
        <v>65</v>
      </c>
      <c r="FQ58" s="104">
        <f>Assumptions!$D$37*(1+Assumptions!$D$66)</f>
        <v>65</v>
      </c>
      <c r="FR58" s="104">
        <f>Assumptions!$D$37*(1+Assumptions!$D$66)</f>
        <v>65</v>
      </c>
      <c r="FS58" s="104">
        <f>Assumptions!$D$37*(1+Assumptions!$D$66)</f>
        <v>65</v>
      </c>
      <c r="FT58" s="104">
        <f>Assumptions!$D$37*(1+Assumptions!$D$66)</f>
        <v>65</v>
      </c>
      <c r="FU58" s="104">
        <f>Assumptions!$D$37*(1+Assumptions!$D$66)</f>
        <v>65</v>
      </c>
      <c r="FV58" s="104">
        <f>Assumptions!$D$37*(1+Assumptions!$D$66)</f>
        <v>65</v>
      </c>
      <c r="FW58" s="104">
        <f>Assumptions!$D$37*(1+Assumptions!$D$66)</f>
        <v>65</v>
      </c>
      <c r="FX58" s="104">
        <f>Assumptions!$D$37*(1+Assumptions!$D$66)</f>
        <v>65</v>
      </c>
      <c r="FY58" s="104">
        <f>Assumptions!$D$37*(1+Assumptions!$D$66)</f>
        <v>65</v>
      </c>
      <c r="FZ58" s="104">
        <f>Assumptions!$D$37*(1+Assumptions!$D$66)</f>
        <v>65</v>
      </c>
      <c r="GA58" s="104">
        <f>Assumptions!$D$37*(1+Assumptions!$D$66)</f>
        <v>65</v>
      </c>
      <c r="GB58" s="104">
        <f>Assumptions!$D$37*(1+Assumptions!$D$66)</f>
        <v>65</v>
      </c>
      <c r="GC58" s="104">
        <f>Assumptions!$D$37*(1+Assumptions!$D$66)</f>
        <v>65</v>
      </c>
    </row>
    <row r="59" spans="1:185">
      <c r="A59" s="80"/>
      <c r="B59" s="80" t="s">
        <v>106</v>
      </c>
      <c r="C59" s="80"/>
      <c r="D59" s="80"/>
      <c r="E59" s="82"/>
      <c r="F59" s="105">
        <f>ROUNDUP(F23*Assumptions!$D$69,0)</f>
        <v>0</v>
      </c>
      <c r="G59" s="105">
        <f>ROUNDUP(G23*Assumptions!$D$69,0)</f>
        <v>0</v>
      </c>
      <c r="H59" s="105">
        <f>ROUNDUP(H23*Assumptions!$D$69,0)</f>
        <v>0</v>
      </c>
      <c r="I59" s="105">
        <f>ROUNDUP(I23*Assumptions!$D$69,0)</f>
        <v>0</v>
      </c>
      <c r="J59" s="105">
        <f>ROUNDUP(J23*Assumptions!$D$69,0)</f>
        <v>0</v>
      </c>
      <c r="K59" s="105">
        <f>ROUNDUP(K23*Assumptions!$D$69,0)</f>
        <v>0</v>
      </c>
      <c r="L59" s="105">
        <f>ROUNDUP(L23*Assumptions!$D$69,0)</f>
        <v>0</v>
      </c>
      <c r="M59" s="105">
        <f>ROUNDUP(M23*Assumptions!$D$69,0)</f>
        <v>1</v>
      </c>
      <c r="N59" s="105">
        <f>ROUNDUP(N23*Assumptions!$D$69,0)</f>
        <v>1</v>
      </c>
      <c r="O59" s="105">
        <f>ROUNDUP(O23*Assumptions!$D$69,0)</f>
        <v>1</v>
      </c>
      <c r="P59" s="105">
        <f>ROUNDUP(P23*Assumptions!$D$69,0)</f>
        <v>1</v>
      </c>
      <c r="Q59" s="105">
        <f>ROUNDUP(Q23*Assumptions!$D$69,0)</f>
        <v>1</v>
      </c>
      <c r="R59" s="105">
        <f>ROUNDUP(R23*Assumptions!$D$69,0)</f>
        <v>1</v>
      </c>
      <c r="S59" s="105">
        <f>ROUNDUP(S23*Assumptions!$D$69,0)</f>
        <v>1</v>
      </c>
      <c r="T59" s="105">
        <f>ROUNDUP(T23*Assumptions!$D$69,0)</f>
        <v>1</v>
      </c>
      <c r="U59" s="105">
        <f>ROUNDUP(U23*Assumptions!$D$69,0)</f>
        <v>1</v>
      </c>
      <c r="V59" s="105">
        <f>ROUNDUP(V23*Assumptions!$D$69,0)</f>
        <v>1</v>
      </c>
      <c r="W59" s="105">
        <f>ROUNDUP(W23*Assumptions!$D$69,0)</f>
        <v>1</v>
      </c>
      <c r="X59" s="105">
        <f>ROUNDUP(X23*Assumptions!$D$69,0)</f>
        <v>1</v>
      </c>
      <c r="Y59" s="105">
        <f>ROUNDUP(Y23*Assumptions!$D$69,0)</f>
        <v>1</v>
      </c>
      <c r="Z59" s="105">
        <f>ROUNDUP(Z23*Assumptions!$D$69,0)</f>
        <v>1</v>
      </c>
      <c r="AA59" s="105">
        <f>ROUNDUP(AA23*Assumptions!$D$69,0)</f>
        <v>1</v>
      </c>
      <c r="AB59" s="105">
        <f>ROUNDUP(AB23*Assumptions!$D$69,0)</f>
        <v>1</v>
      </c>
      <c r="AC59" s="105">
        <f>ROUNDUP(AC23*Assumptions!$D$69,0)</f>
        <v>1</v>
      </c>
      <c r="AD59" s="105">
        <f>ROUNDUP(AD23*Assumptions!$D$69,0)</f>
        <v>1</v>
      </c>
      <c r="AE59" s="105">
        <f>ROUNDUP(AE23*Assumptions!$D$69,0)</f>
        <v>1</v>
      </c>
      <c r="AF59" s="105">
        <f>ROUNDUP(AF23*Assumptions!$D$69,0)</f>
        <v>1</v>
      </c>
      <c r="AG59" s="105">
        <f>ROUNDUP(AG23*Assumptions!$D$69,0)</f>
        <v>1</v>
      </c>
      <c r="AH59" s="105">
        <f>ROUNDUP(AH23*Assumptions!$D$69,0)</f>
        <v>1</v>
      </c>
      <c r="AI59" s="105">
        <f>ROUNDUP(AI23*Assumptions!$D$69,0)</f>
        <v>1</v>
      </c>
      <c r="AJ59" s="105">
        <f>ROUNDUP(AJ23*Assumptions!$D$69,0)</f>
        <v>1</v>
      </c>
      <c r="AK59" s="105">
        <f>ROUNDUP(AK23*Assumptions!$D$69,0)</f>
        <v>1</v>
      </c>
      <c r="AL59" s="105">
        <f>ROUNDUP(AL23*Assumptions!$D$69,0)</f>
        <v>1</v>
      </c>
      <c r="AM59" s="105">
        <f>ROUNDUP(AM23*Assumptions!$D$69,0)</f>
        <v>1</v>
      </c>
      <c r="AN59" s="105">
        <f>ROUNDUP(AN23*Assumptions!$D$69,0)</f>
        <v>1</v>
      </c>
      <c r="AO59" s="105">
        <f>ROUNDUP(AO23*Assumptions!$D$69,0)</f>
        <v>1</v>
      </c>
      <c r="AP59" s="105">
        <f>ROUNDUP(AP23*Assumptions!$D$69,0)</f>
        <v>1</v>
      </c>
      <c r="AQ59" s="105">
        <f>ROUNDUP(AQ23*Assumptions!$D$69,0)</f>
        <v>1</v>
      </c>
      <c r="AR59" s="105">
        <f>ROUNDUP(AR23*Assumptions!$D$69,0)</f>
        <v>1</v>
      </c>
      <c r="AS59" s="105">
        <f>ROUNDUP(AS23*Assumptions!$D$69,0)</f>
        <v>1</v>
      </c>
      <c r="AT59" s="105">
        <f>ROUNDUP(AT23*Assumptions!$D$69,0)</f>
        <v>1</v>
      </c>
      <c r="AU59" s="105">
        <f>ROUNDUP(AU23*Assumptions!$D$69,0)</f>
        <v>1</v>
      </c>
      <c r="AV59" s="105">
        <f>ROUNDUP(AV23*Assumptions!$D$69,0)</f>
        <v>1</v>
      </c>
      <c r="AW59" s="105">
        <f>ROUNDUP(AW23*Assumptions!$D$69,0)</f>
        <v>1</v>
      </c>
      <c r="AX59" s="105">
        <f>ROUNDUP(AX23*Assumptions!$D$69,0)</f>
        <v>1</v>
      </c>
      <c r="AY59" s="105">
        <f>ROUNDUP(AY23*Assumptions!$D$69,0)</f>
        <v>1</v>
      </c>
      <c r="AZ59" s="105">
        <f>ROUNDUP(AZ23*Assumptions!$D$69,0)</f>
        <v>1</v>
      </c>
      <c r="BA59" s="105">
        <f>ROUNDUP(BA23*Assumptions!$D$69,0)</f>
        <v>1</v>
      </c>
      <c r="BB59" s="105">
        <f>ROUNDUP(BB23*Assumptions!$D$69,0)</f>
        <v>1</v>
      </c>
      <c r="BC59" s="105">
        <f>ROUNDUP(BC23*Assumptions!$D$69,0)</f>
        <v>1</v>
      </c>
      <c r="BD59" s="105">
        <f>ROUNDUP(BD23*Assumptions!$D$69,0)</f>
        <v>1</v>
      </c>
      <c r="BE59" s="105">
        <f>ROUNDUP(BE23*Assumptions!$D$69,0)</f>
        <v>1</v>
      </c>
      <c r="BF59" s="105">
        <f>ROUNDUP(BF23*Assumptions!$D$69,0)</f>
        <v>1</v>
      </c>
      <c r="BG59" s="105">
        <f>ROUNDUP(BG23*Assumptions!$D$69,0)</f>
        <v>1</v>
      </c>
      <c r="BH59" s="105">
        <f>ROUNDUP(BH23*Assumptions!$D$69,0)</f>
        <v>1</v>
      </c>
      <c r="BI59" s="105">
        <f>ROUNDUP(BI23*Assumptions!$D$69,0)</f>
        <v>1</v>
      </c>
      <c r="BJ59" s="105">
        <f>ROUNDUP(BJ23*Assumptions!$D$69,0)</f>
        <v>1</v>
      </c>
      <c r="BK59" s="105">
        <f>ROUNDUP(BK23*Assumptions!$D$69,0)</f>
        <v>1</v>
      </c>
      <c r="BL59" s="105">
        <f>ROUNDUP(BL23*Assumptions!$D$69,0)</f>
        <v>1</v>
      </c>
      <c r="BM59" s="105">
        <f>ROUNDUP(BM23*Assumptions!$D$69,0)</f>
        <v>1</v>
      </c>
      <c r="BN59" s="105">
        <f>ROUNDUP(BN23*Assumptions!$D$69,0)</f>
        <v>1</v>
      </c>
      <c r="BO59" s="105">
        <f>ROUNDUP(BO23*Assumptions!$D$69,0)</f>
        <v>1</v>
      </c>
      <c r="BP59" s="105">
        <f>ROUNDUP(BP23*Assumptions!$D$69,0)</f>
        <v>1</v>
      </c>
      <c r="BQ59" s="105">
        <f>ROUNDUP(BQ23*Assumptions!$D$69,0)</f>
        <v>1</v>
      </c>
      <c r="BR59" s="105">
        <f>ROUNDUP(BR23*Assumptions!$D$69,0)</f>
        <v>1</v>
      </c>
      <c r="BS59" s="105">
        <f>ROUNDUP(BS23*Assumptions!$D$69,0)</f>
        <v>1</v>
      </c>
      <c r="BT59" s="105">
        <f>ROUNDUP(BT23*Assumptions!$D$69,0)</f>
        <v>1</v>
      </c>
      <c r="BU59" s="105">
        <f>ROUNDUP(BU23*Assumptions!$D$69,0)</f>
        <v>1</v>
      </c>
      <c r="BV59" s="105">
        <f>ROUNDUP(BV23*Assumptions!$D$69,0)</f>
        <v>1</v>
      </c>
      <c r="BW59" s="105">
        <f>ROUNDUP(BW23*Assumptions!$D$69,0)</f>
        <v>1</v>
      </c>
      <c r="BX59" s="105">
        <f>ROUNDUP(BX23*Assumptions!$D$69,0)</f>
        <v>1</v>
      </c>
      <c r="BY59" s="105">
        <f>ROUNDUP(BY23*Assumptions!$D$69,0)</f>
        <v>1</v>
      </c>
      <c r="BZ59" s="105">
        <f>ROUNDUP(BZ23*Assumptions!$D$69,0)</f>
        <v>1</v>
      </c>
      <c r="CA59" s="105">
        <f>ROUNDUP(CA23*Assumptions!$D$69,0)</f>
        <v>1</v>
      </c>
      <c r="CB59" s="105">
        <f>ROUNDUP(CB23*Assumptions!$D$69,0)</f>
        <v>1</v>
      </c>
      <c r="CC59" s="105">
        <f>ROUNDUP(CC23*Assumptions!$D$69,0)</f>
        <v>1</v>
      </c>
      <c r="CD59" s="105">
        <f>ROUNDUP(CD23*Assumptions!$D$69,0)</f>
        <v>1</v>
      </c>
      <c r="CE59" s="105">
        <f>ROUNDUP(CE23*Assumptions!$D$69,0)</f>
        <v>1</v>
      </c>
      <c r="CF59" s="105">
        <f>ROUNDUP(CF23*Assumptions!$D$69,0)</f>
        <v>1</v>
      </c>
      <c r="CG59" s="105">
        <f>ROUNDUP(CG23*Assumptions!$D$69,0)</f>
        <v>1</v>
      </c>
      <c r="CH59" s="105">
        <f>ROUNDUP(CH23*Assumptions!$D$69,0)</f>
        <v>1</v>
      </c>
      <c r="CI59" s="105">
        <f>ROUNDUP(CI23*Assumptions!$D$69,0)</f>
        <v>1</v>
      </c>
      <c r="CJ59" s="105">
        <f>ROUNDUP(CJ23*Assumptions!$D$69,0)</f>
        <v>1</v>
      </c>
      <c r="CK59" s="105">
        <f>ROUNDUP(CK23*Assumptions!$D$69,0)</f>
        <v>1</v>
      </c>
      <c r="CL59" s="105">
        <f>ROUNDUP(CL23*Assumptions!$D$69,0)</f>
        <v>1</v>
      </c>
      <c r="CM59" s="105">
        <f>ROUNDUP(CM23*Assumptions!$D$69,0)</f>
        <v>1</v>
      </c>
      <c r="CN59" s="105">
        <f>ROUNDUP(CN23*Assumptions!$D$69,0)</f>
        <v>1</v>
      </c>
      <c r="CO59" s="105">
        <f>ROUNDUP(CO23*Assumptions!$D$69,0)</f>
        <v>1</v>
      </c>
      <c r="CP59" s="105">
        <f>ROUNDUP(CP23*Assumptions!$D$69,0)</f>
        <v>1</v>
      </c>
      <c r="CQ59" s="105">
        <f>ROUNDUP(CQ23*Assumptions!$D$69,0)</f>
        <v>1</v>
      </c>
      <c r="CR59" s="105">
        <f>ROUNDUP(CR23*Assumptions!$D$69,0)</f>
        <v>1</v>
      </c>
      <c r="CS59" s="105">
        <f>ROUNDUP(CS23*Assumptions!$D$69,0)</f>
        <v>1</v>
      </c>
      <c r="CT59" s="105">
        <f>ROUNDUP(CT23*Assumptions!$D$69,0)</f>
        <v>1</v>
      </c>
      <c r="CU59" s="105">
        <f>ROUNDUP(CU23*Assumptions!$D$69,0)</f>
        <v>1</v>
      </c>
      <c r="CV59" s="105">
        <f>ROUNDUP(CV23*Assumptions!$D$69,0)</f>
        <v>1</v>
      </c>
      <c r="CW59" s="105">
        <f>ROUNDUP(CW23*Assumptions!$D$69,0)</f>
        <v>1</v>
      </c>
      <c r="CX59" s="105">
        <f>ROUNDUP(CX23*Assumptions!$D$69,0)</f>
        <v>1</v>
      </c>
      <c r="CY59" s="105">
        <f>ROUNDUP(CY23*Assumptions!$D$69,0)</f>
        <v>1</v>
      </c>
      <c r="CZ59" s="105">
        <f>ROUNDUP(CZ23*Assumptions!$D$69,0)</f>
        <v>1</v>
      </c>
      <c r="DA59" s="105">
        <f>ROUNDUP(DA23*Assumptions!$D$69,0)</f>
        <v>1</v>
      </c>
      <c r="DB59" s="105">
        <f>ROUNDUP(DB23*Assumptions!$D$69,0)</f>
        <v>1</v>
      </c>
      <c r="DC59" s="105">
        <f>ROUNDUP(DC23*Assumptions!$D$69,0)</f>
        <v>1</v>
      </c>
      <c r="DD59" s="105">
        <f>ROUNDUP(DD23*Assumptions!$D$69,0)</f>
        <v>1</v>
      </c>
      <c r="DE59" s="105">
        <f>ROUNDUP(DE23*Assumptions!$D$69,0)</f>
        <v>1</v>
      </c>
      <c r="DF59" s="105">
        <f>ROUNDUP(DF23*Assumptions!$D$69,0)</f>
        <v>1</v>
      </c>
      <c r="DG59" s="105">
        <f>ROUNDUP(DG23*Assumptions!$D$69,0)</f>
        <v>1</v>
      </c>
      <c r="DH59" s="105">
        <f>ROUNDUP(DH23*Assumptions!$D$69,0)</f>
        <v>1</v>
      </c>
      <c r="DI59" s="105">
        <f>ROUNDUP(DI23*Assumptions!$D$69,0)</f>
        <v>1</v>
      </c>
      <c r="DJ59" s="105">
        <f>ROUNDUP(DJ23*Assumptions!$D$69,0)</f>
        <v>1</v>
      </c>
      <c r="DK59" s="105">
        <f>ROUNDUP(DK23*Assumptions!$D$69,0)</f>
        <v>1</v>
      </c>
      <c r="DL59" s="105">
        <f>ROUNDUP(DL23*Assumptions!$D$69,0)</f>
        <v>1</v>
      </c>
      <c r="DM59" s="105">
        <f>ROUNDUP(DM23*Assumptions!$D$69,0)</f>
        <v>1</v>
      </c>
      <c r="DN59" s="105">
        <f>ROUNDUP(DN23*Assumptions!$D$69,0)</f>
        <v>1</v>
      </c>
      <c r="DO59" s="105">
        <f>ROUNDUP(DO23*Assumptions!$D$69,0)</f>
        <v>1</v>
      </c>
      <c r="DP59" s="105">
        <f>ROUNDUP(DP23*Assumptions!$D$69,0)</f>
        <v>1</v>
      </c>
      <c r="DQ59" s="105">
        <f>ROUNDUP(DQ23*Assumptions!$D$69,0)</f>
        <v>1</v>
      </c>
      <c r="DR59" s="105">
        <f>ROUNDUP(DR23*Assumptions!$D$69,0)</f>
        <v>1</v>
      </c>
      <c r="DS59" s="105">
        <f>ROUNDUP(DS23*Assumptions!$D$69,0)</f>
        <v>1</v>
      </c>
      <c r="DT59" s="105">
        <f>ROUNDUP(DT23*Assumptions!$D$69,0)</f>
        <v>1</v>
      </c>
      <c r="DU59" s="105">
        <f>ROUNDUP(DU23*Assumptions!$D$69,0)</f>
        <v>1</v>
      </c>
      <c r="DV59" s="105">
        <f>ROUNDUP(DV23*Assumptions!$D$69,0)</f>
        <v>1</v>
      </c>
      <c r="DW59" s="105">
        <f>ROUNDUP(DW23*Assumptions!$D$69,0)</f>
        <v>1</v>
      </c>
      <c r="DX59" s="105">
        <f>ROUNDUP(DX23*Assumptions!$D$69,0)</f>
        <v>1</v>
      </c>
      <c r="DY59" s="105">
        <f>ROUNDUP(DY23*Assumptions!$D$69,0)</f>
        <v>1</v>
      </c>
      <c r="DZ59" s="105">
        <f>ROUNDUP(DZ23*Assumptions!$D$69,0)</f>
        <v>1</v>
      </c>
      <c r="EA59" s="105">
        <f>ROUNDUP(EA23*Assumptions!$D$69,0)</f>
        <v>1</v>
      </c>
      <c r="EB59" s="105">
        <f>ROUNDUP(EB23*Assumptions!$D$69,0)</f>
        <v>1</v>
      </c>
      <c r="EC59" s="105">
        <f>ROUNDUP(EC23*Assumptions!$D$69,0)</f>
        <v>1</v>
      </c>
      <c r="ED59" s="105">
        <f>ROUNDUP(ED23*Assumptions!$D$69,0)</f>
        <v>1</v>
      </c>
      <c r="EE59" s="105">
        <f>ROUNDUP(EE23*Assumptions!$D$69,0)</f>
        <v>1</v>
      </c>
      <c r="EF59" s="105">
        <f>ROUNDUP(EF23*Assumptions!$D$69,0)</f>
        <v>1</v>
      </c>
      <c r="EG59" s="105">
        <f>ROUNDUP(EG23*Assumptions!$D$69,0)</f>
        <v>1</v>
      </c>
      <c r="EH59" s="105">
        <f>ROUNDUP(EH23*Assumptions!$D$69,0)</f>
        <v>1</v>
      </c>
      <c r="EI59" s="105">
        <f>ROUNDUP(EI23*Assumptions!$D$69,0)</f>
        <v>1</v>
      </c>
      <c r="EJ59" s="105">
        <f>ROUNDUP(EJ23*Assumptions!$D$69,0)</f>
        <v>1</v>
      </c>
      <c r="EK59" s="105">
        <f>ROUNDUP(EK23*Assumptions!$D$69,0)</f>
        <v>1</v>
      </c>
      <c r="EL59" s="105">
        <f>ROUNDUP(EL23*Assumptions!$D$69,0)</f>
        <v>1</v>
      </c>
      <c r="EM59" s="105">
        <f>ROUNDUP(EM23*Assumptions!$D$69,0)</f>
        <v>1</v>
      </c>
      <c r="EN59" s="105">
        <f>ROUNDUP(EN23*Assumptions!$D$69,0)</f>
        <v>1</v>
      </c>
      <c r="EO59" s="105">
        <f>ROUNDUP(EO23*Assumptions!$D$69,0)</f>
        <v>1</v>
      </c>
      <c r="EP59" s="105">
        <f>ROUNDUP(EP23*Assumptions!$D$69,0)</f>
        <v>1</v>
      </c>
      <c r="EQ59" s="105">
        <f>ROUNDUP(EQ23*Assumptions!$D$69,0)</f>
        <v>1</v>
      </c>
      <c r="ER59" s="105">
        <f>ROUNDUP(ER23*Assumptions!$D$69,0)</f>
        <v>1</v>
      </c>
      <c r="ES59" s="105">
        <f>ROUNDUP(ES23*Assumptions!$D$69,0)</f>
        <v>1</v>
      </c>
      <c r="ET59" s="105">
        <f>ROUNDUP(ET23*Assumptions!$D$69,0)</f>
        <v>1</v>
      </c>
      <c r="EU59" s="105">
        <f>ROUNDUP(EU23*Assumptions!$D$69,0)</f>
        <v>1</v>
      </c>
      <c r="EV59" s="105">
        <f>ROUNDUP(EV23*Assumptions!$D$69,0)</f>
        <v>1</v>
      </c>
      <c r="EW59" s="105">
        <f>ROUNDUP(EW23*Assumptions!$D$69,0)</f>
        <v>1</v>
      </c>
      <c r="EX59" s="105">
        <f>ROUNDUP(EX23*Assumptions!$D$69,0)</f>
        <v>1</v>
      </c>
      <c r="EY59" s="105">
        <f>ROUNDUP(EY23*Assumptions!$D$69,0)</f>
        <v>1</v>
      </c>
      <c r="EZ59" s="105">
        <f>ROUNDUP(EZ23*Assumptions!$D$69,0)</f>
        <v>1</v>
      </c>
      <c r="FA59" s="105">
        <f>ROUNDUP(FA23*Assumptions!$D$69,0)</f>
        <v>1</v>
      </c>
      <c r="FB59" s="105">
        <f>ROUNDUP(FB23*Assumptions!$D$69,0)</f>
        <v>1</v>
      </c>
      <c r="FC59" s="105">
        <f>ROUNDUP(FC23*Assumptions!$D$69,0)</f>
        <v>1</v>
      </c>
      <c r="FD59" s="105">
        <f>ROUNDUP(FD23*Assumptions!$D$69,0)</f>
        <v>1</v>
      </c>
      <c r="FE59" s="105">
        <f>ROUNDUP(FE23*Assumptions!$D$69,0)</f>
        <v>1</v>
      </c>
      <c r="FF59" s="105">
        <f>ROUNDUP(FF23*Assumptions!$D$69,0)</f>
        <v>1</v>
      </c>
      <c r="FG59" s="105">
        <f>ROUNDUP(FG23*Assumptions!$D$69,0)</f>
        <v>1</v>
      </c>
      <c r="FH59" s="105">
        <f>ROUNDUP(FH23*Assumptions!$D$69,0)</f>
        <v>1</v>
      </c>
      <c r="FI59" s="105">
        <f>ROUNDUP(FI23*Assumptions!$D$69,0)</f>
        <v>1</v>
      </c>
      <c r="FJ59" s="105">
        <f>ROUNDUP(FJ23*Assumptions!$D$69,0)</f>
        <v>1</v>
      </c>
      <c r="FK59" s="105">
        <f>ROUNDUP(FK23*Assumptions!$D$69,0)</f>
        <v>1</v>
      </c>
      <c r="FL59" s="105">
        <f>ROUNDUP(FL23*Assumptions!$D$69,0)</f>
        <v>1</v>
      </c>
      <c r="FM59" s="105">
        <f>ROUNDUP(FM23*Assumptions!$D$69,0)</f>
        <v>1</v>
      </c>
      <c r="FN59" s="105">
        <f>ROUNDUP(FN23*Assumptions!$D$69,0)</f>
        <v>1</v>
      </c>
      <c r="FO59" s="105">
        <f>ROUNDUP(FO23*Assumptions!$D$69,0)</f>
        <v>1</v>
      </c>
      <c r="FP59" s="105">
        <f>ROUNDUP(FP23*Assumptions!$D$69,0)</f>
        <v>1</v>
      </c>
      <c r="FQ59" s="105">
        <f>ROUNDUP(FQ23*Assumptions!$D$69,0)</f>
        <v>1</v>
      </c>
      <c r="FR59" s="105">
        <f>ROUNDUP(FR23*Assumptions!$D$69,0)</f>
        <v>1</v>
      </c>
      <c r="FS59" s="105">
        <f>ROUNDUP(FS23*Assumptions!$D$69,0)</f>
        <v>1</v>
      </c>
      <c r="FT59" s="105">
        <f>ROUNDUP(FT23*Assumptions!$D$69,0)</f>
        <v>1</v>
      </c>
      <c r="FU59" s="105">
        <f>ROUNDUP(FU23*Assumptions!$D$69,0)</f>
        <v>1</v>
      </c>
      <c r="FV59" s="105">
        <f>ROUNDUP(FV23*Assumptions!$D$69,0)</f>
        <v>1</v>
      </c>
      <c r="FW59" s="105">
        <f>ROUNDUP(FW23*Assumptions!$D$69,0)</f>
        <v>1</v>
      </c>
      <c r="FX59" s="105">
        <f>ROUNDUP(FX23*Assumptions!$D$69,0)</f>
        <v>1</v>
      </c>
      <c r="FY59" s="105">
        <f>ROUNDUP(FY23*Assumptions!$D$69,0)</f>
        <v>1</v>
      </c>
      <c r="FZ59" s="105">
        <f>ROUNDUP(FZ23*Assumptions!$D$69,0)</f>
        <v>1</v>
      </c>
      <c r="GA59" s="105">
        <f>ROUNDUP(GA23*Assumptions!$D$69,0)</f>
        <v>1</v>
      </c>
      <c r="GB59" s="105">
        <f>ROUNDUP(GB23*Assumptions!$D$69,0)</f>
        <v>1</v>
      </c>
      <c r="GC59" s="105">
        <f>ROUNDUP(GC23*Assumptions!$D$69,0)</f>
        <v>1</v>
      </c>
    </row>
    <row r="60" spans="1:185">
      <c r="A60" s="80"/>
      <c r="B60" s="80" t="s">
        <v>107</v>
      </c>
      <c r="C60" s="80"/>
      <c r="D60" s="80"/>
      <c r="E60" s="82"/>
      <c r="F60" s="104">
        <f>Assumptions!$D$38*(1+Assumptions!$D$66)</f>
        <v>50</v>
      </c>
      <c r="G60" s="104">
        <f>Assumptions!$D$38*(1+Assumptions!$D$66)</f>
        <v>50</v>
      </c>
      <c r="H60" s="104">
        <f>Assumptions!$D$38*(1+Assumptions!$D$66)</f>
        <v>50</v>
      </c>
      <c r="I60" s="104">
        <f>Assumptions!$D$38*(1+Assumptions!$D$66)</f>
        <v>50</v>
      </c>
      <c r="J60" s="104">
        <f>Assumptions!$D$38*(1+Assumptions!$D$66)</f>
        <v>50</v>
      </c>
      <c r="K60" s="104">
        <f>Assumptions!$D$38*(1+Assumptions!$D$66)</f>
        <v>50</v>
      </c>
      <c r="L60" s="104">
        <f>Assumptions!$D$38*(1+Assumptions!$D$66)</f>
        <v>50</v>
      </c>
      <c r="M60" s="104">
        <f>Assumptions!$D$38*(1+Assumptions!$D$66)</f>
        <v>50</v>
      </c>
      <c r="N60" s="104">
        <f>Assumptions!$D$38*(1+Assumptions!$D$66)</f>
        <v>50</v>
      </c>
      <c r="O60" s="104">
        <f>Assumptions!$D$38*(1+Assumptions!$D$66)</f>
        <v>50</v>
      </c>
      <c r="P60" s="104">
        <f>Assumptions!$D$38*(1+Assumptions!$D$66)</f>
        <v>50</v>
      </c>
      <c r="Q60" s="104">
        <f>Assumptions!$D$38*(1+Assumptions!$D$66)</f>
        <v>50</v>
      </c>
      <c r="R60" s="104">
        <f>Assumptions!$D$38*(1+Assumptions!$D$66)</f>
        <v>50</v>
      </c>
      <c r="S60" s="104">
        <f>Assumptions!$D$38*(1+Assumptions!$D$66)</f>
        <v>50</v>
      </c>
      <c r="T60" s="104">
        <f>Assumptions!$D$38*(1+Assumptions!$D$66)</f>
        <v>50</v>
      </c>
      <c r="U60" s="104">
        <f>Assumptions!$D$38*(1+Assumptions!$D$66)</f>
        <v>50</v>
      </c>
      <c r="V60" s="104">
        <f>Assumptions!$D$38*(1+Assumptions!$D$66)</f>
        <v>50</v>
      </c>
      <c r="W60" s="104">
        <f>Assumptions!$D$38*(1+Assumptions!$D$66)</f>
        <v>50</v>
      </c>
      <c r="X60" s="104">
        <f>Assumptions!$D$38*(1+Assumptions!$D$66)</f>
        <v>50</v>
      </c>
      <c r="Y60" s="104">
        <f>Assumptions!$D$38*(1+Assumptions!$D$66)</f>
        <v>50</v>
      </c>
      <c r="Z60" s="104">
        <f>Assumptions!$D$38*(1+Assumptions!$D$66)</f>
        <v>50</v>
      </c>
      <c r="AA60" s="104">
        <f>Assumptions!$D$38*(1+Assumptions!$D$66)</f>
        <v>50</v>
      </c>
      <c r="AB60" s="104">
        <f>Assumptions!$D$38*(1+Assumptions!$D$66)</f>
        <v>50</v>
      </c>
      <c r="AC60" s="104">
        <f>Assumptions!$D$38*(1+Assumptions!$D$66)</f>
        <v>50</v>
      </c>
      <c r="AD60" s="104">
        <f>Assumptions!$D$38*(1+Assumptions!$D$66)</f>
        <v>50</v>
      </c>
      <c r="AE60" s="104">
        <f>Assumptions!$D$38*(1+Assumptions!$D$66)</f>
        <v>50</v>
      </c>
      <c r="AF60" s="104">
        <f>Assumptions!$D$38*(1+Assumptions!$D$66)</f>
        <v>50</v>
      </c>
      <c r="AG60" s="104">
        <f>Assumptions!$D$38*(1+Assumptions!$D$66)</f>
        <v>50</v>
      </c>
      <c r="AH60" s="104">
        <f>Assumptions!$D$38*(1+Assumptions!$D$66)</f>
        <v>50</v>
      </c>
      <c r="AI60" s="104">
        <f>Assumptions!$D$38*(1+Assumptions!$D$66)</f>
        <v>50</v>
      </c>
      <c r="AJ60" s="104">
        <f>Assumptions!$D$38*(1+Assumptions!$D$66)</f>
        <v>50</v>
      </c>
      <c r="AK60" s="104">
        <f>Assumptions!$D$38*(1+Assumptions!$D$66)</f>
        <v>50</v>
      </c>
      <c r="AL60" s="104">
        <f>Assumptions!$D$38*(1+Assumptions!$D$66)</f>
        <v>50</v>
      </c>
      <c r="AM60" s="104">
        <f>Assumptions!$D$38*(1+Assumptions!$D$66)</f>
        <v>50</v>
      </c>
      <c r="AN60" s="104">
        <f>Assumptions!$D$38*(1+Assumptions!$D$66)</f>
        <v>50</v>
      </c>
      <c r="AO60" s="104">
        <f>Assumptions!$D$38*(1+Assumptions!$D$66)</f>
        <v>50</v>
      </c>
      <c r="AP60" s="104">
        <f>Assumptions!$D$38*(1+Assumptions!$D$66)</f>
        <v>50</v>
      </c>
      <c r="AQ60" s="104">
        <f>Assumptions!$D$38*(1+Assumptions!$D$66)</f>
        <v>50</v>
      </c>
      <c r="AR60" s="104">
        <f>Assumptions!$D$38*(1+Assumptions!$D$66)</f>
        <v>50</v>
      </c>
      <c r="AS60" s="104">
        <f>Assumptions!$D$38*(1+Assumptions!$D$66)</f>
        <v>50</v>
      </c>
      <c r="AT60" s="104">
        <f>Assumptions!$D$38*(1+Assumptions!$D$66)</f>
        <v>50</v>
      </c>
      <c r="AU60" s="104">
        <f>Assumptions!$D$38*(1+Assumptions!$D$66)</f>
        <v>50</v>
      </c>
      <c r="AV60" s="104">
        <f>Assumptions!$D$38*(1+Assumptions!$D$66)</f>
        <v>50</v>
      </c>
      <c r="AW60" s="104">
        <f>Assumptions!$D$38*(1+Assumptions!$D$66)</f>
        <v>50</v>
      </c>
      <c r="AX60" s="104">
        <f>Assumptions!$D$38*(1+Assumptions!$D$66)</f>
        <v>50</v>
      </c>
      <c r="AY60" s="104">
        <f>Assumptions!$D$38*(1+Assumptions!$D$66)</f>
        <v>50</v>
      </c>
      <c r="AZ60" s="104">
        <f>Assumptions!$D$38*(1+Assumptions!$D$66)</f>
        <v>50</v>
      </c>
      <c r="BA60" s="104">
        <f>Assumptions!$D$38*(1+Assumptions!$D$66)</f>
        <v>50</v>
      </c>
      <c r="BB60" s="104">
        <f>Assumptions!$D$38*(1+Assumptions!$D$66)</f>
        <v>50</v>
      </c>
      <c r="BC60" s="104">
        <f>Assumptions!$D$38*(1+Assumptions!$D$66)</f>
        <v>50</v>
      </c>
      <c r="BD60" s="104">
        <f>Assumptions!$D$38*(1+Assumptions!$D$66)</f>
        <v>50</v>
      </c>
      <c r="BE60" s="104">
        <f>Assumptions!$D$38*(1+Assumptions!$D$66)</f>
        <v>50</v>
      </c>
      <c r="BF60" s="104">
        <f>Assumptions!$D$38*(1+Assumptions!$D$66)</f>
        <v>50</v>
      </c>
      <c r="BG60" s="104">
        <f>Assumptions!$D$38*(1+Assumptions!$D$66)</f>
        <v>50</v>
      </c>
      <c r="BH60" s="104">
        <f>Assumptions!$D$38*(1+Assumptions!$D$66)</f>
        <v>50</v>
      </c>
      <c r="BI60" s="104">
        <f>Assumptions!$D$38*(1+Assumptions!$D$66)</f>
        <v>50</v>
      </c>
      <c r="BJ60" s="104">
        <f>Assumptions!$D$38*(1+Assumptions!$D$66)</f>
        <v>50</v>
      </c>
      <c r="BK60" s="104">
        <f>Assumptions!$D$38*(1+Assumptions!$D$66)</f>
        <v>50</v>
      </c>
      <c r="BL60" s="104">
        <f>Assumptions!$D$38*(1+Assumptions!$D$66)</f>
        <v>50</v>
      </c>
      <c r="BM60" s="104">
        <f>Assumptions!$D$38*(1+Assumptions!$D$66)</f>
        <v>50</v>
      </c>
      <c r="BN60" s="104">
        <f>Assumptions!$D$38*(1+Assumptions!$D$66)</f>
        <v>50</v>
      </c>
      <c r="BO60" s="104">
        <f>Assumptions!$D$38*(1+Assumptions!$D$66)</f>
        <v>50</v>
      </c>
      <c r="BP60" s="104">
        <f>Assumptions!$D$38*(1+Assumptions!$D$66)</f>
        <v>50</v>
      </c>
      <c r="BQ60" s="104">
        <f>Assumptions!$D$38*(1+Assumptions!$D$66)</f>
        <v>50</v>
      </c>
      <c r="BR60" s="104">
        <f>Assumptions!$D$38*(1+Assumptions!$D$66)</f>
        <v>50</v>
      </c>
      <c r="BS60" s="104">
        <f>Assumptions!$D$38*(1+Assumptions!$D$66)</f>
        <v>50</v>
      </c>
      <c r="BT60" s="104">
        <f>Assumptions!$D$38*(1+Assumptions!$D$66)</f>
        <v>50</v>
      </c>
      <c r="BU60" s="104">
        <f>Assumptions!$D$38*(1+Assumptions!$D$66)</f>
        <v>50</v>
      </c>
      <c r="BV60" s="104">
        <f>Assumptions!$D$38*(1+Assumptions!$D$66)</f>
        <v>50</v>
      </c>
      <c r="BW60" s="104">
        <f>Assumptions!$D$38*(1+Assumptions!$D$66)</f>
        <v>50</v>
      </c>
      <c r="BX60" s="104">
        <f>Assumptions!$D$38*(1+Assumptions!$D$66)</f>
        <v>50</v>
      </c>
      <c r="BY60" s="104">
        <f>Assumptions!$D$38*(1+Assumptions!$D$66)</f>
        <v>50</v>
      </c>
      <c r="BZ60" s="104">
        <f>Assumptions!$D$38*(1+Assumptions!$D$66)</f>
        <v>50</v>
      </c>
      <c r="CA60" s="104">
        <f>Assumptions!$D$38*(1+Assumptions!$D$66)</f>
        <v>50</v>
      </c>
      <c r="CB60" s="104">
        <f>Assumptions!$D$38*(1+Assumptions!$D$66)</f>
        <v>50</v>
      </c>
      <c r="CC60" s="104">
        <f>Assumptions!$D$38*(1+Assumptions!$D$66)</f>
        <v>50</v>
      </c>
      <c r="CD60" s="104">
        <f>Assumptions!$D$38*(1+Assumptions!$D$66)</f>
        <v>50</v>
      </c>
      <c r="CE60" s="104">
        <f>Assumptions!$D$38*(1+Assumptions!$D$66)</f>
        <v>50</v>
      </c>
      <c r="CF60" s="104">
        <f>Assumptions!$D$38*(1+Assumptions!$D$66)</f>
        <v>50</v>
      </c>
      <c r="CG60" s="104">
        <f>Assumptions!$D$38*(1+Assumptions!$D$66)</f>
        <v>50</v>
      </c>
      <c r="CH60" s="104">
        <f>Assumptions!$D$38*(1+Assumptions!$D$66)</f>
        <v>50</v>
      </c>
      <c r="CI60" s="104">
        <f>Assumptions!$D$38*(1+Assumptions!$D$66)</f>
        <v>50</v>
      </c>
      <c r="CJ60" s="104">
        <f>Assumptions!$D$38*(1+Assumptions!$D$66)</f>
        <v>50</v>
      </c>
      <c r="CK60" s="104">
        <f>Assumptions!$D$38*(1+Assumptions!$D$66)</f>
        <v>50</v>
      </c>
      <c r="CL60" s="104">
        <f>Assumptions!$D$38*(1+Assumptions!$D$66)</f>
        <v>50</v>
      </c>
      <c r="CM60" s="104">
        <f>Assumptions!$D$38*(1+Assumptions!$D$66)</f>
        <v>50</v>
      </c>
      <c r="CN60" s="104">
        <f>Assumptions!$D$38*(1+Assumptions!$D$66)</f>
        <v>50</v>
      </c>
      <c r="CO60" s="104">
        <f>Assumptions!$D$38*(1+Assumptions!$D$66)</f>
        <v>50</v>
      </c>
      <c r="CP60" s="104">
        <f>Assumptions!$D$38*(1+Assumptions!$D$66)</f>
        <v>50</v>
      </c>
      <c r="CQ60" s="104">
        <f>Assumptions!$D$38*(1+Assumptions!$D$66)</f>
        <v>50</v>
      </c>
      <c r="CR60" s="104">
        <f>Assumptions!$D$38*(1+Assumptions!$D$66)</f>
        <v>50</v>
      </c>
      <c r="CS60" s="104">
        <f>Assumptions!$D$38*(1+Assumptions!$D$66)</f>
        <v>50</v>
      </c>
      <c r="CT60" s="104">
        <f>Assumptions!$D$38*(1+Assumptions!$D$66)</f>
        <v>50</v>
      </c>
      <c r="CU60" s="104">
        <f>Assumptions!$D$38*(1+Assumptions!$D$66)</f>
        <v>50</v>
      </c>
      <c r="CV60" s="104">
        <f>Assumptions!$D$38*(1+Assumptions!$D$66)</f>
        <v>50</v>
      </c>
      <c r="CW60" s="104">
        <f>Assumptions!$D$38*(1+Assumptions!$D$66)</f>
        <v>50</v>
      </c>
      <c r="CX60" s="104">
        <f>Assumptions!$D$38*(1+Assumptions!$D$66)</f>
        <v>50</v>
      </c>
      <c r="CY60" s="104">
        <f>Assumptions!$D$38*(1+Assumptions!$D$66)</f>
        <v>50</v>
      </c>
      <c r="CZ60" s="104">
        <f>Assumptions!$D$38*(1+Assumptions!$D$66)</f>
        <v>50</v>
      </c>
      <c r="DA60" s="104">
        <f>Assumptions!$D$38*(1+Assumptions!$D$66)</f>
        <v>50</v>
      </c>
      <c r="DB60" s="104">
        <f>Assumptions!$D$38*(1+Assumptions!$D$66)</f>
        <v>50</v>
      </c>
      <c r="DC60" s="104">
        <f>Assumptions!$D$38*(1+Assumptions!$D$66)</f>
        <v>50</v>
      </c>
      <c r="DD60" s="104">
        <f>Assumptions!$D$38*(1+Assumptions!$D$66)</f>
        <v>50</v>
      </c>
      <c r="DE60" s="104">
        <f>Assumptions!$D$38*(1+Assumptions!$D$66)</f>
        <v>50</v>
      </c>
      <c r="DF60" s="104">
        <f>Assumptions!$D$38*(1+Assumptions!$D$66)</f>
        <v>50</v>
      </c>
      <c r="DG60" s="104">
        <f>Assumptions!$D$38*(1+Assumptions!$D$66)</f>
        <v>50</v>
      </c>
      <c r="DH60" s="104">
        <f>Assumptions!$D$38*(1+Assumptions!$D$66)</f>
        <v>50</v>
      </c>
      <c r="DI60" s="104">
        <f>Assumptions!$D$38*(1+Assumptions!$D$66)</f>
        <v>50</v>
      </c>
      <c r="DJ60" s="104">
        <f>Assumptions!$D$38*(1+Assumptions!$D$66)</f>
        <v>50</v>
      </c>
      <c r="DK60" s="104">
        <f>Assumptions!$D$38*(1+Assumptions!$D$66)</f>
        <v>50</v>
      </c>
      <c r="DL60" s="104">
        <f>Assumptions!$D$38*(1+Assumptions!$D$66)</f>
        <v>50</v>
      </c>
      <c r="DM60" s="104">
        <f>Assumptions!$D$38*(1+Assumptions!$D$66)</f>
        <v>50</v>
      </c>
      <c r="DN60" s="104">
        <f>Assumptions!$D$38*(1+Assumptions!$D$66)</f>
        <v>50</v>
      </c>
      <c r="DO60" s="104">
        <f>Assumptions!$D$38*(1+Assumptions!$D$66)</f>
        <v>50</v>
      </c>
      <c r="DP60" s="104">
        <f>Assumptions!$D$38*(1+Assumptions!$D$66)</f>
        <v>50</v>
      </c>
      <c r="DQ60" s="104">
        <f>Assumptions!$D$38*(1+Assumptions!$D$66)</f>
        <v>50</v>
      </c>
      <c r="DR60" s="104">
        <f>Assumptions!$D$38*(1+Assumptions!$D$66)</f>
        <v>50</v>
      </c>
      <c r="DS60" s="104">
        <f>Assumptions!$D$38*(1+Assumptions!$D$66)</f>
        <v>50</v>
      </c>
      <c r="DT60" s="104">
        <f>Assumptions!$D$38*(1+Assumptions!$D$66)</f>
        <v>50</v>
      </c>
      <c r="DU60" s="104">
        <f>Assumptions!$D$38*(1+Assumptions!$D$66)</f>
        <v>50</v>
      </c>
      <c r="DV60" s="104">
        <f>Assumptions!$D$38*(1+Assumptions!$D$66)</f>
        <v>50</v>
      </c>
      <c r="DW60" s="104">
        <f>Assumptions!$D$38*(1+Assumptions!$D$66)</f>
        <v>50</v>
      </c>
      <c r="DX60" s="104">
        <f>Assumptions!$D$38*(1+Assumptions!$D$66)</f>
        <v>50</v>
      </c>
      <c r="DY60" s="104">
        <f>Assumptions!$D$38*(1+Assumptions!$D$66)</f>
        <v>50</v>
      </c>
      <c r="DZ60" s="104">
        <f>Assumptions!$D$38*(1+Assumptions!$D$66)</f>
        <v>50</v>
      </c>
      <c r="EA60" s="104">
        <f>Assumptions!$D$38*(1+Assumptions!$D$66)</f>
        <v>50</v>
      </c>
      <c r="EB60" s="104">
        <f>Assumptions!$D$38*(1+Assumptions!$D$66)</f>
        <v>50</v>
      </c>
      <c r="EC60" s="104">
        <f>Assumptions!$D$38*(1+Assumptions!$D$66)</f>
        <v>50</v>
      </c>
      <c r="ED60" s="104">
        <f>Assumptions!$D$38*(1+Assumptions!$D$66)</f>
        <v>50</v>
      </c>
      <c r="EE60" s="104">
        <f>Assumptions!$D$38*(1+Assumptions!$D$66)</f>
        <v>50</v>
      </c>
      <c r="EF60" s="104">
        <f>Assumptions!$D$38*(1+Assumptions!$D$66)</f>
        <v>50</v>
      </c>
      <c r="EG60" s="104">
        <f>Assumptions!$D$38*(1+Assumptions!$D$66)</f>
        <v>50</v>
      </c>
      <c r="EH60" s="104">
        <f>Assumptions!$D$38*(1+Assumptions!$D$66)</f>
        <v>50</v>
      </c>
      <c r="EI60" s="104">
        <f>Assumptions!$D$38*(1+Assumptions!$D$66)</f>
        <v>50</v>
      </c>
      <c r="EJ60" s="104">
        <f>Assumptions!$D$38*(1+Assumptions!$D$66)</f>
        <v>50</v>
      </c>
      <c r="EK60" s="104">
        <f>Assumptions!$D$38*(1+Assumptions!$D$66)</f>
        <v>50</v>
      </c>
      <c r="EL60" s="104">
        <f>Assumptions!$D$38*(1+Assumptions!$D$66)</f>
        <v>50</v>
      </c>
      <c r="EM60" s="104">
        <f>Assumptions!$D$38*(1+Assumptions!$D$66)</f>
        <v>50</v>
      </c>
      <c r="EN60" s="104">
        <f>Assumptions!$D$38*(1+Assumptions!$D$66)</f>
        <v>50</v>
      </c>
      <c r="EO60" s="104">
        <f>Assumptions!$D$38*(1+Assumptions!$D$66)</f>
        <v>50</v>
      </c>
      <c r="EP60" s="104">
        <f>Assumptions!$D$38*(1+Assumptions!$D$66)</f>
        <v>50</v>
      </c>
      <c r="EQ60" s="104">
        <f>Assumptions!$D$38*(1+Assumptions!$D$66)</f>
        <v>50</v>
      </c>
      <c r="ER60" s="104">
        <f>Assumptions!$D$38*(1+Assumptions!$D$66)</f>
        <v>50</v>
      </c>
      <c r="ES60" s="104">
        <f>Assumptions!$D$38*(1+Assumptions!$D$66)</f>
        <v>50</v>
      </c>
      <c r="ET60" s="104">
        <f>Assumptions!$D$38*(1+Assumptions!$D$66)</f>
        <v>50</v>
      </c>
      <c r="EU60" s="104">
        <f>Assumptions!$D$38*(1+Assumptions!$D$66)</f>
        <v>50</v>
      </c>
      <c r="EV60" s="104">
        <f>Assumptions!$D$38*(1+Assumptions!$D$66)</f>
        <v>50</v>
      </c>
      <c r="EW60" s="104">
        <f>Assumptions!$D$38*(1+Assumptions!$D$66)</f>
        <v>50</v>
      </c>
      <c r="EX60" s="104">
        <f>Assumptions!$D$38*(1+Assumptions!$D$66)</f>
        <v>50</v>
      </c>
      <c r="EY60" s="104">
        <f>Assumptions!$D$38*(1+Assumptions!$D$66)</f>
        <v>50</v>
      </c>
      <c r="EZ60" s="104">
        <f>Assumptions!$D$38*(1+Assumptions!$D$66)</f>
        <v>50</v>
      </c>
      <c r="FA60" s="104">
        <f>Assumptions!$D$38*(1+Assumptions!$D$66)</f>
        <v>50</v>
      </c>
      <c r="FB60" s="104">
        <f>Assumptions!$D$38*(1+Assumptions!$D$66)</f>
        <v>50</v>
      </c>
      <c r="FC60" s="104">
        <f>Assumptions!$D$38*(1+Assumptions!$D$66)</f>
        <v>50</v>
      </c>
      <c r="FD60" s="104">
        <f>Assumptions!$D$38*(1+Assumptions!$D$66)</f>
        <v>50</v>
      </c>
      <c r="FE60" s="104">
        <f>Assumptions!$D$38*(1+Assumptions!$D$66)</f>
        <v>50</v>
      </c>
      <c r="FF60" s="104">
        <f>Assumptions!$D$38*(1+Assumptions!$D$66)</f>
        <v>50</v>
      </c>
      <c r="FG60" s="104">
        <f>Assumptions!$D$38*(1+Assumptions!$D$66)</f>
        <v>50</v>
      </c>
      <c r="FH60" s="104">
        <f>Assumptions!$D$38*(1+Assumptions!$D$66)</f>
        <v>50</v>
      </c>
      <c r="FI60" s="104">
        <f>Assumptions!$D$38*(1+Assumptions!$D$66)</f>
        <v>50</v>
      </c>
      <c r="FJ60" s="104">
        <f>Assumptions!$D$38*(1+Assumptions!$D$66)</f>
        <v>50</v>
      </c>
      <c r="FK60" s="104">
        <f>Assumptions!$D$38*(1+Assumptions!$D$66)</f>
        <v>50</v>
      </c>
      <c r="FL60" s="104">
        <f>Assumptions!$D$38*(1+Assumptions!$D$66)</f>
        <v>50</v>
      </c>
      <c r="FM60" s="104">
        <f>Assumptions!$D$38*(1+Assumptions!$D$66)</f>
        <v>50</v>
      </c>
      <c r="FN60" s="104">
        <f>Assumptions!$D$38*(1+Assumptions!$D$66)</f>
        <v>50</v>
      </c>
      <c r="FO60" s="104">
        <f>Assumptions!$D$38*(1+Assumptions!$D$66)</f>
        <v>50</v>
      </c>
      <c r="FP60" s="104">
        <f>Assumptions!$D$38*(1+Assumptions!$D$66)</f>
        <v>50</v>
      </c>
      <c r="FQ60" s="104">
        <f>Assumptions!$D$38*(1+Assumptions!$D$66)</f>
        <v>50</v>
      </c>
      <c r="FR60" s="104">
        <f>Assumptions!$D$38*(1+Assumptions!$D$66)</f>
        <v>50</v>
      </c>
      <c r="FS60" s="104">
        <f>Assumptions!$D$38*(1+Assumptions!$D$66)</f>
        <v>50</v>
      </c>
      <c r="FT60" s="104">
        <f>Assumptions!$D$38*(1+Assumptions!$D$66)</f>
        <v>50</v>
      </c>
      <c r="FU60" s="104">
        <f>Assumptions!$D$38*(1+Assumptions!$D$66)</f>
        <v>50</v>
      </c>
      <c r="FV60" s="104">
        <f>Assumptions!$D$38*(1+Assumptions!$D$66)</f>
        <v>50</v>
      </c>
      <c r="FW60" s="104">
        <f>Assumptions!$D$38*(1+Assumptions!$D$66)</f>
        <v>50</v>
      </c>
      <c r="FX60" s="104">
        <f>Assumptions!$D$38*(1+Assumptions!$D$66)</f>
        <v>50</v>
      </c>
      <c r="FY60" s="104">
        <f>Assumptions!$D$38*(1+Assumptions!$D$66)</f>
        <v>50</v>
      </c>
      <c r="FZ60" s="104">
        <f>Assumptions!$D$38*(1+Assumptions!$D$66)</f>
        <v>50</v>
      </c>
      <c r="GA60" s="104">
        <f>Assumptions!$D$38*(1+Assumptions!$D$66)</f>
        <v>50</v>
      </c>
      <c r="GB60" s="104">
        <f>Assumptions!$D$38*(1+Assumptions!$D$66)</f>
        <v>50</v>
      </c>
      <c r="GC60" s="104">
        <f>Assumptions!$D$38*(1+Assumptions!$D$66)</f>
        <v>50</v>
      </c>
    </row>
    <row r="61" spans="1:185">
      <c r="A61" s="80"/>
      <c r="B61" s="80" t="s">
        <v>106</v>
      </c>
      <c r="C61" s="80"/>
      <c r="D61" s="80"/>
      <c r="E61" s="82"/>
      <c r="F61" s="105">
        <f>ROUNDUP(F23*Assumptions!$D$70,0)</f>
        <v>0</v>
      </c>
      <c r="G61" s="105">
        <f>ROUNDUP(G23*Assumptions!$D$70,0)</f>
        <v>0</v>
      </c>
      <c r="H61" s="105">
        <f>ROUNDUP(H23*Assumptions!$D$70,0)</f>
        <v>0</v>
      </c>
      <c r="I61" s="105">
        <f>ROUNDUP(I23*Assumptions!$D$70,0)</f>
        <v>0</v>
      </c>
      <c r="J61" s="105">
        <f>ROUNDUP(J23*Assumptions!$D$70,0)</f>
        <v>0</v>
      </c>
      <c r="K61" s="105">
        <f>ROUNDUP(K23*Assumptions!$D$70,0)</f>
        <v>0</v>
      </c>
      <c r="L61" s="105">
        <f>ROUNDUP(L23*Assumptions!$D$70,0)</f>
        <v>0</v>
      </c>
      <c r="M61" s="105">
        <f>ROUNDUP(M23*Assumptions!$D$70,0)</f>
        <v>3</v>
      </c>
      <c r="N61" s="105">
        <f>ROUNDUP(N23*Assumptions!$D$70,0)</f>
        <v>3</v>
      </c>
      <c r="O61" s="105">
        <f>ROUNDUP(O23*Assumptions!$D$70,0)</f>
        <v>3</v>
      </c>
      <c r="P61" s="105">
        <f>ROUNDUP(P23*Assumptions!$D$70,0)</f>
        <v>3</v>
      </c>
      <c r="Q61" s="105">
        <f>ROUNDUP(Q23*Assumptions!$D$70,0)</f>
        <v>3</v>
      </c>
      <c r="R61" s="105">
        <f>ROUNDUP(R23*Assumptions!$D$70,0)</f>
        <v>3</v>
      </c>
      <c r="S61" s="105">
        <f>ROUNDUP(S23*Assumptions!$D$70,0)</f>
        <v>3</v>
      </c>
      <c r="T61" s="105">
        <f>ROUNDUP(T23*Assumptions!$D$70,0)</f>
        <v>3</v>
      </c>
      <c r="U61" s="105">
        <f>ROUNDUP(U23*Assumptions!$D$70,0)</f>
        <v>3</v>
      </c>
      <c r="V61" s="105">
        <f>ROUNDUP(V23*Assumptions!$D$70,0)</f>
        <v>3</v>
      </c>
      <c r="W61" s="105">
        <f>ROUNDUP(W23*Assumptions!$D$70,0)</f>
        <v>3</v>
      </c>
      <c r="X61" s="105">
        <f>ROUNDUP(X23*Assumptions!$D$70,0)</f>
        <v>3</v>
      </c>
      <c r="Y61" s="105">
        <f>ROUNDUP(Y23*Assumptions!$D$70,0)</f>
        <v>3</v>
      </c>
      <c r="Z61" s="105">
        <f>ROUNDUP(Z23*Assumptions!$D$70,0)</f>
        <v>3</v>
      </c>
      <c r="AA61" s="105">
        <f>ROUNDUP(AA23*Assumptions!$D$70,0)</f>
        <v>3</v>
      </c>
      <c r="AB61" s="105">
        <f>ROUNDUP(AB23*Assumptions!$D$70,0)</f>
        <v>3</v>
      </c>
      <c r="AC61" s="105">
        <f>ROUNDUP(AC23*Assumptions!$D$70,0)</f>
        <v>3</v>
      </c>
      <c r="AD61" s="105">
        <f>ROUNDUP(AD23*Assumptions!$D$70,0)</f>
        <v>3</v>
      </c>
      <c r="AE61" s="105">
        <f>ROUNDUP(AE23*Assumptions!$D$70,0)</f>
        <v>3</v>
      </c>
      <c r="AF61" s="105">
        <f>ROUNDUP(AF23*Assumptions!$D$70,0)</f>
        <v>3</v>
      </c>
      <c r="AG61" s="105">
        <f>ROUNDUP(AG23*Assumptions!$D$70,0)</f>
        <v>3</v>
      </c>
      <c r="AH61" s="105">
        <f>ROUNDUP(AH23*Assumptions!$D$70,0)</f>
        <v>3</v>
      </c>
      <c r="AI61" s="105">
        <f>ROUNDUP(AI23*Assumptions!$D$70,0)</f>
        <v>3</v>
      </c>
      <c r="AJ61" s="105">
        <f>ROUNDUP(AJ23*Assumptions!$D$70,0)</f>
        <v>3</v>
      </c>
      <c r="AK61" s="105">
        <f>ROUNDUP(AK23*Assumptions!$D$70,0)</f>
        <v>3</v>
      </c>
      <c r="AL61" s="105">
        <f>ROUNDUP(AL23*Assumptions!$D$70,0)</f>
        <v>3</v>
      </c>
      <c r="AM61" s="105">
        <f>ROUNDUP(AM23*Assumptions!$D$70,0)</f>
        <v>3</v>
      </c>
      <c r="AN61" s="105">
        <f>ROUNDUP(AN23*Assumptions!$D$70,0)</f>
        <v>3</v>
      </c>
      <c r="AO61" s="105">
        <f>ROUNDUP(AO23*Assumptions!$D$70,0)</f>
        <v>3</v>
      </c>
      <c r="AP61" s="105">
        <f>ROUNDUP(AP23*Assumptions!$D$70,0)</f>
        <v>3</v>
      </c>
      <c r="AQ61" s="105">
        <f>ROUNDUP(AQ23*Assumptions!$D$70,0)</f>
        <v>3</v>
      </c>
      <c r="AR61" s="105">
        <f>ROUNDUP(AR23*Assumptions!$D$70,0)</f>
        <v>3</v>
      </c>
      <c r="AS61" s="105">
        <f>ROUNDUP(AS23*Assumptions!$D$70,0)</f>
        <v>3</v>
      </c>
      <c r="AT61" s="105">
        <f>ROUNDUP(AT23*Assumptions!$D$70,0)</f>
        <v>3</v>
      </c>
      <c r="AU61" s="105">
        <f>ROUNDUP(AU23*Assumptions!$D$70,0)</f>
        <v>3</v>
      </c>
      <c r="AV61" s="105">
        <f>ROUNDUP(AV23*Assumptions!$D$70,0)</f>
        <v>3</v>
      </c>
      <c r="AW61" s="105">
        <f>ROUNDUP(AW23*Assumptions!$D$70,0)</f>
        <v>3</v>
      </c>
      <c r="AX61" s="105">
        <f>ROUNDUP(AX23*Assumptions!$D$70,0)</f>
        <v>3</v>
      </c>
      <c r="AY61" s="105">
        <f>ROUNDUP(AY23*Assumptions!$D$70,0)</f>
        <v>3</v>
      </c>
      <c r="AZ61" s="105">
        <f>ROUNDUP(AZ23*Assumptions!$D$70,0)</f>
        <v>3</v>
      </c>
      <c r="BA61" s="105">
        <f>ROUNDUP(BA23*Assumptions!$D$70,0)</f>
        <v>3</v>
      </c>
      <c r="BB61" s="105">
        <f>ROUNDUP(BB23*Assumptions!$D$70,0)</f>
        <v>3</v>
      </c>
      <c r="BC61" s="105">
        <f>ROUNDUP(BC23*Assumptions!$D$70,0)</f>
        <v>3</v>
      </c>
      <c r="BD61" s="105">
        <f>ROUNDUP(BD23*Assumptions!$D$70,0)</f>
        <v>3</v>
      </c>
      <c r="BE61" s="105">
        <f>ROUNDUP(BE23*Assumptions!$D$70,0)</f>
        <v>3</v>
      </c>
      <c r="BF61" s="105">
        <f>ROUNDUP(BF23*Assumptions!$D$70,0)</f>
        <v>3</v>
      </c>
      <c r="BG61" s="105">
        <f>ROUNDUP(BG23*Assumptions!$D$70,0)</f>
        <v>3</v>
      </c>
      <c r="BH61" s="105">
        <f>ROUNDUP(BH23*Assumptions!$D$70,0)</f>
        <v>3</v>
      </c>
      <c r="BI61" s="105">
        <f>ROUNDUP(BI23*Assumptions!$D$70,0)</f>
        <v>3</v>
      </c>
      <c r="BJ61" s="105">
        <f>ROUNDUP(BJ23*Assumptions!$D$70,0)</f>
        <v>3</v>
      </c>
      <c r="BK61" s="105">
        <f>ROUNDUP(BK23*Assumptions!$D$70,0)</f>
        <v>3</v>
      </c>
      <c r="BL61" s="105">
        <f>ROUNDUP(BL23*Assumptions!$D$70,0)</f>
        <v>3</v>
      </c>
      <c r="BM61" s="105">
        <f>ROUNDUP(BM23*Assumptions!$D$70,0)</f>
        <v>3</v>
      </c>
      <c r="BN61" s="105">
        <f>ROUNDUP(BN23*Assumptions!$D$70,0)</f>
        <v>3</v>
      </c>
      <c r="BO61" s="105">
        <f>ROUNDUP(BO23*Assumptions!$D$70,0)</f>
        <v>3</v>
      </c>
      <c r="BP61" s="105">
        <f>ROUNDUP(BP23*Assumptions!$D$70,0)</f>
        <v>3</v>
      </c>
      <c r="BQ61" s="105">
        <f>ROUNDUP(BQ23*Assumptions!$D$70,0)</f>
        <v>3</v>
      </c>
      <c r="BR61" s="105">
        <f>ROUNDUP(BR23*Assumptions!$D$70,0)</f>
        <v>3</v>
      </c>
      <c r="BS61" s="105">
        <f>ROUNDUP(BS23*Assumptions!$D$70,0)</f>
        <v>3</v>
      </c>
      <c r="BT61" s="105">
        <f>ROUNDUP(BT23*Assumptions!$D$70,0)</f>
        <v>3</v>
      </c>
      <c r="BU61" s="105">
        <f>ROUNDUP(BU23*Assumptions!$D$70,0)</f>
        <v>3</v>
      </c>
      <c r="BV61" s="105">
        <f>ROUNDUP(BV23*Assumptions!$D$70,0)</f>
        <v>3</v>
      </c>
      <c r="BW61" s="105">
        <f>ROUNDUP(BW23*Assumptions!$D$70,0)</f>
        <v>3</v>
      </c>
      <c r="BX61" s="105">
        <f>ROUNDUP(BX23*Assumptions!$D$70,0)</f>
        <v>3</v>
      </c>
      <c r="BY61" s="105">
        <f>ROUNDUP(BY23*Assumptions!$D$70,0)</f>
        <v>3</v>
      </c>
      <c r="BZ61" s="105">
        <f>ROUNDUP(BZ23*Assumptions!$D$70,0)</f>
        <v>3</v>
      </c>
      <c r="CA61" s="105">
        <f>ROUNDUP(CA23*Assumptions!$D$70,0)</f>
        <v>3</v>
      </c>
      <c r="CB61" s="105">
        <f>ROUNDUP(CB23*Assumptions!$D$70,0)</f>
        <v>3</v>
      </c>
      <c r="CC61" s="105">
        <f>ROUNDUP(CC23*Assumptions!$D$70,0)</f>
        <v>3</v>
      </c>
      <c r="CD61" s="105">
        <f>ROUNDUP(CD23*Assumptions!$D$70,0)</f>
        <v>3</v>
      </c>
      <c r="CE61" s="105">
        <f>ROUNDUP(CE23*Assumptions!$D$70,0)</f>
        <v>3</v>
      </c>
      <c r="CF61" s="105">
        <f>ROUNDUP(CF23*Assumptions!$D$70,0)</f>
        <v>3</v>
      </c>
      <c r="CG61" s="105">
        <f>ROUNDUP(CG23*Assumptions!$D$70,0)</f>
        <v>3</v>
      </c>
      <c r="CH61" s="105">
        <f>ROUNDUP(CH23*Assumptions!$D$70,0)</f>
        <v>3</v>
      </c>
      <c r="CI61" s="105">
        <f>ROUNDUP(CI23*Assumptions!$D$70,0)</f>
        <v>3</v>
      </c>
      <c r="CJ61" s="105">
        <f>ROUNDUP(CJ23*Assumptions!$D$70,0)</f>
        <v>3</v>
      </c>
      <c r="CK61" s="105">
        <f>ROUNDUP(CK23*Assumptions!$D$70,0)</f>
        <v>3</v>
      </c>
      <c r="CL61" s="105">
        <f>ROUNDUP(CL23*Assumptions!$D$70,0)</f>
        <v>3</v>
      </c>
      <c r="CM61" s="105">
        <f>ROUNDUP(CM23*Assumptions!$D$70,0)</f>
        <v>3</v>
      </c>
      <c r="CN61" s="105">
        <f>ROUNDUP(CN23*Assumptions!$D$70,0)</f>
        <v>3</v>
      </c>
      <c r="CO61" s="105">
        <f>ROUNDUP(CO23*Assumptions!$D$70,0)</f>
        <v>3</v>
      </c>
      <c r="CP61" s="105">
        <f>ROUNDUP(CP23*Assumptions!$D$70,0)</f>
        <v>3</v>
      </c>
      <c r="CQ61" s="105">
        <f>ROUNDUP(CQ23*Assumptions!$D$70,0)</f>
        <v>3</v>
      </c>
      <c r="CR61" s="105">
        <f>ROUNDUP(CR23*Assumptions!$D$70,0)</f>
        <v>3</v>
      </c>
      <c r="CS61" s="105">
        <f>ROUNDUP(CS23*Assumptions!$D$70,0)</f>
        <v>3</v>
      </c>
      <c r="CT61" s="105">
        <f>ROUNDUP(CT23*Assumptions!$D$70,0)</f>
        <v>3</v>
      </c>
      <c r="CU61" s="105">
        <f>ROUNDUP(CU23*Assumptions!$D$70,0)</f>
        <v>3</v>
      </c>
      <c r="CV61" s="105">
        <f>ROUNDUP(CV23*Assumptions!$D$70,0)</f>
        <v>3</v>
      </c>
      <c r="CW61" s="105">
        <f>ROUNDUP(CW23*Assumptions!$D$70,0)</f>
        <v>3</v>
      </c>
      <c r="CX61" s="105">
        <f>ROUNDUP(CX23*Assumptions!$D$70,0)</f>
        <v>3</v>
      </c>
      <c r="CY61" s="105">
        <f>ROUNDUP(CY23*Assumptions!$D$70,0)</f>
        <v>3</v>
      </c>
      <c r="CZ61" s="105">
        <f>ROUNDUP(CZ23*Assumptions!$D$70,0)</f>
        <v>3</v>
      </c>
      <c r="DA61" s="105">
        <f>ROUNDUP(DA23*Assumptions!$D$70,0)</f>
        <v>3</v>
      </c>
      <c r="DB61" s="105">
        <f>ROUNDUP(DB23*Assumptions!$D$70,0)</f>
        <v>3</v>
      </c>
      <c r="DC61" s="105">
        <f>ROUNDUP(DC23*Assumptions!$D$70,0)</f>
        <v>3</v>
      </c>
      <c r="DD61" s="105">
        <f>ROUNDUP(DD23*Assumptions!$D$70,0)</f>
        <v>3</v>
      </c>
      <c r="DE61" s="105">
        <f>ROUNDUP(DE23*Assumptions!$D$70,0)</f>
        <v>3</v>
      </c>
      <c r="DF61" s="105">
        <f>ROUNDUP(DF23*Assumptions!$D$70,0)</f>
        <v>3</v>
      </c>
      <c r="DG61" s="105">
        <f>ROUNDUP(DG23*Assumptions!$D$70,0)</f>
        <v>3</v>
      </c>
      <c r="DH61" s="105">
        <f>ROUNDUP(DH23*Assumptions!$D$70,0)</f>
        <v>3</v>
      </c>
      <c r="DI61" s="105">
        <f>ROUNDUP(DI23*Assumptions!$D$70,0)</f>
        <v>3</v>
      </c>
      <c r="DJ61" s="105">
        <f>ROUNDUP(DJ23*Assumptions!$D$70,0)</f>
        <v>3</v>
      </c>
      <c r="DK61" s="105">
        <f>ROUNDUP(DK23*Assumptions!$D$70,0)</f>
        <v>3</v>
      </c>
      <c r="DL61" s="105">
        <f>ROUNDUP(DL23*Assumptions!$D$70,0)</f>
        <v>3</v>
      </c>
      <c r="DM61" s="105">
        <f>ROUNDUP(DM23*Assumptions!$D$70,0)</f>
        <v>3</v>
      </c>
      <c r="DN61" s="105">
        <f>ROUNDUP(DN23*Assumptions!$D$70,0)</f>
        <v>3</v>
      </c>
      <c r="DO61" s="105">
        <f>ROUNDUP(DO23*Assumptions!$D$70,0)</f>
        <v>3</v>
      </c>
      <c r="DP61" s="105">
        <f>ROUNDUP(DP23*Assumptions!$D$70,0)</f>
        <v>3</v>
      </c>
      <c r="DQ61" s="105">
        <f>ROUNDUP(DQ23*Assumptions!$D$70,0)</f>
        <v>3</v>
      </c>
      <c r="DR61" s="105">
        <f>ROUNDUP(DR23*Assumptions!$D$70,0)</f>
        <v>3</v>
      </c>
      <c r="DS61" s="105">
        <f>ROUNDUP(DS23*Assumptions!$D$70,0)</f>
        <v>3</v>
      </c>
      <c r="DT61" s="105">
        <f>ROUNDUP(DT23*Assumptions!$D$70,0)</f>
        <v>3</v>
      </c>
      <c r="DU61" s="105">
        <f>ROUNDUP(DU23*Assumptions!$D$70,0)</f>
        <v>3</v>
      </c>
      <c r="DV61" s="105">
        <f>ROUNDUP(DV23*Assumptions!$D$70,0)</f>
        <v>3</v>
      </c>
      <c r="DW61" s="105">
        <f>ROUNDUP(DW23*Assumptions!$D$70,0)</f>
        <v>3</v>
      </c>
      <c r="DX61" s="105">
        <f>ROUNDUP(DX23*Assumptions!$D$70,0)</f>
        <v>3</v>
      </c>
      <c r="DY61" s="105">
        <f>ROUNDUP(DY23*Assumptions!$D$70,0)</f>
        <v>3</v>
      </c>
      <c r="DZ61" s="105">
        <f>ROUNDUP(DZ23*Assumptions!$D$70,0)</f>
        <v>3</v>
      </c>
      <c r="EA61" s="105">
        <f>ROUNDUP(EA23*Assumptions!$D$70,0)</f>
        <v>3</v>
      </c>
      <c r="EB61" s="105">
        <f>ROUNDUP(EB23*Assumptions!$D$70,0)</f>
        <v>3</v>
      </c>
      <c r="EC61" s="105">
        <f>ROUNDUP(EC23*Assumptions!$D$70,0)</f>
        <v>3</v>
      </c>
      <c r="ED61" s="105">
        <f>ROUNDUP(ED23*Assumptions!$D$70,0)</f>
        <v>3</v>
      </c>
      <c r="EE61" s="105">
        <f>ROUNDUP(EE23*Assumptions!$D$70,0)</f>
        <v>3</v>
      </c>
      <c r="EF61" s="105">
        <f>ROUNDUP(EF23*Assumptions!$D$70,0)</f>
        <v>3</v>
      </c>
      <c r="EG61" s="105">
        <f>ROUNDUP(EG23*Assumptions!$D$70,0)</f>
        <v>3</v>
      </c>
      <c r="EH61" s="105">
        <f>ROUNDUP(EH23*Assumptions!$D$70,0)</f>
        <v>3</v>
      </c>
      <c r="EI61" s="105">
        <f>ROUNDUP(EI23*Assumptions!$D$70,0)</f>
        <v>3</v>
      </c>
      <c r="EJ61" s="105">
        <f>ROUNDUP(EJ23*Assumptions!$D$70,0)</f>
        <v>3</v>
      </c>
      <c r="EK61" s="105">
        <f>ROUNDUP(EK23*Assumptions!$D$70,0)</f>
        <v>3</v>
      </c>
      <c r="EL61" s="105">
        <f>ROUNDUP(EL23*Assumptions!$D$70,0)</f>
        <v>3</v>
      </c>
      <c r="EM61" s="105">
        <f>ROUNDUP(EM23*Assumptions!$D$70,0)</f>
        <v>3</v>
      </c>
      <c r="EN61" s="105">
        <f>ROUNDUP(EN23*Assumptions!$D$70,0)</f>
        <v>3</v>
      </c>
      <c r="EO61" s="105">
        <f>ROUNDUP(EO23*Assumptions!$D$70,0)</f>
        <v>3</v>
      </c>
      <c r="EP61" s="105">
        <f>ROUNDUP(EP23*Assumptions!$D$70,0)</f>
        <v>3</v>
      </c>
      <c r="EQ61" s="105">
        <f>ROUNDUP(EQ23*Assumptions!$D$70,0)</f>
        <v>3</v>
      </c>
      <c r="ER61" s="105">
        <f>ROUNDUP(ER23*Assumptions!$D$70,0)</f>
        <v>3</v>
      </c>
      <c r="ES61" s="105">
        <f>ROUNDUP(ES23*Assumptions!$D$70,0)</f>
        <v>3</v>
      </c>
      <c r="ET61" s="105">
        <f>ROUNDUP(ET23*Assumptions!$D$70,0)</f>
        <v>3</v>
      </c>
      <c r="EU61" s="105">
        <f>ROUNDUP(EU23*Assumptions!$D$70,0)</f>
        <v>3</v>
      </c>
      <c r="EV61" s="105">
        <f>ROUNDUP(EV23*Assumptions!$D$70,0)</f>
        <v>3</v>
      </c>
      <c r="EW61" s="105">
        <f>ROUNDUP(EW23*Assumptions!$D$70,0)</f>
        <v>3</v>
      </c>
      <c r="EX61" s="105">
        <f>ROUNDUP(EX23*Assumptions!$D$70,0)</f>
        <v>3</v>
      </c>
      <c r="EY61" s="105">
        <f>ROUNDUP(EY23*Assumptions!$D$70,0)</f>
        <v>3</v>
      </c>
      <c r="EZ61" s="105">
        <f>ROUNDUP(EZ23*Assumptions!$D$70,0)</f>
        <v>3</v>
      </c>
      <c r="FA61" s="105">
        <f>ROUNDUP(FA23*Assumptions!$D$70,0)</f>
        <v>3</v>
      </c>
      <c r="FB61" s="105">
        <f>ROUNDUP(FB23*Assumptions!$D$70,0)</f>
        <v>3</v>
      </c>
      <c r="FC61" s="105">
        <f>ROUNDUP(FC23*Assumptions!$D$70,0)</f>
        <v>3</v>
      </c>
      <c r="FD61" s="105">
        <f>ROUNDUP(FD23*Assumptions!$D$70,0)</f>
        <v>3</v>
      </c>
      <c r="FE61" s="105">
        <f>ROUNDUP(FE23*Assumptions!$D$70,0)</f>
        <v>3</v>
      </c>
      <c r="FF61" s="105">
        <f>ROUNDUP(FF23*Assumptions!$D$70,0)</f>
        <v>3</v>
      </c>
      <c r="FG61" s="105">
        <f>ROUNDUP(FG23*Assumptions!$D$70,0)</f>
        <v>3</v>
      </c>
      <c r="FH61" s="105">
        <f>ROUNDUP(FH23*Assumptions!$D$70,0)</f>
        <v>3</v>
      </c>
      <c r="FI61" s="105">
        <f>ROUNDUP(FI23*Assumptions!$D$70,0)</f>
        <v>3</v>
      </c>
      <c r="FJ61" s="105">
        <f>ROUNDUP(FJ23*Assumptions!$D$70,0)</f>
        <v>3</v>
      </c>
      <c r="FK61" s="105">
        <f>ROUNDUP(FK23*Assumptions!$D$70,0)</f>
        <v>3</v>
      </c>
      <c r="FL61" s="105">
        <f>ROUNDUP(FL23*Assumptions!$D$70,0)</f>
        <v>3</v>
      </c>
      <c r="FM61" s="105">
        <f>ROUNDUP(FM23*Assumptions!$D$70,0)</f>
        <v>3</v>
      </c>
      <c r="FN61" s="105">
        <f>ROUNDUP(FN23*Assumptions!$D$70,0)</f>
        <v>3</v>
      </c>
      <c r="FO61" s="105">
        <f>ROUNDUP(FO23*Assumptions!$D$70,0)</f>
        <v>3</v>
      </c>
      <c r="FP61" s="105">
        <f>ROUNDUP(FP23*Assumptions!$D$70,0)</f>
        <v>3</v>
      </c>
      <c r="FQ61" s="105">
        <f>ROUNDUP(FQ23*Assumptions!$D$70,0)</f>
        <v>3</v>
      </c>
      <c r="FR61" s="105">
        <f>ROUNDUP(FR23*Assumptions!$D$70,0)</f>
        <v>3</v>
      </c>
      <c r="FS61" s="105">
        <f>ROUNDUP(FS23*Assumptions!$D$70,0)</f>
        <v>3</v>
      </c>
      <c r="FT61" s="105">
        <f>ROUNDUP(FT23*Assumptions!$D$70,0)</f>
        <v>3</v>
      </c>
      <c r="FU61" s="105">
        <f>ROUNDUP(FU23*Assumptions!$D$70,0)</f>
        <v>3</v>
      </c>
      <c r="FV61" s="105">
        <f>ROUNDUP(FV23*Assumptions!$D$70,0)</f>
        <v>3</v>
      </c>
      <c r="FW61" s="105">
        <f>ROUNDUP(FW23*Assumptions!$D$70,0)</f>
        <v>3</v>
      </c>
      <c r="FX61" s="105">
        <f>ROUNDUP(FX23*Assumptions!$D$70,0)</f>
        <v>3</v>
      </c>
      <c r="FY61" s="105">
        <f>ROUNDUP(FY23*Assumptions!$D$70,0)</f>
        <v>3</v>
      </c>
      <c r="FZ61" s="105">
        <f>ROUNDUP(FZ23*Assumptions!$D$70,0)</f>
        <v>3</v>
      </c>
      <c r="GA61" s="105">
        <f>ROUNDUP(GA23*Assumptions!$D$70,0)</f>
        <v>3</v>
      </c>
      <c r="GB61" s="105">
        <f>ROUNDUP(GB23*Assumptions!$D$70,0)</f>
        <v>3</v>
      </c>
      <c r="GC61" s="105">
        <f>ROUNDUP(GC23*Assumptions!$D$70,0)</f>
        <v>3</v>
      </c>
    </row>
    <row r="62" spans="1:185">
      <c r="A62" s="80"/>
      <c r="B62" s="80" t="s">
        <v>108</v>
      </c>
      <c r="C62" s="80"/>
      <c r="D62" s="80"/>
      <c r="E62" s="82"/>
      <c r="F62" s="104">
        <f>Assumptions!$D$39*(1+Assumptions!$D$66)</f>
        <v>30</v>
      </c>
      <c r="G62" s="104">
        <f>Assumptions!$D$39*(1+Assumptions!$D$66)</f>
        <v>30</v>
      </c>
      <c r="H62" s="104">
        <f>Assumptions!$D$39*(1+Assumptions!$D$66)</f>
        <v>30</v>
      </c>
      <c r="I62" s="104">
        <f>Assumptions!$D$39*(1+Assumptions!$D$66)</f>
        <v>30</v>
      </c>
      <c r="J62" s="104">
        <f>Assumptions!$D$39*(1+Assumptions!$D$66)</f>
        <v>30</v>
      </c>
      <c r="K62" s="104">
        <f>Assumptions!$D$39*(1+Assumptions!$D$66)</f>
        <v>30</v>
      </c>
      <c r="L62" s="104">
        <f>Assumptions!$D$39*(1+Assumptions!$D$66)</f>
        <v>30</v>
      </c>
      <c r="M62" s="104">
        <f>Assumptions!$D$39*(1+Assumptions!$D$66)</f>
        <v>30</v>
      </c>
      <c r="N62" s="104">
        <f>Assumptions!$D$39*(1+Assumptions!$D$66)</f>
        <v>30</v>
      </c>
      <c r="O62" s="104">
        <f>Assumptions!$D$39*(1+Assumptions!$D$66)</f>
        <v>30</v>
      </c>
      <c r="P62" s="104">
        <f>Assumptions!$D$39*(1+Assumptions!$D$66)</f>
        <v>30</v>
      </c>
      <c r="Q62" s="104">
        <f>Assumptions!$D$39*(1+Assumptions!$D$66)</f>
        <v>30</v>
      </c>
      <c r="R62" s="104">
        <f>Assumptions!$D$39*(1+Assumptions!$D$66)</f>
        <v>30</v>
      </c>
      <c r="S62" s="104">
        <f>Assumptions!$D$39*(1+Assumptions!$D$66)</f>
        <v>30</v>
      </c>
      <c r="T62" s="104">
        <f>Assumptions!$D$39*(1+Assumptions!$D$66)</f>
        <v>30</v>
      </c>
      <c r="U62" s="104">
        <f>Assumptions!$D$39*(1+Assumptions!$D$66)</f>
        <v>30</v>
      </c>
      <c r="V62" s="104">
        <f>Assumptions!$D$39*(1+Assumptions!$D$66)</f>
        <v>30</v>
      </c>
      <c r="W62" s="104">
        <f>Assumptions!$D$39*(1+Assumptions!$D$66)</f>
        <v>30</v>
      </c>
      <c r="X62" s="104">
        <f>Assumptions!$D$39*(1+Assumptions!$D$66)</f>
        <v>30</v>
      </c>
      <c r="Y62" s="104">
        <f>Assumptions!$D$39*(1+Assumptions!$D$66)</f>
        <v>30</v>
      </c>
      <c r="Z62" s="104">
        <f>Assumptions!$D$39*(1+Assumptions!$D$66)</f>
        <v>30</v>
      </c>
      <c r="AA62" s="104">
        <f>Assumptions!$D$39*(1+Assumptions!$D$66)</f>
        <v>30</v>
      </c>
      <c r="AB62" s="104">
        <f>Assumptions!$D$39*(1+Assumptions!$D$66)</f>
        <v>30</v>
      </c>
      <c r="AC62" s="104">
        <f>Assumptions!$D$39*(1+Assumptions!$D$66)</f>
        <v>30</v>
      </c>
      <c r="AD62" s="104">
        <f>Assumptions!$D$39*(1+Assumptions!$D$66)</f>
        <v>30</v>
      </c>
      <c r="AE62" s="104">
        <f>Assumptions!$D$39*(1+Assumptions!$D$66)</f>
        <v>30</v>
      </c>
      <c r="AF62" s="104">
        <f>Assumptions!$D$39*(1+Assumptions!$D$66)</f>
        <v>30</v>
      </c>
      <c r="AG62" s="104">
        <f>Assumptions!$D$39*(1+Assumptions!$D$66)</f>
        <v>30</v>
      </c>
      <c r="AH62" s="104">
        <f>Assumptions!$D$39*(1+Assumptions!$D$66)</f>
        <v>30</v>
      </c>
      <c r="AI62" s="104">
        <f>Assumptions!$D$39*(1+Assumptions!$D$66)</f>
        <v>30</v>
      </c>
      <c r="AJ62" s="104">
        <f>Assumptions!$D$39*(1+Assumptions!$D$66)</f>
        <v>30</v>
      </c>
      <c r="AK62" s="104">
        <f>Assumptions!$D$39*(1+Assumptions!$D$66)</f>
        <v>30</v>
      </c>
      <c r="AL62" s="104">
        <f>Assumptions!$D$39*(1+Assumptions!$D$66)</f>
        <v>30</v>
      </c>
      <c r="AM62" s="104">
        <f>Assumptions!$D$39*(1+Assumptions!$D$66)</f>
        <v>30</v>
      </c>
      <c r="AN62" s="104">
        <f>Assumptions!$D$39*(1+Assumptions!$D$66)</f>
        <v>30</v>
      </c>
      <c r="AO62" s="104">
        <f>Assumptions!$D$39*(1+Assumptions!$D$66)</f>
        <v>30</v>
      </c>
      <c r="AP62" s="104">
        <f>Assumptions!$D$39*(1+Assumptions!$D$66)</f>
        <v>30</v>
      </c>
      <c r="AQ62" s="104">
        <f>Assumptions!$D$39*(1+Assumptions!$D$66)</f>
        <v>30</v>
      </c>
      <c r="AR62" s="104">
        <f>Assumptions!$D$39*(1+Assumptions!$D$66)</f>
        <v>30</v>
      </c>
      <c r="AS62" s="104">
        <f>Assumptions!$D$39*(1+Assumptions!$D$66)</f>
        <v>30</v>
      </c>
      <c r="AT62" s="104">
        <f>Assumptions!$D$39*(1+Assumptions!$D$66)</f>
        <v>30</v>
      </c>
      <c r="AU62" s="104">
        <f>Assumptions!$D$39*(1+Assumptions!$D$66)</f>
        <v>30</v>
      </c>
      <c r="AV62" s="104">
        <f>Assumptions!$D$39*(1+Assumptions!$D$66)</f>
        <v>30</v>
      </c>
      <c r="AW62" s="104">
        <f>Assumptions!$D$39*(1+Assumptions!$D$66)</f>
        <v>30</v>
      </c>
      <c r="AX62" s="104">
        <f>Assumptions!$D$39*(1+Assumptions!$D$66)</f>
        <v>30</v>
      </c>
      <c r="AY62" s="104">
        <f>Assumptions!$D$39*(1+Assumptions!$D$66)</f>
        <v>30</v>
      </c>
      <c r="AZ62" s="104">
        <f>Assumptions!$D$39*(1+Assumptions!$D$66)</f>
        <v>30</v>
      </c>
      <c r="BA62" s="104">
        <f>Assumptions!$D$39*(1+Assumptions!$D$66)</f>
        <v>30</v>
      </c>
      <c r="BB62" s="104">
        <f>Assumptions!$D$39*(1+Assumptions!$D$66)</f>
        <v>30</v>
      </c>
      <c r="BC62" s="104">
        <f>Assumptions!$D$39*(1+Assumptions!$D$66)</f>
        <v>30</v>
      </c>
      <c r="BD62" s="104">
        <f>Assumptions!$D$39*(1+Assumptions!$D$66)</f>
        <v>30</v>
      </c>
      <c r="BE62" s="104">
        <f>Assumptions!$D$39*(1+Assumptions!$D$66)</f>
        <v>30</v>
      </c>
      <c r="BF62" s="104">
        <f>Assumptions!$D$39*(1+Assumptions!$D$66)</f>
        <v>30</v>
      </c>
      <c r="BG62" s="104">
        <f>Assumptions!$D$39*(1+Assumptions!$D$66)</f>
        <v>30</v>
      </c>
      <c r="BH62" s="104">
        <f>Assumptions!$D$39*(1+Assumptions!$D$66)</f>
        <v>30</v>
      </c>
      <c r="BI62" s="104">
        <f>Assumptions!$D$39*(1+Assumptions!$D$66)</f>
        <v>30</v>
      </c>
      <c r="BJ62" s="104">
        <f>Assumptions!$D$39*(1+Assumptions!$D$66)</f>
        <v>30</v>
      </c>
      <c r="BK62" s="104">
        <f>Assumptions!$D$39*(1+Assumptions!$D$66)</f>
        <v>30</v>
      </c>
      <c r="BL62" s="104">
        <f>Assumptions!$D$39*(1+Assumptions!$D$66)</f>
        <v>30</v>
      </c>
      <c r="BM62" s="104">
        <f>Assumptions!$D$39*(1+Assumptions!$D$66)</f>
        <v>30</v>
      </c>
      <c r="BN62" s="104">
        <f>Assumptions!$D$39*(1+Assumptions!$D$66)</f>
        <v>30</v>
      </c>
      <c r="BO62" s="104">
        <f>Assumptions!$D$39*(1+Assumptions!$D$66)</f>
        <v>30</v>
      </c>
      <c r="BP62" s="104">
        <f>Assumptions!$D$39*(1+Assumptions!$D$66)</f>
        <v>30</v>
      </c>
      <c r="BQ62" s="104">
        <f>Assumptions!$D$39*(1+Assumptions!$D$66)</f>
        <v>30</v>
      </c>
      <c r="BR62" s="104">
        <f>Assumptions!$D$39*(1+Assumptions!$D$66)</f>
        <v>30</v>
      </c>
      <c r="BS62" s="104">
        <f>Assumptions!$D$39*(1+Assumptions!$D$66)</f>
        <v>30</v>
      </c>
      <c r="BT62" s="104">
        <f>Assumptions!$D$39*(1+Assumptions!$D$66)</f>
        <v>30</v>
      </c>
      <c r="BU62" s="104">
        <f>Assumptions!$D$39*(1+Assumptions!$D$66)</f>
        <v>30</v>
      </c>
      <c r="BV62" s="104">
        <f>Assumptions!$D$39*(1+Assumptions!$D$66)</f>
        <v>30</v>
      </c>
      <c r="BW62" s="104">
        <f>Assumptions!$D$39*(1+Assumptions!$D$66)</f>
        <v>30</v>
      </c>
      <c r="BX62" s="104">
        <f>Assumptions!$D$39*(1+Assumptions!$D$66)</f>
        <v>30</v>
      </c>
      <c r="BY62" s="104">
        <f>Assumptions!$D$39*(1+Assumptions!$D$66)</f>
        <v>30</v>
      </c>
      <c r="BZ62" s="104">
        <f>Assumptions!$D$39*(1+Assumptions!$D$66)</f>
        <v>30</v>
      </c>
      <c r="CA62" s="104">
        <f>Assumptions!$D$39*(1+Assumptions!$D$66)</f>
        <v>30</v>
      </c>
      <c r="CB62" s="104">
        <f>Assumptions!$D$39*(1+Assumptions!$D$66)</f>
        <v>30</v>
      </c>
      <c r="CC62" s="104">
        <f>Assumptions!$D$39*(1+Assumptions!$D$66)</f>
        <v>30</v>
      </c>
      <c r="CD62" s="104">
        <f>Assumptions!$D$39*(1+Assumptions!$D$66)</f>
        <v>30</v>
      </c>
      <c r="CE62" s="104">
        <f>Assumptions!$D$39*(1+Assumptions!$D$66)</f>
        <v>30</v>
      </c>
      <c r="CF62" s="104">
        <f>Assumptions!$D$39*(1+Assumptions!$D$66)</f>
        <v>30</v>
      </c>
      <c r="CG62" s="104">
        <f>Assumptions!$D$39*(1+Assumptions!$D$66)</f>
        <v>30</v>
      </c>
      <c r="CH62" s="104">
        <f>Assumptions!$D$39*(1+Assumptions!$D$66)</f>
        <v>30</v>
      </c>
      <c r="CI62" s="104">
        <f>Assumptions!$D$39*(1+Assumptions!$D$66)</f>
        <v>30</v>
      </c>
      <c r="CJ62" s="104">
        <f>Assumptions!$D$39*(1+Assumptions!$D$66)</f>
        <v>30</v>
      </c>
      <c r="CK62" s="104">
        <f>Assumptions!$D$39*(1+Assumptions!$D$66)</f>
        <v>30</v>
      </c>
      <c r="CL62" s="104">
        <f>Assumptions!$D$39*(1+Assumptions!$D$66)</f>
        <v>30</v>
      </c>
      <c r="CM62" s="104">
        <f>Assumptions!$D$39*(1+Assumptions!$D$66)</f>
        <v>30</v>
      </c>
      <c r="CN62" s="104">
        <f>Assumptions!$D$39*(1+Assumptions!$D$66)</f>
        <v>30</v>
      </c>
      <c r="CO62" s="104">
        <f>Assumptions!$D$39*(1+Assumptions!$D$66)</f>
        <v>30</v>
      </c>
      <c r="CP62" s="104">
        <f>Assumptions!$D$39*(1+Assumptions!$D$66)</f>
        <v>30</v>
      </c>
      <c r="CQ62" s="104">
        <f>Assumptions!$D$39*(1+Assumptions!$D$66)</f>
        <v>30</v>
      </c>
      <c r="CR62" s="104">
        <f>Assumptions!$D$39*(1+Assumptions!$D$66)</f>
        <v>30</v>
      </c>
      <c r="CS62" s="104">
        <f>Assumptions!$D$39*(1+Assumptions!$D$66)</f>
        <v>30</v>
      </c>
      <c r="CT62" s="104">
        <f>Assumptions!$D$39*(1+Assumptions!$D$66)</f>
        <v>30</v>
      </c>
      <c r="CU62" s="104">
        <f>Assumptions!$D$39*(1+Assumptions!$D$66)</f>
        <v>30</v>
      </c>
      <c r="CV62" s="104">
        <f>Assumptions!$D$39*(1+Assumptions!$D$66)</f>
        <v>30</v>
      </c>
      <c r="CW62" s="104">
        <f>Assumptions!$D$39*(1+Assumptions!$D$66)</f>
        <v>30</v>
      </c>
      <c r="CX62" s="104">
        <f>Assumptions!$D$39*(1+Assumptions!$D$66)</f>
        <v>30</v>
      </c>
      <c r="CY62" s="104">
        <f>Assumptions!$D$39*(1+Assumptions!$D$66)</f>
        <v>30</v>
      </c>
      <c r="CZ62" s="104">
        <f>Assumptions!$D$39*(1+Assumptions!$D$66)</f>
        <v>30</v>
      </c>
      <c r="DA62" s="104">
        <f>Assumptions!$D$39*(1+Assumptions!$D$66)</f>
        <v>30</v>
      </c>
      <c r="DB62" s="104">
        <f>Assumptions!$D$39*(1+Assumptions!$D$66)</f>
        <v>30</v>
      </c>
      <c r="DC62" s="104">
        <f>Assumptions!$D$39*(1+Assumptions!$D$66)</f>
        <v>30</v>
      </c>
      <c r="DD62" s="104">
        <f>Assumptions!$D$39*(1+Assumptions!$D$66)</f>
        <v>30</v>
      </c>
      <c r="DE62" s="104">
        <f>Assumptions!$D$39*(1+Assumptions!$D$66)</f>
        <v>30</v>
      </c>
      <c r="DF62" s="104">
        <f>Assumptions!$D$39*(1+Assumptions!$D$66)</f>
        <v>30</v>
      </c>
      <c r="DG62" s="104">
        <f>Assumptions!$D$39*(1+Assumptions!$D$66)</f>
        <v>30</v>
      </c>
      <c r="DH62" s="104">
        <f>Assumptions!$D$39*(1+Assumptions!$D$66)</f>
        <v>30</v>
      </c>
      <c r="DI62" s="104">
        <f>Assumptions!$D$39*(1+Assumptions!$D$66)</f>
        <v>30</v>
      </c>
      <c r="DJ62" s="104">
        <f>Assumptions!$D$39*(1+Assumptions!$D$66)</f>
        <v>30</v>
      </c>
      <c r="DK62" s="104">
        <f>Assumptions!$D$39*(1+Assumptions!$D$66)</f>
        <v>30</v>
      </c>
      <c r="DL62" s="104">
        <f>Assumptions!$D$39*(1+Assumptions!$D$66)</f>
        <v>30</v>
      </c>
      <c r="DM62" s="104">
        <f>Assumptions!$D$39*(1+Assumptions!$D$66)</f>
        <v>30</v>
      </c>
      <c r="DN62" s="104">
        <f>Assumptions!$D$39*(1+Assumptions!$D$66)</f>
        <v>30</v>
      </c>
      <c r="DO62" s="104">
        <f>Assumptions!$D$39*(1+Assumptions!$D$66)</f>
        <v>30</v>
      </c>
      <c r="DP62" s="104">
        <f>Assumptions!$D$39*(1+Assumptions!$D$66)</f>
        <v>30</v>
      </c>
      <c r="DQ62" s="104">
        <f>Assumptions!$D$39*(1+Assumptions!$D$66)</f>
        <v>30</v>
      </c>
      <c r="DR62" s="104">
        <f>Assumptions!$D$39*(1+Assumptions!$D$66)</f>
        <v>30</v>
      </c>
      <c r="DS62" s="104">
        <f>Assumptions!$D$39*(1+Assumptions!$D$66)</f>
        <v>30</v>
      </c>
      <c r="DT62" s="104">
        <f>Assumptions!$D$39*(1+Assumptions!$D$66)</f>
        <v>30</v>
      </c>
      <c r="DU62" s="104">
        <f>Assumptions!$D$39*(1+Assumptions!$D$66)</f>
        <v>30</v>
      </c>
      <c r="DV62" s="104">
        <f>Assumptions!$D$39*(1+Assumptions!$D$66)</f>
        <v>30</v>
      </c>
      <c r="DW62" s="104">
        <f>Assumptions!$D$39*(1+Assumptions!$D$66)</f>
        <v>30</v>
      </c>
      <c r="DX62" s="104">
        <f>Assumptions!$D$39*(1+Assumptions!$D$66)</f>
        <v>30</v>
      </c>
      <c r="DY62" s="104">
        <f>Assumptions!$D$39*(1+Assumptions!$D$66)</f>
        <v>30</v>
      </c>
      <c r="DZ62" s="104">
        <f>Assumptions!$D$39*(1+Assumptions!$D$66)</f>
        <v>30</v>
      </c>
      <c r="EA62" s="104">
        <f>Assumptions!$D$39*(1+Assumptions!$D$66)</f>
        <v>30</v>
      </c>
      <c r="EB62" s="104">
        <f>Assumptions!$D$39*(1+Assumptions!$D$66)</f>
        <v>30</v>
      </c>
      <c r="EC62" s="104">
        <f>Assumptions!$D$39*(1+Assumptions!$D$66)</f>
        <v>30</v>
      </c>
      <c r="ED62" s="104">
        <f>Assumptions!$D$39*(1+Assumptions!$D$66)</f>
        <v>30</v>
      </c>
      <c r="EE62" s="104">
        <f>Assumptions!$D$39*(1+Assumptions!$D$66)</f>
        <v>30</v>
      </c>
      <c r="EF62" s="104">
        <f>Assumptions!$D$39*(1+Assumptions!$D$66)</f>
        <v>30</v>
      </c>
      <c r="EG62" s="104">
        <f>Assumptions!$D$39*(1+Assumptions!$D$66)</f>
        <v>30</v>
      </c>
      <c r="EH62" s="104">
        <f>Assumptions!$D$39*(1+Assumptions!$D$66)</f>
        <v>30</v>
      </c>
      <c r="EI62" s="104">
        <f>Assumptions!$D$39*(1+Assumptions!$D$66)</f>
        <v>30</v>
      </c>
      <c r="EJ62" s="104">
        <f>Assumptions!$D$39*(1+Assumptions!$D$66)</f>
        <v>30</v>
      </c>
      <c r="EK62" s="104">
        <f>Assumptions!$D$39*(1+Assumptions!$D$66)</f>
        <v>30</v>
      </c>
      <c r="EL62" s="104">
        <f>Assumptions!$D$39*(1+Assumptions!$D$66)</f>
        <v>30</v>
      </c>
      <c r="EM62" s="104">
        <f>Assumptions!$D$39*(1+Assumptions!$D$66)</f>
        <v>30</v>
      </c>
      <c r="EN62" s="104">
        <f>Assumptions!$D$39*(1+Assumptions!$D$66)</f>
        <v>30</v>
      </c>
      <c r="EO62" s="104">
        <f>Assumptions!$D$39*(1+Assumptions!$D$66)</f>
        <v>30</v>
      </c>
      <c r="EP62" s="104">
        <f>Assumptions!$D$39*(1+Assumptions!$D$66)</f>
        <v>30</v>
      </c>
      <c r="EQ62" s="104">
        <f>Assumptions!$D$39*(1+Assumptions!$D$66)</f>
        <v>30</v>
      </c>
      <c r="ER62" s="104">
        <f>Assumptions!$D$39*(1+Assumptions!$D$66)</f>
        <v>30</v>
      </c>
      <c r="ES62" s="104">
        <f>Assumptions!$D$39*(1+Assumptions!$D$66)</f>
        <v>30</v>
      </c>
      <c r="ET62" s="104">
        <f>Assumptions!$D$39*(1+Assumptions!$D$66)</f>
        <v>30</v>
      </c>
      <c r="EU62" s="104">
        <f>Assumptions!$D$39*(1+Assumptions!$D$66)</f>
        <v>30</v>
      </c>
      <c r="EV62" s="104">
        <f>Assumptions!$D$39*(1+Assumptions!$D$66)</f>
        <v>30</v>
      </c>
      <c r="EW62" s="104">
        <f>Assumptions!$D$39*(1+Assumptions!$D$66)</f>
        <v>30</v>
      </c>
      <c r="EX62" s="104">
        <f>Assumptions!$D$39*(1+Assumptions!$D$66)</f>
        <v>30</v>
      </c>
      <c r="EY62" s="104">
        <f>Assumptions!$D$39*(1+Assumptions!$D$66)</f>
        <v>30</v>
      </c>
      <c r="EZ62" s="104">
        <f>Assumptions!$D$39*(1+Assumptions!$D$66)</f>
        <v>30</v>
      </c>
      <c r="FA62" s="104">
        <f>Assumptions!$D$39*(1+Assumptions!$D$66)</f>
        <v>30</v>
      </c>
      <c r="FB62" s="104">
        <f>Assumptions!$D$39*(1+Assumptions!$D$66)</f>
        <v>30</v>
      </c>
      <c r="FC62" s="104">
        <f>Assumptions!$D$39*(1+Assumptions!$D$66)</f>
        <v>30</v>
      </c>
      <c r="FD62" s="104">
        <f>Assumptions!$D$39*(1+Assumptions!$D$66)</f>
        <v>30</v>
      </c>
      <c r="FE62" s="104">
        <f>Assumptions!$D$39*(1+Assumptions!$D$66)</f>
        <v>30</v>
      </c>
      <c r="FF62" s="104">
        <f>Assumptions!$D$39*(1+Assumptions!$D$66)</f>
        <v>30</v>
      </c>
      <c r="FG62" s="104">
        <f>Assumptions!$D$39*(1+Assumptions!$D$66)</f>
        <v>30</v>
      </c>
      <c r="FH62" s="104">
        <f>Assumptions!$D$39*(1+Assumptions!$D$66)</f>
        <v>30</v>
      </c>
      <c r="FI62" s="104">
        <f>Assumptions!$D$39*(1+Assumptions!$D$66)</f>
        <v>30</v>
      </c>
      <c r="FJ62" s="104">
        <f>Assumptions!$D$39*(1+Assumptions!$D$66)</f>
        <v>30</v>
      </c>
      <c r="FK62" s="104">
        <f>Assumptions!$D$39*(1+Assumptions!$D$66)</f>
        <v>30</v>
      </c>
      <c r="FL62" s="104">
        <f>Assumptions!$D$39*(1+Assumptions!$D$66)</f>
        <v>30</v>
      </c>
      <c r="FM62" s="104">
        <f>Assumptions!$D$39*(1+Assumptions!$D$66)</f>
        <v>30</v>
      </c>
      <c r="FN62" s="104">
        <f>Assumptions!$D$39*(1+Assumptions!$D$66)</f>
        <v>30</v>
      </c>
      <c r="FO62" s="104">
        <f>Assumptions!$D$39*(1+Assumptions!$D$66)</f>
        <v>30</v>
      </c>
      <c r="FP62" s="104">
        <f>Assumptions!$D$39*(1+Assumptions!$D$66)</f>
        <v>30</v>
      </c>
      <c r="FQ62" s="104">
        <f>Assumptions!$D$39*(1+Assumptions!$D$66)</f>
        <v>30</v>
      </c>
      <c r="FR62" s="104">
        <f>Assumptions!$D$39*(1+Assumptions!$D$66)</f>
        <v>30</v>
      </c>
      <c r="FS62" s="104">
        <f>Assumptions!$D$39*(1+Assumptions!$D$66)</f>
        <v>30</v>
      </c>
      <c r="FT62" s="104">
        <f>Assumptions!$D$39*(1+Assumptions!$D$66)</f>
        <v>30</v>
      </c>
      <c r="FU62" s="104">
        <f>Assumptions!$D$39*(1+Assumptions!$D$66)</f>
        <v>30</v>
      </c>
      <c r="FV62" s="104">
        <f>Assumptions!$D$39*(1+Assumptions!$D$66)</f>
        <v>30</v>
      </c>
      <c r="FW62" s="104">
        <f>Assumptions!$D$39*(1+Assumptions!$D$66)</f>
        <v>30</v>
      </c>
      <c r="FX62" s="104">
        <f>Assumptions!$D$39*(1+Assumptions!$D$66)</f>
        <v>30</v>
      </c>
      <c r="FY62" s="104">
        <f>Assumptions!$D$39*(1+Assumptions!$D$66)</f>
        <v>30</v>
      </c>
      <c r="FZ62" s="104">
        <f>Assumptions!$D$39*(1+Assumptions!$D$66)</f>
        <v>30</v>
      </c>
      <c r="GA62" s="104">
        <f>Assumptions!$D$39*(1+Assumptions!$D$66)</f>
        <v>30</v>
      </c>
      <c r="GB62" s="104">
        <f>Assumptions!$D$39*(1+Assumptions!$D$66)</f>
        <v>30</v>
      </c>
      <c r="GC62" s="104">
        <f>Assumptions!$D$39*(1+Assumptions!$D$66)</f>
        <v>30</v>
      </c>
    </row>
    <row r="63" spans="1:185">
      <c r="A63" s="80"/>
      <c r="B63" s="80" t="s">
        <v>106</v>
      </c>
      <c r="C63" s="80"/>
      <c r="D63" s="80"/>
      <c r="E63" s="82"/>
      <c r="F63" s="105">
        <f>ROUNDUP(F23*Assumptions!$D$71,0)</f>
        <v>0</v>
      </c>
      <c r="G63" s="105">
        <f>ROUNDUP(G23*Assumptions!$D$71,0)</f>
        <v>0</v>
      </c>
      <c r="H63" s="105">
        <f>ROUNDUP(H23*Assumptions!$D$71,0)</f>
        <v>0</v>
      </c>
      <c r="I63" s="105">
        <f>ROUNDUP(I23*Assumptions!$D$71,0)</f>
        <v>0</v>
      </c>
      <c r="J63" s="105">
        <f>ROUNDUP(J23*Assumptions!$D$71,0)</f>
        <v>0</v>
      </c>
      <c r="K63" s="105">
        <f>ROUNDUP(K23*Assumptions!$D$71,0)</f>
        <v>0</v>
      </c>
      <c r="L63" s="105">
        <f>ROUNDUP(L23*Assumptions!$D$71,0)</f>
        <v>0</v>
      </c>
      <c r="M63" s="105">
        <f>ROUNDUP(M23*Assumptions!$D$71,0)</f>
        <v>3</v>
      </c>
      <c r="N63" s="105">
        <f>ROUNDUP(N23*Assumptions!$D$71,0)</f>
        <v>3</v>
      </c>
      <c r="O63" s="105">
        <f>ROUNDUP(O23*Assumptions!$D$71,0)</f>
        <v>3</v>
      </c>
      <c r="P63" s="105">
        <f>ROUNDUP(P23*Assumptions!$D$71,0)</f>
        <v>3</v>
      </c>
      <c r="Q63" s="105">
        <f>ROUNDUP(Q23*Assumptions!$D$71,0)</f>
        <v>3</v>
      </c>
      <c r="R63" s="105">
        <f>ROUNDUP(R23*Assumptions!$D$71,0)</f>
        <v>3</v>
      </c>
      <c r="S63" s="105">
        <f>ROUNDUP(S23*Assumptions!$D$71,0)</f>
        <v>3</v>
      </c>
      <c r="T63" s="105">
        <f>ROUNDUP(T23*Assumptions!$D$71,0)</f>
        <v>3</v>
      </c>
      <c r="U63" s="105">
        <f>ROUNDUP(U23*Assumptions!$D$71,0)</f>
        <v>3</v>
      </c>
      <c r="V63" s="105">
        <f>ROUNDUP(V23*Assumptions!$D$71,0)</f>
        <v>3</v>
      </c>
      <c r="W63" s="105">
        <f>ROUNDUP(W23*Assumptions!$D$71,0)</f>
        <v>3</v>
      </c>
      <c r="X63" s="105">
        <f>ROUNDUP(X23*Assumptions!$D$71,0)</f>
        <v>3</v>
      </c>
      <c r="Y63" s="105">
        <f>ROUNDUP(Y23*Assumptions!$D$71,0)</f>
        <v>3</v>
      </c>
      <c r="Z63" s="105">
        <f>ROUNDUP(Z23*Assumptions!$D$71,0)</f>
        <v>3</v>
      </c>
      <c r="AA63" s="105">
        <f>ROUNDUP(AA23*Assumptions!$D$71,0)</f>
        <v>3</v>
      </c>
      <c r="AB63" s="105">
        <f>ROUNDUP(AB23*Assumptions!$D$71,0)</f>
        <v>3</v>
      </c>
      <c r="AC63" s="105">
        <f>ROUNDUP(AC23*Assumptions!$D$71,0)</f>
        <v>3</v>
      </c>
      <c r="AD63" s="105">
        <f>ROUNDUP(AD23*Assumptions!$D$71,0)</f>
        <v>3</v>
      </c>
      <c r="AE63" s="105">
        <f>ROUNDUP(AE23*Assumptions!$D$71,0)</f>
        <v>3</v>
      </c>
      <c r="AF63" s="105">
        <f>ROUNDUP(AF23*Assumptions!$D$71,0)</f>
        <v>3</v>
      </c>
      <c r="AG63" s="105">
        <f>ROUNDUP(AG23*Assumptions!$D$71,0)</f>
        <v>3</v>
      </c>
      <c r="AH63" s="105">
        <f>ROUNDUP(AH23*Assumptions!$D$71,0)</f>
        <v>3</v>
      </c>
      <c r="AI63" s="105">
        <f>ROUNDUP(AI23*Assumptions!$D$71,0)</f>
        <v>3</v>
      </c>
      <c r="AJ63" s="105">
        <f>ROUNDUP(AJ23*Assumptions!$D$71,0)</f>
        <v>3</v>
      </c>
      <c r="AK63" s="105">
        <f>ROUNDUP(AK23*Assumptions!$D$71,0)</f>
        <v>3</v>
      </c>
      <c r="AL63" s="105">
        <f>ROUNDUP(AL23*Assumptions!$D$71,0)</f>
        <v>3</v>
      </c>
      <c r="AM63" s="105">
        <f>ROUNDUP(AM23*Assumptions!$D$71,0)</f>
        <v>3</v>
      </c>
      <c r="AN63" s="105">
        <f>ROUNDUP(AN23*Assumptions!$D$71,0)</f>
        <v>3</v>
      </c>
      <c r="AO63" s="105">
        <f>ROUNDUP(AO23*Assumptions!$D$71,0)</f>
        <v>3</v>
      </c>
      <c r="AP63" s="105">
        <f>ROUNDUP(AP23*Assumptions!$D$71,0)</f>
        <v>3</v>
      </c>
      <c r="AQ63" s="105">
        <f>ROUNDUP(AQ23*Assumptions!$D$71,0)</f>
        <v>3</v>
      </c>
      <c r="AR63" s="105">
        <f>ROUNDUP(AR23*Assumptions!$D$71,0)</f>
        <v>3</v>
      </c>
      <c r="AS63" s="105">
        <f>ROUNDUP(AS23*Assumptions!$D$71,0)</f>
        <v>3</v>
      </c>
      <c r="AT63" s="105">
        <f>ROUNDUP(AT23*Assumptions!$D$71,0)</f>
        <v>3</v>
      </c>
      <c r="AU63" s="105">
        <f>ROUNDUP(AU23*Assumptions!$D$71,0)</f>
        <v>3</v>
      </c>
      <c r="AV63" s="105">
        <f>ROUNDUP(AV23*Assumptions!$D$71,0)</f>
        <v>3</v>
      </c>
      <c r="AW63" s="105">
        <f>ROUNDUP(AW23*Assumptions!$D$71,0)</f>
        <v>3</v>
      </c>
      <c r="AX63" s="105">
        <f>ROUNDUP(AX23*Assumptions!$D$71,0)</f>
        <v>3</v>
      </c>
      <c r="AY63" s="105">
        <f>ROUNDUP(AY23*Assumptions!$D$71,0)</f>
        <v>3</v>
      </c>
      <c r="AZ63" s="105">
        <f>ROUNDUP(AZ23*Assumptions!$D$71,0)</f>
        <v>3</v>
      </c>
      <c r="BA63" s="105">
        <f>ROUNDUP(BA23*Assumptions!$D$71,0)</f>
        <v>3</v>
      </c>
      <c r="BB63" s="105">
        <f>ROUNDUP(BB23*Assumptions!$D$71,0)</f>
        <v>3</v>
      </c>
      <c r="BC63" s="105">
        <f>ROUNDUP(BC23*Assumptions!$D$71,0)</f>
        <v>3</v>
      </c>
      <c r="BD63" s="105">
        <f>ROUNDUP(BD23*Assumptions!$D$71,0)</f>
        <v>3</v>
      </c>
      <c r="BE63" s="105">
        <f>ROUNDUP(BE23*Assumptions!$D$71,0)</f>
        <v>3</v>
      </c>
      <c r="BF63" s="105">
        <f>ROUNDUP(BF23*Assumptions!$D$71,0)</f>
        <v>3</v>
      </c>
      <c r="BG63" s="105">
        <f>ROUNDUP(BG23*Assumptions!$D$71,0)</f>
        <v>3</v>
      </c>
      <c r="BH63" s="105">
        <f>ROUNDUP(BH23*Assumptions!$D$71,0)</f>
        <v>3</v>
      </c>
      <c r="BI63" s="105">
        <f>ROUNDUP(BI23*Assumptions!$D$71,0)</f>
        <v>3</v>
      </c>
      <c r="BJ63" s="105">
        <f>ROUNDUP(BJ23*Assumptions!$D$71,0)</f>
        <v>3</v>
      </c>
      <c r="BK63" s="105">
        <f>ROUNDUP(BK23*Assumptions!$D$71,0)</f>
        <v>3</v>
      </c>
      <c r="BL63" s="105">
        <f>ROUNDUP(BL23*Assumptions!$D$71,0)</f>
        <v>3</v>
      </c>
      <c r="BM63" s="105">
        <f>ROUNDUP(BM23*Assumptions!$D$71,0)</f>
        <v>3</v>
      </c>
      <c r="BN63" s="105">
        <f>ROUNDUP(BN23*Assumptions!$D$71,0)</f>
        <v>3</v>
      </c>
      <c r="BO63" s="105">
        <f>ROUNDUP(BO23*Assumptions!$D$71,0)</f>
        <v>3</v>
      </c>
      <c r="BP63" s="105">
        <f>ROUNDUP(BP23*Assumptions!$D$71,0)</f>
        <v>3</v>
      </c>
      <c r="BQ63" s="105">
        <f>ROUNDUP(BQ23*Assumptions!$D$71,0)</f>
        <v>3</v>
      </c>
      <c r="BR63" s="105">
        <f>ROUNDUP(BR23*Assumptions!$D$71,0)</f>
        <v>3</v>
      </c>
      <c r="BS63" s="105">
        <f>ROUNDUP(BS23*Assumptions!$D$71,0)</f>
        <v>3</v>
      </c>
      <c r="BT63" s="105">
        <f>ROUNDUP(BT23*Assumptions!$D$71,0)</f>
        <v>3</v>
      </c>
      <c r="BU63" s="105">
        <f>ROUNDUP(BU23*Assumptions!$D$71,0)</f>
        <v>3</v>
      </c>
      <c r="BV63" s="105">
        <f>ROUNDUP(BV23*Assumptions!$D$71,0)</f>
        <v>3</v>
      </c>
      <c r="BW63" s="105">
        <f>ROUNDUP(BW23*Assumptions!$D$71,0)</f>
        <v>3</v>
      </c>
      <c r="BX63" s="105">
        <f>ROUNDUP(BX23*Assumptions!$D$71,0)</f>
        <v>3</v>
      </c>
      <c r="BY63" s="105">
        <f>ROUNDUP(BY23*Assumptions!$D$71,0)</f>
        <v>3</v>
      </c>
      <c r="BZ63" s="105">
        <f>ROUNDUP(BZ23*Assumptions!$D$71,0)</f>
        <v>3</v>
      </c>
      <c r="CA63" s="105">
        <f>ROUNDUP(CA23*Assumptions!$D$71,0)</f>
        <v>3</v>
      </c>
      <c r="CB63" s="105">
        <f>ROUNDUP(CB23*Assumptions!$D$71,0)</f>
        <v>3</v>
      </c>
      <c r="CC63" s="105">
        <f>ROUNDUP(CC23*Assumptions!$D$71,0)</f>
        <v>3</v>
      </c>
      <c r="CD63" s="105">
        <f>ROUNDUP(CD23*Assumptions!$D$71,0)</f>
        <v>3</v>
      </c>
      <c r="CE63" s="105">
        <f>ROUNDUP(CE23*Assumptions!$D$71,0)</f>
        <v>3</v>
      </c>
      <c r="CF63" s="105">
        <f>ROUNDUP(CF23*Assumptions!$D$71,0)</f>
        <v>3</v>
      </c>
      <c r="CG63" s="105">
        <f>ROUNDUP(CG23*Assumptions!$D$71,0)</f>
        <v>3</v>
      </c>
      <c r="CH63" s="105">
        <f>ROUNDUP(CH23*Assumptions!$D$71,0)</f>
        <v>3</v>
      </c>
      <c r="CI63" s="105">
        <f>ROUNDUP(CI23*Assumptions!$D$71,0)</f>
        <v>3</v>
      </c>
      <c r="CJ63" s="105">
        <f>ROUNDUP(CJ23*Assumptions!$D$71,0)</f>
        <v>3</v>
      </c>
      <c r="CK63" s="105">
        <f>ROUNDUP(CK23*Assumptions!$D$71,0)</f>
        <v>3</v>
      </c>
      <c r="CL63" s="105">
        <f>ROUNDUP(CL23*Assumptions!$D$71,0)</f>
        <v>3</v>
      </c>
      <c r="CM63" s="105">
        <f>ROUNDUP(CM23*Assumptions!$D$71,0)</f>
        <v>3</v>
      </c>
      <c r="CN63" s="105">
        <f>ROUNDUP(CN23*Assumptions!$D$71,0)</f>
        <v>3</v>
      </c>
      <c r="CO63" s="105">
        <f>ROUNDUP(CO23*Assumptions!$D$71,0)</f>
        <v>3</v>
      </c>
      <c r="CP63" s="105">
        <f>ROUNDUP(CP23*Assumptions!$D$71,0)</f>
        <v>3</v>
      </c>
      <c r="CQ63" s="105">
        <f>ROUNDUP(CQ23*Assumptions!$D$71,0)</f>
        <v>3</v>
      </c>
      <c r="CR63" s="105">
        <f>ROUNDUP(CR23*Assumptions!$D$71,0)</f>
        <v>3</v>
      </c>
      <c r="CS63" s="105">
        <f>ROUNDUP(CS23*Assumptions!$D$71,0)</f>
        <v>3</v>
      </c>
      <c r="CT63" s="105">
        <f>ROUNDUP(CT23*Assumptions!$D$71,0)</f>
        <v>3</v>
      </c>
      <c r="CU63" s="105">
        <f>ROUNDUP(CU23*Assumptions!$D$71,0)</f>
        <v>3</v>
      </c>
      <c r="CV63" s="105">
        <f>ROUNDUP(CV23*Assumptions!$D$71,0)</f>
        <v>3</v>
      </c>
      <c r="CW63" s="105">
        <f>ROUNDUP(CW23*Assumptions!$D$71,0)</f>
        <v>3</v>
      </c>
      <c r="CX63" s="105">
        <f>ROUNDUP(CX23*Assumptions!$D$71,0)</f>
        <v>3</v>
      </c>
      <c r="CY63" s="105">
        <f>ROUNDUP(CY23*Assumptions!$D$71,0)</f>
        <v>3</v>
      </c>
      <c r="CZ63" s="105">
        <f>ROUNDUP(CZ23*Assumptions!$D$71,0)</f>
        <v>3</v>
      </c>
      <c r="DA63" s="105">
        <f>ROUNDUP(DA23*Assumptions!$D$71,0)</f>
        <v>3</v>
      </c>
      <c r="DB63" s="105">
        <f>ROUNDUP(DB23*Assumptions!$D$71,0)</f>
        <v>3</v>
      </c>
      <c r="DC63" s="105">
        <f>ROUNDUP(DC23*Assumptions!$D$71,0)</f>
        <v>3</v>
      </c>
      <c r="DD63" s="105">
        <f>ROUNDUP(DD23*Assumptions!$D$71,0)</f>
        <v>3</v>
      </c>
      <c r="DE63" s="105">
        <f>ROUNDUP(DE23*Assumptions!$D$71,0)</f>
        <v>3</v>
      </c>
      <c r="DF63" s="105">
        <f>ROUNDUP(DF23*Assumptions!$D$71,0)</f>
        <v>3</v>
      </c>
      <c r="DG63" s="105">
        <f>ROUNDUP(DG23*Assumptions!$D$71,0)</f>
        <v>3</v>
      </c>
      <c r="DH63" s="105">
        <f>ROUNDUP(DH23*Assumptions!$D$71,0)</f>
        <v>3</v>
      </c>
      <c r="DI63" s="105">
        <f>ROUNDUP(DI23*Assumptions!$D$71,0)</f>
        <v>3</v>
      </c>
      <c r="DJ63" s="105">
        <f>ROUNDUP(DJ23*Assumptions!$D$71,0)</f>
        <v>3</v>
      </c>
      <c r="DK63" s="105">
        <f>ROUNDUP(DK23*Assumptions!$D$71,0)</f>
        <v>3</v>
      </c>
      <c r="DL63" s="105">
        <f>ROUNDUP(DL23*Assumptions!$D$71,0)</f>
        <v>3</v>
      </c>
      <c r="DM63" s="105">
        <f>ROUNDUP(DM23*Assumptions!$D$71,0)</f>
        <v>3</v>
      </c>
      <c r="DN63" s="105">
        <f>ROUNDUP(DN23*Assumptions!$D$71,0)</f>
        <v>3</v>
      </c>
      <c r="DO63" s="105">
        <f>ROUNDUP(DO23*Assumptions!$D$71,0)</f>
        <v>3</v>
      </c>
      <c r="DP63" s="105">
        <f>ROUNDUP(DP23*Assumptions!$D$71,0)</f>
        <v>3</v>
      </c>
      <c r="DQ63" s="105">
        <f>ROUNDUP(DQ23*Assumptions!$D$71,0)</f>
        <v>3</v>
      </c>
      <c r="DR63" s="105">
        <f>ROUNDUP(DR23*Assumptions!$D$71,0)</f>
        <v>3</v>
      </c>
      <c r="DS63" s="105">
        <f>ROUNDUP(DS23*Assumptions!$D$71,0)</f>
        <v>3</v>
      </c>
      <c r="DT63" s="105">
        <f>ROUNDUP(DT23*Assumptions!$D$71,0)</f>
        <v>3</v>
      </c>
      <c r="DU63" s="105">
        <f>ROUNDUP(DU23*Assumptions!$D$71,0)</f>
        <v>3</v>
      </c>
      <c r="DV63" s="105">
        <f>ROUNDUP(DV23*Assumptions!$D$71,0)</f>
        <v>3</v>
      </c>
      <c r="DW63" s="105">
        <f>ROUNDUP(DW23*Assumptions!$D$71,0)</f>
        <v>3</v>
      </c>
      <c r="DX63" s="105">
        <f>ROUNDUP(DX23*Assumptions!$D$71,0)</f>
        <v>3</v>
      </c>
      <c r="DY63" s="105">
        <f>ROUNDUP(DY23*Assumptions!$D$71,0)</f>
        <v>3</v>
      </c>
      <c r="DZ63" s="105">
        <f>ROUNDUP(DZ23*Assumptions!$D$71,0)</f>
        <v>3</v>
      </c>
      <c r="EA63" s="105">
        <f>ROUNDUP(EA23*Assumptions!$D$71,0)</f>
        <v>3</v>
      </c>
      <c r="EB63" s="105">
        <f>ROUNDUP(EB23*Assumptions!$D$71,0)</f>
        <v>3</v>
      </c>
      <c r="EC63" s="105">
        <f>ROUNDUP(EC23*Assumptions!$D$71,0)</f>
        <v>3</v>
      </c>
      <c r="ED63" s="105">
        <f>ROUNDUP(ED23*Assumptions!$D$71,0)</f>
        <v>3</v>
      </c>
      <c r="EE63" s="105">
        <f>ROUNDUP(EE23*Assumptions!$D$71,0)</f>
        <v>3</v>
      </c>
      <c r="EF63" s="105">
        <f>ROUNDUP(EF23*Assumptions!$D$71,0)</f>
        <v>3</v>
      </c>
      <c r="EG63" s="105">
        <f>ROUNDUP(EG23*Assumptions!$D$71,0)</f>
        <v>3</v>
      </c>
      <c r="EH63" s="105">
        <f>ROUNDUP(EH23*Assumptions!$D$71,0)</f>
        <v>3</v>
      </c>
      <c r="EI63" s="105">
        <f>ROUNDUP(EI23*Assumptions!$D$71,0)</f>
        <v>3</v>
      </c>
      <c r="EJ63" s="105">
        <f>ROUNDUP(EJ23*Assumptions!$D$71,0)</f>
        <v>3</v>
      </c>
      <c r="EK63" s="105">
        <f>ROUNDUP(EK23*Assumptions!$D$71,0)</f>
        <v>3</v>
      </c>
      <c r="EL63" s="105">
        <f>ROUNDUP(EL23*Assumptions!$D$71,0)</f>
        <v>3</v>
      </c>
      <c r="EM63" s="105">
        <f>ROUNDUP(EM23*Assumptions!$D$71,0)</f>
        <v>3</v>
      </c>
      <c r="EN63" s="105">
        <f>ROUNDUP(EN23*Assumptions!$D$71,0)</f>
        <v>3</v>
      </c>
      <c r="EO63" s="105">
        <f>ROUNDUP(EO23*Assumptions!$D$71,0)</f>
        <v>3</v>
      </c>
      <c r="EP63" s="105">
        <f>ROUNDUP(EP23*Assumptions!$D$71,0)</f>
        <v>3</v>
      </c>
      <c r="EQ63" s="105">
        <f>ROUNDUP(EQ23*Assumptions!$D$71,0)</f>
        <v>3</v>
      </c>
      <c r="ER63" s="105">
        <f>ROUNDUP(ER23*Assumptions!$D$71,0)</f>
        <v>3</v>
      </c>
      <c r="ES63" s="105">
        <f>ROUNDUP(ES23*Assumptions!$D$71,0)</f>
        <v>3</v>
      </c>
      <c r="ET63" s="105">
        <f>ROUNDUP(ET23*Assumptions!$D$71,0)</f>
        <v>3</v>
      </c>
      <c r="EU63" s="105">
        <f>ROUNDUP(EU23*Assumptions!$D$71,0)</f>
        <v>3</v>
      </c>
      <c r="EV63" s="105">
        <f>ROUNDUP(EV23*Assumptions!$D$71,0)</f>
        <v>3</v>
      </c>
      <c r="EW63" s="105">
        <f>ROUNDUP(EW23*Assumptions!$D$71,0)</f>
        <v>3</v>
      </c>
      <c r="EX63" s="105">
        <f>ROUNDUP(EX23*Assumptions!$D$71,0)</f>
        <v>3</v>
      </c>
      <c r="EY63" s="105">
        <f>ROUNDUP(EY23*Assumptions!$D$71,0)</f>
        <v>3</v>
      </c>
      <c r="EZ63" s="105">
        <f>ROUNDUP(EZ23*Assumptions!$D$71,0)</f>
        <v>3</v>
      </c>
      <c r="FA63" s="105">
        <f>ROUNDUP(FA23*Assumptions!$D$71,0)</f>
        <v>3</v>
      </c>
      <c r="FB63" s="105">
        <f>ROUNDUP(FB23*Assumptions!$D$71,0)</f>
        <v>3</v>
      </c>
      <c r="FC63" s="105">
        <f>ROUNDUP(FC23*Assumptions!$D$71,0)</f>
        <v>3</v>
      </c>
      <c r="FD63" s="105">
        <f>ROUNDUP(FD23*Assumptions!$D$71,0)</f>
        <v>3</v>
      </c>
      <c r="FE63" s="105">
        <f>ROUNDUP(FE23*Assumptions!$D$71,0)</f>
        <v>3</v>
      </c>
      <c r="FF63" s="105">
        <f>ROUNDUP(FF23*Assumptions!$D$71,0)</f>
        <v>3</v>
      </c>
      <c r="FG63" s="105">
        <f>ROUNDUP(FG23*Assumptions!$D$71,0)</f>
        <v>3</v>
      </c>
      <c r="FH63" s="105">
        <f>ROUNDUP(FH23*Assumptions!$D$71,0)</f>
        <v>3</v>
      </c>
      <c r="FI63" s="105">
        <f>ROUNDUP(FI23*Assumptions!$D$71,0)</f>
        <v>3</v>
      </c>
      <c r="FJ63" s="105">
        <f>ROUNDUP(FJ23*Assumptions!$D$71,0)</f>
        <v>3</v>
      </c>
      <c r="FK63" s="105">
        <f>ROUNDUP(FK23*Assumptions!$D$71,0)</f>
        <v>3</v>
      </c>
      <c r="FL63" s="105">
        <f>ROUNDUP(FL23*Assumptions!$D$71,0)</f>
        <v>3</v>
      </c>
      <c r="FM63" s="105">
        <f>ROUNDUP(FM23*Assumptions!$D$71,0)</f>
        <v>3</v>
      </c>
      <c r="FN63" s="105">
        <f>ROUNDUP(FN23*Assumptions!$D$71,0)</f>
        <v>3</v>
      </c>
      <c r="FO63" s="105">
        <f>ROUNDUP(FO23*Assumptions!$D$71,0)</f>
        <v>3</v>
      </c>
      <c r="FP63" s="105">
        <f>ROUNDUP(FP23*Assumptions!$D$71,0)</f>
        <v>3</v>
      </c>
      <c r="FQ63" s="105">
        <f>ROUNDUP(FQ23*Assumptions!$D$71,0)</f>
        <v>3</v>
      </c>
      <c r="FR63" s="105">
        <f>ROUNDUP(FR23*Assumptions!$D$71,0)</f>
        <v>3</v>
      </c>
      <c r="FS63" s="105">
        <f>ROUNDUP(FS23*Assumptions!$D$71,0)</f>
        <v>3</v>
      </c>
      <c r="FT63" s="105">
        <f>ROUNDUP(FT23*Assumptions!$D$71,0)</f>
        <v>3</v>
      </c>
      <c r="FU63" s="105">
        <f>ROUNDUP(FU23*Assumptions!$D$71,0)</f>
        <v>3</v>
      </c>
      <c r="FV63" s="105">
        <f>ROUNDUP(FV23*Assumptions!$D$71,0)</f>
        <v>3</v>
      </c>
      <c r="FW63" s="105">
        <f>ROUNDUP(FW23*Assumptions!$D$71,0)</f>
        <v>3</v>
      </c>
      <c r="FX63" s="105">
        <f>ROUNDUP(FX23*Assumptions!$D$71,0)</f>
        <v>3</v>
      </c>
      <c r="FY63" s="105">
        <f>ROUNDUP(FY23*Assumptions!$D$71,0)</f>
        <v>3</v>
      </c>
      <c r="FZ63" s="105">
        <f>ROUNDUP(FZ23*Assumptions!$D$71,0)</f>
        <v>3</v>
      </c>
      <c r="GA63" s="105">
        <f>ROUNDUP(GA23*Assumptions!$D$71,0)</f>
        <v>3</v>
      </c>
      <c r="GB63" s="105">
        <f>ROUNDUP(GB23*Assumptions!$D$71,0)</f>
        <v>3</v>
      </c>
      <c r="GC63" s="105">
        <f>ROUNDUP(GC23*Assumptions!$D$71,0)</f>
        <v>3</v>
      </c>
    </row>
    <row r="64" spans="1:185">
      <c r="A64" s="80"/>
      <c r="B64" s="80" t="s">
        <v>109</v>
      </c>
      <c r="C64" s="80"/>
      <c r="D64" s="80"/>
      <c r="E64" s="82"/>
      <c r="F64" s="104">
        <f>Assumptions!$D$40*(1+Assumptions!$D$66)</f>
        <v>25</v>
      </c>
      <c r="G64" s="104">
        <f>Assumptions!$D$40*(1+Assumptions!$D$66)</f>
        <v>25</v>
      </c>
      <c r="H64" s="104">
        <f>Assumptions!$D$40*(1+Assumptions!$D$66)</f>
        <v>25</v>
      </c>
      <c r="I64" s="104">
        <f>Assumptions!$D$40*(1+Assumptions!$D$66)</f>
        <v>25</v>
      </c>
      <c r="J64" s="104">
        <f>Assumptions!$D$40*(1+Assumptions!$D$66)</f>
        <v>25</v>
      </c>
      <c r="K64" s="104">
        <f>Assumptions!$D$40*(1+Assumptions!$D$66)</f>
        <v>25</v>
      </c>
      <c r="L64" s="104">
        <f>Assumptions!$D$40*(1+Assumptions!$D$66)</f>
        <v>25</v>
      </c>
      <c r="M64" s="104">
        <f>Assumptions!$D$40*(1+Assumptions!$D$66)</f>
        <v>25</v>
      </c>
      <c r="N64" s="104">
        <f>Assumptions!$D$40*(1+Assumptions!$D$66)</f>
        <v>25</v>
      </c>
      <c r="O64" s="104">
        <f>Assumptions!$D$40*(1+Assumptions!$D$66)</f>
        <v>25</v>
      </c>
      <c r="P64" s="104">
        <f>Assumptions!$D$40*(1+Assumptions!$D$66)</f>
        <v>25</v>
      </c>
      <c r="Q64" s="104">
        <f>Assumptions!$D$40*(1+Assumptions!$D$66)</f>
        <v>25</v>
      </c>
      <c r="R64" s="104">
        <f>Assumptions!$D$40*(1+Assumptions!$D$66)</f>
        <v>25</v>
      </c>
      <c r="S64" s="104">
        <f>Assumptions!$D$40*(1+Assumptions!$D$66)</f>
        <v>25</v>
      </c>
      <c r="T64" s="104">
        <f>Assumptions!$D$40*(1+Assumptions!$D$66)</f>
        <v>25</v>
      </c>
      <c r="U64" s="104">
        <f>Assumptions!$D$40*(1+Assumptions!$D$66)</f>
        <v>25</v>
      </c>
      <c r="V64" s="104">
        <f>Assumptions!$D$40*(1+Assumptions!$D$66)</f>
        <v>25</v>
      </c>
      <c r="W64" s="104">
        <f>Assumptions!$D$40*(1+Assumptions!$D$66)</f>
        <v>25</v>
      </c>
      <c r="X64" s="104">
        <f>Assumptions!$D$40*(1+Assumptions!$D$66)</f>
        <v>25</v>
      </c>
      <c r="Y64" s="104">
        <f>Assumptions!$D$40*(1+Assumptions!$D$66)</f>
        <v>25</v>
      </c>
      <c r="Z64" s="104">
        <f>Assumptions!$D$40*(1+Assumptions!$D$66)</f>
        <v>25</v>
      </c>
      <c r="AA64" s="104">
        <f>Assumptions!$D$40*(1+Assumptions!$D$66)</f>
        <v>25</v>
      </c>
      <c r="AB64" s="104">
        <f>Assumptions!$D$40*(1+Assumptions!$D$66)</f>
        <v>25</v>
      </c>
      <c r="AC64" s="104">
        <f>Assumptions!$D$40*(1+Assumptions!$D$66)</f>
        <v>25</v>
      </c>
      <c r="AD64" s="104">
        <f>Assumptions!$D$40*(1+Assumptions!$D$66)</f>
        <v>25</v>
      </c>
      <c r="AE64" s="104">
        <f>Assumptions!$D$40*(1+Assumptions!$D$66)</f>
        <v>25</v>
      </c>
      <c r="AF64" s="104">
        <f>Assumptions!$D$40*(1+Assumptions!$D$66)</f>
        <v>25</v>
      </c>
      <c r="AG64" s="104">
        <f>Assumptions!$D$40*(1+Assumptions!$D$66)</f>
        <v>25</v>
      </c>
      <c r="AH64" s="104">
        <f>Assumptions!$D$40*(1+Assumptions!$D$66)</f>
        <v>25</v>
      </c>
      <c r="AI64" s="104">
        <f>Assumptions!$D$40*(1+Assumptions!$D$66)</f>
        <v>25</v>
      </c>
      <c r="AJ64" s="104">
        <f>Assumptions!$D$40*(1+Assumptions!$D$66)</f>
        <v>25</v>
      </c>
      <c r="AK64" s="104">
        <f>Assumptions!$D$40*(1+Assumptions!$D$66)</f>
        <v>25</v>
      </c>
      <c r="AL64" s="104">
        <f>Assumptions!$D$40*(1+Assumptions!$D$66)</f>
        <v>25</v>
      </c>
      <c r="AM64" s="104">
        <f>Assumptions!$D$40*(1+Assumptions!$D$66)</f>
        <v>25</v>
      </c>
      <c r="AN64" s="104">
        <f>Assumptions!$D$40*(1+Assumptions!$D$66)</f>
        <v>25</v>
      </c>
      <c r="AO64" s="104">
        <f>Assumptions!$D$40*(1+Assumptions!$D$66)</f>
        <v>25</v>
      </c>
      <c r="AP64" s="104">
        <f>Assumptions!$D$40*(1+Assumptions!$D$66)</f>
        <v>25</v>
      </c>
      <c r="AQ64" s="104">
        <f>Assumptions!$D$40*(1+Assumptions!$D$66)</f>
        <v>25</v>
      </c>
      <c r="AR64" s="104">
        <f>Assumptions!$D$40*(1+Assumptions!$D$66)</f>
        <v>25</v>
      </c>
      <c r="AS64" s="104">
        <f>Assumptions!$D$40*(1+Assumptions!$D$66)</f>
        <v>25</v>
      </c>
      <c r="AT64" s="104">
        <f>Assumptions!$D$40*(1+Assumptions!$D$66)</f>
        <v>25</v>
      </c>
      <c r="AU64" s="104">
        <f>Assumptions!$D$40*(1+Assumptions!$D$66)</f>
        <v>25</v>
      </c>
      <c r="AV64" s="104">
        <f>Assumptions!$D$40*(1+Assumptions!$D$66)</f>
        <v>25</v>
      </c>
      <c r="AW64" s="104">
        <f>Assumptions!$D$40*(1+Assumptions!$D$66)</f>
        <v>25</v>
      </c>
      <c r="AX64" s="104">
        <f>Assumptions!$D$40*(1+Assumptions!$D$66)</f>
        <v>25</v>
      </c>
      <c r="AY64" s="104">
        <f>Assumptions!$D$40*(1+Assumptions!$D$66)</f>
        <v>25</v>
      </c>
      <c r="AZ64" s="104">
        <f>Assumptions!$D$40*(1+Assumptions!$D$66)</f>
        <v>25</v>
      </c>
      <c r="BA64" s="104">
        <f>Assumptions!$D$40*(1+Assumptions!$D$66)</f>
        <v>25</v>
      </c>
      <c r="BB64" s="104">
        <f>Assumptions!$D$40*(1+Assumptions!$D$66)</f>
        <v>25</v>
      </c>
      <c r="BC64" s="104">
        <f>Assumptions!$D$40*(1+Assumptions!$D$66)</f>
        <v>25</v>
      </c>
      <c r="BD64" s="104">
        <f>Assumptions!$D$40*(1+Assumptions!$D$66)</f>
        <v>25</v>
      </c>
      <c r="BE64" s="104">
        <f>Assumptions!$D$40*(1+Assumptions!$D$66)</f>
        <v>25</v>
      </c>
      <c r="BF64" s="104">
        <f>Assumptions!$D$40*(1+Assumptions!$D$66)</f>
        <v>25</v>
      </c>
      <c r="BG64" s="104">
        <f>Assumptions!$D$40*(1+Assumptions!$D$66)</f>
        <v>25</v>
      </c>
      <c r="BH64" s="104">
        <f>Assumptions!$D$40*(1+Assumptions!$D$66)</f>
        <v>25</v>
      </c>
      <c r="BI64" s="104">
        <f>Assumptions!$D$40*(1+Assumptions!$D$66)</f>
        <v>25</v>
      </c>
      <c r="BJ64" s="104">
        <f>Assumptions!$D$40*(1+Assumptions!$D$66)</f>
        <v>25</v>
      </c>
      <c r="BK64" s="104">
        <f>Assumptions!$D$40*(1+Assumptions!$D$66)</f>
        <v>25</v>
      </c>
      <c r="BL64" s="104">
        <f>Assumptions!$D$40*(1+Assumptions!$D$66)</f>
        <v>25</v>
      </c>
      <c r="BM64" s="104">
        <f>Assumptions!$D$40*(1+Assumptions!$D$66)</f>
        <v>25</v>
      </c>
      <c r="BN64" s="104">
        <f>Assumptions!$D$40*(1+Assumptions!$D$66)</f>
        <v>25</v>
      </c>
      <c r="BO64" s="104">
        <f>Assumptions!$D$40*(1+Assumptions!$D$66)</f>
        <v>25</v>
      </c>
      <c r="BP64" s="104">
        <f>Assumptions!$D$40*(1+Assumptions!$D$66)</f>
        <v>25</v>
      </c>
      <c r="BQ64" s="104">
        <f>Assumptions!$D$40*(1+Assumptions!$D$66)</f>
        <v>25</v>
      </c>
      <c r="BR64" s="104">
        <f>Assumptions!$D$40*(1+Assumptions!$D$66)</f>
        <v>25</v>
      </c>
      <c r="BS64" s="104">
        <f>Assumptions!$D$40*(1+Assumptions!$D$66)</f>
        <v>25</v>
      </c>
      <c r="BT64" s="104">
        <f>Assumptions!$D$40*(1+Assumptions!$D$66)</f>
        <v>25</v>
      </c>
      <c r="BU64" s="104">
        <f>Assumptions!$D$40*(1+Assumptions!$D$66)</f>
        <v>25</v>
      </c>
      <c r="BV64" s="104">
        <f>Assumptions!$D$40*(1+Assumptions!$D$66)</f>
        <v>25</v>
      </c>
      <c r="BW64" s="104">
        <f>Assumptions!$D$40*(1+Assumptions!$D$66)</f>
        <v>25</v>
      </c>
      <c r="BX64" s="104">
        <f>Assumptions!$D$40*(1+Assumptions!$D$66)</f>
        <v>25</v>
      </c>
      <c r="BY64" s="104">
        <f>Assumptions!$D$40*(1+Assumptions!$D$66)</f>
        <v>25</v>
      </c>
      <c r="BZ64" s="104">
        <f>Assumptions!$D$40*(1+Assumptions!$D$66)</f>
        <v>25</v>
      </c>
      <c r="CA64" s="104">
        <f>Assumptions!$D$40*(1+Assumptions!$D$66)</f>
        <v>25</v>
      </c>
      <c r="CB64" s="104">
        <f>Assumptions!$D$40*(1+Assumptions!$D$66)</f>
        <v>25</v>
      </c>
      <c r="CC64" s="104">
        <f>Assumptions!$D$40*(1+Assumptions!$D$66)</f>
        <v>25</v>
      </c>
      <c r="CD64" s="104">
        <f>Assumptions!$D$40*(1+Assumptions!$D$66)</f>
        <v>25</v>
      </c>
      <c r="CE64" s="104">
        <f>Assumptions!$D$40*(1+Assumptions!$D$66)</f>
        <v>25</v>
      </c>
      <c r="CF64" s="104">
        <f>Assumptions!$D$40*(1+Assumptions!$D$66)</f>
        <v>25</v>
      </c>
      <c r="CG64" s="104">
        <f>Assumptions!$D$40*(1+Assumptions!$D$66)</f>
        <v>25</v>
      </c>
      <c r="CH64" s="104">
        <f>Assumptions!$D$40*(1+Assumptions!$D$66)</f>
        <v>25</v>
      </c>
      <c r="CI64" s="104">
        <f>Assumptions!$D$40*(1+Assumptions!$D$66)</f>
        <v>25</v>
      </c>
      <c r="CJ64" s="104">
        <f>Assumptions!$D$40*(1+Assumptions!$D$66)</f>
        <v>25</v>
      </c>
      <c r="CK64" s="104">
        <f>Assumptions!$D$40*(1+Assumptions!$D$66)</f>
        <v>25</v>
      </c>
      <c r="CL64" s="104">
        <f>Assumptions!$D$40*(1+Assumptions!$D$66)</f>
        <v>25</v>
      </c>
      <c r="CM64" s="104">
        <f>Assumptions!$D$40*(1+Assumptions!$D$66)</f>
        <v>25</v>
      </c>
      <c r="CN64" s="104">
        <f>Assumptions!$D$40*(1+Assumptions!$D$66)</f>
        <v>25</v>
      </c>
      <c r="CO64" s="104">
        <f>Assumptions!$D$40*(1+Assumptions!$D$66)</f>
        <v>25</v>
      </c>
      <c r="CP64" s="104">
        <f>Assumptions!$D$40*(1+Assumptions!$D$66)</f>
        <v>25</v>
      </c>
      <c r="CQ64" s="104">
        <f>Assumptions!$D$40*(1+Assumptions!$D$66)</f>
        <v>25</v>
      </c>
      <c r="CR64" s="104">
        <f>Assumptions!$D$40*(1+Assumptions!$D$66)</f>
        <v>25</v>
      </c>
      <c r="CS64" s="104">
        <f>Assumptions!$D$40*(1+Assumptions!$D$66)</f>
        <v>25</v>
      </c>
      <c r="CT64" s="104">
        <f>Assumptions!$D$40*(1+Assumptions!$D$66)</f>
        <v>25</v>
      </c>
      <c r="CU64" s="104">
        <f>Assumptions!$D$40*(1+Assumptions!$D$66)</f>
        <v>25</v>
      </c>
      <c r="CV64" s="104">
        <f>Assumptions!$D$40*(1+Assumptions!$D$66)</f>
        <v>25</v>
      </c>
      <c r="CW64" s="104">
        <f>Assumptions!$D$40*(1+Assumptions!$D$66)</f>
        <v>25</v>
      </c>
      <c r="CX64" s="104">
        <f>Assumptions!$D$40*(1+Assumptions!$D$66)</f>
        <v>25</v>
      </c>
      <c r="CY64" s="104">
        <f>Assumptions!$D$40*(1+Assumptions!$D$66)</f>
        <v>25</v>
      </c>
      <c r="CZ64" s="104">
        <f>Assumptions!$D$40*(1+Assumptions!$D$66)</f>
        <v>25</v>
      </c>
      <c r="DA64" s="104">
        <f>Assumptions!$D$40*(1+Assumptions!$D$66)</f>
        <v>25</v>
      </c>
      <c r="DB64" s="104">
        <f>Assumptions!$D$40*(1+Assumptions!$D$66)</f>
        <v>25</v>
      </c>
      <c r="DC64" s="104">
        <f>Assumptions!$D$40*(1+Assumptions!$D$66)</f>
        <v>25</v>
      </c>
      <c r="DD64" s="104">
        <f>Assumptions!$D$40*(1+Assumptions!$D$66)</f>
        <v>25</v>
      </c>
      <c r="DE64" s="104">
        <f>Assumptions!$D$40*(1+Assumptions!$D$66)</f>
        <v>25</v>
      </c>
      <c r="DF64" s="104">
        <f>Assumptions!$D$40*(1+Assumptions!$D$66)</f>
        <v>25</v>
      </c>
      <c r="DG64" s="104">
        <f>Assumptions!$D$40*(1+Assumptions!$D$66)</f>
        <v>25</v>
      </c>
      <c r="DH64" s="104">
        <f>Assumptions!$D$40*(1+Assumptions!$D$66)</f>
        <v>25</v>
      </c>
      <c r="DI64" s="104">
        <f>Assumptions!$D$40*(1+Assumptions!$D$66)</f>
        <v>25</v>
      </c>
      <c r="DJ64" s="104">
        <f>Assumptions!$D$40*(1+Assumptions!$D$66)</f>
        <v>25</v>
      </c>
      <c r="DK64" s="104">
        <f>Assumptions!$D$40*(1+Assumptions!$D$66)</f>
        <v>25</v>
      </c>
      <c r="DL64" s="104">
        <f>Assumptions!$D$40*(1+Assumptions!$D$66)</f>
        <v>25</v>
      </c>
      <c r="DM64" s="104">
        <f>Assumptions!$D$40*(1+Assumptions!$D$66)</f>
        <v>25</v>
      </c>
      <c r="DN64" s="104">
        <f>Assumptions!$D$40*(1+Assumptions!$D$66)</f>
        <v>25</v>
      </c>
      <c r="DO64" s="104">
        <f>Assumptions!$D$40*(1+Assumptions!$D$66)</f>
        <v>25</v>
      </c>
      <c r="DP64" s="104">
        <f>Assumptions!$D$40*(1+Assumptions!$D$66)</f>
        <v>25</v>
      </c>
      <c r="DQ64" s="104">
        <f>Assumptions!$D$40*(1+Assumptions!$D$66)</f>
        <v>25</v>
      </c>
      <c r="DR64" s="104">
        <f>Assumptions!$D$40*(1+Assumptions!$D$66)</f>
        <v>25</v>
      </c>
      <c r="DS64" s="104">
        <f>Assumptions!$D$40*(1+Assumptions!$D$66)</f>
        <v>25</v>
      </c>
      <c r="DT64" s="104">
        <f>Assumptions!$D$40*(1+Assumptions!$D$66)</f>
        <v>25</v>
      </c>
      <c r="DU64" s="104">
        <f>Assumptions!$D$40*(1+Assumptions!$D$66)</f>
        <v>25</v>
      </c>
      <c r="DV64" s="104">
        <f>Assumptions!$D$40*(1+Assumptions!$D$66)</f>
        <v>25</v>
      </c>
      <c r="DW64" s="104">
        <f>Assumptions!$D$40*(1+Assumptions!$D$66)</f>
        <v>25</v>
      </c>
      <c r="DX64" s="104">
        <f>Assumptions!$D$40*(1+Assumptions!$D$66)</f>
        <v>25</v>
      </c>
      <c r="DY64" s="104">
        <f>Assumptions!$D$40*(1+Assumptions!$D$66)</f>
        <v>25</v>
      </c>
      <c r="DZ64" s="104">
        <f>Assumptions!$D$40*(1+Assumptions!$D$66)</f>
        <v>25</v>
      </c>
      <c r="EA64" s="104">
        <f>Assumptions!$D$40*(1+Assumptions!$D$66)</f>
        <v>25</v>
      </c>
      <c r="EB64" s="104">
        <f>Assumptions!$D$40*(1+Assumptions!$D$66)</f>
        <v>25</v>
      </c>
      <c r="EC64" s="104">
        <f>Assumptions!$D$40*(1+Assumptions!$D$66)</f>
        <v>25</v>
      </c>
      <c r="ED64" s="104">
        <f>Assumptions!$D$40*(1+Assumptions!$D$66)</f>
        <v>25</v>
      </c>
      <c r="EE64" s="104">
        <f>Assumptions!$D$40*(1+Assumptions!$D$66)</f>
        <v>25</v>
      </c>
      <c r="EF64" s="104">
        <f>Assumptions!$D$40*(1+Assumptions!$D$66)</f>
        <v>25</v>
      </c>
      <c r="EG64" s="104">
        <f>Assumptions!$D$40*(1+Assumptions!$D$66)</f>
        <v>25</v>
      </c>
      <c r="EH64" s="104">
        <f>Assumptions!$D$40*(1+Assumptions!$D$66)</f>
        <v>25</v>
      </c>
      <c r="EI64" s="104">
        <f>Assumptions!$D$40*(1+Assumptions!$D$66)</f>
        <v>25</v>
      </c>
      <c r="EJ64" s="104">
        <f>Assumptions!$D$40*(1+Assumptions!$D$66)</f>
        <v>25</v>
      </c>
      <c r="EK64" s="104">
        <f>Assumptions!$D$40*(1+Assumptions!$D$66)</f>
        <v>25</v>
      </c>
      <c r="EL64" s="104">
        <f>Assumptions!$D$40*(1+Assumptions!$D$66)</f>
        <v>25</v>
      </c>
      <c r="EM64" s="104">
        <f>Assumptions!$D$40*(1+Assumptions!$D$66)</f>
        <v>25</v>
      </c>
      <c r="EN64" s="104">
        <f>Assumptions!$D$40*(1+Assumptions!$D$66)</f>
        <v>25</v>
      </c>
      <c r="EO64" s="104">
        <f>Assumptions!$D$40*(1+Assumptions!$D$66)</f>
        <v>25</v>
      </c>
      <c r="EP64" s="104">
        <f>Assumptions!$D$40*(1+Assumptions!$D$66)</f>
        <v>25</v>
      </c>
      <c r="EQ64" s="104">
        <f>Assumptions!$D$40*(1+Assumptions!$D$66)</f>
        <v>25</v>
      </c>
      <c r="ER64" s="104">
        <f>Assumptions!$D$40*(1+Assumptions!$D$66)</f>
        <v>25</v>
      </c>
      <c r="ES64" s="104">
        <f>Assumptions!$D$40*(1+Assumptions!$D$66)</f>
        <v>25</v>
      </c>
      <c r="ET64" s="104">
        <f>Assumptions!$D$40*(1+Assumptions!$D$66)</f>
        <v>25</v>
      </c>
      <c r="EU64" s="104">
        <f>Assumptions!$D$40*(1+Assumptions!$D$66)</f>
        <v>25</v>
      </c>
      <c r="EV64" s="104">
        <f>Assumptions!$D$40*(1+Assumptions!$D$66)</f>
        <v>25</v>
      </c>
      <c r="EW64" s="104">
        <f>Assumptions!$D$40*(1+Assumptions!$D$66)</f>
        <v>25</v>
      </c>
      <c r="EX64" s="104">
        <f>Assumptions!$D$40*(1+Assumptions!$D$66)</f>
        <v>25</v>
      </c>
      <c r="EY64" s="104">
        <f>Assumptions!$D$40*(1+Assumptions!$D$66)</f>
        <v>25</v>
      </c>
      <c r="EZ64" s="104">
        <f>Assumptions!$D$40*(1+Assumptions!$D$66)</f>
        <v>25</v>
      </c>
      <c r="FA64" s="104">
        <f>Assumptions!$D$40*(1+Assumptions!$D$66)</f>
        <v>25</v>
      </c>
      <c r="FB64" s="104">
        <f>Assumptions!$D$40*(1+Assumptions!$D$66)</f>
        <v>25</v>
      </c>
      <c r="FC64" s="104">
        <f>Assumptions!$D$40*(1+Assumptions!$D$66)</f>
        <v>25</v>
      </c>
      <c r="FD64" s="104">
        <f>Assumptions!$D$40*(1+Assumptions!$D$66)</f>
        <v>25</v>
      </c>
      <c r="FE64" s="104">
        <f>Assumptions!$D$40*(1+Assumptions!$D$66)</f>
        <v>25</v>
      </c>
      <c r="FF64" s="104">
        <f>Assumptions!$D$40*(1+Assumptions!$D$66)</f>
        <v>25</v>
      </c>
      <c r="FG64" s="104">
        <f>Assumptions!$D$40*(1+Assumptions!$D$66)</f>
        <v>25</v>
      </c>
      <c r="FH64" s="104">
        <f>Assumptions!$D$40*(1+Assumptions!$D$66)</f>
        <v>25</v>
      </c>
      <c r="FI64" s="104">
        <f>Assumptions!$D$40*(1+Assumptions!$D$66)</f>
        <v>25</v>
      </c>
      <c r="FJ64" s="104">
        <f>Assumptions!$D$40*(1+Assumptions!$D$66)</f>
        <v>25</v>
      </c>
      <c r="FK64" s="104">
        <f>Assumptions!$D$40*(1+Assumptions!$D$66)</f>
        <v>25</v>
      </c>
      <c r="FL64" s="104">
        <f>Assumptions!$D$40*(1+Assumptions!$D$66)</f>
        <v>25</v>
      </c>
      <c r="FM64" s="104">
        <f>Assumptions!$D$40*(1+Assumptions!$D$66)</f>
        <v>25</v>
      </c>
      <c r="FN64" s="104">
        <f>Assumptions!$D$40*(1+Assumptions!$D$66)</f>
        <v>25</v>
      </c>
      <c r="FO64" s="104">
        <f>Assumptions!$D$40*(1+Assumptions!$D$66)</f>
        <v>25</v>
      </c>
      <c r="FP64" s="104">
        <f>Assumptions!$D$40*(1+Assumptions!$D$66)</f>
        <v>25</v>
      </c>
      <c r="FQ64" s="104">
        <f>Assumptions!$D$40*(1+Assumptions!$D$66)</f>
        <v>25</v>
      </c>
      <c r="FR64" s="104">
        <f>Assumptions!$D$40*(1+Assumptions!$D$66)</f>
        <v>25</v>
      </c>
      <c r="FS64" s="104">
        <f>Assumptions!$D$40*(1+Assumptions!$D$66)</f>
        <v>25</v>
      </c>
      <c r="FT64" s="104">
        <f>Assumptions!$D$40*(1+Assumptions!$D$66)</f>
        <v>25</v>
      </c>
      <c r="FU64" s="104">
        <f>Assumptions!$D$40*(1+Assumptions!$D$66)</f>
        <v>25</v>
      </c>
      <c r="FV64" s="104">
        <f>Assumptions!$D$40*(1+Assumptions!$D$66)</f>
        <v>25</v>
      </c>
      <c r="FW64" s="104">
        <f>Assumptions!$D$40*(1+Assumptions!$D$66)</f>
        <v>25</v>
      </c>
      <c r="FX64" s="104">
        <f>Assumptions!$D$40*(1+Assumptions!$D$66)</f>
        <v>25</v>
      </c>
      <c r="FY64" s="104">
        <f>Assumptions!$D$40*(1+Assumptions!$D$66)</f>
        <v>25</v>
      </c>
      <c r="FZ64" s="104">
        <f>Assumptions!$D$40*(1+Assumptions!$D$66)</f>
        <v>25</v>
      </c>
      <c r="GA64" s="104">
        <f>Assumptions!$D$40*(1+Assumptions!$D$66)</f>
        <v>25</v>
      </c>
      <c r="GB64" s="104">
        <f>Assumptions!$D$40*(1+Assumptions!$D$66)</f>
        <v>25</v>
      </c>
      <c r="GC64" s="104">
        <f>Assumptions!$D$40*(1+Assumptions!$D$66)</f>
        <v>25</v>
      </c>
    </row>
    <row r="65" spans="1:185">
      <c r="A65" s="80"/>
      <c r="B65" s="80" t="s">
        <v>106</v>
      </c>
      <c r="C65" s="80"/>
      <c r="D65" s="80"/>
      <c r="E65" s="82"/>
      <c r="F65" s="105">
        <f>ROUNDUP(F23*Assumptions!$D$72,0)</f>
        <v>0</v>
      </c>
      <c r="G65" s="105">
        <f>ROUNDUP(G23*Assumptions!$D$72,0)</f>
        <v>0</v>
      </c>
      <c r="H65" s="105">
        <f>ROUNDUP(H23*Assumptions!$D$72,0)</f>
        <v>0</v>
      </c>
      <c r="I65" s="105">
        <f>ROUNDUP(I23*Assumptions!$D$72,0)</f>
        <v>0</v>
      </c>
      <c r="J65" s="105">
        <f>ROUNDUP(J23*Assumptions!$D$72,0)</f>
        <v>0</v>
      </c>
      <c r="K65" s="105">
        <f>ROUNDUP(K23*Assumptions!$D$72,0)</f>
        <v>0</v>
      </c>
      <c r="L65" s="105">
        <f>ROUNDUP(L23*Assumptions!$D$72,0)</f>
        <v>0</v>
      </c>
      <c r="M65" s="105">
        <f>ROUNDUP(M23*Assumptions!$D$72,0)</f>
        <v>3</v>
      </c>
      <c r="N65" s="105">
        <f>ROUNDUP(N23*Assumptions!$D$72,0)</f>
        <v>3</v>
      </c>
      <c r="O65" s="105">
        <f>ROUNDUP(O23*Assumptions!$D$72,0)</f>
        <v>3</v>
      </c>
      <c r="P65" s="105">
        <f>ROUNDUP(P23*Assumptions!$D$72,0)</f>
        <v>3</v>
      </c>
      <c r="Q65" s="105">
        <f>ROUNDUP(Q23*Assumptions!$D$72,0)</f>
        <v>3</v>
      </c>
      <c r="R65" s="105">
        <f>ROUNDUP(R23*Assumptions!$D$72,0)</f>
        <v>3</v>
      </c>
      <c r="S65" s="105">
        <f>ROUNDUP(S23*Assumptions!$D$72,0)</f>
        <v>3</v>
      </c>
      <c r="T65" s="105">
        <f>ROUNDUP(T23*Assumptions!$D$72,0)</f>
        <v>3</v>
      </c>
      <c r="U65" s="105">
        <f>ROUNDUP(U23*Assumptions!$D$72,0)</f>
        <v>3</v>
      </c>
      <c r="V65" s="105">
        <f>ROUNDUP(V23*Assumptions!$D$72,0)</f>
        <v>3</v>
      </c>
      <c r="W65" s="105">
        <f>ROUNDUP(W23*Assumptions!$D$72,0)</f>
        <v>3</v>
      </c>
      <c r="X65" s="105">
        <f>ROUNDUP(X23*Assumptions!$D$72,0)</f>
        <v>3</v>
      </c>
      <c r="Y65" s="105">
        <f>ROUNDUP(Y23*Assumptions!$D$72,0)</f>
        <v>3</v>
      </c>
      <c r="Z65" s="105">
        <f>ROUNDUP(Z23*Assumptions!$D$72,0)</f>
        <v>3</v>
      </c>
      <c r="AA65" s="105">
        <f>ROUNDUP(AA23*Assumptions!$D$72,0)</f>
        <v>3</v>
      </c>
      <c r="AB65" s="105">
        <f>ROUNDUP(AB23*Assumptions!$D$72,0)</f>
        <v>3</v>
      </c>
      <c r="AC65" s="105">
        <f>ROUNDUP(AC23*Assumptions!$D$72,0)</f>
        <v>3</v>
      </c>
      <c r="AD65" s="105">
        <f>ROUNDUP(AD23*Assumptions!$D$72,0)</f>
        <v>3</v>
      </c>
      <c r="AE65" s="105">
        <f>ROUNDUP(AE23*Assumptions!$D$72,0)</f>
        <v>3</v>
      </c>
      <c r="AF65" s="105">
        <f>ROUNDUP(AF23*Assumptions!$D$72,0)</f>
        <v>3</v>
      </c>
      <c r="AG65" s="105">
        <f>ROUNDUP(AG23*Assumptions!$D$72,0)</f>
        <v>3</v>
      </c>
      <c r="AH65" s="105">
        <f>ROUNDUP(AH23*Assumptions!$D$72,0)</f>
        <v>3</v>
      </c>
      <c r="AI65" s="105">
        <f>ROUNDUP(AI23*Assumptions!$D$72,0)</f>
        <v>3</v>
      </c>
      <c r="AJ65" s="105">
        <f>ROUNDUP(AJ23*Assumptions!$D$72,0)</f>
        <v>3</v>
      </c>
      <c r="AK65" s="105">
        <f>ROUNDUP(AK23*Assumptions!$D$72,0)</f>
        <v>3</v>
      </c>
      <c r="AL65" s="105">
        <f>ROUNDUP(AL23*Assumptions!$D$72,0)</f>
        <v>3</v>
      </c>
      <c r="AM65" s="105">
        <f>ROUNDUP(AM23*Assumptions!$D$72,0)</f>
        <v>3</v>
      </c>
      <c r="AN65" s="105">
        <f>ROUNDUP(AN23*Assumptions!$D$72,0)</f>
        <v>3</v>
      </c>
      <c r="AO65" s="105">
        <f>ROUNDUP(AO23*Assumptions!$D$72,0)</f>
        <v>3</v>
      </c>
      <c r="AP65" s="105">
        <f>ROUNDUP(AP23*Assumptions!$D$72,0)</f>
        <v>3</v>
      </c>
      <c r="AQ65" s="105">
        <f>ROUNDUP(AQ23*Assumptions!$D$72,0)</f>
        <v>3</v>
      </c>
      <c r="AR65" s="105">
        <f>ROUNDUP(AR23*Assumptions!$D$72,0)</f>
        <v>3</v>
      </c>
      <c r="AS65" s="105">
        <f>ROUNDUP(AS23*Assumptions!$D$72,0)</f>
        <v>3</v>
      </c>
      <c r="AT65" s="105">
        <f>ROUNDUP(AT23*Assumptions!$D$72,0)</f>
        <v>3</v>
      </c>
      <c r="AU65" s="105">
        <f>ROUNDUP(AU23*Assumptions!$D$72,0)</f>
        <v>3</v>
      </c>
      <c r="AV65" s="105">
        <f>ROUNDUP(AV23*Assumptions!$D$72,0)</f>
        <v>3</v>
      </c>
      <c r="AW65" s="105">
        <f>ROUNDUP(AW23*Assumptions!$D$72,0)</f>
        <v>3</v>
      </c>
      <c r="AX65" s="105">
        <f>ROUNDUP(AX23*Assumptions!$D$72,0)</f>
        <v>3</v>
      </c>
      <c r="AY65" s="105">
        <f>ROUNDUP(AY23*Assumptions!$D$72,0)</f>
        <v>3</v>
      </c>
      <c r="AZ65" s="105">
        <f>ROUNDUP(AZ23*Assumptions!$D$72,0)</f>
        <v>3</v>
      </c>
      <c r="BA65" s="105">
        <f>ROUNDUP(BA23*Assumptions!$D$72,0)</f>
        <v>3</v>
      </c>
      <c r="BB65" s="105">
        <f>ROUNDUP(BB23*Assumptions!$D$72,0)</f>
        <v>3</v>
      </c>
      <c r="BC65" s="105">
        <f>ROUNDUP(BC23*Assumptions!$D$72,0)</f>
        <v>3</v>
      </c>
      <c r="BD65" s="105">
        <f>ROUNDUP(BD23*Assumptions!$D$72,0)</f>
        <v>3</v>
      </c>
      <c r="BE65" s="105">
        <f>ROUNDUP(BE23*Assumptions!$D$72,0)</f>
        <v>3</v>
      </c>
      <c r="BF65" s="105">
        <f>ROUNDUP(BF23*Assumptions!$D$72,0)</f>
        <v>3</v>
      </c>
      <c r="BG65" s="105">
        <f>ROUNDUP(BG23*Assumptions!$D$72,0)</f>
        <v>3</v>
      </c>
      <c r="BH65" s="105">
        <f>ROUNDUP(BH23*Assumptions!$D$72,0)</f>
        <v>3</v>
      </c>
      <c r="BI65" s="105">
        <f>ROUNDUP(BI23*Assumptions!$D$72,0)</f>
        <v>3</v>
      </c>
      <c r="BJ65" s="105">
        <f>ROUNDUP(BJ23*Assumptions!$D$72,0)</f>
        <v>3</v>
      </c>
      <c r="BK65" s="105">
        <f>ROUNDUP(BK23*Assumptions!$D$72,0)</f>
        <v>3</v>
      </c>
      <c r="BL65" s="105">
        <f>ROUNDUP(BL23*Assumptions!$D$72,0)</f>
        <v>3</v>
      </c>
      <c r="BM65" s="105">
        <f>ROUNDUP(BM23*Assumptions!$D$72,0)</f>
        <v>3</v>
      </c>
      <c r="BN65" s="105">
        <f>ROUNDUP(BN23*Assumptions!$D$72,0)</f>
        <v>3</v>
      </c>
      <c r="BO65" s="105">
        <f>ROUNDUP(BO23*Assumptions!$D$72,0)</f>
        <v>3</v>
      </c>
      <c r="BP65" s="105">
        <f>ROUNDUP(BP23*Assumptions!$D$72,0)</f>
        <v>3</v>
      </c>
      <c r="BQ65" s="105">
        <f>ROUNDUP(BQ23*Assumptions!$D$72,0)</f>
        <v>3</v>
      </c>
      <c r="BR65" s="105">
        <f>ROUNDUP(BR23*Assumptions!$D$72,0)</f>
        <v>3</v>
      </c>
      <c r="BS65" s="105">
        <f>ROUNDUP(BS23*Assumptions!$D$72,0)</f>
        <v>3</v>
      </c>
      <c r="BT65" s="105">
        <f>ROUNDUP(BT23*Assumptions!$D$72,0)</f>
        <v>3</v>
      </c>
      <c r="BU65" s="105">
        <f>ROUNDUP(BU23*Assumptions!$D$72,0)</f>
        <v>3</v>
      </c>
      <c r="BV65" s="105">
        <f>ROUNDUP(BV23*Assumptions!$D$72,0)</f>
        <v>3</v>
      </c>
      <c r="BW65" s="105">
        <f>ROUNDUP(BW23*Assumptions!$D$72,0)</f>
        <v>3</v>
      </c>
      <c r="BX65" s="105">
        <f>ROUNDUP(BX23*Assumptions!$D$72,0)</f>
        <v>3</v>
      </c>
      <c r="BY65" s="105">
        <f>ROUNDUP(BY23*Assumptions!$D$72,0)</f>
        <v>3</v>
      </c>
      <c r="BZ65" s="105">
        <f>ROUNDUP(BZ23*Assumptions!$D$72,0)</f>
        <v>3</v>
      </c>
      <c r="CA65" s="105">
        <f>ROUNDUP(CA23*Assumptions!$D$72,0)</f>
        <v>3</v>
      </c>
      <c r="CB65" s="105">
        <f>ROUNDUP(CB23*Assumptions!$D$72,0)</f>
        <v>3</v>
      </c>
      <c r="CC65" s="105">
        <f>ROUNDUP(CC23*Assumptions!$D$72,0)</f>
        <v>3</v>
      </c>
      <c r="CD65" s="105">
        <f>ROUNDUP(CD23*Assumptions!$D$72,0)</f>
        <v>3</v>
      </c>
      <c r="CE65" s="105">
        <f>ROUNDUP(CE23*Assumptions!$D$72,0)</f>
        <v>3</v>
      </c>
      <c r="CF65" s="105">
        <f>ROUNDUP(CF23*Assumptions!$D$72,0)</f>
        <v>3</v>
      </c>
      <c r="CG65" s="105">
        <f>ROUNDUP(CG23*Assumptions!$D$72,0)</f>
        <v>3</v>
      </c>
      <c r="CH65" s="105">
        <f>ROUNDUP(CH23*Assumptions!$D$72,0)</f>
        <v>3</v>
      </c>
      <c r="CI65" s="105">
        <f>ROUNDUP(CI23*Assumptions!$D$72,0)</f>
        <v>3</v>
      </c>
      <c r="CJ65" s="105">
        <f>ROUNDUP(CJ23*Assumptions!$D$72,0)</f>
        <v>3</v>
      </c>
      <c r="CK65" s="105">
        <f>ROUNDUP(CK23*Assumptions!$D$72,0)</f>
        <v>3</v>
      </c>
      <c r="CL65" s="105">
        <f>ROUNDUP(CL23*Assumptions!$D$72,0)</f>
        <v>3</v>
      </c>
      <c r="CM65" s="105">
        <f>ROUNDUP(CM23*Assumptions!$D$72,0)</f>
        <v>3</v>
      </c>
      <c r="CN65" s="105">
        <f>ROUNDUP(CN23*Assumptions!$D$72,0)</f>
        <v>3</v>
      </c>
      <c r="CO65" s="105">
        <f>ROUNDUP(CO23*Assumptions!$D$72,0)</f>
        <v>3</v>
      </c>
      <c r="CP65" s="105">
        <f>ROUNDUP(CP23*Assumptions!$D$72,0)</f>
        <v>3</v>
      </c>
      <c r="CQ65" s="105">
        <f>ROUNDUP(CQ23*Assumptions!$D$72,0)</f>
        <v>3</v>
      </c>
      <c r="CR65" s="105">
        <f>ROUNDUP(CR23*Assumptions!$D$72,0)</f>
        <v>3</v>
      </c>
      <c r="CS65" s="105">
        <f>ROUNDUP(CS23*Assumptions!$D$72,0)</f>
        <v>3</v>
      </c>
      <c r="CT65" s="105">
        <f>ROUNDUP(CT23*Assumptions!$D$72,0)</f>
        <v>3</v>
      </c>
      <c r="CU65" s="105">
        <f>ROUNDUP(CU23*Assumptions!$D$72,0)</f>
        <v>3</v>
      </c>
      <c r="CV65" s="105">
        <f>ROUNDUP(CV23*Assumptions!$D$72,0)</f>
        <v>3</v>
      </c>
      <c r="CW65" s="105">
        <f>ROUNDUP(CW23*Assumptions!$D$72,0)</f>
        <v>3</v>
      </c>
      <c r="CX65" s="105">
        <f>ROUNDUP(CX23*Assumptions!$D$72,0)</f>
        <v>3</v>
      </c>
      <c r="CY65" s="105">
        <f>ROUNDUP(CY23*Assumptions!$D$72,0)</f>
        <v>3</v>
      </c>
      <c r="CZ65" s="105">
        <f>ROUNDUP(CZ23*Assumptions!$D$72,0)</f>
        <v>3</v>
      </c>
      <c r="DA65" s="105">
        <f>ROUNDUP(DA23*Assumptions!$D$72,0)</f>
        <v>3</v>
      </c>
      <c r="DB65" s="105">
        <f>ROUNDUP(DB23*Assumptions!$D$72,0)</f>
        <v>3</v>
      </c>
      <c r="DC65" s="105">
        <f>ROUNDUP(DC23*Assumptions!$D$72,0)</f>
        <v>3</v>
      </c>
      <c r="DD65" s="105">
        <f>ROUNDUP(DD23*Assumptions!$D$72,0)</f>
        <v>3</v>
      </c>
      <c r="DE65" s="105">
        <f>ROUNDUP(DE23*Assumptions!$D$72,0)</f>
        <v>3</v>
      </c>
      <c r="DF65" s="105">
        <f>ROUNDUP(DF23*Assumptions!$D$72,0)</f>
        <v>3</v>
      </c>
      <c r="DG65" s="105">
        <f>ROUNDUP(DG23*Assumptions!$D$72,0)</f>
        <v>3</v>
      </c>
      <c r="DH65" s="105">
        <f>ROUNDUP(DH23*Assumptions!$D$72,0)</f>
        <v>3</v>
      </c>
      <c r="DI65" s="105">
        <f>ROUNDUP(DI23*Assumptions!$D$72,0)</f>
        <v>3</v>
      </c>
      <c r="DJ65" s="105">
        <f>ROUNDUP(DJ23*Assumptions!$D$72,0)</f>
        <v>3</v>
      </c>
      <c r="DK65" s="105">
        <f>ROUNDUP(DK23*Assumptions!$D$72,0)</f>
        <v>3</v>
      </c>
      <c r="DL65" s="105">
        <f>ROUNDUP(DL23*Assumptions!$D$72,0)</f>
        <v>3</v>
      </c>
      <c r="DM65" s="105">
        <f>ROUNDUP(DM23*Assumptions!$D$72,0)</f>
        <v>3</v>
      </c>
      <c r="DN65" s="105">
        <f>ROUNDUP(DN23*Assumptions!$D$72,0)</f>
        <v>3</v>
      </c>
      <c r="DO65" s="105">
        <f>ROUNDUP(DO23*Assumptions!$D$72,0)</f>
        <v>3</v>
      </c>
      <c r="DP65" s="105">
        <f>ROUNDUP(DP23*Assumptions!$D$72,0)</f>
        <v>3</v>
      </c>
      <c r="DQ65" s="105">
        <f>ROUNDUP(DQ23*Assumptions!$D$72,0)</f>
        <v>3</v>
      </c>
      <c r="DR65" s="105">
        <f>ROUNDUP(DR23*Assumptions!$D$72,0)</f>
        <v>3</v>
      </c>
      <c r="DS65" s="105">
        <f>ROUNDUP(DS23*Assumptions!$D$72,0)</f>
        <v>3</v>
      </c>
      <c r="DT65" s="105">
        <f>ROUNDUP(DT23*Assumptions!$D$72,0)</f>
        <v>3</v>
      </c>
      <c r="DU65" s="105">
        <f>ROUNDUP(DU23*Assumptions!$D$72,0)</f>
        <v>3</v>
      </c>
      <c r="DV65" s="105">
        <f>ROUNDUP(DV23*Assumptions!$D$72,0)</f>
        <v>3</v>
      </c>
      <c r="DW65" s="105">
        <f>ROUNDUP(DW23*Assumptions!$D$72,0)</f>
        <v>3</v>
      </c>
      <c r="DX65" s="105">
        <f>ROUNDUP(DX23*Assumptions!$D$72,0)</f>
        <v>3</v>
      </c>
      <c r="DY65" s="105">
        <f>ROUNDUP(DY23*Assumptions!$D$72,0)</f>
        <v>3</v>
      </c>
      <c r="DZ65" s="105">
        <f>ROUNDUP(DZ23*Assumptions!$D$72,0)</f>
        <v>3</v>
      </c>
      <c r="EA65" s="105">
        <f>ROUNDUP(EA23*Assumptions!$D$72,0)</f>
        <v>3</v>
      </c>
      <c r="EB65" s="105">
        <f>ROUNDUP(EB23*Assumptions!$D$72,0)</f>
        <v>3</v>
      </c>
      <c r="EC65" s="105">
        <f>ROUNDUP(EC23*Assumptions!$D$72,0)</f>
        <v>3</v>
      </c>
      <c r="ED65" s="105">
        <f>ROUNDUP(ED23*Assumptions!$D$72,0)</f>
        <v>3</v>
      </c>
      <c r="EE65" s="105">
        <f>ROUNDUP(EE23*Assumptions!$D$72,0)</f>
        <v>3</v>
      </c>
      <c r="EF65" s="105">
        <f>ROUNDUP(EF23*Assumptions!$D$72,0)</f>
        <v>3</v>
      </c>
      <c r="EG65" s="105">
        <f>ROUNDUP(EG23*Assumptions!$D$72,0)</f>
        <v>3</v>
      </c>
      <c r="EH65" s="105">
        <f>ROUNDUP(EH23*Assumptions!$D$72,0)</f>
        <v>3</v>
      </c>
      <c r="EI65" s="105">
        <f>ROUNDUP(EI23*Assumptions!$D$72,0)</f>
        <v>3</v>
      </c>
      <c r="EJ65" s="105">
        <f>ROUNDUP(EJ23*Assumptions!$D$72,0)</f>
        <v>3</v>
      </c>
      <c r="EK65" s="105">
        <f>ROUNDUP(EK23*Assumptions!$D$72,0)</f>
        <v>3</v>
      </c>
      <c r="EL65" s="105">
        <f>ROUNDUP(EL23*Assumptions!$D$72,0)</f>
        <v>3</v>
      </c>
      <c r="EM65" s="105">
        <f>ROUNDUP(EM23*Assumptions!$D$72,0)</f>
        <v>3</v>
      </c>
      <c r="EN65" s="105">
        <f>ROUNDUP(EN23*Assumptions!$D$72,0)</f>
        <v>3</v>
      </c>
      <c r="EO65" s="105">
        <f>ROUNDUP(EO23*Assumptions!$D$72,0)</f>
        <v>3</v>
      </c>
      <c r="EP65" s="105">
        <f>ROUNDUP(EP23*Assumptions!$D$72,0)</f>
        <v>3</v>
      </c>
      <c r="EQ65" s="105">
        <f>ROUNDUP(EQ23*Assumptions!$D$72,0)</f>
        <v>3</v>
      </c>
      <c r="ER65" s="105">
        <f>ROUNDUP(ER23*Assumptions!$D$72,0)</f>
        <v>3</v>
      </c>
      <c r="ES65" s="105">
        <f>ROUNDUP(ES23*Assumptions!$D$72,0)</f>
        <v>3</v>
      </c>
      <c r="ET65" s="105">
        <f>ROUNDUP(ET23*Assumptions!$D$72,0)</f>
        <v>3</v>
      </c>
      <c r="EU65" s="105">
        <f>ROUNDUP(EU23*Assumptions!$D$72,0)</f>
        <v>3</v>
      </c>
      <c r="EV65" s="105">
        <f>ROUNDUP(EV23*Assumptions!$D$72,0)</f>
        <v>3</v>
      </c>
      <c r="EW65" s="105">
        <f>ROUNDUP(EW23*Assumptions!$D$72,0)</f>
        <v>3</v>
      </c>
      <c r="EX65" s="105">
        <f>ROUNDUP(EX23*Assumptions!$D$72,0)</f>
        <v>3</v>
      </c>
      <c r="EY65" s="105">
        <f>ROUNDUP(EY23*Assumptions!$D$72,0)</f>
        <v>3</v>
      </c>
      <c r="EZ65" s="105">
        <f>ROUNDUP(EZ23*Assumptions!$D$72,0)</f>
        <v>3</v>
      </c>
      <c r="FA65" s="105">
        <f>ROUNDUP(FA23*Assumptions!$D$72,0)</f>
        <v>3</v>
      </c>
      <c r="FB65" s="105">
        <f>ROUNDUP(FB23*Assumptions!$D$72,0)</f>
        <v>3</v>
      </c>
      <c r="FC65" s="105">
        <f>ROUNDUP(FC23*Assumptions!$D$72,0)</f>
        <v>3</v>
      </c>
      <c r="FD65" s="105">
        <f>ROUNDUP(FD23*Assumptions!$D$72,0)</f>
        <v>3</v>
      </c>
      <c r="FE65" s="105">
        <f>ROUNDUP(FE23*Assumptions!$D$72,0)</f>
        <v>3</v>
      </c>
      <c r="FF65" s="105">
        <f>ROUNDUP(FF23*Assumptions!$D$72,0)</f>
        <v>3</v>
      </c>
      <c r="FG65" s="105">
        <f>ROUNDUP(FG23*Assumptions!$D$72,0)</f>
        <v>3</v>
      </c>
      <c r="FH65" s="105">
        <f>ROUNDUP(FH23*Assumptions!$D$72,0)</f>
        <v>3</v>
      </c>
      <c r="FI65" s="105">
        <f>ROUNDUP(FI23*Assumptions!$D$72,0)</f>
        <v>3</v>
      </c>
      <c r="FJ65" s="105">
        <f>ROUNDUP(FJ23*Assumptions!$D$72,0)</f>
        <v>3</v>
      </c>
      <c r="FK65" s="105">
        <f>ROUNDUP(FK23*Assumptions!$D$72,0)</f>
        <v>3</v>
      </c>
      <c r="FL65" s="105">
        <f>ROUNDUP(FL23*Assumptions!$D$72,0)</f>
        <v>3</v>
      </c>
      <c r="FM65" s="105">
        <f>ROUNDUP(FM23*Assumptions!$D$72,0)</f>
        <v>3</v>
      </c>
      <c r="FN65" s="105">
        <f>ROUNDUP(FN23*Assumptions!$D$72,0)</f>
        <v>3</v>
      </c>
      <c r="FO65" s="105">
        <f>ROUNDUP(FO23*Assumptions!$D$72,0)</f>
        <v>3</v>
      </c>
      <c r="FP65" s="105">
        <f>ROUNDUP(FP23*Assumptions!$D$72,0)</f>
        <v>3</v>
      </c>
      <c r="FQ65" s="105">
        <f>ROUNDUP(FQ23*Assumptions!$D$72,0)</f>
        <v>3</v>
      </c>
      <c r="FR65" s="105">
        <f>ROUNDUP(FR23*Assumptions!$D$72,0)</f>
        <v>3</v>
      </c>
      <c r="FS65" s="105">
        <f>ROUNDUP(FS23*Assumptions!$D$72,0)</f>
        <v>3</v>
      </c>
      <c r="FT65" s="105">
        <f>ROUNDUP(FT23*Assumptions!$D$72,0)</f>
        <v>3</v>
      </c>
      <c r="FU65" s="105">
        <f>ROUNDUP(FU23*Assumptions!$D$72,0)</f>
        <v>3</v>
      </c>
      <c r="FV65" s="105">
        <f>ROUNDUP(FV23*Assumptions!$D$72,0)</f>
        <v>3</v>
      </c>
      <c r="FW65" s="105">
        <f>ROUNDUP(FW23*Assumptions!$D$72,0)</f>
        <v>3</v>
      </c>
      <c r="FX65" s="105">
        <f>ROUNDUP(FX23*Assumptions!$D$72,0)</f>
        <v>3</v>
      </c>
      <c r="FY65" s="105">
        <f>ROUNDUP(FY23*Assumptions!$D$72,0)</f>
        <v>3</v>
      </c>
      <c r="FZ65" s="105">
        <f>ROUNDUP(FZ23*Assumptions!$D$72,0)</f>
        <v>3</v>
      </c>
      <c r="GA65" s="105">
        <f>ROUNDUP(GA23*Assumptions!$D$72,0)</f>
        <v>3</v>
      </c>
      <c r="GB65" s="105">
        <f>ROUNDUP(GB23*Assumptions!$D$72,0)</f>
        <v>3</v>
      </c>
      <c r="GC65" s="105">
        <f>ROUNDUP(GC23*Assumptions!$D$72,0)</f>
        <v>3</v>
      </c>
    </row>
    <row r="66" spans="1:185">
      <c r="A66" s="10" t="s">
        <v>110</v>
      </c>
      <c r="B66" s="80"/>
      <c r="C66" s="80"/>
      <c r="D66" s="80"/>
      <c r="E66" s="82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  <c r="CQ66" s="106"/>
      <c r="CR66" s="106"/>
      <c r="CS66" s="106"/>
      <c r="CT66" s="106"/>
      <c r="CU66" s="106"/>
      <c r="CV66" s="106"/>
      <c r="CW66" s="106"/>
      <c r="CX66" s="106"/>
      <c r="CY66" s="106"/>
      <c r="CZ66" s="106"/>
      <c r="DA66" s="106"/>
      <c r="DB66" s="106"/>
      <c r="DC66" s="106"/>
      <c r="DD66" s="106"/>
      <c r="DE66" s="106"/>
      <c r="DF66" s="106"/>
      <c r="DG66" s="106"/>
      <c r="DH66" s="106"/>
      <c r="DI66" s="106"/>
      <c r="DJ66" s="106"/>
      <c r="DK66" s="106"/>
      <c r="DL66" s="106"/>
      <c r="DM66" s="106"/>
      <c r="DN66" s="106"/>
      <c r="DO66" s="106"/>
      <c r="DP66" s="106"/>
      <c r="DQ66" s="106"/>
      <c r="DR66" s="106"/>
      <c r="DS66" s="106"/>
      <c r="DT66" s="106"/>
      <c r="DU66" s="106"/>
      <c r="DV66" s="106"/>
      <c r="DW66" s="106"/>
      <c r="DX66" s="106"/>
      <c r="DY66" s="106"/>
      <c r="DZ66" s="106"/>
      <c r="EA66" s="106"/>
      <c r="EB66" s="106"/>
      <c r="EC66" s="106"/>
      <c r="ED66" s="106"/>
      <c r="EE66" s="106"/>
      <c r="EF66" s="106"/>
      <c r="EG66" s="106"/>
      <c r="EH66" s="106"/>
      <c r="EI66" s="106"/>
      <c r="EJ66" s="106"/>
      <c r="EK66" s="106"/>
      <c r="EL66" s="106"/>
      <c r="EM66" s="106"/>
      <c r="EN66" s="106"/>
      <c r="EO66" s="106"/>
      <c r="EP66" s="106"/>
      <c r="EQ66" s="106"/>
      <c r="ER66" s="106"/>
      <c r="ES66" s="106"/>
      <c r="ET66" s="106"/>
      <c r="EU66" s="106"/>
      <c r="EV66" s="106"/>
      <c r="EW66" s="106"/>
      <c r="EX66" s="106"/>
      <c r="EY66" s="106"/>
      <c r="EZ66" s="106"/>
      <c r="FA66" s="106"/>
      <c r="FB66" s="106"/>
      <c r="FC66" s="106"/>
      <c r="FD66" s="106"/>
      <c r="FE66" s="106"/>
      <c r="FF66" s="106"/>
      <c r="FG66" s="106"/>
      <c r="FH66" s="106"/>
      <c r="FI66" s="106"/>
      <c r="FJ66" s="106"/>
      <c r="FK66" s="106"/>
      <c r="FL66" s="106"/>
      <c r="FM66" s="106"/>
      <c r="FN66" s="106"/>
      <c r="FO66" s="106"/>
      <c r="FP66" s="106"/>
      <c r="FQ66" s="106"/>
      <c r="FR66" s="106"/>
      <c r="FS66" s="106"/>
      <c r="FT66" s="106"/>
      <c r="FU66" s="106"/>
      <c r="FV66" s="106"/>
      <c r="FW66" s="106"/>
      <c r="FX66" s="106"/>
      <c r="FY66" s="106"/>
      <c r="FZ66" s="106"/>
      <c r="GA66" s="106"/>
      <c r="GB66" s="106"/>
      <c r="GC66" s="106"/>
    </row>
    <row r="67" spans="1:185">
      <c r="A67" s="80"/>
      <c r="B67" s="80" t="s">
        <v>105</v>
      </c>
      <c r="C67" s="80"/>
      <c r="D67" s="80"/>
      <c r="E67" s="82"/>
      <c r="F67" s="104">
        <f>F58</f>
        <v>65</v>
      </c>
      <c r="G67" s="104">
        <f t="shared" ref="G67:BR67" si="37">G58</f>
        <v>65</v>
      </c>
      <c r="H67" s="104">
        <f t="shared" si="37"/>
        <v>65</v>
      </c>
      <c r="I67" s="104">
        <f t="shared" si="37"/>
        <v>65</v>
      </c>
      <c r="J67" s="104">
        <f t="shared" si="37"/>
        <v>65</v>
      </c>
      <c r="K67" s="104">
        <f t="shared" si="37"/>
        <v>65</v>
      </c>
      <c r="L67" s="104">
        <f t="shared" si="37"/>
        <v>65</v>
      </c>
      <c r="M67" s="104">
        <f t="shared" si="37"/>
        <v>65</v>
      </c>
      <c r="N67" s="104">
        <f t="shared" si="37"/>
        <v>65</v>
      </c>
      <c r="O67" s="104">
        <f t="shared" si="37"/>
        <v>65</v>
      </c>
      <c r="P67" s="104">
        <f t="shared" si="37"/>
        <v>65</v>
      </c>
      <c r="Q67" s="104">
        <f t="shared" si="37"/>
        <v>65</v>
      </c>
      <c r="R67" s="104">
        <f t="shared" si="37"/>
        <v>65</v>
      </c>
      <c r="S67" s="104">
        <f t="shared" si="37"/>
        <v>65</v>
      </c>
      <c r="T67" s="104">
        <f t="shared" si="37"/>
        <v>65</v>
      </c>
      <c r="U67" s="104">
        <f t="shared" si="37"/>
        <v>65</v>
      </c>
      <c r="V67" s="104">
        <f t="shared" si="37"/>
        <v>65</v>
      </c>
      <c r="W67" s="104">
        <f t="shared" si="37"/>
        <v>65</v>
      </c>
      <c r="X67" s="104">
        <f t="shared" si="37"/>
        <v>65</v>
      </c>
      <c r="Y67" s="104">
        <f t="shared" si="37"/>
        <v>65</v>
      </c>
      <c r="Z67" s="104">
        <f t="shared" si="37"/>
        <v>65</v>
      </c>
      <c r="AA67" s="104">
        <f t="shared" si="37"/>
        <v>65</v>
      </c>
      <c r="AB67" s="104">
        <f t="shared" si="37"/>
        <v>65</v>
      </c>
      <c r="AC67" s="104">
        <f t="shared" si="37"/>
        <v>65</v>
      </c>
      <c r="AD67" s="104">
        <f t="shared" si="37"/>
        <v>65</v>
      </c>
      <c r="AE67" s="104">
        <f t="shared" si="37"/>
        <v>65</v>
      </c>
      <c r="AF67" s="104">
        <f t="shared" si="37"/>
        <v>65</v>
      </c>
      <c r="AG67" s="104">
        <f t="shared" si="37"/>
        <v>65</v>
      </c>
      <c r="AH67" s="104">
        <f t="shared" si="37"/>
        <v>65</v>
      </c>
      <c r="AI67" s="104">
        <f t="shared" si="37"/>
        <v>65</v>
      </c>
      <c r="AJ67" s="104">
        <f t="shared" si="37"/>
        <v>65</v>
      </c>
      <c r="AK67" s="104">
        <f t="shared" si="37"/>
        <v>65</v>
      </c>
      <c r="AL67" s="104">
        <f t="shared" si="37"/>
        <v>65</v>
      </c>
      <c r="AM67" s="104">
        <f t="shared" si="37"/>
        <v>65</v>
      </c>
      <c r="AN67" s="104">
        <f t="shared" si="37"/>
        <v>65</v>
      </c>
      <c r="AO67" s="104">
        <f t="shared" si="37"/>
        <v>65</v>
      </c>
      <c r="AP67" s="104">
        <f t="shared" si="37"/>
        <v>65</v>
      </c>
      <c r="AQ67" s="104">
        <f t="shared" si="37"/>
        <v>65</v>
      </c>
      <c r="AR67" s="104">
        <f t="shared" si="37"/>
        <v>65</v>
      </c>
      <c r="AS67" s="104">
        <f t="shared" si="37"/>
        <v>65</v>
      </c>
      <c r="AT67" s="104">
        <f t="shared" si="37"/>
        <v>65</v>
      </c>
      <c r="AU67" s="104">
        <f t="shared" si="37"/>
        <v>65</v>
      </c>
      <c r="AV67" s="104">
        <f t="shared" si="37"/>
        <v>65</v>
      </c>
      <c r="AW67" s="104">
        <f t="shared" si="37"/>
        <v>65</v>
      </c>
      <c r="AX67" s="104">
        <f t="shared" si="37"/>
        <v>65</v>
      </c>
      <c r="AY67" s="104">
        <f t="shared" si="37"/>
        <v>65</v>
      </c>
      <c r="AZ67" s="104">
        <f t="shared" si="37"/>
        <v>65</v>
      </c>
      <c r="BA67" s="104">
        <f t="shared" si="37"/>
        <v>65</v>
      </c>
      <c r="BB67" s="104">
        <f t="shared" si="37"/>
        <v>65</v>
      </c>
      <c r="BC67" s="104">
        <f t="shared" si="37"/>
        <v>65</v>
      </c>
      <c r="BD67" s="104">
        <f t="shared" si="37"/>
        <v>65</v>
      </c>
      <c r="BE67" s="104">
        <f t="shared" si="37"/>
        <v>65</v>
      </c>
      <c r="BF67" s="104">
        <f t="shared" si="37"/>
        <v>65</v>
      </c>
      <c r="BG67" s="104">
        <f t="shared" si="37"/>
        <v>65</v>
      </c>
      <c r="BH67" s="104">
        <f t="shared" si="37"/>
        <v>65</v>
      </c>
      <c r="BI67" s="104">
        <f t="shared" si="37"/>
        <v>65</v>
      </c>
      <c r="BJ67" s="104">
        <f t="shared" si="37"/>
        <v>65</v>
      </c>
      <c r="BK67" s="104">
        <f t="shared" si="37"/>
        <v>65</v>
      </c>
      <c r="BL67" s="104">
        <f t="shared" si="37"/>
        <v>65</v>
      </c>
      <c r="BM67" s="104">
        <f t="shared" si="37"/>
        <v>65</v>
      </c>
      <c r="BN67" s="104">
        <f t="shared" si="37"/>
        <v>65</v>
      </c>
      <c r="BO67" s="104">
        <f t="shared" si="37"/>
        <v>65</v>
      </c>
      <c r="BP67" s="104">
        <f t="shared" si="37"/>
        <v>65</v>
      </c>
      <c r="BQ67" s="104">
        <f t="shared" si="37"/>
        <v>65</v>
      </c>
      <c r="BR67" s="104">
        <f t="shared" si="37"/>
        <v>65</v>
      </c>
      <c r="BS67" s="104">
        <f t="shared" ref="BS67:ED67" si="38">BS58</f>
        <v>65</v>
      </c>
      <c r="BT67" s="104">
        <f t="shared" si="38"/>
        <v>65</v>
      </c>
      <c r="BU67" s="104">
        <f t="shared" si="38"/>
        <v>65</v>
      </c>
      <c r="BV67" s="104">
        <f t="shared" si="38"/>
        <v>65</v>
      </c>
      <c r="BW67" s="104">
        <f t="shared" si="38"/>
        <v>65</v>
      </c>
      <c r="BX67" s="104">
        <f t="shared" si="38"/>
        <v>65</v>
      </c>
      <c r="BY67" s="104">
        <f t="shared" si="38"/>
        <v>65</v>
      </c>
      <c r="BZ67" s="104">
        <f t="shared" si="38"/>
        <v>65</v>
      </c>
      <c r="CA67" s="104">
        <f t="shared" si="38"/>
        <v>65</v>
      </c>
      <c r="CB67" s="104">
        <f t="shared" si="38"/>
        <v>65</v>
      </c>
      <c r="CC67" s="104">
        <f t="shared" si="38"/>
        <v>65</v>
      </c>
      <c r="CD67" s="104">
        <f t="shared" si="38"/>
        <v>65</v>
      </c>
      <c r="CE67" s="104">
        <f t="shared" si="38"/>
        <v>65</v>
      </c>
      <c r="CF67" s="104">
        <f t="shared" si="38"/>
        <v>65</v>
      </c>
      <c r="CG67" s="104">
        <f t="shared" si="38"/>
        <v>65</v>
      </c>
      <c r="CH67" s="104">
        <f t="shared" si="38"/>
        <v>65</v>
      </c>
      <c r="CI67" s="104">
        <f t="shared" si="38"/>
        <v>65</v>
      </c>
      <c r="CJ67" s="104">
        <f t="shared" si="38"/>
        <v>65</v>
      </c>
      <c r="CK67" s="104">
        <f t="shared" si="38"/>
        <v>65</v>
      </c>
      <c r="CL67" s="104">
        <f t="shared" si="38"/>
        <v>65</v>
      </c>
      <c r="CM67" s="104">
        <f t="shared" si="38"/>
        <v>65</v>
      </c>
      <c r="CN67" s="104">
        <f t="shared" si="38"/>
        <v>65</v>
      </c>
      <c r="CO67" s="104">
        <f t="shared" si="38"/>
        <v>65</v>
      </c>
      <c r="CP67" s="104">
        <f t="shared" si="38"/>
        <v>65</v>
      </c>
      <c r="CQ67" s="104">
        <f t="shared" si="38"/>
        <v>65</v>
      </c>
      <c r="CR67" s="104">
        <f t="shared" si="38"/>
        <v>65</v>
      </c>
      <c r="CS67" s="104">
        <f t="shared" si="38"/>
        <v>65</v>
      </c>
      <c r="CT67" s="104">
        <f t="shared" si="38"/>
        <v>65</v>
      </c>
      <c r="CU67" s="104">
        <f t="shared" si="38"/>
        <v>65</v>
      </c>
      <c r="CV67" s="104">
        <f t="shared" si="38"/>
        <v>65</v>
      </c>
      <c r="CW67" s="104">
        <f t="shared" si="38"/>
        <v>65</v>
      </c>
      <c r="CX67" s="104">
        <f t="shared" si="38"/>
        <v>65</v>
      </c>
      <c r="CY67" s="104">
        <f t="shared" si="38"/>
        <v>65</v>
      </c>
      <c r="CZ67" s="104">
        <f t="shared" si="38"/>
        <v>65</v>
      </c>
      <c r="DA67" s="104">
        <f t="shared" si="38"/>
        <v>65</v>
      </c>
      <c r="DB67" s="104">
        <f t="shared" si="38"/>
        <v>65</v>
      </c>
      <c r="DC67" s="104">
        <f t="shared" si="38"/>
        <v>65</v>
      </c>
      <c r="DD67" s="104">
        <f t="shared" si="38"/>
        <v>65</v>
      </c>
      <c r="DE67" s="104">
        <f t="shared" si="38"/>
        <v>65</v>
      </c>
      <c r="DF67" s="104">
        <f t="shared" si="38"/>
        <v>65</v>
      </c>
      <c r="DG67" s="104">
        <f t="shared" si="38"/>
        <v>65</v>
      </c>
      <c r="DH67" s="104">
        <f t="shared" si="38"/>
        <v>65</v>
      </c>
      <c r="DI67" s="104">
        <f t="shared" si="38"/>
        <v>65</v>
      </c>
      <c r="DJ67" s="104">
        <f t="shared" si="38"/>
        <v>65</v>
      </c>
      <c r="DK67" s="104">
        <f t="shared" si="38"/>
        <v>65</v>
      </c>
      <c r="DL67" s="104">
        <f t="shared" si="38"/>
        <v>65</v>
      </c>
      <c r="DM67" s="104">
        <f t="shared" si="38"/>
        <v>65</v>
      </c>
      <c r="DN67" s="104">
        <f t="shared" si="38"/>
        <v>65</v>
      </c>
      <c r="DO67" s="104">
        <f t="shared" si="38"/>
        <v>65</v>
      </c>
      <c r="DP67" s="104">
        <f t="shared" si="38"/>
        <v>65</v>
      </c>
      <c r="DQ67" s="104">
        <f t="shared" si="38"/>
        <v>65</v>
      </c>
      <c r="DR67" s="104">
        <f t="shared" si="38"/>
        <v>65</v>
      </c>
      <c r="DS67" s="104">
        <f t="shared" si="38"/>
        <v>65</v>
      </c>
      <c r="DT67" s="104">
        <f t="shared" si="38"/>
        <v>65</v>
      </c>
      <c r="DU67" s="104">
        <f t="shared" si="38"/>
        <v>65</v>
      </c>
      <c r="DV67" s="104">
        <f t="shared" si="38"/>
        <v>65</v>
      </c>
      <c r="DW67" s="104">
        <f t="shared" si="38"/>
        <v>65</v>
      </c>
      <c r="DX67" s="104">
        <f t="shared" si="38"/>
        <v>65</v>
      </c>
      <c r="DY67" s="104">
        <f t="shared" si="38"/>
        <v>65</v>
      </c>
      <c r="DZ67" s="104">
        <f t="shared" si="38"/>
        <v>65</v>
      </c>
      <c r="EA67" s="104">
        <f t="shared" si="38"/>
        <v>65</v>
      </c>
      <c r="EB67" s="104">
        <f t="shared" si="38"/>
        <v>65</v>
      </c>
      <c r="EC67" s="104">
        <f t="shared" si="38"/>
        <v>65</v>
      </c>
      <c r="ED67" s="104">
        <f t="shared" si="38"/>
        <v>65</v>
      </c>
      <c r="EE67" s="104">
        <f t="shared" ref="EE67:GC67" si="39">EE58</f>
        <v>65</v>
      </c>
      <c r="EF67" s="104">
        <f t="shared" si="39"/>
        <v>65</v>
      </c>
      <c r="EG67" s="104">
        <f t="shared" si="39"/>
        <v>65</v>
      </c>
      <c r="EH67" s="104">
        <f t="shared" si="39"/>
        <v>65</v>
      </c>
      <c r="EI67" s="104">
        <f t="shared" si="39"/>
        <v>65</v>
      </c>
      <c r="EJ67" s="104">
        <f t="shared" si="39"/>
        <v>65</v>
      </c>
      <c r="EK67" s="104">
        <f t="shared" si="39"/>
        <v>65</v>
      </c>
      <c r="EL67" s="104">
        <f t="shared" si="39"/>
        <v>65</v>
      </c>
      <c r="EM67" s="104">
        <f t="shared" si="39"/>
        <v>65</v>
      </c>
      <c r="EN67" s="104">
        <f t="shared" si="39"/>
        <v>65</v>
      </c>
      <c r="EO67" s="104">
        <f t="shared" si="39"/>
        <v>65</v>
      </c>
      <c r="EP67" s="104">
        <f t="shared" si="39"/>
        <v>65</v>
      </c>
      <c r="EQ67" s="104">
        <f t="shared" si="39"/>
        <v>65</v>
      </c>
      <c r="ER67" s="104">
        <f t="shared" si="39"/>
        <v>65</v>
      </c>
      <c r="ES67" s="104">
        <f t="shared" si="39"/>
        <v>65</v>
      </c>
      <c r="ET67" s="104">
        <f t="shared" si="39"/>
        <v>65</v>
      </c>
      <c r="EU67" s="104">
        <f t="shared" si="39"/>
        <v>65</v>
      </c>
      <c r="EV67" s="104">
        <f t="shared" si="39"/>
        <v>65</v>
      </c>
      <c r="EW67" s="104">
        <f t="shared" si="39"/>
        <v>65</v>
      </c>
      <c r="EX67" s="104">
        <f t="shared" si="39"/>
        <v>65</v>
      </c>
      <c r="EY67" s="104">
        <f t="shared" si="39"/>
        <v>65</v>
      </c>
      <c r="EZ67" s="104">
        <f t="shared" si="39"/>
        <v>65</v>
      </c>
      <c r="FA67" s="104">
        <f t="shared" si="39"/>
        <v>65</v>
      </c>
      <c r="FB67" s="104">
        <f t="shared" si="39"/>
        <v>65</v>
      </c>
      <c r="FC67" s="104">
        <f t="shared" si="39"/>
        <v>65</v>
      </c>
      <c r="FD67" s="104">
        <f t="shared" si="39"/>
        <v>65</v>
      </c>
      <c r="FE67" s="104">
        <f t="shared" si="39"/>
        <v>65</v>
      </c>
      <c r="FF67" s="104">
        <f t="shared" si="39"/>
        <v>65</v>
      </c>
      <c r="FG67" s="104">
        <f t="shared" si="39"/>
        <v>65</v>
      </c>
      <c r="FH67" s="104">
        <f t="shared" si="39"/>
        <v>65</v>
      </c>
      <c r="FI67" s="104">
        <f t="shared" si="39"/>
        <v>65</v>
      </c>
      <c r="FJ67" s="104">
        <f t="shared" si="39"/>
        <v>65</v>
      </c>
      <c r="FK67" s="104">
        <f t="shared" si="39"/>
        <v>65</v>
      </c>
      <c r="FL67" s="104">
        <f t="shared" si="39"/>
        <v>65</v>
      </c>
      <c r="FM67" s="104">
        <f t="shared" si="39"/>
        <v>65</v>
      </c>
      <c r="FN67" s="104">
        <f t="shared" si="39"/>
        <v>65</v>
      </c>
      <c r="FO67" s="104">
        <f t="shared" si="39"/>
        <v>65</v>
      </c>
      <c r="FP67" s="104">
        <f t="shared" si="39"/>
        <v>65</v>
      </c>
      <c r="FQ67" s="104">
        <f t="shared" si="39"/>
        <v>65</v>
      </c>
      <c r="FR67" s="104">
        <f t="shared" si="39"/>
        <v>65</v>
      </c>
      <c r="FS67" s="104">
        <f t="shared" si="39"/>
        <v>65</v>
      </c>
      <c r="FT67" s="104">
        <f t="shared" si="39"/>
        <v>65</v>
      </c>
      <c r="FU67" s="104">
        <f t="shared" si="39"/>
        <v>65</v>
      </c>
      <c r="FV67" s="104">
        <f t="shared" si="39"/>
        <v>65</v>
      </c>
      <c r="FW67" s="104">
        <f t="shared" si="39"/>
        <v>65</v>
      </c>
      <c r="FX67" s="104">
        <f t="shared" si="39"/>
        <v>65</v>
      </c>
      <c r="FY67" s="104">
        <f t="shared" si="39"/>
        <v>65</v>
      </c>
      <c r="FZ67" s="104">
        <f t="shared" si="39"/>
        <v>65</v>
      </c>
      <c r="GA67" s="104">
        <f t="shared" si="39"/>
        <v>65</v>
      </c>
      <c r="GB67" s="104">
        <f t="shared" si="39"/>
        <v>65</v>
      </c>
      <c r="GC67" s="104">
        <f t="shared" si="39"/>
        <v>65</v>
      </c>
    </row>
    <row r="68" spans="1:185">
      <c r="A68" s="80"/>
      <c r="B68" s="80" t="s">
        <v>106</v>
      </c>
      <c r="C68" s="80"/>
      <c r="D68" s="80"/>
      <c r="E68" s="82"/>
      <c r="F68" s="105">
        <f t="shared" ref="F68:AK68" si="40">F59</f>
        <v>0</v>
      </c>
      <c r="G68" s="105">
        <f t="shared" si="40"/>
        <v>0</v>
      </c>
      <c r="H68" s="105">
        <f t="shared" si="40"/>
        <v>0</v>
      </c>
      <c r="I68" s="105">
        <f t="shared" si="40"/>
        <v>0</v>
      </c>
      <c r="J68" s="105">
        <f t="shared" si="40"/>
        <v>0</v>
      </c>
      <c r="K68" s="105">
        <f t="shared" si="40"/>
        <v>0</v>
      </c>
      <c r="L68" s="105">
        <f t="shared" si="40"/>
        <v>0</v>
      </c>
      <c r="M68" s="105">
        <f t="shared" si="40"/>
        <v>1</v>
      </c>
      <c r="N68" s="105">
        <f t="shared" si="40"/>
        <v>1</v>
      </c>
      <c r="O68" s="105">
        <f t="shared" si="40"/>
        <v>1</v>
      </c>
      <c r="P68" s="105">
        <f t="shared" si="40"/>
        <v>1</v>
      </c>
      <c r="Q68" s="105">
        <f t="shared" si="40"/>
        <v>1</v>
      </c>
      <c r="R68" s="105">
        <f t="shared" si="40"/>
        <v>1</v>
      </c>
      <c r="S68" s="105">
        <f t="shared" si="40"/>
        <v>1</v>
      </c>
      <c r="T68" s="105">
        <f t="shared" si="40"/>
        <v>1</v>
      </c>
      <c r="U68" s="105">
        <f t="shared" si="40"/>
        <v>1</v>
      </c>
      <c r="V68" s="105">
        <f t="shared" si="40"/>
        <v>1</v>
      </c>
      <c r="W68" s="105">
        <f t="shared" si="40"/>
        <v>1</v>
      </c>
      <c r="X68" s="105">
        <f t="shared" si="40"/>
        <v>1</v>
      </c>
      <c r="Y68" s="105">
        <f t="shared" si="40"/>
        <v>1</v>
      </c>
      <c r="Z68" s="105">
        <f t="shared" si="40"/>
        <v>1</v>
      </c>
      <c r="AA68" s="105">
        <f t="shared" si="40"/>
        <v>1</v>
      </c>
      <c r="AB68" s="105">
        <f t="shared" si="40"/>
        <v>1</v>
      </c>
      <c r="AC68" s="105">
        <f t="shared" si="40"/>
        <v>1</v>
      </c>
      <c r="AD68" s="105">
        <f t="shared" si="40"/>
        <v>1</v>
      </c>
      <c r="AE68" s="105">
        <f t="shared" si="40"/>
        <v>1</v>
      </c>
      <c r="AF68" s="105">
        <f t="shared" si="40"/>
        <v>1</v>
      </c>
      <c r="AG68" s="105">
        <f t="shared" si="40"/>
        <v>1</v>
      </c>
      <c r="AH68" s="105">
        <f t="shared" si="40"/>
        <v>1</v>
      </c>
      <c r="AI68" s="105">
        <f t="shared" si="40"/>
        <v>1</v>
      </c>
      <c r="AJ68" s="105">
        <f t="shared" si="40"/>
        <v>1</v>
      </c>
      <c r="AK68" s="105">
        <f t="shared" si="40"/>
        <v>1</v>
      </c>
      <c r="AL68" s="105">
        <f t="shared" ref="AL68:BQ68" si="41">AL59</f>
        <v>1</v>
      </c>
      <c r="AM68" s="105">
        <f t="shared" si="41"/>
        <v>1</v>
      </c>
      <c r="AN68" s="105">
        <f t="shared" si="41"/>
        <v>1</v>
      </c>
      <c r="AO68" s="105">
        <f t="shared" si="41"/>
        <v>1</v>
      </c>
      <c r="AP68" s="105">
        <f t="shared" si="41"/>
        <v>1</v>
      </c>
      <c r="AQ68" s="105">
        <f t="shared" si="41"/>
        <v>1</v>
      </c>
      <c r="AR68" s="105">
        <f t="shared" si="41"/>
        <v>1</v>
      </c>
      <c r="AS68" s="105">
        <f t="shared" si="41"/>
        <v>1</v>
      </c>
      <c r="AT68" s="105">
        <f t="shared" si="41"/>
        <v>1</v>
      </c>
      <c r="AU68" s="105">
        <f t="shared" si="41"/>
        <v>1</v>
      </c>
      <c r="AV68" s="105">
        <f t="shared" si="41"/>
        <v>1</v>
      </c>
      <c r="AW68" s="105">
        <f t="shared" si="41"/>
        <v>1</v>
      </c>
      <c r="AX68" s="105">
        <f t="shared" si="41"/>
        <v>1</v>
      </c>
      <c r="AY68" s="105">
        <f t="shared" si="41"/>
        <v>1</v>
      </c>
      <c r="AZ68" s="105">
        <f t="shared" si="41"/>
        <v>1</v>
      </c>
      <c r="BA68" s="105">
        <f t="shared" si="41"/>
        <v>1</v>
      </c>
      <c r="BB68" s="105">
        <f t="shared" si="41"/>
        <v>1</v>
      </c>
      <c r="BC68" s="105">
        <f t="shared" si="41"/>
        <v>1</v>
      </c>
      <c r="BD68" s="105">
        <f t="shared" si="41"/>
        <v>1</v>
      </c>
      <c r="BE68" s="105">
        <f t="shared" si="41"/>
        <v>1</v>
      </c>
      <c r="BF68" s="105">
        <f t="shared" si="41"/>
        <v>1</v>
      </c>
      <c r="BG68" s="105">
        <f t="shared" si="41"/>
        <v>1</v>
      </c>
      <c r="BH68" s="105">
        <f t="shared" si="41"/>
        <v>1</v>
      </c>
      <c r="BI68" s="105">
        <f t="shared" si="41"/>
        <v>1</v>
      </c>
      <c r="BJ68" s="105">
        <f t="shared" si="41"/>
        <v>1</v>
      </c>
      <c r="BK68" s="105">
        <f t="shared" si="41"/>
        <v>1</v>
      </c>
      <c r="BL68" s="105">
        <f t="shared" si="41"/>
        <v>1</v>
      </c>
      <c r="BM68" s="105">
        <f t="shared" si="41"/>
        <v>1</v>
      </c>
      <c r="BN68" s="105">
        <f t="shared" si="41"/>
        <v>1</v>
      </c>
      <c r="BO68" s="105">
        <f t="shared" si="41"/>
        <v>1</v>
      </c>
      <c r="BP68" s="105">
        <f t="shared" si="41"/>
        <v>1</v>
      </c>
      <c r="BQ68" s="105">
        <f t="shared" si="41"/>
        <v>1</v>
      </c>
      <c r="BR68" s="105">
        <f t="shared" ref="BR68:CW68" si="42">BR59</f>
        <v>1</v>
      </c>
      <c r="BS68" s="105">
        <f t="shared" si="42"/>
        <v>1</v>
      </c>
      <c r="BT68" s="105">
        <f t="shared" si="42"/>
        <v>1</v>
      </c>
      <c r="BU68" s="105">
        <f t="shared" si="42"/>
        <v>1</v>
      </c>
      <c r="BV68" s="105">
        <f t="shared" si="42"/>
        <v>1</v>
      </c>
      <c r="BW68" s="105">
        <f t="shared" si="42"/>
        <v>1</v>
      </c>
      <c r="BX68" s="105">
        <f t="shared" si="42"/>
        <v>1</v>
      </c>
      <c r="BY68" s="105">
        <f t="shared" si="42"/>
        <v>1</v>
      </c>
      <c r="BZ68" s="105">
        <f t="shared" si="42"/>
        <v>1</v>
      </c>
      <c r="CA68" s="105">
        <f t="shared" si="42"/>
        <v>1</v>
      </c>
      <c r="CB68" s="105">
        <f t="shared" si="42"/>
        <v>1</v>
      </c>
      <c r="CC68" s="105">
        <f t="shared" si="42"/>
        <v>1</v>
      </c>
      <c r="CD68" s="105">
        <f t="shared" si="42"/>
        <v>1</v>
      </c>
      <c r="CE68" s="105">
        <f t="shared" si="42"/>
        <v>1</v>
      </c>
      <c r="CF68" s="105">
        <f t="shared" si="42"/>
        <v>1</v>
      </c>
      <c r="CG68" s="105">
        <f t="shared" si="42"/>
        <v>1</v>
      </c>
      <c r="CH68" s="105">
        <f t="shared" si="42"/>
        <v>1</v>
      </c>
      <c r="CI68" s="105">
        <f t="shared" si="42"/>
        <v>1</v>
      </c>
      <c r="CJ68" s="105">
        <f t="shared" si="42"/>
        <v>1</v>
      </c>
      <c r="CK68" s="105">
        <f t="shared" si="42"/>
        <v>1</v>
      </c>
      <c r="CL68" s="105">
        <f t="shared" si="42"/>
        <v>1</v>
      </c>
      <c r="CM68" s="105">
        <f t="shared" si="42"/>
        <v>1</v>
      </c>
      <c r="CN68" s="105">
        <f t="shared" si="42"/>
        <v>1</v>
      </c>
      <c r="CO68" s="105">
        <f t="shared" si="42"/>
        <v>1</v>
      </c>
      <c r="CP68" s="105">
        <f t="shared" si="42"/>
        <v>1</v>
      </c>
      <c r="CQ68" s="105">
        <f t="shared" si="42"/>
        <v>1</v>
      </c>
      <c r="CR68" s="105">
        <f t="shared" si="42"/>
        <v>1</v>
      </c>
      <c r="CS68" s="105">
        <f t="shared" si="42"/>
        <v>1</v>
      </c>
      <c r="CT68" s="105">
        <f t="shared" si="42"/>
        <v>1</v>
      </c>
      <c r="CU68" s="105">
        <f t="shared" si="42"/>
        <v>1</v>
      </c>
      <c r="CV68" s="105">
        <f t="shared" si="42"/>
        <v>1</v>
      </c>
      <c r="CW68" s="105">
        <f t="shared" si="42"/>
        <v>1</v>
      </c>
      <c r="CX68" s="105">
        <f t="shared" ref="CX68:EC68" si="43">CX59</f>
        <v>1</v>
      </c>
      <c r="CY68" s="105">
        <f t="shared" si="43"/>
        <v>1</v>
      </c>
      <c r="CZ68" s="105">
        <f t="shared" si="43"/>
        <v>1</v>
      </c>
      <c r="DA68" s="105">
        <f t="shared" si="43"/>
        <v>1</v>
      </c>
      <c r="DB68" s="105">
        <f t="shared" si="43"/>
        <v>1</v>
      </c>
      <c r="DC68" s="105">
        <f t="shared" si="43"/>
        <v>1</v>
      </c>
      <c r="DD68" s="105">
        <f t="shared" si="43"/>
        <v>1</v>
      </c>
      <c r="DE68" s="105">
        <f t="shared" si="43"/>
        <v>1</v>
      </c>
      <c r="DF68" s="105">
        <f t="shared" si="43"/>
        <v>1</v>
      </c>
      <c r="DG68" s="105">
        <f t="shared" si="43"/>
        <v>1</v>
      </c>
      <c r="DH68" s="105">
        <f t="shared" si="43"/>
        <v>1</v>
      </c>
      <c r="DI68" s="105">
        <f t="shared" si="43"/>
        <v>1</v>
      </c>
      <c r="DJ68" s="105">
        <f t="shared" si="43"/>
        <v>1</v>
      </c>
      <c r="DK68" s="105">
        <f t="shared" si="43"/>
        <v>1</v>
      </c>
      <c r="DL68" s="105">
        <f t="shared" si="43"/>
        <v>1</v>
      </c>
      <c r="DM68" s="105">
        <f t="shared" si="43"/>
        <v>1</v>
      </c>
      <c r="DN68" s="105">
        <f t="shared" si="43"/>
        <v>1</v>
      </c>
      <c r="DO68" s="105">
        <f t="shared" si="43"/>
        <v>1</v>
      </c>
      <c r="DP68" s="105">
        <f t="shared" si="43"/>
        <v>1</v>
      </c>
      <c r="DQ68" s="105">
        <f t="shared" si="43"/>
        <v>1</v>
      </c>
      <c r="DR68" s="105">
        <f t="shared" si="43"/>
        <v>1</v>
      </c>
      <c r="DS68" s="105">
        <f t="shared" si="43"/>
        <v>1</v>
      </c>
      <c r="DT68" s="105">
        <f t="shared" si="43"/>
        <v>1</v>
      </c>
      <c r="DU68" s="105">
        <f t="shared" si="43"/>
        <v>1</v>
      </c>
      <c r="DV68" s="105">
        <f t="shared" si="43"/>
        <v>1</v>
      </c>
      <c r="DW68" s="105">
        <f t="shared" si="43"/>
        <v>1</v>
      </c>
      <c r="DX68" s="105">
        <f t="shared" si="43"/>
        <v>1</v>
      </c>
      <c r="DY68" s="105">
        <f t="shared" si="43"/>
        <v>1</v>
      </c>
      <c r="DZ68" s="105">
        <f t="shared" si="43"/>
        <v>1</v>
      </c>
      <c r="EA68" s="105">
        <f t="shared" si="43"/>
        <v>1</v>
      </c>
      <c r="EB68" s="105">
        <f t="shared" si="43"/>
        <v>1</v>
      </c>
      <c r="EC68" s="105">
        <f t="shared" si="43"/>
        <v>1</v>
      </c>
      <c r="ED68" s="105">
        <f t="shared" ref="ED68:FI68" si="44">ED59</f>
        <v>1</v>
      </c>
      <c r="EE68" s="105">
        <f t="shared" si="44"/>
        <v>1</v>
      </c>
      <c r="EF68" s="105">
        <f t="shared" si="44"/>
        <v>1</v>
      </c>
      <c r="EG68" s="105">
        <f t="shared" si="44"/>
        <v>1</v>
      </c>
      <c r="EH68" s="105">
        <f t="shared" si="44"/>
        <v>1</v>
      </c>
      <c r="EI68" s="105">
        <f t="shared" si="44"/>
        <v>1</v>
      </c>
      <c r="EJ68" s="105">
        <f t="shared" si="44"/>
        <v>1</v>
      </c>
      <c r="EK68" s="105">
        <f t="shared" si="44"/>
        <v>1</v>
      </c>
      <c r="EL68" s="105">
        <f t="shared" si="44"/>
        <v>1</v>
      </c>
      <c r="EM68" s="105">
        <f t="shared" si="44"/>
        <v>1</v>
      </c>
      <c r="EN68" s="105">
        <f t="shared" si="44"/>
        <v>1</v>
      </c>
      <c r="EO68" s="105">
        <f t="shared" si="44"/>
        <v>1</v>
      </c>
      <c r="EP68" s="105">
        <f t="shared" si="44"/>
        <v>1</v>
      </c>
      <c r="EQ68" s="105">
        <f t="shared" si="44"/>
        <v>1</v>
      </c>
      <c r="ER68" s="105">
        <f t="shared" si="44"/>
        <v>1</v>
      </c>
      <c r="ES68" s="105">
        <f t="shared" si="44"/>
        <v>1</v>
      </c>
      <c r="ET68" s="105">
        <f t="shared" si="44"/>
        <v>1</v>
      </c>
      <c r="EU68" s="105">
        <f t="shared" si="44"/>
        <v>1</v>
      </c>
      <c r="EV68" s="105">
        <f t="shared" si="44"/>
        <v>1</v>
      </c>
      <c r="EW68" s="105">
        <f t="shared" si="44"/>
        <v>1</v>
      </c>
      <c r="EX68" s="105">
        <f t="shared" si="44"/>
        <v>1</v>
      </c>
      <c r="EY68" s="105">
        <f t="shared" si="44"/>
        <v>1</v>
      </c>
      <c r="EZ68" s="105">
        <f t="shared" si="44"/>
        <v>1</v>
      </c>
      <c r="FA68" s="105">
        <f t="shared" si="44"/>
        <v>1</v>
      </c>
      <c r="FB68" s="105">
        <f t="shared" si="44"/>
        <v>1</v>
      </c>
      <c r="FC68" s="105">
        <f t="shared" si="44"/>
        <v>1</v>
      </c>
      <c r="FD68" s="105">
        <f t="shared" si="44"/>
        <v>1</v>
      </c>
      <c r="FE68" s="105">
        <f t="shared" si="44"/>
        <v>1</v>
      </c>
      <c r="FF68" s="105">
        <f t="shared" si="44"/>
        <v>1</v>
      </c>
      <c r="FG68" s="105">
        <f t="shared" si="44"/>
        <v>1</v>
      </c>
      <c r="FH68" s="105">
        <f t="shared" si="44"/>
        <v>1</v>
      </c>
      <c r="FI68" s="105">
        <f t="shared" si="44"/>
        <v>1</v>
      </c>
      <c r="FJ68" s="105">
        <f t="shared" ref="FJ68:GC68" si="45">FJ59</f>
        <v>1</v>
      </c>
      <c r="FK68" s="105">
        <f t="shared" si="45"/>
        <v>1</v>
      </c>
      <c r="FL68" s="105">
        <f t="shared" si="45"/>
        <v>1</v>
      </c>
      <c r="FM68" s="105">
        <f t="shared" si="45"/>
        <v>1</v>
      </c>
      <c r="FN68" s="105">
        <f t="shared" si="45"/>
        <v>1</v>
      </c>
      <c r="FO68" s="105">
        <f t="shared" si="45"/>
        <v>1</v>
      </c>
      <c r="FP68" s="105">
        <f t="shared" si="45"/>
        <v>1</v>
      </c>
      <c r="FQ68" s="105">
        <f t="shared" si="45"/>
        <v>1</v>
      </c>
      <c r="FR68" s="105">
        <f t="shared" si="45"/>
        <v>1</v>
      </c>
      <c r="FS68" s="105">
        <f t="shared" si="45"/>
        <v>1</v>
      </c>
      <c r="FT68" s="105">
        <f t="shared" si="45"/>
        <v>1</v>
      </c>
      <c r="FU68" s="105">
        <f t="shared" si="45"/>
        <v>1</v>
      </c>
      <c r="FV68" s="105">
        <f t="shared" si="45"/>
        <v>1</v>
      </c>
      <c r="FW68" s="105">
        <f t="shared" si="45"/>
        <v>1</v>
      </c>
      <c r="FX68" s="105">
        <f t="shared" si="45"/>
        <v>1</v>
      </c>
      <c r="FY68" s="105">
        <f t="shared" si="45"/>
        <v>1</v>
      </c>
      <c r="FZ68" s="105">
        <f t="shared" si="45"/>
        <v>1</v>
      </c>
      <c r="GA68" s="105">
        <f t="shared" si="45"/>
        <v>1</v>
      </c>
      <c r="GB68" s="105">
        <f t="shared" si="45"/>
        <v>1</v>
      </c>
      <c r="GC68" s="105">
        <f t="shared" si="45"/>
        <v>1</v>
      </c>
    </row>
    <row r="69" spans="1:185">
      <c r="A69" s="80"/>
      <c r="B69" s="80" t="s">
        <v>107</v>
      </c>
      <c r="C69" s="80"/>
      <c r="D69" s="80"/>
      <c r="E69" s="82"/>
      <c r="F69" s="104">
        <f t="shared" ref="F69:AK69" si="46">F60</f>
        <v>50</v>
      </c>
      <c r="G69" s="104">
        <f t="shared" si="46"/>
        <v>50</v>
      </c>
      <c r="H69" s="104">
        <f t="shared" si="46"/>
        <v>50</v>
      </c>
      <c r="I69" s="104">
        <f t="shared" si="46"/>
        <v>50</v>
      </c>
      <c r="J69" s="104">
        <f t="shared" si="46"/>
        <v>50</v>
      </c>
      <c r="K69" s="104">
        <f t="shared" si="46"/>
        <v>50</v>
      </c>
      <c r="L69" s="104">
        <f t="shared" si="46"/>
        <v>50</v>
      </c>
      <c r="M69" s="104">
        <f t="shared" si="46"/>
        <v>50</v>
      </c>
      <c r="N69" s="104">
        <f t="shared" si="46"/>
        <v>50</v>
      </c>
      <c r="O69" s="104">
        <f t="shared" si="46"/>
        <v>50</v>
      </c>
      <c r="P69" s="104">
        <f t="shared" si="46"/>
        <v>50</v>
      </c>
      <c r="Q69" s="104">
        <f t="shared" si="46"/>
        <v>50</v>
      </c>
      <c r="R69" s="104">
        <f t="shared" si="46"/>
        <v>50</v>
      </c>
      <c r="S69" s="104">
        <f t="shared" si="46"/>
        <v>50</v>
      </c>
      <c r="T69" s="104">
        <f t="shared" si="46"/>
        <v>50</v>
      </c>
      <c r="U69" s="104">
        <f t="shared" si="46"/>
        <v>50</v>
      </c>
      <c r="V69" s="104">
        <f t="shared" si="46"/>
        <v>50</v>
      </c>
      <c r="W69" s="104">
        <f t="shared" si="46"/>
        <v>50</v>
      </c>
      <c r="X69" s="104">
        <f t="shared" si="46"/>
        <v>50</v>
      </c>
      <c r="Y69" s="104">
        <f t="shared" si="46"/>
        <v>50</v>
      </c>
      <c r="Z69" s="104">
        <f t="shared" si="46"/>
        <v>50</v>
      </c>
      <c r="AA69" s="104">
        <f t="shared" si="46"/>
        <v>50</v>
      </c>
      <c r="AB69" s="104">
        <f t="shared" si="46"/>
        <v>50</v>
      </c>
      <c r="AC69" s="104">
        <f t="shared" si="46"/>
        <v>50</v>
      </c>
      <c r="AD69" s="104">
        <f t="shared" si="46"/>
        <v>50</v>
      </c>
      <c r="AE69" s="104">
        <f t="shared" si="46"/>
        <v>50</v>
      </c>
      <c r="AF69" s="104">
        <f t="shared" si="46"/>
        <v>50</v>
      </c>
      <c r="AG69" s="104">
        <f t="shared" si="46"/>
        <v>50</v>
      </c>
      <c r="AH69" s="104">
        <f t="shared" si="46"/>
        <v>50</v>
      </c>
      <c r="AI69" s="104">
        <f t="shared" si="46"/>
        <v>50</v>
      </c>
      <c r="AJ69" s="104">
        <f t="shared" si="46"/>
        <v>50</v>
      </c>
      <c r="AK69" s="104">
        <f t="shared" si="46"/>
        <v>50</v>
      </c>
      <c r="AL69" s="104">
        <f t="shared" ref="AL69:BQ69" si="47">AL60</f>
        <v>50</v>
      </c>
      <c r="AM69" s="104">
        <f t="shared" si="47"/>
        <v>50</v>
      </c>
      <c r="AN69" s="104">
        <f t="shared" si="47"/>
        <v>50</v>
      </c>
      <c r="AO69" s="104">
        <f t="shared" si="47"/>
        <v>50</v>
      </c>
      <c r="AP69" s="104">
        <f t="shared" si="47"/>
        <v>50</v>
      </c>
      <c r="AQ69" s="104">
        <f t="shared" si="47"/>
        <v>50</v>
      </c>
      <c r="AR69" s="104">
        <f t="shared" si="47"/>
        <v>50</v>
      </c>
      <c r="AS69" s="104">
        <f t="shared" si="47"/>
        <v>50</v>
      </c>
      <c r="AT69" s="104">
        <f t="shared" si="47"/>
        <v>50</v>
      </c>
      <c r="AU69" s="104">
        <f t="shared" si="47"/>
        <v>50</v>
      </c>
      <c r="AV69" s="104">
        <f t="shared" si="47"/>
        <v>50</v>
      </c>
      <c r="AW69" s="104">
        <f t="shared" si="47"/>
        <v>50</v>
      </c>
      <c r="AX69" s="104">
        <f t="shared" si="47"/>
        <v>50</v>
      </c>
      <c r="AY69" s="104">
        <f t="shared" si="47"/>
        <v>50</v>
      </c>
      <c r="AZ69" s="104">
        <f t="shared" si="47"/>
        <v>50</v>
      </c>
      <c r="BA69" s="104">
        <f t="shared" si="47"/>
        <v>50</v>
      </c>
      <c r="BB69" s="104">
        <f t="shared" si="47"/>
        <v>50</v>
      </c>
      <c r="BC69" s="104">
        <f t="shared" si="47"/>
        <v>50</v>
      </c>
      <c r="BD69" s="104">
        <f t="shared" si="47"/>
        <v>50</v>
      </c>
      <c r="BE69" s="104">
        <f t="shared" si="47"/>
        <v>50</v>
      </c>
      <c r="BF69" s="104">
        <f t="shared" si="47"/>
        <v>50</v>
      </c>
      <c r="BG69" s="104">
        <f t="shared" si="47"/>
        <v>50</v>
      </c>
      <c r="BH69" s="104">
        <f t="shared" si="47"/>
        <v>50</v>
      </c>
      <c r="BI69" s="104">
        <f t="shared" si="47"/>
        <v>50</v>
      </c>
      <c r="BJ69" s="104">
        <f t="shared" si="47"/>
        <v>50</v>
      </c>
      <c r="BK69" s="104">
        <f t="shared" si="47"/>
        <v>50</v>
      </c>
      <c r="BL69" s="104">
        <f t="shared" si="47"/>
        <v>50</v>
      </c>
      <c r="BM69" s="104">
        <f t="shared" si="47"/>
        <v>50</v>
      </c>
      <c r="BN69" s="104">
        <f t="shared" si="47"/>
        <v>50</v>
      </c>
      <c r="BO69" s="104">
        <f t="shared" si="47"/>
        <v>50</v>
      </c>
      <c r="BP69" s="104">
        <f t="shared" si="47"/>
        <v>50</v>
      </c>
      <c r="BQ69" s="104">
        <f t="shared" si="47"/>
        <v>50</v>
      </c>
      <c r="BR69" s="104">
        <f t="shared" ref="BR69:CW69" si="48">BR60</f>
        <v>50</v>
      </c>
      <c r="BS69" s="104">
        <f t="shared" si="48"/>
        <v>50</v>
      </c>
      <c r="BT69" s="104">
        <f t="shared" si="48"/>
        <v>50</v>
      </c>
      <c r="BU69" s="104">
        <f t="shared" si="48"/>
        <v>50</v>
      </c>
      <c r="BV69" s="104">
        <f t="shared" si="48"/>
        <v>50</v>
      </c>
      <c r="BW69" s="104">
        <f t="shared" si="48"/>
        <v>50</v>
      </c>
      <c r="BX69" s="104">
        <f t="shared" si="48"/>
        <v>50</v>
      </c>
      <c r="BY69" s="104">
        <f t="shared" si="48"/>
        <v>50</v>
      </c>
      <c r="BZ69" s="104">
        <f t="shared" si="48"/>
        <v>50</v>
      </c>
      <c r="CA69" s="104">
        <f t="shared" si="48"/>
        <v>50</v>
      </c>
      <c r="CB69" s="104">
        <f t="shared" si="48"/>
        <v>50</v>
      </c>
      <c r="CC69" s="104">
        <f t="shared" si="48"/>
        <v>50</v>
      </c>
      <c r="CD69" s="104">
        <f t="shared" si="48"/>
        <v>50</v>
      </c>
      <c r="CE69" s="104">
        <f t="shared" si="48"/>
        <v>50</v>
      </c>
      <c r="CF69" s="104">
        <f t="shared" si="48"/>
        <v>50</v>
      </c>
      <c r="CG69" s="104">
        <f t="shared" si="48"/>
        <v>50</v>
      </c>
      <c r="CH69" s="104">
        <f t="shared" si="48"/>
        <v>50</v>
      </c>
      <c r="CI69" s="104">
        <f t="shared" si="48"/>
        <v>50</v>
      </c>
      <c r="CJ69" s="104">
        <f t="shared" si="48"/>
        <v>50</v>
      </c>
      <c r="CK69" s="104">
        <f t="shared" si="48"/>
        <v>50</v>
      </c>
      <c r="CL69" s="104">
        <f t="shared" si="48"/>
        <v>50</v>
      </c>
      <c r="CM69" s="104">
        <f t="shared" si="48"/>
        <v>50</v>
      </c>
      <c r="CN69" s="104">
        <f t="shared" si="48"/>
        <v>50</v>
      </c>
      <c r="CO69" s="104">
        <f t="shared" si="48"/>
        <v>50</v>
      </c>
      <c r="CP69" s="104">
        <f t="shared" si="48"/>
        <v>50</v>
      </c>
      <c r="CQ69" s="104">
        <f t="shared" si="48"/>
        <v>50</v>
      </c>
      <c r="CR69" s="104">
        <f t="shared" si="48"/>
        <v>50</v>
      </c>
      <c r="CS69" s="104">
        <f t="shared" si="48"/>
        <v>50</v>
      </c>
      <c r="CT69" s="104">
        <f t="shared" si="48"/>
        <v>50</v>
      </c>
      <c r="CU69" s="104">
        <f t="shared" si="48"/>
        <v>50</v>
      </c>
      <c r="CV69" s="104">
        <f t="shared" si="48"/>
        <v>50</v>
      </c>
      <c r="CW69" s="104">
        <f t="shared" si="48"/>
        <v>50</v>
      </c>
      <c r="CX69" s="104">
        <f t="shared" ref="CX69:EC69" si="49">CX60</f>
        <v>50</v>
      </c>
      <c r="CY69" s="104">
        <f t="shared" si="49"/>
        <v>50</v>
      </c>
      <c r="CZ69" s="104">
        <f t="shared" si="49"/>
        <v>50</v>
      </c>
      <c r="DA69" s="104">
        <f t="shared" si="49"/>
        <v>50</v>
      </c>
      <c r="DB69" s="104">
        <f t="shared" si="49"/>
        <v>50</v>
      </c>
      <c r="DC69" s="104">
        <f t="shared" si="49"/>
        <v>50</v>
      </c>
      <c r="DD69" s="104">
        <f t="shared" si="49"/>
        <v>50</v>
      </c>
      <c r="DE69" s="104">
        <f t="shared" si="49"/>
        <v>50</v>
      </c>
      <c r="DF69" s="104">
        <f t="shared" si="49"/>
        <v>50</v>
      </c>
      <c r="DG69" s="104">
        <f t="shared" si="49"/>
        <v>50</v>
      </c>
      <c r="DH69" s="104">
        <f t="shared" si="49"/>
        <v>50</v>
      </c>
      <c r="DI69" s="104">
        <f t="shared" si="49"/>
        <v>50</v>
      </c>
      <c r="DJ69" s="104">
        <f t="shared" si="49"/>
        <v>50</v>
      </c>
      <c r="DK69" s="104">
        <f t="shared" si="49"/>
        <v>50</v>
      </c>
      <c r="DL69" s="104">
        <f t="shared" si="49"/>
        <v>50</v>
      </c>
      <c r="DM69" s="104">
        <f t="shared" si="49"/>
        <v>50</v>
      </c>
      <c r="DN69" s="104">
        <f t="shared" si="49"/>
        <v>50</v>
      </c>
      <c r="DO69" s="104">
        <f t="shared" si="49"/>
        <v>50</v>
      </c>
      <c r="DP69" s="104">
        <f t="shared" si="49"/>
        <v>50</v>
      </c>
      <c r="DQ69" s="104">
        <f t="shared" si="49"/>
        <v>50</v>
      </c>
      <c r="DR69" s="104">
        <f t="shared" si="49"/>
        <v>50</v>
      </c>
      <c r="DS69" s="104">
        <f t="shared" si="49"/>
        <v>50</v>
      </c>
      <c r="DT69" s="104">
        <f t="shared" si="49"/>
        <v>50</v>
      </c>
      <c r="DU69" s="104">
        <f t="shared" si="49"/>
        <v>50</v>
      </c>
      <c r="DV69" s="104">
        <f t="shared" si="49"/>
        <v>50</v>
      </c>
      <c r="DW69" s="104">
        <f t="shared" si="49"/>
        <v>50</v>
      </c>
      <c r="DX69" s="104">
        <f t="shared" si="49"/>
        <v>50</v>
      </c>
      <c r="DY69" s="104">
        <f t="shared" si="49"/>
        <v>50</v>
      </c>
      <c r="DZ69" s="104">
        <f t="shared" si="49"/>
        <v>50</v>
      </c>
      <c r="EA69" s="104">
        <f t="shared" si="49"/>
        <v>50</v>
      </c>
      <c r="EB69" s="104">
        <f t="shared" si="49"/>
        <v>50</v>
      </c>
      <c r="EC69" s="104">
        <f t="shared" si="49"/>
        <v>50</v>
      </c>
      <c r="ED69" s="104">
        <f t="shared" ref="ED69:FI69" si="50">ED60</f>
        <v>50</v>
      </c>
      <c r="EE69" s="104">
        <f t="shared" si="50"/>
        <v>50</v>
      </c>
      <c r="EF69" s="104">
        <f t="shared" si="50"/>
        <v>50</v>
      </c>
      <c r="EG69" s="104">
        <f t="shared" si="50"/>
        <v>50</v>
      </c>
      <c r="EH69" s="104">
        <f t="shared" si="50"/>
        <v>50</v>
      </c>
      <c r="EI69" s="104">
        <f t="shared" si="50"/>
        <v>50</v>
      </c>
      <c r="EJ69" s="104">
        <f t="shared" si="50"/>
        <v>50</v>
      </c>
      <c r="EK69" s="104">
        <f t="shared" si="50"/>
        <v>50</v>
      </c>
      <c r="EL69" s="104">
        <f t="shared" si="50"/>
        <v>50</v>
      </c>
      <c r="EM69" s="104">
        <f t="shared" si="50"/>
        <v>50</v>
      </c>
      <c r="EN69" s="104">
        <f t="shared" si="50"/>
        <v>50</v>
      </c>
      <c r="EO69" s="104">
        <f t="shared" si="50"/>
        <v>50</v>
      </c>
      <c r="EP69" s="104">
        <f t="shared" si="50"/>
        <v>50</v>
      </c>
      <c r="EQ69" s="104">
        <f t="shared" si="50"/>
        <v>50</v>
      </c>
      <c r="ER69" s="104">
        <f t="shared" si="50"/>
        <v>50</v>
      </c>
      <c r="ES69" s="104">
        <f t="shared" si="50"/>
        <v>50</v>
      </c>
      <c r="ET69" s="104">
        <f t="shared" si="50"/>
        <v>50</v>
      </c>
      <c r="EU69" s="104">
        <f t="shared" si="50"/>
        <v>50</v>
      </c>
      <c r="EV69" s="104">
        <f t="shared" si="50"/>
        <v>50</v>
      </c>
      <c r="EW69" s="104">
        <f t="shared" si="50"/>
        <v>50</v>
      </c>
      <c r="EX69" s="104">
        <f t="shared" si="50"/>
        <v>50</v>
      </c>
      <c r="EY69" s="104">
        <f t="shared" si="50"/>
        <v>50</v>
      </c>
      <c r="EZ69" s="104">
        <f t="shared" si="50"/>
        <v>50</v>
      </c>
      <c r="FA69" s="104">
        <f t="shared" si="50"/>
        <v>50</v>
      </c>
      <c r="FB69" s="104">
        <f t="shared" si="50"/>
        <v>50</v>
      </c>
      <c r="FC69" s="104">
        <f t="shared" si="50"/>
        <v>50</v>
      </c>
      <c r="FD69" s="104">
        <f t="shared" si="50"/>
        <v>50</v>
      </c>
      <c r="FE69" s="104">
        <f t="shared" si="50"/>
        <v>50</v>
      </c>
      <c r="FF69" s="104">
        <f t="shared" si="50"/>
        <v>50</v>
      </c>
      <c r="FG69" s="104">
        <f t="shared" si="50"/>
        <v>50</v>
      </c>
      <c r="FH69" s="104">
        <f t="shared" si="50"/>
        <v>50</v>
      </c>
      <c r="FI69" s="104">
        <f t="shared" si="50"/>
        <v>50</v>
      </c>
      <c r="FJ69" s="104">
        <f t="shared" ref="FJ69:GC69" si="51">FJ60</f>
        <v>50</v>
      </c>
      <c r="FK69" s="104">
        <f t="shared" si="51"/>
        <v>50</v>
      </c>
      <c r="FL69" s="104">
        <f t="shared" si="51"/>
        <v>50</v>
      </c>
      <c r="FM69" s="104">
        <f t="shared" si="51"/>
        <v>50</v>
      </c>
      <c r="FN69" s="104">
        <f t="shared" si="51"/>
        <v>50</v>
      </c>
      <c r="FO69" s="104">
        <f t="shared" si="51"/>
        <v>50</v>
      </c>
      <c r="FP69" s="104">
        <f t="shared" si="51"/>
        <v>50</v>
      </c>
      <c r="FQ69" s="104">
        <f t="shared" si="51"/>
        <v>50</v>
      </c>
      <c r="FR69" s="104">
        <f t="shared" si="51"/>
        <v>50</v>
      </c>
      <c r="FS69" s="104">
        <f t="shared" si="51"/>
        <v>50</v>
      </c>
      <c r="FT69" s="104">
        <f t="shared" si="51"/>
        <v>50</v>
      </c>
      <c r="FU69" s="104">
        <f t="shared" si="51"/>
        <v>50</v>
      </c>
      <c r="FV69" s="104">
        <f t="shared" si="51"/>
        <v>50</v>
      </c>
      <c r="FW69" s="104">
        <f t="shared" si="51"/>
        <v>50</v>
      </c>
      <c r="FX69" s="104">
        <f t="shared" si="51"/>
        <v>50</v>
      </c>
      <c r="FY69" s="104">
        <f t="shared" si="51"/>
        <v>50</v>
      </c>
      <c r="FZ69" s="104">
        <f t="shared" si="51"/>
        <v>50</v>
      </c>
      <c r="GA69" s="104">
        <f t="shared" si="51"/>
        <v>50</v>
      </c>
      <c r="GB69" s="104">
        <f t="shared" si="51"/>
        <v>50</v>
      </c>
      <c r="GC69" s="104">
        <f t="shared" si="51"/>
        <v>50</v>
      </c>
    </row>
    <row r="70" spans="1:185">
      <c r="A70" s="80"/>
      <c r="B70" s="80" t="s">
        <v>106</v>
      </c>
      <c r="C70" s="80"/>
      <c r="D70" s="80"/>
      <c r="E70" s="82"/>
      <c r="F70" s="105">
        <f t="shared" ref="F70:AK70" si="52">F61</f>
        <v>0</v>
      </c>
      <c r="G70" s="105">
        <f t="shared" si="52"/>
        <v>0</v>
      </c>
      <c r="H70" s="105">
        <f t="shared" si="52"/>
        <v>0</v>
      </c>
      <c r="I70" s="105">
        <f t="shared" si="52"/>
        <v>0</v>
      </c>
      <c r="J70" s="105">
        <f t="shared" si="52"/>
        <v>0</v>
      </c>
      <c r="K70" s="105">
        <f t="shared" si="52"/>
        <v>0</v>
      </c>
      <c r="L70" s="105">
        <f t="shared" si="52"/>
        <v>0</v>
      </c>
      <c r="M70" s="105">
        <f t="shared" si="52"/>
        <v>3</v>
      </c>
      <c r="N70" s="105">
        <f t="shared" si="52"/>
        <v>3</v>
      </c>
      <c r="O70" s="105">
        <f t="shared" si="52"/>
        <v>3</v>
      </c>
      <c r="P70" s="105">
        <f t="shared" si="52"/>
        <v>3</v>
      </c>
      <c r="Q70" s="105">
        <f t="shared" si="52"/>
        <v>3</v>
      </c>
      <c r="R70" s="105">
        <f t="shared" si="52"/>
        <v>3</v>
      </c>
      <c r="S70" s="105">
        <f t="shared" si="52"/>
        <v>3</v>
      </c>
      <c r="T70" s="105">
        <f t="shared" si="52"/>
        <v>3</v>
      </c>
      <c r="U70" s="105">
        <f t="shared" si="52"/>
        <v>3</v>
      </c>
      <c r="V70" s="105">
        <f t="shared" si="52"/>
        <v>3</v>
      </c>
      <c r="W70" s="105">
        <f t="shared" si="52"/>
        <v>3</v>
      </c>
      <c r="X70" s="105">
        <f t="shared" si="52"/>
        <v>3</v>
      </c>
      <c r="Y70" s="105">
        <f t="shared" si="52"/>
        <v>3</v>
      </c>
      <c r="Z70" s="105">
        <f t="shared" si="52"/>
        <v>3</v>
      </c>
      <c r="AA70" s="105">
        <f t="shared" si="52"/>
        <v>3</v>
      </c>
      <c r="AB70" s="105">
        <f t="shared" si="52"/>
        <v>3</v>
      </c>
      <c r="AC70" s="105">
        <f t="shared" si="52"/>
        <v>3</v>
      </c>
      <c r="AD70" s="105">
        <f t="shared" si="52"/>
        <v>3</v>
      </c>
      <c r="AE70" s="105">
        <f t="shared" si="52"/>
        <v>3</v>
      </c>
      <c r="AF70" s="105">
        <f t="shared" si="52"/>
        <v>3</v>
      </c>
      <c r="AG70" s="105">
        <f t="shared" si="52"/>
        <v>3</v>
      </c>
      <c r="AH70" s="105">
        <f t="shared" si="52"/>
        <v>3</v>
      </c>
      <c r="AI70" s="105">
        <f t="shared" si="52"/>
        <v>3</v>
      </c>
      <c r="AJ70" s="105">
        <f t="shared" si="52"/>
        <v>3</v>
      </c>
      <c r="AK70" s="105">
        <f t="shared" si="52"/>
        <v>3</v>
      </c>
      <c r="AL70" s="105">
        <f t="shared" ref="AL70:BQ70" si="53">AL61</f>
        <v>3</v>
      </c>
      <c r="AM70" s="105">
        <f t="shared" si="53"/>
        <v>3</v>
      </c>
      <c r="AN70" s="105">
        <f t="shared" si="53"/>
        <v>3</v>
      </c>
      <c r="AO70" s="105">
        <f t="shared" si="53"/>
        <v>3</v>
      </c>
      <c r="AP70" s="105">
        <f t="shared" si="53"/>
        <v>3</v>
      </c>
      <c r="AQ70" s="105">
        <f t="shared" si="53"/>
        <v>3</v>
      </c>
      <c r="AR70" s="105">
        <f t="shared" si="53"/>
        <v>3</v>
      </c>
      <c r="AS70" s="105">
        <f t="shared" si="53"/>
        <v>3</v>
      </c>
      <c r="AT70" s="105">
        <f t="shared" si="53"/>
        <v>3</v>
      </c>
      <c r="AU70" s="105">
        <f t="shared" si="53"/>
        <v>3</v>
      </c>
      <c r="AV70" s="105">
        <f t="shared" si="53"/>
        <v>3</v>
      </c>
      <c r="AW70" s="105">
        <f t="shared" si="53"/>
        <v>3</v>
      </c>
      <c r="AX70" s="105">
        <f t="shared" si="53"/>
        <v>3</v>
      </c>
      <c r="AY70" s="105">
        <f t="shared" si="53"/>
        <v>3</v>
      </c>
      <c r="AZ70" s="105">
        <f t="shared" si="53"/>
        <v>3</v>
      </c>
      <c r="BA70" s="105">
        <f t="shared" si="53"/>
        <v>3</v>
      </c>
      <c r="BB70" s="105">
        <f t="shared" si="53"/>
        <v>3</v>
      </c>
      <c r="BC70" s="105">
        <f t="shared" si="53"/>
        <v>3</v>
      </c>
      <c r="BD70" s="105">
        <f t="shared" si="53"/>
        <v>3</v>
      </c>
      <c r="BE70" s="105">
        <f t="shared" si="53"/>
        <v>3</v>
      </c>
      <c r="BF70" s="105">
        <f t="shared" si="53"/>
        <v>3</v>
      </c>
      <c r="BG70" s="105">
        <f t="shared" si="53"/>
        <v>3</v>
      </c>
      <c r="BH70" s="105">
        <f t="shared" si="53"/>
        <v>3</v>
      </c>
      <c r="BI70" s="105">
        <f t="shared" si="53"/>
        <v>3</v>
      </c>
      <c r="BJ70" s="105">
        <f t="shared" si="53"/>
        <v>3</v>
      </c>
      <c r="BK70" s="105">
        <f t="shared" si="53"/>
        <v>3</v>
      </c>
      <c r="BL70" s="105">
        <f t="shared" si="53"/>
        <v>3</v>
      </c>
      <c r="BM70" s="105">
        <f t="shared" si="53"/>
        <v>3</v>
      </c>
      <c r="BN70" s="105">
        <f t="shared" si="53"/>
        <v>3</v>
      </c>
      <c r="BO70" s="105">
        <f t="shared" si="53"/>
        <v>3</v>
      </c>
      <c r="BP70" s="105">
        <f t="shared" si="53"/>
        <v>3</v>
      </c>
      <c r="BQ70" s="105">
        <f t="shared" si="53"/>
        <v>3</v>
      </c>
      <c r="BR70" s="105">
        <f t="shared" ref="BR70:CW70" si="54">BR61</f>
        <v>3</v>
      </c>
      <c r="BS70" s="105">
        <f t="shared" si="54"/>
        <v>3</v>
      </c>
      <c r="BT70" s="105">
        <f t="shared" si="54"/>
        <v>3</v>
      </c>
      <c r="BU70" s="105">
        <f t="shared" si="54"/>
        <v>3</v>
      </c>
      <c r="BV70" s="105">
        <f t="shared" si="54"/>
        <v>3</v>
      </c>
      <c r="BW70" s="105">
        <f t="shared" si="54"/>
        <v>3</v>
      </c>
      <c r="BX70" s="105">
        <f t="shared" si="54"/>
        <v>3</v>
      </c>
      <c r="BY70" s="105">
        <f t="shared" si="54"/>
        <v>3</v>
      </c>
      <c r="BZ70" s="105">
        <f t="shared" si="54"/>
        <v>3</v>
      </c>
      <c r="CA70" s="105">
        <f t="shared" si="54"/>
        <v>3</v>
      </c>
      <c r="CB70" s="105">
        <f t="shared" si="54"/>
        <v>3</v>
      </c>
      <c r="CC70" s="105">
        <f t="shared" si="54"/>
        <v>3</v>
      </c>
      <c r="CD70" s="105">
        <f t="shared" si="54"/>
        <v>3</v>
      </c>
      <c r="CE70" s="105">
        <f t="shared" si="54"/>
        <v>3</v>
      </c>
      <c r="CF70" s="105">
        <f t="shared" si="54"/>
        <v>3</v>
      </c>
      <c r="CG70" s="105">
        <f t="shared" si="54"/>
        <v>3</v>
      </c>
      <c r="CH70" s="105">
        <f t="shared" si="54"/>
        <v>3</v>
      </c>
      <c r="CI70" s="105">
        <f t="shared" si="54"/>
        <v>3</v>
      </c>
      <c r="CJ70" s="105">
        <f t="shared" si="54"/>
        <v>3</v>
      </c>
      <c r="CK70" s="105">
        <f t="shared" si="54"/>
        <v>3</v>
      </c>
      <c r="CL70" s="105">
        <f t="shared" si="54"/>
        <v>3</v>
      </c>
      <c r="CM70" s="105">
        <f t="shared" si="54"/>
        <v>3</v>
      </c>
      <c r="CN70" s="105">
        <f t="shared" si="54"/>
        <v>3</v>
      </c>
      <c r="CO70" s="105">
        <f t="shared" si="54"/>
        <v>3</v>
      </c>
      <c r="CP70" s="105">
        <f t="shared" si="54"/>
        <v>3</v>
      </c>
      <c r="CQ70" s="105">
        <f t="shared" si="54"/>
        <v>3</v>
      </c>
      <c r="CR70" s="105">
        <f t="shared" si="54"/>
        <v>3</v>
      </c>
      <c r="CS70" s="105">
        <f t="shared" si="54"/>
        <v>3</v>
      </c>
      <c r="CT70" s="105">
        <f t="shared" si="54"/>
        <v>3</v>
      </c>
      <c r="CU70" s="105">
        <f t="shared" si="54"/>
        <v>3</v>
      </c>
      <c r="CV70" s="105">
        <f t="shared" si="54"/>
        <v>3</v>
      </c>
      <c r="CW70" s="105">
        <f t="shared" si="54"/>
        <v>3</v>
      </c>
      <c r="CX70" s="105">
        <f t="shared" ref="CX70:EC70" si="55">CX61</f>
        <v>3</v>
      </c>
      <c r="CY70" s="105">
        <f t="shared" si="55"/>
        <v>3</v>
      </c>
      <c r="CZ70" s="105">
        <f t="shared" si="55"/>
        <v>3</v>
      </c>
      <c r="DA70" s="105">
        <f t="shared" si="55"/>
        <v>3</v>
      </c>
      <c r="DB70" s="105">
        <f t="shared" si="55"/>
        <v>3</v>
      </c>
      <c r="DC70" s="105">
        <f t="shared" si="55"/>
        <v>3</v>
      </c>
      <c r="DD70" s="105">
        <f t="shared" si="55"/>
        <v>3</v>
      </c>
      <c r="DE70" s="105">
        <f t="shared" si="55"/>
        <v>3</v>
      </c>
      <c r="DF70" s="105">
        <f t="shared" si="55"/>
        <v>3</v>
      </c>
      <c r="DG70" s="105">
        <f t="shared" si="55"/>
        <v>3</v>
      </c>
      <c r="DH70" s="105">
        <f t="shared" si="55"/>
        <v>3</v>
      </c>
      <c r="DI70" s="105">
        <f t="shared" si="55"/>
        <v>3</v>
      </c>
      <c r="DJ70" s="105">
        <f t="shared" si="55"/>
        <v>3</v>
      </c>
      <c r="DK70" s="105">
        <f t="shared" si="55"/>
        <v>3</v>
      </c>
      <c r="DL70" s="105">
        <f t="shared" si="55"/>
        <v>3</v>
      </c>
      <c r="DM70" s="105">
        <f t="shared" si="55"/>
        <v>3</v>
      </c>
      <c r="DN70" s="105">
        <f t="shared" si="55"/>
        <v>3</v>
      </c>
      <c r="DO70" s="105">
        <f t="shared" si="55"/>
        <v>3</v>
      </c>
      <c r="DP70" s="105">
        <f t="shared" si="55"/>
        <v>3</v>
      </c>
      <c r="DQ70" s="105">
        <f t="shared" si="55"/>
        <v>3</v>
      </c>
      <c r="DR70" s="105">
        <f t="shared" si="55"/>
        <v>3</v>
      </c>
      <c r="DS70" s="105">
        <f t="shared" si="55"/>
        <v>3</v>
      </c>
      <c r="DT70" s="105">
        <f t="shared" si="55"/>
        <v>3</v>
      </c>
      <c r="DU70" s="105">
        <f t="shared" si="55"/>
        <v>3</v>
      </c>
      <c r="DV70" s="105">
        <f t="shared" si="55"/>
        <v>3</v>
      </c>
      <c r="DW70" s="105">
        <f t="shared" si="55"/>
        <v>3</v>
      </c>
      <c r="DX70" s="105">
        <f t="shared" si="55"/>
        <v>3</v>
      </c>
      <c r="DY70" s="105">
        <f t="shared" si="55"/>
        <v>3</v>
      </c>
      <c r="DZ70" s="105">
        <f t="shared" si="55"/>
        <v>3</v>
      </c>
      <c r="EA70" s="105">
        <f t="shared" si="55"/>
        <v>3</v>
      </c>
      <c r="EB70" s="105">
        <f t="shared" si="55"/>
        <v>3</v>
      </c>
      <c r="EC70" s="105">
        <f t="shared" si="55"/>
        <v>3</v>
      </c>
      <c r="ED70" s="105">
        <f t="shared" ref="ED70:FI70" si="56">ED61</f>
        <v>3</v>
      </c>
      <c r="EE70" s="105">
        <f t="shared" si="56"/>
        <v>3</v>
      </c>
      <c r="EF70" s="105">
        <f t="shared" si="56"/>
        <v>3</v>
      </c>
      <c r="EG70" s="105">
        <f t="shared" si="56"/>
        <v>3</v>
      </c>
      <c r="EH70" s="105">
        <f t="shared" si="56"/>
        <v>3</v>
      </c>
      <c r="EI70" s="105">
        <f t="shared" si="56"/>
        <v>3</v>
      </c>
      <c r="EJ70" s="105">
        <f t="shared" si="56"/>
        <v>3</v>
      </c>
      <c r="EK70" s="105">
        <f t="shared" si="56"/>
        <v>3</v>
      </c>
      <c r="EL70" s="105">
        <f t="shared" si="56"/>
        <v>3</v>
      </c>
      <c r="EM70" s="105">
        <f t="shared" si="56"/>
        <v>3</v>
      </c>
      <c r="EN70" s="105">
        <f t="shared" si="56"/>
        <v>3</v>
      </c>
      <c r="EO70" s="105">
        <f t="shared" si="56"/>
        <v>3</v>
      </c>
      <c r="EP70" s="105">
        <f t="shared" si="56"/>
        <v>3</v>
      </c>
      <c r="EQ70" s="105">
        <f t="shared" si="56"/>
        <v>3</v>
      </c>
      <c r="ER70" s="105">
        <f t="shared" si="56"/>
        <v>3</v>
      </c>
      <c r="ES70" s="105">
        <f t="shared" si="56"/>
        <v>3</v>
      </c>
      <c r="ET70" s="105">
        <f t="shared" si="56"/>
        <v>3</v>
      </c>
      <c r="EU70" s="105">
        <f t="shared" si="56"/>
        <v>3</v>
      </c>
      <c r="EV70" s="105">
        <f t="shared" si="56"/>
        <v>3</v>
      </c>
      <c r="EW70" s="105">
        <f t="shared" si="56"/>
        <v>3</v>
      </c>
      <c r="EX70" s="105">
        <f t="shared" si="56"/>
        <v>3</v>
      </c>
      <c r="EY70" s="105">
        <f t="shared" si="56"/>
        <v>3</v>
      </c>
      <c r="EZ70" s="105">
        <f t="shared" si="56"/>
        <v>3</v>
      </c>
      <c r="FA70" s="105">
        <f t="shared" si="56"/>
        <v>3</v>
      </c>
      <c r="FB70" s="105">
        <f t="shared" si="56"/>
        <v>3</v>
      </c>
      <c r="FC70" s="105">
        <f t="shared" si="56"/>
        <v>3</v>
      </c>
      <c r="FD70" s="105">
        <f t="shared" si="56"/>
        <v>3</v>
      </c>
      <c r="FE70" s="105">
        <f t="shared" si="56"/>
        <v>3</v>
      </c>
      <c r="FF70" s="105">
        <f t="shared" si="56"/>
        <v>3</v>
      </c>
      <c r="FG70" s="105">
        <f t="shared" si="56"/>
        <v>3</v>
      </c>
      <c r="FH70" s="105">
        <f t="shared" si="56"/>
        <v>3</v>
      </c>
      <c r="FI70" s="105">
        <f t="shared" si="56"/>
        <v>3</v>
      </c>
      <c r="FJ70" s="105">
        <f t="shared" ref="FJ70:GC70" si="57">FJ61</f>
        <v>3</v>
      </c>
      <c r="FK70" s="105">
        <f t="shared" si="57"/>
        <v>3</v>
      </c>
      <c r="FL70" s="105">
        <f t="shared" si="57"/>
        <v>3</v>
      </c>
      <c r="FM70" s="105">
        <f t="shared" si="57"/>
        <v>3</v>
      </c>
      <c r="FN70" s="105">
        <f t="shared" si="57"/>
        <v>3</v>
      </c>
      <c r="FO70" s="105">
        <f t="shared" si="57"/>
        <v>3</v>
      </c>
      <c r="FP70" s="105">
        <f t="shared" si="57"/>
        <v>3</v>
      </c>
      <c r="FQ70" s="105">
        <f t="shared" si="57"/>
        <v>3</v>
      </c>
      <c r="FR70" s="105">
        <f t="shared" si="57"/>
        <v>3</v>
      </c>
      <c r="FS70" s="105">
        <f t="shared" si="57"/>
        <v>3</v>
      </c>
      <c r="FT70" s="105">
        <f t="shared" si="57"/>
        <v>3</v>
      </c>
      <c r="FU70" s="105">
        <f t="shared" si="57"/>
        <v>3</v>
      </c>
      <c r="FV70" s="105">
        <f t="shared" si="57"/>
        <v>3</v>
      </c>
      <c r="FW70" s="105">
        <f t="shared" si="57"/>
        <v>3</v>
      </c>
      <c r="FX70" s="105">
        <f t="shared" si="57"/>
        <v>3</v>
      </c>
      <c r="FY70" s="105">
        <f t="shared" si="57"/>
        <v>3</v>
      </c>
      <c r="FZ70" s="105">
        <f t="shared" si="57"/>
        <v>3</v>
      </c>
      <c r="GA70" s="105">
        <f t="shared" si="57"/>
        <v>3</v>
      </c>
      <c r="GB70" s="105">
        <f t="shared" si="57"/>
        <v>3</v>
      </c>
      <c r="GC70" s="105">
        <f t="shared" si="57"/>
        <v>3</v>
      </c>
    </row>
    <row r="71" spans="1:185">
      <c r="A71" s="80"/>
      <c r="B71" s="80" t="s">
        <v>108</v>
      </c>
      <c r="C71" s="80"/>
      <c r="D71" s="80"/>
      <c r="E71" s="82"/>
      <c r="F71" s="104">
        <f t="shared" ref="F71:AK71" si="58">F62</f>
        <v>30</v>
      </c>
      <c r="G71" s="104">
        <f t="shared" si="58"/>
        <v>30</v>
      </c>
      <c r="H71" s="104">
        <f t="shared" si="58"/>
        <v>30</v>
      </c>
      <c r="I71" s="104">
        <f t="shared" si="58"/>
        <v>30</v>
      </c>
      <c r="J71" s="104">
        <f t="shared" si="58"/>
        <v>30</v>
      </c>
      <c r="K71" s="104">
        <f t="shared" si="58"/>
        <v>30</v>
      </c>
      <c r="L71" s="104">
        <f t="shared" si="58"/>
        <v>30</v>
      </c>
      <c r="M71" s="104">
        <f t="shared" si="58"/>
        <v>30</v>
      </c>
      <c r="N71" s="104">
        <f t="shared" si="58"/>
        <v>30</v>
      </c>
      <c r="O71" s="104">
        <f t="shared" si="58"/>
        <v>30</v>
      </c>
      <c r="P71" s="104">
        <f t="shared" si="58"/>
        <v>30</v>
      </c>
      <c r="Q71" s="104">
        <f t="shared" si="58"/>
        <v>30</v>
      </c>
      <c r="R71" s="104">
        <f t="shared" si="58"/>
        <v>30</v>
      </c>
      <c r="S71" s="104">
        <f t="shared" si="58"/>
        <v>30</v>
      </c>
      <c r="T71" s="104">
        <f t="shared" si="58"/>
        <v>30</v>
      </c>
      <c r="U71" s="104">
        <f t="shared" si="58"/>
        <v>30</v>
      </c>
      <c r="V71" s="104">
        <f t="shared" si="58"/>
        <v>30</v>
      </c>
      <c r="W71" s="104">
        <f t="shared" si="58"/>
        <v>30</v>
      </c>
      <c r="X71" s="104">
        <f t="shared" si="58"/>
        <v>30</v>
      </c>
      <c r="Y71" s="104">
        <f t="shared" si="58"/>
        <v>30</v>
      </c>
      <c r="Z71" s="104">
        <f t="shared" si="58"/>
        <v>30</v>
      </c>
      <c r="AA71" s="104">
        <f t="shared" si="58"/>
        <v>30</v>
      </c>
      <c r="AB71" s="104">
        <f t="shared" si="58"/>
        <v>30</v>
      </c>
      <c r="AC71" s="104">
        <f t="shared" si="58"/>
        <v>30</v>
      </c>
      <c r="AD71" s="104">
        <f t="shared" si="58"/>
        <v>30</v>
      </c>
      <c r="AE71" s="104">
        <f t="shared" si="58"/>
        <v>30</v>
      </c>
      <c r="AF71" s="104">
        <f t="shared" si="58"/>
        <v>30</v>
      </c>
      <c r="AG71" s="104">
        <f t="shared" si="58"/>
        <v>30</v>
      </c>
      <c r="AH71" s="104">
        <f t="shared" si="58"/>
        <v>30</v>
      </c>
      <c r="AI71" s="104">
        <f t="shared" si="58"/>
        <v>30</v>
      </c>
      <c r="AJ71" s="104">
        <f t="shared" si="58"/>
        <v>30</v>
      </c>
      <c r="AK71" s="104">
        <f t="shared" si="58"/>
        <v>30</v>
      </c>
      <c r="AL71" s="104">
        <f t="shared" ref="AL71:BQ71" si="59">AL62</f>
        <v>30</v>
      </c>
      <c r="AM71" s="104">
        <f t="shared" si="59"/>
        <v>30</v>
      </c>
      <c r="AN71" s="104">
        <f t="shared" si="59"/>
        <v>30</v>
      </c>
      <c r="AO71" s="104">
        <f t="shared" si="59"/>
        <v>30</v>
      </c>
      <c r="AP71" s="104">
        <f t="shared" si="59"/>
        <v>30</v>
      </c>
      <c r="AQ71" s="104">
        <f t="shared" si="59"/>
        <v>30</v>
      </c>
      <c r="AR71" s="104">
        <f t="shared" si="59"/>
        <v>30</v>
      </c>
      <c r="AS71" s="104">
        <f t="shared" si="59"/>
        <v>30</v>
      </c>
      <c r="AT71" s="104">
        <f t="shared" si="59"/>
        <v>30</v>
      </c>
      <c r="AU71" s="104">
        <f t="shared" si="59"/>
        <v>30</v>
      </c>
      <c r="AV71" s="104">
        <f t="shared" si="59"/>
        <v>30</v>
      </c>
      <c r="AW71" s="104">
        <f t="shared" si="59"/>
        <v>30</v>
      </c>
      <c r="AX71" s="104">
        <f t="shared" si="59"/>
        <v>30</v>
      </c>
      <c r="AY71" s="104">
        <f t="shared" si="59"/>
        <v>30</v>
      </c>
      <c r="AZ71" s="104">
        <f t="shared" si="59"/>
        <v>30</v>
      </c>
      <c r="BA71" s="104">
        <f t="shared" si="59"/>
        <v>30</v>
      </c>
      <c r="BB71" s="104">
        <f t="shared" si="59"/>
        <v>30</v>
      </c>
      <c r="BC71" s="104">
        <f t="shared" si="59"/>
        <v>30</v>
      </c>
      <c r="BD71" s="104">
        <f t="shared" si="59"/>
        <v>30</v>
      </c>
      <c r="BE71" s="104">
        <f t="shared" si="59"/>
        <v>30</v>
      </c>
      <c r="BF71" s="104">
        <f t="shared" si="59"/>
        <v>30</v>
      </c>
      <c r="BG71" s="104">
        <f t="shared" si="59"/>
        <v>30</v>
      </c>
      <c r="BH71" s="104">
        <f t="shared" si="59"/>
        <v>30</v>
      </c>
      <c r="BI71" s="104">
        <f t="shared" si="59"/>
        <v>30</v>
      </c>
      <c r="BJ71" s="104">
        <f t="shared" si="59"/>
        <v>30</v>
      </c>
      <c r="BK71" s="104">
        <f t="shared" si="59"/>
        <v>30</v>
      </c>
      <c r="BL71" s="104">
        <f t="shared" si="59"/>
        <v>30</v>
      </c>
      <c r="BM71" s="104">
        <f t="shared" si="59"/>
        <v>30</v>
      </c>
      <c r="BN71" s="104">
        <f t="shared" si="59"/>
        <v>30</v>
      </c>
      <c r="BO71" s="104">
        <f t="shared" si="59"/>
        <v>30</v>
      </c>
      <c r="BP71" s="104">
        <f t="shared" si="59"/>
        <v>30</v>
      </c>
      <c r="BQ71" s="104">
        <f t="shared" si="59"/>
        <v>30</v>
      </c>
      <c r="BR71" s="104">
        <f t="shared" ref="BR71:CW71" si="60">BR62</f>
        <v>30</v>
      </c>
      <c r="BS71" s="104">
        <f t="shared" si="60"/>
        <v>30</v>
      </c>
      <c r="BT71" s="104">
        <f t="shared" si="60"/>
        <v>30</v>
      </c>
      <c r="BU71" s="104">
        <f t="shared" si="60"/>
        <v>30</v>
      </c>
      <c r="BV71" s="104">
        <f t="shared" si="60"/>
        <v>30</v>
      </c>
      <c r="BW71" s="104">
        <f t="shared" si="60"/>
        <v>30</v>
      </c>
      <c r="BX71" s="104">
        <f t="shared" si="60"/>
        <v>30</v>
      </c>
      <c r="BY71" s="104">
        <f t="shared" si="60"/>
        <v>30</v>
      </c>
      <c r="BZ71" s="104">
        <f t="shared" si="60"/>
        <v>30</v>
      </c>
      <c r="CA71" s="104">
        <f t="shared" si="60"/>
        <v>30</v>
      </c>
      <c r="CB71" s="104">
        <f t="shared" si="60"/>
        <v>30</v>
      </c>
      <c r="CC71" s="104">
        <f t="shared" si="60"/>
        <v>30</v>
      </c>
      <c r="CD71" s="104">
        <f t="shared" si="60"/>
        <v>30</v>
      </c>
      <c r="CE71" s="104">
        <f t="shared" si="60"/>
        <v>30</v>
      </c>
      <c r="CF71" s="104">
        <f t="shared" si="60"/>
        <v>30</v>
      </c>
      <c r="CG71" s="104">
        <f t="shared" si="60"/>
        <v>30</v>
      </c>
      <c r="CH71" s="104">
        <f t="shared" si="60"/>
        <v>30</v>
      </c>
      <c r="CI71" s="104">
        <f t="shared" si="60"/>
        <v>30</v>
      </c>
      <c r="CJ71" s="104">
        <f t="shared" si="60"/>
        <v>30</v>
      </c>
      <c r="CK71" s="104">
        <f t="shared" si="60"/>
        <v>30</v>
      </c>
      <c r="CL71" s="104">
        <f t="shared" si="60"/>
        <v>30</v>
      </c>
      <c r="CM71" s="104">
        <f t="shared" si="60"/>
        <v>30</v>
      </c>
      <c r="CN71" s="104">
        <f t="shared" si="60"/>
        <v>30</v>
      </c>
      <c r="CO71" s="104">
        <f t="shared" si="60"/>
        <v>30</v>
      </c>
      <c r="CP71" s="104">
        <f t="shared" si="60"/>
        <v>30</v>
      </c>
      <c r="CQ71" s="104">
        <f t="shared" si="60"/>
        <v>30</v>
      </c>
      <c r="CR71" s="104">
        <f t="shared" si="60"/>
        <v>30</v>
      </c>
      <c r="CS71" s="104">
        <f t="shared" si="60"/>
        <v>30</v>
      </c>
      <c r="CT71" s="104">
        <f t="shared" si="60"/>
        <v>30</v>
      </c>
      <c r="CU71" s="104">
        <f t="shared" si="60"/>
        <v>30</v>
      </c>
      <c r="CV71" s="104">
        <f t="shared" si="60"/>
        <v>30</v>
      </c>
      <c r="CW71" s="104">
        <f t="shared" si="60"/>
        <v>30</v>
      </c>
      <c r="CX71" s="104">
        <f t="shared" ref="CX71:EC71" si="61">CX62</f>
        <v>30</v>
      </c>
      <c r="CY71" s="104">
        <f t="shared" si="61"/>
        <v>30</v>
      </c>
      <c r="CZ71" s="104">
        <f t="shared" si="61"/>
        <v>30</v>
      </c>
      <c r="DA71" s="104">
        <f t="shared" si="61"/>
        <v>30</v>
      </c>
      <c r="DB71" s="104">
        <f t="shared" si="61"/>
        <v>30</v>
      </c>
      <c r="DC71" s="104">
        <f t="shared" si="61"/>
        <v>30</v>
      </c>
      <c r="DD71" s="104">
        <f t="shared" si="61"/>
        <v>30</v>
      </c>
      <c r="DE71" s="104">
        <f t="shared" si="61"/>
        <v>30</v>
      </c>
      <c r="DF71" s="104">
        <f t="shared" si="61"/>
        <v>30</v>
      </c>
      <c r="DG71" s="104">
        <f t="shared" si="61"/>
        <v>30</v>
      </c>
      <c r="DH71" s="104">
        <f t="shared" si="61"/>
        <v>30</v>
      </c>
      <c r="DI71" s="104">
        <f t="shared" si="61"/>
        <v>30</v>
      </c>
      <c r="DJ71" s="104">
        <f t="shared" si="61"/>
        <v>30</v>
      </c>
      <c r="DK71" s="104">
        <f t="shared" si="61"/>
        <v>30</v>
      </c>
      <c r="DL71" s="104">
        <f t="shared" si="61"/>
        <v>30</v>
      </c>
      <c r="DM71" s="104">
        <f t="shared" si="61"/>
        <v>30</v>
      </c>
      <c r="DN71" s="104">
        <f t="shared" si="61"/>
        <v>30</v>
      </c>
      <c r="DO71" s="104">
        <f t="shared" si="61"/>
        <v>30</v>
      </c>
      <c r="DP71" s="104">
        <f t="shared" si="61"/>
        <v>30</v>
      </c>
      <c r="DQ71" s="104">
        <f t="shared" si="61"/>
        <v>30</v>
      </c>
      <c r="DR71" s="104">
        <f t="shared" si="61"/>
        <v>30</v>
      </c>
      <c r="DS71" s="104">
        <f t="shared" si="61"/>
        <v>30</v>
      </c>
      <c r="DT71" s="104">
        <f t="shared" si="61"/>
        <v>30</v>
      </c>
      <c r="DU71" s="104">
        <f t="shared" si="61"/>
        <v>30</v>
      </c>
      <c r="DV71" s="104">
        <f t="shared" si="61"/>
        <v>30</v>
      </c>
      <c r="DW71" s="104">
        <f t="shared" si="61"/>
        <v>30</v>
      </c>
      <c r="DX71" s="104">
        <f t="shared" si="61"/>
        <v>30</v>
      </c>
      <c r="DY71" s="104">
        <f t="shared" si="61"/>
        <v>30</v>
      </c>
      <c r="DZ71" s="104">
        <f t="shared" si="61"/>
        <v>30</v>
      </c>
      <c r="EA71" s="104">
        <f t="shared" si="61"/>
        <v>30</v>
      </c>
      <c r="EB71" s="104">
        <f t="shared" si="61"/>
        <v>30</v>
      </c>
      <c r="EC71" s="104">
        <f t="shared" si="61"/>
        <v>30</v>
      </c>
      <c r="ED71" s="104">
        <f t="shared" ref="ED71:FI71" si="62">ED62</f>
        <v>30</v>
      </c>
      <c r="EE71" s="104">
        <f t="shared" si="62"/>
        <v>30</v>
      </c>
      <c r="EF71" s="104">
        <f t="shared" si="62"/>
        <v>30</v>
      </c>
      <c r="EG71" s="104">
        <f t="shared" si="62"/>
        <v>30</v>
      </c>
      <c r="EH71" s="104">
        <f t="shared" si="62"/>
        <v>30</v>
      </c>
      <c r="EI71" s="104">
        <f t="shared" si="62"/>
        <v>30</v>
      </c>
      <c r="EJ71" s="104">
        <f t="shared" si="62"/>
        <v>30</v>
      </c>
      <c r="EK71" s="104">
        <f t="shared" si="62"/>
        <v>30</v>
      </c>
      <c r="EL71" s="104">
        <f t="shared" si="62"/>
        <v>30</v>
      </c>
      <c r="EM71" s="104">
        <f t="shared" si="62"/>
        <v>30</v>
      </c>
      <c r="EN71" s="104">
        <f t="shared" si="62"/>
        <v>30</v>
      </c>
      <c r="EO71" s="104">
        <f t="shared" si="62"/>
        <v>30</v>
      </c>
      <c r="EP71" s="104">
        <f t="shared" si="62"/>
        <v>30</v>
      </c>
      <c r="EQ71" s="104">
        <f t="shared" si="62"/>
        <v>30</v>
      </c>
      <c r="ER71" s="104">
        <f t="shared" si="62"/>
        <v>30</v>
      </c>
      <c r="ES71" s="104">
        <f t="shared" si="62"/>
        <v>30</v>
      </c>
      <c r="ET71" s="104">
        <f t="shared" si="62"/>
        <v>30</v>
      </c>
      <c r="EU71" s="104">
        <f t="shared" si="62"/>
        <v>30</v>
      </c>
      <c r="EV71" s="104">
        <f t="shared" si="62"/>
        <v>30</v>
      </c>
      <c r="EW71" s="104">
        <f t="shared" si="62"/>
        <v>30</v>
      </c>
      <c r="EX71" s="104">
        <f t="shared" si="62"/>
        <v>30</v>
      </c>
      <c r="EY71" s="104">
        <f t="shared" si="62"/>
        <v>30</v>
      </c>
      <c r="EZ71" s="104">
        <f t="shared" si="62"/>
        <v>30</v>
      </c>
      <c r="FA71" s="104">
        <f t="shared" si="62"/>
        <v>30</v>
      </c>
      <c r="FB71" s="104">
        <f t="shared" si="62"/>
        <v>30</v>
      </c>
      <c r="FC71" s="104">
        <f t="shared" si="62"/>
        <v>30</v>
      </c>
      <c r="FD71" s="104">
        <f t="shared" si="62"/>
        <v>30</v>
      </c>
      <c r="FE71" s="104">
        <f t="shared" si="62"/>
        <v>30</v>
      </c>
      <c r="FF71" s="104">
        <f t="shared" si="62"/>
        <v>30</v>
      </c>
      <c r="FG71" s="104">
        <f t="shared" si="62"/>
        <v>30</v>
      </c>
      <c r="FH71" s="104">
        <f t="shared" si="62"/>
        <v>30</v>
      </c>
      <c r="FI71" s="104">
        <f t="shared" si="62"/>
        <v>30</v>
      </c>
      <c r="FJ71" s="104">
        <f t="shared" ref="FJ71:GC71" si="63">FJ62</f>
        <v>30</v>
      </c>
      <c r="FK71" s="104">
        <f t="shared" si="63"/>
        <v>30</v>
      </c>
      <c r="FL71" s="104">
        <f t="shared" si="63"/>
        <v>30</v>
      </c>
      <c r="FM71" s="104">
        <f t="shared" si="63"/>
        <v>30</v>
      </c>
      <c r="FN71" s="104">
        <f t="shared" si="63"/>
        <v>30</v>
      </c>
      <c r="FO71" s="104">
        <f t="shared" si="63"/>
        <v>30</v>
      </c>
      <c r="FP71" s="104">
        <f t="shared" si="63"/>
        <v>30</v>
      </c>
      <c r="FQ71" s="104">
        <f t="shared" si="63"/>
        <v>30</v>
      </c>
      <c r="FR71" s="104">
        <f t="shared" si="63"/>
        <v>30</v>
      </c>
      <c r="FS71" s="104">
        <f t="shared" si="63"/>
        <v>30</v>
      </c>
      <c r="FT71" s="104">
        <f t="shared" si="63"/>
        <v>30</v>
      </c>
      <c r="FU71" s="104">
        <f t="shared" si="63"/>
        <v>30</v>
      </c>
      <c r="FV71" s="104">
        <f t="shared" si="63"/>
        <v>30</v>
      </c>
      <c r="FW71" s="104">
        <f t="shared" si="63"/>
        <v>30</v>
      </c>
      <c r="FX71" s="104">
        <f t="shared" si="63"/>
        <v>30</v>
      </c>
      <c r="FY71" s="104">
        <f t="shared" si="63"/>
        <v>30</v>
      </c>
      <c r="FZ71" s="104">
        <f t="shared" si="63"/>
        <v>30</v>
      </c>
      <c r="GA71" s="104">
        <f t="shared" si="63"/>
        <v>30</v>
      </c>
      <c r="GB71" s="104">
        <f t="shared" si="63"/>
        <v>30</v>
      </c>
      <c r="GC71" s="104">
        <f t="shared" si="63"/>
        <v>30</v>
      </c>
    </row>
    <row r="72" spans="1:185">
      <c r="A72" s="80"/>
      <c r="B72" s="80" t="s">
        <v>106</v>
      </c>
      <c r="C72" s="80"/>
      <c r="D72" s="80"/>
      <c r="E72" s="82"/>
      <c r="F72" s="105">
        <f t="shared" ref="F72:AK72" si="64">F63</f>
        <v>0</v>
      </c>
      <c r="G72" s="105">
        <f t="shared" si="64"/>
        <v>0</v>
      </c>
      <c r="H72" s="105">
        <f t="shared" si="64"/>
        <v>0</v>
      </c>
      <c r="I72" s="105">
        <f t="shared" si="64"/>
        <v>0</v>
      </c>
      <c r="J72" s="105">
        <f t="shared" si="64"/>
        <v>0</v>
      </c>
      <c r="K72" s="105">
        <f t="shared" si="64"/>
        <v>0</v>
      </c>
      <c r="L72" s="105">
        <f t="shared" si="64"/>
        <v>0</v>
      </c>
      <c r="M72" s="105">
        <f t="shared" si="64"/>
        <v>3</v>
      </c>
      <c r="N72" s="105">
        <f t="shared" si="64"/>
        <v>3</v>
      </c>
      <c r="O72" s="105">
        <f t="shared" si="64"/>
        <v>3</v>
      </c>
      <c r="P72" s="105">
        <f t="shared" si="64"/>
        <v>3</v>
      </c>
      <c r="Q72" s="105">
        <f t="shared" si="64"/>
        <v>3</v>
      </c>
      <c r="R72" s="105">
        <f t="shared" si="64"/>
        <v>3</v>
      </c>
      <c r="S72" s="105">
        <f t="shared" si="64"/>
        <v>3</v>
      </c>
      <c r="T72" s="105">
        <f t="shared" si="64"/>
        <v>3</v>
      </c>
      <c r="U72" s="105">
        <f t="shared" si="64"/>
        <v>3</v>
      </c>
      <c r="V72" s="105">
        <f t="shared" si="64"/>
        <v>3</v>
      </c>
      <c r="W72" s="105">
        <f t="shared" si="64"/>
        <v>3</v>
      </c>
      <c r="X72" s="105">
        <f t="shared" si="64"/>
        <v>3</v>
      </c>
      <c r="Y72" s="105">
        <f t="shared" si="64"/>
        <v>3</v>
      </c>
      <c r="Z72" s="105">
        <f t="shared" si="64"/>
        <v>3</v>
      </c>
      <c r="AA72" s="105">
        <f t="shared" si="64"/>
        <v>3</v>
      </c>
      <c r="AB72" s="105">
        <f t="shared" si="64"/>
        <v>3</v>
      </c>
      <c r="AC72" s="105">
        <f t="shared" si="64"/>
        <v>3</v>
      </c>
      <c r="AD72" s="105">
        <f t="shared" si="64"/>
        <v>3</v>
      </c>
      <c r="AE72" s="105">
        <f t="shared" si="64"/>
        <v>3</v>
      </c>
      <c r="AF72" s="105">
        <f t="shared" si="64"/>
        <v>3</v>
      </c>
      <c r="AG72" s="105">
        <f t="shared" si="64"/>
        <v>3</v>
      </c>
      <c r="AH72" s="105">
        <f t="shared" si="64"/>
        <v>3</v>
      </c>
      <c r="AI72" s="105">
        <f t="shared" si="64"/>
        <v>3</v>
      </c>
      <c r="AJ72" s="105">
        <f t="shared" si="64"/>
        <v>3</v>
      </c>
      <c r="AK72" s="105">
        <f t="shared" si="64"/>
        <v>3</v>
      </c>
      <c r="AL72" s="105">
        <f t="shared" ref="AL72:BQ72" si="65">AL63</f>
        <v>3</v>
      </c>
      <c r="AM72" s="105">
        <f t="shared" si="65"/>
        <v>3</v>
      </c>
      <c r="AN72" s="105">
        <f t="shared" si="65"/>
        <v>3</v>
      </c>
      <c r="AO72" s="105">
        <f t="shared" si="65"/>
        <v>3</v>
      </c>
      <c r="AP72" s="105">
        <f t="shared" si="65"/>
        <v>3</v>
      </c>
      <c r="AQ72" s="105">
        <f t="shared" si="65"/>
        <v>3</v>
      </c>
      <c r="AR72" s="105">
        <f t="shared" si="65"/>
        <v>3</v>
      </c>
      <c r="AS72" s="105">
        <f t="shared" si="65"/>
        <v>3</v>
      </c>
      <c r="AT72" s="105">
        <f t="shared" si="65"/>
        <v>3</v>
      </c>
      <c r="AU72" s="105">
        <f t="shared" si="65"/>
        <v>3</v>
      </c>
      <c r="AV72" s="105">
        <f t="shared" si="65"/>
        <v>3</v>
      </c>
      <c r="AW72" s="105">
        <f t="shared" si="65"/>
        <v>3</v>
      </c>
      <c r="AX72" s="105">
        <f t="shared" si="65"/>
        <v>3</v>
      </c>
      <c r="AY72" s="105">
        <f t="shared" si="65"/>
        <v>3</v>
      </c>
      <c r="AZ72" s="105">
        <f t="shared" si="65"/>
        <v>3</v>
      </c>
      <c r="BA72" s="105">
        <f t="shared" si="65"/>
        <v>3</v>
      </c>
      <c r="BB72" s="105">
        <f t="shared" si="65"/>
        <v>3</v>
      </c>
      <c r="BC72" s="105">
        <f t="shared" si="65"/>
        <v>3</v>
      </c>
      <c r="BD72" s="105">
        <f t="shared" si="65"/>
        <v>3</v>
      </c>
      <c r="BE72" s="105">
        <f t="shared" si="65"/>
        <v>3</v>
      </c>
      <c r="BF72" s="105">
        <f t="shared" si="65"/>
        <v>3</v>
      </c>
      <c r="BG72" s="105">
        <f t="shared" si="65"/>
        <v>3</v>
      </c>
      <c r="BH72" s="105">
        <f t="shared" si="65"/>
        <v>3</v>
      </c>
      <c r="BI72" s="105">
        <f t="shared" si="65"/>
        <v>3</v>
      </c>
      <c r="BJ72" s="105">
        <f t="shared" si="65"/>
        <v>3</v>
      </c>
      <c r="BK72" s="105">
        <f t="shared" si="65"/>
        <v>3</v>
      </c>
      <c r="BL72" s="105">
        <f t="shared" si="65"/>
        <v>3</v>
      </c>
      <c r="BM72" s="105">
        <f t="shared" si="65"/>
        <v>3</v>
      </c>
      <c r="BN72" s="105">
        <f t="shared" si="65"/>
        <v>3</v>
      </c>
      <c r="BO72" s="105">
        <f t="shared" si="65"/>
        <v>3</v>
      </c>
      <c r="BP72" s="105">
        <f t="shared" si="65"/>
        <v>3</v>
      </c>
      <c r="BQ72" s="105">
        <f t="shared" si="65"/>
        <v>3</v>
      </c>
      <c r="BR72" s="105">
        <f t="shared" ref="BR72:CW72" si="66">BR63</f>
        <v>3</v>
      </c>
      <c r="BS72" s="105">
        <f t="shared" si="66"/>
        <v>3</v>
      </c>
      <c r="BT72" s="105">
        <f t="shared" si="66"/>
        <v>3</v>
      </c>
      <c r="BU72" s="105">
        <f t="shared" si="66"/>
        <v>3</v>
      </c>
      <c r="BV72" s="105">
        <f t="shared" si="66"/>
        <v>3</v>
      </c>
      <c r="BW72" s="105">
        <f t="shared" si="66"/>
        <v>3</v>
      </c>
      <c r="BX72" s="105">
        <f t="shared" si="66"/>
        <v>3</v>
      </c>
      <c r="BY72" s="105">
        <f t="shared" si="66"/>
        <v>3</v>
      </c>
      <c r="BZ72" s="105">
        <f t="shared" si="66"/>
        <v>3</v>
      </c>
      <c r="CA72" s="105">
        <f t="shared" si="66"/>
        <v>3</v>
      </c>
      <c r="CB72" s="105">
        <f t="shared" si="66"/>
        <v>3</v>
      </c>
      <c r="CC72" s="105">
        <f t="shared" si="66"/>
        <v>3</v>
      </c>
      <c r="CD72" s="105">
        <f t="shared" si="66"/>
        <v>3</v>
      </c>
      <c r="CE72" s="105">
        <f t="shared" si="66"/>
        <v>3</v>
      </c>
      <c r="CF72" s="105">
        <f t="shared" si="66"/>
        <v>3</v>
      </c>
      <c r="CG72" s="105">
        <f t="shared" si="66"/>
        <v>3</v>
      </c>
      <c r="CH72" s="105">
        <f t="shared" si="66"/>
        <v>3</v>
      </c>
      <c r="CI72" s="105">
        <f t="shared" si="66"/>
        <v>3</v>
      </c>
      <c r="CJ72" s="105">
        <f t="shared" si="66"/>
        <v>3</v>
      </c>
      <c r="CK72" s="105">
        <f t="shared" si="66"/>
        <v>3</v>
      </c>
      <c r="CL72" s="105">
        <f t="shared" si="66"/>
        <v>3</v>
      </c>
      <c r="CM72" s="105">
        <f t="shared" si="66"/>
        <v>3</v>
      </c>
      <c r="CN72" s="105">
        <f t="shared" si="66"/>
        <v>3</v>
      </c>
      <c r="CO72" s="105">
        <f t="shared" si="66"/>
        <v>3</v>
      </c>
      <c r="CP72" s="105">
        <f t="shared" si="66"/>
        <v>3</v>
      </c>
      <c r="CQ72" s="105">
        <f t="shared" si="66"/>
        <v>3</v>
      </c>
      <c r="CR72" s="105">
        <f t="shared" si="66"/>
        <v>3</v>
      </c>
      <c r="CS72" s="105">
        <f t="shared" si="66"/>
        <v>3</v>
      </c>
      <c r="CT72" s="105">
        <f t="shared" si="66"/>
        <v>3</v>
      </c>
      <c r="CU72" s="105">
        <f t="shared" si="66"/>
        <v>3</v>
      </c>
      <c r="CV72" s="105">
        <f t="shared" si="66"/>
        <v>3</v>
      </c>
      <c r="CW72" s="105">
        <f t="shared" si="66"/>
        <v>3</v>
      </c>
      <c r="CX72" s="105">
        <f t="shared" ref="CX72:EC72" si="67">CX63</f>
        <v>3</v>
      </c>
      <c r="CY72" s="105">
        <f t="shared" si="67"/>
        <v>3</v>
      </c>
      <c r="CZ72" s="105">
        <f t="shared" si="67"/>
        <v>3</v>
      </c>
      <c r="DA72" s="105">
        <f t="shared" si="67"/>
        <v>3</v>
      </c>
      <c r="DB72" s="105">
        <f t="shared" si="67"/>
        <v>3</v>
      </c>
      <c r="DC72" s="105">
        <f t="shared" si="67"/>
        <v>3</v>
      </c>
      <c r="DD72" s="105">
        <f t="shared" si="67"/>
        <v>3</v>
      </c>
      <c r="DE72" s="105">
        <f t="shared" si="67"/>
        <v>3</v>
      </c>
      <c r="DF72" s="105">
        <f t="shared" si="67"/>
        <v>3</v>
      </c>
      <c r="DG72" s="105">
        <f t="shared" si="67"/>
        <v>3</v>
      </c>
      <c r="DH72" s="105">
        <f t="shared" si="67"/>
        <v>3</v>
      </c>
      <c r="DI72" s="105">
        <f t="shared" si="67"/>
        <v>3</v>
      </c>
      <c r="DJ72" s="105">
        <f t="shared" si="67"/>
        <v>3</v>
      </c>
      <c r="DK72" s="105">
        <f t="shared" si="67"/>
        <v>3</v>
      </c>
      <c r="DL72" s="105">
        <f t="shared" si="67"/>
        <v>3</v>
      </c>
      <c r="DM72" s="105">
        <f t="shared" si="67"/>
        <v>3</v>
      </c>
      <c r="DN72" s="105">
        <f t="shared" si="67"/>
        <v>3</v>
      </c>
      <c r="DO72" s="105">
        <f t="shared" si="67"/>
        <v>3</v>
      </c>
      <c r="DP72" s="105">
        <f t="shared" si="67"/>
        <v>3</v>
      </c>
      <c r="DQ72" s="105">
        <f t="shared" si="67"/>
        <v>3</v>
      </c>
      <c r="DR72" s="105">
        <f t="shared" si="67"/>
        <v>3</v>
      </c>
      <c r="DS72" s="105">
        <f t="shared" si="67"/>
        <v>3</v>
      </c>
      <c r="DT72" s="105">
        <f t="shared" si="67"/>
        <v>3</v>
      </c>
      <c r="DU72" s="105">
        <f t="shared" si="67"/>
        <v>3</v>
      </c>
      <c r="DV72" s="105">
        <f t="shared" si="67"/>
        <v>3</v>
      </c>
      <c r="DW72" s="105">
        <f t="shared" si="67"/>
        <v>3</v>
      </c>
      <c r="DX72" s="105">
        <f t="shared" si="67"/>
        <v>3</v>
      </c>
      <c r="DY72" s="105">
        <f t="shared" si="67"/>
        <v>3</v>
      </c>
      <c r="DZ72" s="105">
        <f t="shared" si="67"/>
        <v>3</v>
      </c>
      <c r="EA72" s="105">
        <f t="shared" si="67"/>
        <v>3</v>
      </c>
      <c r="EB72" s="105">
        <f t="shared" si="67"/>
        <v>3</v>
      </c>
      <c r="EC72" s="105">
        <f t="shared" si="67"/>
        <v>3</v>
      </c>
      <c r="ED72" s="105">
        <f t="shared" ref="ED72:FI72" si="68">ED63</f>
        <v>3</v>
      </c>
      <c r="EE72" s="105">
        <f t="shared" si="68"/>
        <v>3</v>
      </c>
      <c r="EF72" s="105">
        <f t="shared" si="68"/>
        <v>3</v>
      </c>
      <c r="EG72" s="105">
        <f t="shared" si="68"/>
        <v>3</v>
      </c>
      <c r="EH72" s="105">
        <f t="shared" si="68"/>
        <v>3</v>
      </c>
      <c r="EI72" s="105">
        <f t="shared" si="68"/>
        <v>3</v>
      </c>
      <c r="EJ72" s="105">
        <f t="shared" si="68"/>
        <v>3</v>
      </c>
      <c r="EK72" s="105">
        <f t="shared" si="68"/>
        <v>3</v>
      </c>
      <c r="EL72" s="105">
        <f t="shared" si="68"/>
        <v>3</v>
      </c>
      <c r="EM72" s="105">
        <f t="shared" si="68"/>
        <v>3</v>
      </c>
      <c r="EN72" s="105">
        <f t="shared" si="68"/>
        <v>3</v>
      </c>
      <c r="EO72" s="105">
        <f t="shared" si="68"/>
        <v>3</v>
      </c>
      <c r="EP72" s="105">
        <f t="shared" si="68"/>
        <v>3</v>
      </c>
      <c r="EQ72" s="105">
        <f t="shared" si="68"/>
        <v>3</v>
      </c>
      <c r="ER72" s="105">
        <f t="shared" si="68"/>
        <v>3</v>
      </c>
      <c r="ES72" s="105">
        <f t="shared" si="68"/>
        <v>3</v>
      </c>
      <c r="ET72" s="105">
        <f t="shared" si="68"/>
        <v>3</v>
      </c>
      <c r="EU72" s="105">
        <f t="shared" si="68"/>
        <v>3</v>
      </c>
      <c r="EV72" s="105">
        <f t="shared" si="68"/>
        <v>3</v>
      </c>
      <c r="EW72" s="105">
        <f t="shared" si="68"/>
        <v>3</v>
      </c>
      <c r="EX72" s="105">
        <f t="shared" si="68"/>
        <v>3</v>
      </c>
      <c r="EY72" s="105">
        <f t="shared" si="68"/>
        <v>3</v>
      </c>
      <c r="EZ72" s="105">
        <f t="shared" si="68"/>
        <v>3</v>
      </c>
      <c r="FA72" s="105">
        <f t="shared" si="68"/>
        <v>3</v>
      </c>
      <c r="FB72" s="105">
        <f t="shared" si="68"/>
        <v>3</v>
      </c>
      <c r="FC72" s="105">
        <f t="shared" si="68"/>
        <v>3</v>
      </c>
      <c r="FD72" s="105">
        <f t="shared" si="68"/>
        <v>3</v>
      </c>
      <c r="FE72" s="105">
        <f t="shared" si="68"/>
        <v>3</v>
      </c>
      <c r="FF72" s="105">
        <f t="shared" si="68"/>
        <v>3</v>
      </c>
      <c r="FG72" s="105">
        <f t="shared" si="68"/>
        <v>3</v>
      </c>
      <c r="FH72" s="105">
        <f t="shared" si="68"/>
        <v>3</v>
      </c>
      <c r="FI72" s="105">
        <f t="shared" si="68"/>
        <v>3</v>
      </c>
      <c r="FJ72" s="105">
        <f t="shared" ref="FJ72:GC72" si="69">FJ63</f>
        <v>3</v>
      </c>
      <c r="FK72" s="105">
        <f t="shared" si="69"/>
        <v>3</v>
      </c>
      <c r="FL72" s="105">
        <f t="shared" si="69"/>
        <v>3</v>
      </c>
      <c r="FM72" s="105">
        <f t="shared" si="69"/>
        <v>3</v>
      </c>
      <c r="FN72" s="105">
        <f t="shared" si="69"/>
        <v>3</v>
      </c>
      <c r="FO72" s="105">
        <f t="shared" si="69"/>
        <v>3</v>
      </c>
      <c r="FP72" s="105">
        <f t="shared" si="69"/>
        <v>3</v>
      </c>
      <c r="FQ72" s="105">
        <f t="shared" si="69"/>
        <v>3</v>
      </c>
      <c r="FR72" s="105">
        <f t="shared" si="69"/>
        <v>3</v>
      </c>
      <c r="FS72" s="105">
        <f t="shared" si="69"/>
        <v>3</v>
      </c>
      <c r="FT72" s="105">
        <f t="shared" si="69"/>
        <v>3</v>
      </c>
      <c r="FU72" s="105">
        <f t="shared" si="69"/>
        <v>3</v>
      </c>
      <c r="FV72" s="105">
        <f t="shared" si="69"/>
        <v>3</v>
      </c>
      <c r="FW72" s="105">
        <f t="shared" si="69"/>
        <v>3</v>
      </c>
      <c r="FX72" s="105">
        <f t="shared" si="69"/>
        <v>3</v>
      </c>
      <c r="FY72" s="105">
        <f t="shared" si="69"/>
        <v>3</v>
      </c>
      <c r="FZ72" s="105">
        <f t="shared" si="69"/>
        <v>3</v>
      </c>
      <c r="GA72" s="105">
        <f t="shared" si="69"/>
        <v>3</v>
      </c>
      <c r="GB72" s="105">
        <f t="shared" si="69"/>
        <v>3</v>
      </c>
      <c r="GC72" s="105">
        <f t="shared" si="69"/>
        <v>3</v>
      </c>
    </row>
    <row r="73" spans="1:185">
      <c r="A73" s="80"/>
      <c r="B73" s="80" t="s">
        <v>109</v>
      </c>
      <c r="C73" s="80"/>
      <c r="D73" s="80"/>
      <c r="E73" s="82"/>
      <c r="F73" s="104">
        <f t="shared" ref="F73:AK73" si="70">F64</f>
        <v>25</v>
      </c>
      <c r="G73" s="104">
        <f t="shared" si="70"/>
        <v>25</v>
      </c>
      <c r="H73" s="104">
        <f t="shared" si="70"/>
        <v>25</v>
      </c>
      <c r="I73" s="104">
        <f t="shared" si="70"/>
        <v>25</v>
      </c>
      <c r="J73" s="104">
        <f t="shared" si="70"/>
        <v>25</v>
      </c>
      <c r="K73" s="104">
        <f t="shared" si="70"/>
        <v>25</v>
      </c>
      <c r="L73" s="104">
        <f t="shared" si="70"/>
        <v>25</v>
      </c>
      <c r="M73" s="104">
        <f t="shared" si="70"/>
        <v>25</v>
      </c>
      <c r="N73" s="104">
        <f t="shared" si="70"/>
        <v>25</v>
      </c>
      <c r="O73" s="104">
        <f t="shared" si="70"/>
        <v>25</v>
      </c>
      <c r="P73" s="104">
        <f t="shared" si="70"/>
        <v>25</v>
      </c>
      <c r="Q73" s="104">
        <f t="shared" si="70"/>
        <v>25</v>
      </c>
      <c r="R73" s="104">
        <f t="shared" si="70"/>
        <v>25</v>
      </c>
      <c r="S73" s="104">
        <f t="shared" si="70"/>
        <v>25</v>
      </c>
      <c r="T73" s="104">
        <f t="shared" si="70"/>
        <v>25</v>
      </c>
      <c r="U73" s="104">
        <f t="shared" si="70"/>
        <v>25</v>
      </c>
      <c r="V73" s="104">
        <f t="shared" si="70"/>
        <v>25</v>
      </c>
      <c r="W73" s="104">
        <f t="shared" si="70"/>
        <v>25</v>
      </c>
      <c r="X73" s="104">
        <f t="shared" si="70"/>
        <v>25</v>
      </c>
      <c r="Y73" s="104">
        <f t="shared" si="70"/>
        <v>25</v>
      </c>
      <c r="Z73" s="104">
        <f t="shared" si="70"/>
        <v>25</v>
      </c>
      <c r="AA73" s="104">
        <f t="shared" si="70"/>
        <v>25</v>
      </c>
      <c r="AB73" s="104">
        <f t="shared" si="70"/>
        <v>25</v>
      </c>
      <c r="AC73" s="104">
        <f t="shared" si="70"/>
        <v>25</v>
      </c>
      <c r="AD73" s="104">
        <f t="shared" si="70"/>
        <v>25</v>
      </c>
      <c r="AE73" s="104">
        <f t="shared" si="70"/>
        <v>25</v>
      </c>
      <c r="AF73" s="104">
        <f t="shared" si="70"/>
        <v>25</v>
      </c>
      <c r="AG73" s="104">
        <f t="shared" si="70"/>
        <v>25</v>
      </c>
      <c r="AH73" s="104">
        <f t="shared" si="70"/>
        <v>25</v>
      </c>
      <c r="AI73" s="104">
        <f t="shared" si="70"/>
        <v>25</v>
      </c>
      <c r="AJ73" s="104">
        <f t="shared" si="70"/>
        <v>25</v>
      </c>
      <c r="AK73" s="104">
        <f t="shared" si="70"/>
        <v>25</v>
      </c>
      <c r="AL73" s="104">
        <f t="shared" ref="AL73:BQ73" si="71">AL64</f>
        <v>25</v>
      </c>
      <c r="AM73" s="104">
        <f t="shared" si="71"/>
        <v>25</v>
      </c>
      <c r="AN73" s="104">
        <f t="shared" si="71"/>
        <v>25</v>
      </c>
      <c r="AO73" s="104">
        <f t="shared" si="71"/>
        <v>25</v>
      </c>
      <c r="AP73" s="104">
        <f t="shared" si="71"/>
        <v>25</v>
      </c>
      <c r="AQ73" s="104">
        <f t="shared" si="71"/>
        <v>25</v>
      </c>
      <c r="AR73" s="104">
        <f t="shared" si="71"/>
        <v>25</v>
      </c>
      <c r="AS73" s="104">
        <f t="shared" si="71"/>
        <v>25</v>
      </c>
      <c r="AT73" s="104">
        <f t="shared" si="71"/>
        <v>25</v>
      </c>
      <c r="AU73" s="104">
        <f t="shared" si="71"/>
        <v>25</v>
      </c>
      <c r="AV73" s="104">
        <f t="shared" si="71"/>
        <v>25</v>
      </c>
      <c r="AW73" s="104">
        <f t="shared" si="71"/>
        <v>25</v>
      </c>
      <c r="AX73" s="104">
        <f t="shared" si="71"/>
        <v>25</v>
      </c>
      <c r="AY73" s="104">
        <f t="shared" si="71"/>
        <v>25</v>
      </c>
      <c r="AZ73" s="104">
        <f t="shared" si="71"/>
        <v>25</v>
      </c>
      <c r="BA73" s="104">
        <f t="shared" si="71"/>
        <v>25</v>
      </c>
      <c r="BB73" s="104">
        <f t="shared" si="71"/>
        <v>25</v>
      </c>
      <c r="BC73" s="104">
        <f t="shared" si="71"/>
        <v>25</v>
      </c>
      <c r="BD73" s="104">
        <f t="shared" si="71"/>
        <v>25</v>
      </c>
      <c r="BE73" s="104">
        <f t="shared" si="71"/>
        <v>25</v>
      </c>
      <c r="BF73" s="104">
        <f t="shared" si="71"/>
        <v>25</v>
      </c>
      <c r="BG73" s="104">
        <f t="shared" si="71"/>
        <v>25</v>
      </c>
      <c r="BH73" s="104">
        <f t="shared" si="71"/>
        <v>25</v>
      </c>
      <c r="BI73" s="104">
        <f t="shared" si="71"/>
        <v>25</v>
      </c>
      <c r="BJ73" s="104">
        <f t="shared" si="71"/>
        <v>25</v>
      </c>
      <c r="BK73" s="104">
        <f t="shared" si="71"/>
        <v>25</v>
      </c>
      <c r="BL73" s="104">
        <f t="shared" si="71"/>
        <v>25</v>
      </c>
      <c r="BM73" s="104">
        <f t="shared" si="71"/>
        <v>25</v>
      </c>
      <c r="BN73" s="104">
        <f t="shared" si="71"/>
        <v>25</v>
      </c>
      <c r="BO73" s="104">
        <f t="shared" si="71"/>
        <v>25</v>
      </c>
      <c r="BP73" s="104">
        <f t="shared" si="71"/>
        <v>25</v>
      </c>
      <c r="BQ73" s="104">
        <f t="shared" si="71"/>
        <v>25</v>
      </c>
      <c r="BR73" s="104">
        <f t="shared" ref="BR73:CW73" si="72">BR64</f>
        <v>25</v>
      </c>
      <c r="BS73" s="104">
        <f t="shared" si="72"/>
        <v>25</v>
      </c>
      <c r="BT73" s="104">
        <f t="shared" si="72"/>
        <v>25</v>
      </c>
      <c r="BU73" s="104">
        <f t="shared" si="72"/>
        <v>25</v>
      </c>
      <c r="BV73" s="104">
        <f t="shared" si="72"/>
        <v>25</v>
      </c>
      <c r="BW73" s="104">
        <f t="shared" si="72"/>
        <v>25</v>
      </c>
      <c r="BX73" s="104">
        <f t="shared" si="72"/>
        <v>25</v>
      </c>
      <c r="BY73" s="104">
        <f t="shared" si="72"/>
        <v>25</v>
      </c>
      <c r="BZ73" s="104">
        <f t="shared" si="72"/>
        <v>25</v>
      </c>
      <c r="CA73" s="104">
        <f t="shared" si="72"/>
        <v>25</v>
      </c>
      <c r="CB73" s="104">
        <f t="shared" si="72"/>
        <v>25</v>
      </c>
      <c r="CC73" s="104">
        <f t="shared" si="72"/>
        <v>25</v>
      </c>
      <c r="CD73" s="104">
        <f t="shared" si="72"/>
        <v>25</v>
      </c>
      <c r="CE73" s="104">
        <f t="shared" si="72"/>
        <v>25</v>
      </c>
      <c r="CF73" s="104">
        <f t="shared" si="72"/>
        <v>25</v>
      </c>
      <c r="CG73" s="104">
        <f t="shared" si="72"/>
        <v>25</v>
      </c>
      <c r="CH73" s="104">
        <f t="shared" si="72"/>
        <v>25</v>
      </c>
      <c r="CI73" s="104">
        <f t="shared" si="72"/>
        <v>25</v>
      </c>
      <c r="CJ73" s="104">
        <f t="shared" si="72"/>
        <v>25</v>
      </c>
      <c r="CK73" s="104">
        <f t="shared" si="72"/>
        <v>25</v>
      </c>
      <c r="CL73" s="104">
        <f t="shared" si="72"/>
        <v>25</v>
      </c>
      <c r="CM73" s="104">
        <f t="shared" si="72"/>
        <v>25</v>
      </c>
      <c r="CN73" s="104">
        <f t="shared" si="72"/>
        <v>25</v>
      </c>
      <c r="CO73" s="104">
        <f t="shared" si="72"/>
        <v>25</v>
      </c>
      <c r="CP73" s="104">
        <f t="shared" si="72"/>
        <v>25</v>
      </c>
      <c r="CQ73" s="104">
        <f t="shared" si="72"/>
        <v>25</v>
      </c>
      <c r="CR73" s="104">
        <f t="shared" si="72"/>
        <v>25</v>
      </c>
      <c r="CS73" s="104">
        <f t="shared" si="72"/>
        <v>25</v>
      </c>
      <c r="CT73" s="104">
        <f t="shared" si="72"/>
        <v>25</v>
      </c>
      <c r="CU73" s="104">
        <f t="shared" si="72"/>
        <v>25</v>
      </c>
      <c r="CV73" s="104">
        <f t="shared" si="72"/>
        <v>25</v>
      </c>
      <c r="CW73" s="104">
        <f t="shared" si="72"/>
        <v>25</v>
      </c>
      <c r="CX73" s="104">
        <f t="shared" ref="CX73:EC73" si="73">CX64</f>
        <v>25</v>
      </c>
      <c r="CY73" s="104">
        <f t="shared" si="73"/>
        <v>25</v>
      </c>
      <c r="CZ73" s="104">
        <f t="shared" si="73"/>
        <v>25</v>
      </c>
      <c r="DA73" s="104">
        <f t="shared" si="73"/>
        <v>25</v>
      </c>
      <c r="DB73" s="104">
        <f t="shared" si="73"/>
        <v>25</v>
      </c>
      <c r="DC73" s="104">
        <f t="shared" si="73"/>
        <v>25</v>
      </c>
      <c r="DD73" s="104">
        <f t="shared" si="73"/>
        <v>25</v>
      </c>
      <c r="DE73" s="104">
        <f t="shared" si="73"/>
        <v>25</v>
      </c>
      <c r="DF73" s="104">
        <f t="shared" si="73"/>
        <v>25</v>
      </c>
      <c r="DG73" s="104">
        <f t="shared" si="73"/>
        <v>25</v>
      </c>
      <c r="DH73" s="104">
        <f t="shared" si="73"/>
        <v>25</v>
      </c>
      <c r="DI73" s="104">
        <f t="shared" si="73"/>
        <v>25</v>
      </c>
      <c r="DJ73" s="104">
        <f t="shared" si="73"/>
        <v>25</v>
      </c>
      <c r="DK73" s="104">
        <f t="shared" si="73"/>
        <v>25</v>
      </c>
      <c r="DL73" s="104">
        <f t="shared" si="73"/>
        <v>25</v>
      </c>
      <c r="DM73" s="104">
        <f t="shared" si="73"/>
        <v>25</v>
      </c>
      <c r="DN73" s="104">
        <f t="shared" si="73"/>
        <v>25</v>
      </c>
      <c r="DO73" s="104">
        <f t="shared" si="73"/>
        <v>25</v>
      </c>
      <c r="DP73" s="104">
        <f t="shared" si="73"/>
        <v>25</v>
      </c>
      <c r="DQ73" s="104">
        <f t="shared" si="73"/>
        <v>25</v>
      </c>
      <c r="DR73" s="104">
        <f t="shared" si="73"/>
        <v>25</v>
      </c>
      <c r="DS73" s="104">
        <f t="shared" si="73"/>
        <v>25</v>
      </c>
      <c r="DT73" s="104">
        <f t="shared" si="73"/>
        <v>25</v>
      </c>
      <c r="DU73" s="104">
        <f t="shared" si="73"/>
        <v>25</v>
      </c>
      <c r="DV73" s="104">
        <f t="shared" si="73"/>
        <v>25</v>
      </c>
      <c r="DW73" s="104">
        <f t="shared" si="73"/>
        <v>25</v>
      </c>
      <c r="DX73" s="104">
        <f t="shared" si="73"/>
        <v>25</v>
      </c>
      <c r="DY73" s="104">
        <f t="shared" si="73"/>
        <v>25</v>
      </c>
      <c r="DZ73" s="104">
        <f t="shared" si="73"/>
        <v>25</v>
      </c>
      <c r="EA73" s="104">
        <f t="shared" si="73"/>
        <v>25</v>
      </c>
      <c r="EB73" s="104">
        <f t="shared" si="73"/>
        <v>25</v>
      </c>
      <c r="EC73" s="104">
        <f t="shared" si="73"/>
        <v>25</v>
      </c>
      <c r="ED73" s="104">
        <f t="shared" ref="ED73:FI73" si="74">ED64</f>
        <v>25</v>
      </c>
      <c r="EE73" s="104">
        <f t="shared" si="74"/>
        <v>25</v>
      </c>
      <c r="EF73" s="104">
        <f t="shared" si="74"/>
        <v>25</v>
      </c>
      <c r="EG73" s="104">
        <f t="shared" si="74"/>
        <v>25</v>
      </c>
      <c r="EH73" s="104">
        <f t="shared" si="74"/>
        <v>25</v>
      </c>
      <c r="EI73" s="104">
        <f t="shared" si="74"/>
        <v>25</v>
      </c>
      <c r="EJ73" s="104">
        <f t="shared" si="74"/>
        <v>25</v>
      </c>
      <c r="EK73" s="104">
        <f t="shared" si="74"/>
        <v>25</v>
      </c>
      <c r="EL73" s="104">
        <f t="shared" si="74"/>
        <v>25</v>
      </c>
      <c r="EM73" s="104">
        <f t="shared" si="74"/>
        <v>25</v>
      </c>
      <c r="EN73" s="104">
        <f t="shared" si="74"/>
        <v>25</v>
      </c>
      <c r="EO73" s="104">
        <f t="shared" si="74"/>
        <v>25</v>
      </c>
      <c r="EP73" s="104">
        <f t="shared" si="74"/>
        <v>25</v>
      </c>
      <c r="EQ73" s="104">
        <f t="shared" si="74"/>
        <v>25</v>
      </c>
      <c r="ER73" s="104">
        <f t="shared" si="74"/>
        <v>25</v>
      </c>
      <c r="ES73" s="104">
        <f t="shared" si="74"/>
        <v>25</v>
      </c>
      <c r="ET73" s="104">
        <f t="shared" si="74"/>
        <v>25</v>
      </c>
      <c r="EU73" s="104">
        <f t="shared" si="74"/>
        <v>25</v>
      </c>
      <c r="EV73" s="104">
        <f t="shared" si="74"/>
        <v>25</v>
      </c>
      <c r="EW73" s="104">
        <f t="shared" si="74"/>
        <v>25</v>
      </c>
      <c r="EX73" s="104">
        <f t="shared" si="74"/>
        <v>25</v>
      </c>
      <c r="EY73" s="104">
        <f t="shared" si="74"/>
        <v>25</v>
      </c>
      <c r="EZ73" s="104">
        <f t="shared" si="74"/>
        <v>25</v>
      </c>
      <c r="FA73" s="104">
        <f t="shared" si="74"/>
        <v>25</v>
      </c>
      <c r="FB73" s="104">
        <f t="shared" si="74"/>
        <v>25</v>
      </c>
      <c r="FC73" s="104">
        <f t="shared" si="74"/>
        <v>25</v>
      </c>
      <c r="FD73" s="104">
        <f t="shared" si="74"/>
        <v>25</v>
      </c>
      <c r="FE73" s="104">
        <f t="shared" si="74"/>
        <v>25</v>
      </c>
      <c r="FF73" s="104">
        <f t="shared" si="74"/>
        <v>25</v>
      </c>
      <c r="FG73" s="104">
        <f t="shared" si="74"/>
        <v>25</v>
      </c>
      <c r="FH73" s="104">
        <f t="shared" si="74"/>
        <v>25</v>
      </c>
      <c r="FI73" s="104">
        <f t="shared" si="74"/>
        <v>25</v>
      </c>
      <c r="FJ73" s="104">
        <f t="shared" ref="FJ73:GC73" si="75">FJ64</f>
        <v>25</v>
      </c>
      <c r="FK73" s="104">
        <f t="shared" si="75"/>
        <v>25</v>
      </c>
      <c r="FL73" s="104">
        <f t="shared" si="75"/>
        <v>25</v>
      </c>
      <c r="FM73" s="104">
        <f t="shared" si="75"/>
        <v>25</v>
      </c>
      <c r="FN73" s="104">
        <f t="shared" si="75"/>
        <v>25</v>
      </c>
      <c r="FO73" s="104">
        <f t="shared" si="75"/>
        <v>25</v>
      </c>
      <c r="FP73" s="104">
        <f t="shared" si="75"/>
        <v>25</v>
      </c>
      <c r="FQ73" s="104">
        <f t="shared" si="75"/>
        <v>25</v>
      </c>
      <c r="FR73" s="104">
        <f t="shared" si="75"/>
        <v>25</v>
      </c>
      <c r="FS73" s="104">
        <f t="shared" si="75"/>
        <v>25</v>
      </c>
      <c r="FT73" s="104">
        <f t="shared" si="75"/>
        <v>25</v>
      </c>
      <c r="FU73" s="104">
        <f t="shared" si="75"/>
        <v>25</v>
      </c>
      <c r="FV73" s="104">
        <f t="shared" si="75"/>
        <v>25</v>
      </c>
      <c r="FW73" s="104">
        <f t="shared" si="75"/>
        <v>25</v>
      </c>
      <c r="FX73" s="104">
        <f t="shared" si="75"/>
        <v>25</v>
      </c>
      <c r="FY73" s="104">
        <f t="shared" si="75"/>
        <v>25</v>
      </c>
      <c r="FZ73" s="104">
        <f t="shared" si="75"/>
        <v>25</v>
      </c>
      <c r="GA73" s="104">
        <f t="shared" si="75"/>
        <v>25</v>
      </c>
      <c r="GB73" s="104">
        <f t="shared" si="75"/>
        <v>25</v>
      </c>
      <c r="GC73" s="104">
        <f t="shared" si="75"/>
        <v>25</v>
      </c>
    </row>
    <row r="74" spans="1:185">
      <c r="A74" s="80"/>
      <c r="B74" s="80" t="s">
        <v>106</v>
      </c>
      <c r="C74" s="80"/>
      <c r="D74" s="80"/>
      <c r="E74" s="82"/>
      <c r="F74" s="105">
        <f t="shared" ref="F74:AK74" si="76">F65</f>
        <v>0</v>
      </c>
      <c r="G74" s="105">
        <f t="shared" si="76"/>
        <v>0</v>
      </c>
      <c r="H74" s="105">
        <f t="shared" si="76"/>
        <v>0</v>
      </c>
      <c r="I74" s="105">
        <f t="shared" si="76"/>
        <v>0</v>
      </c>
      <c r="J74" s="105">
        <f t="shared" si="76"/>
        <v>0</v>
      </c>
      <c r="K74" s="105">
        <f t="shared" si="76"/>
        <v>0</v>
      </c>
      <c r="L74" s="105">
        <f t="shared" si="76"/>
        <v>0</v>
      </c>
      <c r="M74" s="105">
        <f t="shared" si="76"/>
        <v>3</v>
      </c>
      <c r="N74" s="105">
        <f t="shared" si="76"/>
        <v>3</v>
      </c>
      <c r="O74" s="105">
        <f t="shared" si="76"/>
        <v>3</v>
      </c>
      <c r="P74" s="105">
        <f t="shared" si="76"/>
        <v>3</v>
      </c>
      <c r="Q74" s="105">
        <f t="shared" si="76"/>
        <v>3</v>
      </c>
      <c r="R74" s="105">
        <f t="shared" si="76"/>
        <v>3</v>
      </c>
      <c r="S74" s="105">
        <f t="shared" si="76"/>
        <v>3</v>
      </c>
      <c r="T74" s="105">
        <f t="shared" si="76"/>
        <v>3</v>
      </c>
      <c r="U74" s="105">
        <f t="shared" si="76"/>
        <v>3</v>
      </c>
      <c r="V74" s="105">
        <f t="shared" si="76"/>
        <v>3</v>
      </c>
      <c r="W74" s="105">
        <f t="shared" si="76"/>
        <v>3</v>
      </c>
      <c r="X74" s="105">
        <f t="shared" si="76"/>
        <v>3</v>
      </c>
      <c r="Y74" s="105">
        <f t="shared" si="76"/>
        <v>3</v>
      </c>
      <c r="Z74" s="105">
        <f t="shared" si="76"/>
        <v>3</v>
      </c>
      <c r="AA74" s="105">
        <f t="shared" si="76"/>
        <v>3</v>
      </c>
      <c r="AB74" s="105">
        <f t="shared" si="76"/>
        <v>3</v>
      </c>
      <c r="AC74" s="105">
        <f t="shared" si="76"/>
        <v>3</v>
      </c>
      <c r="AD74" s="105">
        <f t="shared" si="76"/>
        <v>3</v>
      </c>
      <c r="AE74" s="105">
        <f t="shared" si="76"/>
        <v>3</v>
      </c>
      <c r="AF74" s="105">
        <f t="shared" si="76"/>
        <v>3</v>
      </c>
      <c r="AG74" s="105">
        <f t="shared" si="76"/>
        <v>3</v>
      </c>
      <c r="AH74" s="105">
        <f t="shared" si="76"/>
        <v>3</v>
      </c>
      <c r="AI74" s="105">
        <f t="shared" si="76"/>
        <v>3</v>
      </c>
      <c r="AJ74" s="105">
        <f t="shared" si="76"/>
        <v>3</v>
      </c>
      <c r="AK74" s="105">
        <f t="shared" si="76"/>
        <v>3</v>
      </c>
      <c r="AL74" s="105">
        <f t="shared" ref="AL74:BQ74" si="77">AL65</f>
        <v>3</v>
      </c>
      <c r="AM74" s="105">
        <f t="shared" si="77"/>
        <v>3</v>
      </c>
      <c r="AN74" s="105">
        <f t="shared" si="77"/>
        <v>3</v>
      </c>
      <c r="AO74" s="105">
        <f t="shared" si="77"/>
        <v>3</v>
      </c>
      <c r="AP74" s="105">
        <f t="shared" si="77"/>
        <v>3</v>
      </c>
      <c r="AQ74" s="105">
        <f t="shared" si="77"/>
        <v>3</v>
      </c>
      <c r="AR74" s="105">
        <f t="shared" si="77"/>
        <v>3</v>
      </c>
      <c r="AS74" s="105">
        <f t="shared" si="77"/>
        <v>3</v>
      </c>
      <c r="AT74" s="105">
        <f t="shared" si="77"/>
        <v>3</v>
      </c>
      <c r="AU74" s="105">
        <f t="shared" si="77"/>
        <v>3</v>
      </c>
      <c r="AV74" s="105">
        <f t="shared" si="77"/>
        <v>3</v>
      </c>
      <c r="AW74" s="105">
        <f t="shared" si="77"/>
        <v>3</v>
      </c>
      <c r="AX74" s="105">
        <f t="shared" si="77"/>
        <v>3</v>
      </c>
      <c r="AY74" s="105">
        <f t="shared" si="77"/>
        <v>3</v>
      </c>
      <c r="AZ74" s="105">
        <f t="shared" si="77"/>
        <v>3</v>
      </c>
      <c r="BA74" s="105">
        <f t="shared" si="77"/>
        <v>3</v>
      </c>
      <c r="BB74" s="105">
        <f t="shared" si="77"/>
        <v>3</v>
      </c>
      <c r="BC74" s="105">
        <f t="shared" si="77"/>
        <v>3</v>
      </c>
      <c r="BD74" s="105">
        <f t="shared" si="77"/>
        <v>3</v>
      </c>
      <c r="BE74" s="105">
        <f t="shared" si="77"/>
        <v>3</v>
      </c>
      <c r="BF74" s="105">
        <f t="shared" si="77"/>
        <v>3</v>
      </c>
      <c r="BG74" s="105">
        <f t="shared" si="77"/>
        <v>3</v>
      </c>
      <c r="BH74" s="105">
        <f t="shared" si="77"/>
        <v>3</v>
      </c>
      <c r="BI74" s="105">
        <f t="shared" si="77"/>
        <v>3</v>
      </c>
      <c r="BJ74" s="105">
        <f t="shared" si="77"/>
        <v>3</v>
      </c>
      <c r="BK74" s="105">
        <f t="shared" si="77"/>
        <v>3</v>
      </c>
      <c r="BL74" s="105">
        <f t="shared" si="77"/>
        <v>3</v>
      </c>
      <c r="BM74" s="105">
        <f t="shared" si="77"/>
        <v>3</v>
      </c>
      <c r="BN74" s="105">
        <f t="shared" si="77"/>
        <v>3</v>
      </c>
      <c r="BO74" s="105">
        <f t="shared" si="77"/>
        <v>3</v>
      </c>
      <c r="BP74" s="105">
        <f t="shared" si="77"/>
        <v>3</v>
      </c>
      <c r="BQ74" s="105">
        <f t="shared" si="77"/>
        <v>3</v>
      </c>
      <c r="BR74" s="105">
        <f t="shared" ref="BR74:CW74" si="78">BR65</f>
        <v>3</v>
      </c>
      <c r="BS74" s="105">
        <f t="shared" si="78"/>
        <v>3</v>
      </c>
      <c r="BT74" s="105">
        <f t="shared" si="78"/>
        <v>3</v>
      </c>
      <c r="BU74" s="105">
        <f t="shared" si="78"/>
        <v>3</v>
      </c>
      <c r="BV74" s="105">
        <f t="shared" si="78"/>
        <v>3</v>
      </c>
      <c r="BW74" s="105">
        <f t="shared" si="78"/>
        <v>3</v>
      </c>
      <c r="BX74" s="105">
        <f t="shared" si="78"/>
        <v>3</v>
      </c>
      <c r="BY74" s="105">
        <f t="shared" si="78"/>
        <v>3</v>
      </c>
      <c r="BZ74" s="105">
        <f t="shared" si="78"/>
        <v>3</v>
      </c>
      <c r="CA74" s="105">
        <f t="shared" si="78"/>
        <v>3</v>
      </c>
      <c r="CB74" s="105">
        <f t="shared" si="78"/>
        <v>3</v>
      </c>
      <c r="CC74" s="105">
        <f t="shared" si="78"/>
        <v>3</v>
      </c>
      <c r="CD74" s="105">
        <f t="shared" si="78"/>
        <v>3</v>
      </c>
      <c r="CE74" s="105">
        <f t="shared" si="78"/>
        <v>3</v>
      </c>
      <c r="CF74" s="105">
        <f t="shared" si="78"/>
        <v>3</v>
      </c>
      <c r="CG74" s="105">
        <f t="shared" si="78"/>
        <v>3</v>
      </c>
      <c r="CH74" s="105">
        <f t="shared" si="78"/>
        <v>3</v>
      </c>
      <c r="CI74" s="105">
        <f t="shared" si="78"/>
        <v>3</v>
      </c>
      <c r="CJ74" s="105">
        <f t="shared" si="78"/>
        <v>3</v>
      </c>
      <c r="CK74" s="105">
        <f t="shared" si="78"/>
        <v>3</v>
      </c>
      <c r="CL74" s="105">
        <f t="shared" si="78"/>
        <v>3</v>
      </c>
      <c r="CM74" s="105">
        <f t="shared" si="78"/>
        <v>3</v>
      </c>
      <c r="CN74" s="105">
        <f t="shared" si="78"/>
        <v>3</v>
      </c>
      <c r="CO74" s="105">
        <f t="shared" si="78"/>
        <v>3</v>
      </c>
      <c r="CP74" s="105">
        <f t="shared" si="78"/>
        <v>3</v>
      </c>
      <c r="CQ74" s="105">
        <f t="shared" si="78"/>
        <v>3</v>
      </c>
      <c r="CR74" s="105">
        <f t="shared" si="78"/>
        <v>3</v>
      </c>
      <c r="CS74" s="105">
        <f t="shared" si="78"/>
        <v>3</v>
      </c>
      <c r="CT74" s="105">
        <f t="shared" si="78"/>
        <v>3</v>
      </c>
      <c r="CU74" s="105">
        <f t="shared" si="78"/>
        <v>3</v>
      </c>
      <c r="CV74" s="105">
        <f t="shared" si="78"/>
        <v>3</v>
      </c>
      <c r="CW74" s="105">
        <f t="shared" si="78"/>
        <v>3</v>
      </c>
      <c r="CX74" s="105">
        <f t="shared" ref="CX74:EC74" si="79">CX65</f>
        <v>3</v>
      </c>
      <c r="CY74" s="105">
        <f t="shared" si="79"/>
        <v>3</v>
      </c>
      <c r="CZ74" s="105">
        <f t="shared" si="79"/>
        <v>3</v>
      </c>
      <c r="DA74" s="105">
        <f t="shared" si="79"/>
        <v>3</v>
      </c>
      <c r="DB74" s="105">
        <f t="shared" si="79"/>
        <v>3</v>
      </c>
      <c r="DC74" s="105">
        <f t="shared" si="79"/>
        <v>3</v>
      </c>
      <c r="DD74" s="105">
        <f t="shared" si="79"/>
        <v>3</v>
      </c>
      <c r="DE74" s="105">
        <f t="shared" si="79"/>
        <v>3</v>
      </c>
      <c r="DF74" s="105">
        <f t="shared" si="79"/>
        <v>3</v>
      </c>
      <c r="DG74" s="105">
        <f t="shared" si="79"/>
        <v>3</v>
      </c>
      <c r="DH74" s="105">
        <f t="shared" si="79"/>
        <v>3</v>
      </c>
      <c r="DI74" s="105">
        <f t="shared" si="79"/>
        <v>3</v>
      </c>
      <c r="DJ74" s="105">
        <f t="shared" si="79"/>
        <v>3</v>
      </c>
      <c r="DK74" s="105">
        <f t="shared" si="79"/>
        <v>3</v>
      </c>
      <c r="DL74" s="105">
        <f t="shared" si="79"/>
        <v>3</v>
      </c>
      <c r="DM74" s="105">
        <f t="shared" si="79"/>
        <v>3</v>
      </c>
      <c r="DN74" s="105">
        <f t="shared" si="79"/>
        <v>3</v>
      </c>
      <c r="DO74" s="105">
        <f t="shared" si="79"/>
        <v>3</v>
      </c>
      <c r="DP74" s="105">
        <f t="shared" si="79"/>
        <v>3</v>
      </c>
      <c r="DQ74" s="105">
        <f t="shared" si="79"/>
        <v>3</v>
      </c>
      <c r="DR74" s="105">
        <f t="shared" si="79"/>
        <v>3</v>
      </c>
      <c r="DS74" s="105">
        <f t="shared" si="79"/>
        <v>3</v>
      </c>
      <c r="DT74" s="105">
        <f t="shared" si="79"/>
        <v>3</v>
      </c>
      <c r="DU74" s="105">
        <f t="shared" si="79"/>
        <v>3</v>
      </c>
      <c r="DV74" s="105">
        <f t="shared" si="79"/>
        <v>3</v>
      </c>
      <c r="DW74" s="105">
        <f t="shared" si="79"/>
        <v>3</v>
      </c>
      <c r="DX74" s="105">
        <f t="shared" si="79"/>
        <v>3</v>
      </c>
      <c r="DY74" s="105">
        <f t="shared" si="79"/>
        <v>3</v>
      </c>
      <c r="DZ74" s="105">
        <f t="shared" si="79"/>
        <v>3</v>
      </c>
      <c r="EA74" s="105">
        <f t="shared" si="79"/>
        <v>3</v>
      </c>
      <c r="EB74" s="105">
        <f t="shared" si="79"/>
        <v>3</v>
      </c>
      <c r="EC74" s="105">
        <f t="shared" si="79"/>
        <v>3</v>
      </c>
      <c r="ED74" s="105">
        <f t="shared" ref="ED74:FI74" si="80">ED65</f>
        <v>3</v>
      </c>
      <c r="EE74" s="105">
        <f t="shared" si="80"/>
        <v>3</v>
      </c>
      <c r="EF74" s="105">
        <f t="shared" si="80"/>
        <v>3</v>
      </c>
      <c r="EG74" s="105">
        <f t="shared" si="80"/>
        <v>3</v>
      </c>
      <c r="EH74" s="105">
        <f t="shared" si="80"/>
        <v>3</v>
      </c>
      <c r="EI74" s="105">
        <f t="shared" si="80"/>
        <v>3</v>
      </c>
      <c r="EJ74" s="105">
        <f t="shared" si="80"/>
        <v>3</v>
      </c>
      <c r="EK74" s="105">
        <f t="shared" si="80"/>
        <v>3</v>
      </c>
      <c r="EL74" s="105">
        <f t="shared" si="80"/>
        <v>3</v>
      </c>
      <c r="EM74" s="105">
        <f t="shared" si="80"/>
        <v>3</v>
      </c>
      <c r="EN74" s="105">
        <f t="shared" si="80"/>
        <v>3</v>
      </c>
      <c r="EO74" s="105">
        <f t="shared" si="80"/>
        <v>3</v>
      </c>
      <c r="EP74" s="105">
        <f t="shared" si="80"/>
        <v>3</v>
      </c>
      <c r="EQ74" s="105">
        <f t="shared" si="80"/>
        <v>3</v>
      </c>
      <c r="ER74" s="105">
        <f t="shared" si="80"/>
        <v>3</v>
      </c>
      <c r="ES74" s="105">
        <f t="shared" si="80"/>
        <v>3</v>
      </c>
      <c r="ET74" s="105">
        <f t="shared" si="80"/>
        <v>3</v>
      </c>
      <c r="EU74" s="105">
        <f t="shared" si="80"/>
        <v>3</v>
      </c>
      <c r="EV74" s="105">
        <f t="shared" si="80"/>
        <v>3</v>
      </c>
      <c r="EW74" s="105">
        <f t="shared" si="80"/>
        <v>3</v>
      </c>
      <c r="EX74" s="105">
        <f t="shared" si="80"/>
        <v>3</v>
      </c>
      <c r="EY74" s="105">
        <f t="shared" si="80"/>
        <v>3</v>
      </c>
      <c r="EZ74" s="105">
        <f t="shared" si="80"/>
        <v>3</v>
      </c>
      <c r="FA74" s="105">
        <f t="shared" si="80"/>
        <v>3</v>
      </c>
      <c r="FB74" s="105">
        <f t="shared" si="80"/>
        <v>3</v>
      </c>
      <c r="FC74" s="105">
        <f t="shared" si="80"/>
        <v>3</v>
      </c>
      <c r="FD74" s="105">
        <f t="shared" si="80"/>
        <v>3</v>
      </c>
      <c r="FE74" s="105">
        <f t="shared" si="80"/>
        <v>3</v>
      </c>
      <c r="FF74" s="105">
        <f t="shared" si="80"/>
        <v>3</v>
      </c>
      <c r="FG74" s="105">
        <f t="shared" si="80"/>
        <v>3</v>
      </c>
      <c r="FH74" s="105">
        <f t="shared" si="80"/>
        <v>3</v>
      </c>
      <c r="FI74" s="105">
        <f t="shared" si="80"/>
        <v>3</v>
      </c>
      <c r="FJ74" s="105">
        <f t="shared" ref="FJ74:GC74" si="81">FJ65</f>
        <v>3</v>
      </c>
      <c r="FK74" s="105">
        <f t="shared" si="81"/>
        <v>3</v>
      </c>
      <c r="FL74" s="105">
        <f t="shared" si="81"/>
        <v>3</v>
      </c>
      <c r="FM74" s="105">
        <f t="shared" si="81"/>
        <v>3</v>
      </c>
      <c r="FN74" s="105">
        <f t="shared" si="81"/>
        <v>3</v>
      </c>
      <c r="FO74" s="105">
        <f t="shared" si="81"/>
        <v>3</v>
      </c>
      <c r="FP74" s="105">
        <f t="shared" si="81"/>
        <v>3</v>
      </c>
      <c r="FQ74" s="105">
        <f t="shared" si="81"/>
        <v>3</v>
      </c>
      <c r="FR74" s="105">
        <f t="shared" si="81"/>
        <v>3</v>
      </c>
      <c r="FS74" s="105">
        <f t="shared" si="81"/>
        <v>3</v>
      </c>
      <c r="FT74" s="105">
        <f t="shared" si="81"/>
        <v>3</v>
      </c>
      <c r="FU74" s="105">
        <f t="shared" si="81"/>
        <v>3</v>
      </c>
      <c r="FV74" s="105">
        <f t="shared" si="81"/>
        <v>3</v>
      </c>
      <c r="FW74" s="105">
        <f t="shared" si="81"/>
        <v>3</v>
      </c>
      <c r="FX74" s="105">
        <f t="shared" si="81"/>
        <v>3</v>
      </c>
      <c r="FY74" s="105">
        <f t="shared" si="81"/>
        <v>3</v>
      </c>
      <c r="FZ74" s="105">
        <f t="shared" si="81"/>
        <v>3</v>
      </c>
      <c r="GA74" s="105">
        <f t="shared" si="81"/>
        <v>3</v>
      </c>
      <c r="GB74" s="105">
        <f t="shared" si="81"/>
        <v>3</v>
      </c>
      <c r="GC74" s="105">
        <f t="shared" si="81"/>
        <v>3</v>
      </c>
    </row>
    <row r="75" spans="1:185">
      <c r="A75" s="80"/>
      <c r="B75" s="80"/>
      <c r="C75" s="80"/>
      <c r="D75" s="80"/>
      <c r="E75" s="82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P75" s="106"/>
      <c r="CQ75" s="106"/>
      <c r="CR75" s="106"/>
      <c r="CS75" s="106"/>
      <c r="CT75" s="106"/>
      <c r="CU75" s="106"/>
      <c r="CV75" s="106"/>
      <c r="CW75" s="106"/>
      <c r="CX75" s="106"/>
      <c r="CY75" s="106"/>
      <c r="CZ75" s="106"/>
      <c r="DA75" s="106"/>
      <c r="DB75" s="106"/>
      <c r="DC75" s="106"/>
      <c r="DD75" s="106"/>
      <c r="DE75" s="106"/>
      <c r="DF75" s="106"/>
      <c r="DG75" s="106"/>
      <c r="DH75" s="106"/>
      <c r="DI75" s="106"/>
      <c r="DJ75" s="106"/>
      <c r="DK75" s="106"/>
      <c r="DL75" s="106"/>
      <c r="DM75" s="106"/>
      <c r="DN75" s="106"/>
      <c r="DO75" s="106"/>
      <c r="DP75" s="106"/>
      <c r="DQ75" s="106"/>
      <c r="DR75" s="106"/>
      <c r="DS75" s="106"/>
      <c r="DT75" s="106"/>
      <c r="DU75" s="106"/>
      <c r="DV75" s="106"/>
      <c r="DW75" s="106"/>
      <c r="DX75" s="106"/>
      <c r="DY75" s="106"/>
      <c r="DZ75" s="106"/>
      <c r="EA75" s="106"/>
      <c r="EB75" s="106"/>
      <c r="EC75" s="106"/>
      <c r="ED75" s="106"/>
      <c r="EE75" s="106"/>
      <c r="EF75" s="106"/>
      <c r="EG75" s="106"/>
      <c r="EH75" s="106"/>
      <c r="EI75" s="106"/>
      <c r="EJ75" s="106"/>
      <c r="EK75" s="106"/>
      <c r="EL75" s="106"/>
      <c r="EM75" s="106"/>
      <c r="EN75" s="106"/>
      <c r="EO75" s="106"/>
      <c r="EP75" s="106"/>
      <c r="EQ75" s="106"/>
      <c r="ER75" s="106"/>
      <c r="ES75" s="106"/>
      <c r="ET75" s="106"/>
      <c r="EU75" s="106"/>
      <c r="EV75" s="106"/>
      <c r="EW75" s="106"/>
      <c r="EX75" s="106"/>
      <c r="EY75" s="106"/>
      <c r="EZ75" s="106"/>
      <c r="FA75" s="106"/>
      <c r="FB75" s="106"/>
      <c r="FC75" s="106"/>
      <c r="FD75" s="106"/>
      <c r="FE75" s="106"/>
      <c r="FF75" s="106"/>
      <c r="FG75" s="106"/>
      <c r="FH75" s="106"/>
      <c r="FI75" s="106"/>
      <c r="FJ75" s="106"/>
      <c r="FK75" s="106"/>
      <c r="FL75" s="106"/>
      <c r="FM75" s="106"/>
      <c r="FN75" s="106"/>
      <c r="FO75" s="106"/>
      <c r="FP75" s="106"/>
      <c r="FQ75" s="106"/>
      <c r="FR75" s="106"/>
      <c r="FS75" s="106"/>
      <c r="FT75" s="106"/>
      <c r="FU75" s="106"/>
      <c r="FV75" s="106"/>
      <c r="FW75" s="106"/>
      <c r="FX75" s="106"/>
      <c r="FY75" s="106"/>
      <c r="FZ75" s="106"/>
      <c r="GA75" s="106"/>
      <c r="GB75" s="106"/>
      <c r="GC75" s="106"/>
    </row>
    <row r="76" spans="1:185">
      <c r="A76" s="80"/>
      <c r="B76" s="80" t="s">
        <v>111</v>
      </c>
      <c r="C76" s="80"/>
      <c r="D76" s="80"/>
      <c r="E76" s="82"/>
      <c r="F76" s="107">
        <f t="shared" ref="F76:AK76" si="82">(F58*F59+F60*F61+F62*F63+F64*F65)*F55+(F67*F68+F69*F70+F71*F72+F73*F74)*F56</f>
        <v>0</v>
      </c>
      <c r="G76" s="107">
        <f t="shared" si="82"/>
        <v>0</v>
      </c>
      <c r="H76" s="107">
        <f t="shared" si="82"/>
        <v>0</v>
      </c>
      <c r="I76" s="107">
        <f t="shared" si="82"/>
        <v>0</v>
      </c>
      <c r="J76" s="107">
        <f>(J58*J59+J60*J61+J62*J63+J64*J65)*J55+(J67*J68+J69*J70+J71*J72+J73*J74)*J56</f>
        <v>0</v>
      </c>
      <c r="K76" s="107">
        <f t="shared" si="82"/>
        <v>0</v>
      </c>
      <c r="L76" s="107">
        <f t="shared" si="82"/>
        <v>0</v>
      </c>
      <c r="M76" s="107">
        <f t="shared" si="82"/>
        <v>9120</v>
      </c>
      <c r="N76" s="107">
        <f t="shared" si="82"/>
        <v>9120</v>
      </c>
      <c r="O76" s="107">
        <f t="shared" si="82"/>
        <v>9120</v>
      </c>
      <c r="P76" s="107">
        <f t="shared" si="82"/>
        <v>9120</v>
      </c>
      <c r="Q76" s="107">
        <f t="shared" si="82"/>
        <v>9120</v>
      </c>
      <c r="R76" s="107">
        <f t="shared" si="82"/>
        <v>9120</v>
      </c>
      <c r="S76" s="107">
        <f t="shared" si="82"/>
        <v>9120</v>
      </c>
      <c r="T76" s="107">
        <f t="shared" si="82"/>
        <v>9120</v>
      </c>
      <c r="U76" s="107">
        <f t="shared" si="82"/>
        <v>9120</v>
      </c>
      <c r="V76" s="107">
        <f t="shared" si="82"/>
        <v>9120</v>
      </c>
      <c r="W76" s="107">
        <f t="shared" si="82"/>
        <v>9120</v>
      </c>
      <c r="X76" s="107">
        <f t="shared" si="82"/>
        <v>9120</v>
      </c>
      <c r="Y76" s="107">
        <f t="shared" si="82"/>
        <v>9120</v>
      </c>
      <c r="Z76" s="107">
        <f t="shared" si="82"/>
        <v>9120</v>
      </c>
      <c r="AA76" s="107">
        <f t="shared" si="82"/>
        <v>9120</v>
      </c>
      <c r="AB76" s="107">
        <f t="shared" si="82"/>
        <v>9120</v>
      </c>
      <c r="AC76" s="107">
        <f t="shared" si="82"/>
        <v>9120</v>
      </c>
      <c r="AD76" s="107">
        <f t="shared" si="82"/>
        <v>9120</v>
      </c>
      <c r="AE76" s="107">
        <f t="shared" si="82"/>
        <v>9120</v>
      </c>
      <c r="AF76" s="107">
        <f t="shared" si="82"/>
        <v>9120</v>
      </c>
      <c r="AG76" s="107">
        <f t="shared" si="82"/>
        <v>9120</v>
      </c>
      <c r="AH76" s="107">
        <f t="shared" si="82"/>
        <v>9120</v>
      </c>
      <c r="AI76" s="107">
        <f t="shared" si="82"/>
        <v>9120</v>
      </c>
      <c r="AJ76" s="107">
        <f t="shared" si="82"/>
        <v>9120</v>
      </c>
      <c r="AK76" s="107">
        <f t="shared" si="82"/>
        <v>9120</v>
      </c>
      <c r="AL76" s="107">
        <f t="shared" ref="AL76:BQ76" si="83">(AL58*AL59+AL60*AL61+AL62*AL63+AL64*AL65)*AL55+(AL67*AL68+AL69*AL70+AL71*AL72+AL73*AL74)*AL56</f>
        <v>9120</v>
      </c>
      <c r="AM76" s="107">
        <f t="shared" si="83"/>
        <v>9120</v>
      </c>
      <c r="AN76" s="107">
        <f t="shared" si="83"/>
        <v>9120</v>
      </c>
      <c r="AO76" s="107">
        <f t="shared" si="83"/>
        <v>9120</v>
      </c>
      <c r="AP76" s="107">
        <f t="shared" si="83"/>
        <v>9120</v>
      </c>
      <c r="AQ76" s="107">
        <f t="shared" si="83"/>
        <v>9120</v>
      </c>
      <c r="AR76" s="107">
        <f t="shared" si="83"/>
        <v>9120</v>
      </c>
      <c r="AS76" s="107">
        <f t="shared" si="83"/>
        <v>9120</v>
      </c>
      <c r="AT76" s="107">
        <f t="shared" si="83"/>
        <v>9120</v>
      </c>
      <c r="AU76" s="107">
        <f t="shared" si="83"/>
        <v>9120</v>
      </c>
      <c r="AV76" s="107">
        <f t="shared" si="83"/>
        <v>9120</v>
      </c>
      <c r="AW76" s="107">
        <f t="shared" si="83"/>
        <v>9120</v>
      </c>
      <c r="AX76" s="107">
        <f t="shared" si="83"/>
        <v>9120</v>
      </c>
      <c r="AY76" s="107">
        <f t="shared" si="83"/>
        <v>9120</v>
      </c>
      <c r="AZ76" s="107">
        <f t="shared" si="83"/>
        <v>9120</v>
      </c>
      <c r="BA76" s="107">
        <f t="shared" si="83"/>
        <v>9120</v>
      </c>
      <c r="BB76" s="107">
        <f t="shared" si="83"/>
        <v>9120</v>
      </c>
      <c r="BC76" s="107">
        <f t="shared" si="83"/>
        <v>9120</v>
      </c>
      <c r="BD76" s="107">
        <f t="shared" si="83"/>
        <v>9120</v>
      </c>
      <c r="BE76" s="107">
        <f t="shared" si="83"/>
        <v>9120</v>
      </c>
      <c r="BF76" s="107">
        <f t="shared" si="83"/>
        <v>9120</v>
      </c>
      <c r="BG76" s="107">
        <f t="shared" si="83"/>
        <v>9120</v>
      </c>
      <c r="BH76" s="107">
        <f t="shared" si="83"/>
        <v>9120</v>
      </c>
      <c r="BI76" s="107">
        <f t="shared" si="83"/>
        <v>9120</v>
      </c>
      <c r="BJ76" s="107">
        <f t="shared" si="83"/>
        <v>9120</v>
      </c>
      <c r="BK76" s="107">
        <f t="shared" si="83"/>
        <v>9120</v>
      </c>
      <c r="BL76" s="107">
        <f t="shared" si="83"/>
        <v>9120</v>
      </c>
      <c r="BM76" s="107">
        <f t="shared" si="83"/>
        <v>9120</v>
      </c>
      <c r="BN76" s="107">
        <f t="shared" si="83"/>
        <v>9120</v>
      </c>
      <c r="BO76" s="107">
        <f t="shared" si="83"/>
        <v>9120</v>
      </c>
      <c r="BP76" s="107">
        <f t="shared" si="83"/>
        <v>9120</v>
      </c>
      <c r="BQ76" s="107">
        <f t="shared" si="83"/>
        <v>9120</v>
      </c>
      <c r="BR76" s="107">
        <f t="shared" ref="BR76:CW76" si="84">(BR58*BR59+BR60*BR61+BR62*BR63+BR64*BR65)*BR55+(BR67*BR68+BR69*BR70+BR71*BR72+BR73*BR74)*BR56</f>
        <v>9120</v>
      </c>
      <c r="BS76" s="107">
        <f t="shared" si="84"/>
        <v>9120</v>
      </c>
      <c r="BT76" s="107">
        <f t="shared" si="84"/>
        <v>9120</v>
      </c>
      <c r="BU76" s="107">
        <f t="shared" si="84"/>
        <v>9120</v>
      </c>
      <c r="BV76" s="107">
        <f t="shared" si="84"/>
        <v>9120</v>
      </c>
      <c r="BW76" s="107">
        <f t="shared" si="84"/>
        <v>9120</v>
      </c>
      <c r="BX76" s="107">
        <f t="shared" si="84"/>
        <v>9120</v>
      </c>
      <c r="BY76" s="107">
        <f t="shared" si="84"/>
        <v>9120</v>
      </c>
      <c r="BZ76" s="107">
        <f t="shared" si="84"/>
        <v>9120</v>
      </c>
      <c r="CA76" s="107">
        <f t="shared" si="84"/>
        <v>9120</v>
      </c>
      <c r="CB76" s="107">
        <f t="shared" si="84"/>
        <v>9120</v>
      </c>
      <c r="CC76" s="107">
        <f t="shared" si="84"/>
        <v>9120</v>
      </c>
      <c r="CD76" s="107">
        <f t="shared" si="84"/>
        <v>9120</v>
      </c>
      <c r="CE76" s="107">
        <f t="shared" si="84"/>
        <v>9120</v>
      </c>
      <c r="CF76" s="107">
        <f t="shared" si="84"/>
        <v>9120</v>
      </c>
      <c r="CG76" s="107">
        <f t="shared" si="84"/>
        <v>9120</v>
      </c>
      <c r="CH76" s="107">
        <f t="shared" si="84"/>
        <v>9120</v>
      </c>
      <c r="CI76" s="107">
        <f t="shared" si="84"/>
        <v>9120</v>
      </c>
      <c r="CJ76" s="107">
        <f t="shared" si="84"/>
        <v>9120</v>
      </c>
      <c r="CK76" s="107">
        <f t="shared" si="84"/>
        <v>9120</v>
      </c>
      <c r="CL76" s="107">
        <f t="shared" si="84"/>
        <v>9120</v>
      </c>
      <c r="CM76" s="107">
        <f t="shared" si="84"/>
        <v>9120</v>
      </c>
      <c r="CN76" s="107">
        <f t="shared" si="84"/>
        <v>9120</v>
      </c>
      <c r="CO76" s="107">
        <f t="shared" si="84"/>
        <v>9120</v>
      </c>
      <c r="CP76" s="107">
        <f t="shared" si="84"/>
        <v>9120</v>
      </c>
      <c r="CQ76" s="107">
        <f t="shared" si="84"/>
        <v>9120</v>
      </c>
      <c r="CR76" s="107">
        <f t="shared" si="84"/>
        <v>9120</v>
      </c>
      <c r="CS76" s="107">
        <f t="shared" si="84"/>
        <v>9120</v>
      </c>
      <c r="CT76" s="107">
        <f t="shared" si="84"/>
        <v>9120</v>
      </c>
      <c r="CU76" s="107">
        <f t="shared" si="84"/>
        <v>9120</v>
      </c>
      <c r="CV76" s="107">
        <f t="shared" si="84"/>
        <v>9120</v>
      </c>
      <c r="CW76" s="107">
        <f t="shared" si="84"/>
        <v>9120</v>
      </c>
      <c r="CX76" s="107">
        <f t="shared" ref="CX76:EC76" si="85">(CX58*CX59+CX60*CX61+CX62*CX63+CX64*CX65)*CX55+(CX67*CX68+CX69*CX70+CX71*CX72+CX73*CX74)*CX56</f>
        <v>9120</v>
      </c>
      <c r="CY76" s="107">
        <f t="shared" si="85"/>
        <v>9120</v>
      </c>
      <c r="CZ76" s="107">
        <f t="shared" si="85"/>
        <v>9120</v>
      </c>
      <c r="DA76" s="107">
        <f t="shared" si="85"/>
        <v>9120</v>
      </c>
      <c r="DB76" s="107">
        <f t="shared" si="85"/>
        <v>9120</v>
      </c>
      <c r="DC76" s="107">
        <f t="shared" si="85"/>
        <v>9120</v>
      </c>
      <c r="DD76" s="107">
        <f t="shared" si="85"/>
        <v>9120</v>
      </c>
      <c r="DE76" s="107">
        <f t="shared" si="85"/>
        <v>9120</v>
      </c>
      <c r="DF76" s="107">
        <f t="shared" si="85"/>
        <v>9120</v>
      </c>
      <c r="DG76" s="107">
        <f t="shared" si="85"/>
        <v>9120</v>
      </c>
      <c r="DH76" s="107">
        <f t="shared" si="85"/>
        <v>9120</v>
      </c>
      <c r="DI76" s="107">
        <f t="shared" si="85"/>
        <v>9120</v>
      </c>
      <c r="DJ76" s="107">
        <f t="shared" si="85"/>
        <v>9120</v>
      </c>
      <c r="DK76" s="107">
        <f t="shared" si="85"/>
        <v>9120</v>
      </c>
      <c r="DL76" s="107">
        <f t="shared" si="85"/>
        <v>9120</v>
      </c>
      <c r="DM76" s="107">
        <f t="shared" si="85"/>
        <v>9120</v>
      </c>
      <c r="DN76" s="107">
        <f t="shared" si="85"/>
        <v>9120</v>
      </c>
      <c r="DO76" s="107">
        <f t="shared" si="85"/>
        <v>9120</v>
      </c>
      <c r="DP76" s="107">
        <f t="shared" si="85"/>
        <v>9120</v>
      </c>
      <c r="DQ76" s="107">
        <f t="shared" si="85"/>
        <v>9120</v>
      </c>
      <c r="DR76" s="107">
        <f t="shared" si="85"/>
        <v>9120</v>
      </c>
      <c r="DS76" s="107">
        <f t="shared" si="85"/>
        <v>9120</v>
      </c>
      <c r="DT76" s="107">
        <f t="shared" si="85"/>
        <v>9120</v>
      </c>
      <c r="DU76" s="107">
        <f t="shared" si="85"/>
        <v>9120</v>
      </c>
      <c r="DV76" s="107">
        <f t="shared" si="85"/>
        <v>9120</v>
      </c>
      <c r="DW76" s="107">
        <f t="shared" si="85"/>
        <v>9120</v>
      </c>
      <c r="DX76" s="107">
        <f t="shared" si="85"/>
        <v>9120</v>
      </c>
      <c r="DY76" s="107">
        <f t="shared" si="85"/>
        <v>9120</v>
      </c>
      <c r="DZ76" s="107">
        <f t="shared" si="85"/>
        <v>9120</v>
      </c>
      <c r="EA76" s="107">
        <f t="shared" si="85"/>
        <v>9120</v>
      </c>
      <c r="EB76" s="107">
        <f t="shared" si="85"/>
        <v>9120</v>
      </c>
      <c r="EC76" s="107">
        <f t="shared" si="85"/>
        <v>9120</v>
      </c>
      <c r="ED76" s="107">
        <f t="shared" ref="ED76:FI76" si="86">(ED58*ED59+ED60*ED61+ED62*ED63+ED64*ED65)*ED55+(ED67*ED68+ED69*ED70+ED71*ED72+ED73*ED74)*ED56</f>
        <v>9120</v>
      </c>
      <c r="EE76" s="107">
        <f t="shared" si="86"/>
        <v>9120</v>
      </c>
      <c r="EF76" s="107">
        <f t="shared" si="86"/>
        <v>9120</v>
      </c>
      <c r="EG76" s="107">
        <f t="shared" si="86"/>
        <v>9120</v>
      </c>
      <c r="EH76" s="107">
        <f t="shared" si="86"/>
        <v>9120</v>
      </c>
      <c r="EI76" s="107">
        <f t="shared" si="86"/>
        <v>9120</v>
      </c>
      <c r="EJ76" s="107">
        <f t="shared" si="86"/>
        <v>9120</v>
      </c>
      <c r="EK76" s="107">
        <f t="shared" si="86"/>
        <v>9120</v>
      </c>
      <c r="EL76" s="107">
        <f t="shared" si="86"/>
        <v>9120</v>
      </c>
      <c r="EM76" s="107">
        <f t="shared" si="86"/>
        <v>9120</v>
      </c>
      <c r="EN76" s="107">
        <f t="shared" si="86"/>
        <v>9120</v>
      </c>
      <c r="EO76" s="107">
        <f t="shared" si="86"/>
        <v>9120</v>
      </c>
      <c r="EP76" s="107">
        <f t="shared" si="86"/>
        <v>9120</v>
      </c>
      <c r="EQ76" s="107">
        <f t="shared" si="86"/>
        <v>9120</v>
      </c>
      <c r="ER76" s="107">
        <f t="shared" si="86"/>
        <v>9120</v>
      </c>
      <c r="ES76" s="107">
        <f t="shared" si="86"/>
        <v>9120</v>
      </c>
      <c r="ET76" s="107">
        <f t="shared" si="86"/>
        <v>9120</v>
      </c>
      <c r="EU76" s="107">
        <f t="shared" si="86"/>
        <v>9120</v>
      </c>
      <c r="EV76" s="107">
        <f t="shared" si="86"/>
        <v>9120</v>
      </c>
      <c r="EW76" s="107">
        <f t="shared" si="86"/>
        <v>9120</v>
      </c>
      <c r="EX76" s="107">
        <f t="shared" si="86"/>
        <v>9120</v>
      </c>
      <c r="EY76" s="107">
        <f t="shared" si="86"/>
        <v>9120</v>
      </c>
      <c r="EZ76" s="107">
        <f t="shared" si="86"/>
        <v>9120</v>
      </c>
      <c r="FA76" s="107">
        <f t="shared" si="86"/>
        <v>9120</v>
      </c>
      <c r="FB76" s="107">
        <f t="shared" si="86"/>
        <v>9120</v>
      </c>
      <c r="FC76" s="107">
        <f t="shared" si="86"/>
        <v>9120</v>
      </c>
      <c r="FD76" s="107">
        <f t="shared" si="86"/>
        <v>9120</v>
      </c>
      <c r="FE76" s="107">
        <f t="shared" si="86"/>
        <v>9120</v>
      </c>
      <c r="FF76" s="107">
        <f t="shared" si="86"/>
        <v>9120</v>
      </c>
      <c r="FG76" s="107">
        <f t="shared" si="86"/>
        <v>9120</v>
      </c>
      <c r="FH76" s="107">
        <f t="shared" si="86"/>
        <v>9120</v>
      </c>
      <c r="FI76" s="107">
        <f t="shared" si="86"/>
        <v>9120</v>
      </c>
      <c r="FJ76" s="107">
        <f t="shared" ref="FJ76:GC76" si="87">(FJ58*FJ59+FJ60*FJ61+FJ62*FJ63+FJ64*FJ65)*FJ55+(FJ67*FJ68+FJ69*FJ70+FJ71*FJ72+FJ73*FJ74)*FJ56</f>
        <v>9120</v>
      </c>
      <c r="FK76" s="107">
        <f t="shared" si="87"/>
        <v>9120</v>
      </c>
      <c r="FL76" s="107">
        <f t="shared" si="87"/>
        <v>9120</v>
      </c>
      <c r="FM76" s="107">
        <f t="shared" si="87"/>
        <v>9120</v>
      </c>
      <c r="FN76" s="107">
        <f t="shared" si="87"/>
        <v>9120</v>
      </c>
      <c r="FO76" s="107">
        <f t="shared" si="87"/>
        <v>9120</v>
      </c>
      <c r="FP76" s="107">
        <f t="shared" si="87"/>
        <v>9120</v>
      </c>
      <c r="FQ76" s="107">
        <f t="shared" si="87"/>
        <v>9120</v>
      </c>
      <c r="FR76" s="107">
        <f t="shared" si="87"/>
        <v>9120</v>
      </c>
      <c r="FS76" s="107">
        <f t="shared" si="87"/>
        <v>9120</v>
      </c>
      <c r="FT76" s="107">
        <f t="shared" si="87"/>
        <v>9120</v>
      </c>
      <c r="FU76" s="107">
        <f t="shared" si="87"/>
        <v>9120</v>
      </c>
      <c r="FV76" s="107">
        <f t="shared" si="87"/>
        <v>9120</v>
      </c>
      <c r="FW76" s="107">
        <f t="shared" si="87"/>
        <v>9120</v>
      </c>
      <c r="FX76" s="107">
        <f t="shared" si="87"/>
        <v>9120</v>
      </c>
      <c r="FY76" s="107">
        <f t="shared" si="87"/>
        <v>9120</v>
      </c>
      <c r="FZ76" s="107">
        <f t="shared" si="87"/>
        <v>9120</v>
      </c>
      <c r="GA76" s="107">
        <f t="shared" si="87"/>
        <v>9120</v>
      </c>
      <c r="GB76" s="107">
        <f t="shared" si="87"/>
        <v>9120</v>
      </c>
      <c r="GC76" s="107">
        <f t="shared" si="87"/>
        <v>9120</v>
      </c>
    </row>
    <row r="77" spans="1:185">
      <c r="A77" s="80"/>
      <c r="B77" s="80" t="s">
        <v>112</v>
      </c>
      <c r="C77" s="80"/>
      <c r="D77" s="170">
        <f>Assumptions!E58</f>
        <v>0.3</v>
      </c>
      <c r="E77" s="82"/>
      <c r="F77" s="108">
        <f>F76*$D77</f>
        <v>0</v>
      </c>
      <c r="G77" s="108">
        <f t="shared" ref="G77:BM77" si="88">G76*$D77</f>
        <v>0</v>
      </c>
      <c r="H77" s="108">
        <f t="shared" si="88"/>
        <v>0</v>
      </c>
      <c r="I77" s="108">
        <f t="shared" si="88"/>
        <v>0</v>
      </c>
      <c r="J77" s="108">
        <f t="shared" si="88"/>
        <v>0</v>
      </c>
      <c r="K77" s="108">
        <f t="shared" si="88"/>
        <v>0</v>
      </c>
      <c r="L77" s="108">
        <f t="shared" si="88"/>
        <v>0</v>
      </c>
      <c r="M77" s="108">
        <f t="shared" si="88"/>
        <v>2736</v>
      </c>
      <c r="N77" s="108">
        <f t="shared" si="88"/>
        <v>2736</v>
      </c>
      <c r="O77" s="108">
        <f t="shared" si="88"/>
        <v>2736</v>
      </c>
      <c r="P77" s="108">
        <f t="shared" si="88"/>
        <v>2736</v>
      </c>
      <c r="Q77" s="108">
        <f t="shared" si="88"/>
        <v>2736</v>
      </c>
      <c r="R77" s="108">
        <f t="shared" si="88"/>
        <v>2736</v>
      </c>
      <c r="S77" s="108">
        <f t="shared" si="88"/>
        <v>2736</v>
      </c>
      <c r="T77" s="108">
        <f t="shared" si="88"/>
        <v>2736</v>
      </c>
      <c r="U77" s="108">
        <f t="shared" si="88"/>
        <v>2736</v>
      </c>
      <c r="V77" s="108">
        <f t="shared" si="88"/>
        <v>2736</v>
      </c>
      <c r="W77" s="108">
        <f t="shared" si="88"/>
        <v>2736</v>
      </c>
      <c r="X77" s="108">
        <f t="shared" si="88"/>
        <v>2736</v>
      </c>
      <c r="Y77" s="108">
        <f t="shared" si="88"/>
        <v>2736</v>
      </c>
      <c r="Z77" s="108">
        <f t="shared" si="88"/>
        <v>2736</v>
      </c>
      <c r="AA77" s="108">
        <f t="shared" si="88"/>
        <v>2736</v>
      </c>
      <c r="AB77" s="108">
        <f t="shared" si="88"/>
        <v>2736</v>
      </c>
      <c r="AC77" s="108">
        <f t="shared" si="88"/>
        <v>2736</v>
      </c>
      <c r="AD77" s="108">
        <f t="shared" si="88"/>
        <v>2736</v>
      </c>
      <c r="AE77" s="108">
        <f t="shared" si="88"/>
        <v>2736</v>
      </c>
      <c r="AF77" s="108">
        <f t="shared" si="88"/>
        <v>2736</v>
      </c>
      <c r="AG77" s="108">
        <f t="shared" si="88"/>
        <v>2736</v>
      </c>
      <c r="AH77" s="108">
        <f t="shared" si="88"/>
        <v>2736</v>
      </c>
      <c r="AI77" s="108">
        <f t="shared" si="88"/>
        <v>2736</v>
      </c>
      <c r="AJ77" s="108">
        <f t="shared" si="88"/>
        <v>2736</v>
      </c>
      <c r="AK77" s="108">
        <f t="shared" si="88"/>
        <v>2736</v>
      </c>
      <c r="AL77" s="108">
        <f t="shared" si="88"/>
        <v>2736</v>
      </c>
      <c r="AM77" s="108">
        <f t="shared" si="88"/>
        <v>2736</v>
      </c>
      <c r="AN77" s="108">
        <f t="shared" si="88"/>
        <v>2736</v>
      </c>
      <c r="AO77" s="108">
        <f t="shared" si="88"/>
        <v>2736</v>
      </c>
      <c r="AP77" s="108">
        <f t="shared" si="88"/>
        <v>2736</v>
      </c>
      <c r="AQ77" s="108">
        <f t="shared" si="88"/>
        <v>2736</v>
      </c>
      <c r="AR77" s="108">
        <f t="shared" si="88"/>
        <v>2736</v>
      </c>
      <c r="AS77" s="108">
        <f t="shared" si="88"/>
        <v>2736</v>
      </c>
      <c r="AT77" s="108">
        <f t="shared" si="88"/>
        <v>2736</v>
      </c>
      <c r="AU77" s="108">
        <f t="shared" si="88"/>
        <v>2736</v>
      </c>
      <c r="AV77" s="108">
        <f t="shared" si="88"/>
        <v>2736</v>
      </c>
      <c r="AW77" s="108">
        <f t="shared" si="88"/>
        <v>2736</v>
      </c>
      <c r="AX77" s="108">
        <f t="shared" si="88"/>
        <v>2736</v>
      </c>
      <c r="AY77" s="108">
        <f t="shared" si="88"/>
        <v>2736</v>
      </c>
      <c r="AZ77" s="108">
        <f t="shared" si="88"/>
        <v>2736</v>
      </c>
      <c r="BA77" s="108">
        <f t="shared" si="88"/>
        <v>2736</v>
      </c>
      <c r="BB77" s="108">
        <f t="shared" si="88"/>
        <v>2736</v>
      </c>
      <c r="BC77" s="108">
        <f t="shared" si="88"/>
        <v>2736</v>
      </c>
      <c r="BD77" s="108">
        <f t="shared" si="88"/>
        <v>2736</v>
      </c>
      <c r="BE77" s="108">
        <f t="shared" si="88"/>
        <v>2736</v>
      </c>
      <c r="BF77" s="108">
        <f t="shared" si="88"/>
        <v>2736</v>
      </c>
      <c r="BG77" s="108">
        <f t="shared" si="88"/>
        <v>2736</v>
      </c>
      <c r="BH77" s="108">
        <f t="shared" si="88"/>
        <v>2736</v>
      </c>
      <c r="BI77" s="108">
        <f t="shared" si="88"/>
        <v>2736</v>
      </c>
      <c r="BJ77" s="108">
        <f t="shared" si="88"/>
        <v>2736</v>
      </c>
      <c r="BK77" s="108">
        <f t="shared" si="88"/>
        <v>2736</v>
      </c>
      <c r="BL77" s="108">
        <f t="shared" si="88"/>
        <v>2736</v>
      </c>
      <c r="BM77" s="108">
        <f t="shared" si="88"/>
        <v>2736</v>
      </c>
      <c r="BN77" s="108">
        <f t="shared" ref="BN77:DY77" si="89">BN76*$D77</f>
        <v>2736</v>
      </c>
      <c r="BO77" s="108">
        <f t="shared" si="89"/>
        <v>2736</v>
      </c>
      <c r="BP77" s="108">
        <f t="shared" si="89"/>
        <v>2736</v>
      </c>
      <c r="BQ77" s="108">
        <f t="shared" si="89"/>
        <v>2736</v>
      </c>
      <c r="BR77" s="108">
        <f t="shared" si="89"/>
        <v>2736</v>
      </c>
      <c r="BS77" s="108">
        <f t="shared" si="89"/>
        <v>2736</v>
      </c>
      <c r="BT77" s="108">
        <f t="shared" si="89"/>
        <v>2736</v>
      </c>
      <c r="BU77" s="108">
        <f t="shared" si="89"/>
        <v>2736</v>
      </c>
      <c r="BV77" s="108">
        <f t="shared" si="89"/>
        <v>2736</v>
      </c>
      <c r="BW77" s="108">
        <f t="shared" si="89"/>
        <v>2736</v>
      </c>
      <c r="BX77" s="108">
        <f t="shared" si="89"/>
        <v>2736</v>
      </c>
      <c r="BY77" s="108">
        <f t="shared" si="89"/>
        <v>2736</v>
      </c>
      <c r="BZ77" s="108">
        <f t="shared" si="89"/>
        <v>2736</v>
      </c>
      <c r="CA77" s="108">
        <f t="shared" si="89"/>
        <v>2736</v>
      </c>
      <c r="CB77" s="108">
        <f t="shared" si="89"/>
        <v>2736</v>
      </c>
      <c r="CC77" s="108">
        <f t="shared" si="89"/>
        <v>2736</v>
      </c>
      <c r="CD77" s="108">
        <f t="shared" si="89"/>
        <v>2736</v>
      </c>
      <c r="CE77" s="108">
        <f t="shared" si="89"/>
        <v>2736</v>
      </c>
      <c r="CF77" s="108">
        <f t="shared" si="89"/>
        <v>2736</v>
      </c>
      <c r="CG77" s="108">
        <f t="shared" si="89"/>
        <v>2736</v>
      </c>
      <c r="CH77" s="108">
        <f t="shared" si="89"/>
        <v>2736</v>
      </c>
      <c r="CI77" s="108">
        <f t="shared" si="89"/>
        <v>2736</v>
      </c>
      <c r="CJ77" s="108">
        <f t="shared" si="89"/>
        <v>2736</v>
      </c>
      <c r="CK77" s="108">
        <f t="shared" si="89"/>
        <v>2736</v>
      </c>
      <c r="CL77" s="108">
        <f t="shared" si="89"/>
        <v>2736</v>
      </c>
      <c r="CM77" s="108">
        <f t="shared" si="89"/>
        <v>2736</v>
      </c>
      <c r="CN77" s="108">
        <f t="shared" si="89"/>
        <v>2736</v>
      </c>
      <c r="CO77" s="108">
        <f t="shared" si="89"/>
        <v>2736</v>
      </c>
      <c r="CP77" s="108">
        <f t="shared" si="89"/>
        <v>2736</v>
      </c>
      <c r="CQ77" s="108">
        <f t="shared" si="89"/>
        <v>2736</v>
      </c>
      <c r="CR77" s="108">
        <f t="shared" si="89"/>
        <v>2736</v>
      </c>
      <c r="CS77" s="108">
        <f t="shared" si="89"/>
        <v>2736</v>
      </c>
      <c r="CT77" s="108">
        <f t="shared" si="89"/>
        <v>2736</v>
      </c>
      <c r="CU77" s="108">
        <f t="shared" si="89"/>
        <v>2736</v>
      </c>
      <c r="CV77" s="108">
        <f t="shared" si="89"/>
        <v>2736</v>
      </c>
      <c r="CW77" s="108">
        <f t="shared" si="89"/>
        <v>2736</v>
      </c>
      <c r="CX77" s="108">
        <f t="shared" si="89"/>
        <v>2736</v>
      </c>
      <c r="CY77" s="108">
        <f t="shared" si="89"/>
        <v>2736</v>
      </c>
      <c r="CZ77" s="108">
        <f t="shared" si="89"/>
        <v>2736</v>
      </c>
      <c r="DA77" s="108">
        <f t="shared" si="89"/>
        <v>2736</v>
      </c>
      <c r="DB77" s="108">
        <f t="shared" si="89"/>
        <v>2736</v>
      </c>
      <c r="DC77" s="108">
        <f t="shared" si="89"/>
        <v>2736</v>
      </c>
      <c r="DD77" s="108">
        <f t="shared" si="89"/>
        <v>2736</v>
      </c>
      <c r="DE77" s="108">
        <f t="shared" si="89"/>
        <v>2736</v>
      </c>
      <c r="DF77" s="108">
        <f t="shared" si="89"/>
        <v>2736</v>
      </c>
      <c r="DG77" s="108">
        <f t="shared" si="89"/>
        <v>2736</v>
      </c>
      <c r="DH77" s="108">
        <f t="shared" si="89"/>
        <v>2736</v>
      </c>
      <c r="DI77" s="108">
        <f t="shared" si="89"/>
        <v>2736</v>
      </c>
      <c r="DJ77" s="108">
        <f t="shared" si="89"/>
        <v>2736</v>
      </c>
      <c r="DK77" s="108">
        <f t="shared" si="89"/>
        <v>2736</v>
      </c>
      <c r="DL77" s="108">
        <f t="shared" si="89"/>
        <v>2736</v>
      </c>
      <c r="DM77" s="108">
        <f t="shared" si="89"/>
        <v>2736</v>
      </c>
      <c r="DN77" s="108">
        <f t="shared" si="89"/>
        <v>2736</v>
      </c>
      <c r="DO77" s="108">
        <f t="shared" si="89"/>
        <v>2736</v>
      </c>
      <c r="DP77" s="108">
        <f t="shared" si="89"/>
        <v>2736</v>
      </c>
      <c r="DQ77" s="108">
        <f t="shared" si="89"/>
        <v>2736</v>
      </c>
      <c r="DR77" s="108">
        <f t="shared" si="89"/>
        <v>2736</v>
      </c>
      <c r="DS77" s="108">
        <f t="shared" si="89"/>
        <v>2736</v>
      </c>
      <c r="DT77" s="108">
        <f t="shared" si="89"/>
        <v>2736</v>
      </c>
      <c r="DU77" s="108">
        <f t="shared" si="89"/>
        <v>2736</v>
      </c>
      <c r="DV77" s="108">
        <f t="shared" si="89"/>
        <v>2736</v>
      </c>
      <c r="DW77" s="108">
        <f t="shared" si="89"/>
        <v>2736</v>
      </c>
      <c r="DX77" s="108">
        <f t="shared" si="89"/>
        <v>2736</v>
      </c>
      <c r="DY77" s="108">
        <f t="shared" si="89"/>
        <v>2736</v>
      </c>
      <c r="DZ77" s="108">
        <f t="shared" ref="DZ77:GC77" si="90">DZ76*$D77</f>
        <v>2736</v>
      </c>
      <c r="EA77" s="108">
        <f t="shared" si="90"/>
        <v>2736</v>
      </c>
      <c r="EB77" s="108">
        <f t="shared" si="90"/>
        <v>2736</v>
      </c>
      <c r="EC77" s="108">
        <f t="shared" si="90"/>
        <v>2736</v>
      </c>
      <c r="ED77" s="108">
        <f t="shared" si="90"/>
        <v>2736</v>
      </c>
      <c r="EE77" s="108">
        <f t="shared" si="90"/>
        <v>2736</v>
      </c>
      <c r="EF77" s="108">
        <f t="shared" si="90"/>
        <v>2736</v>
      </c>
      <c r="EG77" s="108">
        <f t="shared" si="90"/>
        <v>2736</v>
      </c>
      <c r="EH77" s="108">
        <f t="shared" si="90"/>
        <v>2736</v>
      </c>
      <c r="EI77" s="108">
        <f t="shared" si="90"/>
        <v>2736</v>
      </c>
      <c r="EJ77" s="108">
        <f t="shared" si="90"/>
        <v>2736</v>
      </c>
      <c r="EK77" s="108">
        <f t="shared" si="90"/>
        <v>2736</v>
      </c>
      <c r="EL77" s="108">
        <f t="shared" si="90"/>
        <v>2736</v>
      </c>
      <c r="EM77" s="108">
        <f t="shared" si="90"/>
        <v>2736</v>
      </c>
      <c r="EN77" s="108">
        <f t="shared" si="90"/>
        <v>2736</v>
      </c>
      <c r="EO77" s="108">
        <f t="shared" si="90"/>
        <v>2736</v>
      </c>
      <c r="EP77" s="108">
        <f t="shared" si="90"/>
        <v>2736</v>
      </c>
      <c r="EQ77" s="108">
        <f t="shared" si="90"/>
        <v>2736</v>
      </c>
      <c r="ER77" s="108">
        <f t="shared" si="90"/>
        <v>2736</v>
      </c>
      <c r="ES77" s="108">
        <f t="shared" si="90"/>
        <v>2736</v>
      </c>
      <c r="ET77" s="108">
        <f t="shared" si="90"/>
        <v>2736</v>
      </c>
      <c r="EU77" s="108">
        <f t="shared" si="90"/>
        <v>2736</v>
      </c>
      <c r="EV77" s="108">
        <f t="shared" si="90"/>
        <v>2736</v>
      </c>
      <c r="EW77" s="108">
        <f t="shared" si="90"/>
        <v>2736</v>
      </c>
      <c r="EX77" s="108">
        <f t="shared" si="90"/>
        <v>2736</v>
      </c>
      <c r="EY77" s="108">
        <f t="shared" si="90"/>
        <v>2736</v>
      </c>
      <c r="EZ77" s="108">
        <f t="shared" si="90"/>
        <v>2736</v>
      </c>
      <c r="FA77" s="108">
        <f t="shared" si="90"/>
        <v>2736</v>
      </c>
      <c r="FB77" s="108">
        <f t="shared" si="90"/>
        <v>2736</v>
      </c>
      <c r="FC77" s="108">
        <f t="shared" si="90"/>
        <v>2736</v>
      </c>
      <c r="FD77" s="108">
        <f t="shared" si="90"/>
        <v>2736</v>
      </c>
      <c r="FE77" s="108">
        <f t="shared" si="90"/>
        <v>2736</v>
      </c>
      <c r="FF77" s="108">
        <f t="shared" si="90"/>
        <v>2736</v>
      </c>
      <c r="FG77" s="108">
        <f t="shared" si="90"/>
        <v>2736</v>
      </c>
      <c r="FH77" s="108">
        <f t="shared" si="90"/>
        <v>2736</v>
      </c>
      <c r="FI77" s="108">
        <f t="shared" si="90"/>
        <v>2736</v>
      </c>
      <c r="FJ77" s="108">
        <f t="shared" si="90"/>
        <v>2736</v>
      </c>
      <c r="FK77" s="108">
        <f t="shared" si="90"/>
        <v>2736</v>
      </c>
      <c r="FL77" s="108">
        <f t="shared" si="90"/>
        <v>2736</v>
      </c>
      <c r="FM77" s="108">
        <f t="shared" si="90"/>
        <v>2736</v>
      </c>
      <c r="FN77" s="108">
        <f t="shared" si="90"/>
        <v>2736</v>
      </c>
      <c r="FO77" s="108">
        <f t="shared" si="90"/>
        <v>2736</v>
      </c>
      <c r="FP77" s="108">
        <f t="shared" si="90"/>
        <v>2736</v>
      </c>
      <c r="FQ77" s="108">
        <f t="shared" si="90"/>
        <v>2736</v>
      </c>
      <c r="FR77" s="108">
        <f t="shared" si="90"/>
        <v>2736</v>
      </c>
      <c r="FS77" s="108">
        <f t="shared" si="90"/>
        <v>2736</v>
      </c>
      <c r="FT77" s="108">
        <f t="shared" si="90"/>
        <v>2736</v>
      </c>
      <c r="FU77" s="108">
        <f t="shared" si="90"/>
        <v>2736</v>
      </c>
      <c r="FV77" s="108">
        <f t="shared" si="90"/>
        <v>2736</v>
      </c>
      <c r="FW77" s="108">
        <f t="shared" si="90"/>
        <v>2736</v>
      </c>
      <c r="FX77" s="108">
        <f t="shared" si="90"/>
        <v>2736</v>
      </c>
      <c r="FY77" s="108">
        <f t="shared" si="90"/>
        <v>2736</v>
      </c>
      <c r="FZ77" s="108">
        <f t="shared" si="90"/>
        <v>2736</v>
      </c>
      <c r="GA77" s="108">
        <f t="shared" si="90"/>
        <v>2736</v>
      </c>
      <c r="GB77" s="108">
        <f t="shared" si="90"/>
        <v>2736</v>
      </c>
      <c r="GC77" s="108">
        <f t="shared" si="90"/>
        <v>2736</v>
      </c>
    </row>
    <row r="78" spans="1:185">
      <c r="A78" s="80"/>
      <c r="B78" s="80" t="s">
        <v>113</v>
      </c>
      <c r="C78" s="80"/>
      <c r="D78" s="80"/>
      <c r="E78" s="82"/>
      <c r="F78" s="109">
        <f>F76+F77</f>
        <v>0</v>
      </c>
      <c r="G78" s="109">
        <f t="shared" ref="G78:BM78" si="91">G76+G77</f>
        <v>0</v>
      </c>
      <c r="H78" s="109">
        <f t="shared" si="91"/>
        <v>0</v>
      </c>
      <c r="I78" s="109">
        <f t="shared" si="91"/>
        <v>0</v>
      </c>
      <c r="J78" s="109">
        <f t="shared" si="91"/>
        <v>0</v>
      </c>
      <c r="K78" s="109">
        <f t="shared" si="91"/>
        <v>0</v>
      </c>
      <c r="L78" s="109">
        <f t="shared" si="91"/>
        <v>0</v>
      </c>
      <c r="M78" s="109">
        <f t="shared" si="91"/>
        <v>11856</v>
      </c>
      <c r="N78" s="109">
        <f t="shared" si="91"/>
        <v>11856</v>
      </c>
      <c r="O78" s="109">
        <f t="shared" si="91"/>
        <v>11856</v>
      </c>
      <c r="P78" s="109">
        <f t="shared" si="91"/>
        <v>11856</v>
      </c>
      <c r="Q78" s="109">
        <f t="shared" si="91"/>
        <v>11856</v>
      </c>
      <c r="R78" s="109">
        <f t="shared" si="91"/>
        <v>11856</v>
      </c>
      <c r="S78" s="109">
        <f t="shared" si="91"/>
        <v>11856</v>
      </c>
      <c r="T78" s="109">
        <f t="shared" si="91"/>
        <v>11856</v>
      </c>
      <c r="U78" s="109">
        <f t="shared" si="91"/>
        <v>11856</v>
      </c>
      <c r="V78" s="109">
        <f t="shared" si="91"/>
        <v>11856</v>
      </c>
      <c r="W78" s="109">
        <f t="shared" si="91"/>
        <v>11856</v>
      </c>
      <c r="X78" s="109">
        <f t="shared" si="91"/>
        <v>11856</v>
      </c>
      <c r="Y78" s="109">
        <f t="shared" si="91"/>
        <v>11856</v>
      </c>
      <c r="Z78" s="109">
        <f t="shared" si="91"/>
        <v>11856</v>
      </c>
      <c r="AA78" s="109">
        <f t="shared" si="91"/>
        <v>11856</v>
      </c>
      <c r="AB78" s="109">
        <f t="shared" si="91"/>
        <v>11856</v>
      </c>
      <c r="AC78" s="109">
        <f t="shared" si="91"/>
        <v>11856</v>
      </c>
      <c r="AD78" s="109">
        <f t="shared" si="91"/>
        <v>11856</v>
      </c>
      <c r="AE78" s="109">
        <f t="shared" si="91"/>
        <v>11856</v>
      </c>
      <c r="AF78" s="109">
        <f t="shared" si="91"/>
        <v>11856</v>
      </c>
      <c r="AG78" s="109">
        <f t="shared" si="91"/>
        <v>11856</v>
      </c>
      <c r="AH78" s="109">
        <f t="shared" si="91"/>
        <v>11856</v>
      </c>
      <c r="AI78" s="109">
        <f t="shared" si="91"/>
        <v>11856</v>
      </c>
      <c r="AJ78" s="109">
        <f t="shared" si="91"/>
        <v>11856</v>
      </c>
      <c r="AK78" s="109">
        <f t="shared" si="91"/>
        <v>11856</v>
      </c>
      <c r="AL78" s="109">
        <f t="shared" si="91"/>
        <v>11856</v>
      </c>
      <c r="AM78" s="109">
        <f t="shared" si="91"/>
        <v>11856</v>
      </c>
      <c r="AN78" s="109">
        <f t="shared" si="91"/>
        <v>11856</v>
      </c>
      <c r="AO78" s="109">
        <f t="shared" si="91"/>
        <v>11856</v>
      </c>
      <c r="AP78" s="109">
        <f t="shared" si="91"/>
        <v>11856</v>
      </c>
      <c r="AQ78" s="109">
        <f t="shared" si="91"/>
        <v>11856</v>
      </c>
      <c r="AR78" s="109">
        <f t="shared" si="91"/>
        <v>11856</v>
      </c>
      <c r="AS78" s="109">
        <f t="shared" si="91"/>
        <v>11856</v>
      </c>
      <c r="AT78" s="109">
        <f t="shared" si="91"/>
        <v>11856</v>
      </c>
      <c r="AU78" s="109">
        <f t="shared" si="91"/>
        <v>11856</v>
      </c>
      <c r="AV78" s="109">
        <f t="shared" si="91"/>
        <v>11856</v>
      </c>
      <c r="AW78" s="109">
        <f t="shared" si="91"/>
        <v>11856</v>
      </c>
      <c r="AX78" s="109">
        <f t="shared" si="91"/>
        <v>11856</v>
      </c>
      <c r="AY78" s="109">
        <f t="shared" si="91"/>
        <v>11856</v>
      </c>
      <c r="AZ78" s="109">
        <f t="shared" si="91"/>
        <v>11856</v>
      </c>
      <c r="BA78" s="109">
        <f t="shared" si="91"/>
        <v>11856</v>
      </c>
      <c r="BB78" s="109">
        <f t="shared" si="91"/>
        <v>11856</v>
      </c>
      <c r="BC78" s="109">
        <f t="shared" si="91"/>
        <v>11856</v>
      </c>
      <c r="BD78" s="109">
        <f t="shared" si="91"/>
        <v>11856</v>
      </c>
      <c r="BE78" s="109">
        <f t="shared" si="91"/>
        <v>11856</v>
      </c>
      <c r="BF78" s="109">
        <f t="shared" si="91"/>
        <v>11856</v>
      </c>
      <c r="BG78" s="109">
        <f t="shared" si="91"/>
        <v>11856</v>
      </c>
      <c r="BH78" s="109">
        <f t="shared" si="91"/>
        <v>11856</v>
      </c>
      <c r="BI78" s="109">
        <f t="shared" si="91"/>
        <v>11856</v>
      </c>
      <c r="BJ78" s="109">
        <f t="shared" si="91"/>
        <v>11856</v>
      </c>
      <c r="BK78" s="109">
        <f t="shared" si="91"/>
        <v>11856</v>
      </c>
      <c r="BL78" s="109">
        <f t="shared" si="91"/>
        <v>11856</v>
      </c>
      <c r="BM78" s="109">
        <f t="shared" si="91"/>
        <v>11856</v>
      </c>
      <c r="BN78" s="109">
        <f t="shared" ref="BN78:DY78" si="92">BN76+BN77</f>
        <v>11856</v>
      </c>
      <c r="BO78" s="109">
        <f t="shared" si="92"/>
        <v>11856</v>
      </c>
      <c r="BP78" s="109">
        <f t="shared" si="92"/>
        <v>11856</v>
      </c>
      <c r="BQ78" s="109">
        <f t="shared" si="92"/>
        <v>11856</v>
      </c>
      <c r="BR78" s="109">
        <f t="shared" si="92"/>
        <v>11856</v>
      </c>
      <c r="BS78" s="109">
        <f t="shared" si="92"/>
        <v>11856</v>
      </c>
      <c r="BT78" s="109">
        <f t="shared" si="92"/>
        <v>11856</v>
      </c>
      <c r="BU78" s="109">
        <f t="shared" si="92"/>
        <v>11856</v>
      </c>
      <c r="BV78" s="109">
        <f t="shared" si="92"/>
        <v>11856</v>
      </c>
      <c r="BW78" s="109">
        <f t="shared" si="92"/>
        <v>11856</v>
      </c>
      <c r="BX78" s="109">
        <f t="shared" si="92"/>
        <v>11856</v>
      </c>
      <c r="BY78" s="109">
        <f t="shared" si="92"/>
        <v>11856</v>
      </c>
      <c r="BZ78" s="109">
        <f t="shared" si="92"/>
        <v>11856</v>
      </c>
      <c r="CA78" s="109">
        <f t="shared" si="92"/>
        <v>11856</v>
      </c>
      <c r="CB78" s="109">
        <f t="shared" si="92"/>
        <v>11856</v>
      </c>
      <c r="CC78" s="109">
        <f t="shared" si="92"/>
        <v>11856</v>
      </c>
      <c r="CD78" s="109">
        <f t="shared" si="92"/>
        <v>11856</v>
      </c>
      <c r="CE78" s="109">
        <f t="shared" si="92"/>
        <v>11856</v>
      </c>
      <c r="CF78" s="109">
        <f t="shared" si="92"/>
        <v>11856</v>
      </c>
      <c r="CG78" s="109">
        <f t="shared" si="92"/>
        <v>11856</v>
      </c>
      <c r="CH78" s="109">
        <f t="shared" si="92"/>
        <v>11856</v>
      </c>
      <c r="CI78" s="109">
        <f t="shared" si="92"/>
        <v>11856</v>
      </c>
      <c r="CJ78" s="109">
        <f t="shared" si="92"/>
        <v>11856</v>
      </c>
      <c r="CK78" s="109">
        <f t="shared" si="92"/>
        <v>11856</v>
      </c>
      <c r="CL78" s="109">
        <f t="shared" si="92"/>
        <v>11856</v>
      </c>
      <c r="CM78" s="109">
        <f t="shared" si="92"/>
        <v>11856</v>
      </c>
      <c r="CN78" s="109">
        <f t="shared" si="92"/>
        <v>11856</v>
      </c>
      <c r="CO78" s="109">
        <f t="shared" si="92"/>
        <v>11856</v>
      </c>
      <c r="CP78" s="109">
        <f t="shared" si="92"/>
        <v>11856</v>
      </c>
      <c r="CQ78" s="109">
        <f t="shared" si="92"/>
        <v>11856</v>
      </c>
      <c r="CR78" s="109">
        <f t="shared" si="92"/>
        <v>11856</v>
      </c>
      <c r="CS78" s="109">
        <f t="shared" si="92"/>
        <v>11856</v>
      </c>
      <c r="CT78" s="109">
        <f t="shared" si="92"/>
        <v>11856</v>
      </c>
      <c r="CU78" s="109">
        <f t="shared" si="92"/>
        <v>11856</v>
      </c>
      <c r="CV78" s="109">
        <f t="shared" si="92"/>
        <v>11856</v>
      </c>
      <c r="CW78" s="109">
        <f t="shared" si="92"/>
        <v>11856</v>
      </c>
      <c r="CX78" s="109">
        <f t="shared" si="92"/>
        <v>11856</v>
      </c>
      <c r="CY78" s="109">
        <f t="shared" si="92"/>
        <v>11856</v>
      </c>
      <c r="CZ78" s="109">
        <f t="shared" si="92"/>
        <v>11856</v>
      </c>
      <c r="DA78" s="109">
        <f t="shared" si="92"/>
        <v>11856</v>
      </c>
      <c r="DB78" s="109">
        <f t="shared" si="92"/>
        <v>11856</v>
      </c>
      <c r="DC78" s="109">
        <f t="shared" si="92"/>
        <v>11856</v>
      </c>
      <c r="DD78" s="109">
        <f t="shared" si="92"/>
        <v>11856</v>
      </c>
      <c r="DE78" s="109">
        <f t="shared" si="92"/>
        <v>11856</v>
      </c>
      <c r="DF78" s="109">
        <f t="shared" si="92"/>
        <v>11856</v>
      </c>
      <c r="DG78" s="109">
        <f t="shared" si="92"/>
        <v>11856</v>
      </c>
      <c r="DH78" s="109">
        <f t="shared" si="92"/>
        <v>11856</v>
      </c>
      <c r="DI78" s="109">
        <f t="shared" si="92"/>
        <v>11856</v>
      </c>
      <c r="DJ78" s="109">
        <f t="shared" si="92"/>
        <v>11856</v>
      </c>
      <c r="DK78" s="109">
        <f t="shared" si="92"/>
        <v>11856</v>
      </c>
      <c r="DL78" s="109">
        <f t="shared" si="92"/>
        <v>11856</v>
      </c>
      <c r="DM78" s="109">
        <f t="shared" si="92"/>
        <v>11856</v>
      </c>
      <c r="DN78" s="109">
        <f t="shared" si="92"/>
        <v>11856</v>
      </c>
      <c r="DO78" s="109">
        <f t="shared" si="92"/>
        <v>11856</v>
      </c>
      <c r="DP78" s="109">
        <f t="shared" si="92"/>
        <v>11856</v>
      </c>
      <c r="DQ78" s="109">
        <f t="shared" si="92"/>
        <v>11856</v>
      </c>
      <c r="DR78" s="109">
        <f t="shared" si="92"/>
        <v>11856</v>
      </c>
      <c r="DS78" s="109">
        <f t="shared" si="92"/>
        <v>11856</v>
      </c>
      <c r="DT78" s="109">
        <f t="shared" si="92"/>
        <v>11856</v>
      </c>
      <c r="DU78" s="109">
        <f t="shared" si="92"/>
        <v>11856</v>
      </c>
      <c r="DV78" s="109">
        <f t="shared" si="92"/>
        <v>11856</v>
      </c>
      <c r="DW78" s="109">
        <f t="shared" si="92"/>
        <v>11856</v>
      </c>
      <c r="DX78" s="109">
        <f t="shared" si="92"/>
        <v>11856</v>
      </c>
      <c r="DY78" s="109">
        <f t="shared" si="92"/>
        <v>11856</v>
      </c>
      <c r="DZ78" s="109">
        <f t="shared" ref="DZ78:GC78" si="93">DZ76+DZ77</f>
        <v>11856</v>
      </c>
      <c r="EA78" s="109">
        <f t="shared" si="93"/>
        <v>11856</v>
      </c>
      <c r="EB78" s="109">
        <f t="shared" si="93"/>
        <v>11856</v>
      </c>
      <c r="EC78" s="109">
        <f t="shared" si="93"/>
        <v>11856</v>
      </c>
      <c r="ED78" s="109">
        <f t="shared" si="93"/>
        <v>11856</v>
      </c>
      <c r="EE78" s="109">
        <f t="shared" si="93"/>
        <v>11856</v>
      </c>
      <c r="EF78" s="109">
        <f t="shared" si="93"/>
        <v>11856</v>
      </c>
      <c r="EG78" s="109">
        <f t="shared" si="93"/>
        <v>11856</v>
      </c>
      <c r="EH78" s="109">
        <f t="shared" si="93"/>
        <v>11856</v>
      </c>
      <c r="EI78" s="109">
        <f t="shared" si="93"/>
        <v>11856</v>
      </c>
      <c r="EJ78" s="109">
        <f t="shared" si="93"/>
        <v>11856</v>
      </c>
      <c r="EK78" s="109">
        <f t="shared" si="93"/>
        <v>11856</v>
      </c>
      <c r="EL78" s="109">
        <f t="shared" si="93"/>
        <v>11856</v>
      </c>
      <c r="EM78" s="109">
        <f t="shared" si="93"/>
        <v>11856</v>
      </c>
      <c r="EN78" s="109">
        <f t="shared" si="93"/>
        <v>11856</v>
      </c>
      <c r="EO78" s="109">
        <f t="shared" si="93"/>
        <v>11856</v>
      </c>
      <c r="EP78" s="109">
        <f t="shared" si="93"/>
        <v>11856</v>
      </c>
      <c r="EQ78" s="109">
        <f t="shared" si="93"/>
        <v>11856</v>
      </c>
      <c r="ER78" s="109">
        <f t="shared" si="93"/>
        <v>11856</v>
      </c>
      <c r="ES78" s="109">
        <f t="shared" si="93"/>
        <v>11856</v>
      </c>
      <c r="ET78" s="109">
        <f t="shared" si="93"/>
        <v>11856</v>
      </c>
      <c r="EU78" s="109">
        <f t="shared" si="93"/>
        <v>11856</v>
      </c>
      <c r="EV78" s="109">
        <f t="shared" si="93"/>
        <v>11856</v>
      </c>
      <c r="EW78" s="109">
        <f t="shared" si="93"/>
        <v>11856</v>
      </c>
      <c r="EX78" s="109">
        <f t="shared" si="93"/>
        <v>11856</v>
      </c>
      <c r="EY78" s="109">
        <f t="shared" si="93"/>
        <v>11856</v>
      </c>
      <c r="EZ78" s="109">
        <f t="shared" si="93"/>
        <v>11856</v>
      </c>
      <c r="FA78" s="109">
        <f t="shared" si="93"/>
        <v>11856</v>
      </c>
      <c r="FB78" s="109">
        <f t="shared" si="93"/>
        <v>11856</v>
      </c>
      <c r="FC78" s="109">
        <f t="shared" si="93"/>
        <v>11856</v>
      </c>
      <c r="FD78" s="109">
        <f t="shared" si="93"/>
        <v>11856</v>
      </c>
      <c r="FE78" s="109">
        <f t="shared" si="93"/>
        <v>11856</v>
      </c>
      <c r="FF78" s="109">
        <f t="shared" si="93"/>
        <v>11856</v>
      </c>
      <c r="FG78" s="109">
        <f t="shared" si="93"/>
        <v>11856</v>
      </c>
      <c r="FH78" s="109">
        <f t="shared" si="93"/>
        <v>11856</v>
      </c>
      <c r="FI78" s="109">
        <f t="shared" si="93"/>
        <v>11856</v>
      </c>
      <c r="FJ78" s="109">
        <f t="shared" si="93"/>
        <v>11856</v>
      </c>
      <c r="FK78" s="109">
        <f t="shared" si="93"/>
        <v>11856</v>
      </c>
      <c r="FL78" s="109">
        <f t="shared" si="93"/>
        <v>11856</v>
      </c>
      <c r="FM78" s="109">
        <f t="shared" si="93"/>
        <v>11856</v>
      </c>
      <c r="FN78" s="109">
        <f t="shared" si="93"/>
        <v>11856</v>
      </c>
      <c r="FO78" s="109">
        <f t="shared" si="93"/>
        <v>11856</v>
      </c>
      <c r="FP78" s="109">
        <f t="shared" si="93"/>
        <v>11856</v>
      </c>
      <c r="FQ78" s="109">
        <f t="shared" si="93"/>
        <v>11856</v>
      </c>
      <c r="FR78" s="109">
        <f t="shared" si="93"/>
        <v>11856</v>
      </c>
      <c r="FS78" s="109">
        <f t="shared" si="93"/>
        <v>11856</v>
      </c>
      <c r="FT78" s="109">
        <f t="shared" si="93"/>
        <v>11856</v>
      </c>
      <c r="FU78" s="109">
        <f t="shared" si="93"/>
        <v>11856</v>
      </c>
      <c r="FV78" s="109">
        <f t="shared" si="93"/>
        <v>11856</v>
      </c>
      <c r="FW78" s="109">
        <f t="shared" si="93"/>
        <v>11856</v>
      </c>
      <c r="FX78" s="109">
        <f t="shared" si="93"/>
        <v>11856</v>
      </c>
      <c r="FY78" s="109">
        <f t="shared" si="93"/>
        <v>11856</v>
      </c>
      <c r="FZ78" s="109">
        <f t="shared" si="93"/>
        <v>11856</v>
      </c>
      <c r="GA78" s="109">
        <f t="shared" si="93"/>
        <v>11856</v>
      </c>
      <c r="GB78" s="109">
        <f t="shared" si="93"/>
        <v>11856</v>
      </c>
      <c r="GC78" s="109">
        <f t="shared" si="93"/>
        <v>11856</v>
      </c>
    </row>
    <row r="79" spans="1:185">
      <c r="A79" s="80"/>
      <c r="B79" s="80"/>
      <c r="C79" s="80"/>
      <c r="D79" s="80"/>
      <c r="E79" s="82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  <c r="BY79" s="110"/>
      <c r="BZ79" s="110"/>
      <c r="CA79" s="110"/>
      <c r="CB79" s="110"/>
      <c r="CC79" s="110"/>
      <c r="CD79" s="110"/>
      <c r="CE79" s="110"/>
      <c r="CF79" s="110"/>
      <c r="CG79" s="110"/>
      <c r="CH79" s="110"/>
      <c r="CI79" s="110"/>
      <c r="CJ79" s="110"/>
      <c r="CK79" s="110"/>
      <c r="CL79" s="110"/>
      <c r="CM79" s="110"/>
      <c r="CN79" s="110"/>
      <c r="CO79" s="110"/>
      <c r="CP79" s="110"/>
      <c r="CQ79" s="110"/>
      <c r="CR79" s="110"/>
      <c r="CS79" s="110"/>
      <c r="CT79" s="110"/>
      <c r="CU79" s="110"/>
      <c r="CV79" s="110"/>
      <c r="CW79" s="110"/>
      <c r="CX79" s="110"/>
      <c r="CY79" s="110"/>
      <c r="CZ79" s="110"/>
      <c r="DA79" s="110"/>
      <c r="DB79" s="110"/>
      <c r="DC79" s="110"/>
      <c r="DD79" s="110"/>
      <c r="DE79" s="110"/>
      <c r="DF79" s="110"/>
      <c r="DG79" s="110"/>
      <c r="DH79" s="110"/>
      <c r="DI79" s="110"/>
      <c r="DJ79" s="110"/>
      <c r="DK79" s="110"/>
      <c r="DL79" s="110"/>
      <c r="DM79" s="110"/>
      <c r="DN79" s="110"/>
      <c r="DO79" s="110"/>
      <c r="DP79" s="110"/>
      <c r="DQ79" s="110"/>
      <c r="DR79" s="110"/>
      <c r="DS79" s="110"/>
      <c r="DT79" s="110"/>
      <c r="DU79" s="110"/>
      <c r="DV79" s="110"/>
      <c r="DW79" s="110"/>
      <c r="DX79" s="110"/>
      <c r="DY79" s="110"/>
      <c r="DZ79" s="110"/>
      <c r="EA79" s="110"/>
      <c r="EB79" s="110"/>
      <c r="EC79" s="110"/>
      <c r="ED79" s="110"/>
      <c r="EE79" s="110"/>
      <c r="EF79" s="110"/>
      <c r="EG79" s="110"/>
      <c r="EH79" s="110"/>
      <c r="EI79" s="110"/>
      <c r="EJ79" s="110"/>
      <c r="EK79" s="110"/>
      <c r="EL79" s="110"/>
      <c r="EM79" s="110"/>
      <c r="EN79" s="110"/>
      <c r="EO79" s="110"/>
      <c r="EP79" s="110"/>
      <c r="EQ79" s="110"/>
      <c r="ER79" s="110"/>
      <c r="ES79" s="110"/>
      <c r="ET79" s="110"/>
      <c r="EU79" s="110"/>
      <c r="EV79" s="110"/>
      <c r="EW79" s="110"/>
      <c r="EX79" s="110"/>
      <c r="EY79" s="110"/>
      <c r="EZ79" s="110"/>
      <c r="FA79" s="110"/>
      <c r="FB79" s="110"/>
      <c r="FC79" s="110"/>
      <c r="FD79" s="110"/>
      <c r="FE79" s="110"/>
      <c r="FF79" s="110"/>
      <c r="FG79" s="110"/>
      <c r="FH79" s="110"/>
      <c r="FI79" s="110"/>
      <c r="FJ79" s="110"/>
      <c r="FK79" s="110"/>
      <c r="FL79" s="110"/>
      <c r="FM79" s="110"/>
      <c r="FN79" s="110"/>
      <c r="FO79" s="110"/>
      <c r="FP79" s="110"/>
      <c r="FQ79" s="110"/>
      <c r="FR79" s="110"/>
      <c r="FS79" s="110"/>
      <c r="FT79" s="110"/>
      <c r="FU79" s="110"/>
      <c r="FV79" s="110"/>
      <c r="FW79" s="110"/>
      <c r="FX79" s="110"/>
      <c r="FY79" s="110"/>
      <c r="FZ79" s="110"/>
      <c r="GA79" s="110"/>
      <c r="GB79" s="110"/>
      <c r="GC79" s="110"/>
    </row>
    <row r="80" spans="1:185">
      <c r="A80" s="80"/>
      <c r="B80" s="80" t="s">
        <v>114</v>
      </c>
      <c r="C80" s="80"/>
      <c r="D80" s="80"/>
      <c r="E80" s="82">
        <f>SUM(F80:GC80)</f>
        <v>5475</v>
      </c>
      <c r="F80" s="77">
        <f t="shared" ref="F80:AK80" si="94">F8</f>
        <v>31</v>
      </c>
      <c r="G80" s="77">
        <f t="shared" si="94"/>
        <v>28</v>
      </c>
      <c r="H80" s="77">
        <f t="shared" si="94"/>
        <v>31</v>
      </c>
      <c r="I80" s="77">
        <f t="shared" si="94"/>
        <v>30</v>
      </c>
      <c r="J80" s="77">
        <f t="shared" si="94"/>
        <v>31</v>
      </c>
      <c r="K80" s="77">
        <f t="shared" si="94"/>
        <v>30</v>
      </c>
      <c r="L80" s="77">
        <f t="shared" si="94"/>
        <v>31</v>
      </c>
      <c r="M80" s="77">
        <f t="shared" si="94"/>
        <v>31</v>
      </c>
      <c r="N80" s="77">
        <f t="shared" si="94"/>
        <v>30</v>
      </c>
      <c r="O80" s="77">
        <f t="shared" si="94"/>
        <v>31</v>
      </c>
      <c r="P80" s="77">
        <f t="shared" si="94"/>
        <v>30</v>
      </c>
      <c r="Q80" s="77">
        <f t="shared" si="94"/>
        <v>31</v>
      </c>
      <c r="R80" s="77">
        <f t="shared" si="94"/>
        <v>31</v>
      </c>
      <c r="S80" s="77">
        <f t="shared" si="94"/>
        <v>28</v>
      </c>
      <c r="T80" s="77">
        <f t="shared" si="94"/>
        <v>31</v>
      </c>
      <c r="U80" s="77">
        <f t="shared" si="94"/>
        <v>30</v>
      </c>
      <c r="V80" s="77">
        <f t="shared" si="94"/>
        <v>31</v>
      </c>
      <c r="W80" s="77">
        <f t="shared" si="94"/>
        <v>30</v>
      </c>
      <c r="X80" s="77">
        <f t="shared" si="94"/>
        <v>31</v>
      </c>
      <c r="Y80" s="77">
        <f t="shared" si="94"/>
        <v>31</v>
      </c>
      <c r="Z80" s="77">
        <f t="shared" si="94"/>
        <v>30</v>
      </c>
      <c r="AA80" s="77">
        <f t="shared" si="94"/>
        <v>31</v>
      </c>
      <c r="AB80" s="77">
        <f t="shared" si="94"/>
        <v>30</v>
      </c>
      <c r="AC80" s="77">
        <f t="shared" si="94"/>
        <v>31</v>
      </c>
      <c r="AD80" s="77">
        <f t="shared" si="94"/>
        <v>31</v>
      </c>
      <c r="AE80" s="77">
        <f t="shared" si="94"/>
        <v>28</v>
      </c>
      <c r="AF80" s="77">
        <f t="shared" si="94"/>
        <v>31</v>
      </c>
      <c r="AG80" s="77">
        <f t="shared" si="94"/>
        <v>30</v>
      </c>
      <c r="AH80" s="77">
        <f t="shared" si="94"/>
        <v>31</v>
      </c>
      <c r="AI80" s="77">
        <f t="shared" si="94"/>
        <v>30</v>
      </c>
      <c r="AJ80" s="77">
        <f t="shared" si="94"/>
        <v>31</v>
      </c>
      <c r="AK80" s="77">
        <f t="shared" si="94"/>
        <v>31</v>
      </c>
      <c r="AL80" s="77">
        <f t="shared" ref="AL80:BQ80" si="95">AL8</f>
        <v>30</v>
      </c>
      <c r="AM80" s="77">
        <f t="shared" si="95"/>
        <v>31</v>
      </c>
      <c r="AN80" s="77">
        <f t="shared" si="95"/>
        <v>30</v>
      </c>
      <c r="AO80" s="77">
        <f t="shared" si="95"/>
        <v>31</v>
      </c>
      <c r="AP80" s="77">
        <f t="shared" si="95"/>
        <v>31</v>
      </c>
      <c r="AQ80" s="77">
        <f t="shared" si="95"/>
        <v>28</v>
      </c>
      <c r="AR80" s="77">
        <f t="shared" si="95"/>
        <v>31</v>
      </c>
      <c r="AS80" s="77">
        <f t="shared" si="95"/>
        <v>30</v>
      </c>
      <c r="AT80" s="77">
        <f t="shared" si="95"/>
        <v>31</v>
      </c>
      <c r="AU80" s="77">
        <f t="shared" si="95"/>
        <v>30</v>
      </c>
      <c r="AV80" s="77">
        <f t="shared" si="95"/>
        <v>31</v>
      </c>
      <c r="AW80" s="77">
        <f t="shared" si="95"/>
        <v>31</v>
      </c>
      <c r="AX80" s="77">
        <f t="shared" si="95"/>
        <v>30</v>
      </c>
      <c r="AY80" s="77">
        <f t="shared" si="95"/>
        <v>31</v>
      </c>
      <c r="AZ80" s="77">
        <f t="shared" si="95"/>
        <v>30</v>
      </c>
      <c r="BA80" s="77">
        <f t="shared" si="95"/>
        <v>31</v>
      </c>
      <c r="BB80" s="77">
        <f t="shared" si="95"/>
        <v>31</v>
      </c>
      <c r="BC80" s="77">
        <f t="shared" si="95"/>
        <v>28</v>
      </c>
      <c r="BD80" s="77">
        <f t="shared" si="95"/>
        <v>31</v>
      </c>
      <c r="BE80" s="77">
        <f t="shared" si="95"/>
        <v>30</v>
      </c>
      <c r="BF80" s="77">
        <f t="shared" si="95"/>
        <v>31</v>
      </c>
      <c r="BG80" s="77">
        <f t="shared" si="95"/>
        <v>30</v>
      </c>
      <c r="BH80" s="77">
        <f t="shared" si="95"/>
        <v>31</v>
      </c>
      <c r="BI80" s="77">
        <f t="shared" si="95"/>
        <v>31</v>
      </c>
      <c r="BJ80" s="77">
        <f t="shared" si="95"/>
        <v>30</v>
      </c>
      <c r="BK80" s="77">
        <f t="shared" si="95"/>
        <v>31</v>
      </c>
      <c r="BL80" s="77">
        <f t="shared" si="95"/>
        <v>30</v>
      </c>
      <c r="BM80" s="77">
        <f t="shared" si="95"/>
        <v>31</v>
      </c>
      <c r="BN80" s="77">
        <f t="shared" si="95"/>
        <v>31</v>
      </c>
      <c r="BO80" s="77">
        <f t="shared" si="95"/>
        <v>28</v>
      </c>
      <c r="BP80" s="77">
        <f t="shared" si="95"/>
        <v>31</v>
      </c>
      <c r="BQ80" s="77">
        <f t="shared" si="95"/>
        <v>30</v>
      </c>
      <c r="BR80" s="77">
        <f t="shared" ref="BR80:CW80" si="96">BR8</f>
        <v>31</v>
      </c>
      <c r="BS80" s="77">
        <f t="shared" si="96"/>
        <v>30</v>
      </c>
      <c r="BT80" s="77">
        <f t="shared" si="96"/>
        <v>31</v>
      </c>
      <c r="BU80" s="77">
        <f t="shared" si="96"/>
        <v>31</v>
      </c>
      <c r="BV80" s="77">
        <f t="shared" si="96"/>
        <v>30</v>
      </c>
      <c r="BW80" s="77">
        <f t="shared" si="96"/>
        <v>31</v>
      </c>
      <c r="BX80" s="77">
        <f t="shared" si="96"/>
        <v>30</v>
      </c>
      <c r="BY80" s="77">
        <f t="shared" si="96"/>
        <v>31</v>
      </c>
      <c r="BZ80" s="77">
        <f t="shared" si="96"/>
        <v>31</v>
      </c>
      <c r="CA80" s="77">
        <f t="shared" si="96"/>
        <v>28</v>
      </c>
      <c r="CB80" s="77">
        <f t="shared" si="96"/>
        <v>31</v>
      </c>
      <c r="CC80" s="77">
        <f t="shared" si="96"/>
        <v>30</v>
      </c>
      <c r="CD80" s="77">
        <f t="shared" si="96"/>
        <v>31</v>
      </c>
      <c r="CE80" s="77">
        <f t="shared" si="96"/>
        <v>30</v>
      </c>
      <c r="CF80" s="77">
        <f t="shared" si="96"/>
        <v>31</v>
      </c>
      <c r="CG80" s="77">
        <f t="shared" si="96"/>
        <v>31</v>
      </c>
      <c r="CH80" s="77">
        <f t="shared" si="96"/>
        <v>30</v>
      </c>
      <c r="CI80" s="77">
        <f t="shared" si="96"/>
        <v>31</v>
      </c>
      <c r="CJ80" s="77">
        <f t="shared" si="96"/>
        <v>30</v>
      </c>
      <c r="CK80" s="77">
        <f t="shared" si="96"/>
        <v>31</v>
      </c>
      <c r="CL80" s="77">
        <f t="shared" si="96"/>
        <v>31</v>
      </c>
      <c r="CM80" s="77">
        <f t="shared" si="96"/>
        <v>28</v>
      </c>
      <c r="CN80" s="77">
        <f t="shared" si="96"/>
        <v>31</v>
      </c>
      <c r="CO80" s="77">
        <f t="shared" si="96"/>
        <v>30</v>
      </c>
      <c r="CP80" s="77">
        <f t="shared" si="96"/>
        <v>31</v>
      </c>
      <c r="CQ80" s="77">
        <f t="shared" si="96"/>
        <v>30</v>
      </c>
      <c r="CR80" s="77">
        <f t="shared" si="96"/>
        <v>31</v>
      </c>
      <c r="CS80" s="77">
        <f t="shared" si="96"/>
        <v>31</v>
      </c>
      <c r="CT80" s="77">
        <f t="shared" si="96"/>
        <v>30</v>
      </c>
      <c r="CU80" s="77">
        <f t="shared" si="96"/>
        <v>31</v>
      </c>
      <c r="CV80" s="77">
        <f t="shared" si="96"/>
        <v>30</v>
      </c>
      <c r="CW80" s="77">
        <f t="shared" si="96"/>
        <v>31</v>
      </c>
      <c r="CX80" s="77">
        <f t="shared" ref="CX80:EC80" si="97">CX8</f>
        <v>31</v>
      </c>
      <c r="CY80" s="77">
        <f t="shared" si="97"/>
        <v>28</v>
      </c>
      <c r="CZ80" s="77">
        <f t="shared" si="97"/>
        <v>31</v>
      </c>
      <c r="DA80" s="77">
        <f t="shared" si="97"/>
        <v>30</v>
      </c>
      <c r="DB80" s="77">
        <f t="shared" si="97"/>
        <v>31</v>
      </c>
      <c r="DC80" s="77">
        <f t="shared" si="97"/>
        <v>30</v>
      </c>
      <c r="DD80" s="77">
        <f t="shared" si="97"/>
        <v>31</v>
      </c>
      <c r="DE80" s="77">
        <f t="shared" si="97"/>
        <v>31</v>
      </c>
      <c r="DF80" s="77">
        <f t="shared" si="97"/>
        <v>30</v>
      </c>
      <c r="DG80" s="77">
        <f t="shared" si="97"/>
        <v>31</v>
      </c>
      <c r="DH80" s="77">
        <f t="shared" si="97"/>
        <v>30</v>
      </c>
      <c r="DI80" s="77">
        <f t="shared" si="97"/>
        <v>31</v>
      </c>
      <c r="DJ80" s="77">
        <f t="shared" si="97"/>
        <v>31</v>
      </c>
      <c r="DK80" s="77">
        <f t="shared" si="97"/>
        <v>28</v>
      </c>
      <c r="DL80" s="77">
        <f t="shared" si="97"/>
        <v>31</v>
      </c>
      <c r="DM80" s="77">
        <f t="shared" si="97"/>
        <v>30</v>
      </c>
      <c r="DN80" s="77">
        <f t="shared" si="97"/>
        <v>31</v>
      </c>
      <c r="DO80" s="77">
        <f t="shared" si="97"/>
        <v>30</v>
      </c>
      <c r="DP80" s="77">
        <f t="shared" si="97"/>
        <v>31</v>
      </c>
      <c r="DQ80" s="77">
        <f t="shared" si="97"/>
        <v>31</v>
      </c>
      <c r="DR80" s="77">
        <f t="shared" si="97"/>
        <v>30</v>
      </c>
      <c r="DS80" s="77">
        <f t="shared" si="97"/>
        <v>31</v>
      </c>
      <c r="DT80" s="77">
        <f t="shared" si="97"/>
        <v>30</v>
      </c>
      <c r="DU80" s="77">
        <f t="shared" si="97"/>
        <v>31</v>
      </c>
      <c r="DV80" s="77">
        <f t="shared" si="97"/>
        <v>31</v>
      </c>
      <c r="DW80" s="77">
        <f t="shared" si="97"/>
        <v>28</v>
      </c>
      <c r="DX80" s="77">
        <f t="shared" si="97"/>
        <v>31</v>
      </c>
      <c r="DY80" s="77">
        <f t="shared" si="97"/>
        <v>30</v>
      </c>
      <c r="DZ80" s="77">
        <f t="shared" si="97"/>
        <v>31</v>
      </c>
      <c r="EA80" s="77">
        <f t="shared" si="97"/>
        <v>30</v>
      </c>
      <c r="EB80" s="77">
        <f t="shared" si="97"/>
        <v>31</v>
      </c>
      <c r="EC80" s="77">
        <f t="shared" si="97"/>
        <v>31</v>
      </c>
      <c r="ED80" s="77">
        <f t="shared" ref="ED80:FI80" si="98">ED8</f>
        <v>30</v>
      </c>
      <c r="EE80" s="77">
        <f t="shared" si="98"/>
        <v>31</v>
      </c>
      <c r="EF80" s="77">
        <f t="shared" si="98"/>
        <v>30</v>
      </c>
      <c r="EG80" s="77">
        <f t="shared" si="98"/>
        <v>31</v>
      </c>
      <c r="EH80" s="77">
        <f t="shared" si="98"/>
        <v>31</v>
      </c>
      <c r="EI80" s="77">
        <f t="shared" si="98"/>
        <v>28</v>
      </c>
      <c r="EJ80" s="77">
        <f t="shared" si="98"/>
        <v>31</v>
      </c>
      <c r="EK80" s="77">
        <f t="shared" si="98"/>
        <v>30</v>
      </c>
      <c r="EL80" s="77">
        <f t="shared" si="98"/>
        <v>31</v>
      </c>
      <c r="EM80" s="77">
        <f t="shared" si="98"/>
        <v>30</v>
      </c>
      <c r="EN80" s="77">
        <f t="shared" si="98"/>
        <v>31</v>
      </c>
      <c r="EO80" s="77">
        <f t="shared" si="98"/>
        <v>31</v>
      </c>
      <c r="EP80" s="77">
        <f t="shared" si="98"/>
        <v>30</v>
      </c>
      <c r="EQ80" s="77">
        <f t="shared" si="98"/>
        <v>31</v>
      </c>
      <c r="ER80" s="77">
        <f t="shared" si="98"/>
        <v>30</v>
      </c>
      <c r="ES80" s="77">
        <f t="shared" si="98"/>
        <v>31</v>
      </c>
      <c r="ET80" s="77">
        <f t="shared" si="98"/>
        <v>31</v>
      </c>
      <c r="EU80" s="77">
        <f t="shared" si="98"/>
        <v>28</v>
      </c>
      <c r="EV80" s="77">
        <f t="shared" si="98"/>
        <v>31</v>
      </c>
      <c r="EW80" s="77">
        <f t="shared" si="98"/>
        <v>30</v>
      </c>
      <c r="EX80" s="77">
        <f t="shared" si="98"/>
        <v>31</v>
      </c>
      <c r="EY80" s="77">
        <f t="shared" si="98"/>
        <v>30</v>
      </c>
      <c r="EZ80" s="77">
        <f t="shared" si="98"/>
        <v>31</v>
      </c>
      <c r="FA80" s="77">
        <f t="shared" si="98"/>
        <v>31</v>
      </c>
      <c r="FB80" s="77">
        <f t="shared" si="98"/>
        <v>30</v>
      </c>
      <c r="FC80" s="77">
        <f t="shared" si="98"/>
        <v>31</v>
      </c>
      <c r="FD80" s="77">
        <f t="shared" si="98"/>
        <v>30</v>
      </c>
      <c r="FE80" s="77">
        <f t="shared" si="98"/>
        <v>31</v>
      </c>
      <c r="FF80" s="77">
        <f t="shared" si="98"/>
        <v>31</v>
      </c>
      <c r="FG80" s="77">
        <f t="shared" si="98"/>
        <v>28</v>
      </c>
      <c r="FH80" s="77">
        <f t="shared" si="98"/>
        <v>31</v>
      </c>
      <c r="FI80" s="77">
        <f t="shared" si="98"/>
        <v>30</v>
      </c>
      <c r="FJ80" s="77">
        <f t="shared" ref="FJ80:GC80" si="99">FJ8</f>
        <v>31</v>
      </c>
      <c r="FK80" s="77">
        <f t="shared" si="99"/>
        <v>30</v>
      </c>
      <c r="FL80" s="77">
        <f t="shared" si="99"/>
        <v>31</v>
      </c>
      <c r="FM80" s="77">
        <f t="shared" si="99"/>
        <v>31</v>
      </c>
      <c r="FN80" s="77">
        <f t="shared" si="99"/>
        <v>30</v>
      </c>
      <c r="FO80" s="77">
        <f t="shared" si="99"/>
        <v>31</v>
      </c>
      <c r="FP80" s="77">
        <f t="shared" si="99"/>
        <v>30</v>
      </c>
      <c r="FQ80" s="77">
        <f t="shared" si="99"/>
        <v>31</v>
      </c>
      <c r="FR80" s="77">
        <f t="shared" si="99"/>
        <v>31</v>
      </c>
      <c r="FS80" s="77">
        <f t="shared" si="99"/>
        <v>28</v>
      </c>
      <c r="FT80" s="77">
        <f t="shared" si="99"/>
        <v>31</v>
      </c>
      <c r="FU80" s="77">
        <f t="shared" si="99"/>
        <v>30</v>
      </c>
      <c r="FV80" s="77">
        <f t="shared" si="99"/>
        <v>31</v>
      </c>
      <c r="FW80" s="77">
        <f t="shared" si="99"/>
        <v>30</v>
      </c>
      <c r="FX80" s="77">
        <f t="shared" si="99"/>
        <v>31</v>
      </c>
      <c r="FY80" s="77">
        <f t="shared" si="99"/>
        <v>31</v>
      </c>
      <c r="FZ80" s="77">
        <f t="shared" si="99"/>
        <v>30</v>
      </c>
      <c r="GA80" s="77">
        <f t="shared" si="99"/>
        <v>31</v>
      </c>
      <c r="GB80" s="77">
        <f t="shared" si="99"/>
        <v>30</v>
      </c>
      <c r="GC80" s="77">
        <f t="shared" si="99"/>
        <v>31</v>
      </c>
    </row>
    <row r="81" spans="1:185">
      <c r="A81" s="80"/>
      <c r="B81" s="80" t="s">
        <v>115</v>
      </c>
      <c r="C81" s="80" t="s">
        <v>32</v>
      </c>
      <c r="D81" s="80"/>
      <c r="E81" s="82">
        <f>SUM(F81:GC81)</f>
        <v>62398128</v>
      </c>
      <c r="F81" s="100">
        <f>F80*F78</f>
        <v>0</v>
      </c>
      <c r="G81" s="100">
        <f t="shared" ref="G81:K81" si="100">G80*G78</f>
        <v>0</v>
      </c>
      <c r="H81" s="100">
        <f t="shared" si="100"/>
        <v>0</v>
      </c>
      <c r="I81" s="100">
        <f t="shared" si="100"/>
        <v>0</v>
      </c>
      <c r="J81" s="100">
        <f t="shared" si="100"/>
        <v>0</v>
      </c>
      <c r="K81" s="100">
        <f t="shared" si="100"/>
        <v>0</v>
      </c>
      <c r="L81" s="100">
        <f t="shared" ref="L81" si="101">L80*L78</f>
        <v>0</v>
      </c>
      <c r="M81" s="100">
        <f t="shared" ref="M81" si="102">M80*M78</f>
        <v>367536</v>
      </c>
      <c r="N81" s="100">
        <f t="shared" ref="N81" si="103">N80*N78</f>
        <v>355680</v>
      </c>
      <c r="O81" s="100">
        <f t="shared" ref="O81:BZ81" si="104">O80*O78</f>
        <v>367536</v>
      </c>
      <c r="P81" s="100">
        <f t="shared" si="104"/>
        <v>355680</v>
      </c>
      <c r="Q81" s="100">
        <f t="shared" si="104"/>
        <v>367536</v>
      </c>
      <c r="R81" s="100">
        <f t="shared" si="104"/>
        <v>367536</v>
      </c>
      <c r="S81" s="100">
        <f t="shared" si="104"/>
        <v>331968</v>
      </c>
      <c r="T81" s="100">
        <f t="shared" si="104"/>
        <v>367536</v>
      </c>
      <c r="U81" s="100">
        <f t="shared" si="104"/>
        <v>355680</v>
      </c>
      <c r="V81" s="100">
        <f t="shared" si="104"/>
        <v>367536</v>
      </c>
      <c r="W81" s="100">
        <f t="shared" si="104"/>
        <v>355680</v>
      </c>
      <c r="X81" s="100">
        <f t="shared" si="104"/>
        <v>367536</v>
      </c>
      <c r="Y81" s="100">
        <f t="shared" si="104"/>
        <v>367536</v>
      </c>
      <c r="Z81" s="100">
        <f t="shared" si="104"/>
        <v>355680</v>
      </c>
      <c r="AA81" s="100">
        <f t="shared" si="104"/>
        <v>367536</v>
      </c>
      <c r="AB81" s="100">
        <f t="shared" si="104"/>
        <v>355680</v>
      </c>
      <c r="AC81" s="100">
        <f t="shared" si="104"/>
        <v>367536</v>
      </c>
      <c r="AD81" s="100">
        <f t="shared" si="104"/>
        <v>367536</v>
      </c>
      <c r="AE81" s="100">
        <f t="shared" si="104"/>
        <v>331968</v>
      </c>
      <c r="AF81" s="100">
        <f t="shared" si="104"/>
        <v>367536</v>
      </c>
      <c r="AG81" s="100">
        <f t="shared" si="104"/>
        <v>355680</v>
      </c>
      <c r="AH81" s="100">
        <f t="shared" si="104"/>
        <v>367536</v>
      </c>
      <c r="AI81" s="100">
        <f t="shared" si="104"/>
        <v>355680</v>
      </c>
      <c r="AJ81" s="100">
        <f t="shared" si="104"/>
        <v>367536</v>
      </c>
      <c r="AK81" s="100">
        <f t="shared" si="104"/>
        <v>367536</v>
      </c>
      <c r="AL81" s="100">
        <f t="shared" si="104"/>
        <v>355680</v>
      </c>
      <c r="AM81" s="100">
        <f t="shared" si="104"/>
        <v>367536</v>
      </c>
      <c r="AN81" s="100">
        <f t="shared" si="104"/>
        <v>355680</v>
      </c>
      <c r="AO81" s="100">
        <f t="shared" si="104"/>
        <v>367536</v>
      </c>
      <c r="AP81" s="100">
        <f t="shared" si="104"/>
        <v>367536</v>
      </c>
      <c r="AQ81" s="100">
        <f t="shared" si="104"/>
        <v>331968</v>
      </c>
      <c r="AR81" s="100">
        <f t="shared" si="104"/>
        <v>367536</v>
      </c>
      <c r="AS81" s="100">
        <f t="shared" si="104"/>
        <v>355680</v>
      </c>
      <c r="AT81" s="100">
        <f t="shared" si="104"/>
        <v>367536</v>
      </c>
      <c r="AU81" s="100">
        <f t="shared" si="104"/>
        <v>355680</v>
      </c>
      <c r="AV81" s="100">
        <f t="shared" si="104"/>
        <v>367536</v>
      </c>
      <c r="AW81" s="100">
        <f t="shared" si="104"/>
        <v>367536</v>
      </c>
      <c r="AX81" s="100">
        <f t="shared" si="104"/>
        <v>355680</v>
      </c>
      <c r="AY81" s="100">
        <f t="shared" si="104"/>
        <v>367536</v>
      </c>
      <c r="AZ81" s="100">
        <f t="shared" si="104"/>
        <v>355680</v>
      </c>
      <c r="BA81" s="100">
        <f t="shared" si="104"/>
        <v>367536</v>
      </c>
      <c r="BB81" s="100">
        <f t="shared" si="104"/>
        <v>367536</v>
      </c>
      <c r="BC81" s="100">
        <f t="shared" si="104"/>
        <v>331968</v>
      </c>
      <c r="BD81" s="100">
        <f t="shared" si="104"/>
        <v>367536</v>
      </c>
      <c r="BE81" s="100">
        <f t="shared" si="104"/>
        <v>355680</v>
      </c>
      <c r="BF81" s="100">
        <f t="shared" si="104"/>
        <v>367536</v>
      </c>
      <c r="BG81" s="100">
        <f t="shared" si="104"/>
        <v>355680</v>
      </c>
      <c r="BH81" s="100">
        <f t="shared" si="104"/>
        <v>367536</v>
      </c>
      <c r="BI81" s="100">
        <f t="shared" si="104"/>
        <v>367536</v>
      </c>
      <c r="BJ81" s="100">
        <f t="shared" si="104"/>
        <v>355680</v>
      </c>
      <c r="BK81" s="100">
        <f t="shared" si="104"/>
        <v>367536</v>
      </c>
      <c r="BL81" s="100">
        <f t="shared" si="104"/>
        <v>355680</v>
      </c>
      <c r="BM81" s="100">
        <f t="shared" si="104"/>
        <v>367536</v>
      </c>
      <c r="BN81" s="100">
        <f t="shared" si="104"/>
        <v>367536</v>
      </c>
      <c r="BO81" s="100">
        <f t="shared" si="104"/>
        <v>331968</v>
      </c>
      <c r="BP81" s="100">
        <f t="shared" si="104"/>
        <v>367536</v>
      </c>
      <c r="BQ81" s="100">
        <f t="shared" si="104"/>
        <v>355680</v>
      </c>
      <c r="BR81" s="100">
        <f t="shared" si="104"/>
        <v>367536</v>
      </c>
      <c r="BS81" s="100">
        <f t="shared" si="104"/>
        <v>355680</v>
      </c>
      <c r="BT81" s="100">
        <f t="shared" si="104"/>
        <v>367536</v>
      </c>
      <c r="BU81" s="100">
        <f t="shared" si="104"/>
        <v>367536</v>
      </c>
      <c r="BV81" s="100">
        <f t="shared" si="104"/>
        <v>355680</v>
      </c>
      <c r="BW81" s="100">
        <f t="shared" si="104"/>
        <v>367536</v>
      </c>
      <c r="BX81" s="100">
        <f t="shared" si="104"/>
        <v>355680</v>
      </c>
      <c r="BY81" s="100">
        <f t="shared" si="104"/>
        <v>367536</v>
      </c>
      <c r="BZ81" s="100">
        <f t="shared" si="104"/>
        <v>367536</v>
      </c>
      <c r="CA81" s="100">
        <f t="shared" ref="CA81:EL81" si="105">CA80*CA78</f>
        <v>331968</v>
      </c>
      <c r="CB81" s="100">
        <f t="shared" si="105"/>
        <v>367536</v>
      </c>
      <c r="CC81" s="100">
        <f t="shared" si="105"/>
        <v>355680</v>
      </c>
      <c r="CD81" s="100">
        <f t="shared" si="105"/>
        <v>367536</v>
      </c>
      <c r="CE81" s="100">
        <f t="shared" si="105"/>
        <v>355680</v>
      </c>
      <c r="CF81" s="100">
        <f t="shared" si="105"/>
        <v>367536</v>
      </c>
      <c r="CG81" s="100">
        <f t="shared" si="105"/>
        <v>367536</v>
      </c>
      <c r="CH81" s="100">
        <f t="shared" si="105"/>
        <v>355680</v>
      </c>
      <c r="CI81" s="100">
        <f t="shared" si="105"/>
        <v>367536</v>
      </c>
      <c r="CJ81" s="100">
        <f t="shared" si="105"/>
        <v>355680</v>
      </c>
      <c r="CK81" s="100">
        <f t="shared" si="105"/>
        <v>367536</v>
      </c>
      <c r="CL81" s="100">
        <f t="shared" si="105"/>
        <v>367536</v>
      </c>
      <c r="CM81" s="100">
        <f t="shared" si="105"/>
        <v>331968</v>
      </c>
      <c r="CN81" s="100">
        <f t="shared" si="105"/>
        <v>367536</v>
      </c>
      <c r="CO81" s="100">
        <f t="shared" si="105"/>
        <v>355680</v>
      </c>
      <c r="CP81" s="100">
        <f t="shared" si="105"/>
        <v>367536</v>
      </c>
      <c r="CQ81" s="100">
        <f t="shared" si="105"/>
        <v>355680</v>
      </c>
      <c r="CR81" s="100">
        <f t="shared" si="105"/>
        <v>367536</v>
      </c>
      <c r="CS81" s="100">
        <f t="shared" si="105"/>
        <v>367536</v>
      </c>
      <c r="CT81" s="100">
        <f t="shared" si="105"/>
        <v>355680</v>
      </c>
      <c r="CU81" s="100">
        <f t="shared" si="105"/>
        <v>367536</v>
      </c>
      <c r="CV81" s="100">
        <f t="shared" si="105"/>
        <v>355680</v>
      </c>
      <c r="CW81" s="100">
        <f t="shared" si="105"/>
        <v>367536</v>
      </c>
      <c r="CX81" s="100">
        <f t="shared" si="105"/>
        <v>367536</v>
      </c>
      <c r="CY81" s="100">
        <f t="shared" si="105"/>
        <v>331968</v>
      </c>
      <c r="CZ81" s="100">
        <f t="shared" si="105"/>
        <v>367536</v>
      </c>
      <c r="DA81" s="100">
        <f t="shared" si="105"/>
        <v>355680</v>
      </c>
      <c r="DB81" s="100">
        <f t="shared" si="105"/>
        <v>367536</v>
      </c>
      <c r="DC81" s="100">
        <f t="shared" si="105"/>
        <v>355680</v>
      </c>
      <c r="DD81" s="100">
        <f t="shared" si="105"/>
        <v>367536</v>
      </c>
      <c r="DE81" s="100">
        <f t="shared" si="105"/>
        <v>367536</v>
      </c>
      <c r="DF81" s="100">
        <f t="shared" si="105"/>
        <v>355680</v>
      </c>
      <c r="DG81" s="100">
        <f t="shared" si="105"/>
        <v>367536</v>
      </c>
      <c r="DH81" s="100">
        <f t="shared" si="105"/>
        <v>355680</v>
      </c>
      <c r="DI81" s="100">
        <f t="shared" si="105"/>
        <v>367536</v>
      </c>
      <c r="DJ81" s="100">
        <f t="shared" si="105"/>
        <v>367536</v>
      </c>
      <c r="DK81" s="100">
        <f t="shared" si="105"/>
        <v>331968</v>
      </c>
      <c r="DL81" s="100">
        <f t="shared" si="105"/>
        <v>367536</v>
      </c>
      <c r="DM81" s="100">
        <f t="shared" si="105"/>
        <v>355680</v>
      </c>
      <c r="DN81" s="100">
        <f t="shared" si="105"/>
        <v>367536</v>
      </c>
      <c r="DO81" s="100">
        <f t="shared" si="105"/>
        <v>355680</v>
      </c>
      <c r="DP81" s="100">
        <f t="shared" si="105"/>
        <v>367536</v>
      </c>
      <c r="DQ81" s="100">
        <f t="shared" si="105"/>
        <v>367536</v>
      </c>
      <c r="DR81" s="100">
        <f t="shared" si="105"/>
        <v>355680</v>
      </c>
      <c r="DS81" s="100">
        <f t="shared" si="105"/>
        <v>367536</v>
      </c>
      <c r="DT81" s="100">
        <f t="shared" si="105"/>
        <v>355680</v>
      </c>
      <c r="DU81" s="100">
        <f t="shared" si="105"/>
        <v>367536</v>
      </c>
      <c r="DV81" s="100">
        <f t="shared" si="105"/>
        <v>367536</v>
      </c>
      <c r="DW81" s="100">
        <f t="shared" si="105"/>
        <v>331968</v>
      </c>
      <c r="DX81" s="100">
        <f t="shared" si="105"/>
        <v>367536</v>
      </c>
      <c r="DY81" s="100">
        <f t="shared" si="105"/>
        <v>355680</v>
      </c>
      <c r="DZ81" s="100">
        <f t="shared" si="105"/>
        <v>367536</v>
      </c>
      <c r="EA81" s="100">
        <f t="shared" si="105"/>
        <v>355680</v>
      </c>
      <c r="EB81" s="100">
        <f t="shared" si="105"/>
        <v>367536</v>
      </c>
      <c r="EC81" s="100">
        <f t="shared" si="105"/>
        <v>367536</v>
      </c>
      <c r="ED81" s="100">
        <f t="shared" si="105"/>
        <v>355680</v>
      </c>
      <c r="EE81" s="100">
        <f t="shared" si="105"/>
        <v>367536</v>
      </c>
      <c r="EF81" s="100">
        <f t="shared" si="105"/>
        <v>355680</v>
      </c>
      <c r="EG81" s="100">
        <f t="shared" si="105"/>
        <v>367536</v>
      </c>
      <c r="EH81" s="100">
        <f t="shared" si="105"/>
        <v>367536</v>
      </c>
      <c r="EI81" s="100">
        <f t="shared" si="105"/>
        <v>331968</v>
      </c>
      <c r="EJ81" s="100">
        <f t="shared" si="105"/>
        <v>367536</v>
      </c>
      <c r="EK81" s="100">
        <f t="shared" si="105"/>
        <v>355680</v>
      </c>
      <c r="EL81" s="100">
        <f t="shared" si="105"/>
        <v>367536</v>
      </c>
      <c r="EM81" s="100">
        <f t="shared" ref="EM81:GC81" si="106">EM80*EM78</f>
        <v>355680</v>
      </c>
      <c r="EN81" s="100">
        <f t="shared" si="106"/>
        <v>367536</v>
      </c>
      <c r="EO81" s="100">
        <f t="shared" si="106"/>
        <v>367536</v>
      </c>
      <c r="EP81" s="100">
        <f t="shared" si="106"/>
        <v>355680</v>
      </c>
      <c r="EQ81" s="100">
        <f t="shared" si="106"/>
        <v>367536</v>
      </c>
      <c r="ER81" s="100">
        <f t="shared" si="106"/>
        <v>355680</v>
      </c>
      <c r="ES81" s="100">
        <f t="shared" si="106"/>
        <v>367536</v>
      </c>
      <c r="ET81" s="100">
        <f t="shared" si="106"/>
        <v>367536</v>
      </c>
      <c r="EU81" s="100">
        <f t="shared" si="106"/>
        <v>331968</v>
      </c>
      <c r="EV81" s="100">
        <f t="shared" si="106"/>
        <v>367536</v>
      </c>
      <c r="EW81" s="100">
        <f t="shared" si="106"/>
        <v>355680</v>
      </c>
      <c r="EX81" s="100">
        <f t="shared" si="106"/>
        <v>367536</v>
      </c>
      <c r="EY81" s="100">
        <f t="shared" si="106"/>
        <v>355680</v>
      </c>
      <c r="EZ81" s="100">
        <f t="shared" si="106"/>
        <v>367536</v>
      </c>
      <c r="FA81" s="100">
        <f t="shared" si="106"/>
        <v>367536</v>
      </c>
      <c r="FB81" s="100">
        <f t="shared" si="106"/>
        <v>355680</v>
      </c>
      <c r="FC81" s="100">
        <f t="shared" si="106"/>
        <v>367536</v>
      </c>
      <c r="FD81" s="100">
        <f t="shared" si="106"/>
        <v>355680</v>
      </c>
      <c r="FE81" s="100">
        <f t="shared" si="106"/>
        <v>367536</v>
      </c>
      <c r="FF81" s="100">
        <f t="shared" si="106"/>
        <v>367536</v>
      </c>
      <c r="FG81" s="100">
        <f t="shared" si="106"/>
        <v>331968</v>
      </c>
      <c r="FH81" s="100">
        <f t="shared" si="106"/>
        <v>367536</v>
      </c>
      <c r="FI81" s="100">
        <f t="shared" si="106"/>
        <v>355680</v>
      </c>
      <c r="FJ81" s="100">
        <f t="shared" si="106"/>
        <v>367536</v>
      </c>
      <c r="FK81" s="100">
        <f t="shared" si="106"/>
        <v>355680</v>
      </c>
      <c r="FL81" s="100">
        <f t="shared" si="106"/>
        <v>367536</v>
      </c>
      <c r="FM81" s="100">
        <f t="shared" si="106"/>
        <v>367536</v>
      </c>
      <c r="FN81" s="100">
        <f t="shared" si="106"/>
        <v>355680</v>
      </c>
      <c r="FO81" s="100">
        <f t="shared" si="106"/>
        <v>367536</v>
      </c>
      <c r="FP81" s="100">
        <f t="shared" si="106"/>
        <v>355680</v>
      </c>
      <c r="FQ81" s="100">
        <f t="shared" si="106"/>
        <v>367536</v>
      </c>
      <c r="FR81" s="100">
        <f t="shared" si="106"/>
        <v>367536</v>
      </c>
      <c r="FS81" s="100">
        <f t="shared" si="106"/>
        <v>331968</v>
      </c>
      <c r="FT81" s="100">
        <f t="shared" si="106"/>
        <v>367536</v>
      </c>
      <c r="FU81" s="100">
        <f t="shared" si="106"/>
        <v>355680</v>
      </c>
      <c r="FV81" s="100">
        <f t="shared" si="106"/>
        <v>367536</v>
      </c>
      <c r="FW81" s="100">
        <f t="shared" si="106"/>
        <v>355680</v>
      </c>
      <c r="FX81" s="100">
        <f t="shared" si="106"/>
        <v>367536</v>
      </c>
      <c r="FY81" s="100">
        <f t="shared" si="106"/>
        <v>367536</v>
      </c>
      <c r="FZ81" s="100">
        <f t="shared" si="106"/>
        <v>355680</v>
      </c>
      <c r="GA81" s="100">
        <f t="shared" si="106"/>
        <v>367536</v>
      </c>
      <c r="GB81" s="100">
        <f t="shared" si="106"/>
        <v>355680</v>
      </c>
      <c r="GC81" s="100">
        <f t="shared" si="106"/>
        <v>367536</v>
      </c>
    </row>
    <row r="82" spans="1:185">
      <c r="A82" s="80"/>
      <c r="B82" s="80" t="s">
        <v>100</v>
      </c>
      <c r="C82" s="80"/>
      <c r="D82" s="80"/>
      <c r="E82" s="103">
        <f>SUM(E81:E81)/SUM(E155:E158)</f>
        <v>0.20090916645747645</v>
      </c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100"/>
      <c r="BU82" s="100"/>
      <c r="BV82" s="100"/>
      <c r="BW82" s="100"/>
      <c r="BX82" s="100"/>
      <c r="BY82" s="100"/>
      <c r="BZ82" s="100"/>
      <c r="CA82" s="100"/>
      <c r="CB82" s="100"/>
      <c r="CC82" s="100"/>
      <c r="CD82" s="100"/>
      <c r="CE82" s="100"/>
      <c r="CF82" s="100"/>
      <c r="CG82" s="100"/>
      <c r="CH82" s="100"/>
      <c r="CI82" s="100"/>
      <c r="CJ82" s="100"/>
      <c r="CK82" s="100"/>
      <c r="CL82" s="100"/>
      <c r="CM82" s="100"/>
      <c r="CN82" s="100"/>
      <c r="CO82" s="100"/>
      <c r="CP82" s="100"/>
      <c r="CQ82" s="100"/>
      <c r="CR82" s="100"/>
      <c r="CS82" s="100"/>
      <c r="CT82" s="100"/>
      <c r="CU82" s="100"/>
      <c r="CV82" s="100"/>
      <c r="CW82" s="100"/>
      <c r="CX82" s="100"/>
      <c r="CY82" s="100"/>
      <c r="CZ82" s="100"/>
      <c r="DA82" s="100"/>
      <c r="DB82" s="100"/>
      <c r="DC82" s="100"/>
      <c r="DD82" s="100"/>
      <c r="DE82" s="100"/>
      <c r="DF82" s="100"/>
      <c r="DG82" s="100"/>
      <c r="DH82" s="100"/>
      <c r="DI82" s="100"/>
      <c r="DJ82" s="100"/>
      <c r="DK82" s="100"/>
      <c r="DL82" s="100"/>
      <c r="DM82" s="100"/>
      <c r="DN82" s="100"/>
      <c r="DO82" s="100"/>
      <c r="DP82" s="100"/>
      <c r="DQ82" s="100"/>
      <c r="DR82" s="100"/>
      <c r="DS82" s="100"/>
      <c r="DT82" s="100"/>
      <c r="DU82" s="100"/>
      <c r="DV82" s="100"/>
      <c r="DW82" s="100"/>
      <c r="DX82" s="100"/>
      <c r="DY82" s="100"/>
      <c r="DZ82" s="100"/>
      <c r="EA82" s="100"/>
      <c r="EB82" s="100"/>
      <c r="EC82" s="100"/>
      <c r="ED82" s="100"/>
      <c r="EE82" s="100"/>
      <c r="EF82" s="100"/>
      <c r="EG82" s="100"/>
      <c r="EH82" s="100"/>
      <c r="EI82" s="100"/>
      <c r="EJ82" s="100"/>
      <c r="EK82" s="100"/>
      <c r="EL82" s="100"/>
      <c r="EM82" s="100"/>
      <c r="EN82" s="100"/>
      <c r="EO82" s="100"/>
      <c r="EP82" s="100"/>
      <c r="EQ82" s="100"/>
      <c r="ER82" s="100"/>
      <c r="ES82" s="100"/>
      <c r="ET82" s="100"/>
      <c r="EU82" s="100"/>
      <c r="EV82" s="100"/>
      <c r="EW82" s="100"/>
      <c r="EX82" s="100"/>
      <c r="EY82" s="100"/>
      <c r="EZ82" s="100"/>
      <c r="FA82" s="100"/>
      <c r="FB82" s="100"/>
      <c r="FC82" s="100"/>
      <c r="FD82" s="100"/>
      <c r="FE82" s="100"/>
      <c r="FF82" s="100"/>
      <c r="FG82" s="100"/>
      <c r="FH82" s="100"/>
      <c r="FI82" s="100"/>
      <c r="FJ82" s="100"/>
      <c r="FK82" s="100"/>
      <c r="FL82" s="100"/>
      <c r="FM82" s="100"/>
      <c r="FN82" s="100"/>
      <c r="FO82" s="100"/>
      <c r="FP82" s="100"/>
      <c r="FQ82" s="100"/>
      <c r="FR82" s="100"/>
      <c r="FS82" s="100"/>
      <c r="FT82" s="100"/>
      <c r="FU82" s="100"/>
      <c r="FV82" s="100"/>
      <c r="FW82" s="100"/>
      <c r="FX82" s="100"/>
      <c r="FY82" s="100"/>
      <c r="FZ82" s="100"/>
      <c r="GA82" s="100"/>
      <c r="GB82" s="100"/>
      <c r="GC82" s="100"/>
    </row>
    <row r="83" spans="1:185">
      <c r="A83" s="80"/>
      <c r="B83" s="80"/>
      <c r="C83" s="80"/>
      <c r="D83" s="80"/>
      <c r="E83" s="82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00"/>
      <c r="BR83" s="100"/>
      <c r="BS83" s="100"/>
      <c r="BT83" s="100"/>
      <c r="BU83" s="100"/>
      <c r="BV83" s="100"/>
      <c r="BW83" s="100"/>
      <c r="BX83" s="100"/>
      <c r="BY83" s="100"/>
      <c r="BZ83" s="100"/>
      <c r="CA83" s="100"/>
      <c r="CB83" s="100"/>
      <c r="CC83" s="100"/>
      <c r="CD83" s="100"/>
      <c r="CE83" s="100"/>
      <c r="CF83" s="100"/>
      <c r="CG83" s="100"/>
      <c r="CH83" s="100"/>
      <c r="CI83" s="100"/>
      <c r="CJ83" s="100"/>
      <c r="CK83" s="100"/>
      <c r="CL83" s="100"/>
      <c r="CM83" s="100"/>
      <c r="CN83" s="100"/>
      <c r="CO83" s="100"/>
      <c r="CP83" s="100"/>
      <c r="CQ83" s="100"/>
      <c r="CR83" s="100"/>
      <c r="CS83" s="100"/>
      <c r="CT83" s="100"/>
      <c r="CU83" s="100"/>
      <c r="CV83" s="100"/>
      <c r="CW83" s="100"/>
      <c r="CX83" s="100"/>
      <c r="CY83" s="100"/>
      <c r="CZ83" s="100"/>
      <c r="DA83" s="100"/>
      <c r="DB83" s="100"/>
      <c r="DC83" s="100"/>
      <c r="DD83" s="100"/>
      <c r="DE83" s="100"/>
      <c r="DF83" s="100"/>
      <c r="DG83" s="100"/>
      <c r="DH83" s="100"/>
      <c r="DI83" s="100"/>
      <c r="DJ83" s="100"/>
      <c r="DK83" s="100"/>
      <c r="DL83" s="100"/>
      <c r="DM83" s="100"/>
      <c r="DN83" s="100"/>
      <c r="DO83" s="100"/>
      <c r="DP83" s="100"/>
      <c r="DQ83" s="100"/>
      <c r="DR83" s="100"/>
      <c r="DS83" s="100"/>
      <c r="DT83" s="100"/>
      <c r="DU83" s="100"/>
      <c r="DV83" s="100"/>
      <c r="DW83" s="100"/>
      <c r="DX83" s="100"/>
      <c r="DY83" s="100"/>
      <c r="DZ83" s="100"/>
      <c r="EA83" s="100"/>
      <c r="EB83" s="100"/>
      <c r="EC83" s="100"/>
      <c r="ED83" s="100"/>
      <c r="EE83" s="100"/>
      <c r="EF83" s="100"/>
      <c r="EG83" s="100"/>
      <c r="EH83" s="100"/>
      <c r="EI83" s="100"/>
      <c r="EJ83" s="100"/>
      <c r="EK83" s="100"/>
      <c r="EL83" s="100"/>
      <c r="EM83" s="100"/>
      <c r="EN83" s="100"/>
      <c r="EO83" s="100"/>
      <c r="EP83" s="100"/>
      <c r="EQ83" s="100"/>
      <c r="ER83" s="100"/>
      <c r="ES83" s="100"/>
      <c r="ET83" s="100"/>
      <c r="EU83" s="100"/>
      <c r="EV83" s="100"/>
      <c r="EW83" s="100"/>
      <c r="EX83" s="100"/>
      <c r="EY83" s="100"/>
      <c r="EZ83" s="100"/>
      <c r="FA83" s="100"/>
      <c r="FB83" s="100"/>
      <c r="FC83" s="100"/>
      <c r="FD83" s="100"/>
      <c r="FE83" s="100"/>
      <c r="FF83" s="100"/>
      <c r="FG83" s="100"/>
      <c r="FH83" s="100"/>
      <c r="FI83" s="100"/>
      <c r="FJ83" s="100"/>
      <c r="FK83" s="100"/>
      <c r="FL83" s="100"/>
      <c r="FM83" s="100"/>
      <c r="FN83" s="100"/>
      <c r="FO83" s="100"/>
      <c r="FP83" s="100"/>
      <c r="FQ83" s="100"/>
      <c r="FR83" s="100"/>
      <c r="FS83" s="100"/>
      <c r="FT83" s="100"/>
      <c r="FU83" s="100"/>
      <c r="FV83" s="100"/>
      <c r="FW83" s="100"/>
      <c r="FX83" s="100"/>
      <c r="FY83" s="100"/>
      <c r="FZ83" s="100"/>
      <c r="GA83" s="100"/>
      <c r="GB83" s="100"/>
      <c r="GC83" s="100"/>
    </row>
    <row r="84" spans="1:185">
      <c r="A84" s="6" t="s">
        <v>116</v>
      </c>
      <c r="B84" s="80"/>
      <c r="C84" s="80"/>
      <c r="D84" s="80"/>
      <c r="E84" s="82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  <c r="CD84" s="100"/>
      <c r="CE84" s="10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  <c r="CU84" s="100"/>
      <c r="CV84" s="100"/>
      <c r="CW84" s="100"/>
      <c r="CX84" s="100"/>
      <c r="CY84" s="100"/>
      <c r="CZ84" s="100"/>
      <c r="DA84" s="100"/>
      <c r="DB84" s="100"/>
      <c r="DC84" s="100"/>
      <c r="DD84" s="100"/>
      <c r="DE84" s="100"/>
      <c r="DF84" s="100"/>
      <c r="DG84" s="100"/>
      <c r="DH84" s="100"/>
      <c r="DI84" s="100"/>
      <c r="DJ84" s="100"/>
      <c r="DK84" s="100"/>
      <c r="DL84" s="100"/>
      <c r="DM84" s="100"/>
      <c r="DN84" s="100"/>
      <c r="DO84" s="100"/>
      <c r="DP84" s="100"/>
      <c r="DQ84" s="100"/>
      <c r="DR84" s="100"/>
      <c r="DS84" s="100"/>
      <c r="DT84" s="100"/>
      <c r="DU84" s="100"/>
      <c r="DV84" s="100"/>
      <c r="DW84" s="100"/>
      <c r="DX84" s="100"/>
      <c r="DY84" s="100"/>
      <c r="DZ84" s="100"/>
      <c r="EA84" s="100"/>
      <c r="EB84" s="100"/>
      <c r="EC84" s="100"/>
      <c r="ED84" s="100"/>
      <c r="EE84" s="100"/>
      <c r="EF84" s="100"/>
      <c r="EG84" s="100"/>
      <c r="EH84" s="100"/>
      <c r="EI84" s="100"/>
      <c r="EJ84" s="100"/>
      <c r="EK84" s="100"/>
      <c r="EL84" s="100"/>
      <c r="EM84" s="100"/>
      <c r="EN84" s="100"/>
      <c r="EO84" s="100"/>
      <c r="EP84" s="100"/>
      <c r="EQ84" s="100"/>
      <c r="ER84" s="100"/>
      <c r="ES84" s="100"/>
      <c r="ET84" s="100"/>
      <c r="EU84" s="100"/>
      <c r="EV84" s="100"/>
      <c r="EW84" s="100"/>
      <c r="EX84" s="100"/>
      <c r="EY84" s="100"/>
      <c r="EZ84" s="100"/>
      <c r="FA84" s="100"/>
      <c r="FB84" s="100"/>
      <c r="FC84" s="100"/>
      <c r="FD84" s="100"/>
      <c r="FE84" s="100"/>
      <c r="FF84" s="100"/>
      <c r="FG84" s="100"/>
      <c r="FH84" s="100"/>
      <c r="FI84" s="100"/>
      <c r="FJ84" s="100"/>
      <c r="FK84" s="100"/>
      <c r="FL84" s="100"/>
      <c r="FM84" s="100"/>
      <c r="FN84" s="100"/>
      <c r="FO84" s="100"/>
      <c r="FP84" s="100"/>
      <c r="FQ84" s="100"/>
      <c r="FR84" s="100"/>
      <c r="FS84" s="100"/>
      <c r="FT84" s="100"/>
      <c r="FU84" s="100"/>
      <c r="FV84" s="100"/>
      <c r="FW84" s="100"/>
      <c r="FX84" s="100"/>
      <c r="FY84" s="100"/>
      <c r="FZ84" s="100"/>
      <c r="GA84" s="100"/>
      <c r="GB84" s="100"/>
      <c r="GC84" s="100"/>
    </row>
    <row r="85" spans="1:185">
      <c r="A85" s="10" t="s">
        <v>117</v>
      </c>
      <c r="B85" s="80"/>
      <c r="C85" s="80"/>
      <c r="D85" s="80"/>
      <c r="E85" s="82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00"/>
      <c r="BR85" s="100"/>
      <c r="BS85" s="100"/>
      <c r="BT85" s="100"/>
      <c r="BU85" s="100"/>
      <c r="BV85" s="100"/>
      <c r="BW85" s="100"/>
      <c r="BX85" s="100"/>
      <c r="BY85" s="100"/>
      <c r="BZ85" s="100"/>
      <c r="CA85" s="100"/>
      <c r="CB85" s="100"/>
      <c r="CC85" s="100"/>
      <c r="CD85" s="100"/>
      <c r="CE85" s="100"/>
      <c r="CF85" s="100"/>
      <c r="CG85" s="100"/>
      <c r="CH85" s="100"/>
      <c r="CI85" s="100"/>
      <c r="CJ85" s="100"/>
      <c r="CK85" s="100"/>
      <c r="CL85" s="100"/>
      <c r="CM85" s="100"/>
      <c r="CN85" s="100"/>
      <c r="CO85" s="100"/>
      <c r="CP85" s="100"/>
      <c r="CQ85" s="100"/>
      <c r="CR85" s="100"/>
      <c r="CS85" s="100"/>
      <c r="CT85" s="100"/>
      <c r="CU85" s="100"/>
      <c r="CV85" s="100"/>
      <c r="CW85" s="100"/>
      <c r="CX85" s="100"/>
      <c r="CY85" s="100"/>
      <c r="CZ85" s="100"/>
      <c r="DA85" s="100"/>
      <c r="DB85" s="100"/>
      <c r="DC85" s="100"/>
      <c r="DD85" s="100"/>
      <c r="DE85" s="100"/>
      <c r="DF85" s="100"/>
      <c r="DG85" s="100"/>
      <c r="DH85" s="100"/>
      <c r="DI85" s="100"/>
      <c r="DJ85" s="100"/>
      <c r="DK85" s="100"/>
      <c r="DL85" s="100"/>
      <c r="DM85" s="100"/>
      <c r="DN85" s="100"/>
      <c r="DO85" s="100"/>
      <c r="DP85" s="100"/>
      <c r="DQ85" s="100"/>
      <c r="DR85" s="100"/>
      <c r="DS85" s="100"/>
      <c r="DT85" s="100"/>
      <c r="DU85" s="100"/>
      <c r="DV85" s="100"/>
      <c r="DW85" s="100"/>
      <c r="DX85" s="100"/>
      <c r="DY85" s="100"/>
      <c r="DZ85" s="100"/>
      <c r="EA85" s="100"/>
      <c r="EB85" s="100"/>
      <c r="EC85" s="100"/>
      <c r="ED85" s="100"/>
      <c r="EE85" s="100"/>
      <c r="EF85" s="100"/>
      <c r="EG85" s="100"/>
      <c r="EH85" s="100"/>
      <c r="EI85" s="100"/>
      <c r="EJ85" s="100"/>
      <c r="EK85" s="100"/>
      <c r="EL85" s="100"/>
      <c r="EM85" s="100"/>
      <c r="EN85" s="100"/>
      <c r="EO85" s="100"/>
      <c r="EP85" s="100"/>
      <c r="EQ85" s="100"/>
      <c r="ER85" s="100"/>
      <c r="ES85" s="100"/>
      <c r="ET85" s="100"/>
      <c r="EU85" s="100"/>
      <c r="EV85" s="100"/>
      <c r="EW85" s="100"/>
      <c r="EX85" s="100"/>
      <c r="EY85" s="100"/>
      <c r="EZ85" s="100"/>
      <c r="FA85" s="100"/>
      <c r="FB85" s="100"/>
      <c r="FC85" s="100"/>
      <c r="FD85" s="100"/>
      <c r="FE85" s="100"/>
      <c r="FF85" s="100"/>
      <c r="FG85" s="100"/>
      <c r="FH85" s="100"/>
      <c r="FI85" s="100"/>
      <c r="FJ85" s="100"/>
      <c r="FK85" s="100"/>
      <c r="FL85" s="100"/>
      <c r="FM85" s="100"/>
      <c r="FN85" s="100"/>
      <c r="FO85" s="100"/>
      <c r="FP85" s="100"/>
      <c r="FQ85" s="100"/>
      <c r="FR85" s="100"/>
      <c r="FS85" s="100"/>
      <c r="FT85" s="100"/>
      <c r="FU85" s="100"/>
      <c r="FV85" s="100"/>
      <c r="FW85" s="100"/>
      <c r="FX85" s="100"/>
      <c r="FY85" s="100"/>
      <c r="FZ85" s="100"/>
      <c r="GA85" s="100"/>
      <c r="GB85" s="100"/>
      <c r="GC85" s="100"/>
    </row>
    <row r="86" spans="1:185">
      <c r="A86" s="10"/>
      <c r="B86" s="80" t="s">
        <v>118</v>
      </c>
      <c r="C86" s="80"/>
      <c r="D86" s="80"/>
      <c r="E86" s="82">
        <f t="shared" ref="E86:E98" si="107">SUM(F86:GC86)</f>
        <v>567351.39999999979</v>
      </c>
      <c r="F86" s="100">
        <f>OpCost!$E$12*F$130</f>
        <v>0</v>
      </c>
      <c r="G86" s="100">
        <f>OpCost!$E$12*G$130</f>
        <v>0</v>
      </c>
      <c r="H86" s="100">
        <f>OpCost!$E$12*H$130</f>
        <v>0</v>
      </c>
      <c r="I86" s="100">
        <f>OpCost!$E$12*I$130</f>
        <v>0</v>
      </c>
      <c r="J86" s="100">
        <f>OpCost!$E$12*J$130</f>
        <v>0</v>
      </c>
      <c r="K86" s="100">
        <f>OpCost!$E$12*K$130</f>
        <v>0</v>
      </c>
      <c r="L86" s="100">
        <f>OpCost!$E$12*L$130</f>
        <v>0</v>
      </c>
      <c r="M86" s="100">
        <f>OpCost!$E$12*M$130</f>
        <v>3341.8</v>
      </c>
      <c r="N86" s="100">
        <f>OpCost!$E$12*N$130</f>
        <v>3234.0000000000005</v>
      </c>
      <c r="O86" s="100">
        <f>OpCost!$E$12*O$130</f>
        <v>3341.8</v>
      </c>
      <c r="P86" s="100">
        <f>OpCost!$E$12*P$130</f>
        <v>3234.0000000000005</v>
      </c>
      <c r="Q86" s="100">
        <f>OpCost!$E$12*Q$130</f>
        <v>3341.8</v>
      </c>
      <c r="R86" s="100">
        <f>OpCost!$E$12*R$130</f>
        <v>3341.8</v>
      </c>
      <c r="S86" s="100">
        <f>OpCost!$E$12*S$130</f>
        <v>3018.4000000000005</v>
      </c>
      <c r="T86" s="100">
        <f>OpCost!$E$12*T$130</f>
        <v>3341.8</v>
      </c>
      <c r="U86" s="100">
        <f>OpCost!$E$12*U$130</f>
        <v>3234.0000000000005</v>
      </c>
      <c r="V86" s="100">
        <f>OpCost!$E$12*V$130</f>
        <v>3341.8</v>
      </c>
      <c r="W86" s="100">
        <f>OpCost!$E$12*W$130</f>
        <v>3234.0000000000005</v>
      </c>
      <c r="X86" s="100">
        <f>OpCost!$E$12*X$130</f>
        <v>3341.8</v>
      </c>
      <c r="Y86" s="100">
        <f>OpCost!$E$12*Y$130</f>
        <v>3341.8</v>
      </c>
      <c r="Z86" s="100">
        <f>OpCost!$E$12*Z$130</f>
        <v>3234.0000000000005</v>
      </c>
      <c r="AA86" s="100">
        <f>OpCost!$E$12*AA$130</f>
        <v>3341.8</v>
      </c>
      <c r="AB86" s="100">
        <f>OpCost!$E$12*AB$130</f>
        <v>3234.0000000000005</v>
      </c>
      <c r="AC86" s="100">
        <f>OpCost!$E$12*AC$130</f>
        <v>3341.8</v>
      </c>
      <c r="AD86" s="100">
        <f>OpCost!$E$12*AD$130</f>
        <v>3341.8</v>
      </c>
      <c r="AE86" s="100">
        <f>OpCost!$E$12*AE$130</f>
        <v>3018.4000000000005</v>
      </c>
      <c r="AF86" s="100">
        <f>OpCost!$E$12*AF$130</f>
        <v>3341.8</v>
      </c>
      <c r="AG86" s="100">
        <f>OpCost!$E$12*AG$130</f>
        <v>3234.0000000000005</v>
      </c>
      <c r="AH86" s="100">
        <f>OpCost!$E$12*AH$130</f>
        <v>3341.8</v>
      </c>
      <c r="AI86" s="100">
        <f>OpCost!$E$12*AI$130</f>
        <v>3234.0000000000005</v>
      </c>
      <c r="AJ86" s="100">
        <f>OpCost!$E$12*AJ$130</f>
        <v>3341.8</v>
      </c>
      <c r="AK86" s="100">
        <f>OpCost!$E$12*AK$130</f>
        <v>3341.8</v>
      </c>
      <c r="AL86" s="100">
        <f>OpCost!$E$12*AL$130</f>
        <v>3234.0000000000005</v>
      </c>
      <c r="AM86" s="100">
        <f>OpCost!$E$12*AM$130</f>
        <v>3341.8</v>
      </c>
      <c r="AN86" s="100">
        <f>OpCost!$E$12*AN$130</f>
        <v>3234.0000000000005</v>
      </c>
      <c r="AO86" s="100">
        <f>OpCost!$E$12*AO$130</f>
        <v>3341.8</v>
      </c>
      <c r="AP86" s="100">
        <f>OpCost!$E$12*AP$130</f>
        <v>3341.8</v>
      </c>
      <c r="AQ86" s="100">
        <f>OpCost!$E$12*AQ$130</f>
        <v>3018.4000000000005</v>
      </c>
      <c r="AR86" s="100">
        <f>OpCost!$E$12*AR$130</f>
        <v>3341.8</v>
      </c>
      <c r="AS86" s="100">
        <f>OpCost!$E$12*AS$130</f>
        <v>3234.0000000000005</v>
      </c>
      <c r="AT86" s="100">
        <f>OpCost!$E$12*AT$130</f>
        <v>3341.8</v>
      </c>
      <c r="AU86" s="100">
        <f>OpCost!$E$12*AU$130</f>
        <v>3234.0000000000005</v>
      </c>
      <c r="AV86" s="100">
        <f>OpCost!$E$12*AV$130</f>
        <v>3341.8</v>
      </c>
      <c r="AW86" s="100">
        <f>OpCost!$E$12*AW$130</f>
        <v>3341.8</v>
      </c>
      <c r="AX86" s="100">
        <f>OpCost!$E$12*AX$130</f>
        <v>3234.0000000000005</v>
      </c>
      <c r="AY86" s="100">
        <f>OpCost!$E$12*AY$130</f>
        <v>3341.8</v>
      </c>
      <c r="AZ86" s="100">
        <f>OpCost!$E$12*AZ$130</f>
        <v>3234.0000000000005</v>
      </c>
      <c r="BA86" s="100">
        <f>OpCost!$E$12*BA$130</f>
        <v>3341.8</v>
      </c>
      <c r="BB86" s="100">
        <f>OpCost!$E$12*BB$130</f>
        <v>3341.8</v>
      </c>
      <c r="BC86" s="100">
        <f>OpCost!$E$12*BC$130</f>
        <v>3018.4000000000005</v>
      </c>
      <c r="BD86" s="100">
        <f>OpCost!$E$12*BD$130</f>
        <v>3341.8</v>
      </c>
      <c r="BE86" s="100">
        <f>OpCost!$E$12*BE$130</f>
        <v>3234.0000000000005</v>
      </c>
      <c r="BF86" s="100">
        <f>OpCost!$E$12*BF$130</f>
        <v>3341.8</v>
      </c>
      <c r="BG86" s="100">
        <f>OpCost!$E$12*BG$130</f>
        <v>3234.0000000000005</v>
      </c>
      <c r="BH86" s="100">
        <f>OpCost!$E$12*BH$130</f>
        <v>3341.8</v>
      </c>
      <c r="BI86" s="100">
        <f>OpCost!$E$12*BI$130</f>
        <v>3341.8</v>
      </c>
      <c r="BJ86" s="100">
        <f>OpCost!$E$12*BJ$130</f>
        <v>3234.0000000000005</v>
      </c>
      <c r="BK86" s="100">
        <f>OpCost!$E$12*BK$130</f>
        <v>3341.8</v>
      </c>
      <c r="BL86" s="100">
        <f>OpCost!$E$12*BL$130</f>
        <v>3234.0000000000005</v>
      </c>
      <c r="BM86" s="100">
        <f>OpCost!$E$12*BM$130</f>
        <v>3341.8</v>
      </c>
      <c r="BN86" s="100">
        <f>OpCost!$E$12*BN$130</f>
        <v>3341.8</v>
      </c>
      <c r="BO86" s="100">
        <f>OpCost!$E$12*BO$130</f>
        <v>3018.4000000000005</v>
      </c>
      <c r="BP86" s="100">
        <f>OpCost!$E$12*BP$130</f>
        <v>3341.8</v>
      </c>
      <c r="BQ86" s="100">
        <f>OpCost!$E$12*BQ$130</f>
        <v>3234.0000000000005</v>
      </c>
      <c r="BR86" s="100">
        <f>OpCost!$E$12*BR$130</f>
        <v>3341.8</v>
      </c>
      <c r="BS86" s="100">
        <f>OpCost!$E$12*BS$130</f>
        <v>3234.0000000000005</v>
      </c>
      <c r="BT86" s="100">
        <f>OpCost!$E$12*BT$130</f>
        <v>3341.8</v>
      </c>
      <c r="BU86" s="100">
        <f>OpCost!$E$12*BU$130</f>
        <v>3341.8</v>
      </c>
      <c r="BV86" s="100">
        <f>OpCost!$E$12*BV$130</f>
        <v>3234.0000000000005</v>
      </c>
      <c r="BW86" s="100">
        <f>OpCost!$E$12*BW$130</f>
        <v>3341.8</v>
      </c>
      <c r="BX86" s="100">
        <f>OpCost!$E$12*BX$130</f>
        <v>3234.0000000000005</v>
      </c>
      <c r="BY86" s="100">
        <f>OpCost!$E$12*BY$130</f>
        <v>3341.8</v>
      </c>
      <c r="BZ86" s="100">
        <f>OpCost!$E$12*BZ$130</f>
        <v>3341.8</v>
      </c>
      <c r="CA86" s="100">
        <f>OpCost!$E$12*CA$130</f>
        <v>3018.4000000000005</v>
      </c>
      <c r="CB86" s="100">
        <f>OpCost!$E$12*CB$130</f>
        <v>3341.8</v>
      </c>
      <c r="CC86" s="100">
        <f>OpCost!$E$12*CC$130</f>
        <v>3234.0000000000005</v>
      </c>
      <c r="CD86" s="100">
        <f>OpCost!$E$12*CD$130</f>
        <v>3341.8</v>
      </c>
      <c r="CE86" s="100">
        <f>OpCost!$E$12*CE$130</f>
        <v>3234.0000000000005</v>
      </c>
      <c r="CF86" s="100">
        <f>OpCost!$E$12*CF$130</f>
        <v>3341.8</v>
      </c>
      <c r="CG86" s="100">
        <f>OpCost!$E$12*CG$130</f>
        <v>3341.8</v>
      </c>
      <c r="CH86" s="100">
        <f>OpCost!$E$12*CH$130</f>
        <v>3234.0000000000005</v>
      </c>
      <c r="CI86" s="100">
        <f>OpCost!$E$12*CI$130</f>
        <v>3341.8</v>
      </c>
      <c r="CJ86" s="100">
        <f>OpCost!$E$12*CJ$130</f>
        <v>3234.0000000000005</v>
      </c>
      <c r="CK86" s="100">
        <f>OpCost!$E$12*CK$130</f>
        <v>3341.8</v>
      </c>
      <c r="CL86" s="100">
        <f>OpCost!$E$12*CL$130</f>
        <v>3341.8</v>
      </c>
      <c r="CM86" s="100">
        <f>OpCost!$E$12*CM$130</f>
        <v>3018.4000000000005</v>
      </c>
      <c r="CN86" s="100">
        <f>OpCost!$E$12*CN$130</f>
        <v>3341.8</v>
      </c>
      <c r="CO86" s="100">
        <f>OpCost!$E$12*CO$130</f>
        <v>3234.0000000000005</v>
      </c>
      <c r="CP86" s="100">
        <f>OpCost!$E$12*CP$130</f>
        <v>3341.8</v>
      </c>
      <c r="CQ86" s="100">
        <f>OpCost!$E$12*CQ$130</f>
        <v>3234.0000000000005</v>
      </c>
      <c r="CR86" s="100">
        <f>OpCost!$E$12*CR$130</f>
        <v>3341.8</v>
      </c>
      <c r="CS86" s="100">
        <f>OpCost!$E$12*CS$130</f>
        <v>3341.8</v>
      </c>
      <c r="CT86" s="100">
        <f>OpCost!$E$12*CT$130</f>
        <v>3234.0000000000005</v>
      </c>
      <c r="CU86" s="100">
        <f>OpCost!$E$12*CU$130</f>
        <v>3341.8</v>
      </c>
      <c r="CV86" s="100">
        <f>OpCost!$E$12*CV$130</f>
        <v>3234.0000000000005</v>
      </c>
      <c r="CW86" s="100">
        <f>OpCost!$E$12*CW$130</f>
        <v>3341.8</v>
      </c>
      <c r="CX86" s="100">
        <f>OpCost!$E$12*CX$130</f>
        <v>3341.8</v>
      </c>
      <c r="CY86" s="100">
        <f>OpCost!$E$12*CY$130</f>
        <v>3018.4000000000005</v>
      </c>
      <c r="CZ86" s="100">
        <f>OpCost!$E$12*CZ$130</f>
        <v>3341.8</v>
      </c>
      <c r="DA86" s="100">
        <f>OpCost!$E$12*DA$130</f>
        <v>3234.0000000000005</v>
      </c>
      <c r="DB86" s="100">
        <f>OpCost!$E$12*DB$130</f>
        <v>3341.8</v>
      </c>
      <c r="DC86" s="100">
        <f>OpCost!$E$12*DC$130</f>
        <v>3234.0000000000005</v>
      </c>
      <c r="DD86" s="100">
        <f>OpCost!$E$12*DD$130</f>
        <v>3341.8</v>
      </c>
      <c r="DE86" s="100">
        <f>OpCost!$E$12*DE$130</f>
        <v>3341.8</v>
      </c>
      <c r="DF86" s="100">
        <f>OpCost!$E$12*DF$130</f>
        <v>3234.0000000000005</v>
      </c>
      <c r="DG86" s="100">
        <f>OpCost!$E$12*DG$130</f>
        <v>3341.8</v>
      </c>
      <c r="DH86" s="100">
        <f>OpCost!$E$12*DH$130</f>
        <v>3234.0000000000005</v>
      </c>
      <c r="DI86" s="100">
        <f>OpCost!$E$12*DI$130</f>
        <v>3341.8</v>
      </c>
      <c r="DJ86" s="100">
        <f>OpCost!$E$12*DJ$130</f>
        <v>3341.8</v>
      </c>
      <c r="DK86" s="100">
        <f>OpCost!$E$12*DK$130</f>
        <v>3018.4000000000005</v>
      </c>
      <c r="DL86" s="100">
        <f>OpCost!$E$12*DL$130</f>
        <v>3341.8</v>
      </c>
      <c r="DM86" s="100">
        <f>OpCost!$E$12*DM$130</f>
        <v>3234.0000000000005</v>
      </c>
      <c r="DN86" s="100">
        <f>OpCost!$E$12*DN$130</f>
        <v>3341.8</v>
      </c>
      <c r="DO86" s="100">
        <f>OpCost!$E$12*DO$130</f>
        <v>3234.0000000000005</v>
      </c>
      <c r="DP86" s="100">
        <f>OpCost!$E$12*DP$130</f>
        <v>3341.8</v>
      </c>
      <c r="DQ86" s="100">
        <f>OpCost!$E$12*DQ$130</f>
        <v>3341.8</v>
      </c>
      <c r="DR86" s="100">
        <f>OpCost!$E$12*DR$130</f>
        <v>3234.0000000000005</v>
      </c>
      <c r="DS86" s="100">
        <f>OpCost!$E$12*DS$130</f>
        <v>3341.8</v>
      </c>
      <c r="DT86" s="100">
        <f>OpCost!$E$12*DT$130</f>
        <v>3234.0000000000005</v>
      </c>
      <c r="DU86" s="100">
        <f>OpCost!$E$12*DU$130</f>
        <v>3341.8</v>
      </c>
      <c r="DV86" s="100">
        <f>OpCost!$E$12*DV$130</f>
        <v>3341.8</v>
      </c>
      <c r="DW86" s="100">
        <f>OpCost!$E$12*DW$130</f>
        <v>3018.4000000000005</v>
      </c>
      <c r="DX86" s="100">
        <f>OpCost!$E$12*DX$130</f>
        <v>3341.8</v>
      </c>
      <c r="DY86" s="100">
        <f>OpCost!$E$12*DY$130</f>
        <v>3234.0000000000005</v>
      </c>
      <c r="DZ86" s="100">
        <f>OpCost!$E$12*DZ$130</f>
        <v>3341.8</v>
      </c>
      <c r="EA86" s="100">
        <f>OpCost!$E$12*EA$130</f>
        <v>3234.0000000000005</v>
      </c>
      <c r="EB86" s="100">
        <f>OpCost!$E$12*EB$130</f>
        <v>3341.8</v>
      </c>
      <c r="EC86" s="100">
        <f>OpCost!$E$12*EC$130</f>
        <v>3341.8</v>
      </c>
      <c r="ED86" s="100">
        <f>OpCost!$E$12*ED$130</f>
        <v>3234.0000000000005</v>
      </c>
      <c r="EE86" s="100">
        <f>OpCost!$E$12*EE$130</f>
        <v>3341.8</v>
      </c>
      <c r="EF86" s="100">
        <f>OpCost!$E$12*EF$130</f>
        <v>3234.0000000000005</v>
      </c>
      <c r="EG86" s="100">
        <f>OpCost!$E$12*EG$130</f>
        <v>3341.8</v>
      </c>
      <c r="EH86" s="100">
        <f>OpCost!$E$12*EH$130</f>
        <v>3341.8</v>
      </c>
      <c r="EI86" s="100">
        <f>OpCost!$E$12*EI$130</f>
        <v>3018.4000000000005</v>
      </c>
      <c r="EJ86" s="100">
        <f>OpCost!$E$12*EJ$130</f>
        <v>3341.8</v>
      </c>
      <c r="EK86" s="100">
        <f>OpCost!$E$12*EK$130</f>
        <v>3234.0000000000005</v>
      </c>
      <c r="EL86" s="100">
        <f>OpCost!$E$12*EL$130</f>
        <v>3341.8</v>
      </c>
      <c r="EM86" s="100">
        <f>OpCost!$E$12*EM$130</f>
        <v>3234.0000000000005</v>
      </c>
      <c r="EN86" s="100">
        <f>OpCost!$E$12*EN$130</f>
        <v>3341.8</v>
      </c>
      <c r="EO86" s="100">
        <f>OpCost!$E$12*EO$130</f>
        <v>3341.8</v>
      </c>
      <c r="EP86" s="100">
        <f>OpCost!$E$12*EP$130</f>
        <v>3234.0000000000005</v>
      </c>
      <c r="EQ86" s="100">
        <f>OpCost!$E$12*EQ$130</f>
        <v>3341.8</v>
      </c>
      <c r="ER86" s="100">
        <f>OpCost!$E$12*ER$130</f>
        <v>3234.0000000000005</v>
      </c>
      <c r="ES86" s="100">
        <f>OpCost!$E$12*ES$130</f>
        <v>3341.8</v>
      </c>
      <c r="ET86" s="100">
        <f>OpCost!$E$12*ET$130</f>
        <v>3341.8</v>
      </c>
      <c r="EU86" s="100">
        <f>OpCost!$E$12*EU$130</f>
        <v>3018.4000000000005</v>
      </c>
      <c r="EV86" s="100">
        <f>OpCost!$E$12*EV$130</f>
        <v>3341.8</v>
      </c>
      <c r="EW86" s="100">
        <f>OpCost!$E$12*EW$130</f>
        <v>3234.0000000000005</v>
      </c>
      <c r="EX86" s="100">
        <f>OpCost!$E$12*EX$130</f>
        <v>3341.8</v>
      </c>
      <c r="EY86" s="100">
        <f>OpCost!$E$12*EY$130</f>
        <v>3234.0000000000005</v>
      </c>
      <c r="EZ86" s="100">
        <f>OpCost!$E$12*EZ$130</f>
        <v>3341.8</v>
      </c>
      <c r="FA86" s="100">
        <f>OpCost!$E$12*FA$130</f>
        <v>3341.8</v>
      </c>
      <c r="FB86" s="100">
        <f>OpCost!$E$12*FB$130</f>
        <v>3234.0000000000005</v>
      </c>
      <c r="FC86" s="100">
        <f>OpCost!$E$12*FC$130</f>
        <v>3341.8</v>
      </c>
      <c r="FD86" s="100">
        <f>OpCost!$E$12*FD$130</f>
        <v>3234.0000000000005</v>
      </c>
      <c r="FE86" s="100">
        <f>OpCost!$E$12*FE$130</f>
        <v>3341.8</v>
      </c>
      <c r="FF86" s="100">
        <f>OpCost!$E$12*FF$130</f>
        <v>3341.8</v>
      </c>
      <c r="FG86" s="100">
        <f>OpCost!$E$12*FG$130</f>
        <v>3018.4000000000005</v>
      </c>
      <c r="FH86" s="100">
        <f>OpCost!$E$12*FH$130</f>
        <v>3341.8</v>
      </c>
      <c r="FI86" s="100">
        <f>OpCost!$E$12*FI$130</f>
        <v>3234.0000000000005</v>
      </c>
      <c r="FJ86" s="100">
        <f>OpCost!$E$12*FJ$130</f>
        <v>3341.8</v>
      </c>
      <c r="FK86" s="100">
        <f>OpCost!$E$12*FK$130</f>
        <v>3234.0000000000005</v>
      </c>
      <c r="FL86" s="100">
        <f>OpCost!$E$12*FL$130</f>
        <v>3341.8</v>
      </c>
      <c r="FM86" s="100">
        <f>OpCost!$E$12*FM$130</f>
        <v>3341.8</v>
      </c>
      <c r="FN86" s="100">
        <f>OpCost!$E$12*FN$130</f>
        <v>3234.0000000000005</v>
      </c>
      <c r="FO86" s="100">
        <f>OpCost!$E$12*FO$130</f>
        <v>3341.8</v>
      </c>
      <c r="FP86" s="100">
        <f>OpCost!$E$12*FP$130</f>
        <v>3234.0000000000005</v>
      </c>
      <c r="FQ86" s="100">
        <f>OpCost!$E$12*FQ$130</f>
        <v>3341.8</v>
      </c>
      <c r="FR86" s="100">
        <f>OpCost!$E$12*FR$130</f>
        <v>3341.8</v>
      </c>
      <c r="FS86" s="100">
        <f>OpCost!$E$12*FS$130</f>
        <v>3018.4000000000005</v>
      </c>
      <c r="FT86" s="100">
        <f>OpCost!$E$12*FT$130</f>
        <v>3341.8</v>
      </c>
      <c r="FU86" s="100">
        <f>OpCost!$E$12*FU$130</f>
        <v>3234.0000000000005</v>
      </c>
      <c r="FV86" s="100">
        <f>OpCost!$E$12*FV$130</f>
        <v>3341.8</v>
      </c>
      <c r="FW86" s="100">
        <f>OpCost!$E$12*FW$130</f>
        <v>3234.0000000000005</v>
      </c>
      <c r="FX86" s="100">
        <f>OpCost!$E$12*FX$130</f>
        <v>3341.8</v>
      </c>
      <c r="FY86" s="100">
        <f>OpCost!$E$12*FY$130</f>
        <v>3341.8</v>
      </c>
      <c r="FZ86" s="100">
        <f>OpCost!$E$12*FZ$130</f>
        <v>3234.0000000000005</v>
      </c>
      <c r="GA86" s="100">
        <f>OpCost!$E$12*GA$130</f>
        <v>3341.8</v>
      </c>
      <c r="GB86" s="100">
        <f>OpCost!$E$12*GB$130</f>
        <v>3234.0000000000005</v>
      </c>
      <c r="GC86" s="100">
        <f>OpCost!$E$12*GC$130</f>
        <v>3341.8</v>
      </c>
    </row>
    <row r="87" spans="1:185">
      <c r="A87" s="10"/>
      <c r="B87" s="80" t="s">
        <v>119</v>
      </c>
      <c r="C87" s="80"/>
      <c r="D87" s="80"/>
      <c r="E87" s="82">
        <f t="shared" si="107"/>
        <v>1296803.1999999993</v>
      </c>
      <c r="F87" s="100">
        <f>OpCost!$E$13*F$130</f>
        <v>0</v>
      </c>
      <c r="G87" s="100">
        <f>OpCost!$E$13*G$130</f>
        <v>0</v>
      </c>
      <c r="H87" s="100">
        <f>OpCost!$E$13*H$130</f>
        <v>0</v>
      </c>
      <c r="I87" s="100">
        <f>OpCost!$E$13*I$130</f>
        <v>0</v>
      </c>
      <c r="J87" s="100">
        <f>OpCost!$E$13*J$130</f>
        <v>0</v>
      </c>
      <c r="K87" s="100">
        <f>OpCost!$E$13*K$130</f>
        <v>0</v>
      </c>
      <c r="L87" s="100">
        <f>OpCost!$E$13*L$130</f>
        <v>0</v>
      </c>
      <c r="M87" s="100">
        <f>OpCost!$E$13*M$130</f>
        <v>7638.3999999999987</v>
      </c>
      <c r="N87" s="100">
        <f>OpCost!$E$13*N$130</f>
        <v>7391.9999999999991</v>
      </c>
      <c r="O87" s="100">
        <f>OpCost!$E$13*O$130</f>
        <v>7638.3999999999987</v>
      </c>
      <c r="P87" s="100">
        <f>OpCost!$E$13*P$130</f>
        <v>7391.9999999999991</v>
      </c>
      <c r="Q87" s="100">
        <f>OpCost!$E$13*Q$130</f>
        <v>7638.3999999999987</v>
      </c>
      <c r="R87" s="100">
        <f>OpCost!$E$13*R$130</f>
        <v>7638.3999999999987</v>
      </c>
      <c r="S87" s="100">
        <f>OpCost!$E$13*S$130</f>
        <v>6899.2</v>
      </c>
      <c r="T87" s="100">
        <f>OpCost!$E$13*T$130</f>
        <v>7638.3999999999987</v>
      </c>
      <c r="U87" s="100">
        <f>OpCost!$E$13*U$130</f>
        <v>7391.9999999999991</v>
      </c>
      <c r="V87" s="100">
        <f>OpCost!$E$13*V$130</f>
        <v>7638.3999999999987</v>
      </c>
      <c r="W87" s="100">
        <f>OpCost!$E$13*W$130</f>
        <v>7391.9999999999991</v>
      </c>
      <c r="X87" s="100">
        <f>OpCost!$E$13*X$130</f>
        <v>7638.3999999999987</v>
      </c>
      <c r="Y87" s="100">
        <f>OpCost!$E$13*Y$130</f>
        <v>7638.3999999999987</v>
      </c>
      <c r="Z87" s="100">
        <f>OpCost!$E$13*Z$130</f>
        <v>7391.9999999999991</v>
      </c>
      <c r="AA87" s="100">
        <f>OpCost!$E$13*AA$130</f>
        <v>7638.3999999999987</v>
      </c>
      <c r="AB87" s="100">
        <f>OpCost!$E$13*AB$130</f>
        <v>7391.9999999999991</v>
      </c>
      <c r="AC87" s="100">
        <f>OpCost!$E$13*AC$130</f>
        <v>7638.3999999999987</v>
      </c>
      <c r="AD87" s="100">
        <f>OpCost!$E$13*AD$130</f>
        <v>7638.3999999999987</v>
      </c>
      <c r="AE87" s="100">
        <f>OpCost!$E$13*AE$130</f>
        <v>6899.2</v>
      </c>
      <c r="AF87" s="100">
        <f>OpCost!$E$13*AF$130</f>
        <v>7638.3999999999987</v>
      </c>
      <c r="AG87" s="100">
        <f>OpCost!$E$13*AG$130</f>
        <v>7391.9999999999991</v>
      </c>
      <c r="AH87" s="100">
        <f>OpCost!$E$13*AH$130</f>
        <v>7638.3999999999987</v>
      </c>
      <c r="AI87" s="100">
        <f>OpCost!$E$13*AI$130</f>
        <v>7391.9999999999991</v>
      </c>
      <c r="AJ87" s="100">
        <f>OpCost!$E$13*AJ$130</f>
        <v>7638.3999999999987</v>
      </c>
      <c r="AK87" s="100">
        <f>OpCost!$E$13*AK$130</f>
        <v>7638.3999999999987</v>
      </c>
      <c r="AL87" s="100">
        <f>OpCost!$E$13*AL$130</f>
        <v>7391.9999999999991</v>
      </c>
      <c r="AM87" s="100">
        <f>OpCost!$E$13*AM$130</f>
        <v>7638.3999999999987</v>
      </c>
      <c r="AN87" s="100">
        <f>OpCost!$E$13*AN$130</f>
        <v>7391.9999999999991</v>
      </c>
      <c r="AO87" s="100">
        <f>OpCost!$E$13*AO$130</f>
        <v>7638.3999999999987</v>
      </c>
      <c r="AP87" s="100">
        <f>OpCost!$E$13*AP$130</f>
        <v>7638.3999999999987</v>
      </c>
      <c r="AQ87" s="100">
        <f>OpCost!$E$13*AQ$130</f>
        <v>6899.2</v>
      </c>
      <c r="AR87" s="100">
        <f>OpCost!$E$13*AR$130</f>
        <v>7638.3999999999987</v>
      </c>
      <c r="AS87" s="100">
        <f>OpCost!$E$13*AS$130</f>
        <v>7391.9999999999991</v>
      </c>
      <c r="AT87" s="100">
        <f>OpCost!$E$13*AT$130</f>
        <v>7638.3999999999987</v>
      </c>
      <c r="AU87" s="100">
        <f>OpCost!$E$13*AU$130</f>
        <v>7391.9999999999991</v>
      </c>
      <c r="AV87" s="100">
        <f>OpCost!$E$13*AV$130</f>
        <v>7638.3999999999987</v>
      </c>
      <c r="AW87" s="100">
        <f>OpCost!$E$13*AW$130</f>
        <v>7638.3999999999987</v>
      </c>
      <c r="AX87" s="100">
        <f>OpCost!$E$13*AX$130</f>
        <v>7391.9999999999991</v>
      </c>
      <c r="AY87" s="100">
        <f>OpCost!$E$13*AY$130</f>
        <v>7638.3999999999987</v>
      </c>
      <c r="AZ87" s="100">
        <f>OpCost!$E$13*AZ$130</f>
        <v>7391.9999999999991</v>
      </c>
      <c r="BA87" s="100">
        <f>OpCost!$E$13*BA$130</f>
        <v>7638.3999999999987</v>
      </c>
      <c r="BB87" s="100">
        <f>OpCost!$E$13*BB$130</f>
        <v>7638.3999999999987</v>
      </c>
      <c r="BC87" s="100">
        <f>OpCost!$E$13*BC$130</f>
        <v>6899.2</v>
      </c>
      <c r="BD87" s="100">
        <f>OpCost!$E$13*BD$130</f>
        <v>7638.3999999999987</v>
      </c>
      <c r="BE87" s="100">
        <f>OpCost!$E$13*BE$130</f>
        <v>7391.9999999999991</v>
      </c>
      <c r="BF87" s="100">
        <f>OpCost!$E$13*BF$130</f>
        <v>7638.3999999999987</v>
      </c>
      <c r="BG87" s="100">
        <f>OpCost!$E$13*BG$130</f>
        <v>7391.9999999999991</v>
      </c>
      <c r="BH87" s="100">
        <f>OpCost!$E$13*BH$130</f>
        <v>7638.3999999999987</v>
      </c>
      <c r="BI87" s="100">
        <f>OpCost!$E$13*BI$130</f>
        <v>7638.3999999999987</v>
      </c>
      <c r="BJ87" s="100">
        <f>OpCost!$E$13*BJ$130</f>
        <v>7391.9999999999991</v>
      </c>
      <c r="BK87" s="100">
        <f>OpCost!$E$13*BK$130</f>
        <v>7638.3999999999987</v>
      </c>
      <c r="BL87" s="100">
        <f>OpCost!$E$13*BL$130</f>
        <v>7391.9999999999991</v>
      </c>
      <c r="BM87" s="100">
        <f>OpCost!$E$13*BM$130</f>
        <v>7638.3999999999987</v>
      </c>
      <c r="BN87" s="100">
        <f>OpCost!$E$13*BN$130</f>
        <v>7638.3999999999987</v>
      </c>
      <c r="BO87" s="100">
        <f>OpCost!$E$13*BO$130</f>
        <v>6899.2</v>
      </c>
      <c r="BP87" s="100">
        <f>OpCost!$E$13*BP$130</f>
        <v>7638.3999999999987</v>
      </c>
      <c r="BQ87" s="100">
        <f>OpCost!$E$13*BQ$130</f>
        <v>7391.9999999999991</v>
      </c>
      <c r="BR87" s="100">
        <f>OpCost!$E$13*BR$130</f>
        <v>7638.3999999999987</v>
      </c>
      <c r="BS87" s="100">
        <f>OpCost!$E$13*BS$130</f>
        <v>7391.9999999999991</v>
      </c>
      <c r="BT87" s="100">
        <f>OpCost!$E$13*BT$130</f>
        <v>7638.3999999999987</v>
      </c>
      <c r="BU87" s="100">
        <f>OpCost!$E$13*BU$130</f>
        <v>7638.3999999999987</v>
      </c>
      <c r="BV87" s="100">
        <f>OpCost!$E$13*BV$130</f>
        <v>7391.9999999999991</v>
      </c>
      <c r="BW87" s="100">
        <f>OpCost!$E$13*BW$130</f>
        <v>7638.3999999999987</v>
      </c>
      <c r="BX87" s="100">
        <f>OpCost!$E$13*BX$130</f>
        <v>7391.9999999999991</v>
      </c>
      <c r="BY87" s="100">
        <f>OpCost!$E$13*BY$130</f>
        <v>7638.3999999999987</v>
      </c>
      <c r="BZ87" s="100">
        <f>OpCost!$E$13*BZ$130</f>
        <v>7638.3999999999987</v>
      </c>
      <c r="CA87" s="100">
        <f>OpCost!$E$13*CA$130</f>
        <v>6899.2</v>
      </c>
      <c r="CB87" s="100">
        <f>OpCost!$E$13*CB$130</f>
        <v>7638.3999999999987</v>
      </c>
      <c r="CC87" s="100">
        <f>OpCost!$E$13*CC$130</f>
        <v>7391.9999999999991</v>
      </c>
      <c r="CD87" s="100">
        <f>OpCost!$E$13*CD$130</f>
        <v>7638.3999999999987</v>
      </c>
      <c r="CE87" s="100">
        <f>OpCost!$E$13*CE$130</f>
        <v>7391.9999999999991</v>
      </c>
      <c r="CF87" s="100">
        <f>OpCost!$E$13*CF$130</f>
        <v>7638.3999999999987</v>
      </c>
      <c r="CG87" s="100">
        <f>OpCost!$E$13*CG$130</f>
        <v>7638.3999999999987</v>
      </c>
      <c r="CH87" s="100">
        <f>OpCost!$E$13*CH$130</f>
        <v>7391.9999999999991</v>
      </c>
      <c r="CI87" s="100">
        <f>OpCost!$E$13*CI$130</f>
        <v>7638.3999999999987</v>
      </c>
      <c r="CJ87" s="100">
        <f>OpCost!$E$13*CJ$130</f>
        <v>7391.9999999999991</v>
      </c>
      <c r="CK87" s="100">
        <f>OpCost!$E$13*CK$130</f>
        <v>7638.3999999999987</v>
      </c>
      <c r="CL87" s="100">
        <f>OpCost!$E$13*CL$130</f>
        <v>7638.3999999999987</v>
      </c>
      <c r="CM87" s="100">
        <f>OpCost!$E$13*CM$130</f>
        <v>6899.2</v>
      </c>
      <c r="CN87" s="100">
        <f>OpCost!$E$13*CN$130</f>
        <v>7638.3999999999987</v>
      </c>
      <c r="CO87" s="100">
        <f>OpCost!$E$13*CO$130</f>
        <v>7391.9999999999991</v>
      </c>
      <c r="CP87" s="100">
        <f>OpCost!$E$13*CP$130</f>
        <v>7638.3999999999987</v>
      </c>
      <c r="CQ87" s="100">
        <f>OpCost!$E$13*CQ$130</f>
        <v>7391.9999999999991</v>
      </c>
      <c r="CR87" s="100">
        <f>OpCost!$E$13*CR$130</f>
        <v>7638.3999999999987</v>
      </c>
      <c r="CS87" s="100">
        <f>OpCost!$E$13*CS$130</f>
        <v>7638.3999999999987</v>
      </c>
      <c r="CT87" s="100">
        <f>OpCost!$E$13*CT$130</f>
        <v>7391.9999999999991</v>
      </c>
      <c r="CU87" s="100">
        <f>OpCost!$E$13*CU$130</f>
        <v>7638.3999999999987</v>
      </c>
      <c r="CV87" s="100">
        <f>OpCost!$E$13*CV$130</f>
        <v>7391.9999999999991</v>
      </c>
      <c r="CW87" s="100">
        <f>OpCost!$E$13*CW$130</f>
        <v>7638.3999999999987</v>
      </c>
      <c r="CX87" s="100">
        <f>OpCost!$E$13*CX$130</f>
        <v>7638.3999999999987</v>
      </c>
      <c r="CY87" s="100">
        <f>OpCost!$E$13*CY$130</f>
        <v>6899.2</v>
      </c>
      <c r="CZ87" s="100">
        <f>OpCost!$E$13*CZ$130</f>
        <v>7638.3999999999987</v>
      </c>
      <c r="DA87" s="100">
        <f>OpCost!$E$13*DA$130</f>
        <v>7391.9999999999991</v>
      </c>
      <c r="DB87" s="100">
        <f>OpCost!$E$13*DB$130</f>
        <v>7638.3999999999987</v>
      </c>
      <c r="DC87" s="100">
        <f>OpCost!$E$13*DC$130</f>
        <v>7391.9999999999991</v>
      </c>
      <c r="DD87" s="100">
        <f>OpCost!$E$13*DD$130</f>
        <v>7638.3999999999987</v>
      </c>
      <c r="DE87" s="100">
        <f>OpCost!$E$13*DE$130</f>
        <v>7638.3999999999987</v>
      </c>
      <c r="DF87" s="100">
        <f>OpCost!$E$13*DF$130</f>
        <v>7391.9999999999991</v>
      </c>
      <c r="DG87" s="100">
        <f>OpCost!$E$13*DG$130</f>
        <v>7638.3999999999987</v>
      </c>
      <c r="DH87" s="100">
        <f>OpCost!$E$13*DH$130</f>
        <v>7391.9999999999991</v>
      </c>
      <c r="DI87" s="100">
        <f>OpCost!$E$13*DI$130</f>
        <v>7638.3999999999987</v>
      </c>
      <c r="DJ87" s="100">
        <f>OpCost!$E$13*DJ$130</f>
        <v>7638.3999999999987</v>
      </c>
      <c r="DK87" s="100">
        <f>OpCost!$E$13*DK$130</f>
        <v>6899.2</v>
      </c>
      <c r="DL87" s="100">
        <f>OpCost!$E$13*DL$130</f>
        <v>7638.3999999999987</v>
      </c>
      <c r="DM87" s="100">
        <f>OpCost!$E$13*DM$130</f>
        <v>7391.9999999999991</v>
      </c>
      <c r="DN87" s="100">
        <f>OpCost!$E$13*DN$130</f>
        <v>7638.3999999999987</v>
      </c>
      <c r="DO87" s="100">
        <f>OpCost!$E$13*DO$130</f>
        <v>7391.9999999999991</v>
      </c>
      <c r="DP87" s="100">
        <f>OpCost!$E$13*DP$130</f>
        <v>7638.3999999999987</v>
      </c>
      <c r="DQ87" s="100">
        <f>OpCost!$E$13*DQ$130</f>
        <v>7638.3999999999987</v>
      </c>
      <c r="DR87" s="100">
        <f>OpCost!$E$13*DR$130</f>
        <v>7391.9999999999991</v>
      </c>
      <c r="DS87" s="100">
        <f>OpCost!$E$13*DS$130</f>
        <v>7638.3999999999987</v>
      </c>
      <c r="DT87" s="100">
        <f>OpCost!$E$13*DT$130</f>
        <v>7391.9999999999991</v>
      </c>
      <c r="DU87" s="100">
        <f>OpCost!$E$13*DU$130</f>
        <v>7638.3999999999987</v>
      </c>
      <c r="DV87" s="100">
        <f>OpCost!$E$13*DV$130</f>
        <v>7638.3999999999987</v>
      </c>
      <c r="DW87" s="100">
        <f>OpCost!$E$13*DW$130</f>
        <v>6899.2</v>
      </c>
      <c r="DX87" s="100">
        <f>OpCost!$E$13*DX$130</f>
        <v>7638.3999999999987</v>
      </c>
      <c r="DY87" s="100">
        <f>OpCost!$E$13*DY$130</f>
        <v>7391.9999999999991</v>
      </c>
      <c r="DZ87" s="100">
        <f>OpCost!$E$13*DZ$130</f>
        <v>7638.3999999999987</v>
      </c>
      <c r="EA87" s="100">
        <f>OpCost!$E$13*EA$130</f>
        <v>7391.9999999999991</v>
      </c>
      <c r="EB87" s="100">
        <f>OpCost!$E$13*EB$130</f>
        <v>7638.3999999999987</v>
      </c>
      <c r="EC87" s="100">
        <f>OpCost!$E$13*EC$130</f>
        <v>7638.3999999999987</v>
      </c>
      <c r="ED87" s="100">
        <f>OpCost!$E$13*ED$130</f>
        <v>7391.9999999999991</v>
      </c>
      <c r="EE87" s="100">
        <f>OpCost!$E$13*EE$130</f>
        <v>7638.3999999999987</v>
      </c>
      <c r="EF87" s="100">
        <f>OpCost!$E$13*EF$130</f>
        <v>7391.9999999999991</v>
      </c>
      <c r="EG87" s="100">
        <f>OpCost!$E$13*EG$130</f>
        <v>7638.3999999999987</v>
      </c>
      <c r="EH87" s="100">
        <f>OpCost!$E$13*EH$130</f>
        <v>7638.3999999999987</v>
      </c>
      <c r="EI87" s="100">
        <f>OpCost!$E$13*EI$130</f>
        <v>6899.2</v>
      </c>
      <c r="EJ87" s="100">
        <f>OpCost!$E$13*EJ$130</f>
        <v>7638.3999999999987</v>
      </c>
      <c r="EK87" s="100">
        <f>OpCost!$E$13*EK$130</f>
        <v>7391.9999999999991</v>
      </c>
      <c r="EL87" s="100">
        <f>OpCost!$E$13*EL$130</f>
        <v>7638.3999999999987</v>
      </c>
      <c r="EM87" s="100">
        <f>OpCost!$E$13*EM$130</f>
        <v>7391.9999999999991</v>
      </c>
      <c r="EN87" s="100">
        <f>OpCost!$E$13*EN$130</f>
        <v>7638.3999999999987</v>
      </c>
      <c r="EO87" s="100">
        <f>OpCost!$E$13*EO$130</f>
        <v>7638.3999999999987</v>
      </c>
      <c r="EP87" s="100">
        <f>OpCost!$E$13*EP$130</f>
        <v>7391.9999999999991</v>
      </c>
      <c r="EQ87" s="100">
        <f>OpCost!$E$13*EQ$130</f>
        <v>7638.3999999999987</v>
      </c>
      <c r="ER87" s="100">
        <f>OpCost!$E$13*ER$130</f>
        <v>7391.9999999999991</v>
      </c>
      <c r="ES87" s="100">
        <f>OpCost!$E$13*ES$130</f>
        <v>7638.3999999999987</v>
      </c>
      <c r="ET87" s="100">
        <f>OpCost!$E$13*ET$130</f>
        <v>7638.3999999999987</v>
      </c>
      <c r="EU87" s="100">
        <f>OpCost!$E$13*EU$130</f>
        <v>6899.2</v>
      </c>
      <c r="EV87" s="100">
        <f>OpCost!$E$13*EV$130</f>
        <v>7638.3999999999987</v>
      </c>
      <c r="EW87" s="100">
        <f>OpCost!$E$13*EW$130</f>
        <v>7391.9999999999991</v>
      </c>
      <c r="EX87" s="100">
        <f>OpCost!$E$13*EX$130</f>
        <v>7638.3999999999987</v>
      </c>
      <c r="EY87" s="100">
        <f>OpCost!$E$13*EY$130</f>
        <v>7391.9999999999991</v>
      </c>
      <c r="EZ87" s="100">
        <f>OpCost!$E$13*EZ$130</f>
        <v>7638.3999999999987</v>
      </c>
      <c r="FA87" s="100">
        <f>OpCost!$E$13*FA$130</f>
        <v>7638.3999999999987</v>
      </c>
      <c r="FB87" s="100">
        <f>OpCost!$E$13*FB$130</f>
        <v>7391.9999999999991</v>
      </c>
      <c r="FC87" s="100">
        <f>OpCost!$E$13*FC$130</f>
        <v>7638.3999999999987</v>
      </c>
      <c r="FD87" s="100">
        <f>OpCost!$E$13*FD$130</f>
        <v>7391.9999999999991</v>
      </c>
      <c r="FE87" s="100">
        <f>OpCost!$E$13*FE$130</f>
        <v>7638.3999999999987</v>
      </c>
      <c r="FF87" s="100">
        <f>OpCost!$E$13*FF$130</f>
        <v>7638.3999999999987</v>
      </c>
      <c r="FG87" s="100">
        <f>OpCost!$E$13*FG$130</f>
        <v>6899.2</v>
      </c>
      <c r="FH87" s="100">
        <f>OpCost!$E$13*FH$130</f>
        <v>7638.3999999999987</v>
      </c>
      <c r="FI87" s="100">
        <f>OpCost!$E$13*FI$130</f>
        <v>7391.9999999999991</v>
      </c>
      <c r="FJ87" s="100">
        <f>OpCost!$E$13*FJ$130</f>
        <v>7638.3999999999987</v>
      </c>
      <c r="FK87" s="100">
        <f>OpCost!$E$13*FK$130</f>
        <v>7391.9999999999991</v>
      </c>
      <c r="FL87" s="100">
        <f>OpCost!$E$13*FL$130</f>
        <v>7638.3999999999987</v>
      </c>
      <c r="FM87" s="100">
        <f>OpCost!$E$13*FM$130</f>
        <v>7638.3999999999987</v>
      </c>
      <c r="FN87" s="100">
        <f>OpCost!$E$13*FN$130</f>
        <v>7391.9999999999991</v>
      </c>
      <c r="FO87" s="100">
        <f>OpCost!$E$13*FO$130</f>
        <v>7638.3999999999987</v>
      </c>
      <c r="FP87" s="100">
        <f>OpCost!$E$13*FP$130</f>
        <v>7391.9999999999991</v>
      </c>
      <c r="FQ87" s="100">
        <f>OpCost!$E$13*FQ$130</f>
        <v>7638.3999999999987</v>
      </c>
      <c r="FR87" s="100">
        <f>OpCost!$E$13*FR$130</f>
        <v>7638.3999999999987</v>
      </c>
      <c r="FS87" s="100">
        <f>OpCost!$E$13*FS$130</f>
        <v>6899.2</v>
      </c>
      <c r="FT87" s="100">
        <f>OpCost!$E$13*FT$130</f>
        <v>7638.3999999999987</v>
      </c>
      <c r="FU87" s="100">
        <f>OpCost!$E$13*FU$130</f>
        <v>7391.9999999999991</v>
      </c>
      <c r="FV87" s="100">
        <f>OpCost!$E$13*FV$130</f>
        <v>7638.3999999999987</v>
      </c>
      <c r="FW87" s="100">
        <f>OpCost!$E$13*FW$130</f>
        <v>7391.9999999999991</v>
      </c>
      <c r="FX87" s="100">
        <f>OpCost!$E$13*FX$130</f>
        <v>7638.3999999999987</v>
      </c>
      <c r="FY87" s="100">
        <f>OpCost!$E$13*FY$130</f>
        <v>7638.3999999999987</v>
      </c>
      <c r="FZ87" s="100">
        <f>OpCost!$E$13*FZ$130</f>
        <v>7391.9999999999991</v>
      </c>
      <c r="GA87" s="100">
        <f>OpCost!$E$13*GA$130</f>
        <v>7638.3999999999987</v>
      </c>
      <c r="GB87" s="100">
        <f>OpCost!$E$13*GB$130</f>
        <v>7391.9999999999991</v>
      </c>
      <c r="GC87" s="100">
        <f>OpCost!$E$13*GC$130</f>
        <v>7638.3999999999987</v>
      </c>
    </row>
    <row r="88" spans="1:185">
      <c r="A88" s="10"/>
      <c r="B88" t="s">
        <v>120</v>
      </c>
      <c r="C88" s="80"/>
      <c r="D88" s="80"/>
      <c r="E88" s="82">
        <f t="shared" si="107"/>
        <v>0</v>
      </c>
      <c r="F88" s="100">
        <f>OpCost!$E$14*F$130</f>
        <v>0</v>
      </c>
      <c r="G88" s="100">
        <f>OpCost!$E$14*G$130</f>
        <v>0</v>
      </c>
      <c r="H88" s="100">
        <f>OpCost!$E$14*H$130</f>
        <v>0</v>
      </c>
      <c r="I88" s="100">
        <f>OpCost!$E$14*I$130</f>
        <v>0</v>
      </c>
      <c r="J88" s="100">
        <f>OpCost!$E$14*J$130</f>
        <v>0</v>
      </c>
      <c r="K88" s="100">
        <f>OpCost!$E$14*K$130</f>
        <v>0</v>
      </c>
      <c r="L88" s="100">
        <f>OpCost!$E$14*L$130</f>
        <v>0</v>
      </c>
      <c r="M88" s="100">
        <f>OpCost!$E$14*M$130</f>
        <v>0</v>
      </c>
      <c r="N88" s="100">
        <f>OpCost!$E$14*N$130</f>
        <v>0</v>
      </c>
      <c r="O88" s="100">
        <f>OpCost!$E$14*O$130</f>
        <v>0</v>
      </c>
      <c r="P88" s="100">
        <f>OpCost!$E$14*P$130</f>
        <v>0</v>
      </c>
      <c r="Q88" s="100">
        <f>OpCost!$E$14*Q$130</f>
        <v>0</v>
      </c>
      <c r="R88" s="100">
        <f>OpCost!$E$14*R$130</f>
        <v>0</v>
      </c>
      <c r="S88" s="100">
        <f>OpCost!$E$14*S$130</f>
        <v>0</v>
      </c>
      <c r="T88" s="100">
        <f>OpCost!$E$14*T$130</f>
        <v>0</v>
      </c>
      <c r="U88" s="100">
        <f>OpCost!$E$14*U$130</f>
        <v>0</v>
      </c>
      <c r="V88" s="100">
        <f>OpCost!$E$14*V$130</f>
        <v>0</v>
      </c>
      <c r="W88" s="100">
        <f>OpCost!$E$14*W$130</f>
        <v>0</v>
      </c>
      <c r="X88" s="100">
        <f>OpCost!$E$14*X$130</f>
        <v>0</v>
      </c>
      <c r="Y88" s="100">
        <f>OpCost!$E$14*Y$130</f>
        <v>0</v>
      </c>
      <c r="Z88" s="100">
        <f>OpCost!$E$14*Z$130</f>
        <v>0</v>
      </c>
      <c r="AA88" s="100">
        <f>OpCost!$E$14*AA$130</f>
        <v>0</v>
      </c>
      <c r="AB88" s="100">
        <f>OpCost!$E$14*AB$130</f>
        <v>0</v>
      </c>
      <c r="AC88" s="100">
        <f>OpCost!$E$14*AC$130</f>
        <v>0</v>
      </c>
      <c r="AD88" s="100">
        <f>OpCost!$E$14*AD$130</f>
        <v>0</v>
      </c>
      <c r="AE88" s="100">
        <f>OpCost!$E$14*AE$130</f>
        <v>0</v>
      </c>
      <c r="AF88" s="100">
        <f>OpCost!$E$14*AF$130</f>
        <v>0</v>
      </c>
      <c r="AG88" s="100">
        <f>OpCost!$E$14*AG$130</f>
        <v>0</v>
      </c>
      <c r="AH88" s="100">
        <f>OpCost!$E$14*AH$130</f>
        <v>0</v>
      </c>
      <c r="AI88" s="100">
        <f>OpCost!$E$14*AI$130</f>
        <v>0</v>
      </c>
      <c r="AJ88" s="100">
        <f>OpCost!$E$14*AJ$130</f>
        <v>0</v>
      </c>
      <c r="AK88" s="100">
        <f>OpCost!$E$14*AK$130</f>
        <v>0</v>
      </c>
      <c r="AL88" s="100">
        <f>OpCost!$E$14*AL$130</f>
        <v>0</v>
      </c>
      <c r="AM88" s="100">
        <f>OpCost!$E$14*AM$130</f>
        <v>0</v>
      </c>
      <c r="AN88" s="100">
        <f>OpCost!$E$14*AN$130</f>
        <v>0</v>
      </c>
      <c r="AO88" s="100">
        <f>OpCost!$E$14*AO$130</f>
        <v>0</v>
      </c>
      <c r="AP88" s="100">
        <f>OpCost!$E$14*AP$130</f>
        <v>0</v>
      </c>
      <c r="AQ88" s="100">
        <f>OpCost!$E$14*AQ$130</f>
        <v>0</v>
      </c>
      <c r="AR88" s="100">
        <f>OpCost!$E$14*AR$130</f>
        <v>0</v>
      </c>
      <c r="AS88" s="100">
        <f>OpCost!$E$14*AS$130</f>
        <v>0</v>
      </c>
      <c r="AT88" s="100">
        <f>OpCost!$E$14*AT$130</f>
        <v>0</v>
      </c>
      <c r="AU88" s="100">
        <f>OpCost!$E$14*AU$130</f>
        <v>0</v>
      </c>
      <c r="AV88" s="100">
        <f>OpCost!$E$14*AV$130</f>
        <v>0</v>
      </c>
      <c r="AW88" s="100">
        <f>OpCost!$E$14*AW$130</f>
        <v>0</v>
      </c>
      <c r="AX88" s="100">
        <f>OpCost!$E$14*AX$130</f>
        <v>0</v>
      </c>
      <c r="AY88" s="100">
        <f>OpCost!$E$14*AY$130</f>
        <v>0</v>
      </c>
      <c r="AZ88" s="100">
        <f>OpCost!$E$14*AZ$130</f>
        <v>0</v>
      </c>
      <c r="BA88" s="100">
        <f>OpCost!$E$14*BA$130</f>
        <v>0</v>
      </c>
      <c r="BB88" s="100">
        <f>OpCost!$E$14*BB$130</f>
        <v>0</v>
      </c>
      <c r="BC88" s="100">
        <f>OpCost!$E$14*BC$130</f>
        <v>0</v>
      </c>
      <c r="BD88" s="100">
        <f>OpCost!$E$14*BD$130</f>
        <v>0</v>
      </c>
      <c r="BE88" s="100">
        <f>OpCost!$E$14*BE$130</f>
        <v>0</v>
      </c>
      <c r="BF88" s="100">
        <f>OpCost!$E$14*BF$130</f>
        <v>0</v>
      </c>
      <c r="BG88" s="100">
        <f>OpCost!$E$14*BG$130</f>
        <v>0</v>
      </c>
      <c r="BH88" s="100">
        <f>OpCost!$E$14*BH$130</f>
        <v>0</v>
      </c>
      <c r="BI88" s="100">
        <f>OpCost!$E$14*BI$130</f>
        <v>0</v>
      </c>
      <c r="BJ88" s="100">
        <f>OpCost!$E$14*BJ$130</f>
        <v>0</v>
      </c>
      <c r="BK88" s="100">
        <f>OpCost!$E$14*BK$130</f>
        <v>0</v>
      </c>
      <c r="BL88" s="100">
        <f>OpCost!$E$14*BL$130</f>
        <v>0</v>
      </c>
      <c r="BM88" s="100">
        <f>OpCost!$E$14*BM$130</f>
        <v>0</v>
      </c>
      <c r="BN88" s="100">
        <f>OpCost!$E$14*BN$130</f>
        <v>0</v>
      </c>
      <c r="BO88" s="100">
        <f>OpCost!$E$14*BO$130</f>
        <v>0</v>
      </c>
      <c r="BP88" s="100">
        <f>OpCost!$E$14*BP$130</f>
        <v>0</v>
      </c>
      <c r="BQ88" s="100">
        <f>OpCost!$E$14*BQ$130</f>
        <v>0</v>
      </c>
      <c r="BR88" s="100">
        <f>OpCost!$E$14*BR$130</f>
        <v>0</v>
      </c>
      <c r="BS88" s="100">
        <f>OpCost!$E$14*BS$130</f>
        <v>0</v>
      </c>
      <c r="BT88" s="100">
        <f>OpCost!$E$14*BT$130</f>
        <v>0</v>
      </c>
      <c r="BU88" s="100">
        <f>OpCost!$E$14*BU$130</f>
        <v>0</v>
      </c>
      <c r="BV88" s="100">
        <f>OpCost!$E$14*BV$130</f>
        <v>0</v>
      </c>
      <c r="BW88" s="100">
        <f>OpCost!$E$14*BW$130</f>
        <v>0</v>
      </c>
      <c r="BX88" s="100">
        <f>OpCost!$E$14*BX$130</f>
        <v>0</v>
      </c>
      <c r="BY88" s="100">
        <f>OpCost!$E$14*BY$130</f>
        <v>0</v>
      </c>
      <c r="BZ88" s="100">
        <f>OpCost!$E$14*BZ$130</f>
        <v>0</v>
      </c>
      <c r="CA88" s="100">
        <f>OpCost!$E$14*CA$130</f>
        <v>0</v>
      </c>
      <c r="CB88" s="100">
        <f>OpCost!$E$14*CB$130</f>
        <v>0</v>
      </c>
      <c r="CC88" s="100">
        <f>OpCost!$E$14*CC$130</f>
        <v>0</v>
      </c>
      <c r="CD88" s="100">
        <f>OpCost!$E$14*CD$130</f>
        <v>0</v>
      </c>
      <c r="CE88" s="100">
        <f>OpCost!$E$14*CE$130</f>
        <v>0</v>
      </c>
      <c r="CF88" s="100">
        <f>OpCost!$E$14*CF$130</f>
        <v>0</v>
      </c>
      <c r="CG88" s="100">
        <f>OpCost!$E$14*CG$130</f>
        <v>0</v>
      </c>
      <c r="CH88" s="100">
        <f>OpCost!$E$14*CH$130</f>
        <v>0</v>
      </c>
      <c r="CI88" s="100">
        <f>OpCost!$E$14*CI$130</f>
        <v>0</v>
      </c>
      <c r="CJ88" s="100">
        <f>OpCost!$E$14*CJ$130</f>
        <v>0</v>
      </c>
      <c r="CK88" s="100">
        <f>OpCost!$E$14*CK$130</f>
        <v>0</v>
      </c>
      <c r="CL88" s="100">
        <f>OpCost!$E$14*CL$130</f>
        <v>0</v>
      </c>
      <c r="CM88" s="100">
        <f>OpCost!$E$14*CM$130</f>
        <v>0</v>
      </c>
      <c r="CN88" s="100">
        <f>OpCost!$E$14*CN$130</f>
        <v>0</v>
      </c>
      <c r="CO88" s="100">
        <f>OpCost!$E$14*CO$130</f>
        <v>0</v>
      </c>
      <c r="CP88" s="100">
        <f>OpCost!$E$14*CP$130</f>
        <v>0</v>
      </c>
      <c r="CQ88" s="100">
        <f>OpCost!$E$14*CQ$130</f>
        <v>0</v>
      </c>
      <c r="CR88" s="100">
        <f>OpCost!$E$14*CR$130</f>
        <v>0</v>
      </c>
      <c r="CS88" s="100">
        <f>OpCost!$E$14*CS$130</f>
        <v>0</v>
      </c>
      <c r="CT88" s="100">
        <f>OpCost!$E$14*CT$130</f>
        <v>0</v>
      </c>
      <c r="CU88" s="100">
        <f>OpCost!$E$14*CU$130</f>
        <v>0</v>
      </c>
      <c r="CV88" s="100">
        <f>OpCost!$E$14*CV$130</f>
        <v>0</v>
      </c>
      <c r="CW88" s="100">
        <f>OpCost!$E$14*CW$130</f>
        <v>0</v>
      </c>
      <c r="CX88" s="100">
        <f>OpCost!$E$14*CX$130</f>
        <v>0</v>
      </c>
      <c r="CY88" s="100">
        <f>OpCost!$E$14*CY$130</f>
        <v>0</v>
      </c>
      <c r="CZ88" s="100">
        <f>OpCost!$E$14*CZ$130</f>
        <v>0</v>
      </c>
      <c r="DA88" s="100">
        <f>OpCost!$E$14*DA$130</f>
        <v>0</v>
      </c>
      <c r="DB88" s="100">
        <f>OpCost!$E$14*DB$130</f>
        <v>0</v>
      </c>
      <c r="DC88" s="100">
        <f>OpCost!$E$14*DC$130</f>
        <v>0</v>
      </c>
      <c r="DD88" s="100">
        <f>OpCost!$E$14*DD$130</f>
        <v>0</v>
      </c>
      <c r="DE88" s="100">
        <f>OpCost!$E$14*DE$130</f>
        <v>0</v>
      </c>
      <c r="DF88" s="100">
        <f>OpCost!$E$14*DF$130</f>
        <v>0</v>
      </c>
      <c r="DG88" s="100">
        <f>OpCost!$E$14*DG$130</f>
        <v>0</v>
      </c>
      <c r="DH88" s="100">
        <f>OpCost!$E$14*DH$130</f>
        <v>0</v>
      </c>
      <c r="DI88" s="100">
        <f>OpCost!$E$14*DI$130</f>
        <v>0</v>
      </c>
      <c r="DJ88" s="100">
        <f>OpCost!$E$14*DJ$130</f>
        <v>0</v>
      </c>
      <c r="DK88" s="100">
        <f>OpCost!$E$14*DK$130</f>
        <v>0</v>
      </c>
      <c r="DL88" s="100">
        <f>OpCost!$E$14*DL$130</f>
        <v>0</v>
      </c>
      <c r="DM88" s="100">
        <f>OpCost!$E$14*DM$130</f>
        <v>0</v>
      </c>
      <c r="DN88" s="100">
        <f>OpCost!$E$14*DN$130</f>
        <v>0</v>
      </c>
      <c r="DO88" s="100">
        <f>OpCost!$E$14*DO$130</f>
        <v>0</v>
      </c>
      <c r="DP88" s="100">
        <f>OpCost!$E$14*DP$130</f>
        <v>0</v>
      </c>
      <c r="DQ88" s="100">
        <f>OpCost!$E$14*DQ$130</f>
        <v>0</v>
      </c>
      <c r="DR88" s="100">
        <f>OpCost!$E$14*DR$130</f>
        <v>0</v>
      </c>
      <c r="DS88" s="100">
        <f>OpCost!$E$14*DS$130</f>
        <v>0</v>
      </c>
      <c r="DT88" s="100">
        <f>OpCost!$E$14*DT$130</f>
        <v>0</v>
      </c>
      <c r="DU88" s="100">
        <f>OpCost!$E$14*DU$130</f>
        <v>0</v>
      </c>
      <c r="DV88" s="100">
        <f>OpCost!$E$14*DV$130</f>
        <v>0</v>
      </c>
      <c r="DW88" s="100">
        <f>OpCost!$E$14*DW$130</f>
        <v>0</v>
      </c>
      <c r="DX88" s="100">
        <f>OpCost!$E$14*DX$130</f>
        <v>0</v>
      </c>
      <c r="DY88" s="100">
        <f>OpCost!$E$14*DY$130</f>
        <v>0</v>
      </c>
      <c r="DZ88" s="100">
        <f>OpCost!$E$14*DZ$130</f>
        <v>0</v>
      </c>
      <c r="EA88" s="100">
        <f>OpCost!$E$14*EA$130</f>
        <v>0</v>
      </c>
      <c r="EB88" s="100">
        <f>OpCost!$E$14*EB$130</f>
        <v>0</v>
      </c>
      <c r="EC88" s="100">
        <f>OpCost!$E$14*EC$130</f>
        <v>0</v>
      </c>
      <c r="ED88" s="100">
        <f>OpCost!$E$14*ED$130</f>
        <v>0</v>
      </c>
      <c r="EE88" s="100">
        <f>OpCost!$E$14*EE$130</f>
        <v>0</v>
      </c>
      <c r="EF88" s="100">
        <f>OpCost!$E$14*EF$130</f>
        <v>0</v>
      </c>
      <c r="EG88" s="100">
        <f>OpCost!$E$14*EG$130</f>
        <v>0</v>
      </c>
      <c r="EH88" s="100">
        <f>OpCost!$E$14*EH$130</f>
        <v>0</v>
      </c>
      <c r="EI88" s="100">
        <f>OpCost!$E$14*EI$130</f>
        <v>0</v>
      </c>
      <c r="EJ88" s="100">
        <f>OpCost!$E$14*EJ$130</f>
        <v>0</v>
      </c>
      <c r="EK88" s="100">
        <f>OpCost!$E$14*EK$130</f>
        <v>0</v>
      </c>
      <c r="EL88" s="100">
        <f>OpCost!$E$14*EL$130</f>
        <v>0</v>
      </c>
      <c r="EM88" s="100">
        <f>OpCost!$E$14*EM$130</f>
        <v>0</v>
      </c>
      <c r="EN88" s="100">
        <f>OpCost!$E$14*EN$130</f>
        <v>0</v>
      </c>
      <c r="EO88" s="100">
        <f>OpCost!$E$14*EO$130</f>
        <v>0</v>
      </c>
      <c r="EP88" s="100">
        <f>OpCost!$E$14*EP$130</f>
        <v>0</v>
      </c>
      <c r="EQ88" s="100">
        <f>OpCost!$E$14*EQ$130</f>
        <v>0</v>
      </c>
      <c r="ER88" s="100">
        <f>OpCost!$E$14*ER$130</f>
        <v>0</v>
      </c>
      <c r="ES88" s="100">
        <f>OpCost!$E$14*ES$130</f>
        <v>0</v>
      </c>
      <c r="ET88" s="100">
        <f>OpCost!$E$14*ET$130</f>
        <v>0</v>
      </c>
      <c r="EU88" s="100">
        <f>OpCost!$E$14*EU$130</f>
        <v>0</v>
      </c>
      <c r="EV88" s="100">
        <f>OpCost!$E$14*EV$130</f>
        <v>0</v>
      </c>
      <c r="EW88" s="100">
        <f>OpCost!$E$14*EW$130</f>
        <v>0</v>
      </c>
      <c r="EX88" s="100">
        <f>OpCost!$E$14*EX$130</f>
        <v>0</v>
      </c>
      <c r="EY88" s="100">
        <f>OpCost!$E$14*EY$130</f>
        <v>0</v>
      </c>
      <c r="EZ88" s="100">
        <f>OpCost!$E$14*EZ$130</f>
        <v>0</v>
      </c>
      <c r="FA88" s="100">
        <f>OpCost!$E$14*FA$130</f>
        <v>0</v>
      </c>
      <c r="FB88" s="100">
        <f>OpCost!$E$14*FB$130</f>
        <v>0</v>
      </c>
      <c r="FC88" s="100">
        <f>OpCost!$E$14*FC$130</f>
        <v>0</v>
      </c>
      <c r="FD88" s="100">
        <f>OpCost!$E$14*FD$130</f>
        <v>0</v>
      </c>
      <c r="FE88" s="100">
        <f>OpCost!$E$14*FE$130</f>
        <v>0</v>
      </c>
      <c r="FF88" s="100">
        <f>OpCost!$E$14*FF$130</f>
        <v>0</v>
      </c>
      <c r="FG88" s="100">
        <f>OpCost!$E$14*FG$130</f>
        <v>0</v>
      </c>
      <c r="FH88" s="100">
        <f>OpCost!$E$14*FH$130</f>
        <v>0</v>
      </c>
      <c r="FI88" s="100">
        <f>OpCost!$E$14*FI$130</f>
        <v>0</v>
      </c>
      <c r="FJ88" s="100">
        <f>OpCost!$E$14*FJ$130</f>
        <v>0</v>
      </c>
      <c r="FK88" s="100">
        <f>OpCost!$E$14*FK$130</f>
        <v>0</v>
      </c>
      <c r="FL88" s="100">
        <f>OpCost!$E$14*FL$130</f>
        <v>0</v>
      </c>
      <c r="FM88" s="100">
        <f>OpCost!$E$14*FM$130</f>
        <v>0</v>
      </c>
      <c r="FN88" s="100">
        <f>OpCost!$E$14*FN$130</f>
        <v>0</v>
      </c>
      <c r="FO88" s="100">
        <f>OpCost!$E$14*FO$130</f>
        <v>0</v>
      </c>
      <c r="FP88" s="100">
        <f>OpCost!$E$14*FP$130</f>
        <v>0</v>
      </c>
      <c r="FQ88" s="100">
        <f>OpCost!$E$14*FQ$130</f>
        <v>0</v>
      </c>
      <c r="FR88" s="100">
        <f>OpCost!$E$14*FR$130</f>
        <v>0</v>
      </c>
      <c r="FS88" s="100">
        <f>OpCost!$E$14*FS$130</f>
        <v>0</v>
      </c>
      <c r="FT88" s="100">
        <f>OpCost!$E$14*FT$130</f>
        <v>0</v>
      </c>
      <c r="FU88" s="100">
        <f>OpCost!$E$14*FU$130</f>
        <v>0</v>
      </c>
      <c r="FV88" s="100">
        <f>OpCost!$E$14*FV$130</f>
        <v>0</v>
      </c>
      <c r="FW88" s="100">
        <f>OpCost!$E$14*FW$130</f>
        <v>0</v>
      </c>
      <c r="FX88" s="100">
        <f>OpCost!$E$14*FX$130</f>
        <v>0</v>
      </c>
      <c r="FY88" s="100">
        <f>OpCost!$E$14*FY$130</f>
        <v>0</v>
      </c>
      <c r="FZ88" s="100">
        <f>OpCost!$E$14*FZ$130</f>
        <v>0</v>
      </c>
      <c r="GA88" s="100">
        <f>OpCost!$E$14*GA$130</f>
        <v>0</v>
      </c>
      <c r="GB88" s="100">
        <f>OpCost!$E$14*GB$130</f>
        <v>0</v>
      </c>
      <c r="GC88" s="100">
        <f>OpCost!$E$14*GC$130</f>
        <v>0</v>
      </c>
    </row>
    <row r="89" spans="1:185">
      <c r="A89" s="10"/>
      <c r="B89" s="80" t="s">
        <v>121</v>
      </c>
      <c r="C89" s="80"/>
      <c r="D89" s="80"/>
      <c r="E89" s="82">
        <f t="shared" si="107"/>
        <v>32420.0799999999</v>
      </c>
      <c r="F89" s="100">
        <f>OpCost!$E$15*F$130</f>
        <v>0</v>
      </c>
      <c r="G89" s="100">
        <f>OpCost!$E$15*G$130</f>
        <v>0</v>
      </c>
      <c r="H89" s="100">
        <f>OpCost!$E$15*H$130</f>
        <v>0</v>
      </c>
      <c r="I89" s="100">
        <f>OpCost!$E$15*I$130</f>
        <v>0</v>
      </c>
      <c r="J89" s="100">
        <f>OpCost!$E$15*J$130</f>
        <v>0</v>
      </c>
      <c r="K89" s="100">
        <f>OpCost!$E$15*K$130</f>
        <v>0</v>
      </c>
      <c r="L89" s="100">
        <f>OpCost!$E$15*L$130</f>
        <v>0</v>
      </c>
      <c r="M89" s="100">
        <f>OpCost!$E$15*M$130</f>
        <v>190.95999999999998</v>
      </c>
      <c r="N89" s="100">
        <f>OpCost!$E$15*N$130</f>
        <v>184.8</v>
      </c>
      <c r="O89" s="100">
        <f>OpCost!$E$15*O$130</f>
        <v>190.95999999999998</v>
      </c>
      <c r="P89" s="100">
        <f>OpCost!$E$15*P$130</f>
        <v>184.8</v>
      </c>
      <c r="Q89" s="100">
        <f>OpCost!$E$15*Q$130</f>
        <v>190.95999999999998</v>
      </c>
      <c r="R89" s="100">
        <f>OpCost!$E$15*R$130</f>
        <v>190.95999999999998</v>
      </c>
      <c r="S89" s="100">
        <f>OpCost!$E$15*S$130</f>
        <v>172.48000000000002</v>
      </c>
      <c r="T89" s="100">
        <f>OpCost!$E$15*T$130</f>
        <v>190.95999999999998</v>
      </c>
      <c r="U89" s="100">
        <f>OpCost!$E$15*U$130</f>
        <v>184.8</v>
      </c>
      <c r="V89" s="100">
        <f>OpCost!$E$15*V$130</f>
        <v>190.95999999999998</v>
      </c>
      <c r="W89" s="100">
        <f>OpCost!$E$15*W$130</f>
        <v>184.8</v>
      </c>
      <c r="X89" s="100">
        <f>OpCost!$E$15*X$130</f>
        <v>190.95999999999998</v>
      </c>
      <c r="Y89" s="100">
        <f>OpCost!$E$15*Y$130</f>
        <v>190.95999999999998</v>
      </c>
      <c r="Z89" s="100">
        <f>OpCost!$E$15*Z$130</f>
        <v>184.8</v>
      </c>
      <c r="AA89" s="100">
        <f>OpCost!$E$15*AA$130</f>
        <v>190.95999999999998</v>
      </c>
      <c r="AB89" s="100">
        <f>OpCost!$E$15*AB$130</f>
        <v>184.8</v>
      </c>
      <c r="AC89" s="100">
        <f>OpCost!$E$15*AC$130</f>
        <v>190.95999999999998</v>
      </c>
      <c r="AD89" s="100">
        <f>OpCost!$E$15*AD$130</f>
        <v>190.95999999999998</v>
      </c>
      <c r="AE89" s="100">
        <f>OpCost!$E$15*AE$130</f>
        <v>172.48000000000002</v>
      </c>
      <c r="AF89" s="100">
        <f>OpCost!$E$15*AF$130</f>
        <v>190.95999999999998</v>
      </c>
      <c r="AG89" s="100">
        <f>OpCost!$E$15*AG$130</f>
        <v>184.8</v>
      </c>
      <c r="AH89" s="100">
        <f>OpCost!$E$15*AH$130</f>
        <v>190.95999999999998</v>
      </c>
      <c r="AI89" s="100">
        <f>OpCost!$E$15*AI$130</f>
        <v>184.8</v>
      </c>
      <c r="AJ89" s="100">
        <f>OpCost!$E$15*AJ$130</f>
        <v>190.95999999999998</v>
      </c>
      <c r="AK89" s="100">
        <f>OpCost!$E$15*AK$130</f>
        <v>190.95999999999998</v>
      </c>
      <c r="AL89" s="100">
        <f>OpCost!$E$15*AL$130</f>
        <v>184.8</v>
      </c>
      <c r="AM89" s="100">
        <f>OpCost!$E$15*AM$130</f>
        <v>190.95999999999998</v>
      </c>
      <c r="AN89" s="100">
        <f>OpCost!$E$15*AN$130</f>
        <v>184.8</v>
      </c>
      <c r="AO89" s="100">
        <f>OpCost!$E$15*AO$130</f>
        <v>190.95999999999998</v>
      </c>
      <c r="AP89" s="100">
        <f>OpCost!$E$15*AP$130</f>
        <v>190.95999999999998</v>
      </c>
      <c r="AQ89" s="100">
        <f>OpCost!$E$15*AQ$130</f>
        <v>172.48000000000002</v>
      </c>
      <c r="AR89" s="100">
        <f>OpCost!$E$15*AR$130</f>
        <v>190.95999999999998</v>
      </c>
      <c r="AS89" s="100">
        <f>OpCost!$E$15*AS$130</f>
        <v>184.8</v>
      </c>
      <c r="AT89" s="100">
        <f>OpCost!$E$15*AT$130</f>
        <v>190.95999999999998</v>
      </c>
      <c r="AU89" s="100">
        <f>OpCost!$E$15*AU$130</f>
        <v>184.8</v>
      </c>
      <c r="AV89" s="100">
        <f>OpCost!$E$15*AV$130</f>
        <v>190.95999999999998</v>
      </c>
      <c r="AW89" s="100">
        <f>OpCost!$E$15*AW$130</f>
        <v>190.95999999999998</v>
      </c>
      <c r="AX89" s="100">
        <f>OpCost!$E$15*AX$130</f>
        <v>184.8</v>
      </c>
      <c r="AY89" s="100">
        <f>OpCost!$E$15*AY$130</f>
        <v>190.95999999999998</v>
      </c>
      <c r="AZ89" s="100">
        <f>OpCost!$E$15*AZ$130</f>
        <v>184.8</v>
      </c>
      <c r="BA89" s="100">
        <f>OpCost!$E$15*BA$130</f>
        <v>190.95999999999998</v>
      </c>
      <c r="BB89" s="100">
        <f>OpCost!$E$15*BB$130</f>
        <v>190.95999999999998</v>
      </c>
      <c r="BC89" s="100">
        <f>OpCost!$E$15*BC$130</f>
        <v>172.48000000000002</v>
      </c>
      <c r="BD89" s="100">
        <f>OpCost!$E$15*BD$130</f>
        <v>190.95999999999998</v>
      </c>
      <c r="BE89" s="100">
        <f>OpCost!$E$15*BE$130</f>
        <v>184.8</v>
      </c>
      <c r="BF89" s="100">
        <f>OpCost!$E$15*BF$130</f>
        <v>190.95999999999998</v>
      </c>
      <c r="BG89" s="100">
        <f>OpCost!$E$15*BG$130</f>
        <v>184.8</v>
      </c>
      <c r="BH89" s="100">
        <f>OpCost!$E$15*BH$130</f>
        <v>190.95999999999998</v>
      </c>
      <c r="BI89" s="100">
        <f>OpCost!$E$15*BI$130</f>
        <v>190.95999999999998</v>
      </c>
      <c r="BJ89" s="100">
        <f>OpCost!$E$15*BJ$130</f>
        <v>184.8</v>
      </c>
      <c r="BK89" s="100">
        <f>OpCost!$E$15*BK$130</f>
        <v>190.95999999999998</v>
      </c>
      <c r="BL89" s="100">
        <f>OpCost!$E$15*BL$130</f>
        <v>184.8</v>
      </c>
      <c r="BM89" s="100">
        <f>OpCost!$E$15*BM$130</f>
        <v>190.95999999999998</v>
      </c>
      <c r="BN89" s="100">
        <f>OpCost!$E$15*BN$130</f>
        <v>190.95999999999998</v>
      </c>
      <c r="BO89" s="100">
        <f>OpCost!$E$15*BO$130</f>
        <v>172.48000000000002</v>
      </c>
      <c r="BP89" s="100">
        <f>OpCost!$E$15*BP$130</f>
        <v>190.95999999999998</v>
      </c>
      <c r="BQ89" s="100">
        <f>OpCost!$E$15*BQ$130</f>
        <v>184.8</v>
      </c>
      <c r="BR89" s="100">
        <f>OpCost!$E$15*BR$130</f>
        <v>190.95999999999998</v>
      </c>
      <c r="BS89" s="100">
        <f>OpCost!$E$15*BS$130</f>
        <v>184.8</v>
      </c>
      <c r="BT89" s="100">
        <f>OpCost!$E$15*BT$130</f>
        <v>190.95999999999998</v>
      </c>
      <c r="BU89" s="100">
        <f>OpCost!$E$15*BU$130</f>
        <v>190.95999999999998</v>
      </c>
      <c r="BV89" s="100">
        <f>OpCost!$E$15*BV$130</f>
        <v>184.8</v>
      </c>
      <c r="BW89" s="100">
        <f>OpCost!$E$15*BW$130</f>
        <v>190.95999999999998</v>
      </c>
      <c r="BX89" s="100">
        <f>OpCost!$E$15*BX$130</f>
        <v>184.8</v>
      </c>
      <c r="BY89" s="100">
        <f>OpCost!$E$15*BY$130</f>
        <v>190.95999999999998</v>
      </c>
      <c r="BZ89" s="100">
        <f>OpCost!$E$15*BZ$130</f>
        <v>190.95999999999998</v>
      </c>
      <c r="CA89" s="100">
        <f>OpCost!$E$15*CA$130</f>
        <v>172.48000000000002</v>
      </c>
      <c r="CB89" s="100">
        <f>OpCost!$E$15*CB$130</f>
        <v>190.95999999999998</v>
      </c>
      <c r="CC89" s="100">
        <f>OpCost!$E$15*CC$130</f>
        <v>184.8</v>
      </c>
      <c r="CD89" s="100">
        <f>OpCost!$E$15*CD$130</f>
        <v>190.95999999999998</v>
      </c>
      <c r="CE89" s="100">
        <f>OpCost!$E$15*CE$130</f>
        <v>184.8</v>
      </c>
      <c r="CF89" s="100">
        <f>OpCost!$E$15*CF$130</f>
        <v>190.95999999999998</v>
      </c>
      <c r="CG89" s="100">
        <f>OpCost!$E$15*CG$130</f>
        <v>190.95999999999998</v>
      </c>
      <c r="CH89" s="100">
        <f>OpCost!$E$15*CH$130</f>
        <v>184.8</v>
      </c>
      <c r="CI89" s="100">
        <f>OpCost!$E$15*CI$130</f>
        <v>190.95999999999998</v>
      </c>
      <c r="CJ89" s="100">
        <f>OpCost!$E$15*CJ$130</f>
        <v>184.8</v>
      </c>
      <c r="CK89" s="100">
        <f>OpCost!$E$15*CK$130</f>
        <v>190.95999999999998</v>
      </c>
      <c r="CL89" s="100">
        <f>OpCost!$E$15*CL$130</f>
        <v>190.95999999999998</v>
      </c>
      <c r="CM89" s="100">
        <f>OpCost!$E$15*CM$130</f>
        <v>172.48000000000002</v>
      </c>
      <c r="CN89" s="100">
        <f>OpCost!$E$15*CN$130</f>
        <v>190.95999999999998</v>
      </c>
      <c r="CO89" s="100">
        <f>OpCost!$E$15*CO$130</f>
        <v>184.8</v>
      </c>
      <c r="CP89" s="100">
        <f>OpCost!$E$15*CP$130</f>
        <v>190.95999999999998</v>
      </c>
      <c r="CQ89" s="100">
        <f>OpCost!$E$15*CQ$130</f>
        <v>184.8</v>
      </c>
      <c r="CR89" s="100">
        <f>OpCost!$E$15*CR$130</f>
        <v>190.95999999999998</v>
      </c>
      <c r="CS89" s="100">
        <f>OpCost!$E$15*CS$130</f>
        <v>190.95999999999998</v>
      </c>
      <c r="CT89" s="100">
        <f>OpCost!$E$15*CT$130</f>
        <v>184.8</v>
      </c>
      <c r="CU89" s="100">
        <f>OpCost!$E$15*CU$130</f>
        <v>190.95999999999998</v>
      </c>
      <c r="CV89" s="100">
        <f>OpCost!$E$15*CV$130</f>
        <v>184.8</v>
      </c>
      <c r="CW89" s="100">
        <f>OpCost!$E$15*CW$130</f>
        <v>190.95999999999998</v>
      </c>
      <c r="CX89" s="100">
        <f>OpCost!$E$15*CX$130</f>
        <v>190.95999999999998</v>
      </c>
      <c r="CY89" s="100">
        <f>OpCost!$E$15*CY$130</f>
        <v>172.48000000000002</v>
      </c>
      <c r="CZ89" s="100">
        <f>OpCost!$E$15*CZ$130</f>
        <v>190.95999999999998</v>
      </c>
      <c r="DA89" s="100">
        <f>OpCost!$E$15*DA$130</f>
        <v>184.8</v>
      </c>
      <c r="DB89" s="100">
        <f>OpCost!$E$15*DB$130</f>
        <v>190.95999999999998</v>
      </c>
      <c r="DC89" s="100">
        <f>OpCost!$E$15*DC$130</f>
        <v>184.8</v>
      </c>
      <c r="DD89" s="100">
        <f>OpCost!$E$15*DD$130</f>
        <v>190.95999999999998</v>
      </c>
      <c r="DE89" s="100">
        <f>OpCost!$E$15*DE$130</f>
        <v>190.95999999999998</v>
      </c>
      <c r="DF89" s="100">
        <f>OpCost!$E$15*DF$130</f>
        <v>184.8</v>
      </c>
      <c r="DG89" s="100">
        <f>OpCost!$E$15*DG$130</f>
        <v>190.95999999999998</v>
      </c>
      <c r="DH89" s="100">
        <f>OpCost!$E$15*DH$130</f>
        <v>184.8</v>
      </c>
      <c r="DI89" s="100">
        <f>OpCost!$E$15*DI$130</f>
        <v>190.95999999999998</v>
      </c>
      <c r="DJ89" s="100">
        <f>OpCost!$E$15*DJ$130</f>
        <v>190.95999999999998</v>
      </c>
      <c r="DK89" s="100">
        <f>OpCost!$E$15*DK$130</f>
        <v>172.48000000000002</v>
      </c>
      <c r="DL89" s="100">
        <f>OpCost!$E$15*DL$130</f>
        <v>190.95999999999998</v>
      </c>
      <c r="DM89" s="100">
        <f>OpCost!$E$15*DM$130</f>
        <v>184.8</v>
      </c>
      <c r="DN89" s="100">
        <f>OpCost!$E$15*DN$130</f>
        <v>190.95999999999998</v>
      </c>
      <c r="DO89" s="100">
        <f>OpCost!$E$15*DO$130</f>
        <v>184.8</v>
      </c>
      <c r="DP89" s="100">
        <f>OpCost!$E$15*DP$130</f>
        <v>190.95999999999998</v>
      </c>
      <c r="DQ89" s="100">
        <f>OpCost!$E$15*DQ$130</f>
        <v>190.95999999999998</v>
      </c>
      <c r="DR89" s="100">
        <f>OpCost!$E$15*DR$130</f>
        <v>184.8</v>
      </c>
      <c r="DS89" s="100">
        <f>OpCost!$E$15*DS$130</f>
        <v>190.95999999999998</v>
      </c>
      <c r="DT89" s="100">
        <f>OpCost!$E$15*DT$130</f>
        <v>184.8</v>
      </c>
      <c r="DU89" s="100">
        <f>OpCost!$E$15*DU$130</f>
        <v>190.95999999999998</v>
      </c>
      <c r="DV89" s="100">
        <f>OpCost!$E$15*DV$130</f>
        <v>190.95999999999998</v>
      </c>
      <c r="DW89" s="100">
        <f>OpCost!$E$15*DW$130</f>
        <v>172.48000000000002</v>
      </c>
      <c r="DX89" s="100">
        <f>OpCost!$E$15*DX$130</f>
        <v>190.95999999999998</v>
      </c>
      <c r="DY89" s="100">
        <f>OpCost!$E$15*DY$130</f>
        <v>184.8</v>
      </c>
      <c r="DZ89" s="100">
        <f>OpCost!$E$15*DZ$130</f>
        <v>190.95999999999998</v>
      </c>
      <c r="EA89" s="100">
        <f>OpCost!$E$15*EA$130</f>
        <v>184.8</v>
      </c>
      <c r="EB89" s="100">
        <f>OpCost!$E$15*EB$130</f>
        <v>190.95999999999998</v>
      </c>
      <c r="EC89" s="100">
        <f>OpCost!$E$15*EC$130</f>
        <v>190.95999999999998</v>
      </c>
      <c r="ED89" s="100">
        <f>OpCost!$E$15*ED$130</f>
        <v>184.8</v>
      </c>
      <c r="EE89" s="100">
        <f>OpCost!$E$15*EE$130</f>
        <v>190.95999999999998</v>
      </c>
      <c r="EF89" s="100">
        <f>OpCost!$E$15*EF$130</f>
        <v>184.8</v>
      </c>
      <c r="EG89" s="100">
        <f>OpCost!$E$15*EG$130</f>
        <v>190.95999999999998</v>
      </c>
      <c r="EH89" s="100">
        <f>OpCost!$E$15*EH$130</f>
        <v>190.95999999999998</v>
      </c>
      <c r="EI89" s="100">
        <f>OpCost!$E$15*EI$130</f>
        <v>172.48000000000002</v>
      </c>
      <c r="EJ89" s="100">
        <f>OpCost!$E$15*EJ$130</f>
        <v>190.95999999999998</v>
      </c>
      <c r="EK89" s="100">
        <f>OpCost!$E$15*EK$130</f>
        <v>184.8</v>
      </c>
      <c r="EL89" s="100">
        <f>OpCost!$E$15*EL$130</f>
        <v>190.95999999999998</v>
      </c>
      <c r="EM89" s="100">
        <f>OpCost!$E$15*EM$130</f>
        <v>184.8</v>
      </c>
      <c r="EN89" s="100">
        <f>OpCost!$E$15*EN$130</f>
        <v>190.95999999999998</v>
      </c>
      <c r="EO89" s="100">
        <f>OpCost!$E$15*EO$130</f>
        <v>190.95999999999998</v>
      </c>
      <c r="EP89" s="100">
        <f>OpCost!$E$15*EP$130</f>
        <v>184.8</v>
      </c>
      <c r="EQ89" s="100">
        <f>OpCost!$E$15*EQ$130</f>
        <v>190.95999999999998</v>
      </c>
      <c r="ER89" s="100">
        <f>OpCost!$E$15*ER$130</f>
        <v>184.8</v>
      </c>
      <c r="ES89" s="100">
        <f>OpCost!$E$15*ES$130</f>
        <v>190.95999999999998</v>
      </c>
      <c r="ET89" s="100">
        <f>OpCost!$E$15*ET$130</f>
        <v>190.95999999999998</v>
      </c>
      <c r="EU89" s="100">
        <f>OpCost!$E$15*EU$130</f>
        <v>172.48000000000002</v>
      </c>
      <c r="EV89" s="100">
        <f>OpCost!$E$15*EV$130</f>
        <v>190.95999999999998</v>
      </c>
      <c r="EW89" s="100">
        <f>OpCost!$E$15*EW$130</f>
        <v>184.8</v>
      </c>
      <c r="EX89" s="100">
        <f>OpCost!$E$15*EX$130</f>
        <v>190.95999999999998</v>
      </c>
      <c r="EY89" s="100">
        <f>OpCost!$E$15*EY$130</f>
        <v>184.8</v>
      </c>
      <c r="EZ89" s="100">
        <f>OpCost!$E$15*EZ$130</f>
        <v>190.95999999999998</v>
      </c>
      <c r="FA89" s="100">
        <f>OpCost!$E$15*FA$130</f>
        <v>190.95999999999998</v>
      </c>
      <c r="FB89" s="100">
        <f>OpCost!$E$15*FB$130</f>
        <v>184.8</v>
      </c>
      <c r="FC89" s="100">
        <f>OpCost!$E$15*FC$130</f>
        <v>190.95999999999998</v>
      </c>
      <c r="FD89" s="100">
        <f>OpCost!$E$15*FD$130</f>
        <v>184.8</v>
      </c>
      <c r="FE89" s="100">
        <f>OpCost!$E$15*FE$130</f>
        <v>190.95999999999998</v>
      </c>
      <c r="FF89" s="100">
        <f>OpCost!$E$15*FF$130</f>
        <v>190.95999999999998</v>
      </c>
      <c r="FG89" s="100">
        <f>OpCost!$E$15*FG$130</f>
        <v>172.48000000000002</v>
      </c>
      <c r="FH89" s="100">
        <f>OpCost!$E$15*FH$130</f>
        <v>190.95999999999998</v>
      </c>
      <c r="FI89" s="100">
        <f>OpCost!$E$15*FI$130</f>
        <v>184.8</v>
      </c>
      <c r="FJ89" s="100">
        <f>OpCost!$E$15*FJ$130</f>
        <v>190.95999999999998</v>
      </c>
      <c r="FK89" s="100">
        <f>OpCost!$E$15*FK$130</f>
        <v>184.8</v>
      </c>
      <c r="FL89" s="100">
        <f>OpCost!$E$15*FL$130</f>
        <v>190.95999999999998</v>
      </c>
      <c r="FM89" s="100">
        <f>OpCost!$E$15*FM$130</f>
        <v>190.95999999999998</v>
      </c>
      <c r="FN89" s="100">
        <f>OpCost!$E$15*FN$130</f>
        <v>184.8</v>
      </c>
      <c r="FO89" s="100">
        <f>OpCost!$E$15*FO$130</f>
        <v>190.95999999999998</v>
      </c>
      <c r="FP89" s="100">
        <f>OpCost!$E$15*FP$130</f>
        <v>184.8</v>
      </c>
      <c r="FQ89" s="100">
        <f>OpCost!$E$15*FQ$130</f>
        <v>190.95999999999998</v>
      </c>
      <c r="FR89" s="100">
        <f>OpCost!$E$15*FR$130</f>
        <v>190.95999999999998</v>
      </c>
      <c r="FS89" s="100">
        <f>OpCost!$E$15*FS$130</f>
        <v>172.48000000000002</v>
      </c>
      <c r="FT89" s="100">
        <f>OpCost!$E$15*FT$130</f>
        <v>190.95999999999998</v>
      </c>
      <c r="FU89" s="100">
        <f>OpCost!$E$15*FU$130</f>
        <v>184.8</v>
      </c>
      <c r="FV89" s="100">
        <f>OpCost!$E$15*FV$130</f>
        <v>190.95999999999998</v>
      </c>
      <c r="FW89" s="100">
        <f>OpCost!$E$15*FW$130</f>
        <v>184.8</v>
      </c>
      <c r="FX89" s="100">
        <f>OpCost!$E$15*FX$130</f>
        <v>190.95999999999998</v>
      </c>
      <c r="FY89" s="100">
        <f>OpCost!$E$15*FY$130</f>
        <v>190.95999999999998</v>
      </c>
      <c r="FZ89" s="100">
        <f>OpCost!$E$15*FZ$130</f>
        <v>184.8</v>
      </c>
      <c r="GA89" s="100">
        <f>OpCost!$E$15*GA$130</f>
        <v>190.95999999999998</v>
      </c>
      <c r="GB89" s="100">
        <f>OpCost!$E$15*GB$130</f>
        <v>184.8</v>
      </c>
      <c r="GC89" s="100">
        <f>OpCost!$E$15*GC$130</f>
        <v>190.95999999999998</v>
      </c>
    </row>
    <row r="90" spans="1:185">
      <c r="A90" s="10"/>
      <c r="B90" s="80" t="s">
        <v>122</v>
      </c>
      <c r="C90" s="80"/>
      <c r="D90" s="80"/>
      <c r="E90" s="82">
        <f t="shared" si="107"/>
        <v>64840.1599999998</v>
      </c>
      <c r="F90" s="100">
        <f>OpCost!$E$17*F$130</f>
        <v>0</v>
      </c>
      <c r="G90" s="100">
        <f>OpCost!$E$17*G$130</f>
        <v>0</v>
      </c>
      <c r="H90" s="100">
        <f>OpCost!$E$17*H$130</f>
        <v>0</v>
      </c>
      <c r="I90" s="100">
        <f>OpCost!$E$17*I$130</f>
        <v>0</v>
      </c>
      <c r="J90" s="100">
        <f>OpCost!$E$17*J$130</f>
        <v>0</v>
      </c>
      <c r="K90" s="100">
        <f>OpCost!$E$17*K$130</f>
        <v>0</v>
      </c>
      <c r="L90" s="100">
        <f>OpCost!$E$17*L$130</f>
        <v>0</v>
      </c>
      <c r="M90" s="100">
        <f>OpCost!$E$17*M$130</f>
        <v>381.91999999999996</v>
      </c>
      <c r="N90" s="100">
        <f>OpCost!$E$17*N$130</f>
        <v>369.6</v>
      </c>
      <c r="O90" s="100">
        <f>OpCost!$E$17*O$130</f>
        <v>381.91999999999996</v>
      </c>
      <c r="P90" s="100">
        <f>OpCost!$E$17*P$130</f>
        <v>369.6</v>
      </c>
      <c r="Q90" s="100">
        <f>OpCost!$E$17*Q$130</f>
        <v>381.91999999999996</v>
      </c>
      <c r="R90" s="100">
        <f>OpCost!$E$17*R$130</f>
        <v>381.91999999999996</v>
      </c>
      <c r="S90" s="100">
        <f>OpCost!$E$17*S$130</f>
        <v>344.96000000000004</v>
      </c>
      <c r="T90" s="100">
        <f>OpCost!$E$17*T$130</f>
        <v>381.91999999999996</v>
      </c>
      <c r="U90" s="100">
        <f>OpCost!$E$17*U$130</f>
        <v>369.6</v>
      </c>
      <c r="V90" s="100">
        <f>OpCost!$E$17*V$130</f>
        <v>381.91999999999996</v>
      </c>
      <c r="W90" s="100">
        <f>OpCost!$E$17*W$130</f>
        <v>369.6</v>
      </c>
      <c r="X90" s="100">
        <f>OpCost!$E$17*X$130</f>
        <v>381.91999999999996</v>
      </c>
      <c r="Y90" s="100">
        <f>OpCost!$E$17*Y$130</f>
        <v>381.91999999999996</v>
      </c>
      <c r="Z90" s="100">
        <f>OpCost!$E$17*Z$130</f>
        <v>369.6</v>
      </c>
      <c r="AA90" s="100">
        <f>OpCost!$E$17*AA$130</f>
        <v>381.91999999999996</v>
      </c>
      <c r="AB90" s="100">
        <f>OpCost!$E$17*AB$130</f>
        <v>369.6</v>
      </c>
      <c r="AC90" s="100">
        <f>OpCost!$E$17*AC$130</f>
        <v>381.91999999999996</v>
      </c>
      <c r="AD90" s="100">
        <f>OpCost!$E$17*AD$130</f>
        <v>381.91999999999996</v>
      </c>
      <c r="AE90" s="100">
        <f>OpCost!$E$17*AE$130</f>
        <v>344.96000000000004</v>
      </c>
      <c r="AF90" s="100">
        <f>OpCost!$E$17*AF$130</f>
        <v>381.91999999999996</v>
      </c>
      <c r="AG90" s="100">
        <f>OpCost!$E$17*AG$130</f>
        <v>369.6</v>
      </c>
      <c r="AH90" s="100">
        <f>OpCost!$E$17*AH$130</f>
        <v>381.91999999999996</v>
      </c>
      <c r="AI90" s="100">
        <f>OpCost!$E$17*AI$130</f>
        <v>369.6</v>
      </c>
      <c r="AJ90" s="100">
        <f>OpCost!$E$17*AJ$130</f>
        <v>381.91999999999996</v>
      </c>
      <c r="AK90" s="100">
        <f>OpCost!$E$17*AK$130</f>
        <v>381.91999999999996</v>
      </c>
      <c r="AL90" s="100">
        <f>OpCost!$E$17*AL$130</f>
        <v>369.6</v>
      </c>
      <c r="AM90" s="100">
        <f>OpCost!$E$17*AM$130</f>
        <v>381.91999999999996</v>
      </c>
      <c r="AN90" s="100">
        <f>OpCost!$E$17*AN$130</f>
        <v>369.6</v>
      </c>
      <c r="AO90" s="100">
        <f>OpCost!$E$17*AO$130</f>
        <v>381.91999999999996</v>
      </c>
      <c r="AP90" s="100">
        <f>OpCost!$E$17*AP$130</f>
        <v>381.91999999999996</v>
      </c>
      <c r="AQ90" s="100">
        <f>OpCost!$E$17*AQ$130</f>
        <v>344.96000000000004</v>
      </c>
      <c r="AR90" s="100">
        <f>OpCost!$E$17*AR$130</f>
        <v>381.91999999999996</v>
      </c>
      <c r="AS90" s="100">
        <f>OpCost!$E$17*AS$130</f>
        <v>369.6</v>
      </c>
      <c r="AT90" s="100">
        <f>OpCost!$E$17*AT$130</f>
        <v>381.91999999999996</v>
      </c>
      <c r="AU90" s="100">
        <f>OpCost!$E$17*AU$130</f>
        <v>369.6</v>
      </c>
      <c r="AV90" s="100">
        <f>OpCost!$E$17*AV$130</f>
        <v>381.91999999999996</v>
      </c>
      <c r="AW90" s="100">
        <f>OpCost!$E$17*AW$130</f>
        <v>381.91999999999996</v>
      </c>
      <c r="AX90" s="100">
        <f>OpCost!$E$17*AX$130</f>
        <v>369.6</v>
      </c>
      <c r="AY90" s="100">
        <f>OpCost!$E$17*AY$130</f>
        <v>381.91999999999996</v>
      </c>
      <c r="AZ90" s="100">
        <f>OpCost!$E$17*AZ$130</f>
        <v>369.6</v>
      </c>
      <c r="BA90" s="100">
        <f>OpCost!$E$17*BA$130</f>
        <v>381.91999999999996</v>
      </c>
      <c r="BB90" s="100">
        <f>OpCost!$E$17*BB$130</f>
        <v>381.91999999999996</v>
      </c>
      <c r="BC90" s="100">
        <f>OpCost!$E$17*BC$130</f>
        <v>344.96000000000004</v>
      </c>
      <c r="BD90" s="100">
        <f>OpCost!$E$17*BD$130</f>
        <v>381.91999999999996</v>
      </c>
      <c r="BE90" s="100">
        <f>OpCost!$E$17*BE$130</f>
        <v>369.6</v>
      </c>
      <c r="BF90" s="100">
        <f>OpCost!$E$17*BF$130</f>
        <v>381.91999999999996</v>
      </c>
      <c r="BG90" s="100">
        <f>OpCost!$E$17*BG$130</f>
        <v>369.6</v>
      </c>
      <c r="BH90" s="100">
        <f>OpCost!$E$17*BH$130</f>
        <v>381.91999999999996</v>
      </c>
      <c r="BI90" s="100">
        <f>OpCost!$E$17*BI$130</f>
        <v>381.91999999999996</v>
      </c>
      <c r="BJ90" s="100">
        <f>OpCost!$E$17*BJ$130</f>
        <v>369.6</v>
      </c>
      <c r="BK90" s="100">
        <f>OpCost!$E$17*BK$130</f>
        <v>381.91999999999996</v>
      </c>
      <c r="BL90" s="100">
        <f>OpCost!$E$17*BL$130</f>
        <v>369.6</v>
      </c>
      <c r="BM90" s="100">
        <f>OpCost!$E$17*BM$130</f>
        <v>381.91999999999996</v>
      </c>
      <c r="BN90" s="100">
        <f>OpCost!$E$17*BN$130</f>
        <v>381.91999999999996</v>
      </c>
      <c r="BO90" s="100">
        <f>OpCost!$E$17*BO$130</f>
        <v>344.96000000000004</v>
      </c>
      <c r="BP90" s="100">
        <f>OpCost!$E$17*BP$130</f>
        <v>381.91999999999996</v>
      </c>
      <c r="BQ90" s="100">
        <f>OpCost!$E$17*BQ$130</f>
        <v>369.6</v>
      </c>
      <c r="BR90" s="100">
        <f>OpCost!$E$17*BR$130</f>
        <v>381.91999999999996</v>
      </c>
      <c r="BS90" s="100">
        <f>OpCost!$E$17*BS$130</f>
        <v>369.6</v>
      </c>
      <c r="BT90" s="100">
        <f>OpCost!$E$17*BT$130</f>
        <v>381.91999999999996</v>
      </c>
      <c r="BU90" s="100">
        <f>OpCost!$E$17*BU$130</f>
        <v>381.91999999999996</v>
      </c>
      <c r="BV90" s="100">
        <f>OpCost!$E$17*BV$130</f>
        <v>369.6</v>
      </c>
      <c r="BW90" s="100">
        <f>OpCost!$E$17*BW$130</f>
        <v>381.91999999999996</v>
      </c>
      <c r="BX90" s="100">
        <f>OpCost!$E$17*BX$130</f>
        <v>369.6</v>
      </c>
      <c r="BY90" s="100">
        <f>OpCost!$E$17*BY$130</f>
        <v>381.91999999999996</v>
      </c>
      <c r="BZ90" s="100">
        <f>OpCost!$E$17*BZ$130</f>
        <v>381.91999999999996</v>
      </c>
      <c r="CA90" s="100">
        <f>OpCost!$E$17*CA$130</f>
        <v>344.96000000000004</v>
      </c>
      <c r="CB90" s="100">
        <f>OpCost!$E$17*CB$130</f>
        <v>381.91999999999996</v>
      </c>
      <c r="CC90" s="100">
        <f>OpCost!$E$17*CC$130</f>
        <v>369.6</v>
      </c>
      <c r="CD90" s="100">
        <f>OpCost!$E$17*CD$130</f>
        <v>381.91999999999996</v>
      </c>
      <c r="CE90" s="100">
        <f>OpCost!$E$17*CE$130</f>
        <v>369.6</v>
      </c>
      <c r="CF90" s="100">
        <f>OpCost!$E$17*CF$130</f>
        <v>381.91999999999996</v>
      </c>
      <c r="CG90" s="100">
        <f>OpCost!$E$17*CG$130</f>
        <v>381.91999999999996</v>
      </c>
      <c r="CH90" s="100">
        <f>OpCost!$E$17*CH$130</f>
        <v>369.6</v>
      </c>
      <c r="CI90" s="100">
        <f>OpCost!$E$17*CI$130</f>
        <v>381.91999999999996</v>
      </c>
      <c r="CJ90" s="100">
        <f>OpCost!$E$17*CJ$130</f>
        <v>369.6</v>
      </c>
      <c r="CK90" s="100">
        <f>OpCost!$E$17*CK$130</f>
        <v>381.91999999999996</v>
      </c>
      <c r="CL90" s="100">
        <f>OpCost!$E$17*CL$130</f>
        <v>381.91999999999996</v>
      </c>
      <c r="CM90" s="100">
        <f>OpCost!$E$17*CM$130</f>
        <v>344.96000000000004</v>
      </c>
      <c r="CN90" s="100">
        <f>OpCost!$E$17*CN$130</f>
        <v>381.91999999999996</v>
      </c>
      <c r="CO90" s="100">
        <f>OpCost!$E$17*CO$130</f>
        <v>369.6</v>
      </c>
      <c r="CP90" s="100">
        <f>OpCost!$E$17*CP$130</f>
        <v>381.91999999999996</v>
      </c>
      <c r="CQ90" s="100">
        <f>OpCost!$E$17*CQ$130</f>
        <v>369.6</v>
      </c>
      <c r="CR90" s="100">
        <f>OpCost!$E$17*CR$130</f>
        <v>381.91999999999996</v>
      </c>
      <c r="CS90" s="100">
        <f>OpCost!$E$17*CS$130</f>
        <v>381.91999999999996</v>
      </c>
      <c r="CT90" s="100">
        <f>OpCost!$E$17*CT$130</f>
        <v>369.6</v>
      </c>
      <c r="CU90" s="100">
        <f>OpCost!$E$17*CU$130</f>
        <v>381.91999999999996</v>
      </c>
      <c r="CV90" s="100">
        <f>OpCost!$E$17*CV$130</f>
        <v>369.6</v>
      </c>
      <c r="CW90" s="100">
        <f>OpCost!$E$17*CW$130</f>
        <v>381.91999999999996</v>
      </c>
      <c r="CX90" s="100">
        <f>OpCost!$E$17*CX$130</f>
        <v>381.91999999999996</v>
      </c>
      <c r="CY90" s="100">
        <f>OpCost!$E$17*CY$130</f>
        <v>344.96000000000004</v>
      </c>
      <c r="CZ90" s="100">
        <f>OpCost!$E$17*CZ$130</f>
        <v>381.91999999999996</v>
      </c>
      <c r="DA90" s="100">
        <f>OpCost!$E$17*DA$130</f>
        <v>369.6</v>
      </c>
      <c r="DB90" s="100">
        <f>OpCost!$E$17*DB$130</f>
        <v>381.91999999999996</v>
      </c>
      <c r="DC90" s="100">
        <f>OpCost!$E$17*DC$130</f>
        <v>369.6</v>
      </c>
      <c r="DD90" s="100">
        <f>OpCost!$E$17*DD$130</f>
        <v>381.91999999999996</v>
      </c>
      <c r="DE90" s="100">
        <f>OpCost!$E$17*DE$130</f>
        <v>381.91999999999996</v>
      </c>
      <c r="DF90" s="100">
        <f>OpCost!$E$17*DF$130</f>
        <v>369.6</v>
      </c>
      <c r="DG90" s="100">
        <f>OpCost!$E$17*DG$130</f>
        <v>381.91999999999996</v>
      </c>
      <c r="DH90" s="100">
        <f>OpCost!$E$17*DH$130</f>
        <v>369.6</v>
      </c>
      <c r="DI90" s="100">
        <f>OpCost!$E$17*DI$130</f>
        <v>381.91999999999996</v>
      </c>
      <c r="DJ90" s="100">
        <f>OpCost!$E$17*DJ$130</f>
        <v>381.91999999999996</v>
      </c>
      <c r="DK90" s="100">
        <f>OpCost!$E$17*DK$130</f>
        <v>344.96000000000004</v>
      </c>
      <c r="DL90" s="100">
        <f>OpCost!$E$17*DL$130</f>
        <v>381.91999999999996</v>
      </c>
      <c r="DM90" s="100">
        <f>OpCost!$E$17*DM$130</f>
        <v>369.6</v>
      </c>
      <c r="DN90" s="100">
        <f>OpCost!$E$17*DN$130</f>
        <v>381.91999999999996</v>
      </c>
      <c r="DO90" s="100">
        <f>OpCost!$E$17*DO$130</f>
        <v>369.6</v>
      </c>
      <c r="DP90" s="100">
        <f>OpCost!$E$17*DP$130</f>
        <v>381.91999999999996</v>
      </c>
      <c r="DQ90" s="100">
        <f>OpCost!$E$17*DQ$130</f>
        <v>381.91999999999996</v>
      </c>
      <c r="DR90" s="100">
        <f>OpCost!$E$17*DR$130</f>
        <v>369.6</v>
      </c>
      <c r="DS90" s="100">
        <f>OpCost!$E$17*DS$130</f>
        <v>381.91999999999996</v>
      </c>
      <c r="DT90" s="100">
        <f>OpCost!$E$17*DT$130</f>
        <v>369.6</v>
      </c>
      <c r="DU90" s="100">
        <f>OpCost!$E$17*DU$130</f>
        <v>381.91999999999996</v>
      </c>
      <c r="DV90" s="100">
        <f>OpCost!$E$17*DV$130</f>
        <v>381.91999999999996</v>
      </c>
      <c r="DW90" s="100">
        <f>OpCost!$E$17*DW$130</f>
        <v>344.96000000000004</v>
      </c>
      <c r="DX90" s="100">
        <f>OpCost!$E$17*DX$130</f>
        <v>381.91999999999996</v>
      </c>
      <c r="DY90" s="100">
        <f>OpCost!$E$17*DY$130</f>
        <v>369.6</v>
      </c>
      <c r="DZ90" s="100">
        <f>OpCost!$E$17*DZ$130</f>
        <v>381.91999999999996</v>
      </c>
      <c r="EA90" s="100">
        <f>OpCost!$E$17*EA$130</f>
        <v>369.6</v>
      </c>
      <c r="EB90" s="100">
        <f>OpCost!$E$17*EB$130</f>
        <v>381.91999999999996</v>
      </c>
      <c r="EC90" s="100">
        <f>OpCost!$E$17*EC$130</f>
        <v>381.91999999999996</v>
      </c>
      <c r="ED90" s="100">
        <f>OpCost!$E$17*ED$130</f>
        <v>369.6</v>
      </c>
      <c r="EE90" s="100">
        <f>OpCost!$E$17*EE$130</f>
        <v>381.91999999999996</v>
      </c>
      <c r="EF90" s="100">
        <f>OpCost!$E$17*EF$130</f>
        <v>369.6</v>
      </c>
      <c r="EG90" s="100">
        <f>OpCost!$E$17*EG$130</f>
        <v>381.91999999999996</v>
      </c>
      <c r="EH90" s="100">
        <f>OpCost!$E$17*EH$130</f>
        <v>381.91999999999996</v>
      </c>
      <c r="EI90" s="100">
        <f>OpCost!$E$17*EI$130</f>
        <v>344.96000000000004</v>
      </c>
      <c r="EJ90" s="100">
        <f>OpCost!$E$17*EJ$130</f>
        <v>381.91999999999996</v>
      </c>
      <c r="EK90" s="100">
        <f>OpCost!$E$17*EK$130</f>
        <v>369.6</v>
      </c>
      <c r="EL90" s="100">
        <f>OpCost!$E$17*EL$130</f>
        <v>381.91999999999996</v>
      </c>
      <c r="EM90" s="100">
        <f>OpCost!$E$17*EM$130</f>
        <v>369.6</v>
      </c>
      <c r="EN90" s="100">
        <f>OpCost!$E$17*EN$130</f>
        <v>381.91999999999996</v>
      </c>
      <c r="EO90" s="100">
        <f>OpCost!$E$17*EO$130</f>
        <v>381.91999999999996</v>
      </c>
      <c r="EP90" s="100">
        <f>OpCost!$E$17*EP$130</f>
        <v>369.6</v>
      </c>
      <c r="EQ90" s="100">
        <f>OpCost!$E$17*EQ$130</f>
        <v>381.91999999999996</v>
      </c>
      <c r="ER90" s="100">
        <f>OpCost!$E$17*ER$130</f>
        <v>369.6</v>
      </c>
      <c r="ES90" s="100">
        <f>OpCost!$E$17*ES$130</f>
        <v>381.91999999999996</v>
      </c>
      <c r="ET90" s="100">
        <f>OpCost!$E$17*ET$130</f>
        <v>381.91999999999996</v>
      </c>
      <c r="EU90" s="100">
        <f>OpCost!$E$17*EU$130</f>
        <v>344.96000000000004</v>
      </c>
      <c r="EV90" s="100">
        <f>OpCost!$E$17*EV$130</f>
        <v>381.91999999999996</v>
      </c>
      <c r="EW90" s="100">
        <f>OpCost!$E$17*EW$130</f>
        <v>369.6</v>
      </c>
      <c r="EX90" s="100">
        <f>OpCost!$E$17*EX$130</f>
        <v>381.91999999999996</v>
      </c>
      <c r="EY90" s="100">
        <f>OpCost!$E$17*EY$130</f>
        <v>369.6</v>
      </c>
      <c r="EZ90" s="100">
        <f>OpCost!$E$17*EZ$130</f>
        <v>381.91999999999996</v>
      </c>
      <c r="FA90" s="100">
        <f>OpCost!$E$17*FA$130</f>
        <v>381.91999999999996</v>
      </c>
      <c r="FB90" s="100">
        <f>OpCost!$E$17*FB$130</f>
        <v>369.6</v>
      </c>
      <c r="FC90" s="100">
        <f>OpCost!$E$17*FC$130</f>
        <v>381.91999999999996</v>
      </c>
      <c r="FD90" s="100">
        <f>OpCost!$E$17*FD$130</f>
        <v>369.6</v>
      </c>
      <c r="FE90" s="100">
        <f>OpCost!$E$17*FE$130</f>
        <v>381.91999999999996</v>
      </c>
      <c r="FF90" s="100">
        <f>OpCost!$E$17*FF$130</f>
        <v>381.91999999999996</v>
      </c>
      <c r="FG90" s="100">
        <f>OpCost!$E$17*FG$130</f>
        <v>344.96000000000004</v>
      </c>
      <c r="FH90" s="100">
        <f>OpCost!$E$17*FH$130</f>
        <v>381.91999999999996</v>
      </c>
      <c r="FI90" s="100">
        <f>OpCost!$E$17*FI$130</f>
        <v>369.6</v>
      </c>
      <c r="FJ90" s="100">
        <f>OpCost!$E$17*FJ$130</f>
        <v>381.91999999999996</v>
      </c>
      <c r="FK90" s="100">
        <f>OpCost!$E$17*FK$130</f>
        <v>369.6</v>
      </c>
      <c r="FL90" s="100">
        <f>OpCost!$E$17*FL$130</f>
        <v>381.91999999999996</v>
      </c>
      <c r="FM90" s="100">
        <f>OpCost!$E$17*FM$130</f>
        <v>381.91999999999996</v>
      </c>
      <c r="FN90" s="100">
        <f>OpCost!$E$17*FN$130</f>
        <v>369.6</v>
      </c>
      <c r="FO90" s="100">
        <f>OpCost!$E$17*FO$130</f>
        <v>381.91999999999996</v>
      </c>
      <c r="FP90" s="100">
        <f>OpCost!$E$17*FP$130</f>
        <v>369.6</v>
      </c>
      <c r="FQ90" s="100">
        <f>OpCost!$E$17*FQ$130</f>
        <v>381.91999999999996</v>
      </c>
      <c r="FR90" s="100">
        <f>OpCost!$E$17*FR$130</f>
        <v>381.91999999999996</v>
      </c>
      <c r="FS90" s="100">
        <f>OpCost!$E$17*FS$130</f>
        <v>344.96000000000004</v>
      </c>
      <c r="FT90" s="100">
        <f>OpCost!$E$17*FT$130</f>
        <v>381.91999999999996</v>
      </c>
      <c r="FU90" s="100">
        <f>OpCost!$E$17*FU$130</f>
        <v>369.6</v>
      </c>
      <c r="FV90" s="100">
        <f>OpCost!$E$17*FV$130</f>
        <v>381.91999999999996</v>
      </c>
      <c r="FW90" s="100">
        <f>OpCost!$E$17*FW$130</f>
        <v>369.6</v>
      </c>
      <c r="FX90" s="100">
        <f>OpCost!$E$17*FX$130</f>
        <v>381.91999999999996</v>
      </c>
      <c r="FY90" s="100">
        <f>OpCost!$E$17*FY$130</f>
        <v>381.91999999999996</v>
      </c>
      <c r="FZ90" s="100">
        <f>OpCost!$E$17*FZ$130</f>
        <v>369.6</v>
      </c>
      <c r="GA90" s="100">
        <f>OpCost!$E$17*GA$130</f>
        <v>381.91999999999996</v>
      </c>
      <c r="GB90" s="100">
        <f>OpCost!$E$17*GB$130</f>
        <v>369.6</v>
      </c>
      <c r="GC90" s="100">
        <f>OpCost!$E$17*GC$130</f>
        <v>381.91999999999996</v>
      </c>
    </row>
    <row r="91" spans="1:185">
      <c r="A91" s="10"/>
      <c r="B91" s="80" t="s">
        <v>123</v>
      </c>
      <c r="C91" s="80"/>
      <c r="D91" s="80"/>
      <c r="E91" s="82">
        <f t="shared" si="107"/>
        <v>1701869.4055440025</v>
      </c>
      <c r="F91" s="100">
        <f>OpCost!$E$21*F$130</f>
        <v>0</v>
      </c>
      <c r="G91" s="100">
        <f>OpCost!$E$21*G$130</f>
        <v>0</v>
      </c>
      <c r="H91" s="100">
        <f>OpCost!$E$21*H$130</f>
        <v>0</v>
      </c>
      <c r="I91" s="100">
        <f>OpCost!$E$21*I$130</f>
        <v>0</v>
      </c>
      <c r="J91" s="100">
        <f>OpCost!$E$21*J$130</f>
        <v>0</v>
      </c>
      <c r="K91" s="100">
        <f>OpCost!$E$21*K$130</f>
        <v>0</v>
      </c>
      <c r="L91" s="100">
        <f>OpCost!$E$21*L$130</f>
        <v>0</v>
      </c>
      <c r="M91" s="100">
        <f>OpCost!$E$21*M$130</f>
        <v>10024.311527999998</v>
      </c>
      <c r="N91" s="100">
        <f>OpCost!$E$21*N$130</f>
        <v>9700.9466400000001</v>
      </c>
      <c r="O91" s="100">
        <f>OpCost!$E$21*O$130</f>
        <v>10024.311527999998</v>
      </c>
      <c r="P91" s="100">
        <f>OpCost!$E$21*P$130</f>
        <v>9700.9466400000001</v>
      </c>
      <c r="Q91" s="100">
        <f>OpCost!$E$21*Q$130</f>
        <v>10024.311527999998</v>
      </c>
      <c r="R91" s="100">
        <f>OpCost!$E$21*R$130</f>
        <v>10024.311527999998</v>
      </c>
      <c r="S91" s="100">
        <f>OpCost!$E$21*S$130</f>
        <v>9054.216864</v>
      </c>
      <c r="T91" s="100">
        <f>OpCost!$E$21*T$130</f>
        <v>10024.311527999998</v>
      </c>
      <c r="U91" s="100">
        <f>OpCost!$E$21*U$130</f>
        <v>9700.9466400000001</v>
      </c>
      <c r="V91" s="100">
        <f>OpCost!$E$21*V$130</f>
        <v>10024.311527999998</v>
      </c>
      <c r="W91" s="100">
        <f>OpCost!$E$21*W$130</f>
        <v>9700.9466400000001</v>
      </c>
      <c r="X91" s="100">
        <f>OpCost!$E$21*X$130</f>
        <v>10024.311527999998</v>
      </c>
      <c r="Y91" s="100">
        <f>OpCost!$E$21*Y$130</f>
        <v>10024.311527999998</v>
      </c>
      <c r="Z91" s="100">
        <f>OpCost!$E$21*Z$130</f>
        <v>9700.9466400000001</v>
      </c>
      <c r="AA91" s="100">
        <f>OpCost!$E$21*AA$130</f>
        <v>10024.311527999998</v>
      </c>
      <c r="AB91" s="100">
        <f>OpCost!$E$21*AB$130</f>
        <v>9700.9466400000001</v>
      </c>
      <c r="AC91" s="100">
        <f>OpCost!$E$21*AC$130</f>
        <v>10024.311527999998</v>
      </c>
      <c r="AD91" s="100">
        <f>OpCost!$E$21*AD$130</f>
        <v>10024.311527999998</v>
      </c>
      <c r="AE91" s="100">
        <f>OpCost!$E$21*AE$130</f>
        <v>9054.216864</v>
      </c>
      <c r="AF91" s="100">
        <f>OpCost!$E$21*AF$130</f>
        <v>10024.311527999998</v>
      </c>
      <c r="AG91" s="100">
        <f>OpCost!$E$21*AG$130</f>
        <v>9700.9466400000001</v>
      </c>
      <c r="AH91" s="100">
        <f>OpCost!$E$21*AH$130</f>
        <v>10024.311527999998</v>
      </c>
      <c r="AI91" s="100">
        <f>OpCost!$E$21*AI$130</f>
        <v>9700.9466400000001</v>
      </c>
      <c r="AJ91" s="100">
        <f>OpCost!$E$21*AJ$130</f>
        <v>10024.311527999998</v>
      </c>
      <c r="AK91" s="100">
        <f>OpCost!$E$21*AK$130</f>
        <v>10024.311527999998</v>
      </c>
      <c r="AL91" s="100">
        <f>OpCost!$E$21*AL$130</f>
        <v>9700.9466400000001</v>
      </c>
      <c r="AM91" s="100">
        <f>OpCost!$E$21*AM$130</f>
        <v>10024.311527999998</v>
      </c>
      <c r="AN91" s="100">
        <f>OpCost!$E$21*AN$130</f>
        <v>9700.9466400000001</v>
      </c>
      <c r="AO91" s="100">
        <f>OpCost!$E$21*AO$130</f>
        <v>10024.311527999998</v>
      </c>
      <c r="AP91" s="100">
        <f>OpCost!$E$21*AP$130</f>
        <v>10024.311527999998</v>
      </c>
      <c r="AQ91" s="100">
        <f>OpCost!$E$21*AQ$130</f>
        <v>9054.216864</v>
      </c>
      <c r="AR91" s="100">
        <f>OpCost!$E$21*AR$130</f>
        <v>10024.311527999998</v>
      </c>
      <c r="AS91" s="100">
        <f>OpCost!$E$21*AS$130</f>
        <v>9700.9466400000001</v>
      </c>
      <c r="AT91" s="100">
        <f>OpCost!$E$21*AT$130</f>
        <v>10024.311527999998</v>
      </c>
      <c r="AU91" s="100">
        <f>OpCost!$E$21*AU$130</f>
        <v>9700.9466400000001</v>
      </c>
      <c r="AV91" s="100">
        <f>OpCost!$E$21*AV$130</f>
        <v>10024.311527999998</v>
      </c>
      <c r="AW91" s="100">
        <f>OpCost!$E$21*AW$130</f>
        <v>10024.311527999998</v>
      </c>
      <c r="AX91" s="100">
        <f>OpCost!$E$21*AX$130</f>
        <v>9700.9466400000001</v>
      </c>
      <c r="AY91" s="100">
        <f>OpCost!$E$21*AY$130</f>
        <v>10024.311527999998</v>
      </c>
      <c r="AZ91" s="100">
        <f>OpCost!$E$21*AZ$130</f>
        <v>9700.9466400000001</v>
      </c>
      <c r="BA91" s="100">
        <f>OpCost!$E$21*BA$130</f>
        <v>10024.311527999998</v>
      </c>
      <c r="BB91" s="100">
        <f>OpCost!$E$21*BB$130</f>
        <v>10024.311527999998</v>
      </c>
      <c r="BC91" s="100">
        <f>OpCost!$E$21*BC$130</f>
        <v>9054.216864</v>
      </c>
      <c r="BD91" s="100">
        <f>OpCost!$E$21*BD$130</f>
        <v>10024.311527999998</v>
      </c>
      <c r="BE91" s="100">
        <f>OpCost!$E$21*BE$130</f>
        <v>9700.9466400000001</v>
      </c>
      <c r="BF91" s="100">
        <f>OpCost!$E$21*BF$130</f>
        <v>10024.311527999998</v>
      </c>
      <c r="BG91" s="100">
        <f>OpCost!$E$21*BG$130</f>
        <v>9700.9466400000001</v>
      </c>
      <c r="BH91" s="100">
        <f>OpCost!$E$21*BH$130</f>
        <v>10024.311527999998</v>
      </c>
      <c r="BI91" s="100">
        <f>OpCost!$E$21*BI$130</f>
        <v>10024.311527999998</v>
      </c>
      <c r="BJ91" s="100">
        <f>OpCost!$E$21*BJ$130</f>
        <v>9700.9466400000001</v>
      </c>
      <c r="BK91" s="100">
        <f>OpCost!$E$21*BK$130</f>
        <v>10024.311527999998</v>
      </c>
      <c r="BL91" s="100">
        <f>OpCost!$E$21*BL$130</f>
        <v>9700.9466400000001</v>
      </c>
      <c r="BM91" s="100">
        <f>OpCost!$E$21*BM$130</f>
        <v>10024.311527999998</v>
      </c>
      <c r="BN91" s="100">
        <f>OpCost!$E$21*BN$130</f>
        <v>10024.311527999998</v>
      </c>
      <c r="BO91" s="100">
        <f>OpCost!$E$21*BO$130</f>
        <v>9054.216864</v>
      </c>
      <c r="BP91" s="100">
        <f>OpCost!$E$21*BP$130</f>
        <v>10024.311527999998</v>
      </c>
      <c r="BQ91" s="100">
        <f>OpCost!$E$21*BQ$130</f>
        <v>9700.9466400000001</v>
      </c>
      <c r="BR91" s="100">
        <f>OpCost!$E$21*BR$130</f>
        <v>10024.311527999998</v>
      </c>
      <c r="BS91" s="100">
        <f>OpCost!$E$21*BS$130</f>
        <v>9700.9466400000001</v>
      </c>
      <c r="BT91" s="100">
        <f>OpCost!$E$21*BT$130</f>
        <v>10024.311527999998</v>
      </c>
      <c r="BU91" s="100">
        <f>OpCost!$E$21*BU$130</f>
        <v>10024.311527999998</v>
      </c>
      <c r="BV91" s="100">
        <f>OpCost!$E$21*BV$130</f>
        <v>9700.9466400000001</v>
      </c>
      <c r="BW91" s="100">
        <f>OpCost!$E$21*BW$130</f>
        <v>10024.311527999998</v>
      </c>
      <c r="BX91" s="100">
        <f>OpCost!$E$21*BX$130</f>
        <v>9700.9466400000001</v>
      </c>
      <c r="BY91" s="100">
        <f>OpCost!$E$21*BY$130</f>
        <v>10024.311527999998</v>
      </c>
      <c r="BZ91" s="100">
        <f>OpCost!$E$21*BZ$130</f>
        <v>10024.311527999998</v>
      </c>
      <c r="CA91" s="100">
        <f>OpCost!$E$21*CA$130</f>
        <v>9054.216864</v>
      </c>
      <c r="CB91" s="100">
        <f>OpCost!$E$21*CB$130</f>
        <v>10024.311527999998</v>
      </c>
      <c r="CC91" s="100">
        <f>OpCost!$E$21*CC$130</f>
        <v>9700.9466400000001</v>
      </c>
      <c r="CD91" s="100">
        <f>OpCost!$E$21*CD$130</f>
        <v>10024.311527999998</v>
      </c>
      <c r="CE91" s="100">
        <f>OpCost!$E$21*CE$130</f>
        <v>9700.9466400000001</v>
      </c>
      <c r="CF91" s="100">
        <f>OpCost!$E$21*CF$130</f>
        <v>10024.311527999998</v>
      </c>
      <c r="CG91" s="100">
        <f>OpCost!$E$21*CG$130</f>
        <v>10024.311527999998</v>
      </c>
      <c r="CH91" s="100">
        <f>OpCost!$E$21*CH$130</f>
        <v>9700.9466400000001</v>
      </c>
      <c r="CI91" s="100">
        <f>OpCost!$E$21*CI$130</f>
        <v>10024.311527999998</v>
      </c>
      <c r="CJ91" s="100">
        <f>OpCost!$E$21*CJ$130</f>
        <v>9700.9466400000001</v>
      </c>
      <c r="CK91" s="100">
        <f>OpCost!$E$21*CK$130</f>
        <v>10024.311527999998</v>
      </c>
      <c r="CL91" s="100">
        <f>OpCost!$E$21*CL$130</f>
        <v>10024.311527999998</v>
      </c>
      <c r="CM91" s="100">
        <f>OpCost!$E$21*CM$130</f>
        <v>9054.216864</v>
      </c>
      <c r="CN91" s="100">
        <f>OpCost!$E$21*CN$130</f>
        <v>10024.311527999998</v>
      </c>
      <c r="CO91" s="100">
        <f>OpCost!$E$21*CO$130</f>
        <v>9700.9466400000001</v>
      </c>
      <c r="CP91" s="100">
        <f>OpCost!$E$21*CP$130</f>
        <v>10024.311527999998</v>
      </c>
      <c r="CQ91" s="100">
        <f>OpCost!$E$21*CQ$130</f>
        <v>9700.9466400000001</v>
      </c>
      <c r="CR91" s="100">
        <f>OpCost!$E$21*CR$130</f>
        <v>10024.311527999998</v>
      </c>
      <c r="CS91" s="100">
        <f>OpCost!$E$21*CS$130</f>
        <v>10024.311527999998</v>
      </c>
      <c r="CT91" s="100">
        <f>OpCost!$E$21*CT$130</f>
        <v>9700.9466400000001</v>
      </c>
      <c r="CU91" s="100">
        <f>OpCost!$E$21*CU$130</f>
        <v>10024.311527999998</v>
      </c>
      <c r="CV91" s="100">
        <f>OpCost!$E$21*CV$130</f>
        <v>9700.9466400000001</v>
      </c>
      <c r="CW91" s="100">
        <f>OpCost!$E$21*CW$130</f>
        <v>10024.311527999998</v>
      </c>
      <c r="CX91" s="100">
        <f>OpCost!$E$21*CX$130</f>
        <v>10024.311527999998</v>
      </c>
      <c r="CY91" s="100">
        <f>OpCost!$E$21*CY$130</f>
        <v>9054.216864</v>
      </c>
      <c r="CZ91" s="100">
        <f>OpCost!$E$21*CZ$130</f>
        <v>10024.311527999998</v>
      </c>
      <c r="DA91" s="100">
        <f>OpCost!$E$21*DA$130</f>
        <v>9700.9466400000001</v>
      </c>
      <c r="DB91" s="100">
        <f>OpCost!$E$21*DB$130</f>
        <v>10024.311527999998</v>
      </c>
      <c r="DC91" s="100">
        <f>OpCost!$E$21*DC$130</f>
        <v>9700.9466400000001</v>
      </c>
      <c r="DD91" s="100">
        <f>OpCost!$E$21*DD$130</f>
        <v>10024.311527999998</v>
      </c>
      <c r="DE91" s="100">
        <f>OpCost!$E$21*DE$130</f>
        <v>10024.311527999998</v>
      </c>
      <c r="DF91" s="100">
        <f>OpCost!$E$21*DF$130</f>
        <v>9700.9466400000001</v>
      </c>
      <c r="DG91" s="100">
        <f>OpCost!$E$21*DG$130</f>
        <v>10024.311527999998</v>
      </c>
      <c r="DH91" s="100">
        <f>OpCost!$E$21*DH$130</f>
        <v>9700.9466400000001</v>
      </c>
      <c r="DI91" s="100">
        <f>OpCost!$E$21*DI$130</f>
        <v>10024.311527999998</v>
      </c>
      <c r="DJ91" s="100">
        <f>OpCost!$E$21*DJ$130</f>
        <v>10024.311527999998</v>
      </c>
      <c r="DK91" s="100">
        <f>OpCost!$E$21*DK$130</f>
        <v>9054.216864</v>
      </c>
      <c r="DL91" s="100">
        <f>OpCost!$E$21*DL$130</f>
        <v>10024.311527999998</v>
      </c>
      <c r="DM91" s="100">
        <f>OpCost!$E$21*DM$130</f>
        <v>9700.9466400000001</v>
      </c>
      <c r="DN91" s="100">
        <f>OpCost!$E$21*DN$130</f>
        <v>10024.311527999998</v>
      </c>
      <c r="DO91" s="100">
        <f>OpCost!$E$21*DO$130</f>
        <v>9700.9466400000001</v>
      </c>
      <c r="DP91" s="100">
        <f>OpCost!$E$21*DP$130</f>
        <v>10024.311527999998</v>
      </c>
      <c r="DQ91" s="100">
        <f>OpCost!$E$21*DQ$130</f>
        <v>10024.311527999998</v>
      </c>
      <c r="DR91" s="100">
        <f>OpCost!$E$21*DR$130</f>
        <v>9700.9466400000001</v>
      </c>
      <c r="DS91" s="100">
        <f>OpCost!$E$21*DS$130</f>
        <v>10024.311527999998</v>
      </c>
      <c r="DT91" s="100">
        <f>OpCost!$E$21*DT$130</f>
        <v>9700.9466400000001</v>
      </c>
      <c r="DU91" s="100">
        <f>OpCost!$E$21*DU$130</f>
        <v>10024.311527999998</v>
      </c>
      <c r="DV91" s="100">
        <f>OpCost!$E$21*DV$130</f>
        <v>10024.311527999998</v>
      </c>
      <c r="DW91" s="100">
        <f>OpCost!$E$21*DW$130</f>
        <v>9054.216864</v>
      </c>
      <c r="DX91" s="100">
        <f>OpCost!$E$21*DX$130</f>
        <v>10024.311527999998</v>
      </c>
      <c r="DY91" s="100">
        <f>OpCost!$E$21*DY$130</f>
        <v>9700.9466400000001</v>
      </c>
      <c r="DZ91" s="100">
        <f>OpCost!$E$21*DZ$130</f>
        <v>10024.311527999998</v>
      </c>
      <c r="EA91" s="100">
        <f>OpCost!$E$21*EA$130</f>
        <v>9700.9466400000001</v>
      </c>
      <c r="EB91" s="100">
        <f>OpCost!$E$21*EB$130</f>
        <v>10024.311527999998</v>
      </c>
      <c r="EC91" s="100">
        <f>OpCost!$E$21*EC$130</f>
        <v>10024.311527999998</v>
      </c>
      <c r="ED91" s="100">
        <f>OpCost!$E$21*ED$130</f>
        <v>9700.9466400000001</v>
      </c>
      <c r="EE91" s="100">
        <f>OpCost!$E$21*EE$130</f>
        <v>10024.311527999998</v>
      </c>
      <c r="EF91" s="100">
        <f>OpCost!$E$21*EF$130</f>
        <v>9700.9466400000001</v>
      </c>
      <c r="EG91" s="100">
        <f>OpCost!$E$21*EG$130</f>
        <v>10024.311527999998</v>
      </c>
      <c r="EH91" s="100">
        <f>OpCost!$E$21*EH$130</f>
        <v>10024.311527999998</v>
      </c>
      <c r="EI91" s="100">
        <f>OpCost!$E$21*EI$130</f>
        <v>9054.216864</v>
      </c>
      <c r="EJ91" s="100">
        <f>OpCost!$E$21*EJ$130</f>
        <v>10024.311527999998</v>
      </c>
      <c r="EK91" s="100">
        <f>OpCost!$E$21*EK$130</f>
        <v>9700.9466400000001</v>
      </c>
      <c r="EL91" s="100">
        <f>OpCost!$E$21*EL$130</f>
        <v>10024.311527999998</v>
      </c>
      <c r="EM91" s="100">
        <f>OpCost!$E$21*EM$130</f>
        <v>9700.9466400000001</v>
      </c>
      <c r="EN91" s="100">
        <f>OpCost!$E$21*EN$130</f>
        <v>10024.311527999998</v>
      </c>
      <c r="EO91" s="100">
        <f>OpCost!$E$21*EO$130</f>
        <v>10024.311527999998</v>
      </c>
      <c r="EP91" s="100">
        <f>OpCost!$E$21*EP$130</f>
        <v>9700.9466400000001</v>
      </c>
      <c r="EQ91" s="100">
        <f>OpCost!$E$21*EQ$130</f>
        <v>10024.311527999998</v>
      </c>
      <c r="ER91" s="100">
        <f>OpCost!$E$21*ER$130</f>
        <v>9700.9466400000001</v>
      </c>
      <c r="ES91" s="100">
        <f>OpCost!$E$21*ES$130</f>
        <v>10024.311527999998</v>
      </c>
      <c r="ET91" s="100">
        <f>OpCost!$E$21*ET$130</f>
        <v>10024.311527999998</v>
      </c>
      <c r="EU91" s="100">
        <f>OpCost!$E$21*EU$130</f>
        <v>9054.216864</v>
      </c>
      <c r="EV91" s="100">
        <f>OpCost!$E$21*EV$130</f>
        <v>10024.311527999998</v>
      </c>
      <c r="EW91" s="100">
        <f>OpCost!$E$21*EW$130</f>
        <v>9700.9466400000001</v>
      </c>
      <c r="EX91" s="100">
        <f>OpCost!$E$21*EX$130</f>
        <v>10024.311527999998</v>
      </c>
      <c r="EY91" s="100">
        <f>OpCost!$E$21*EY$130</f>
        <v>9700.9466400000001</v>
      </c>
      <c r="EZ91" s="100">
        <f>OpCost!$E$21*EZ$130</f>
        <v>10024.311527999998</v>
      </c>
      <c r="FA91" s="100">
        <f>OpCost!$E$21*FA$130</f>
        <v>10024.311527999998</v>
      </c>
      <c r="FB91" s="100">
        <f>OpCost!$E$21*FB$130</f>
        <v>9700.9466400000001</v>
      </c>
      <c r="FC91" s="100">
        <f>OpCost!$E$21*FC$130</f>
        <v>10024.311527999998</v>
      </c>
      <c r="FD91" s="100">
        <f>OpCost!$E$21*FD$130</f>
        <v>9700.9466400000001</v>
      </c>
      <c r="FE91" s="100">
        <f>OpCost!$E$21*FE$130</f>
        <v>10024.311527999998</v>
      </c>
      <c r="FF91" s="100">
        <f>OpCost!$E$21*FF$130</f>
        <v>10024.311527999998</v>
      </c>
      <c r="FG91" s="100">
        <f>OpCost!$E$21*FG$130</f>
        <v>9054.216864</v>
      </c>
      <c r="FH91" s="100">
        <f>OpCost!$E$21*FH$130</f>
        <v>10024.311527999998</v>
      </c>
      <c r="FI91" s="100">
        <f>OpCost!$E$21*FI$130</f>
        <v>9700.9466400000001</v>
      </c>
      <c r="FJ91" s="100">
        <f>OpCost!$E$21*FJ$130</f>
        <v>10024.311527999998</v>
      </c>
      <c r="FK91" s="100">
        <f>OpCost!$E$21*FK$130</f>
        <v>9700.9466400000001</v>
      </c>
      <c r="FL91" s="100">
        <f>OpCost!$E$21*FL$130</f>
        <v>10024.311527999998</v>
      </c>
      <c r="FM91" s="100">
        <f>OpCost!$E$21*FM$130</f>
        <v>10024.311527999998</v>
      </c>
      <c r="FN91" s="100">
        <f>OpCost!$E$21*FN$130</f>
        <v>9700.9466400000001</v>
      </c>
      <c r="FO91" s="100">
        <f>OpCost!$E$21*FO$130</f>
        <v>10024.311527999998</v>
      </c>
      <c r="FP91" s="100">
        <f>OpCost!$E$21*FP$130</f>
        <v>9700.9466400000001</v>
      </c>
      <c r="FQ91" s="100">
        <f>OpCost!$E$21*FQ$130</f>
        <v>10024.311527999998</v>
      </c>
      <c r="FR91" s="100">
        <f>OpCost!$E$21*FR$130</f>
        <v>10024.311527999998</v>
      </c>
      <c r="FS91" s="100">
        <f>OpCost!$E$21*FS$130</f>
        <v>9054.216864</v>
      </c>
      <c r="FT91" s="100">
        <f>OpCost!$E$21*FT$130</f>
        <v>10024.311527999998</v>
      </c>
      <c r="FU91" s="100">
        <f>OpCost!$E$21*FU$130</f>
        <v>9700.9466400000001</v>
      </c>
      <c r="FV91" s="100">
        <f>OpCost!$E$21*FV$130</f>
        <v>10024.311527999998</v>
      </c>
      <c r="FW91" s="100">
        <f>OpCost!$E$21*FW$130</f>
        <v>9700.9466400000001</v>
      </c>
      <c r="FX91" s="100">
        <f>OpCost!$E$21*FX$130</f>
        <v>10024.311527999998</v>
      </c>
      <c r="FY91" s="100">
        <f>OpCost!$E$21*FY$130</f>
        <v>10024.311527999998</v>
      </c>
      <c r="FZ91" s="100">
        <f>OpCost!$E$21*FZ$130</f>
        <v>9700.9466400000001</v>
      </c>
      <c r="GA91" s="100">
        <f>OpCost!$E$21*GA$130</f>
        <v>10024.311527999998</v>
      </c>
      <c r="GB91" s="100">
        <f>OpCost!$E$21*GB$130</f>
        <v>9700.9466400000001</v>
      </c>
      <c r="GC91" s="100">
        <f>OpCost!$E$21*GC$130</f>
        <v>10024.311527999998</v>
      </c>
    </row>
    <row r="92" spans="1:185">
      <c r="A92" s="10"/>
      <c r="B92" s="80" t="s">
        <v>124</v>
      </c>
      <c r="C92" s="80"/>
      <c r="D92" s="80"/>
      <c r="E92" s="82">
        <f t="shared" si="107"/>
        <v>567351.39999999979</v>
      </c>
      <c r="F92" s="100">
        <f>OpCost!$E$22*F$130</f>
        <v>0</v>
      </c>
      <c r="G92" s="100">
        <f>OpCost!$E$22*G$130</f>
        <v>0</v>
      </c>
      <c r="H92" s="100">
        <f>OpCost!$E$22*H$130</f>
        <v>0</v>
      </c>
      <c r="I92" s="100">
        <f>OpCost!$E$22*I$130</f>
        <v>0</v>
      </c>
      <c r="J92" s="100">
        <f>OpCost!$E$22*J$130</f>
        <v>0</v>
      </c>
      <c r="K92" s="100">
        <f>OpCost!$E$22*K$130</f>
        <v>0</v>
      </c>
      <c r="L92" s="100">
        <f>OpCost!$E$22*L$130</f>
        <v>0</v>
      </c>
      <c r="M92" s="100">
        <f>OpCost!$E$22*M$130</f>
        <v>3341.8</v>
      </c>
      <c r="N92" s="100">
        <f>OpCost!$E$22*N$130</f>
        <v>3234.0000000000005</v>
      </c>
      <c r="O92" s="100">
        <f>OpCost!$E$22*O$130</f>
        <v>3341.8</v>
      </c>
      <c r="P92" s="100">
        <f>OpCost!$E$22*P$130</f>
        <v>3234.0000000000005</v>
      </c>
      <c r="Q92" s="100">
        <f>OpCost!$E$22*Q$130</f>
        <v>3341.8</v>
      </c>
      <c r="R92" s="100">
        <f>OpCost!$E$22*R$130</f>
        <v>3341.8</v>
      </c>
      <c r="S92" s="100">
        <f>OpCost!$E$22*S$130</f>
        <v>3018.4000000000005</v>
      </c>
      <c r="T92" s="100">
        <f>OpCost!$E$22*T$130</f>
        <v>3341.8</v>
      </c>
      <c r="U92" s="100">
        <f>OpCost!$E$22*U$130</f>
        <v>3234.0000000000005</v>
      </c>
      <c r="V92" s="100">
        <f>OpCost!$E$22*V$130</f>
        <v>3341.8</v>
      </c>
      <c r="W92" s="100">
        <f>OpCost!$E$22*W$130</f>
        <v>3234.0000000000005</v>
      </c>
      <c r="X92" s="100">
        <f>OpCost!$E$22*X$130</f>
        <v>3341.8</v>
      </c>
      <c r="Y92" s="100">
        <f>OpCost!$E$22*Y$130</f>
        <v>3341.8</v>
      </c>
      <c r="Z92" s="100">
        <f>OpCost!$E$22*Z$130</f>
        <v>3234.0000000000005</v>
      </c>
      <c r="AA92" s="100">
        <f>OpCost!$E$22*AA$130</f>
        <v>3341.8</v>
      </c>
      <c r="AB92" s="100">
        <f>OpCost!$E$22*AB$130</f>
        <v>3234.0000000000005</v>
      </c>
      <c r="AC92" s="100">
        <f>OpCost!$E$22*AC$130</f>
        <v>3341.8</v>
      </c>
      <c r="AD92" s="100">
        <f>OpCost!$E$22*AD$130</f>
        <v>3341.8</v>
      </c>
      <c r="AE92" s="100">
        <f>OpCost!$E$22*AE$130</f>
        <v>3018.4000000000005</v>
      </c>
      <c r="AF92" s="100">
        <f>OpCost!$E$22*AF$130</f>
        <v>3341.8</v>
      </c>
      <c r="AG92" s="100">
        <f>OpCost!$E$22*AG$130</f>
        <v>3234.0000000000005</v>
      </c>
      <c r="AH92" s="100">
        <f>OpCost!$E$22*AH$130</f>
        <v>3341.8</v>
      </c>
      <c r="AI92" s="100">
        <f>OpCost!$E$22*AI$130</f>
        <v>3234.0000000000005</v>
      </c>
      <c r="AJ92" s="100">
        <f>OpCost!$E$22*AJ$130</f>
        <v>3341.8</v>
      </c>
      <c r="AK92" s="100">
        <f>OpCost!$E$22*AK$130</f>
        <v>3341.8</v>
      </c>
      <c r="AL92" s="100">
        <f>OpCost!$E$22*AL$130</f>
        <v>3234.0000000000005</v>
      </c>
      <c r="AM92" s="100">
        <f>OpCost!$E$22*AM$130</f>
        <v>3341.8</v>
      </c>
      <c r="AN92" s="100">
        <f>OpCost!$E$22*AN$130</f>
        <v>3234.0000000000005</v>
      </c>
      <c r="AO92" s="100">
        <f>OpCost!$E$22*AO$130</f>
        <v>3341.8</v>
      </c>
      <c r="AP92" s="100">
        <f>OpCost!$E$22*AP$130</f>
        <v>3341.8</v>
      </c>
      <c r="AQ92" s="100">
        <f>OpCost!$E$22*AQ$130</f>
        <v>3018.4000000000005</v>
      </c>
      <c r="AR92" s="100">
        <f>OpCost!$E$22*AR$130</f>
        <v>3341.8</v>
      </c>
      <c r="AS92" s="100">
        <f>OpCost!$E$22*AS$130</f>
        <v>3234.0000000000005</v>
      </c>
      <c r="AT92" s="100">
        <f>OpCost!$E$22*AT$130</f>
        <v>3341.8</v>
      </c>
      <c r="AU92" s="100">
        <f>OpCost!$E$22*AU$130</f>
        <v>3234.0000000000005</v>
      </c>
      <c r="AV92" s="100">
        <f>OpCost!$E$22*AV$130</f>
        <v>3341.8</v>
      </c>
      <c r="AW92" s="100">
        <f>OpCost!$E$22*AW$130</f>
        <v>3341.8</v>
      </c>
      <c r="AX92" s="100">
        <f>OpCost!$E$22*AX$130</f>
        <v>3234.0000000000005</v>
      </c>
      <c r="AY92" s="100">
        <f>OpCost!$E$22*AY$130</f>
        <v>3341.8</v>
      </c>
      <c r="AZ92" s="100">
        <f>OpCost!$E$22*AZ$130</f>
        <v>3234.0000000000005</v>
      </c>
      <c r="BA92" s="100">
        <f>OpCost!$E$22*BA$130</f>
        <v>3341.8</v>
      </c>
      <c r="BB92" s="100">
        <f>OpCost!$E$22*BB$130</f>
        <v>3341.8</v>
      </c>
      <c r="BC92" s="100">
        <f>OpCost!$E$22*BC$130</f>
        <v>3018.4000000000005</v>
      </c>
      <c r="BD92" s="100">
        <f>OpCost!$E$22*BD$130</f>
        <v>3341.8</v>
      </c>
      <c r="BE92" s="100">
        <f>OpCost!$E$22*BE$130</f>
        <v>3234.0000000000005</v>
      </c>
      <c r="BF92" s="100">
        <f>OpCost!$E$22*BF$130</f>
        <v>3341.8</v>
      </c>
      <c r="BG92" s="100">
        <f>OpCost!$E$22*BG$130</f>
        <v>3234.0000000000005</v>
      </c>
      <c r="BH92" s="100">
        <f>OpCost!$E$22*BH$130</f>
        <v>3341.8</v>
      </c>
      <c r="BI92" s="100">
        <f>OpCost!$E$22*BI$130</f>
        <v>3341.8</v>
      </c>
      <c r="BJ92" s="100">
        <f>OpCost!$E$22*BJ$130</f>
        <v>3234.0000000000005</v>
      </c>
      <c r="BK92" s="100">
        <f>OpCost!$E$22*BK$130</f>
        <v>3341.8</v>
      </c>
      <c r="BL92" s="100">
        <f>OpCost!$E$22*BL$130</f>
        <v>3234.0000000000005</v>
      </c>
      <c r="BM92" s="100">
        <f>OpCost!$E$22*BM$130</f>
        <v>3341.8</v>
      </c>
      <c r="BN92" s="100">
        <f>OpCost!$E$22*BN$130</f>
        <v>3341.8</v>
      </c>
      <c r="BO92" s="100">
        <f>OpCost!$E$22*BO$130</f>
        <v>3018.4000000000005</v>
      </c>
      <c r="BP92" s="100">
        <f>OpCost!$E$22*BP$130</f>
        <v>3341.8</v>
      </c>
      <c r="BQ92" s="100">
        <f>OpCost!$E$22*BQ$130</f>
        <v>3234.0000000000005</v>
      </c>
      <c r="BR92" s="100">
        <f>OpCost!$E$22*BR$130</f>
        <v>3341.8</v>
      </c>
      <c r="BS92" s="100">
        <f>OpCost!$E$22*BS$130</f>
        <v>3234.0000000000005</v>
      </c>
      <c r="BT92" s="100">
        <f>OpCost!$E$22*BT$130</f>
        <v>3341.8</v>
      </c>
      <c r="BU92" s="100">
        <f>OpCost!$E$22*BU$130</f>
        <v>3341.8</v>
      </c>
      <c r="BV92" s="100">
        <f>OpCost!$E$22*BV$130</f>
        <v>3234.0000000000005</v>
      </c>
      <c r="BW92" s="100">
        <f>OpCost!$E$22*BW$130</f>
        <v>3341.8</v>
      </c>
      <c r="BX92" s="100">
        <f>OpCost!$E$22*BX$130</f>
        <v>3234.0000000000005</v>
      </c>
      <c r="BY92" s="100">
        <f>OpCost!$E$22*BY$130</f>
        <v>3341.8</v>
      </c>
      <c r="BZ92" s="100">
        <f>OpCost!$E$22*BZ$130</f>
        <v>3341.8</v>
      </c>
      <c r="CA92" s="100">
        <f>OpCost!$E$22*CA$130</f>
        <v>3018.4000000000005</v>
      </c>
      <c r="CB92" s="100">
        <f>OpCost!$E$22*CB$130</f>
        <v>3341.8</v>
      </c>
      <c r="CC92" s="100">
        <f>OpCost!$E$22*CC$130</f>
        <v>3234.0000000000005</v>
      </c>
      <c r="CD92" s="100">
        <f>OpCost!$E$22*CD$130</f>
        <v>3341.8</v>
      </c>
      <c r="CE92" s="100">
        <f>OpCost!$E$22*CE$130</f>
        <v>3234.0000000000005</v>
      </c>
      <c r="CF92" s="100">
        <f>OpCost!$E$22*CF$130</f>
        <v>3341.8</v>
      </c>
      <c r="CG92" s="100">
        <f>OpCost!$E$22*CG$130</f>
        <v>3341.8</v>
      </c>
      <c r="CH92" s="100">
        <f>OpCost!$E$22*CH$130</f>
        <v>3234.0000000000005</v>
      </c>
      <c r="CI92" s="100">
        <f>OpCost!$E$22*CI$130</f>
        <v>3341.8</v>
      </c>
      <c r="CJ92" s="100">
        <f>OpCost!$E$22*CJ$130</f>
        <v>3234.0000000000005</v>
      </c>
      <c r="CK92" s="100">
        <f>OpCost!$E$22*CK$130</f>
        <v>3341.8</v>
      </c>
      <c r="CL92" s="100">
        <f>OpCost!$E$22*CL$130</f>
        <v>3341.8</v>
      </c>
      <c r="CM92" s="100">
        <f>OpCost!$E$22*CM$130</f>
        <v>3018.4000000000005</v>
      </c>
      <c r="CN92" s="100">
        <f>OpCost!$E$22*CN$130</f>
        <v>3341.8</v>
      </c>
      <c r="CO92" s="100">
        <f>OpCost!$E$22*CO$130</f>
        <v>3234.0000000000005</v>
      </c>
      <c r="CP92" s="100">
        <f>OpCost!$E$22*CP$130</f>
        <v>3341.8</v>
      </c>
      <c r="CQ92" s="100">
        <f>OpCost!$E$22*CQ$130</f>
        <v>3234.0000000000005</v>
      </c>
      <c r="CR92" s="100">
        <f>OpCost!$E$22*CR$130</f>
        <v>3341.8</v>
      </c>
      <c r="CS92" s="100">
        <f>OpCost!$E$22*CS$130</f>
        <v>3341.8</v>
      </c>
      <c r="CT92" s="100">
        <f>OpCost!$E$22*CT$130</f>
        <v>3234.0000000000005</v>
      </c>
      <c r="CU92" s="100">
        <f>OpCost!$E$22*CU$130</f>
        <v>3341.8</v>
      </c>
      <c r="CV92" s="100">
        <f>OpCost!$E$22*CV$130</f>
        <v>3234.0000000000005</v>
      </c>
      <c r="CW92" s="100">
        <f>OpCost!$E$22*CW$130</f>
        <v>3341.8</v>
      </c>
      <c r="CX92" s="100">
        <f>OpCost!$E$22*CX$130</f>
        <v>3341.8</v>
      </c>
      <c r="CY92" s="100">
        <f>OpCost!$E$22*CY$130</f>
        <v>3018.4000000000005</v>
      </c>
      <c r="CZ92" s="100">
        <f>OpCost!$E$22*CZ$130</f>
        <v>3341.8</v>
      </c>
      <c r="DA92" s="100">
        <f>OpCost!$E$22*DA$130</f>
        <v>3234.0000000000005</v>
      </c>
      <c r="DB92" s="100">
        <f>OpCost!$E$22*DB$130</f>
        <v>3341.8</v>
      </c>
      <c r="DC92" s="100">
        <f>OpCost!$E$22*DC$130</f>
        <v>3234.0000000000005</v>
      </c>
      <c r="DD92" s="100">
        <f>OpCost!$E$22*DD$130</f>
        <v>3341.8</v>
      </c>
      <c r="DE92" s="100">
        <f>OpCost!$E$22*DE$130</f>
        <v>3341.8</v>
      </c>
      <c r="DF92" s="100">
        <f>OpCost!$E$22*DF$130</f>
        <v>3234.0000000000005</v>
      </c>
      <c r="DG92" s="100">
        <f>OpCost!$E$22*DG$130</f>
        <v>3341.8</v>
      </c>
      <c r="DH92" s="100">
        <f>OpCost!$E$22*DH$130</f>
        <v>3234.0000000000005</v>
      </c>
      <c r="DI92" s="100">
        <f>OpCost!$E$22*DI$130</f>
        <v>3341.8</v>
      </c>
      <c r="DJ92" s="100">
        <f>OpCost!$E$22*DJ$130</f>
        <v>3341.8</v>
      </c>
      <c r="DK92" s="100">
        <f>OpCost!$E$22*DK$130</f>
        <v>3018.4000000000005</v>
      </c>
      <c r="DL92" s="100">
        <f>OpCost!$E$22*DL$130</f>
        <v>3341.8</v>
      </c>
      <c r="DM92" s="100">
        <f>OpCost!$E$22*DM$130</f>
        <v>3234.0000000000005</v>
      </c>
      <c r="DN92" s="100">
        <f>OpCost!$E$22*DN$130</f>
        <v>3341.8</v>
      </c>
      <c r="DO92" s="100">
        <f>OpCost!$E$22*DO$130</f>
        <v>3234.0000000000005</v>
      </c>
      <c r="DP92" s="100">
        <f>OpCost!$E$22*DP$130</f>
        <v>3341.8</v>
      </c>
      <c r="DQ92" s="100">
        <f>OpCost!$E$22*DQ$130</f>
        <v>3341.8</v>
      </c>
      <c r="DR92" s="100">
        <f>OpCost!$E$22*DR$130</f>
        <v>3234.0000000000005</v>
      </c>
      <c r="DS92" s="100">
        <f>OpCost!$E$22*DS$130</f>
        <v>3341.8</v>
      </c>
      <c r="DT92" s="100">
        <f>OpCost!$E$22*DT$130</f>
        <v>3234.0000000000005</v>
      </c>
      <c r="DU92" s="100">
        <f>OpCost!$E$22*DU$130</f>
        <v>3341.8</v>
      </c>
      <c r="DV92" s="100">
        <f>OpCost!$E$22*DV$130</f>
        <v>3341.8</v>
      </c>
      <c r="DW92" s="100">
        <f>OpCost!$E$22*DW$130</f>
        <v>3018.4000000000005</v>
      </c>
      <c r="DX92" s="100">
        <f>OpCost!$E$22*DX$130</f>
        <v>3341.8</v>
      </c>
      <c r="DY92" s="100">
        <f>OpCost!$E$22*DY$130</f>
        <v>3234.0000000000005</v>
      </c>
      <c r="DZ92" s="100">
        <f>OpCost!$E$22*DZ$130</f>
        <v>3341.8</v>
      </c>
      <c r="EA92" s="100">
        <f>OpCost!$E$22*EA$130</f>
        <v>3234.0000000000005</v>
      </c>
      <c r="EB92" s="100">
        <f>OpCost!$E$22*EB$130</f>
        <v>3341.8</v>
      </c>
      <c r="EC92" s="100">
        <f>OpCost!$E$22*EC$130</f>
        <v>3341.8</v>
      </c>
      <c r="ED92" s="100">
        <f>OpCost!$E$22*ED$130</f>
        <v>3234.0000000000005</v>
      </c>
      <c r="EE92" s="100">
        <f>OpCost!$E$22*EE$130</f>
        <v>3341.8</v>
      </c>
      <c r="EF92" s="100">
        <f>OpCost!$E$22*EF$130</f>
        <v>3234.0000000000005</v>
      </c>
      <c r="EG92" s="100">
        <f>OpCost!$E$22*EG$130</f>
        <v>3341.8</v>
      </c>
      <c r="EH92" s="100">
        <f>OpCost!$E$22*EH$130</f>
        <v>3341.8</v>
      </c>
      <c r="EI92" s="100">
        <f>OpCost!$E$22*EI$130</f>
        <v>3018.4000000000005</v>
      </c>
      <c r="EJ92" s="100">
        <f>OpCost!$E$22*EJ$130</f>
        <v>3341.8</v>
      </c>
      <c r="EK92" s="100">
        <f>OpCost!$E$22*EK$130</f>
        <v>3234.0000000000005</v>
      </c>
      <c r="EL92" s="100">
        <f>OpCost!$E$22*EL$130</f>
        <v>3341.8</v>
      </c>
      <c r="EM92" s="100">
        <f>OpCost!$E$22*EM$130</f>
        <v>3234.0000000000005</v>
      </c>
      <c r="EN92" s="100">
        <f>OpCost!$E$22*EN$130</f>
        <v>3341.8</v>
      </c>
      <c r="EO92" s="100">
        <f>OpCost!$E$22*EO$130</f>
        <v>3341.8</v>
      </c>
      <c r="EP92" s="100">
        <f>OpCost!$E$22*EP$130</f>
        <v>3234.0000000000005</v>
      </c>
      <c r="EQ92" s="100">
        <f>OpCost!$E$22*EQ$130</f>
        <v>3341.8</v>
      </c>
      <c r="ER92" s="100">
        <f>OpCost!$E$22*ER$130</f>
        <v>3234.0000000000005</v>
      </c>
      <c r="ES92" s="100">
        <f>OpCost!$E$22*ES$130</f>
        <v>3341.8</v>
      </c>
      <c r="ET92" s="100">
        <f>OpCost!$E$22*ET$130</f>
        <v>3341.8</v>
      </c>
      <c r="EU92" s="100">
        <f>OpCost!$E$22*EU$130</f>
        <v>3018.4000000000005</v>
      </c>
      <c r="EV92" s="100">
        <f>OpCost!$E$22*EV$130</f>
        <v>3341.8</v>
      </c>
      <c r="EW92" s="100">
        <f>OpCost!$E$22*EW$130</f>
        <v>3234.0000000000005</v>
      </c>
      <c r="EX92" s="100">
        <f>OpCost!$E$22*EX$130</f>
        <v>3341.8</v>
      </c>
      <c r="EY92" s="100">
        <f>OpCost!$E$22*EY$130</f>
        <v>3234.0000000000005</v>
      </c>
      <c r="EZ92" s="100">
        <f>OpCost!$E$22*EZ$130</f>
        <v>3341.8</v>
      </c>
      <c r="FA92" s="100">
        <f>OpCost!$E$22*FA$130</f>
        <v>3341.8</v>
      </c>
      <c r="FB92" s="100">
        <f>OpCost!$E$22*FB$130</f>
        <v>3234.0000000000005</v>
      </c>
      <c r="FC92" s="100">
        <f>OpCost!$E$22*FC$130</f>
        <v>3341.8</v>
      </c>
      <c r="FD92" s="100">
        <f>OpCost!$E$22*FD$130</f>
        <v>3234.0000000000005</v>
      </c>
      <c r="FE92" s="100">
        <f>OpCost!$E$22*FE$130</f>
        <v>3341.8</v>
      </c>
      <c r="FF92" s="100">
        <f>OpCost!$E$22*FF$130</f>
        <v>3341.8</v>
      </c>
      <c r="FG92" s="100">
        <f>OpCost!$E$22*FG$130</f>
        <v>3018.4000000000005</v>
      </c>
      <c r="FH92" s="100">
        <f>OpCost!$E$22*FH$130</f>
        <v>3341.8</v>
      </c>
      <c r="FI92" s="100">
        <f>OpCost!$E$22*FI$130</f>
        <v>3234.0000000000005</v>
      </c>
      <c r="FJ92" s="100">
        <f>OpCost!$E$22*FJ$130</f>
        <v>3341.8</v>
      </c>
      <c r="FK92" s="100">
        <f>OpCost!$E$22*FK$130</f>
        <v>3234.0000000000005</v>
      </c>
      <c r="FL92" s="100">
        <f>OpCost!$E$22*FL$130</f>
        <v>3341.8</v>
      </c>
      <c r="FM92" s="100">
        <f>OpCost!$E$22*FM$130</f>
        <v>3341.8</v>
      </c>
      <c r="FN92" s="100">
        <f>OpCost!$E$22*FN$130</f>
        <v>3234.0000000000005</v>
      </c>
      <c r="FO92" s="100">
        <f>OpCost!$E$22*FO$130</f>
        <v>3341.8</v>
      </c>
      <c r="FP92" s="100">
        <f>OpCost!$E$22*FP$130</f>
        <v>3234.0000000000005</v>
      </c>
      <c r="FQ92" s="100">
        <f>OpCost!$E$22*FQ$130</f>
        <v>3341.8</v>
      </c>
      <c r="FR92" s="100">
        <f>OpCost!$E$22*FR$130</f>
        <v>3341.8</v>
      </c>
      <c r="FS92" s="100">
        <f>OpCost!$E$22*FS$130</f>
        <v>3018.4000000000005</v>
      </c>
      <c r="FT92" s="100">
        <f>OpCost!$E$22*FT$130</f>
        <v>3341.8</v>
      </c>
      <c r="FU92" s="100">
        <f>OpCost!$E$22*FU$130</f>
        <v>3234.0000000000005</v>
      </c>
      <c r="FV92" s="100">
        <f>OpCost!$E$22*FV$130</f>
        <v>3341.8</v>
      </c>
      <c r="FW92" s="100">
        <f>OpCost!$E$22*FW$130</f>
        <v>3234.0000000000005</v>
      </c>
      <c r="FX92" s="100">
        <f>OpCost!$E$22*FX$130</f>
        <v>3341.8</v>
      </c>
      <c r="FY92" s="100">
        <f>OpCost!$E$22*FY$130</f>
        <v>3341.8</v>
      </c>
      <c r="FZ92" s="100">
        <f>OpCost!$E$22*FZ$130</f>
        <v>3234.0000000000005</v>
      </c>
      <c r="GA92" s="100">
        <f>OpCost!$E$22*GA$130</f>
        <v>3341.8</v>
      </c>
      <c r="GB92" s="100">
        <f>OpCost!$E$22*GB$130</f>
        <v>3234.0000000000005</v>
      </c>
      <c r="GC92" s="100">
        <f>OpCost!$E$22*GC$130</f>
        <v>3341.8</v>
      </c>
    </row>
    <row r="93" spans="1:185">
      <c r="A93" s="10"/>
      <c r="B93" s="80" t="s">
        <v>125</v>
      </c>
      <c r="C93" s="80"/>
      <c r="D93" s="80"/>
      <c r="E93" s="82">
        <f t="shared" si="107"/>
        <v>72945.180000000284</v>
      </c>
      <c r="F93" s="100">
        <f>OpCost!$E$24*F$130</f>
        <v>0</v>
      </c>
      <c r="G93" s="100">
        <f>OpCost!$E$24*G$130</f>
        <v>0</v>
      </c>
      <c r="H93" s="100">
        <f>OpCost!$E$24*H$130</f>
        <v>0</v>
      </c>
      <c r="I93" s="100">
        <f>OpCost!$E$24*I$130</f>
        <v>0</v>
      </c>
      <c r="J93" s="100">
        <f>OpCost!$E$24*J$130</f>
        <v>0</v>
      </c>
      <c r="K93" s="100">
        <f>OpCost!$E$24*K$130</f>
        <v>0</v>
      </c>
      <c r="L93" s="100">
        <f>OpCost!$E$24*L$130</f>
        <v>0</v>
      </c>
      <c r="M93" s="100">
        <f>OpCost!$E$24*M$130</f>
        <v>429.66</v>
      </c>
      <c r="N93" s="100">
        <f>OpCost!$E$24*N$130</f>
        <v>415.8</v>
      </c>
      <c r="O93" s="100">
        <f>OpCost!$E$24*O$130</f>
        <v>429.66</v>
      </c>
      <c r="P93" s="100">
        <f>OpCost!$E$24*P$130</f>
        <v>415.8</v>
      </c>
      <c r="Q93" s="100">
        <f>OpCost!$E$24*Q$130</f>
        <v>429.66</v>
      </c>
      <c r="R93" s="100">
        <f>OpCost!$E$24*R$130</f>
        <v>429.66</v>
      </c>
      <c r="S93" s="100">
        <f>OpCost!$E$24*S$130</f>
        <v>388.0800000000001</v>
      </c>
      <c r="T93" s="100">
        <f>OpCost!$E$24*T$130</f>
        <v>429.66</v>
      </c>
      <c r="U93" s="100">
        <f>OpCost!$E$24*U$130</f>
        <v>415.8</v>
      </c>
      <c r="V93" s="100">
        <f>OpCost!$E$24*V$130</f>
        <v>429.66</v>
      </c>
      <c r="W93" s="100">
        <f>OpCost!$E$24*W$130</f>
        <v>415.8</v>
      </c>
      <c r="X93" s="100">
        <f>OpCost!$E$24*X$130</f>
        <v>429.66</v>
      </c>
      <c r="Y93" s="100">
        <f>OpCost!$E$24*Y$130</f>
        <v>429.66</v>
      </c>
      <c r="Z93" s="100">
        <f>OpCost!$E$24*Z$130</f>
        <v>415.8</v>
      </c>
      <c r="AA93" s="100">
        <f>OpCost!$E$24*AA$130</f>
        <v>429.66</v>
      </c>
      <c r="AB93" s="100">
        <f>OpCost!$E$24*AB$130</f>
        <v>415.8</v>
      </c>
      <c r="AC93" s="100">
        <f>OpCost!$E$24*AC$130</f>
        <v>429.66</v>
      </c>
      <c r="AD93" s="100">
        <f>OpCost!$E$24*AD$130</f>
        <v>429.66</v>
      </c>
      <c r="AE93" s="100">
        <f>OpCost!$E$24*AE$130</f>
        <v>388.0800000000001</v>
      </c>
      <c r="AF93" s="100">
        <f>OpCost!$E$24*AF$130</f>
        <v>429.66</v>
      </c>
      <c r="AG93" s="100">
        <f>OpCost!$E$24*AG$130</f>
        <v>415.8</v>
      </c>
      <c r="AH93" s="100">
        <f>OpCost!$E$24*AH$130</f>
        <v>429.66</v>
      </c>
      <c r="AI93" s="100">
        <f>OpCost!$E$24*AI$130</f>
        <v>415.8</v>
      </c>
      <c r="AJ93" s="100">
        <f>OpCost!$E$24*AJ$130</f>
        <v>429.66</v>
      </c>
      <c r="AK93" s="100">
        <f>OpCost!$E$24*AK$130</f>
        <v>429.66</v>
      </c>
      <c r="AL93" s="100">
        <f>OpCost!$E$24*AL$130</f>
        <v>415.8</v>
      </c>
      <c r="AM93" s="100">
        <f>OpCost!$E$24*AM$130</f>
        <v>429.66</v>
      </c>
      <c r="AN93" s="100">
        <f>OpCost!$E$24*AN$130</f>
        <v>415.8</v>
      </c>
      <c r="AO93" s="100">
        <f>OpCost!$E$24*AO$130</f>
        <v>429.66</v>
      </c>
      <c r="AP93" s="100">
        <f>OpCost!$E$24*AP$130</f>
        <v>429.66</v>
      </c>
      <c r="AQ93" s="100">
        <f>OpCost!$E$24*AQ$130</f>
        <v>388.0800000000001</v>
      </c>
      <c r="AR93" s="100">
        <f>OpCost!$E$24*AR$130</f>
        <v>429.66</v>
      </c>
      <c r="AS93" s="100">
        <f>OpCost!$E$24*AS$130</f>
        <v>415.8</v>
      </c>
      <c r="AT93" s="100">
        <f>OpCost!$E$24*AT$130</f>
        <v>429.66</v>
      </c>
      <c r="AU93" s="100">
        <f>OpCost!$E$24*AU$130</f>
        <v>415.8</v>
      </c>
      <c r="AV93" s="100">
        <f>OpCost!$E$24*AV$130</f>
        <v>429.66</v>
      </c>
      <c r="AW93" s="100">
        <f>OpCost!$E$24*AW$130</f>
        <v>429.66</v>
      </c>
      <c r="AX93" s="100">
        <f>OpCost!$E$24*AX$130</f>
        <v>415.8</v>
      </c>
      <c r="AY93" s="100">
        <f>OpCost!$E$24*AY$130</f>
        <v>429.66</v>
      </c>
      <c r="AZ93" s="100">
        <f>OpCost!$E$24*AZ$130</f>
        <v>415.8</v>
      </c>
      <c r="BA93" s="100">
        <f>OpCost!$E$24*BA$130</f>
        <v>429.66</v>
      </c>
      <c r="BB93" s="100">
        <f>OpCost!$E$24*BB$130</f>
        <v>429.66</v>
      </c>
      <c r="BC93" s="100">
        <f>OpCost!$E$24*BC$130</f>
        <v>388.0800000000001</v>
      </c>
      <c r="BD93" s="100">
        <f>OpCost!$E$24*BD$130</f>
        <v>429.66</v>
      </c>
      <c r="BE93" s="100">
        <f>OpCost!$E$24*BE$130</f>
        <v>415.8</v>
      </c>
      <c r="BF93" s="100">
        <f>OpCost!$E$24*BF$130</f>
        <v>429.66</v>
      </c>
      <c r="BG93" s="100">
        <f>OpCost!$E$24*BG$130</f>
        <v>415.8</v>
      </c>
      <c r="BH93" s="100">
        <f>OpCost!$E$24*BH$130</f>
        <v>429.66</v>
      </c>
      <c r="BI93" s="100">
        <f>OpCost!$E$24*BI$130</f>
        <v>429.66</v>
      </c>
      <c r="BJ93" s="100">
        <f>OpCost!$E$24*BJ$130</f>
        <v>415.8</v>
      </c>
      <c r="BK93" s="100">
        <f>OpCost!$E$24*BK$130</f>
        <v>429.66</v>
      </c>
      <c r="BL93" s="100">
        <f>OpCost!$E$24*BL$130</f>
        <v>415.8</v>
      </c>
      <c r="BM93" s="100">
        <f>OpCost!$E$24*BM$130</f>
        <v>429.66</v>
      </c>
      <c r="BN93" s="100">
        <f>OpCost!$E$24*BN$130</f>
        <v>429.66</v>
      </c>
      <c r="BO93" s="100">
        <f>OpCost!$E$24*BO$130</f>
        <v>388.0800000000001</v>
      </c>
      <c r="BP93" s="100">
        <f>OpCost!$E$24*BP$130</f>
        <v>429.66</v>
      </c>
      <c r="BQ93" s="100">
        <f>OpCost!$E$24*BQ$130</f>
        <v>415.8</v>
      </c>
      <c r="BR93" s="100">
        <f>OpCost!$E$24*BR$130</f>
        <v>429.66</v>
      </c>
      <c r="BS93" s="100">
        <f>OpCost!$E$24*BS$130</f>
        <v>415.8</v>
      </c>
      <c r="BT93" s="100">
        <f>OpCost!$E$24*BT$130</f>
        <v>429.66</v>
      </c>
      <c r="BU93" s="100">
        <f>OpCost!$E$24*BU$130</f>
        <v>429.66</v>
      </c>
      <c r="BV93" s="100">
        <f>OpCost!$E$24*BV$130</f>
        <v>415.8</v>
      </c>
      <c r="BW93" s="100">
        <f>OpCost!$E$24*BW$130</f>
        <v>429.66</v>
      </c>
      <c r="BX93" s="100">
        <f>OpCost!$E$24*BX$130</f>
        <v>415.8</v>
      </c>
      <c r="BY93" s="100">
        <f>OpCost!$E$24*BY$130</f>
        <v>429.66</v>
      </c>
      <c r="BZ93" s="100">
        <f>OpCost!$E$24*BZ$130</f>
        <v>429.66</v>
      </c>
      <c r="CA93" s="100">
        <f>OpCost!$E$24*CA$130</f>
        <v>388.0800000000001</v>
      </c>
      <c r="CB93" s="100">
        <f>OpCost!$E$24*CB$130</f>
        <v>429.66</v>
      </c>
      <c r="CC93" s="100">
        <f>OpCost!$E$24*CC$130</f>
        <v>415.8</v>
      </c>
      <c r="CD93" s="100">
        <f>OpCost!$E$24*CD$130</f>
        <v>429.66</v>
      </c>
      <c r="CE93" s="100">
        <f>OpCost!$E$24*CE$130</f>
        <v>415.8</v>
      </c>
      <c r="CF93" s="100">
        <f>OpCost!$E$24*CF$130</f>
        <v>429.66</v>
      </c>
      <c r="CG93" s="100">
        <f>OpCost!$E$24*CG$130</f>
        <v>429.66</v>
      </c>
      <c r="CH93" s="100">
        <f>OpCost!$E$24*CH$130</f>
        <v>415.8</v>
      </c>
      <c r="CI93" s="100">
        <f>OpCost!$E$24*CI$130</f>
        <v>429.66</v>
      </c>
      <c r="CJ93" s="100">
        <f>OpCost!$E$24*CJ$130</f>
        <v>415.8</v>
      </c>
      <c r="CK93" s="100">
        <f>OpCost!$E$24*CK$130</f>
        <v>429.66</v>
      </c>
      <c r="CL93" s="100">
        <f>OpCost!$E$24*CL$130</f>
        <v>429.66</v>
      </c>
      <c r="CM93" s="100">
        <f>OpCost!$E$24*CM$130</f>
        <v>388.0800000000001</v>
      </c>
      <c r="CN93" s="100">
        <f>OpCost!$E$24*CN$130</f>
        <v>429.66</v>
      </c>
      <c r="CO93" s="100">
        <f>OpCost!$E$24*CO$130</f>
        <v>415.8</v>
      </c>
      <c r="CP93" s="100">
        <f>OpCost!$E$24*CP$130</f>
        <v>429.66</v>
      </c>
      <c r="CQ93" s="100">
        <f>OpCost!$E$24*CQ$130</f>
        <v>415.8</v>
      </c>
      <c r="CR93" s="100">
        <f>OpCost!$E$24*CR$130</f>
        <v>429.66</v>
      </c>
      <c r="CS93" s="100">
        <f>OpCost!$E$24*CS$130</f>
        <v>429.66</v>
      </c>
      <c r="CT93" s="100">
        <f>OpCost!$E$24*CT$130</f>
        <v>415.8</v>
      </c>
      <c r="CU93" s="100">
        <f>OpCost!$E$24*CU$130</f>
        <v>429.66</v>
      </c>
      <c r="CV93" s="100">
        <f>OpCost!$E$24*CV$130</f>
        <v>415.8</v>
      </c>
      <c r="CW93" s="100">
        <f>OpCost!$E$24*CW$130</f>
        <v>429.66</v>
      </c>
      <c r="CX93" s="100">
        <f>OpCost!$E$24*CX$130</f>
        <v>429.66</v>
      </c>
      <c r="CY93" s="100">
        <f>OpCost!$E$24*CY$130</f>
        <v>388.0800000000001</v>
      </c>
      <c r="CZ93" s="100">
        <f>OpCost!$E$24*CZ$130</f>
        <v>429.66</v>
      </c>
      <c r="DA93" s="100">
        <f>OpCost!$E$24*DA$130</f>
        <v>415.8</v>
      </c>
      <c r="DB93" s="100">
        <f>OpCost!$E$24*DB$130</f>
        <v>429.66</v>
      </c>
      <c r="DC93" s="100">
        <f>OpCost!$E$24*DC$130</f>
        <v>415.8</v>
      </c>
      <c r="DD93" s="100">
        <f>OpCost!$E$24*DD$130</f>
        <v>429.66</v>
      </c>
      <c r="DE93" s="100">
        <f>OpCost!$E$24*DE$130</f>
        <v>429.66</v>
      </c>
      <c r="DF93" s="100">
        <f>OpCost!$E$24*DF$130</f>
        <v>415.8</v>
      </c>
      <c r="DG93" s="100">
        <f>OpCost!$E$24*DG$130</f>
        <v>429.66</v>
      </c>
      <c r="DH93" s="100">
        <f>OpCost!$E$24*DH$130</f>
        <v>415.8</v>
      </c>
      <c r="DI93" s="100">
        <f>OpCost!$E$24*DI$130</f>
        <v>429.66</v>
      </c>
      <c r="DJ93" s="100">
        <f>OpCost!$E$24*DJ$130</f>
        <v>429.66</v>
      </c>
      <c r="DK93" s="100">
        <f>OpCost!$E$24*DK$130</f>
        <v>388.0800000000001</v>
      </c>
      <c r="DL93" s="100">
        <f>OpCost!$E$24*DL$130</f>
        <v>429.66</v>
      </c>
      <c r="DM93" s="100">
        <f>OpCost!$E$24*DM$130</f>
        <v>415.8</v>
      </c>
      <c r="DN93" s="100">
        <f>OpCost!$E$24*DN$130</f>
        <v>429.66</v>
      </c>
      <c r="DO93" s="100">
        <f>OpCost!$E$24*DO$130</f>
        <v>415.8</v>
      </c>
      <c r="DP93" s="100">
        <f>OpCost!$E$24*DP$130</f>
        <v>429.66</v>
      </c>
      <c r="DQ93" s="100">
        <f>OpCost!$E$24*DQ$130</f>
        <v>429.66</v>
      </c>
      <c r="DR93" s="100">
        <f>OpCost!$E$24*DR$130</f>
        <v>415.8</v>
      </c>
      <c r="DS93" s="100">
        <f>OpCost!$E$24*DS$130</f>
        <v>429.66</v>
      </c>
      <c r="DT93" s="100">
        <f>OpCost!$E$24*DT$130</f>
        <v>415.8</v>
      </c>
      <c r="DU93" s="100">
        <f>OpCost!$E$24*DU$130</f>
        <v>429.66</v>
      </c>
      <c r="DV93" s="100">
        <f>OpCost!$E$24*DV$130</f>
        <v>429.66</v>
      </c>
      <c r="DW93" s="100">
        <f>OpCost!$E$24*DW$130</f>
        <v>388.0800000000001</v>
      </c>
      <c r="DX93" s="100">
        <f>OpCost!$E$24*DX$130</f>
        <v>429.66</v>
      </c>
      <c r="DY93" s="100">
        <f>OpCost!$E$24*DY$130</f>
        <v>415.8</v>
      </c>
      <c r="DZ93" s="100">
        <f>OpCost!$E$24*DZ$130</f>
        <v>429.66</v>
      </c>
      <c r="EA93" s="100">
        <f>OpCost!$E$24*EA$130</f>
        <v>415.8</v>
      </c>
      <c r="EB93" s="100">
        <f>OpCost!$E$24*EB$130</f>
        <v>429.66</v>
      </c>
      <c r="EC93" s="100">
        <f>OpCost!$E$24*EC$130</f>
        <v>429.66</v>
      </c>
      <c r="ED93" s="100">
        <f>OpCost!$E$24*ED$130</f>
        <v>415.8</v>
      </c>
      <c r="EE93" s="100">
        <f>OpCost!$E$24*EE$130</f>
        <v>429.66</v>
      </c>
      <c r="EF93" s="100">
        <f>OpCost!$E$24*EF$130</f>
        <v>415.8</v>
      </c>
      <c r="EG93" s="100">
        <f>OpCost!$E$24*EG$130</f>
        <v>429.66</v>
      </c>
      <c r="EH93" s="100">
        <f>OpCost!$E$24*EH$130</f>
        <v>429.66</v>
      </c>
      <c r="EI93" s="100">
        <f>OpCost!$E$24*EI$130</f>
        <v>388.0800000000001</v>
      </c>
      <c r="EJ93" s="100">
        <f>OpCost!$E$24*EJ$130</f>
        <v>429.66</v>
      </c>
      <c r="EK93" s="100">
        <f>OpCost!$E$24*EK$130</f>
        <v>415.8</v>
      </c>
      <c r="EL93" s="100">
        <f>OpCost!$E$24*EL$130</f>
        <v>429.66</v>
      </c>
      <c r="EM93" s="100">
        <f>OpCost!$E$24*EM$130</f>
        <v>415.8</v>
      </c>
      <c r="EN93" s="100">
        <f>OpCost!$E$24*EN$130</f>
        <v>429.66</v>
      </c>
      <c r="EO93" s="100">
        <f>OpCost!$E$24*EO$130</f>
        <v>429.66</v>
      </c>
      <c r="EP93" s="100">
        <f>OpCost!$E$24*EP$130</f>
        <v>415.8</v>
      </c>
      <c r="EQ93" s="100">
        <f>OpCost!$E$24*EQ$130</f>
        <v>429.66</v>
      </c>
      <c r="ER93" s="100">
        <f>OpCost!$E$24*ER$130</f>
        <v>415.8</v>
      </c>
      <c r="ES93" s="100">
        <f>OpCost!$E$24*ES$130</f>
        <v>429.66</v>
      </c>
      <c r="ET93" s="100">
        <f>OpCost!$E$24*ET$130</f>
        <v>429.66</v>
      </c>
      <c r="EU93" s="100">
        <f>OpCost!$E$24*EU$130</f>
        <v>388.0800000000001</v>
      </c>
      <c r="EV93" s="100">
        <f>OpCost!$E$24*EV$130</f>
        <v>429.66</v>
      </c>
      <c r="EW93" s="100">
        <f>OpCost!$E$24*EW$130</f>
        <v>415.8</v>
      </c>
      <c r="EX93" s="100">
        <f>OpCost!$E$24*EX$130</f>
        <v>429.66</v>
      </c>
      <c r="EY93" s="100">
        <f>OpCost!$E$24*EY$130</f>
        <v>415.8</v>
      </c>
      <c r="EZ93" s="100">
        <f>OpCost!$E$24*EZ$130</f>
        <v>429.66</v>
      </c>
      <c r="FA93" s="100">
        <f>OpCost!$E$24*FA$130</f>
        <v>429.66</v>
      </c>
      <c r="FB93" s="100">
        <f>OpCost!$E$24*FB$130</f>
        <v>415.8</v>
      </c>
      <c r="FC93" s="100">
        <f>OpCost!$E$24*FC$130</f>
        <v>429.66</v>
      </c>
      <c r="FD93" s="100">
        <f>OpCost!$E$24*FD$130</f>
        <v>415.8</v>
      </c>
      <c r="FE93" s="100">
        <f>OpCost!$E$24*FE$130</f>
        <v>429.66</v>
      </c>
      <c r="FF93" s="100">
        <f>OpCost!$E$24*FF$130</f>
        <v>429.66</v>
      </c>
      <c r="FG93" s="100">
        <f>OpCost!$E$24*FG$130</f>
        <v>388.0800000000001</v>
      </c>
      <c r="FH93" s="100">
        <f>OpCost!$E$24*FH$130</f>
        <v>429.66</v>
      </c>
      <c r="FI93" s="100">
        <f>OpCost!$E$24*FI$130</f>
        <v>415.8</v>
      </c>
      <c r="FJ93" s="100">
        <f>OpCost!$E$24*FJ$130</f>
        <v>429.66</v>
      </c>
      <c r="FK93" s="100">
        <f>OpCost!$E$24*FK$130</f>
        <v>415.8</v>
      </c>
      <c r="FL93" s="100">
        <f>OpCost!$E$24*FL$130</f>
        <v>429.66</v>
      </c>
      <c r="FM93" s="100">
        <f>OpCost!$E$24*FM$130</f>
        <v>429.66</v>
      </c>
      <c r="FN93" s="100">
        <f>OpCost!$E$24*FN$130</f>
        <v>415.8</v>
      </c>
      <c r="FO93" s="100">
        <f>OpCost!$E$24*FO$130</f>
        <v>429.66</v>
      </c>
      <c r="FP93" s="100">
        <f>OpCost!$E$24*FP$130</f>
        <v>415.8</v>
      </c>
      <c r="FQ93" s="100">
        <f>OpCost!$E$24*FQ$130</f>
        <v>429.66</v>
      </c>
      <c r="FR93" s="100">
        <f>OpCost!$E$24*FR$130</f>
        <v>429.66</v>
      </c>
      <c r="FS93" s="100">
        <f>OpCost!$E$24*FS$130</f>
        <v>388.0800000000001</v>
      </c>
      <c r="FT93" s="100">
        <f>OpCost!$E$24*FT$130</f>
        <v>429.66</v>
      </c>
      <c r="FU93" s="100">
        <f>OpCost!$E$24*FU$130</f>
        <v>415.8</v>
      </c>
      <c r="FV93" s="100">
        <f>OpCost!$E$24*FV$130</f>
        <v>429.66</v>
      </c>
      <c r="FW93" s="100">
        <f>OpCost!$E$24*FW$130</f>
        <v>415.8</v>
      </c>
      <c r="FX93" s="100">
        <f>OpCost!$E$24*FX$130</f>
        <v>429.66</v>
      </c>
      <c r="FY93" s="100">
        <f>OpCost!$E$24*FY$130</f>
        <v>429.66</v>
      </c>
      <c r="FZ93" s="100">
        <f>OpCost!$E$24*FZ$130</f>
        <v>415.8</v>
      </c>
      <c r="GA93" s="100">
        <f>OpCost!$E$24*GA$130</f>
        <v>429.66</v>
      </c>
      <c r="GB93" s="100">
        <f>OpCost!$E$24*GB$130</f>
        <v>415.8</v>
      </c>
      <c r="GC93" s="100">
        <f>OpCost!$E$24*GC$130</f>
        <v>429.66</v>
      </c>
    </row>
    <row r="94" spans="1:185">
      <c r="A94" s="10"/>
      <c r="B94" s="80" t="s">
        <v>126</v>
      </c>
      <c r="C94" s="80"/>
      <c r="D94" s="80"/>
      <c r="E94" s="82">
        <f t="shared" si="107"/>
        <v>790239.45000000135</v>
      </c>
      <c r="F94" s="100">
        <f>OpCost!$E$26*F$130</f>
        <v>0</v>
      </c>
      <c r="G94" s="100">
        <f>OpCost!$E$26*G$130</f>
        <v>0</v>
      </c>
      <c r="H94" s="100">
        <f>OpCost!$E$26*H$130</f>
        <v>0</v>
      </c>
      <c r="I94" s="100">
        <f>OpCost!$E$26*I$130</f>
        <v>0</v>
      </c>
      <c r="J94" s="100">
        <f>OpCost!$E$26*J$130</f>
        <v>0</v>
      </c>
      <c r="K94" s="100">
        <f>OpCost!$E$26*K$130</f>
        <v>0</v>
      </c>
      <c r="L94" s="100">
        <f>OpCost!$E$26*L$130</f>
        <v>0</v>
      </c>
      <c r="M94" s="100">
        <f>OpCost!$E$26*M$130</f>
        <v>4654.6499999999996</v>
      </c>
      <c r="N94" s="100">
        <f>OpCost!$E$26*N$130</f>
        <v>4504.5</v>
      </c>
      <c r="O94" s="100">
        <f>OpCost!$E$26*O$130</f>
        <v>4654.6499999999996</v>
      </c>
      <c r="P94" s="100">
        <f>OpCost!$E$26*P$130</f>
        <v>4504.5</v>
      </c>
      <c r="Q94" s="100">
        <f>OpCost!$E$26*Q$130</f>
        <v>4654.6499999999996</v>
      </c>
      <c r="R94" s="100">
        <f>OpCost!$E$26*R$130</f>
        <v>4654.6499999999996</v>
      </c>
      <c r="S94" s="100">
        <f>OpCost!$E$26*S$130</f>
        <v>4204.2000000000007</v>
      </c>
      <c r="T94" s="100">
        <f>OpCost!$E$26*T$130</f>
        <v>4654.6499999999996</v>
      </c>
      <c r="U94" s="100">
        <f>OpCost!$E$26*U$130</f>
        <v>4504.5</v>
      </c>
      <c r="V94" s="100">
        <f>OpCost!$E$26*V$130</f>
        <v>4654.6499999999996</v>
      </c>
      <c r="W94" s="100">
        <f>OpCost!$E$26*W$130</f>
        <v>4504.5</v>
      </c>
      <c r="X94" s="100">
        <f>OpCost!$E$26*X$130</f>
        <v>4654.6499999999996</v>
      </c>
      <c r="Y94" s="100">
        <f>OpCost!$E$26*Y$130</f>
        <v>4654.6499999999996</v>
      </c>
      <c r="Z94" s="100">
        <f>OpCost!$E$26*Z$130</f>
        <v>4504.5</v>
      </c>
      <c r="AA94" s="100">
        <f>OpCost!$E$26*AA$130</f>
        <v>4654.6499999999996</v>
      </c>
      <c r="AB94" s="100">
        <f>OpCost!$E$26*AB$130</f>
        <v>4504.5</v>
      </c>
      <c r="AC94" s="100">
        <f>OpCost!$E$26*AC$130</f>
        <v>4654.6499999999996</v>
      </c>
      <c r="AD94" s="100">
        <f>OpCost!$E$26*AD$130</f>
        <v>4654.6499999999996</v>
      </c>
      <c r="AE94" s="100">
        <f>OpCost!$E$26*AE$130</f>
        <v>4204.2000000000007</v>
      </c>
      <c r="AF94" s="100">
        <f>OpCost!$E$26*AF$130</f>
        <v>4654.6499999999996</v>
      </c>
      <c r="AG94" s="100">
        <f>OpCost!$E$26*AG$130</f>
        <v>4504.5</v>
      </c>
      <c r="AH94" s="100">
        <f>OpCost!$E$26*AH$130</f>
        <v>4654.6499999999996</v>
      </c>
      <c r="AI94" s="100">
        <f>OpCost!$E$26*AI$130</f>
        <v>4504.5</v>
      </c>
      <c r="AJ94" s="100">
        <f>OpCost!$E$26*AJ$130</f>
        <v>4654.6499999999996</v>
      </c>
      <c r="AK94" s="100">
        <f>OpCost!$E$26*AK$130</f>
        <v>4654.6499999999996</v>
      </c>
      <c r="AL94" s="100">
        <f>OpCost!$E$26*AL$130</f>
        <v>4504.5</v>
      </c>
      <c r="AM94" s="100">
        <f>OpCost!$E$26*AM$130</f>
        <v>4654.6499999999996</v>
      </c>
      <c r="AN94" s="100">
        <f>OpCost!$E$26*AN$130</f>
        <v>4504.5</v>
      </c>
      <c r="AO94" s="100">
        <f>OpCost!$E$26*AO$130</f>
        <v>4654.6499999999996</v>
      </c>
      <c r="AP94" s="100">
        <f>OpCost!$E$26*AP$130</f>
        <v>4654.6499999999996</v>
      </c>
      <c r="AQ94" s="100">
        <f>OpCost!$E$26*AQ$130</f>
        <v>4204.2000000000007</v>
      </c>
      <c r="AR94" s="100">
        <f>OpCost!$E$26*AR$130</f>
        <v>4654.6499999999996</v>
      </c>
      <c r="AS94" s="100">
        <f>OpCost!$E$26*AS$130</f>
        <v>4504.5</v>
      </c>
      <c r="AT94" s="100">
        <f>OpCost!$E$26*AT$130</f>
        <v>4654.6499999999996</v>
      </c>
      <c r="AU94" s="100">
        <f>OpCost!$E$26*AU$130</f>
        <v>4504.5</v>
      </c>
      <c r="AV94" s="100">
        <f>OpCost!$E$26*AV$130</f>
        <v>4654.6499999999996</v>
      </c>
      <c r="AW94" s="100">
        <f>OpCost!$E$26*AW$130</f>
        <v>4654.6499999999996</v>
      </c>
      <c r="AX94" s="100">
        <f>OpCost!$E$26*AX$130</f>
        <v>4504.5</v>
      </c>
      <c r="AY94" s="100">
        <f>OpCost!$E$26*AY$130</f>
        <v>4654.6499999999996</v>
      </c>
      <c r="AZ94" s="100">
        <f>OpCost!$E$26*AZ$130</f>
        <v>4504.5</v>
      </c>
      <c r="BA94" s="100">
        <f>OpCost!$E$26*BA$130</f>
        <v>4654.6499999999996</v>
      </c>
      <c r="BB94" s="100">
        <f>OpCost!$E$26*BB$130</f>
        <v>4654.6499999999996</v>
      </c>
      <c r="BC94" s="100">
        <f>OpCost!$E$26*BC$130</f>
        <v>4204.2000000000007</v>
      </c>
      <c r="BD94" s="100">
        <f>OpCost!$E$26*BD$130</f>
        <v>4654.6499999999996</v>
      </c>
      <c r="BE94" s="100">
        <f>OpCost!$E$26*BE$130</f>
        <v>4504.5</v>
      </c>
      <c r="BF94" s="100">
        <f>OpCost!$E$26*BF$130</f>
        <v>4654.6499999999996</v>
      </c>
      <c r="BG94" s="100">
        <f>OpCost!$E$26*BG$130</f>
        <v>4504.5</v>
      </c>
      <c r="BH94" s="100">
        <f>OpCost!$E$26*BH$130</f>
        <v>4654.6499999999996</v>
      </c>
      <c r="BI94" s="100">
        <f>OpCost!$E$26*BI$130</f>
        <v>4654.6499999999996</v>
      </c>
      <c r="BJ94" s="100">
        <f>OpCost!$E$26*BJ$130</f>
        <v>4504.5</v>
      </c>
      <c r="BK94" s="100">
        <f>OpCost!$E$26*BK$130</f>
        <v>4654.6499999999996</v>
      </c>
      <c r="BL94" s="100">
        <f>OpCost!$E$26*BL$130</f>
        <v>4504.5</v>
      </c>
      <c r="BM94" s="100">
        <f>OpCost!$E$26*BM$130</f>
        <v>4654.6499999999996</v>
      </c>
      <c r="BN94" s="100">
        <f>OpCost!$E$26*BN$130</f>
        <v>4654.6499999999996</v>
      </c>
      <c r="BO94" s="100">
        <f>OpCost!$E$26*BO$130</f>
        <v>4204.2000000000007</v>
      </c>
      <c r="BP94" s="100">
        <f>OpCost!$E$26*BP$130</f>
        <v>4654.6499999999996</v>
      </c>
      <c r="BQ94" s="100">
        <f>OpCost!$E$26*BQ$130</f>
        <v>4504.5</v>
      </c>
      <c r="BR94" s="100">
        <f>OpCost!$E$26*BR$130</f>
        <v>4654.6499999999996</v>
      </c>
      <c r="BS94" s="100">
        <f>OpCost!$E$26*BS$130</f>
        <v>4504.5</v>
      </c>
      <c r="BT94" s="100">
        <f>OpCost!$E$26*BT$130</f>
        <v>4654.6499999999996</v>
      </c>
      <c r="BU94" s="100">
        <f>OpCost!$E$26*BU$130</f>
        <v>4654.6499999999996</v>
      </c>
      <c r="BV94" s="100">
        <f>OpCost!$E$26*BV$130</f>
        <v>4504.5</v>
      </c>
      <c r="BW94" s="100">
        <f>OpCost!$E$26*BW$130</f>
        <v>4654.6499999999996</v>
      </c>
      <c r="BX94" s="100">
        <f>OpCost!$E$26*BX$130</f>
        <v>4504.5</v>
      </c>
      <c r="BY94" s="100">
        <f>OpCost!$E$26*BY$130</f>
        <v>4654.6499999999996</v>
      </c>
      <c r="BZ94" s="100">
        <f>OpCost!$E$26*BZ$130</f>
        <v>4654.6499999999996</v>
      </c>
      <c r="CA94" s="100">
        <f>OpCost!$E$26*CA$130</f>
        <v>4204.2000000000007</v>
      </c>
      <c r="CB94" s="100">
        <f>OpCost!$E$26*CB$130</f>
        <v>4654.6499999999996</v>
      </c>
      <c r="CC94" s="100">
        <f>OpCost!$E$26*CC$130</f>
        <v>4504.5</v>
      </c>
      <c r="CD94" s="100">
        <f>OpCost!$E$26*CD$130</f>
        <v>4654.6499999999996</v>
      </c>
      <c r="CE94" s="100">
        <f>OpCost!$E$26*CE$130</f>
        <v>4504.5</v>
      </c>
      <c r="CF94" s="100">
        <f>OpCost!$E$26*CF$130</f>
        <v>4654.6499999999996</v>
      </c>
      <c r="CG94" s="100">
        <f>OpCost!$E$26*CG$130</f>
        <v>4654.6499999999996</v>
      </c>
      <c r="CH94" s="100">
        <f>OpCost!$E$26*CH$130</f>
        <v>4504.5</v>
      </c>
      <c r="CI94" s="100">
        <f>OpCost!$E$26*CI$130</f>
        <v>4654.6499999999996</v>
      </c>
      <c r="CJ94" s="100">
        <f>OpCost!$E$26*CJ$130</f>
        <v>4504.5</v>
      </c>
      <c r="CK94" s="100">
        <f>OpCost!$E$26*CK$130</f>
        <v>4654.6499999999996</v>
      </c>
      <c r="CL94" s="100">
        <f>OpCost!$E$26*CL$130</f>
        <v>4654.6499999999996</v>
      </c>
      <c r="CM94" s="100">
        <f>OpCost!$E$26*CM$130</f>
        <v>4204.2000000000007</v>
      </c>
      <c r="CN94" s="100">
        <f>OpCost!$E$26*CN$130</f>
        <v>4654.6499999999996</v>
      </c>
      <c r="CO94" s="100">
        <f>OpCost!$E$26*CO$130</f>
        <v>4504.5</v>
      </c>
      <c r="CP94" s="100">
        <f>OpCost!$E$26*CP$130</f>
        <v>4654.6499999999996</v>
      </c>
      <c r="CQ94" s="100">
        <f>OpCost!$E$26*CQ$130</f>
        <v>4504.5</v>
      </c>
      <c r="CR94" s="100">
        <f>OpCost!$E$26*CR$130</f>
        <v>4654.6499999999996</v>
      </c>
      <c r="CS94" s="100">
        <f>OpCost!$E$26*CS$130</f>
        <v>4654.6499999999996</v>
      </c>
      <c r="CT94" s="100">
        <f>OpCost!$E$26*CT$130</f>
        <v>4504.5</v>
      </c>
      <c r="CU94" s="100">
        <f>OpCost!$E$26*CU$130</f>
        <v>4654.6499999999996</v>
      </c>
      <c r="CV94" s="100">
        <f>OpCost!$E$26*CV$130</f>
        <v>4504.5</v>
      </c>
      <c r="CW94" s="100">
        <f>OpCost!$E$26*CW$130</f>
        <v>4654.6499999999996</v>
      </c>
      <c r="CX94" s="100">
        <f>OpCost!$E$26*CX$130</f>
        <v>4654.6499999999996</v>
      </c>
      <c r="CY94" s="100">
        <f>OpCost!$E$26*CY$130</f>
        <v>4204.2000000000007</v>
      </c>
      <c r="CZ94" s="100">
        <f>OpCost!$E$26*CZ$130</f>
        <v>4654.6499999999996</v>
      </c>
      <c r="DA94" s="100">
        <f>OpCost!$E$26*DA$130</f>
        <v>4504.5</v>
      </c>
      <c r="DB94" s="100">
        <f>OpCost!$E$26*DB$130</f>
        <v>4654.6499999999996</v>
      </c>
      <c r="DC94" s="100">
        <f>OpCost!$E$26*DC$130</f>
        <v>4504.5</v>
      </c>
      <c r="DD94" s="100">
        <f>OpCost!$E$26*DD$130</f>
        <v>4654.6499999999996</v>
      </c>
      <c r="DE94" s="100">
        <f>OpCost!$E$26*DE$130</f>
        <v>4654.6499999999996</v>
      </c>
      <c r="DF94" s="100">
        <f>OpCost!$E$26*DF$130</f>
        <v>4504.5</v>
      </c>
      <c r="DG94" s="100">
        <f>OpCost!$E$26*DG$130</f>
        <v>4654.6499999999996</v>
      </c>
      <c r="DH94" s="100">
        <f>OpCost!$E$26*DH$130</f>
        <v>4504.5</v>
      </c>
      <c r="DI94" s="100">
        <f>OpCost!$E$26*DI$130</f>
        <v>4654.6499999999996</v>
      </c>
      <c r="DJ94" s="100">
        <f>OpCost!$E$26*DJ$130</f>
        <v>4654.6499999999996</v>
      </c>
      <c r="DK94" s="100">
        <f>OpCost!$E$26*DK$130</f>
        <v>4204.2000000000007</v>
      </c>
      <c r="DL94" s="100">
        <f>OpCost!$E$26*DL$130</f>
        <v>4654.6499999999996</v>
      </c>
      <c r="DM94" s="100">
        <f>OpCost!$E$26*DM$130</f>
        <v>4504.5</v>
      </c>
      <c r="DN94" s="100">
        <f>OpCost!$E$26*DN$130</f>
        <v>4654.6499999999996</v>
      </c>
      <c r="DO94" s="100">
        <f>OpCost!$E$26*DO$130</f>
        <v>4504.5</v>
      </c>
      <c r="DP94" s="100">
        <f>OpCost!$E$26*DP$130</f>
        <v>4654.6499999999996</v>
      </c>
      <c r="DQ94" s="100">
        <f>OpCost!$E$26*DQ$130</f>
        <v>4654.6499999999996</v>
      </c>
      <c r="DR94" s="100">
        <f>OpCost!$E$26*DR$130</f>
        <v>4504.5</v>
      </c>
      <c r="DS94" s="100">
        <f>OpCost!$E$26*DS$130</f>
        <v>4654.6499999999996</v>
      </c>
      <c r="DT94" s="100">
        <f>OpCost!$E$26*DT$130</f>
        <v>4504.5</v>
      </c>
      <c r="DU94" s="100">
        <f>OpCost!$E$26*DU$130</f>
        <v>4654.6499999999996</v>
      </c>
      <c r="DV94" s="100">
        <f>OpCost!$E$26*DV$130</f>
        <v>4654.6499999999996</v>
      </c>
      <c r="DW94" s="100">
        <f>OpCost!$E$26*DW$130</f>
        <v>4204.2000000000007</v>
      </c>
      <c r="DX94" s="100">
        <f>OpCost!$E$26*DX$130</f>
        <v>4654.6499999999996</v>
      </c>
      <c r="DY94" s="100">
        <f>OpCost!$E$26*DY$130</f>
        <v>4504.5</v>
      </c>
      <c r="DZ94" s="100">
        <f>OpCost!$E$26*DZ$130</f>
        <v>4654.6499999999996</v>
      </c>
      <c r="EA94" s="100">
        <f>OpCost!$E$26*EA$130</f>
        <v>4504.5</v>
      </c>
      <c r="EB94" s="100">
        <f>OpCost!$E$26*EB$130</f>
        <v>4654.6499999999996</v>
      </c>
      <c r="EC94" s="100">
        <f>OpCost!$E$26*EC$130</f>
        <v>4654.6499999999996</v>
      </c>
      <c r="ED94" s="100">
        <f>OpCost!$E$26*ED$130</f>
        <v>4504.5</v>
      </c>
      <c r="EE94" s="100">
        <f>OpCost!$E$26*EE$130</f>
        <v>4654.6499999999996</v>
      </c>
      <c r="EF94" s="100">
        <f>OpCost!$E$26*EF$130</f>
        <v>4504.5</v>
      </c>
      <c r="EG94" s="100">
        <f>OpCost!$E$26*EG$130</f>
        <v>4654.6499999999996</v>
      </c>
      <c r="EH94" s="100">
        <f>OpCost!$E$26*EH$130</f>
        <v>4654.6499999999996</v>
      </c>
      <c r="EI94" s="100">
        <f>OpCost!$E$26*EI$130</f>
        <v>4204.2000000000007</v>
      </c>
      <c r="EJ94" s="100">
        <f>OpCost!$E$26*EJ$130</f>
        <v>4654.6499999999996</v>
      </c>
      <c r="EK94" s="100">
        <f>OpCost!$E$26*EK$130</f>
        <v>4504.5</v>
      </c>
      <c r="EL94" s="100">
        <f>OpCost!$E$26*EL$130</f>
        <v>4654.6499999999996</v>
      </c>
      <c r="EM94" s="100">
        <f>OpCost!$E$26*EM$130</f>
        <v>4504.5</v>
      </c>
      <c r="EN94" s="100">
        <f>OpCost!$E$26*EN$130</f>
        <v>4654.6499999999996</v>
      </c>
      <c r="EO94" s="100">
        <f>OpCost!$E$26*EO$130</f>
        <v>4654.6499999999996</v>
      </c>
      <c r="EP94" s="100">
        <f>OpCost!$E$26*EP$130</f>
        <v>4504.5</v>
      </c>
      <c r="EQ94" s="100">
        <f>OpCost!$E$26*EQ$130</f>
        <v>4654.6499999999996</v>
      </c>
      <c r="ER94" s="100">
        <f>OpCost!$E$26*ER$130</f>
        <v>4504.5</v>
      </c>
      <c r="ES94" s="100">
        <f>OpCost!$E$26*ES$130</f>
        <v>4654.6499999999996</v>
      </c>
      <c r="ET94" s="100">
        <f>OpCost!$E$26*ET$130</f>
        <v>4654.6499999999996</v>
      </c>
      <c r="EU94" s="100">
        <f>OpCost!$E$26*EU$130</f>
        <v>4204.2000000000007</v>
      </c>
      <c r="EV94" s="100">
        <f>OpCost!$E$26*EV$130</f>
        <v>4654.6499999999996</v>
      </c>
      <c r="EW94" s="100">
        <f>OpCost!$E$26*EW$130</f>
        <v>4504.5</v>
      </c>
      <c r="EX94" s="100">
        <f>OpCost!$E$26*EX$130</f>
        <v>4654.6499999999996</v>
      </c>
      <c r="EY94" s="100">
        <f>OpCost!$E$26*EY$130</f>
        <v>4504.5</v>
      </c>
      <c r="EZ94" s="100">
        <f>OpCost!$E$26*EZ$130</f>
        <v>4654.6499999999996</v>
      </c>
      <c r="FA94" s="100">
        <f>OpCost!$E$26*FA$130</f>
        <v>4654.6499999999996</v>
      </c>
      <c r="FB94" s="100">
        <f>OpCost!$E$26*FB$130</f>
        <v>4504.5</v>
      </c>
      <c r="FC94" s="100">
        <f>OpCost!$E$26*FC$130</f>
        <v>4654.6499999999996</v>
      </c>
      <c r="FD94" s="100">
        <f>OpCost!$E$26*FD$130</f>
        <v>4504.5</v>
      </c>
      <c r="FE94" s="100">
        <f>OpCost!$E$26*FE$130</f>
        <v>4654.6499999999996</v>
      </c>
      <c r="FF94" s="100">
        <f>OpCost!$E$26*FF$130</f>
        <v>4654.6499999999996</v>
      </c>
      <c r="FG94" s="100">
        <f>OpCost!$E$26*FG$130</f>
        <v>4204.2000000000007</v>
      </c>
      <c r="FH94" s="100">
        <f>OpCost!$E$26*FH$130</f>
        <v>4654.6499999999996</v>
      </c>
      <c r="FI94" s="100">
        <f>OpCost!$E$26*FI$130</f>
        <v>4504.5</v>
      </c>
      <c r="FJ94" s="100">
        <f>OpCost!$E$26*FJ$130</f>
        <v>4654.6499999999996</v>
      </c>
      <c r="FK94" s="100">
        <f>OpCost!$E$26*FK$130</f>
        <v>4504.5</v>
      </c>
      <c r="FL94" s="100">
        <f>OpCost!$E$26*FL$130</f>
        <v>4654.6499999999996</v>
      </c>
      <c r="FM94" s="100">
        <f>OpCost!$E$26*FM$130</f>
        <v>4654.6499999999996</v>
      </c>
      <c r="FN94" s="100">
        <f>OpCost!$E$26*FN$130</f>
        <v>4504.5</v>
      </c>
      <c r="FO94" s="100">
        <f>OpCost!$E$26*FO$130</f>
        <v>4654.6499999999996</v>
      </c>
      <c r="FP94" s="100">
        <f>OpCost!$E$26*FP$130</f>
        <v>4504.5</v>
      </c>
      <c r="FQ94" s="100">
        <f>OpCost!$E$26*FQ$130</f>
        <v>4654.6499999999996</v>
      </c>
      <c r="FR94" s="100">
        <f>OpCost!$E$26*FR$130</f>
        <v>4654.6499999999996</v>
      </c>
      <c r="FS94" s="100">
        <f>OpCost!$E$26*FS$130</f>
        <v>4204.2000000000007</v>
      </c>
      <c r="FT94" s="100">
        <f>OpCost!$E$26*FT$130</f>
        <v>4654.6499999999996</v>
      </c>
      <c r="FU94" s="100">
        <f>OpCost!$E$26*FU$130</f>
        <v>4504.5</v>
      </c>
      <c r="FV94" s="100">
        <f>OpCost!$E$26*FV$130</f>
        <v>4654.6499999999996</v>
      </c>
      <c r="FW94" s="100">
        <f>OpCost!$E$26*FW$130</f>
        <v>4504.5</v>
      </c>
      <c r="FX94" s="100">
        <f>OpCost!$E$26*FX$130</f>
        <v>4654.6499999999996</v>
      </c>
      <c r="FY94" s="100">
        <f>OpCost!$E$26*FY$130</f>
        <v>4654.6499999999996</v>
      </c>
      <c r="FZ94" s="100">
        <f>OpCost!$E$26*FZ$130</f>
        <v>4504.5</v>
      </c>
      <c r="GA94" s="100">
        <f>OpCost!$E$26*GA$130</f>
        <v>4654.6499999999996</v>
      </c>
      <c r="GB94" s="100">
        <f>OpCost!$E$26*GB$130</f>
        <v>4504.5</v>
      </c>
      <c r="GC94" s="100">
        <f>OpCost!$E$26*GC$130</f>
        <v>4654.6499999999996</v>
      </c>
    </row>
    <row r="95" spans="1:185">
      <c r="A95" s="10"/>
      <c r="B95" s="80" t="s">
        <v>127</v>
      </c>
      <c r="C95" s="80"/>
      <c r="D95" s="80"/>
      <c r="E95" s="82">
        <f t="shared" si="107"/>
        <v>113470.28000000012</v>
      </c>
      <c r="F95" s="100">
        <f>OpCost!$E$42*F$130</f>
        <v>0</v>
      </c>
      <c r="G95" s="100">
        <f>OpCost!$E$42*G$130</f>
        <v>0</v>
      </c>
      <c r="H95" s="100">
        <f>OpCost!$E$42*H$130</f>
        <v>0</v>
      </c>
      <c r="I95" s="100">
        <f>OpCost!$E$42*I$130</f>
        <v>0</v>
      </c>
      <c r="J95" s="100">
        <f>OpCost!$E$42*J$130</f>
        <v>0</v>
      </c>
      <c r="K95" s="100">
        <f>OpCost!$E$42*K$130</f>
        <v>0</v>
      </c>
      <c r="L95" s="100">
        <f>OpCost!$E$42*L$130</f>
        <v>0</v>
      </c>
      <c r="M95" s="100">
        <f>OpCost!$E$42*M$130</f>
        <v>668.36</v>
      </c>
      <c r="N95" s="100">
        <f>OpCost!$E$42*N$130</f>
        <v>646.80000000000007</v>
      </c>
      <c r="O95" s="100">
        <f>OpCost!$E$42*O$130</f>
        <v>668.36</v>
      </c>
      <c r="P95" s="100">
        <f>OpCost!$E$42*P$130</f>
        <v>646.80000000000007</v>
      </c>
      <c r="Q95" s="100">
        <f>OpCost!$E$42*Q$130</f>
        <v>668.36</v>
      </c>
      <c r="R95" s="100">
        <f>OpCost!$E$42*R$130</f>
        <v>668.36</v>
      </c>
      <c r="S95" s="100">
        <f>OpCost!$E$42*S$130</f>
        <v>603.68000000000018</v>
      </c>
      <c r="T95" s="100">
        <f>OpCost!$E$42*T$130</f>
        <v>668.36</v>
      </c>
      <c r="U95" s="100">
        <f>OpCost!$E$42*U$130</f>
        <v>646.80000000000007</v>
      </c>
      <c r="V95" s="100">
        <f>OpCost!$E$42*V$130</f>
        <v>668.36</v>
      </c>
      <c r="W95" s="100">
        <f>OpCost!$E$42*W$130</f>
        <v>646.80000000000007</v>
      </c>
      <c r="X95" s="100">
        <f>OpCost!$E$42*X$130</f>
        <v>668.36</v>
      </c>
      <c r="Y95" s="100">
        <f>OpCost!$E$42*Y$130</f>
        <v>668.36</v>
      </c>
      <c r="Z95" s="100">
        <f>OpCost!$E$42*Z$130</f>
        <v>646.80000000000007</v>
      </c>
      <c r="AA95" s="100">
        <f>OpCost!$E$42*AA$130</f>
        <v>668.36</v>
      </c>
      <c r="AB95" s="100">
        <f>OpCost!$E$42*AB$130</f>
        <v>646.80000000000007</v>
      </c>
      <c r="AC95" s="100">
        <f>OpCost!$E$42*AC$130</f>
        <v>668.36</v>
      </c>
      <c r="AD95" s="100">
        <f>OpCost!$E$42*AD$130</f>
        <v>668.36</v>
      </c>
      <c r="AE95" s="100">
        <f>OpCost!$E$42*AE$130</f>
        <v>603.68000000000018</v>
      </c>
      <c r="AF95" s="100">
        <f>OpCost!$E$42*AF$130</f>
        <v>668.36</v>
      </c>
      <c r="AG95" s="100">
        <f>OpCost!$E$42*AG$130</f>
        <v>646.80000000000007</v>
      </c>
      <c r="AH95" s="100">
        <f>OpCost!$E$42*AH$130</f>
        <v>668.36</v>
      </c>
      <c r="AI95" s="100">
        <f>OpCost!$E$42*AI$130</f>
        <v>646.80000000000007</v>
      </c>
      <c r="AJ95" s="100">
        <f>OpCost!$E$42*AJ$130</f>
        <v>668.36</v>
      </c>
      <c r="AK95" s="100">
        <f>OpCost!$E$42*AK$130</f>
        <v>668.36</v>
      </c>
      <c r="AL95" s="100">
        <f>OpCost!$E$42*AL$130</f>
        <v>646.80000000000007</v>
      </c>
      <c r="AM95" s="100">
        <f>OpCost!$E$42*AM$130</f>
        <v>668.36</v>
      </c>
      <c r="AN95" s="100">
        <f>OpCost!$E$42*AN$130</f>
        <v>646.80000000000007</v>
      </c>
      <c r="AO95" s="100">
        <f>OpCost!$E$42*AO$130</f>
        <v>668.36</v>
      </c>
      <c r="AP95" s="100">
        <f>OpCost!$E$42*AP$130</f>
        <v>668.36</v>
      </c>
      <c r="AQ95" s="100">
        <f>OpCost!$E$42*AQ$130</f>
        <v>603.68000000000018</v>
      </c>
      <c r="AR95" s="100">
        <f>OpCost!$E$42*AR$130</f>
        <v>668.36</v>
      </c>
      <c r="AS95" s="100">
        <f>OpCost!$E$42*AS$130</f>
        <v>646.80000000000007</v>
      </c>
      <c r="AT95" s="100">
        <f>OpCost!$E$42*AT$130</f>
        <v>668.36</v>
      </c>
      <c r="AU95" s="100">
        <f>OpCost!$E$42*AU$130</f>
        <v>646.80000000000007</v>
      </c>
      <c r="AV95" s="100">
        <f>OpCost!$E$42*AV$130</f>
        <v>668.36</v>
      </c>
      <c r="AW95" s="100">
        <f>OpCost!$E$42*AW$130</f>
        <v>668.36</v>
      </c>
      <c r="AX95" s="100">
        <f>OpCost!$E$42*AX$130</f>
        <v>646.80000000000007</v>
      </c>
      <c r="AY95" s="100">
        <f>OpCost!$E$42*AY$130</f>
        <v>668.36</v>
      </c>
      <c r="AZ95" s="100">
        <f>OpCost!$E$42*AZ$130</f>
        <v>646.80000000000007</v>
      </c>
      <c r="BA95" s="100">
        <f>OpCost!$E$42*BA$130</f>
        <v>668.36</v>
      </c>
      <c r="BB95" s="100">
        <f>OpCost!$E$42*BB$130</f>
        <v>668.36</v>
      </c>
      <c r="BC95" s="100">
        <f>OpCost!$E$42*BC$130</f>
        <v>603.68000000000018</v>
      </c>
      <c r="BD95" s="100">
        <f>OpCost!$E$42*BD$130</f>
        <v>668.36</v>
      </c>
      <c r="BE95" s="100">
        <f>OpCost!$E$42*BE$130</f>
        <v>646.80000000000007</v>
      </c>
      <c r="BF95" s="100">
        <f>OpCost!$E$42*BF$130</f>
        <v>668.36</v>
      </c>
      <c r="BG95" s="100">
        <f>OpCost!$E$42*BG$130</f>
        <v>646.80000000000007</v>
      </c>
      <c r="BH95" s="100">
        <f>OpCost!$E$42*BH$130</f>
        <v>668.36</v>
      </c>
      <c r="BI95" s="100">
        <f>OpCost!$E$42*BI$130</f>
        <v>668.36</v>
      </c>
      <c r="BJ95" s="100">
        <f>OpCost!$E$42*BJ$130</f>
        <v>646.80000000000007</v>
      </c>
      <c r="BK95" s="100">
        <f>OpCost!$E$42*BK$130</f>
        <v>668.36</v>
      </c>
      <c r="BL95" s="100">
        <f>OpCost!$E$42*BL$130</f>
        <v>646.80000000000007</v>
      </c>
      <c r="BM95" s="100">
        <f>OpCost!$E$42*BM$130</f>
        <v>668.36</v>
      </c>
      <c r="BN95" s="100">
        <f>OpCost!$E$42*BN$130</f>
        <v>668.36</v>
      </c>
      <c r="BO95" s="100">
        <f>OpCost!$E$42*BO$130</f>
        <v>603.68000000000018</v>
      </c>
      <c r="BP95" s="100">
        <f>OpCost!$E$42*BP$130</f>
        <v>668.36</v>
      </c>
      <c r="BQ95" s="100">
        <f>OpCost!$E$42*BQ$130</f>
        <v>646.80000000000007</v>
      </c>
      <c r="BR95" s="100">
        <f>OpCost!$E$42*BR$130</f>
        <v>668.36</v>
      </c>
      <c r="BS95" s="100">
        <f>OpCost!$E$42*BS$130</f>
        <v>646.80000000000007</v>
      </c>
      <c r="BT95" s="100">
        <f>OpCost!$E$42*BT$130</f>
        <v>668.36</v>
      </c>
      <c r="BU95" s="100">
        <f>OpCost!$E$42*BU$130</f>
        <v>668.36</v>
      </c>
      <c r="BV95" s="100">
        <f>OpCost!$E$42*BV$130</f>
        <v>646.80000000000007</v>
      </c>
      <c r="BW95" s="100">
        <f>OpCost!$E$42*BW$130</f>
        <v>668.36</v>
      </c>
      <c r="BX95" s="100">
        <f>OpCost!$E$42*BX$130</f>
        <v>646.80000000000007</v>
      </c>
      <c r="BY95" s="100">
        <f>OpCost!$E$42*BY$130</f>
        <v>668.36</v>
      </c>
      <c r="BZ95" s="100">
        <f>OpCost!$E$42*BZ$130</f>
        <v>668.36</v>
      </c>
      <c r="CA95" s="100">
        <f>OpCost!$E$42*CA$130</f>
        <v>603.68000000000018</v>
      </c>
      <c r="CB95" s="100">
        <f>OpCost!$E$42*CB$130</f>
        <v>668.36</v>
      </c>
      <c r="CC95" s="100">
        <f>OpCost!$E$42*CC$130</f>
        <v>646.80000000000007</v>
      </c>
      <c r="CD95" s="100">
        <f>OpCost!$E$42*CD$130</f>
        <v>668.36</v>
      </c>
      <c r="CE95" s="100">
        <f>OpCost!$E$42*CE$130</f>
        <v>646.80000000000007</v>
      </c>
      <c r="CF95" s="100">
        <f>OpCost!$E$42*CF$130</f>
        <v>668.36</v>
      </c>
      <c r="CG95" s="100">
        <f>OpCost!$E$42*CG$130</f>
        <v>668.36</v>
      </c>
      <c r="CH95" s="100">
        <f>OpCost!$E$42*CH$130</f>
        <v>646.80000000000007</v>
      </c>
      <c r="CI95" s="100">
        <f>OpCost!$E$42*CI$130</f>
        <v>668.36</v>
      </c>
      <c r="CJ95" s="100">
        <f>OpCost!$E$42*CJ$130</f>
        <v>646.80000000000007</v>
      </c>
      <c r="CK95" s="100">
        <f>OpCost!$E$42*CK$130</f>
        <v>668.36</v>
      </c>
      <c r="CL95" s="100">
        <f>OpCost!$E$42*CL$130</f>
        <v>668.36</v>
      </c>
      <c r="CM95" s="100">
        <f>OpCost!$E$42*CM$130</f>
        <v>603.68000000000018</v>
      </c>
      <c r="CN95" s="100">
        <f>OpCost!$E$42*CN$130</f>
        <v>668.36</v>
      </c>
      <c r="CO95" s="100">
        <f>OpCost!$E$42*CO$130</f>
        <v>646.80000000000007</v>
      </c>
      <c r="CP95" s="100">
        <f>OpCost!$E$42*CP$130</f>
        <v>668.36</v>
      </c>
      <c r="CQ95" s="100">
        <f>OpCost!$E$42*CQ$130</f>
        <v>646.80000000000007</v>
      </c>
      <c r="CR95" s="100">
        <f>OpCost!$E$42*CR$130</f>
        <v>668.36</v>
      </c>
      <c r="CS95" s="100">
        <f>OpCost!$E$42*CS$130</f>
        <v>668.36</v>
      </c>
      <c r="CT95" s="100">
        <f>OpCost!$E$42*CT$130</f>
        <v>646.80000000000007</v>
      </c>
      <c r="CU95" s="100">
        <f>OpCost!$E$42*CU$130</f>
        <v>668.36</v>
      </c>
      <c r="CV95" s="100">
        <f>OpCost!$E$42*CV$130</f>
        <v>646.80000000000007</v>
      </c>
      <c r="CW95" s="100">
        <f>OpCost!$E$42*CW$130</f>
        <v>668.36</v>
      </c>
      <c r="CX95" s="100">
        <f>OpCost!$E$42*CX$130</f>
        <v>668.36</v>
      </c>
      <c r="CY95" s="100">
        <f>OpCost!$E$42*CY$130</f>
        <v>603.68000000000018</v>
      </c>
      <c r="CZ95" s="100">
        <f>OpCost!$E$42*CZ$130</f>
        <v>668.36</v>
      </c>
      <c r="DA95" s="100">
        <f>OpCost!$E$42*DA$130</f>
        <v>646.80000000000007</v>
      </c>
      <c r="DB95" s="100">
        <f>OpCost!$E$42*DB$130</f>
        <v>668.36</v>
      </c>
      <c r="DC95" s="100">
        <f>OpCost!$E$42*DC$130</f>
        <v>646.80000000000007</v>
      </c>
      <c r="DD95" s="100">
        <f>OpCost!$E$42*DD$130</f>
        <v>668.36</v>
      </c>
      <c r="DE95" s="100">
        <f>OpCost!$E$42*DE$130</f>
        <v>668.36</v>
      </c>
      <c r="DF95" s="100">
        <f>OpCost!$E$42*DF$130</f>
        <v>646.80000000000007</v>
      </c>
      <c r="DG95" s="100">
        <f>OpCost!$E$42*DG$130</f>
        <v>668.36</v>
      </c>
      <c r="DH95" s="100">
        <f>OpCost!$E$42*DH$130</f>
        <v>646.80000000000007</v>
      </c>
      <c r="DI95" s="100">
        <f>OpCost!$E$42*DI$130</f>
        <v>668.36</v>
      </c>
      <c r="DJ95" s="100">
        <f>OpCost!$E$42*DJ$130</f>
        <v>668.36</v>
      </c>
      <c r="DK95" s="100">
        <f>OpCost!$E$42*DK$130</f>
        <v>603.68000000000018</v>
      </c>
      <c r="DL95" s="100">
        <f>OpCost!$E$42*DL$130</f>
        <v>668.36</v>
      </c>
      <c r="DM95" s="100">
        <f>OpCost!$E$42*DM$130</f>
        <v>646.80000000000007</v>
      </c>
      <c r="DN95" s="100">
        <f>OpCost!$E$42*DN$130</f>
        <v>668.36</v>
      </c>
      <c r="DO95" s="100">
        <f>OpCost!$E$42*DO$130</f>
        <v>646.80000000000007</v>
      </c>
      <c r="DP95" s="100">
        <f>OpCost!$E$42*DP$130</f>
        <v>668.36</v>
      </c>
      <c r="DQ95" s="100">
        <f>OpCost!$E$42*DQ$130</f>
        <v>668.36</v>
      </c>
      <c r="DR95" s="100">
        <f>OpCost!$E$42*DR$130</f>
        <v>646.80000000000007</v>
      </c>
      <c r="DS95" s="100">
        <f>OpCost!$E$42*DS$130</f>
        <v>668.36</v>
      </c>
      <c r="DT95" s="100">
        <f>OpCost!$E$42*DT$130</f>
        <v>646.80000000000007</v>
      </c>
      <c r="DU95" s="100">
        <f>OpCost!$E$42*DU$130</f>
        <v>668.36</v>
      </c>
      <c r="DV95" s="100">
        <f>OpCost!$E$42*DV$130</f>
        <v>668.36</v>
      </c>
      <c r="DW95" s="100">
        <f>OpCost!$E$42*DW$130</f>
        <v>603.68000000000018</v>
      </c>
      <c r="DX95" s="100">
        <f>OpCost!$E$42*DX$130</f>
        <v>668.36</v>
      </c>
      <c r="DY95" s="100">
        <f>OpCost!$E$42*DY$130</f>
        <v>646.80000000000007</v>
      </c>
      <c r="DZ95" s="100">
        <f>OpCost!$E$42*DZ$130</f>
        <v>668.36</v>
      </c>
      <c r="EA95" s="100">
        <f>OpCost!$E$42*EA$130</f>
        <v>646.80000000000007</v>
      </c>
      <c r="EB95" s="100">
        <f>OpCost!$E$42*EB$130</f>
        <v>668.36</v>
      </c>
      <c r="EC95" s="100">
        <f>OpCost!$E$42*EC$130</f>
        <v>668.36</v>
      </c>
      <c r="ED95" s="100">
        <f>OpCost!$E$42*ED$130</f>
        <v>646.80000000000007</v>
      </c>
      <c r="EE95" s="100">
        <f>OpCost!$E$42*EE$130</f>
        <v>668.36</v>
      </c>
      <c r="EF95" s="100">
        <f>OpCost!$E$42*EF$130</f>
        <v>646.80000000000007</v>
      </c>
      <c r="EG95" s="100">
        <f>OpCost!$E$42*EG$130</f>
        <v>668.36</v>
      </c>
      <c r="EH95" s="100">
        <f>OpCost!$E$42*EH$130</f>
        <v>668.36</v>
      </c>
      <c r="EI95" s="100">
        <f>OpCost!$E$42*EI$130</f>
        <v>603.68000000000018</v>
      </c>
      <c r="EJ95" s="100">
        <f>OpCost!$E$42*EJ$130</f>
        <v>668.36</v>
      </c>
      <c r="EK95" s="100">
        <f>OpCost!$E$42*EK$130</f>
        <v>646.80000000000007</v>
      </c>
      <c r="EL95" s="100">
        <f>OpCost!$E$42*EL$130</f>
        <v>668.36</v>
      </c>
      <c r="EM95" s="100">
        <f>OpCost!$E$42*EM$130</f>
        <v>646.80000000000007</v>
      </c>
      <c r="EN95" s="100">
        <f>OpCost!$E$42*EN$130</f>
        <v>668.36</v>
      </c>
      <c r="EO95" s="100">
        <f>OpCost!$E$42*EO$130</f>
        <v>668.36</v>
      </c>
      <c r="EP95" s="100">
        <f>OpCost!$E$42*EP$130</f>
        <v>646.80000000000007</v>
      </c>
      <c r="EQ95" s="100">
        <f>OpCost!$E$42*EQ$130</f>
        <v>668.36</v>
      </c>
      <c r="ER95" s="100">
        <f>OpCost!$E$42*ER$130</f>
        <v>646.80000000000007</v>
      </c>
      <c r="ES95" s="100">
        <f>OpCost!$E$42*ES$130</f>
        <v>668.36</v>
      </c>
      <c r="ET95" s="100">
        <f>OpCost!$E$42*ET$130</f>
        <v>668.36</v>
      </c>
      <c r="EU95" s="100">
        <f>OpCost!$E$42*EU$130</f>
        <v>603.68000000000018</v>
      </c>
      <c r="EV95" s="100">
        <f>OpCost!$E$42*EV$130</f>
        <v>668.36</v>
      </c>
      <c r="EW95" s="100">
        <f>OpCost!$E$42*EW$130</f>
        <v>646.80000000000007</v>
      </c>
      <c r="EX95" s="100">
        <f>OpCost!$E$42*EX$130</f>
        <v>668.36</v>
      </c>
      <c r="EY95" s="100">
        <f>OpCost!$E$42*EY$130</f>
        <v>646.80000000000007</v>
      </c>
      <c r="EZ95" s="100">
        <f>OpCost!$E$42*EZ$130</f>
        <v>668.36</v>
      </c>
      <c r="FA95" s="100">
        <f>OpCost!$E$42*FA$130</f>
        <v>668.36</v>
      </c>
      <c r="FB95" s="100">
        <f>OpCost!$E$42*FB$130</f>
        <v>646.80000000000007</v>
      </c>
      <c r="FC95" s="100">
        <f>OpCost!$E$42*FC$130</f>
        <v>668.36</v>
      </c>
      <c r="FD95" s="100">
        <f>OpCost!$E$42*FD$130</f>
        <v>646.80000000000007</v>
      </c>
      <c r="FE95" s="100">
        <f>OpCost!$E$42*FE$130</f>
        <v>668.36</v>
      </c>
      <c r="FF95" s="100">
        <f>OpCost!$E$42*FF$130</f>
        <v>668.36</v>
      </c>
      <c r="FG95" s="100">
        <f>OpCost!$E$42*FG$130</f>
        <v>603.68000000000018</v>
      </c>
      <c r="FH95" s="100">
        <f>OpCost!$E$42*FH$130</f>
        <v>668.36</v>
      </c>
      <c r="FI95" s="100">
        <f>OpCost!$E$42*FI$130</f>
        <v>646.80000000000007</v>
      </c>
      <c r="FJ95" s="100">
        <f>OpCost!$E$42*FJ$130</f>
        <v>668.36</v>
      </c>
      <c r="FK95" s="100">
        <f>OpCost!$E$42*FK$130</f>
        <v>646.80000000000007</v>
      </c>
      <c r="FL95" s="100">
        <f>OpCost!$E$42*FL$130</f>
        <v>668.36</v>
      </c>
      <c r="FM95" s="100">
        <f>OpCost!$E$42*FM$130</f>
        <v>668.36</v>
      </c>
      <c r="FN95" s="100">
        <f>OpCost!$E$42*FN$130</f>
        <v>646.80000000000007</v>
      </c>
      <c r="FO95" s="100">
        <f>OpCost!$E$42*FO$130</f>
        <v>668.36</v>
      </c>
      <c r="FP95" s="100">
        <f>OpCost!$E$42*FP$130</f>
        <v>646.80000000000007</v>
      </c>
      <c r="FQ95" s="100">
        <f>OpCost!$E$42*FQ$130</f>
        <v>668.36</v>
      </c>
      <c r="FR95" s="100">
        <f>OpCost!$E$42*FR$130</f>
        <v>668.36</v>
      </c>
      <c r="FS95" s="100">
        <f>OpCost!$E$42*FS$130</f>
        <v>603.68000000000018</v>
      </c>
      <c r="FT95" s="100">
        <f>OpCost!$E$42*FT$130</f>
        <v>668.36</v>
      </c>
      <c r="FU95" s="100">
        <f>OpCost!$E$42*FU$130</f>
        <v>646.80000000000007</v>
      </c>
      <c r="FV95" s="100">
        <f>OpCost!$E$42*FV$130</f>
        <v>668.36</v>
      </c>
      <c r="FW95" s="100">
        <f>OpCost!$E$42*FW$130</f>
        <v>646.80000000000007</v>
      </c>
      <c r="FX95" s="100">
        <f>OpCost!$E$42*FX$130</f>
        <v>668.36</v>
      </c>
      <c r="FY95" s="100">
        <f>OpCost!$E$42*FY$130</f>
        <v>668.36</v>
      </c>
      <c r="FZ95" s="100">
        <f>OpCost!$E$42*FZ$130</f>
        <v>646.80000000000007</v>
      </c>
      <c r="GA95" s="100">
        <f>OpCost!$E$42*GA$130</f>
        <v>668.36</v>
      </c>
      <c r="GB95" s="100">
        <f>OpCost!$E$42*GB$130</f>
        <v>646.80000000000007</v>
      </c>
      <c r="GC95" s="100">
        <f>OpCost!$E$42*GC$130</f>
        <v>668.36</v>
      </c>
    </row>
    <row r="96" spans="1:185">
      <c r="A96" s="10"/>
      <c r="B96" s="80" t="s">
        <v>128</v>
      </c>
      <c r="C96" s="80"/>
      <c r="D96" s="80"/>
      <c r="E96" s="82">
        <f t="shared" si="107"/>
        <v>226940.56000000023</v>
      </c>
      <c r="F96" s="100">
        <f>OpCost!$E$43*F$130</f>
        <v>0</v>
      </c>
      <c r="G96" s="100">
        <f>OpCost!$E$43*G$130</f>
        <v>0</v>
      </c>
      <c r="H96" s="100">
        <f>OpCost!$E$43*H$130</f>
        <v>0</v>
      </c>
      <c r="I96" s="100">
        <f>OpCost!$E$43*I$130</f>
        <v>0</v>
      </c>
      <c r="J96" s="100">
        <f>OpCost!$E$43*J$130</f>
        <v>0</v>
      </c>
      <c r="K96" s="100">
        <f>OpCost!$E$43*K$130</f>
        <v>0</v>
      </c>
      <c r="L96" s="100">
        <f>OpCost!$E$43*L$130</f>
        <v>0</v>
      </c>
      <c r="M96" s="100">
        <f>OpCost!$E$43*M$130</f>
        <v>1336.72</v>
      </c>
      <c r="N96" s="100">
        <f>OpCost!$E$43*N$130</f>
        <v>1293.6000000000001</v>
      </c>
      <c r="O96" s="100">
        <f>OpCost!$E$43*O$130</f>
        <v>1336.72</v>
      </c>
      <c r="P96" s="100">
        <f>OpCost!$E$43*P$130</f>
        <v>1293.6000000000001</v>
      </c>
      <c r="Q96" s="100">
        <f>OpCost!$E$43*Q$130</f>
        <v>1336.72</v>
      </c>
      <c r="R96" s="100">
        <f>OpCost!$E$43*R$130</f>
        <v>1336.72</v>
      </c>
      <c r="S96" s="100">
        <f>OpCost!$E$43*S$130</f>
        <v>1207.3600000000004</v>
      </c>
      <c r="T96" s="100">
        <f>OpCost!$E$43*T$130</f>
        <v>1336.72</v>
      </c>
      <c r="U96" s="100">
        <f>OpCost!$E$43*U$130</f>
        <v>1293.6000000000001</v>
      </c>
      <c r="V96" s="100">
        <f>OpCost!$E$43*V$130</f>
        <v>1336.72</v>
      </c>
      <c r="W96" s="100">
        <f>OpCost!$E$43*W$130</f>
        <v>1293.6000000000001</v>
      </c>
      <c r="X96" s="100">
        <f>OpCost!$E$43*X$130</f>
        <v>1336.72</v>
      </c>
      <c r="Y96" s="100">
        <f>OpCost!$E$43*Y$130</f>
        <v>1336.72</v>
      </c>
      <c r="Z96" s="100">
        <f>OpCost!$E$43*Z$130</f>
        <v>1293.6000000000001</v>
      </c>
      <c r="AA96" s="100">
        <f>OpCost!$E$43*AA$130</f>
        <v>1336.72</v>
      </c>
      <c r="AB96" s="100">
        <f>OpCost!$E$43*AB$130</f>
        <v>1293.6000000000001</v>
      </c>
      <c r="AC96" s="100">
        <f>OpCost!$E$43*AC$130</f>
        <v>1336.72</v>
      </c>
      <c r="AD96" s="100">
        <f>OpCost!$E$43*AD$130</f>
        <v>1336.72</v>
      </c>
      <c r="AE96" s="100">
        <f>OpCost!$E$43*AE$130</f>
        <v>1207.3600000000004</v>
      </c>
      <c r="AF96" s="100">
        <f>OpCost!$E$43*AF$130</f>
        <v>1336.72</v>
      </c>
      <c r="AG96" s="100">
        <f>OpCost!$E$43*AG$130</f>
        <v>1293.6000000000001</v>
      </c>
      <c r="AH96" s="100">
        <f>OpCost!$E$43*AH$130</f>
        <v>1336.72</v>
      </c>
      <c r="AI96" s="100">
        <f>OpCost!$E$43*AI$130</f>
        <v>1293.6000000000001</v>
      </c>
      <c r="AJ96" s="100">
        <f>OpCost!$E$43*AJ$130</f>
        <v>1336.72</v>
      </c>
      <c r="AK96" s="100">
        <f>OpCost!$E$43*AK$130</f>
        <v>1336.72</v>
      </c>
      <c r="AL96" s="100">
        <f>OpCost!$E$43*AL$130</f>
        <v>1293.6000000000001</v>
      </c>
      <c r="AM96" s="100">
        <f>OpCost!$E$43*AM$130</f>
        <v>1336.72</v>
      </c>
      <c r="AN96" s="100">
        <f>OpCost!$E$43*AN$130</f>
        <v>1293.6000000000001</v>
      </c>
      <c r="AO96" s="100">
        <f>OpCost!$E$43*AO$130</f>
        <v>1336.72</v>
      </c>
      <c r="AP96" s="100">
        <f>OpCost!$E$43*AP$130</f>
        <v>1336.72</v>
      </c>
      <c r="AQ96" s="100">
        <f>OpCost!$E$43*AQ$130</f>
        <v>1207.3600000000004</v>
      </c>
      <c r="AR96" s="100">
        <f>OpCost!$E$43*AR$130</f>
        <v>1336.72</v>
      </c>
      <c r="AS96" s="100">
        <f>OpCost!$E$43*AS$130</f>
        <v>1293.6000000000001</v>
      </c>
      <c r="AT96" s="100">
        <f>OpCost!$E$43*AT$130</f>
        <v>1336.72</v>
      </c>
      <c r="AU96" s="100">
        <f>OpCost!$E$43*AU$130</f>
        <v>1293.6000000000001</v>
      </c>
      <c r="AV96" s="100">
        <f>OpCost!$E$43*AV$130</f>
        <v>1336.72</v>
      </c>
      <c r="AW96" s="100">
        <f>OpCost!$E$43*AW$130</f>
        <v>1336.72</v>
      </c>
      <c r="AX96" s="100">
        <f>OpCost!$E$43*AX$130</f>
        <v>1293.6000000000001</v>
      </c>
      <c r="AY96" s="100">
        <f>OpCost!$E$43*AY$130</f>
        <v>1336.72</v>
      </c>
      <c r="AZ96" s="100">
        <f>OpCost!$E$43*AZ$130</f>
        <v>1293.6000000000001</v>
      </c>
      <c r="BA96" s="100">
        <f>OpCost!$E$43*BA$130</f>
        <v>1336.72</v>
      </c>
      <c r="BB96" s="100">
        <f>OpCost!$E$43*BB$130</f>
        <v>1336.72</v>
      </c>
      <c r="BC96" s="100">
        <f>OpCost!$E$43*BC$130</f>
        <v>1207.3600000000004</v>
      </c>
      <c r="BD96" s="100">
        <f>OpCost!$E$43*BD$130</f>
        <v>1336.72</v>
      </c>
      <c r="BE96" s="100">
        <f>OpCost!$E$43*BE$130</f>
        <v>1293.6000000000001</v>
      </c>
      <c r="BF96" s="100">
        <f>OpCost!$E$43*BF$130</f>
        <v>1336.72</v>
      </c>
      <c r="BG96" s="100">
        <f>OpCost!$E$43*BG$130</f>
        <v>1293.6000000000001</v>
      </c>
      <c r="BH96" s="100">
        <f>OpCost!$E$43*BH$130</f>
        <v>1336.72</v>
      </c>
      <c r="BI96" s="100">
        <f>OpCost!$E$43*BI$130</f>
        <v>1336.72</v>
      </c>
      <c r="BJ96" s="100">
        <f>OpCost!$E$43*BJ$130</f>
        <v>1293.6000000000001</v>
      </c>
      <c r="BK96" s="100">
        <f>OpCost!$E$43*BK$130</f>
        <v>1336.72</v>
      </c>
      <c r="BL96" s="100">
        <f>OpCost!$E$43*BL$130</f>
        <v>1293.6000000000001</v>
      </c>
      <c r="BM96" s="100">
        <f>OpCost!$E$43*BM$130</f>
        <v>1336.72</v>
      </c>
      <c r="BN96" s="100">
        <f>OpCost!$E$43*BN$130</f>
        <v>1336.72</v>
      </c>
      <c r="BO96" s="100">
        <f>OpCost!$E$43*BO$130</f>
        <v>1207.3600000000004</v>
      </c>
      <c r="BP96" s="100">
        <f>OpCost!$E$43*BP$130</f>
        <v>1336.72</v>
      </c>
      <c r="BQ96" s="100">
        <f>OpCost!$E$43*BQ$130</f>
        <v>1293.6000000000001</v>
      </c>
      <c r="BR96" s="100">
        <f>OpCost!$E$43*BR$130</f>
        <v>1336.72</v>
      </c>
      <c r="BS96" s="100">
        <f>OpCost!$E$43*BS$130</f>
        <v>1293.6000000000001</v>
      </c>
      <c r="BT96" s="100">
        <f>OpCost!$E$43*BT$130</f>
        <v>1336.72</v>
      </c>
      <c r="BU96" s="100">
        <f>OpCost!$E$43*BU$130</f>
        <v>1336.72</v>
      </c>
      <c r="BV96" s="100">
        <f>OpCost!$E$43*BV$130</f>
        <v>1293.6000000000001</v>
      </c>
      <c r="BW96" s="100">
        <f>OpCost!$E$43*BW$130</f>
        <v>1336.72</v>
      </c>
      <c r="BX96" s="100">
        <f>OpCost!$E$43*BX$130</f>
        <v>1293.6000000000001</v>
      </c>
      <c r="BY96" s="100">
        <f>OpCost!$E$43*BY$130</f>
        <v>1336.72</v>
      </c>
      <c r="BZ96" s="100">
        <f>OpCost!$E$43*BZ$130</f>
        <v>1336.72</v>
      </c>
      <c r="CA96" s="100">
        <f>OpCost!$E$43*CA$130</f>
        <v>1207.3600000000004</v>
      </c>
      <c r="CB96" s="100">
        <f>OpCost!$E$43*CB$130</f>
        <v>1336.72</v>
      </c>
      <c r="CC96" s="100">
        <f>OpCost!$E$43*CC$130</f>
        <v>1293.6000000000001</v>
      </c>
      <c r="CD96" s="100">
        <f>OpCost!$E$43*CD$130</f>
        <v>1336.72</v>
      </c>
      <c r="CE96" s="100">
        <f>OpCost!$E$43*CE$130</f>
        <v>1293.6000000000001</v>
      </c>
      <c r="CF96" s="100">
        <f>OpCost!$E$43*CF$130</f>
        <v>1336.72</v>
      </c>
      <c r="CG96" s="100">
        <f>OpCost!$E$43*CG$130</f>
        <v>1336.72</v>
      </c>
      <c r="CH96" s="100">
        <f>OpCost!$E$43*CH$130</f>
        <v>1293.6000000000001</v>
      </c>
      <c r="CI96" s="100">
        <f>OpCost!$E$43*CI$130</f>
        <v>1336.72</v>
      </c>
      <c r="CJ96" s="100">
        <f>OpCost!$E$43*CJ$130</f>
        <v>1293.6000000000001</v>
      </c>
      <c r="CK96" s="100">
        <f>OpCost!$E$43*CK$130</f>
        <v>1336.72</v>
      </c>
      <c r="CL96" s="100">
        <f>OpCost!$E$43*CL$130</f>
        <v>1336.72</v>
      </c>
      <c r="CM96" s="100">
        <f>OpCost!$E$43*CM$130</f>
        <v>1207.3600000000004</v>
      </c>
      <c r="CN96" s="100">
        <f>OpCost!$E$43*CN$130</f>
        <v>1336.72</v>
      </c>
      <c r="CO96" s="100">
        <f>OpCost!$E$43*CO$130</f>
        <v>1293.6000000000001</v>
      </c>
      <c r="CP96" s="100">
        <f>OpCost!$E$43*CP$130</f>
        <v>1336.72</v>
      </c>
      <c r="CQ96" s="100">
        <f>OpCost!$E$43*CQ$130</f>
        <v>1293.6000000000001</v>
      </c>
      <c r="CR96" s="100">
        <f>OpCost!$E$43*CR$130</f>
        <v>1336.72</v>
      </c>
      <c r="CS96" s="100">
        <f>OpCost!$E$43*CS$130</f>
        <v>1336.72</v>
      </c>
      <c r="CT96" s="100">
        <f>OpCost!$E$43*CT$130</f>
        <v>1293.6000000000001</v>
      </c>
      <c r="CU96" s="100">
        <f>OpCost!$E$43*CU$130</f>
        <v>1336.72</v>
      </c>
      <c r="CV96" s="100">
        <f>OpCost!$E$43*CV$130</f>
        <v>1293.6000000000001</v>
      </c>
      <c r="CW96" s="100">
        <f>OpCost!$E$43*CW$130</f>
        <v>1336.72</v>
      </c>
      <c r="CX96" s="100">
        <f>OpCost!$E$43*CX$130</f>
        <v>1336.72</v>
      </c>
      <c r="CY96" s="100">
        <f>OpCost!$E$43*CY$130</f>
        <v>1207.3600000000004</v>
      </c>
      <c r="CZ96" s="100">
        <f>OpCost!$E$43*CZ$130</f>
        <v>1336.72</v>
      </c>
      <c r="DA96" s="100">
        <f>OpCost!$E$43*DA$130</f>
        <v>1293.6000000000001</v>
      </c>
      <c r="DB96" s="100">
        <f>OpCost!$E$43*DB$130</f>
        <v>1336.72</v>
      </c>
      <c r="DC96" s="100">
        <f>OpCost!$E$43*DC$130</f>
        <v>1293.6000000000001</v>
      </c>
      <c r="DD96" s="100">
        <f>OpCost!$E$43*DD$130</f>
        <v>1336.72</v>
      </c>
      <c r="DE96" s="100">
        <f>OpCost!$E$43*DE$130</f>
        <v>1336.72</v>
      </c>
      <c r="DF96" s="100">
        <f>OpCost!$E$43*DF$130</f>
        <v>1293.6000000000001</v>
      </c>
      <c r="DG96" s="100">
        <f>OpCost!$E$43*DG$130</f>
        <v>1336.72</v>
      </c>
      <c r="DH96" s="100">
        <f>OpCost!$E$43*DH$130</f>
        <v>1293.6000000000001</v>
      </c>
      <c r="DI96" s="100">
        <f>OpCost!$E$43*DI$130</f>
        <v>1336.72</v>
      </c>
      <c r="DJ96" s="100">
        <f>OpCost!$E$43*DJ$130</f>
        <v>1336.72</v>
      </c>
      <c r="DK96" s="100">
        <f>OpCost!$E$43*DK$130</f>
        <v>1207.3600000000004</v>
      </c>
      <c r="DL96" s="100">
        <f>OpCost!$E$43*DL$130</f>
        <v>1336.72</v>
      </c>
      <c r="DM96" s="100">
        <f>OpCost!$E$43*DM$130</f>
        <v>1293.6000000000001</v>
      </c>
      <c r="DN96" s="100">
        <f>OpCost!$E$43*DN$130</f>
        <v>1336.72</v>
      </c>
      <c r="DO96" s="100">
        <f>OpCost!$E$43*DO$130</f>
        <v>1293.6000000000001</v>
      </c>
      <c r="DP96" s="100">
        <f>OpCost!$E$43*DP$130</f>
        <v>1336.72</v>
      </c>
      <c r="DQ96" s="100">
        <f>OpCost!$E$43*DQ$130</f>
        <v>1336.72</v>
      </c>
      <c r="DR96" s="100">
        <f>OpCost!$E$43*DR$130</f>
        <v>1293.6000000000001</v>
      </c>
      <c r="DS96" s="100">
        <f>OpCost!$E$43*DS$130</f>
        <v>1336.72</v>
      </c>
      <c r="DT96" s="100">
        <f>OpCost!$E$43*DT$130</f>
        <v>1293.6000000000001</v>
      </c>
      <c r="DU96" s="100">
        <f>OpCost!$E$43*DU$130</f>
        <v>1336.72</v>
      </c>
      <c r="DV96" s="100">
        <f>OpCost!$E$43*DV$130</f>
        <v>1336.72</v>
      </c>
      <c r="DW96" s="100">
        <f>OpCost!$E$43*DW$130</f>
        <v>1207.3600000000004</v>
      </c>
      <c r="DX96" s="100">
        <f>OpCost!$E$43*DX$130</f>
        <v>1336.72</v>
      </c>
      <c r="DY96" s="100">
        <f>OpCost!$E$43*DY$130</f>
        <v>1293.6000000000001</v>
      </c>
      <c r="DZ96" s="100">
        <f>OpCost!$E$43*DZ$130</f>
        <v>1336.72</v>
      </c>
      <c r="EA96" s="100">
        <f>OpCost!$E$43*EA$130</f>
        <v>1293.6000000000001</v>
      </c>
      <c r="EB96" s="100">
        <f>OpCost!$E$43*EB$130</f>
        <v>1336.72</v>
      </c>
      <c r="EC96" s="100">
        <f>OpCost!$E$43*EC$130</f>
        <v>1336.72</v>
      </c>
      <c r="ED96" s="100">
        <f>OpCost!$E$43*ED$130</f>
        <v>1293.6000000000001</v>
      </c>
      <c r="EE96" s="100">
        <f>OpCost!$E$43*EE$130</f>
        <v>1336.72</v>
      </c>
      <c r="EF96" s="100">
        <f>OpCost!$E$43*EF$130</f>
        <v>1293.6000000000001</v>
      </c>
      <c r="EG96" s="100">
        <f>OpCost!$E$43*EG$130</f>
        <v>1336.72</v>
      </c>
      <c r="EH96" s="100">
        <f>OpCost!$E$43*EH$130</f>
        <v>1336.72</v>
      </c>
      <c r="EI96" s="100">
        <f>OpCost!$E$43*EI$130</f>
        <v>1207.3600000000004</v>
      </c>
      <c r="EJ96" s="100">
        <f>OpCost!$E$43*EJ$130</f>
        <v>1336.72</v>
      </c>
      <c r="EK96" s="100">
        <f>OpCost!$E$43*EK$130</f>
        <v>1293.6000000000001</v>
      </c>
      <c r="EL96" s="100">
        <f>OpCost!$E$43*EL$130</f>
        <v>1336.72</v>
      </c>
      <c r="EM96" s="100">
        <f>OpCost!$E$43*EM$130</f>
        <v>1293.6000000000001</v>
      </c>
      <c r="EN96" s="100">
        <f>OpCost!$E$43*EN$130</f>
        <v>1336.72</v>
      </c>
      <c r="EO96" s="100">
        <f>OpCost!$E$43*EO$130</f>
        <v>1336.72</v>
      </c>
      <c r="EP96" s="100">
        <f>OpCost!$E$43*EP$130</f>
        <v>1293.6000000000001</v>
      </c>
      <c r="EQ96" s="100">
        <f>OpCost!$E$43*EQ$130</f>
        <v>1336.72</v>
      </c>
      <c r="ER96" s="100">
        <f>OpCost!$E$43*ER$130</f>
        <v>1293.6000000000001</v>
      </c>
      <c r="ES96" s="100">
        <f>OpCost!$E$43*ES$130</f>
        <v>1336.72</v>
      </c>
      <c r="ET96" s="100">
        <f>OpCost!$E$43*ET$130</f>
        <v>1336.72</v>
      </c>
      <c r="EU96" s="100">
        <f>OpCost!$E$43*EU$130</f>
        <v>1207.3600000000004</v>
      </c>
      <c r="EV96" s="100">
        <f>OpCost!$E$43*EV$130</f>
        <v>1336.72</v>
      </c>
      <c r="EW96" s="100">
        <f>OpCost!$E$43*EW$130</f>
        <v>1293.6000000000001</v>
      </c>
      <c r="EX96" s="100">
        <f>OpCost!$E$43*EX$130</f>
        <v>1336.72</v>
      </c>
      <c r="EY96" s="100">
        <f>OpCost!$E$43*EY$130</f>
        <v>1293.6000000000001</v>
      </c>
      <c r="EZ96" s="100">
        <f>OpCost!$E$43*EZ$130</f>
        <v>1336.72</v>
      </c>
      <c r="FA96" s="100">
        <f>OpCost!$E$43*FA$130</f>
        <v>1336.72</v>
      </c>
      <c r="FB96" s="100">
        <f>OpCost!$E$43*FB$130</f>
        <v>1293.6000000000001</v>
      </c>
      <c r="FC96" s="100">
        <f>OpCost!$E$43*FC$130</f>
        <v>1336.72</v>
      </c>
      <c r="FD96" s="100">
        <f>OpCost!$E$43*FD$130</f>
        <v>1293.6000000000001</v>
      </c>
      <c r="FE96" s="100">
        <f>OpCost!$E$43*FE$130</f>
        <v>1336.72</v>
      </c>
      <c r="FF96" s="100">
        <f>OpCost!$E$43*FF$130</f>
        <v>1336.72</v>
      </c>
      <c r="FG96" s="100">
        <f>OpCost!$E$43*FG$130</f>
        <v>1207.3600000000004</v>
      </c>
      <c r="FH96" s="100">
        <f>OpCost!$E$43*FH$130</f>
        <v>1336.72</v>
      </c>
      <c r="FI96" s="100">
        <f>OpCost!$E$43*FI$130</f>
        <v>1293.6000000000001</v>
      </c>
      <c r="FJ96" s="100">
        <f>OpCost!$E$43*FJ$130</f>
        <v>1336.72</v>
      </c>
      <c r="FK96" s="100">
        <f>OpCost!$E$43*FK$130</f>
        <v>1293.6000000000001</v>
      </c>
      <c r="FL96" s="100">
        <f>OpCost!$E$43*FL$130</f>
        <v>1336.72</v>
      </c>
      <c r="FM96" s="100">
        <f>OpCost!$E$43*FM$130</f>
        <v>1336.72</v>
      </c>
      <c r="FN96" s="100">
        <f>OpCost!$E$43*FN$130</f>
        <v>1293.6000000000001</v>
      </c>
      <c r="FO96" s="100">
        <f>OpCost!$E$43*FO$130</f>
        <v>1336.72</v>
      </c>
      <c r="FP96" s="100">
        <f>OpCost!$E$43*FP$130</f>
        <v>1293.6000000000001</v>
      </c>
      <c r="FQ96" s="100">
        <f>OpCost!$E$43*FQ$130</f>
        <v>1336.72</v>
      </c>
      <c r="FR96" s="100">
        <f>OpCost!$E$43*FR$130</f>
        <v>1336.72</v>
      </c>
      <c r="FS96" s="100">
        <f>OpCost!$E$43*FS$130</f>
        <v>1207.3600000000004</v>
      </c>
      <c r="FT96" s="100">
        <f>OpCost!$E$43*FT$130</f>
        <v>1336.72</v>
      </c>
      <c r="FU96" s="100">
        <f>OpCost!$E$43*FU$130</f>
        <v>1293.6000000000001</v>
      </c>
      <c r="FV96" s="100">
        <f>OpCost!$E$43*FV$130</f>
        <v>1336.72</v>
      </c>
      <c r="FW96" s="100">
        <f>OpCost!$E$43*FW$130</f>
        <v>1293.6000000000001</v>
      </c>
      <c r="FX96" s="100">
        <f>OpCost!$E$43*FX$130</f>
        <v>1336.72</v>
      </c>
      <c r="FY96" s="100">
        <f>OpCost!$E$43*FY$130</f>
        <v>1336.72</v>
      </c>
      <c r="FZ96" s="100">
        <f>OpCost!$E$43*FZ$130</f>
        <v>1293.6000000000001</v>
      </c>
      <c r="GA96" s="100">
        <f>OpCost!$E$43*GA$130</f>
        <v>1336.72</v>
      </c>
      <c r="GB96" s="100">
        <f>OpCost!$E$43*GB$130</f>
        <v>1293.6000000000001</v>
      </c>
      <c r="GC96" s="100">
        <f>OpCost!$E$43*GC$130</f>
        <v>1336.72</v>
      </c>
    </row>
    <row r="97" spans="1:185">
      <c r="A97" s="10"/>
      <c r="B97" s="80" t="s">
        <v>129</v>
      </c>
      <c r="C97" s="80"/>
      <c r="D97" s="80"/>
      <c r="E97" s="82">
        <f t="shared" si="107"/>
        <v>97260.24000000002</v>
      </c>
      <c r="F97" s="100">
        <f>OpCost!$E$44*F$130</f>
        <v>0</v>
      </c>
      <c r="G97" s="100">
        <f>OpCost!$E$44*G$130</f>
        <v>0</v>
      </c>
      <c r="H97" s="100">
        <f>OpCost!$E$44*H$130</f>
        <v>0</v>
      </c>
      <c r="I97" s="100">
        <f>OpCost!$E$44*I$130</f>
        <v>0</v>
      </c>
      <c r="J97" s="100">
        <f>OpCost!$E$44*J$130</f>
        <v>0</v>
      </c>
      <c r="K97" s="100">
        <f>OpCost!$E$44*K$130</f>
        <v>0</v>
      </c>
      <c r="L97" s="100">
        <f>OpCost!$E$44*L$130</f>
        <v>0</v>
      </c>
      <c r="M97" s="100">
        <f>OpCost!$E$44*M$130</f>
        <v>572.87999999999988</v>
      </c>
      <c r="N97" s="100">
        <f>OpCost!$E$44*N$130</f>
        <v>554.4</v>
      </c>
      <c r="O97" s="100">
        <f>OpCost!$E$44*O$130</f>
        <v>572.87999999999988</v>
      </c>
      <c r="P97" s="100">
        <f>OpCost!$E$44*P$130</f>
        <v>554.4</v>
      </c>
      <c r="Q97" s="100">
        <f>OpCost!$E$44*Q$130</f>
        <v>572.87999999999988</v>
      </c>
      <c r="R97" s="100">
        <f>OpCost!$E$44*R$130</f>
        <v>572.87999999999988</v>
      </c>
      <c r="S97" s="100">
        <f>OpCost!$E$44*S$130</f>
        <v>517.43999999999994</v>
      </c>
      <c r="T97" s="100">
        <f>OpCost!$E$44*T$130</f>
        <v>572.87999999999988</v>
      </c>
      <c r="U97" s="100">
        <f>OpCost!$E$44*U$130</f>
        <v>554.4</v>
      </c>
      <c r="V97" s="100">
        <f>OpCost!$E$44*V$130</f>
        <v>572.87999999999988</v>
      </c>
      <c r="W97" s="100">
        <f>OpCost!$E$44*W$130</f>
        <v>554.4</v>
      </c>
      <c r="X97" s="100">
        <f>OpCost!$E$44*X$130</f>
        <v>572.87999999999988</v>
      </c>
      <c r="Y97" s="100">
        <f>OpCost!$E$44*Y$130</f>
        <v>572.87999999999988</v>
      </c>
      <c r="Z97" s="100">
        <f>OpCost!$E$44*Z$130</f>
        <v>554.4</v>
      </c>
      <c r="AA97" s="100">
        <f>OpCost!$E$44*AA$130</f>
        <v>572.87999999999988</v>
      </c>
      <c r="AB97" s="100">
        <f>OpCost!$E$44*AB$130</f>
        <v>554.4</v>
      </c>
      <c r="AC97" s="100">
        <f>OpCost!$E$44*AC$130</f>
        <v>572.87999999999988</v>
      </c>
      <c r="AD97" s="100">
        <f>OpCost!$E$44*AD$130</f>
        <v>572.87999999999988</v>
      </c>
      <c r="AE97" s="100">
        <f>OpCost!$E$44*AE$130</f>
        <v>517.43999999999994</v>
      </c>
      <c r="AF97" s="100">
        <f>OpCost!$E$44*AF$130</f>
        <v>572.87999999999988</v>
      </c>
      <c r="AG97" s="100">
        <f>OpCost!$E$44*AG$130</f>
        <v>554.4</v>
      </c>
      <c r="AH97" s="100">
        <f>OpCost!$E$44*AH$130</f>
        <v>572.87999999999988</v>
      </c>
      <c r="AI97" s="100">
        <f>OpCost!$E$44*AI$130</f>
        <v>554.4</v>
      </c>
      <c r="AJ97" s="100">
        <f>OpCost!$E$44*AJ$130</f>
        <v>572.87999999999988</v>
      </c>
      <c r="AK97" s="100">
        <f>OpCost!$E$44*AK$130</f>
        <v>572.87999999999988</v>
      </c>
      <c r="AL97" s="100">
        <f>OpCost!$E$44*AL$130</f>
        <v>554.4</v>
      </c>
      <c r="AM97" s="100">
        <f>OpCost!$E$44*AM$130</f>
        <v>572.87999999999988</v>
      </c>
      <c r="AN97" s="100">
        <f>OpCost!$E$44*AN$130</f>
        <v>554.4</v>
      </c>
      <c r="AO97" s="100">
        <f>OpCost!$E$44*AO$130</f>
        <v>572.87999999999988</v>
      </c>
      <c r="AP97" s="100">
        <f>OpCost!$E$44*AP$130</f>
        <v>572.87999999999988</v>
      </c>
      <c r="AQ97" s="100">
        <f>OpCost!$E$44*AQ$130</f>
        <v>517.43999999999994</v>
      </c>
      <c r="AR97" s="100">
        <f>OpCost!$E$44*AR$130</f>
        <v>572.87999999999988</v>
      </c>
      <c r="AS97" s="100">
        <f>OpCost!$E$44*AS$130</f>
        <v>554.4</v>
      </c>
      <c r="AT97" s="100">
        <f>OpCost!$E$44*AT$130</f>
        <v>572.87999999999988</v>
      </c>
      <c r="AU97" s="100">
        <f>OpCost!$E$44*AU$130</f>
        <v>554.4</v>
      </c>
      <c r="AV97" s="100">
        <f>OpCost!$E$44*AV$130</f>
        <v>572.87999999999988</v>
      </c>
      <c r="AW97" s="100">
        <f>OpCost!$E$44*AW$130</f>
        <v>572.87999999999988</v>
      </c>
      <c r="AX97" s="100">
        <f>OpCost!$E$44*AX$130</f>
        <v>554.4</v>
      </c>
      <c r="AY97" s="100">
        <f>OpCost!$E$44*AY$130</f>
        <v>572.87999999999988</v>
      </c>
      <c r="AZ97" s="100">
        <f>OpCost!$E$44*AZ$130</f>
        <v>554.4</v>
      </c>
      <c r="BA97" s="100">
        <f>OpCost!$E$44*BA$130</f>
        <v>572.87999999999988</v>
      </c>
      <c r="BB97" s="100">
        <f>OpCost!$E$44*BB$130</f>
        <v>572.87999999999988</v>
      </c>
      <c r="BC97" s="100">
        <f>OpCost!$E$44*BC$130</f>
        <v>517.43999999999994</v>
      </c>
      <c r="BD97" s="100">
        <f>OpCost!$E$44*BD$130</f>
        <v>572.87999999999988</v>
      </c>
      <c r="BE97" s="100">
        <f>OpCost!$E$44*BE$130</f>
        <v>554.4</v>
      </c>
      <c r="BF97" s="100">
        <f>OpCost!$E$44*BF$130</f>
        <v>572.87999999999988</v>
      </c>
      <c r="BG97" s="100">
        <f>OpCost!$E$44*BG$130</f>
        <v>554.4</v>
      </c>
      <c r="BH97" s="100">
        <f>OpCost!$E$44*BH$130</f>
        <v>572.87999999999988</v>
      </c>
      <c r="BI97" s="100">
        <f>OpCost!$E$44*BI$130</f>
        <v>572.87999999999988</v>
      </c>
      <c r="BJ97" s="100">
        <f>OpCost!$E$44*BJ$130</f>
        <v>554.4</v>
      </c>
      <c r="BK97" s="100">
        <f>OpCost!$E$44*BK$130</f>
        <v>572.87999999999988</v>
      </c>
      <c r="BL97" s="100">
        <f>OpCost!$E$44*BL$130</f>
        <v>554.4</v>
      </c>
      <c r="BM97" s="100">
        <f>OpCost!$E$44*BM$130</f>
        <v>572.87999999999988</v>
      </c>
      <c r="BN97" s="100">
        <f>OpCost!$E$44*BN$130</f>
        <v>572.87999999999988</v>
      </c>
      <c r="BO97" s="100">
        <f>OpCost!$E$44*BO$130</f>
        <v>517.43999999999994</v>
      </c>
      <c r="BP97" s="100">
        <f>OpCost!$E$44*BP$130</f>
        <v>572.87999999999988</v>
      </c>
      <c r="BQ97" s="100">
        <f>OpCost!$E$44*BQ$130</f>
        <v>554.4</v>
      </c>
      <c r="BR97" s="100">
        <f>OpCost!$E$44*BR$130</f>
        <v>572.87999999999988</v>
      </c>
      <c r="BS97" s="100">
        <f>OpCost!$E$44*BS$130</f>
        <v>554.4</v>
      </c>
      <c r="BT97" s="100">
        <f>OpCost!$E$44*BT$130</f>
        <v>572.87999999999988</v>
      </c>
      <c r="BU97" s="100">
        <f>OpCost!$E$44*BU$130</f>
        <v>572.87999999999988</v>
      </c>
      <c r="BV97" s="100">
        <f>OpCost!$E$44*BV$130</f>
        <v>554.4</v>
      </c>
      <c r="BW97" s="100">
        <f>OpCost!$E$44*BW$130</f>
        <v>572.87999999999988</v>
      </c>
      <c r="BX97" s="100">
        <f>OpCost!$E$44*BX$130</f>
        <v>554.4</v>
      </c>
      <c r="BY97" s="100">
        <f>OpCost!$E$44*BY$130</f>
        <v>572.87999999999988</v>
      </c>
      <c r="BZ97" s="100">
        <f>OpCost!$E$44*BZ$130</f>
        <v>572.87999999999988</v>
      </c>
      <c r="CA97" s="100">
        <f>OpCost!$E$44*CA$130</f>
        <v>517.43999999999994</v>
      </c>
      <c r="CB97" s="100">
        <f>OpCost!$E$44*CB$130</f>
        <v>572.87999999999988</v>
      </c>
      <c r="CC97" s="100">
        <f>OpCost!$E$44*CC$130</f>
        <v>554.4</v>
      </c>
      <c r="CD97" s="100">
        <f>OpCost!$E$44*CD$130</f>
        <v>572.87999999999988</v>
      </c>
      <c r="CE97" s="100">
        <f>OpCost!$E$44*CE$130</f>
        <v>554.4</v>
      </c>
      <c r="CF97" s="100">
        <f>OpCost!$E$44*CF$130</f>
        <v>572.87999999999988</v>
      </c>
      <c r="CG97" s="100">
        <f>OpCost!$E$44*CG$130</f>
        <v>572.87999999999988</v>
      </c>
      <c r="CH97" s="100">
        <f>OpCost!$E$44*CH$130</f>
        <v>554.4</v>
      </c>
      <c r="CI97" s="100">
        <f>OpCost!$E$44*CI$130</f>
        <v>572.87999999999988</v>
      </c>
      <c r="CJ97" s="100">
        <f>OpCost!$E$44*CJ$130</f>
        <v>554.4</v>
      </c>
      <c r="CK97" s="100">
        <f>OpCost!$E$44*CK$130</f>
        <v>572.87999999999988</v>
      </c>
      <c r="CL97" s="100">
        <f>OpCost!$E$44*CL$130</f>
        <v>572.87999999999988</v>
      </c>
      <c r="CM97" s="100">
        <f>OpCost!$E$44*CM$130</f>
        <v>517.43999999999994</v>
      </c>
      <c r="CN97" s="100">
        <f>OpCost!$E$44*CN$130</f>
        <v>572.87999999999988</v>
      </c>
      <c r="CO97" s="100">
        <f>OpCost!$E$44*CO$130</f>
        <v>554.4</v>
      </c>
      <c r="CP97" s="100">
        <f>OpCost!$E$44*CP$130</f>
        <v>572.87999999999988</v>
      </c>
      <c r="CQ97" s="100">
        <f>OpCost!$E$44*CQ$130</f>
        <v>554.4</v>
      </c>
      <c r="CR97" s="100">
        <f>OpCost!$E$44*CR$130</f>
        <v>572.87999999999988</v>
      </c>
      <c r="CS97" s="100">
        <f>OpCost!$E$44*CS$130</f>
        <v>572.87999999999988</v>
      </c>
      <c r="CT97" s="100">
        <f>OpCost!$E$44*CT$130</f>
        <v>554.4</v>
      </c>
      <c r="CU97" s="100">
        <f>OpCost!$E$44*CU$130</f>
        <v>572.87999999999988</v>
      </c>
      <c r="CV97" s="100">
        <f>OpCost!$E$44*CV$130</f>
        <v>554.4</v>
      </c>
      <c r="CW97" s="100">
        <f>OpCost!$E$44*CW$130</f>
        <v>572.87999999999988</v>
      </c>
      <c r="CX97" s="100">
        <f>OpCost!$E$44*CX$130</f>
        <v>572.87999999999988</v>
      </c>
      <c r="CY97" s="100">
        <f>OpCost!$E$44*CY$130</f>
        <v>517.43999999999994</v>
      </c>
      <c r="CZ97" s="100">
        <f>OpCost!$E$44*CZ$130</f>
        <v>572.87999999999988</v>
      </c>
      <c r="DA97" s="100">
        <f>OpCost!$E$44*DA$130</f>
        <v>554.4</v>
      </c>
      <c r="DB97" s="100">
        <f>OpCost!$E$44*DB$130</f>
        <v>572.87999999999988</v>
      </c>
      <c r="DC97" s="100">
        <f>OpCost!$E$44*DC$130</f>
        <v>554.4</v>
      </c>
      <c r="DD97" s="100">
        <f>OpCost!$E$44*DD$130</f>
        <v>572.87999999999988</v>
      </c>
      <c r="DE97" s="100">
        <f>OpCost!$E$44*DE$130</f>
        <v>572.87999999999988</v>
      </c>
      <c r="DF97" s="100">
        <f>OpCost!$E$44*DF$130</f>
        <v>554.4</v>
      </c>
      <c r="DG97" s="100">
        <f>OpCost!$E$44*DG$130</f>
        <v>572.87999999999988</v>
      </c>
      <c r="DH97" s="100">
        <f>OpCost!$E$44*DH$130</f>
        <v>554.4</v>
      </c>
      <c r="DI97" s="100">
        <f>OpCost!$E$44*DI$130</f>
        <v>572.87999999999988</v>
      </c>
      <c r="DJ97" s="100">
        <f>OpCost!$E$44*DJ$130</f>
        <v>572.87999999999988</v>
      </c>
      <c r="DK97" s="100">
        <f>OpCost!$E$44*DK$130</f>
        <v>517.43999999999994</v>
      </c>
      <c r="DL97" s="100">
        <f>OpCost!$E$44*DL$130</f>
        <v>572.87999999999988</v>
      </c>
      <c r="DM97" s="100">
        <f>OpCost!$E$44*DM$130</f>
        <v>554.4</v>
      </c>
      <c r="DN97" s="100">
        <f>OpCost!$E$44*DN$130</f>
        <v>572.87999999999988</v>
      </c>
      <c r="DO97" s="100">
        <f>OpCost!$E$44*DO$130</f>
        <v>554.4</v>
      </c>
      <c r="DP97" s="100">
        <f>OpCost!$E$44*DP$130</f>
        <v>572.87999999999988</v>
      </c>
      <c r="DQ97" s="100">
        <f>OpCost!$E$44*DQ$130</f>
        <v>572.87999999999988</v>
      </c>
      <c r="DR97" s="100">
        <f>OpCost!$E$44*DR$130</f>
        <v>554.4</v>
      </c>
      <c r="DS97" s="100">
        <f>OpCost!$E$44*DS$130</f>
        <v>572.87999999999988</v>
      </c>
      <c r="DT97" s="100">
        <f>OpCost!$E$44*DT$130</f>
        <v>554.4</v>
      </c>
      <c r="DU97" s="100">
        <f>OpCost!$E$44*DU$130</f>
        <v>572.87999999999988</v>
      </c>
      <c r="DV97" s="100">
        <f>OpCost!$E$44*DV$130</f>
        <v>572.87999999999988</v>
      </c>
      <c r="DW97" s="100">
        <f>OpCost!$E$44*DW$130</f>
        <v>517.43999999999994</v>
      </c>
      <c r="DX97" s="100">
        <f>OpCost!$E$44*DX$130</f>
        <v>572.87999999999988</v>
      </c>
      <c r="DY97" s="100">
        <f>OpCost!$E$44*DY$130</f>
        <v>554.4</v>
      </c>
      <c r="DZ97" s="100">
        <f>OpCost!$E$44*DZ$130</f>
        <v>572.87999999999988</v>
      </c>
      <c r="EA97" s="100">
        <f>OpCost!$E$44*EA$130</f>
        <v>554.4</v>
      </c>
      <c r="EB97" s="100">
        <f>OpCost!$E$44*EB$130</f>
        <v>572.87999999999988</v>
      </c>
      <c r="EC97" s="100">
        <f>OpCost!$E$44*EC$130</f>
        <v>572.87999999999988</v>
      </c>
      <c r="ED97" s="100">
        <f>OpCost!$E$44*ED$130</f>
        <v>554.4</v>
      </c>
      <c r="EE97" s="100">
        <f>OpCost!$E$44*EE$130</f>
        <v>572.87999999999988</v>
      </c>
      <c r="EF97" s="100">
        <f>OpCost!$E$44*EF$130</f>
        <v>554.4</v>
      </c>
      <c r="EG97" s="100">
        <f>OpCost!$E$44*EG$130</f>
        <v>572.87999999999988</v>
      </c>
      <c r="EH97" s="100">
        <f>OpCost!$E$44*EH$130</f>
        <v>572.87999999999988</v>
      </c>
      <c r="EI97" s="100">
        <f>OpCost!$E$44*EI$130</f>
        <v>517.43999999999994</v>
      </c>
      <c r="EJ97" s="100">
        <f>OpCost!$E$44*EJ$130</f>
        <v>572.87999999999988</v>
      </c>
      <c r="EK97" s="100">
        <f>OpCost!$E$44*EK$130</f>
        <v>554.4</v>
      </c>
      <c r="EL97" s="100">
        <f>OpCost!$E$44*EL$130</f>
        <v>572.87999999999988</v>
      </c>
      <c r="EM97" s="100">
        <f>OpCost!$E$44*EM$130</f>
        <v>554.4</v>
      </c>
      <c r="EN97" s="100">
        <f>OpCost!$E$44*EN$130</f>
        <v>572.87999999999988</v>
      </c>
      <c r="EO97" s="100">
        <f>OpCost!$E$44*EO$130</f>
        <v>572.87999999999988</v>
      </c>
      <c r="EP97" s="100">
        <f>OpCost!$E$44*EP$130</f>
        <v>554.4</v>
      </c>
      <c r="EQ97" s="100">
        <f>OpCost!$E$44*EQ$130</f>
        <v>572.87999999999988</v>
      </c>
      <c r="ER97" s="100">
        <f>OpCost!$E$44*ER$130</f>
        <v>554.4</v>
      </c>
      <c r="ES97" s="100">
        <f>OpCost!$E$44*ES$130</f>
        <v>572.87999999999988</v>
      </c>
      <c r="ET97" s="100">
        <f>OpCost!$E$44*ET$130</f>
        <v>572.87999999999988</v>
      </c>
      <c r="EU97" s="100">
        <f>OpCost!$E$44*EU$130</f>
        <v>517.43999999999994</v>
      </c>
      <c r="EV97" s="100">
        <f>OpCost!$E$44*EV$130</f>
        <v>572.87999999999988</v>
      </c>
      <c r="EW97" s="100">
        <f>OpCost!$E$44*EW$130</f>
        <v>554.4</v>
      </c>
      <c r="EX97" s="100">
        <f>OpCost!$E$44*EX$130</f>
        <v>572.87999999999988</v>
      </c>
      <c r="EY97" s="100">
        <f>OpCost!$E$44*EY$130</f>
        <v>554.4</v>
      </c>
      <c r="EZ97" s="100">
        <f>OpCost!$E$44*EZ$130</f>
        <v>572.87999999999988</v>
      </c>
      <c r="FA97" s="100">
        <f>OpCost!$E$44*FA$130</f>
        <v>572.87999999999988</v>
      </c>
      <c r="FB97" s="100">
        <f>OpCost!$E$44*FB$130</f>
        <v>554.4</v>
      </c>
      <c r="FC97" s="100">
        <f>OpCost!$E$44*FC$130</f>
        <v>572.87999999999988</v>
      </c>
      <c r="FD97" s="100">
        <f>OpCost!$E$44*FD$130</f>
        <v>554.4</v>
      </c>
      <c r="FE97" s="100">
        <f>OpCost!$E$44*FE$130</f>
        <v>572.87999999999988</v>
      </c>
      <c r="FF97" s="100">
        <f>OpCost!$E$44*FF$130</f>
        <v>572.87999999999988</v>
      </c>
      <c r="FG97" s="100">
        <f>OpCost!$E$44*FG$130</f>
        <v>517.43999999999994</v>
      </c>
      <c r="FH97" s="100">
        <f>OpCost!$E$44*FH$130</f>
        <v>572.87999999999988</v>
      </c>
      <c r="FI97" s="100">
        <f>OpCost!$E$44*FI$130</f>
        <v>554.4</v>
      </c>
      <c r="FJ97" s="100">
        <f>OpCost!$E$44*FJ$130</f>
        <v>572.87999999999988</v>
      </c>
      <c r="FK97" s="100">
        <f>OpCost!$E$44*FK$130</f>
        <v>554.4</v>
      </c>
      <c r="FL97" s="100">
        <f>OpCost!$E$44*FL$130</f>
        <v>572.87999999999988</v>
      </c>
      <c r="FM97" s="100">
        <f>OpCost!$E$44*FM$130</f>
        <v>572.87999999999988</v>
      </c>
      <c r="FN97" s="100">
        <f>OpCost!$E$44*FN$130</f>
        <v>554.4</v>
      </c>
      <c r="FO97" s="100">
        <f>OpCost!$E$44*FO$130</f>
        <v>572.87999999999988</v>
      </c>
      <c r="FP97" s="100">
        <f>OpCost!$E$44*FP$130</f>
        <v>554.4</v>
      </c>
      <c r="FQ97" s="100">
        <f>OpCost!$E$44*FQ$130</f>
        <v>572.87999999999988</v>
      </c>
      <c r="FR97" s="100">
        <f>OpCost!$E$44*FR$130</f>
        <v>572.87999999999988</v>
      </c>
      <c r="FS97" s="100">
        <f>OpCost!$E$44*FS$130</f>
        <v>517.43999999999994</v>
      </c>
      <c r="FT97" s="100">
        <f>OpCost!$E$44*FT$130</f>
        <v>572.87999999999988</v>
      </c>
      <c r="FU97" s="100">
        <f>OpCost!$E$44*FU$130</f>
        <v>554.4</v>
      </c>
      <c r="FV97" s="100">
        <f>OpCost!$E$44*FV$130</f>
        <v>572.87999999999988</v>
      </c>
      <c r="FW97" s="100">
        <f>OpCost!$E$44*FW$130</f>
        <v>554.4</v>
      </c>
      <c r="FX97" s="100">
        <f>OpCost!$E$44*FX$130</f>
        <v>572.87999999999988</v>
      </c>
      <c r="FY97" s="100">
        <f>OpCost!$E$44*FY$130</f>
        <v>572.87999999999988</v>
      </c>
      <c r="FZ97" s="100">
        <f>OpCost!$E$44*FZ$130</f>
        <v>554.4</v>
      </c>
      <c r="GA97" s="100">
        <f>OpCost!$E$44*GA$130</f>
        <v>572.87999999999988</v>
      </c>
      <c r="GB97" s="100">
        <f>OpCost!$E$44*GB$130</f>
        <v>554.4</v>
      </c>
      <c r="GC97" s="100">
        <f>OpCost!$E$44*GC$130</f>
        <v>572.87999999999988</v>
      </c>
    </row>
    <row r="98" spans="1:185">
      <c r="A98" s="80"/>
      <c r="B98" s="80" t="s">
        <v>130</v>
      </c>
      <c r="C98" s="80"/>
      <c r="D98" s="80"/>
      <c r="E98" s="82">
        <f t="shared" si="107"/>
        <v>228360</v>
      </c>
      <c r="F98" s="100">
        <f>IF(F23&gt;0, OpCost!$D$16, 0)</f>
        <v>0</v>
      </c>
      <c r="G98" s="100">
        <f>IF(G23&gt;0, OpCost!$D$16, 0)</f>
        <v>0</v>
      </c>
      <c r="H98" s="100">
        <f>IF(H23&gt;0, OpCost!$D$16, 0)</f>
        <v>0</v>
      </c>
      <c r="I98" s="100">
        <f>IF(I23&gt;0, OpCost!$D$16, 0)</f>
        <v>0</v>
      </c>
      <c r="J98" s="100">
        <f>IF(J23&gt;0, OpCost!$D$16, 0)</f>
        <v>0</v>
      </c>
      <c r="K98" s="100">
        <f>IF(K23&gt;0, OpCost!$D$16, 0)</f>
        <v>0</v>
      </c>
      <c r="L98" s="100">
        <f>IF(L23&gt;0, OpCost!$D$16, 0)</f>
        <v>0</v>
      </c>
      <c r="M98" s="100">
        <f>IF(M23&gt;0, OpCost!$D$16, 0)</f>
        <v>1320</v>
      </c>
      <c r="N98" s="100">
        <f>IF(N23&gt;0, OpCost!$D$16, 0)</f>
        <v>1320</v>
      </c>
      <c r="O98" s="100">
        <f>IF(O23&gt;0, OpCost!$D$16, 0)</f>
        <v>1320</v>
      </c>
      <c r="P98" s="100">
        <f>IF(P23&gt;0, OpCost!$D$16, 0)</f>
        <v>1320</v>
      </c>
      <c r="Q98" s="100">
        <f>IF(Q23&gt;0, OpCost!$D$16, 0)</f>
        <v>1320</v>
      </c>
      <c r="R98" s="100">
        <f>IF(R23&gt;0, OpCost!$D$16, 0)</f>
        <v>1320</v>
      </c>
      <c r="S98" s="100">
        <f>IF(S23&gt;0, OpCost!$D$16, 0)</f>
        <v>1320</v>
      </c>
      <c r="T98" s="100">
        <f>IF(T23&gt;0, OpCost!$D$16, 0)</f>
        <v>1320</v>
      </c>
      <c r="U98" s="100">
        <f>IF(U23&gt;0, OpCost!$D$16, 0)</f>
        <v>1320</v>
      </c>
      <c r="V98" s="100">
        <f>IF(V23&gt;0, OpCost!$D$16, 0)</f>
        <v>1320</v>
      </c>
      <c r="W98" s="100">
        <f>IF(W23&gt;0, OpCost!$D$16, 0)</f>
        <v>1320</v>
      </c>
      <c r="X98" s="100">
        <f>IF(X23&gt;0, OpCost!$D$16, 0)</f>
        <v>1320</v>
      </c>
      <c r="Y98" s="100">
        <f>IF(Y23&gt;0, OpCost!$D$16, 0)</f>
        <v>1320</v>
      </c>
      <c r="Z98" s="100">
        <f>IF(Z23&gt;0, OpCost!$D$16, 0)</f>
        <v>1320</v>
      </c>
      <c r="AA98" s="100">
        <f>IF(AA23&gt;0, OpCost!$D$16, 0)</f>
        <v>1320</v>
      </c>
      <c r="AB98" s="100">
        <f>IF(AB23&gt;0, OpCost!$D$16, 0)</f>
        <v>1320</v>
      </c>
      <c r="AC98" s="100">
        <f>IF(AC23&gt;0, OpCost!$D$16, 0)</f>
        <v>1320</v>
      </c>
      <c r="AD98" s="100">
        <f>IF(AD23&gt;0, OpCost!$D$16, 0)</f>
        <v>1320</v>
      </c>
      <c r="AE98" s="100">
        <f>IF(AE23&gt;0, OpCost!$D$16, 0)</f>
        <v>1320</v>
      </c>
      <c r="AF98" s="100">
        <f>IF(AF23&gt;0, OpCost!$D$16, 0)</f>
        <v>1320</v>
      </c>
      <c r="AG98" s="100">
        <f>IF(AG23&gt;0, OpCost!$D$16, 0)</f>
        <v>1320</v>
      </c>
      <c r="AH98" s="100">
        <f>IF(AH23&gt;0, OpCost!$D$16, 0)</f>
        <v>1320</v>
      </c>
      <c r="AI98" s="100">
        <f>IF(AI23&gt;0, OpCost!$D$16, 0)</f>
        <v>1320</v>
      </c>
      <c r="AJ98" s="100">
        <f>IF(AJ23&gt;0, OpCost!$D$16, 0)</f>
        <v>1320</v>
      </c>
      <c r="AK98" s="100">
        <f>IF(AK23&gt;0, OpCost!$D$16, 0)</f>
        <v>1320</v>
      </c>
      <c r="AL98" s="100">
        <f>IF(AL23&gt;0, OpCost!$D$16, 0)</f>
        <v>1320</v>
      </c>
      <c r="AM98" s="100">
        <f>IF(AM23&gt;0, OpCost!$D$16, 0)</f>
        <v>1320</v>
      </c>
      <c r="AN98" s="100">
        <f>IF(AN23&gt;0, OpCost!$D$16, 0)</f>
        <v>1320</v>
      </c>
      <c r="AO98" s="100">
        <f>IF(AO23&gt;0, OpCost!$D$16, 0)</f>
        <v>1320</v>
      </c>
      <c r="AP98" s="100">
        <f>IF(AP23&gt;0, OpCost!$D$16, 0)</f>
        <v>1320</v>
      </c>
      <c r="AQ98" s="100">
        <f>IF(AQ23&gt;0, OpCost!$D$16, 0)</f>
        <v>1320</v>
      </c>
      <c r="AR98" s="100">
        <f>IF(AR23&gt;0, OpCost!$D$16, 0)</f>
        <v>1320</v>
      </c>
      <c r="AS98" s="100">
        <f>IF(AS23&gt;0, OpCost!$D$16, 0)</f>
        <v>1320</v>
      </c>
      <c r="AT98" s="100">
        <f>IF(AT23&gt;0, OpCost!$D$16, 0)</f>
        <v>1320</v>
      </c>
      <c r="AU98" s="100">
        <f>IF(AU23&gt;0, OpCost!$D$16, 0)</f>
        <v>1320</v>
      </c>
      <c r="AV98" s="100">
        <f>IF(AV23&gt;0, OpCost!$D$16, 0)</f>
        <v>1320</v>
      </c>
      <c r="AW98" s="100">
        <f>IF(AW23&gt;0, OpCost!$D$16, 0)</f>
        <v>1320</v>
      </c>
      <c r="AX98" s="100">
        <f>IF(AX23&gt;0, OpCost!$D$16, 0)</f>
        <v>1320</v>
      </c>
      <c r="AY98" s="100">
        <f>IF(AY23&gt;0, OpCost!$D$16, 0)</f>
        <v>1320</v>
      </c>
      <c r="AZ98" s="100">
        <f>IF(AZ23&gt;0, OpCost!$D$16, 0)</f>
        <v>1320</v>
      </c>
      <c r="BA98" s="100">
        <f>IF(BA23&gt;0, OpCost!$D$16, 0)</f>
        <v>1320</v>
      </c>
      <c r="BB98" s="100">
        <f>IF(BB23&gt;0, OpCost!$D$16, 0)</f>
        <v>1320</v>
      </c>
      <c r="BC98" s="100">
        <f>IF(BC23&gt;0, OpCost!$D$16, 0)</f>
        <v>1320</v>
      </c>
      <c r="BD98" s="100">
        <f>IF(BD23&gt;0, OpCost!$D$16, 0)</f>
        <v>1320</v>
      </c>
      <c r="BE98" s="100">
        <f>IF(BE23&gt;0, OpCost!$D$16, 0)</f>
        <v>1320</v>
      </c>
      <c r="BF98" s="100">
        <f>IF(BF23&gt;0, OpCost!$D$16, 0)</f>
        <v>1320</v>
      </c>
      <c r="BG98" s="100">
        <f>IF(BG23&gt;0, OpCost!$D$16, 0)</f>
        <v>1320</v>
      </c>
      <c r="BH98" s="100">
        <f>IF(BH23&gt;0, OpCost!$D$16, 0)</f>
        <v>1320</v>
      </c>
      <c r="BI98" s="100">
        <f>IF(BI23&gt;0, OpCost!$D$16, 0)</f>
        <v>1320</v>
      </c>
      <c r="BJ98" s="100">
        <f>IF(BJ23&gt;0, OpCost!$D$16, 0)</f>
        <v>1320</v>
      </c>
      <c r="BK98" s="100">
        <f>IF(BK23&gt;0, OpCost!$D$16, 0)</f>
        <v>1320</v>
      </c>
      <c r="BL98" s="100">
        <f>IF(BL23&gt;0, OpCost!$D$16, 0)</f>
        <v>1320</v>
      </c>
      <c r="BM98" s="100">
        <f>IF(BM23&gt;0, OpCost!$D$16, 0)</f>
        <v>1320</v>
      </c>
      <c r="BN98" s="100">
        <f>IF(BN23&gt;0, OpCost!$D$16, 0)</f>
        <v>1320</v>
      </c>
      <c r="BO98" s="100">
        <f>IF(BO23&gt;0, OpCost!$D$16, 0)</f>
        <v>1320</v>
      </c>
      <c r="BP98" s="100">
        <f>IF(BP23&gt;0, OpCost!$D$16, 0)</f>
        <v>1320</v>
      </c>
      <c r="BQ98" s="100">
        <f>IF(BQ23&gt;0, OpCost!$D$16, 0)</f>
        <v>1320</v>
      </c>
      <c r="BR98" s="100">
        <f>IF(BR23&gt;0, OpCost!$D$16, 0)</f>
        <v>1320</v>
      </c>
      <c r="BS98" s="100">
        <f>IF(BS23&gt;0, OpCost!$D$16, 0)</f>
        <v>1320</v>
      </c>
      <c r="BT98" s="100">
        <f>IF(BT23&gt;0, OpCost!$D$16, 0)</f>
        <v>1320</v>
      </c>
      <c r="BU98" s="100">
        <f>IF(BU23&gt;0, OpCost!$D$16, 0)</f>
        <v>1320</v>
      </c>
      <c r="BV98" s="100">
        <f>IF(BV23&gt;0, OpCost!$D$16, 0)</f>
        <v>1320</v>
      </c>
      <c r="BW98" s="100">
        <f>IF(BW23&gt;0, OpCost!$D$16, 0)</f>
        <v>1320</v>
      </c>
      <c r="BX98" s="100">
        <f>IF(BX23&gt;0, OpCost!$D$16, 0)</f>
        <v>1320</v>
      </c>
      <c r="BY98" s="100">
        <f>IF(BY23&gt;0, OpCost!$D$16, 0)</f>
        <v>1320</v>
      </c>
      <c r="BZ98" s="100">
        <f>IF(BZ23&gt;0, OpCost!$D$16, 0)</f>
        <v>1320</v>
      </c>
      <c r="CA98" s="100">
        <f>IF(CA23&gt;0, OpCost!$D$16, 0)</f>
        <v>1320</v>
      </c>
      <c r="CB98" s="100">
        <f>IF(CB23&gt;0, OpCost!$D$16, 0)</f>
        <v>1320</v>
      </c>
      <c r="CC98" s="100">
        <f>IF(CC23&gt;0, OpCost!$D$16, 0)</f>
        <v>1320</v>
      </c>
      <c r="CD98" s="100">
        <f>IF(CD23&gt;0, OpCost!$D$16, 0)</f>
        <v>1320</v>
      </c>
      <c r="CE98" s="100">
        <f>IF(CE23&gt;0, OpCost!$D$16, 0)</f>
        <v>1320</v>
      </c>
      <c r="CF98" s="100">
        <f>IF(CF23&gt;0, OpCost!$D$16, 0)</f>
        <v>1320</v>
      </c>
      <c r="CG98" s="100">
        <f>IF(CG23&gt;0, OpCost!$D$16, 0)</f>
        <v>1320</v>
      </c>
      <c r="CH98" s="100">
        <f>IF(CH23&gt;0, OpCost!$D$16, 0)</f>
        <v>1320</v>
      </c>
      <c r="CI98" s="100">
        <f>IF(CI23&gt;0, OpCost!$D$16, 0)</f>
        <v>1320</v>
      </c>
      <c r="CJ98" s="100">
        <f>IF(CJ23&gt;0, OpCost!$D$16, 0)</f>
        <v>1320</v>
      </c>
      <c r="CK98" s="100">
        <f>IF(CK23&gt;0, OpCost!$D$16, 0)</f>
        <v>1320</v>
      </c>
      <c r="CL98" s="100">
        <f>IF(CL23&gt;0, OpCost!$D$16, 0)</f>
        <v>1320</v>
      </c>
      <c r="CM98" s="100">
        <f>IF(CM23&gt;0, OpCost!$D$16, 0)</f>
        <v>1320</v>
      </c>
      <c r="CN98" s="100">
        <f>IF(CN23&gt;0, OpCost!$D$16, 0)</f>
        <v>1320</v>
      </c>
      <c r="CO98" s="100">
        <f>IF(CO23&gt;0, OpCost!$D$16, 0)</f>
        <v>1320</v>
      </c>
      <c r="CP98" s="100">
        <f>IF(CP23&gt;0, OpCost!$D$16, 0)</f>
        <v>1320</v>
      </c>
      <c r="CQ98" s="100">
        <f>IF(CQ23&gt;0, OpCost!$D$16, 0)</f>
        <v>1320</v>
      </c>
      <c r="CR98" s="100">
        <f>IF(CR23&gt;0, OpCost!$D$16, 0)</f>
        <v>1320</v>
      </c>
      <c r="CS98" s="100">
        <f>IF(CS23&gt;0, OpCost!$D$16, 0)</f>
        <v>1320</v>
      </c>
      <c r="CT98" s="100">
        <f>IF(CT23&gt;0, OpCost!$D$16, 0)</f>
        <v>1320</v>
      </c>
      <c r="CU98" s="100">
        <f>IF(CU23&gt;0, OpCost!$D$16, 0)</f>
        <v>1320</v>
      </c>
      <c r="CV98" s="100">
        <f>IF(CV23&gt;0, OpCost!$D$16, 0)</f>
        <v>1320</v>
      </c>
      <c r="CW98" s="100">
        <f>IF(CW23&gt;0, OpCost!$D$16, 0)</f>
        <v>1320</v>
      </c>
      <c r="CX98" s="100">
        <f>IF(CX23&gt;0, OpCost!$D$16, 0)</f>
        <v>1320</v>
      </c>
      <c r="CY98" s="100">
        <f>IF(CY23&gt;0, OpCost!$D$16, 0)</f>
        <v>1320</v>
      </c>
      <c r="CZ98" s="100">
        <f>IF(CZ23&gt;0, OpCost!$D$16, 0)</f>
        <v>1320</v>
      </c>
      <c r="DA98" s="100">
        <f>IF(DA23&gt;0, OpCost!$D$16, 0)</f>
        <v>1320</v>
      </c>
      <c r="DB98" s="100">
        <f>IF(DB23&gt;0, OpCost!$D$16, 0)</f>
        <v>1320</v>
      </c>
      <c r="DC98" s="100">
        <f>IF(DC23&gt;0, OpCost!$D$16, 0)</f>
        <v>1320</v>
      </c>
      <c r="DD98" s="100">
        <f>IF(DD23&gt;0, OpCost!$D$16, 0)</f>
        <v>1320</v>
      </c>
      <c r="DE98" s="100">
        <f>IF(DE23&gt;0, OpCost!$D$16, 0)</f>
        <v>1320</v>
      </c>
      <c r="DF98" s="100">
        <f>IF(DF23&gt;0, OpCost!$D$16, 0)</f>
        <v>1320</v>
      </c>
      <c r="DG98" s="100">
        <f>IF(DG23&gt;0, OpCost!$D$16, 0)</f>
        <v>1320</v>
      </c>
      <c r="DH98" s="100">
        <f>IF(DH23&gt;0, OpCost!$D$16, 0)</f>
        <v>1320</v>
      </c>
      <c r="DI98" s="100">
        <f>IF(DI23&gt;0, OpCost!$D$16, 0)</f>
        <v>1320</v>
      </c>
      <c r="DJ98" s="100">
        <f>IF(DJ23&gt;0, OpCost!$D$16, 0)</f>
        <v>1320</v>
      </c>
      <c r="DK98" s="100">
        <f>IF(DK23&gt;0, OpCost!$D$16, 0)</f>
        <v>1320</v>
      </c>
      <c r="DL98" s="100">
        <f>IF(DL23&gt;0, OpCost!$D$16, 0)</f>
        <v>1320</v>
      </c>
      <c r="DM98" s="100">
        <f>IF(DM23&gt;0, OpCost!$D$16, 0)</f>
        <v>1320</v>
      </c>
      <c r="DN98" s="100">
        <f>IF(DN23&gt;0, OpCost!$D$16, 0)</f>
        <v>1320</v>
      </c>
      <c r="DO98" s="100">
        <f>IF(DO23&gt;0, OpCost!$D$16, 0)</f>
        <v>1320</v>
      </c>
      <c r="DP98" s="100">
        <f>IF(DP23&gt;0, OpCost!$D$16, 0)</f>
        <v>1320</v>
      </c>
      <c r="DQ98" s="100">
        <f>IF(DQ23&gt;0, OpCost!$D$16, 0)</f>
        <v>1320</v>
      </c>
      <c r="DR98" s="100">
        <f>IF(DR23&gt;0, OpCost!$D$16, 0)</f>
        <v>1320</v>
      </c>
      <c r="DS98" s="100">
        <f>IF(DS23&gt;0, OpCost!$D$16, 0)</f>
        <v>1320</v>
      </c>
      <c r="DT98" s="100">
        <f>IF(DT23&gt;0, OpCost!$D$16, 0)</f>
        <v>1320</v>
      </c>
      <c r="DU98" s="100">
        <f>IF(DU23&gt;0, OpCost!$D$16, 0)</f>
        <v>1320</v>
      </c>
      <c r="DV98" s="100">
        <f>IF(DV23&gt;0, OpCost!$D$16, 0)</f>
        <v>1320</v>
      </c>
      <c r="DW98" s="100">
        <f>IF(DW23&gt;0, OpCost!$D$16, 0)</f>
        <v>1320</v>
      </c>
      <c r="DX98" s="100">
        <f>IF(DX23&gt;0, OpCost!$D$16, 0)</f>
        <v>1320</v>
      </c>
      <c r="DY98" s="100">
        <f>IF(DY23&gt;0, OpCost!$D$16, 0)</f>
        <v>1320</v>
      </c>
      <c r="DZ98" s="100">
        <f>IF(DZ23&gt;0, OpCost!$D$16, 0)</f>
        <v>1320</v>
      </c>
      <c r="EA98" s="100">
        <f>IF(EA23&gt;0, OpCost!$D$16, 0)</f>
        <v>1320</v>
      </c>
      <c r="EB98" s="100">
        <f>IF(EB23&gt;0, OpCost!$D$16, 0)</f>
        <v>1320</v>
      </c>
      <c r="EC98" s="100">
        <f>IF(EC23&gt;0, OpCost!$D$16, 0)</f>
        <v>1320</v>
      </c>
      <c r="ED98" s="100">
        <f>IF(ED23&gt;0, OpCost!$D$16, 0)</f>
        <v>1320</v>
      </c>
      <c r="EE98" s="100">
        <f>IF(EE23&gt;0, OpCost!$D$16, 0)</f>
        <v>1320</v>
      </c>
      <c r="EF98" s="100">
        <f>IF(EF23&gt;0, OpCost!$D$16, 0)</f>
        <v>1320</v>
      </c>
      <c r="EG98" s="100">
        <f>IF(EG23&gt;0, OpCost!$D$16, 0)</f>
        <v>1320</v>
      </c>
      <c r="EH98" s="100">
        <f>IF(EH23&gt;0, OpCost!$D$16, 0)</f>
        <v>1320</v>
      </c>
      <c r="EI98" s="100">
        <f>IF(EI23&gt;0, OpCost!$D$16, 0)</f>
        <v>1320</v>
      </c>
      <c r="EJ98" s="100">
        <f>IF(EJ23&gt;0, OpCost!$D$16, 0)</f>
        <v>1320</v>
      </c>
      <c r="EK98" s="100">
        <f>IF(EK23&gt;0, OpCost!$D$16, 0)</f>
        <v>1320</v>
      </c>
      <c r="EL98" s="100">
        <f>IF(EL23&gt;0, OpCost!$D$16, 0)</f>
        <v>1320</v>
      </c>
      <c r="EM98" s="100">
        <f>IF(EM23&gt;0, OpCost!$D$16, 0)</f>
        <v>1320</v>
      </c>
      <c r="EN98" s="100">
        <f>IF(EN23&gt;0, OpCost!$D$16, 0)</f>
        <v>1320</v>
      </c>
      <c r="EO98" s="100">
        <f>IF(EO23&gt;0, OpCost!$D$16, 0)</f>
        <v>1320</v>
      </c>
      <c r="EP98" s="100">
        <f>IF(EP23&gt;0, OpCost!$D$16, 0)</f>
        <v>1320</v>
      </c>
      <c r="EQ98" s="100">
        <f>IF(EQ23&gt;0, OpCost!$D$16, 0)</f>
        <v>1320</v>
      </c>
      <c r="ER98" s="100">
        <f>IF(ER23&gt;0, OpCost!$D$16, 0)</f>
        <v>1320</v>
      </c>
      <c r="ES98" s="100">
        <f>IF(ES23&gt;0, OpCost!$D$16, 0)</f>
        <v>1320</v>
      </c>
      <c r="ET98" s="100">
        <f>IF(ET23&gt;0, OpCost!$D$16, 0)</f>
        <v>1320</v>
      </c>
      <c r="EU98" s="100">
        <f>IF(EU23&gt;0, OpCost!$D$16, 0)</f>
        <v>1320</v>
      </c>
      <c r="EV98" s="100">
        <f>IF(EV23&gt;0, OpCost!$D$16, 0)</f>
        <v>1320</v>
      </c>
      <c r="EW98" s="100">
        <f>IF(EW23&gt;0, OpCost!$D$16, 0)</f>
        <v>1320</v>
      </c>
      <c r="EX98" s="100">
        <f>IF(EX23&gt;0, OpCost!$D$16, 0)</f>
        <v>1320</v>
      </c>
      <c r="EY98" s="100">
        <f>IF(EY23&gt;0, OpCost!$D$16, 0)</f>
        <v>1320</v>
      </c>
      <c r="EZ98" s="100">
        <f>IF(EZ23&gt;0, OpCost!$D$16, 0)</f>
        <v>1320</v>
      </c>
      <c r="FA98" s="100">
        <f>IF(FA23&gt;0, OpCost!$D$16, 0)</f>
        <v>1320</v>
      </c>
      <c r="FB98" s="100">
        <f>IF(FB23&gt;0, OpCost!$D$16, 0)</f>
        <v>1320</v>
      </c>
      <c r="FC98" s="100">
        <f>IF(FC23&gt;0, OpCost!$D$16, 0)</f>
        <v>1320</v>
      </c>
      <c r="FD98" s="100">
        <f>IF(FD23&gt;0, OpCost!$D$16, 0)</f>
        <v>1320</v>
      </c>
      <c r="FE98" s="100">
        <f>IF(FE23&gt;0, OpCost!$D$16, 0)</f>
        <v>1320</v>
      </c>
      <c r="FF98" s="100">
        <f>IF(FF23&gt;0, OpCost!$D$16, 0)</f>
        <v>1320</v>
      </c>
      <c r="FG98" s="100">
        <f>IF(FG23&gt;0, OpCost!$D$16, 0)</f>
        <v>1320</v>
      </c>
      <c r="FH98" s="100">
        <f>IF(FH23&gt;0, OpCost!$D$16, 0)</f>
        <v>1320</v>
      </c>
      <c r="FI98" s="100">
        <f>IF(FI23&gt;0, OpCost!$D$16, 0)</f>
        <v>1320</v>
      </c>
      <c r="FJ98" s="100">
        <f>IF(FJ23&gt;0, OpCost!$D$16, 0)</f>
        <v>1320</v>
      </c>
      <c r="FK98" s="100">
        <f>IF(FK23&gt;0, OpCost!$D$16, 0)</f>
        <v>1320</v>
      </c>
      <c r="FL98" s="100">
        <f>IF(FL23&gt;0, OpCost!$D$16, 0)</f>
        <v>1320</v>
      </c>
      <c r="FM98" s="100">
        <f>IF(FM23&gt;0, OpCost!$D$16, 0)</f>
        <v>1320</v>
      </c>
      <c r="FN98" s="100">
        <f>IF(FN23&gt;0, OpCost!$D$16, 0)</f>
        <v>1320</v>
      </c>
      <c r="FO98" s="100">
        <f>IF(FO23&gt;0, OpCost!$D$16, 0)</f>
        <v>1320</v>
      </c>
      <c r="FP98" s="100">
        <f>IF(FP23&gt;0, OpCost!$D$16, 0)</f>
        <v>1320</v>
      </c>
      <c r="FQ98" s="100">
        <f>IF(FQ23&gt;0, OpCost!$D$16, 0)</f>
        <v>1320</v>
      </c>
      <c r="FR98" s="100">
        <f>IF(FR23&gt;0, OpCost!$D$16, 0)</f>
        <v>1320</v>
      </c>
      <c r="FS98" s="100">
        <f>IF(FS23&gt;0, OpCost!$D$16, 0)</f>
        <v>1320</v>
      </c>
      <c r="FT98" s="100">
        <f>IF(FT23&gt;0, OpCost!$D$16, 0)</f>
        <v>1320</v>
      </c>
      <c r="FU98" s="100">
        <f>IF(FU23&gt;0, OpCost!$D$16, 0)</f>
        <v>1320</v>
      </c>
      <c r="FV98" s="100">
        <f>IF(FV23&gt;0, OpCost!$D$16, 0)</f>
        <v>1320</v>
      </c>
      <c r="FW98" s="100">
        <f>IF(FW23&gt;0, OpCost!$D$16, 0)</f>
        <v>1320</v>
      </c>
      <c r="FX98" s="100">
        <f>IF(FX23&gt;0, OpCost!$D$16, 0)</f>
        <v>1320</v>
      </c>
      <c r="FY98" s="100">
        <f>IF(FY23&gt;0, OpCost!$D$16, 0)</f>
        <v>1320</v>
      </c>
      <c r="FZ98" s="100">
        <f>IF(FZ23&gt;0, OpCost!$D$16, 0)</f>
        <v>1320</v>
      </c>
      <c r="GA98" s="100">
        <f>IF(GA23&gt;0, OpCost!$D$16, 0)</f>
        <v>1320</v>
      </c>
      <c r="GB98" s="100">
        <f>IF(GB23&gt;0, OpCost!$D$16, 0)</f>
        <v>1320</v>
      </c>
      <c r="GC98" s="100">
        <f>IF(GC23&gt;0, OpCost!$D$16, 0)</f>
        <v>1320</v>
      </c>
    </row>
    <row r="99" spans="1:185">
      <c r="A99" s="80"/>
      <c r="B99" s="80" t="s">
        <v>131</v>
      </c>
      <c r="C99" s="80" t="s">
        <v>32</v>
      </c>
      <c r="D99" s="80"/>
      <c r="E99" s="82">
        <f>SUM(F99:GC99)</f>
        <v>5759851.3555440092</v>
      </c>
      <c r="F99" s="111">
        <f>SUM(F86:F98)</f>
        <v>0</v>
      </c>
      <c r="G99" s="111">
        <f t="shared" ref="G99:BR99" si="108">SUM(G86:G98)</f>
        <v>0</v>
      </c>
      <c r="H99" s="111">
        <f t="shared" si="108"/>
        <v>0</v>
      </c>
      <c r="I99" s="111">
        <f t="shared" si="108"/>
        <v>0</v>
      </c>
      <c r="J99" s="111">
        <f t="shared" si="108"/>
        <v>0</v>
      </c>
      <c r="K99" s="111">
        <f t="shared" si="108"/>
        <v>0</v>
      </c>
      <c r="L99" s="111">
        <f t="shared" si="108"/>
        <v>0</v>
      </c>
      <c r="M99" s="111">
        <f t="shared" si="108"/>
        <v>33901.461528</v>
      </c>
      <c r="N99" s="111">
        <f t="shared" si="108"/>
        <v>32850.446639999995</v>
      </c>
      <c r="O99" s="111">
        <f t="shared" si="108"/>
        <v>33901.461528</v>
      </c>
      <c r="P99" s="111">
        <f t="shared" si="108"/>
        <v>32850.446639999995</v>
      </c>
      <c r="Q99" s="111">
        <f t="shared" si="108"/>
        <v>33901.461528</v>
      </c>
      <c r="R99" s="111">
        <f t="shared" si="108"/>
        <v>33901.461528</v>
      </c>
      <c r="S99" s="111">
        <f t="shared" si="108"/>
        <v>30748.416864000006</v>
      </c>
      <c r="T99" s="111">
        <f t="shared" si="108"/>
        <v>33901.461528</v>
      </c>
      <c r="U99" s="111">
        <f t="shared" si="108"/>
        <v>32850.446639999995</v>
      </c>
      <c r="V99" s="111">
        <f t="shared" si="108"/>
        <v>33901.461528</v>
      </c>
      <c r="W99" s="111">
        <f t="shared" si="108"/>
        <v>32850.446639999995</v>
      </c>
      <c r="X99" s="111">
        <f t="shared" si="108"/>
        <v>33901.461528</v>
      </c>
      <c r="Y99" s="111">
        <f t="shared" si="108"/>
        <v>33901.461528</v>
      </c>
      <c r="Z99" s="111">
        <f t="shared" si="108"/>
        <v>32850.446639999995</v>
      </c>
      <c r="AA99" s="111">
        <f t="shared" si="108"/>
        <v>33901.461528</v>
      </c>
      <c r="AB99" s="111">
        <f t="shared" si="108"/>
        <v>32850.446639999995</v>
      </c>
      <c r="AC99" s="111">
        <f t="shared" si="108"/>
        <v>33901.461528</v>
      </c>
      <c r="AD99" s="111">
        <f t="shared" si="108"/>
        <v>33901.461528</v>
      </c>
      <c r="AE99" s="111">
        <f t="shared" si="108"/>
        <v>30748.416864000006</v>
      </c>
      <c r="AF99" s="111">
        <f t="shared" si="108"/>
        <v>33901.461528</v>
      </c>
      <c r="AG99" s="111">
        <f t="shared" si="108"/>
        <v>32850.446639999995</v>
      </c>
      <c r="AH99" s="111">
        <f t="shared" si="108"/>
        <v>33901.461528</v>
      </c>
      <c r="AI99" s="111">
        <f t="shared" si="108"/>
        <v>32850.446639999995</v>
      </c>
      <c r="AJ99" s="111">
        <f t="shared" si="108"/>
        <v>33901.461528</v>
      </c>
      <c r="AK99" s="111">
        <f t="shared" si="108"/>
        <v>33901.461528</v>
      </c>
      <c r="AL99" s="111">
        <f t="shared" si="108"/>
        <v>32850.446639999995</v>
      </c>
      <c r="AM99" s="111">
        <f t="shared" si="108"/>
        <v>33901.461528</v>
      </c>
      <c r="AN99" s="111">
        <f t="shared" si="108"/>
        <v>32850.446639999995</v>
      </c>
      <c r="AO99" s="111">
        <f t="shared" si="108"/>
        <v>33901.461528</v>
      </c>
      <c r="AP99" s="111">
        <f t="shared" si="108"/>
        <v>33901.461528</v>
      </c>
      <c r="AQ99" s="111">
        <f t="shared" si="108"/>
        <v>30748.416864000006</v>
      </c>
      <c r="AR99" s="111">
        <f t="shared" si="108"/>
        <v>33901.461528</v>
      </c>
      <c r="AS99" s="111">
        <f t="shared" si="108"/>
        <v>32850.446639999995</v>
      </c>
      <c r="AT99" s="111">
        <f t="shared" si="108"/>
        <v>33901.461528</v>
      </c>
      <c r="AU99" s="111">
        <f t="shared" si="108"/>
        <v>32850.446639999995</v>
      </c>
      <c r="AV99" s="111">
        <f t="shared" si="108"/>
        <v>33901.461528</v>
      </c>
      <c r="AW99" s="111">
        <f t="shared" si="108"/>
        <v>33901.461528</v>
      </c>
      <c r="AX99" s="111">
        <f t="shared" si="108"/>
        <v>32850.446639999995</v>
      </c>
      <c r="AY99" s="111">
        <f t="shared" si="108"/>
        <v>33901.461528</v>
      </c>
      <c r="AZ99" s="111">
        <f t="shared" si="108"/>
        <v>32850.446639999995</v>
      </c>
      <c r="BA99" s="111">
        <f t="shared" si="108"/>
        <v>33901.461528</v>
      </c>
      <c r="BB99" s="111">
        <f t="shared" si="108"/>
        <v>33901.461528</v>
      </c>
      <c r="BC99" s="111">
        <f t="shared" si="108"/>
        <v>30748.416864000006</v>
      </c>
      <c r="BD99" s="111">
        <f t="shared" si="108"/>
        <v>33901.461528</v>
      </c>
      <c r="BE99" s="111">
        <f t="shared" si="108"/>
        <v>32850.446639999995</v>
      </c>
      <c r="BF99" s="111">
        <f t="shared" si="108"/>
        <v>33901.461528</v>
      </c>
      <c r="BG99" s="111">
        <f t="shared" si="108"/>
        <v>32850.446639999995</v>
      </c>
      <c r="BH99" s="111">
        <f t="shared" si="108"/>
        <v>33901.461528</v>
      </c>
      <c r="BI99" s="111">
        <f t="shared" si="108"/>
        <v>33901.461528</v>
      </c>
      <c r="BJ99" s="111">
        <f t="shared" si="108"/>
        <v>32850.446639999995</v>
      </c>
      <c r="BK99" s="111">
        <f t="shared" si="108"/>
        <v>33901.461528</v>
      </c>
      <c r="BL99" s="111">
        <f t="shared" si="108"/>
        <v>32850.446639999995</v>
      </c>
      <c r="BM99" s="111">
        <f t="shared" si="108"/>
        <v>33901.461528</v>
      </c>
      <c r="BN99" s="111">
        <f t="shared" si="108"/>
        <v>33901.461528</v>
      </c>
      <c r="BO99" s="111">
        <f t="shared" si="108"/>
        <v>30748.416864000006</v>
      </c>
      <c r="BP99" s="111">
        <f t="shared" si="108"/>
        <v>33901.461528</v>
      </c>
      <c r="BQ99" s="111">
        <f t="shared" si="108"/>
        <v>32850.446639999995</v>
      </c>
      <c r="BR99" s="111">
        <f t="shared" si="108"/>
        <v>33901.461528</v>
      </c>
      <c r="BS99" s="111">
        <f t="shared" ref="BS99:ED99" si="109">SUM(BS86:BS98)</f>
        <v>32850.446639999995</v>
      </c>
      <c r="BT99" s="111">
        <f t="shared" si="109"/>
        <v>33901.461528</v>
      </c>
      <c r="BU99" s="111">
        <f t="shared" si="109"/>
        <v>33901.461528</v>
      </c>
      <c r="BV99" s="111">
        <f t="shared" si="109"/>
        <v>32850.446639999995</v>
      </c>
      <c r="BW99" s="111">
        <f t="shared" si="109"/>
        <v>33901.461528</v>
      </c>
      <c r="BX99" s="111">
        <f t="shared" si="109"/>
        <v>32850.446639999995</v>
      </c>
      <c r="BY99" s="111">
        <f t="shared" si="109"/>
        <v>33901.461528</v>
      </c>
      <c r="BZ99" s="111">
        <f t="shared" si="109"/>
        <v>33901.461528</v>
      </c>
      <c r="CA99" s="111">
        <f t="shared" si="109"/>
        <v>30748.416864000006</v>
      </c>
      <c r="CB99" s="111">
        <f t="shared" si="109"/>
        <v>33901.461528</v>
      </c>
      <c r="CC99" s="111">
        <f t="shared" si="109"/>
        <v>32850.446639999995</v>
      </c>
      <c r="CD99" s="111">
        <f t="shared" si="109"/>
        <v>33901.461528</v>
      </c>
      <c r="CE99" s="111">
        <f t="shared" si="109"/>
        <v>32850.446639999995</v>
      </c>
      <c r="CF99" s="111">
        <f t="shared" si="109"/>
        <v>33901.461528</v>
      </c>
      <c r="CG99" s="111">
        <f t="shared" si="109"/>
        <v>33901.461528</v>
      </c>
      <c r="CH99" s="111">
        <f t="shared" si="109"/>
        <v>32850.446639999995</v>
      </c>
      <c r="CI99" s="111">
        <f t="shared" si="109"/>
        <v>33901.461528</v>
      </c>
      <c r="CJ99" s="111">
        <f t="shared" si="109"/>
        <v>32850.446639999995</v>
      </c>
      <c r="CK99" s="111">
        <f t="shared" si="109"/>
        <v>33901.461528</v>
      </c>
      <c r="CL99" s="111">
        <f t="shared" si="109"/>
        <v>33901.461528</v>
      </c>
      <c r="CM99" s="111">
        <f t="shared" si="109"/>
        <v>30748.416864000006</v>
      </c>
      <c r="CN99" s="111">
        <f t="shared" si="109"/>
        <v>33901.461528</v>
      </c>
      <c r="CO99" s="111">
        <f t="shared" si="109"/>
        <v>32850.446639999995</v>
      </c>
      <c r="CP99" s="111">
        <f t="shared" si="109"/>
        <v>33901.461528</v>
      </c>
      <c r="CQ99" s="111">
        <f t="shared" si="109"/>
        <v>32850.446639999995</v>
      </c>
      <c r="CR99" s="111">
        <f t="shared" si="109"/>
        <v>33901.461528</v>
      </c>
      <c r="CS99" s="111">
        <f t="shared" si="109"/>
        <v>33901.461528</v>
      </c>
      <c r="CT99" s="111">
        <f t="shared" si="109"/>
        <v>32850.446639999995</v>
      </c>
      <c r="CU99" s="111">
        <f t="shared" si="109"/>
        <v>33901.461528</v>
      </c>
      <c r="CV99" s="111">
        <f t="shared" si="109"/>
        <v>32850.446639999995</v>
      </c>
      <c r="CW99" s="111">
        <f t="shared" si="109"/>
        <v>33901.461528</v>
      </c>
      <c r="CX99" s="111">
        <f t="shared" si="109"/>
        <v>33901.461528</v>
      </c>
      <c r="CY99" s="111">
        <f t="shared" si="109"/>
        <v>30748.416864000006</v>
      </c>
      <c r="CZ99" s="111">
        <f t="shared" si="109"/>
        <v>33901.461528</v>
      </c>
      <c r="DA99" s="111">
        <f t="shared" si="109"/>
        <v>32850.446639999995</v>
      </c>
      <c r="DB99" s="111">
        <f t="shared" si="109"/>
        <v>33901.461528</v>
      </c>
      <c r="DC99" s="111">
        <f t="shared" si="109"/>
        <v>32850.446639999995</v>
      </c>
      <c r="DD99" s="111">
        <f t="shared" si="109"/>
        <v>33901.461528</v>
      </c>
      <c r="DE99" s="111">
        <f t="shared" si="109"/>
        <v>33901.461528</v>
      </c>
      <c r="DF99" s="111">
        <f t="shared" si="109"/>
        <v>32850.446639999995</v>
      </c>
      <c r="DG99" s="111">
        <f t="shared" si="109"/>
        <v>33901.461528</v>
      </c>
      <c r="DH99" s="111">
        <f t="shared" si="109"/>
        <v>32850.446639999995</v>
      </c>
      <c r="DI99" s="111">
        <f t="shared" si="109"/>
        <v>33901.461528</v>
      </c>
      <c r="DJ99" s="111">
        <f t="shared" si="109"/>
        <v>33901.461528</v>
      </c>
      <c r="DK99" s="111">
        <f t="shared" si="109"/>
        <v>30748.416864000006</v>
      </c>
      <c r="DL99" s="111">
        <f t="shared" si="109"/>
        <v>33901.461528</v>
      </c>
      <c r="DM99" s="111">
        <f t="shared" si="109"/>
        <v>32850.446639999995</v>
      </c>
      <c r="DN99" s="111">
        <f t="shared" si="109"/>
        <v>33901.461528</v>
      </c>
      <c r="DO99" s="111">
        <f t="shared" si="109"/>
        <v>32850.446639999995</v>
      </c>
      <c r="DP99" s="111">
        <f t="shared" si="109"/>
        <v>33901.461528</v>
      </c>
      <c r="DQ99" s="111">
        <f t="shared" si="109"/>
        <v>33901.461528</v>
      </c>
      <c r="DR99" s="111">
        <f t="shared" si="109"/>
        <v>32850.446639999995</v>
      </c>
      <c r="DS99" s="111">
        <f t="shared" si="109"/>
        <v>33901.461528</v>
      </c>
      <c r="DT99" s="111">
        <f t="shared" si="109"/>
        <v>32850.446639999995</v>
      </c>
      <c r="DU99" s="111">
        <f t="shared" si="109"/>
        <v>33901.461528</v>
      </c>
      <c r="DV99" s="111">
        <f t="shared" si="109"/>
        <v>33901.461528</v>
      </c>
      <c r="DW99" s="111">
        <f t="shared" si="109"/>
        <v>30748.416864000006</v>
      </c>
      <c r="DX99" s="111">
        <f t="shared" si="109"/>
        <v>33901.461528</v>
      </c>
      <c r="DY99" s="111">
        <f t="shared" si="109"/>
        <v>32850.446639999995</v>
      </c>
      <c r="DZ99" s="111">
        <f t="shared" si="109"/>
        <v>33901.461528</v>
      </c>
      <c r="EA99" s="111">
        <f t="shared" si="109"/>
        <v>32850.446639999995</v>
      </c>
      <c r="EB99" s="111">
        <f t="shared" si="109"/>
        <v>33901.461528</v>
      </c>
      <c r="EC99" s="111">
        <f t="shared" si="109"/>
        <v>33901.461528</v>
      </c>
      <c r="ED99" s="111">
        <f t="shared" si="109"/>
        <v>32850.446639999995</v>
      </c>
      <c r="EE99" s="111">
        <f t="shared" ref="EE99:GC99" si="110">SUM(EE86:EE98)</f>
        <v>33901.461528</v>
      </c>
      <c r="EF99" s="111">
        <f t="shared" si="110"/>
        <v>32850.446639999995</v>
      </c>
      <c r="EG99" s="111">
        <f t="shared" si="110"/>
        <v>33901.461528</v>
      </c>
      <c r="EH99" s="111">
        <f t="shared" si="110"/>
        <v>33901.461528</v>
      </c>
      <c r="EI99" s="111">
        <f t="shared" si="110"/>
        <v>30748.416864000006</v>
      </c>
      <c r="EJ99" s="111">
        <f t="shared" si="110"/>
        <v>33901.461528</v>
      </c>
      <c r="EK99" s="111">
        <f t="shared" si="110"/>
        <v>32850.446639999995</v>
      </c>
      <c r="EL99" s="111">
        <f t="shared" si="110"/>
        <v>33901.461528</v>
      </c>
      <c r="EM99" s="111">
        <f t="shared" si="110"/>
        <v>32850.446639999995</v>
      </c>
      <c r="EN99" s="111">
        <f t="shared" si="110"/>
        <v>33901.461528</v>
      </c>
      <c r="EO99" s="111">
        <f t="shared" si="110"/>
        <v>33901.461528</v>
      </c>
      <c r="EP99" s="111">
        <f t="shared" si="110"/>
        <v>32850.446639999995</v>
      </c>
      <c r="EQ99" s="111">
        <f t="shared" si="110"/>
        <v>33901.461528</v>
      </c>
      <c r="ER99" s="111">
        <f t="shared" si="110"/>
        <v>32850.446639999995</v>
      </c>
      <c r="ES99" s="111">
        <f t="shared" si="110"/>
        <v>33901.461528</v>
      </c>
      <c r="ET99" s="111">
        <f t="shared" si="110"/>
        <v>33901.461528</v>
      </c>
      <c r="EU99" s="111">
        <f t="shared" si="110"/>
        <v>30748.416864000006</v>
      </c>
      <c r="EV99" s="111">
        <f t="shared" si="110"/>
        <v>33901.461528</v>
      </c>
      <c r="EW99" s="111">
        <f t="shared" si="110"/>
        <v>32850.446639999995</v>
      </c>
      <c r="EX99" s="111">
        <f t="shared" si="110"/>
        <v>33901.461528</v>
      </c>
      <c r="EY99" s="111">
        <f t="shared" si="110"/>
        <v>32850.446639999995</v>
      </c>
      <c r="EZ99" s="111">
        <f t="shared" si="110"/>
        <v>33901.461528</v>
      </c>
      <c r="FA99" s="111">
        <f t="shared" si="110"/>
        <v>33901.461528</v>
      </c>
      <c r="FB99" s="111">
        <f t="shared" si="110"/>
        <v>32850.446639999995</v>
      </c>
      <c r="FC99" s="111">
        <f t="shared" si="110"/>
        <v>33901.461528</v>
      </c>
      <c r="FD99" s="111">
        <f t="shared" si="110"/>
        <v>32850.446639999995</v>
      </c>
      <c r="FE99" s="111">
        <f t="shared" si="110"/>
        <v>33901.461528</v>
      </c>
      <c r="FF99" s="111">
        <f t="shared" si="110"/>
        <v>33901.461528</v>
      </c>
      <c r="FG99" s="111">
        <f t="shared" si="110"/>
        <v>30748.416864000006</v>
      </c>
      <c r="FH99" s="111">
        <f t="shared" si="110"/>
        <v>33901.461528</v>
      </c>
      <c r="FI99" s="111">
        <f t="shared" si="110"/>
        <v>32850.446639999995</v>
      </c>
      <c r="FJ99" s="111">
        <f t="shared" si="110"/>
        <v>33901.461528</v>
      </c>
      <c r="FK99" s="111">
        <f t="shared" si="110"/>
        <v>32850.446639999995</v>
      </c>
      <c r="FL99" s="111">
        <f t="shared" si="110"/>
        <v>33901.461528</v>
      </c>
      <c r="FM99" s="111">
        <f t="shared" si="110"/>
        <v>33901.461528</v>
      </c>
      <c r="FN99" s="111">
        <f t="shared" si="110"/>
        <v>32850.446639999995</v>
      </c>
      <c r="FO99" s="111">
        <f t="shared" si="110"/>
        <v>33901.461528</v>
      </c>
      <c r="FP99" s="111">
        <f t="shared" si="110"/>
        <v>32850.446639999995</v>
      </c>
      <c r="FQ99" s="111">
        <f t="shared" si="110"/>
        <v>33901.461528</v>
      </c>
      <c r="FR99" s="111">
        <f t="shared" si="110"/>
        <v>33901.461528</v>
      </c>
      <c r="FS99" s="111">
        <f t="shared" si="110"/>
        <v>30748.416864000006</v>
      </c>
      <c r="FT99" s="111">
        <f t="shared" si="110"/>
        <v>33901.461528</v>
      </c>
      <c r="FU99" s="111">
        <f t="shared" si="110"/>
        <v>32850.446639999995</v>
      </c>
      <c r="FV99" s="111">
        <f t="shared" si="110"/>
        <v>33901.461528</v>
      </c>
      <c r="FW99" s="111">
        <f t="shared" si="110"/>
        <v>32850.446639999995</v>
      </c>
      <c r="FX99" s="111">
        <f t="shared" si="110"/>
        <v>33901.461528</v>
      </c>
      <c r="FY99" s="111">
        <f t="shared" si="110"/>
        <v>33901.461528</v>
      </c>
      <c r="FZ99" s="111">
        <f t="shared" si="110"/>
        <v>32850.446639999995</v>
      </c>
      <c r="GA99" s="111">
        <f t="shared" si="110"/>
        <v>33901.461528</v>
      </c>
      <c r="GB99" s="111">
        <f t="shared" si="110"/>
        <v>32850.446639999995</v>
      </c>
      <c r="GC99" s="111">
        <f t="shared" si="110"/>
        <v>33901.461528</v>
      </c>
    </row>
    <row r="100" spans="1:185">
      <c r="A100" s="80"/>
      <c r="B100" s="80" t="s">
        <v>100</v>
      </c>
      <c r="C100" s="80"/>
      <c r="D100" s="80"/>
      <c r="E100" s="103">
        <f>SUM(E99:E99)/SUM(E155:E158)</f>
        <v>1.8545539295046043E-2</v>
      </c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  <c r="BF100" s="100"/>
      <c r="BG100" s="100"/>
      <c r="BH100" s="100"/>
      <c r="BI100" s="100"/>
      <c r="BJ100" s="100"/>
      <c r="BK100" s="100"/>
      <c r="BL100" s="100"/>
      <c r="BM100" s="100"/>
      <c r="BN100" s="100"/>
      <c r="BO100" s="100"/>
      <c r="BP100" s="100"/>
      <c r="BQ100" s="100"/>
      <c r="BR100" s="100"/>
      <c r="BS100" s="100"/>
      <c r="BT100" s="100"/>
      <c r="BU100" s="100"/>
      <c r="BV100" s="100"/>
      <c r="BW100" s="100"/>
      <c r="BX100" s="100"/>
      <c r="BY100" s="100"/>
      <c r="BZ100" s="100"/>
      <c r="CA100" s="100"/>
      <c r="CB100" s="100"/>
      <c r="CC100" s="100"/>
      <c r="CD100" s="100"/>
      <c r="CE100" s="100"/>
      <c r="CF100" s="100"/>
      <c r="CG100" s="100"/>
      <c r="CH100" s="100"/>
      <c r="CI100" s="100"/>
      <c r="CJ100" s="100"/>
      <c r="CK100" s="100"/>
      <c r="CL100" s="100"/>
      <c r="CM100" s="100"/>
      <c r="CN100" s="100"/>
      <c r="CO100" s="100"/>
      <c r="CP100" s="100"/>
      <c r="CQ100" s="100"/>
      <c r="CR100" s="100"/>
      <c r="CS100" s="100"/>
      <c r="CT100" s="100"/>
      <c r="CU100" s="100"/>
      <c r="CV100" s="100"/>
      <c r="CW100" s="100"/>
      <c r="CX100" s="100"/>
      <c r="CY100" s="100"/>
      <c r="CZ100" s="100"/>
      <c r="DA100" s="100"/>
      <c r="DB100" s="100"/>
      <c r="DC100" s="100"/>
      <c r="DD100" s="100"/>
      <c r="DE100" s="100"/>
      <c r="DF100" s="100"/>
      <c r="DG100" s="100"/>
      <c r="DH100" s="100"/>
      <c r="DI100" s="100"/>
      <c r="DJ100" s="100"/>
      <c r="DK100" s="100"/>
      <c r="DL100" s="100"/>
      <c r="DM100" s="100"/>
      <c r="DN100" s="100"/>
      <c r="DO100" s="100"/>
      <c r="DP100" s="100"/>
      <c r="DQ100" s="100"/>
      <c r="DR100" s="100"/>
      <c r="DS100" s="100"/>
      <c r="DT100" s="100"/>
      <c r="DU100" s="100"/>
      <c r="DV100" s="100"/>
      <c r="DW100" s="100"/>
      <c r="DX100" s="100"/>
      <c r="DY100" s="100"/>
      <c r="DZ100" s="100"/>
      <c r="EA100" s="100"/>
      <c r="EB100" s="100"/>
      <c r="EC100" s="100"/>
      <c r="ED100" s="100"/>
      <c r="EE100" s="100"/>
      <c r="EF100" s="100"/>
      <c r="EG100" s="100"/>
      <c r="EH100" s="100"/>
      <c r="EI100" s="100"/>
      <c r="EJ100" s="100"/>
      <c r="EK100" s="100"/>
      <c r="EL100" s="100"/>
      <c r="EM100" s="100"/>
      <c r="EN100" s="100"/>
      <c r="EO100" s="100"/>
      <c r="EP100" s="100"/>
      <c r="EQ100" s="100"/>
      <c r="ER100" s="100"/>
      <c r="ES100" s="100"/>
      <c r="ET100" s="100"/>
      <c r="EU100" s="100"/>
      <c r="EV100" s="100"/>
      <c r="EW100" s="100"/>
      <c r="EX100" s="100"/>
      <c r="EY100" s="100"/>
      <c r="EZ100" s="100"/>
      <c r="FA100" s="100"/>
      <c r="FB100" s="100"/>
      <c r="FC100" s="100"/>
      <c r="FD100" s="100"/>
      <c r="FE100" s="100"/>
      <c r="FF100" s="100"/>
      <c r="FG100" s="100"/>
      <c r="FH100" s="100"/>
      <c r="FI100" s="100"/>
      <c r="FJ100" s="100"/>
      <c r="FK100" s="100"/>
      <c r="FL100" s="100"/>
      <c r="FM100" s="100"/>
      <c r="FN100" s="100"/>
      <c r="FO100" s="100"/>
      <c r="FP100" s="100"/>
      <c r="FQ100" s="100"/>
      <c r="FR100" s="100"/>
      <c r="FS100" s="100"/>
      <c r="FT100" s="100"/>
      <c r="FU100" s="100"/>
      <c r="FV100" s="100"/>
      <c r="FW100" s="100"/>
      <c r="FX100" s="100"/>
      <c r="FY100" s="100"/>
      <c r="FZ100" s="100"/>
      <c r="GA100" s="100"/>
      <c r="GB100" s="100"/>
      <c r="GC100" s="100"/>
    </row>
    <row r="101" spans="1:185">
      <c r="A101" s="10"/>
      <c r="B101" s="80"/>
      <c r="C101" s="80"/>
      <c r="D101" s="80"/>
      <c r="E101" s="82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0"/>
      <c r="BM101" s="100"/>
      <c r="BN101" s="100"/>
      <c r="BO101" s="100"/>
      <c r="BP101" s="100"/>
      <c r="BQ101" s="100"/>
      <c r="BR101" s="100"/>
      <c r="BS101" s="100"/>
      <c r="BT101" s="100"/>
      <c r="BU101" s="100"/>
      <c r="BV101" s="100"/>
      <c r="BW101" s="100"/>
      <c r="BX101" s="100"/>
      <c r="BY101" s="100"/>
      <c r="BZ101" s="100"/>
      <c r="CA101" s="100"/>
      <c r="CB101" s="100"/>
      <c r="CC101" s="100"/>
      <c r="CD101" s="100"/>
      <c r="CE101" s="100"/>
      <c r="CF101" s="100"/>
      <c r="CG101" s="100"/>
      <c r="CH101" s="100"/>
      <c r="CI101" s="100"/>
      <c r="CJ101" s="100"/>
      <c r="CK101" s="100"/>
      <c r="CL101" s="100"/>
      <c r="CM101" s="100"/>
      <c r="CN101" s="100"/>
      <c r="CO101" s="100"/>
      <c r="CP101" s="100"/>
      <c r="CQ101" s="100"/>
      <c r="CR101" s="100"/>
      <c r="CS101" s="100"/>
      <c r="CT101" s="100"/>
      <c r="CU101" s="100"/>
      <c r="CV101" s="100"/>
      <c r="CW101" s="100"/>
      <c r="CX101" s="100"/>
      <c r="CY101" s="100"/>
      <c r="CZ101" s="100"/>
      <c r="DA101" s="100"/>
      <c r="DB101" s="100"/>
      <c r="DC101" s="100"/>
      <c r="DD101" s="100"/>
      <c r="DE101" s="100"/>
      <c r="DF101" s="100"/>
      <c r="DG101" s="100"/>
      <c r="DH101" s="100"/>
      <c r="DI101" s="100"/>
      <c r="DJ101" s="100"/>
      <c r="DK101" s="100"/>
      <c r="DL101" s="100"/>
      <c r="DM101" s="100"/>
      <c r="DN101" s="100"/>
      <c r="DO101" s="100"/>
      <c r="DP101" s="100"/>
      <c r="DQ101" s="100"/>
      <c r="DR101" s="100"/>
      <c r="DS101" s="100"/>
      <c r="DT101" s="100"/>
      <c r="DU101" s="100"/>
      <c r="DV101" s="100"/>
      <c r="DW101" s="100"/>
      <c r="DX101" s="100"/>
      <c r="DY101" s="100"/>
      <c r="DZ101" s="100"/>
      <c r="EA101" s="100"/>
      <c r="EB101" s="100"/>
      <c r="EC101" s="100"/>
      <c r="ED101" s="100"/>
      <c r="EE101" s="100"/>
      <c r="EF101" s="100"/>
      <c r="EG101" s="100"/>
      <c r="EH101" s="100"/>
      <c r="EI101" s="100"/>
      <c r="EJ101" s="100"/>
      <c r="EK101" s="100"/>
      <c r="EL101" s="100"/>
      <c r="EM101" s="100"/>
      <c r="EN101" s="100"/>
      <c r="EO101" s="100"/>
      <c r="EP101" s="100"/>
      <c r="EQ101" s="100"/>
      <c r="ER101" s="100"/>
      <c r="ES101" s="100"/>
      <c r="ET101" s="100"/>
      <c r="EU101" s="100"/>
      <c r="EV101" s="100"/>
      <c r="EW101" s="100"/>
      <c r="EX101" s="100"/>
      <c r="EY101" s="100"/>
      <c r="EZ101" s="100"/>
      <c r="FA101" s="100"/>
      <c r="FB101" s="100"/>
      <c r="FC101" s="100"/>
      <c r="FD101" s="100"/>
      <c r="FE101" s="100"/>
      <c r="FF101" s="100"/>
      <c r="FG101" s="100"/>
      <c r="FH101" s="100"/>
      <c r="FI101" s="100"/>
      <c r="FJ101" s="100"/>
      <c r="FK101" s="100"/>
      <c r="FL101" s="100"/>
      <c r="FM101" s="100"/>
      <c r="FN101" s="100"/>
      <c r="FO101" s="100"/>
      <c r="FP101" s="100"/>
      <c r="FQ101" s="100"/>
      <c r="FR101" s="100"/>
      <c r="FS101" s="100"/>
      <c r="FT101" s="100"/>
      <c r="FU101" s="100"/>
      <c r="FV101" s="100"/>
      <c r="FW101" s="100"/>
      <c r="FX101" s="100"/>
      <c r="FY101" s="100"/>
      <c r="FZ101" s="100"/>
      <c r="GA101" s="100"/>
      <c r="GB101" s="100"/>
      <c r="GC101" s="100"/>
    </row>
    <row r="102" spans="1:185">
      <c r="A102" s="10" t="s">
        <v>132</v>
      </c>
      <c r="B102" s="80"/>
      <c r="C102" s="80"/>
      <c r="D102" s="80"/>
      <c r="E102" s="82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00"/>
      <c r="BP102" s="100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00"/>
      <c r="CC102" s="100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00"/>
      <c r="CP102" s="100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00"/>
      <c r="DC102" s="100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00"/>
      <c r="DP102" s="100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00"/>
      <c r="EC102" s="100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00"/>
      <c r="EP102" s="100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00"/>
      <c r="FC102" s="100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00"/>
      <c r="FP102" s="100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00"/>
      <c r="GC102" s="100"/>
    </row>
    <row r="103" spans="1:185">
      <c r="A103" s="10"/>
      <c r="B103" s="80" t="s">
        <v>133</v>
      </c>
      <c r="C103" s="80"/>
      <c r="D103" s="80"/>
      <c r="E103" s="82">
        <f t="shared" ref="E103:E122" si="111">SUM(F103:GC103)</f>
        <v>145890.36000000057</v>
      </c>
      <c r="F103" s="100">
        <f>OpCost!$E$23*F$130</f>
        <v>0</v>
      </c>
      <c r="G103" s="100">
        <f>OpCost!$E$23*G$130</f>
        <v>0</v>
      </c>
      <c r="H103" s="100">
        <f>OpCost!$E$23*H$130</f>
        <v>0</v>
      </c>
      <c r="I103" s="100">
        <f>OpCost!$E$23*I$130</f>
        <v>0</v>
      </c>
      <c r="J103" s="100">
        <f>OpCost!$E$23*J$130</f>
        <v>0</v>
      </c>
      <c r="K103" s="100">
        <f>OpCost!$E$23*K$130</f>
        <v>0</v>
      </c>
      <c r="L103" s="100">
        <f>OpCost!$E$23*L$130</f>
        <v>0</v>
      </c>
      <c r="M103" s="100">
        <f>OpCost!$E$23*M$130</f>
        <v>859.32</v>
      </c>
      <c r="N103" s="100">
        <f>OpCost!$E$23*N$130</f>
        <v>831.6</v>
      </c>
      <c r="O103" s="100">
        <f>OpCost!$E$23*O$130</f>
        <v>859.32</v>
      </c>
      <c r="P103" s="100">
        <f>OpCost!$E$23*P$130</f>
        <v>831.6</v>
      </c>
      <c r="Q103" s="100">
        <f>OpCost!$E$23*Q$130</f>
        <v>859.32</v>
      </c>
      <c r="R103" s="100">
        <f>OpCost!$E$23*R$130</f>
        <v>859.32</v>
      </c>
      <c r="S103" s="100">
        <f>OpCost!$E$23*S$130</f>
        <v>776.1600000000002</v>
      </c>
      <c r="T103" s="100">
        <f>OpCost!$E$23*T$130</f>
        <v>859.32</v>
      </c>
      <c r="U103" s="100">
        <f>OpCost!$E$23*U$130</f>
        <v>831.6</v>
      </c>
      <c r="V103" s="100">
        <f>OpCost!$E$23*V$130</f>
        <v>859.32</v>
      </c>
      <c r="W103" s="100">
        <f>OpCost!$E$23*W$130</f>
        <v>831.6</v>
      </c>
      <c r="X103" s="100">
        <f>OpCost!$E$23*X$130</f>
        <v>859.32</v>
      </c>
      <c r="Y103" s="100">
        <f>OpCost!$E$23*Y$130</f>
        <v>859.32</v>
      </c>
      <c r="Z103" s="100">
        <f>OpCost!$E$23*Z$130</f>
        <v>831.6</v>
      </c>
      <c r="AA103" s="100">
        <f>OpCost!$E$23*AA$130</f>
        <v>859.32</v>
      </c>
      <c r="AB103" s="100">
        <f>OpCost!$E$23*AB$130</f>
        <v>831.6</v>
      </c>
      <c r="AC103" s="100">
        <f>OpCost!$E$23*AC$130</f>
        <v>859.32</v>
      </c>
      <c r="AD103" s="100">
        <f>OpCost!$E$23*AD$130</f>
        <v>859.32</v>
      </c>
      <c r="AE103" s="100">
        <f>OpCost!$E$23*AE$130</f>
        <v>776.1600000000002</v>
      </c>
      <c r="AF103" s="100">
        <f>OpCost!$E$23*AF$130</f>
        <v>859.32</v>
      </c>
      <c r="AG103" s="100">
        <f>OpCost!$E$23*AG$130</f>
        <v>831.6</v>
      </c>
      <c r="AH103" s="100">
        <f>OpCost!$E$23*AH$130</f>
        <v>859.32</v>
      </c>
      <c r="AI103" s="100">
        <f>OpCost!$E$23*AI$130</f>
        <v>831.6</v>
      </c>
      <c r="AJ103" s="100">
        <f>OpCost!$E$23*AJ$130</f>
        <v>859.32</v>
      </c>
      <c r="AK103" s="100">
        <f>OpCost!$E$23*AK$130</f>
        <v>859.32</v>
      </c>
      <c r="AL103" s="100">
        <f>OpCost!$E$23*AL$130</f>
        <v>831.6</v>
      </c>
      <c r="AM103" s="100">
        <f>OpCost!$E$23*AM$130</f>
        <v>859.32</v>
      </c>
      <c r="AN103" s="100">
        <f>OpCost!$E$23*AN$130</f>
        <v>831.6</v>
      </c>
      <c r="AO103" s="100">
        <f>OpCost!$E$23*AO$130</f>
        <v>859.32</v>
      </c>
      <c r="AP103" s="100">
        <f>OpCost!$E$23*AP$130</f>
        <v>859.32</v>
      </c>
      <c r="AQ103" s="100">
        <f>OpCost!$E$23*AQ$130</f>
        <v>776.1600000000002</v>
      </c>
      <c r="AR103" s="100">
        <f>OpCost!$E$23*AR$130</f>
        <v>859.32</v>
      </c>
      <c r="AS103" s="100">
        <f>OpCost!$E$23*AS$130</f>
        <v>831.6</v>
      </c>
      <c r="AT103" s="100">
        <f>OpCost!$E$23*AT$130</f>
        <v>859.32</v>
      </c>
      <c r="AU103" s="100">
        <f>OpCost!$E$23*AU$130</f>
        <v>831.6</v>
      </c>
      <c r="AV103" s="100">
        <f>OpCost!$E$23*AV$130</f>
        <v>859.32</v>
      </c>
      <c r="AW103" s="100">
        <f>OpCost!$E$23*AW$130</f>
        <v>859.32</v>
      </c>
      <c r="AX103" s="100">
        <f>OpCost!$E$23*AX$130</f>
        <v>831.6</v>
      </c>
      <c r="AY103" s="100">
        <f>OpCost!$E$23*AY$130</f>
        <v>859.32</v>
      </c>
      <c r="AZ103" s="100">
        <f>OpCost!$E$23*AZ$130</f>
        <v>831.6</v>
      </c>
      <c r="BA103" s="100">
        <f>OpCost!$E$23*BA$130</f>
        <v>859.32</v>
      </c>
      <c r="BB103" s="100">
        <f>OpCost!$E$23*BB$130</f>
        <v>859.32</v>
      </c>
      <c r="BC103" s="100">
        <f>OpCost!$E$23*BC$130</f>
        <v>776.1600000000002</v>
      </c>
      <c r="BD103" s="100">
        <f>OpCost!$E$23*BD$130</f>
        <v>859.32</v>
      </c>
      <c r="BE103" s="100">
        <f>OpCost!$E$23*BE$130</f>
        <v>831.6</v>
      </c>
      <c r="BF103" s="100">
        <f>OpCost!$E$23*BF$130</f>
        <v>859.32</v>
      </c>
      <c r="BG103" s="100">
        <f>OpCost!$E$23*BG$130</f>
        <v>831.6</v>
      </c>
      <c r="BH103" s="100">
        <f>OpCost!$E$23*BH$130</f>
        <v>859.32</v>
      </c>
      <c r="BI103" s="100">
        <f>OpCost!$E$23*BI$130</f>
        <v>859.32</v>
      </c>
      <c r="BJ103" s="100">
        <f>OpCost!$E$23*BJ$130</f>
        <v>831.6</v>
      </c>
      <c r="BK103" s="100">
        <f>OpCost!$E$23*BK$130</f>
        <v>859.32</v>
      </c>
      <c r="BL103" s="100">
        <f>OpCost!$E$23*BL$130</f>
        <v>831.6</v>
      </c>
      <c r="BM103" s="100">
        <f>OpCost!$E$23*BM$130</f>
        <v>859.32</v>
      </c>
      <c r="BN103" s="100">
        <f>OpCost!$E$23*BN$130</f>
        <v>859.32</v>
      </c>
      <c r="BO103" s="100">
        <f>OpCost!$E$23*BO$130</f>
        <v>776.1600000000002</v>
      </c>
      <c r="BP103" s="100">
        <f>OpCost!$E$23*BP$130</f>
        <v>859.32</v>
      </c>
      <c r="BQ103" s="100">
        <f>OpCost!$E$23*BQ$130</f>
        <v>831.6</v>
      </c>
      <c r="BR103" s="100">
        <f>OpCost!$E$23*BR$130</f>
        <v>859.32</v>
      </c>
      <c r="BS103" s="100">
        <f>OpCost!$E$23*BS$130</f>
        <v>831.6</v>
      </c>
      <c r="BT103" s="100">
        <f>OpCost!$E$23*BT$130</f>
        <v>859.32</v>
      </c>
      <c r="BU103" s="100">
        <f>OpCost!$E$23*BU$130</f>
        <v>859.32</v>
      </c>
      <c r="BV103" s="100">
        <f>OpCost!$E$23*BV$130</f>
        <v>831.6</v>
      </c>
      <c r="BW103" s="100">
        <f>OpCost!$E$23*BW$130</f>
        <v>859.32</v>
      </c>
      <c r="BX103" s="100">
        <f>OpCost!$E$23*BX$130</f>
        <v>831.6</v>
      </c>
      <c r="BY103" s="100">
        <f>OpCost!$E$23*BY$130</f>
        <v>859.32</v>
      </c>
      <c r="BZ103" s="100">
        <f>OpCost!$E$23*BZ$130</f>
        <v>859.32</v>
      </c>
      <c r="CA103" s="100">
        <f>OpCost!$E$23*CA$130</f>
        <v>776.1600000000002</v>
      </c>
      <c r="CB103" s="100">
        <f>OpCost!$E$23*CB$130</f>
        <v>859.32</v>
      </c>
      <c r="CC103" s="100">
        <f>OpCost!$E$23*CC$130</f>
        <v>831.6</v>
      </c>
      <c r="CD103" s="100">
        <f>OpCost!$E$23*CD$130</f>
        <v>859.32</v>
      </c>
      <c r="CE103" s="100">
        <f>OpCost!$E$23*CE$130</f>
        <v>831.6</v>
      </c>
      <c r="CF103" s="100">
        <f>OpCost!$E$23*CF$130</f>
        <v>859.32</v>
      </c>
      <c r="CG103" s="100">
        <f>OpCost!$E$23*CG$130</f>
        <v>859.32</v>
      </c>
      <c r="CH103" s="100">
        <f>OpCost!$E$23*CH$130</f>
        <v>831.6</v>
      </c>
      <c r="CI103" s="100">
        <f>OpCost!$E$23*CI$130</f>
        <v>859.32</v>
      </c>
      <c r="CJ103" s="100">
        <f>OpCost!$E$23*CJ$130</f>
        <v>831.6</v>
      </c>
      <c r="CK103" s="100">
        <f>OpCost!$E$23*CK$130</f>
        <v>859.32</v>
      </c>
      <c r="CL103" s="100">
        <f>OpCost!$E$23*CL$130</f>
        <v>859.32</v>
      </c>
      <c r="CM103" s="100">
        <f>OpCost!$E$23*CM$130</f>
        <v>776.1600000000002</v>
      </c>
      <c r="CN103" s="100">
        <f>OpCost!$E$23*CN$130</f>
        <v>859.32</v>
      </c>
      <c r="CO103" s="100">
        <f>OpCost!$E$23*CO$130</f>
        <v>831.6</v>
      </c>
      <c r="CP103" s="100">
        <f>OpCost!$E$23*CP$130</f>
        <v>859.32</v>
      </c>
      <c r="CQ103" s="100">
        <f>OpCost!$E$23*CQ$130</f>
        <v>831.6</v>
      </c>
      <c r="CR103" s="100">
        <f>OpCost!$E$23*CR$130</f>
        <v>859.32</v>
      </c>
      <c r="CS103" s="100">
        <f>OpCost!$E$23*CS$130</f>
        <v>859.32</v>
      </c>
      <c r="CT103" s="100">
        <f>OpCost!$E$23*CT$130</f>
        <v>831.6</v>
      </c>
      <c r="CU103" s="100">
        <f>OpCost!$E$23*CU$130</f>
        <v>859.32</v>
      </c>
      <c r="CV103" s="100">
        <f>OpCost!$E$23*CV$130</f>
        <v>831.6</v>
      </c>
      <c r="CW103" s="100">
        <f>OpCost!$E$23*CW$130</f>
        <v>859.32</v>
      </c>
      <c r="CX103" s="100">
        <f>OpCost!$E$23*CX$130</f>
        <v>859.32</v>
      </c>
      <c r="CY103" s="100">
        <f>OpCost!$E$23*CY$130</f>
        <v>776.1600000000002</v>
      </c>
      <c r="CZ103" s="100">
        <f>OpCost!$E$23*CZ$130</f>
        <v>859.32</v>
      </c>
      <c r="DA103" s="100">
        <f>OpCost!$E$23*DA$130</f>
        <v>831.6</v>
      </c>
      <c r="DB103" s="100">
        <f>OpCost!$E$23*DB$130</f>
        <v>859.32</v>
      </c>
      <c r="DC103" s="100">
        <f>OpCost!$E$23*DC$130</f>
        <v>831.6</v>
      </c>
      <c r="DD103" s="100">
        <f>OpCost!$E$23*DD$130</f>
        <v>859.32</v>
      </c>
      <c r="DE103" s="100">
        <f>OpCost!$E$23*DE$130</f>
        <v>859.32</v>
      </c>
      <c r="DF103" s="100">
        <f>OpCost!$E$23*DF$130</f>
        <v>831.6</v>
      </c>
      <c r="DG103" s="100">
        <f>OpCost!$E$23*DG$130</f>
        <v>859.32</v>
      </c>
      <c r="DH103" s="100">
        <f>OpCost!$E$23*DH$130</f>
        <v>831.6</v>
      </c>
      <c r="DI103" s="100">
        <f>OpCost!$E$23*DI$130</f>
        <v>859.32</v>
      </c>
      <c r="DJ103" s="100">
        <f>OpCost!$E$23*DJ$130</f>
        <v>859.32</v>
      </c>
      <c r="DK103" s="100">
        <f>OpCost!$E$23*DK$130</f>
        <v>776.1600000000002</v>
      </c>
      <c r="DL103" s="100">
        <f>OpCost!$E$23*DL$130</f>
        <v>859.32</v>
      </c>
      <c r="DM103" s="100">
        <f>OpCost!$E$23*DM$130</f>
        <v>831.6</v>
      </c>
      <c r="DN103" s="100">
        <f>OpCost!$E$23*DN$130</f>
        <v>859.32</v>
      </c>
      <c r="DO103" s="100">
        <f>OpCost!$E$23*DO$130</f>
        <v>831.6</v>
      </c>
      <c r="DP103" s="100">
        <f>OpCost!$E$23*DP$130</f>
        <v>859.32</v>
      </c>
      <c r="DQ103" s="100">
        <f>OpCost!$E$23*DQ$130</f>
        <v>859.32</v>
      </c>
      <c r="DR103" s="100">
        <f>OpCost!$E$23*DR$130</f>
        <v>831.6</v>
      </c>
      <c r="DS103" s="100">
        <f>OpCost!$E$23*DS$130</f>
        <v>859.32</v>
      </c>
      <c r="DT103" s="100">
        <f>OpCost!$E$23*DT$130</f>
        <v>831.6</v>
      </c>
      <c r="DU103" s="100">
        <f>OpCost!$E$23*DU$130</f>
        <v>859.32</v>
      </c>
      <c r="DV103" s="100">
        <f>OpCost!$E$23*DV$130</f>
        <v>859.32</v>
      </c>
      <c r="DW103" s="100">
        <f>OpCost!$E$23*DW$130</f>
        <v>776.1600000000002</v>
      </c>
      <c r="DX103" s="100">
        <f>OpCost!$E$23*DX$130</f>
        <v>859.32</v>
      </c>
      <c r="DY103" s="100">
        <f>OpCost!$E$23*DY$130</f>
        <v>831.6</v>
      </c>
      <c r="DZ103" s="100">
        <f>OpCost!$E$23*DZ$130</f>
        <v>859.32</v>
      </c>
      <c r="EA103" s="100">
        <f>OpCost!$E$23*EA$130</f>
        <v>831.6</v>
      </c>
      <c r="EB103" s="100">
        <f>OpCost!$E$23*EB$130</f>
        <v>859.32</v>
      </c>
      <c r="EC103" s="100">
        <f>OpCost!$E$23*EC$130</f>
        <v>859.32</v>
      </c>
      <c r="ED103" s="100">
        <f>OpCost!$E$23*ED$130</f>
        <v>831.6</v>
      </c>
      <c r="EE103" s="100">
        <f>OpCost!$E$23*EE$130</f>
        <v>859.32</v>
      </c>
      <c r="EF103" s="100">
        <f>OpCost!$E$23*EF$130</f>
        <v>831.6</v>
      </c>
      <c r="EG103" s="100">
        <f>OpCost!$E$23*EG$130</f>
        <v>859.32</v>
      </c>
      <c r="EH103" s="100">
        <f>OpCost!$E$23*EH$130</f>
        <v>859.32</v>
      </c>
      <c r="EI103" s="100">
        <f>OpCost!$E$23*EI$130</f>
        <v>776.1600000000002</v>
      </c>
      <c r="EJ103" s="100">
        <f>OpCost!$E$23*EJ$130</f>
        <v>859.32</v>
      </c>
      <c r="EK103" s="100">
        <f>OpCost!$E$23*EK$130</f>
        <v>831.6</v>
      </c>
      <c r="EL103" s="100">
        <f>OpCost!$E$23*EL$130</f>
        <v>859.32</v>
      </c>
      <c r="EM103" s="100">
        <f>OpCost!$E$23*EM$130</f>
        <v>831.6</v>
      </c>
      <c r="EN103" s="100">
        <f>OpCost!$E$23*EN$130</f>
        <v>859.32</v>
      </c>
      <c r="EO103" s="100">
        <f>OpCost!$E$23*EO$130</f>
        <v>859.32</v>
      </c>
      <c r="EP103" s="100">
        <f>OpCost!$E$23*EP$130</f>
        <v>831.6</v>
      </c>
      <c r="EQ103" s="100">
        <f>OpCost!$E$23*EQ$130</f>
        <v>859.32</v>
      </c>
      <c r="ER103" s="100">
        <f>OpCost!$E$23*ER$130</f>
        <v>831.6</v>
      </c>
      <c r="ES103" s="100">
        <f>OpCost!$E$23*ES$130</f>
        <v>859.32</v>
      </c>
      <c r="ET103" s="100">
        <f>OpCost!$E$23*ET$130</f>
        <v>859.32</v>
      </c>
      <c r="EU103" s="100">
        <f>OpCost!$E$23*EU$130</f>
        <v>776.1600000000002</v>
      </c>
      <c r="EV103" s="100">
        <f>OpCost!$E$23*EV$130</f>
        <v>859.32</v>
      </c>
      <c r="EW103" s="100">
        <f>OpCost!$E$23*EW$130</f>
        <v>831.6</v>
      </c>
      <c r="EX103" s="100">
        <f>OpCost!$E$23*EX$130</f>
        <v>859.32</v>
      </c>
      <c r="EY103" s="100">
        <f>OpCost!$E$23*EY$130</f>
        <v>831.6</v>
      </c>
      <c r="EZ103" s="100">
        <f>OpCost!$E$23*EZ$130</f>
        <v>859.32</v>
      </c>
      <c r="FA103" s="100">
        <f>OpCost!$E$23*FA$130</f>
        <v>859.32</v>
      </c>
      <c r="FB103" s="100">
        <f>OpCost!$E$23*FB$130</f>
        <v>831.6</v>
      </c>
      <c r="FC103" s="100">
        <f>OpCost!$E$23*FC$130</f>
        <v>859.32</v>
      </c>
      <c r="FD103" s="100">
        <f>OpCost!$E$23*FD$130</f>
        <v>831.6</v>
      </c>
      <c r="FE103" s="100">
        <f>OpCost!$E$23*FE$130</f>
        <v>859.32</v>
      </c>
      <c r="FF103" s="100">
        <f>OpCost!$E$23*FF$130</f>
        <v>859.32</v>
      </c>
      <c r="FG103" s="100">
        <f>OpCost!$E$23*FG$130</f>
        <v>776.1600000000002</v>
      </c>
      <c r="FH103" s="100">
        <f>OpCost!$E$23*FH$130</f>
        <v>859.32</v>
      </c>
      <c r="FI103" s="100">
        <f>OpCost!$E$23*FI$130</f>
        <v>831.6</v>
      </c>
      <c r="FJ103" s="100">
        <f>OpCost!$E$23*FJ$130</f>
        <v>859.32</v>
      </c>
      <c r="FK103" s="100">
        <f>OpCost!$E$23*FK$130</f>
        <v>831.6</v>
      </c>
      <c r="FL103" s="100">
        <f>OpCost!$E$23*FL$130</f>
        <v>859.32</v>
      </c>
      <c r="FM103" s="100">
        <f>OpCost!$E$23*FM$130</f>
        <v>859.32</v>
      </c>
      <c r="FN103" s="100">
        <f>OpCost!$E$23*FN$130</f>
        <v>831.6</v>
      </c>
      <c r="FO103" s="100">
        <f>OpCost!$E$23*FO$130</f>
        <v>859.32</v>
      </c>
      <c r="FP103" s="100">
        <f>OpCost!$E$23*FP$130</f>
        <v>831.6</v>
      </c>
      <c r="FQ103" s="100">
        <f>OpCost!$E$23*FQ$130</f>
        <v>859.32</v>
      </c>
      <c r="FR103" s="100">
        <f>OpCost!$E$23*FR$130</f>
        <v>859.32</v>
      </c>
      <c r="FS103" s="100">
        <f>OpCost!$E$23*FS$130</f>
        <v>776.1600000000002</v>
      </c>
      <c r="FT103" s="100">
        <f>OpCost!$E$23*FT$130</f>
        <v>859.32</v>
      </c>
      <c r="FU103" s="100">
        <f>OpCost!$E$23*FU$130</f>
        <v>831.6</v>
      </c>
      <c r="FV103" s="100">
        <f>OpCost!$E$23*FV$130</f>
        <v>859.32</v>
      </c>
      <c r="FW103" s="100">
        <f>OpCost!$E$23*FW$130</f>
        <v>831.6</v>
      </c>
      <c r="FX103" s="100">
        <f>OpCost!$E$23*FX$130</f>
        <v>859.32</v>
      </c>
      <c r="FY103" s="100">
        <f>OpCost!$E$23*FY$130</f>
        <v>859.32</v>
      </c>
      <c r="FZ103" s="100">
        <f>OpCost!$E$23*FZ$130</f>
        <v>831.6</v>
      </c>
      <c r="GA103" s="100">
        <f>OpCost!$E$23*GA$130</f>
        <v>859.32</v>
      </c>
      <c r="GB103" s="100">
        <f>OpCost!$E$23*GB$130</f>
        <v>831.6</v>
      </c>
      <c r="GC103" s="100">
        <f>OpCost!$E$23*GC$130</f>
        <v>859.32</v>
      </c>
    </row>
    <row r="104" spans="1:185">
      <c r="A104" s="10"/>
      <c r="B104" s="80" t="s">
        <v>134</v>
      </c>
      <c r="C104" s="80"/>
      <c r="D104" s="80"/>
      <c r="E104" s="82">
        <f t="shared" si="111"/>
        <v>486301.20000000094</v>
      </c>
      <c r="F104" s="100">
        <f>OpCost!$E$25*F$130</f>
        <v>0</v>
      </c>
      <c r="G104" s="100">
        <f>OpCost!$E$25*G$130</f>
        <v>0</v>
      </c>
      <c r="H104" s="100">
        <f>OpCost!$E$25*H$130</f>
        <v>0</v>
      </c>
      <c r="I104" s="100">
        <f>OpCost!$E$25*I$130</f>
        <v>0</v>
      </c>
      <c r="J104" s="100">
        <f>OpCost!$E$25*J$130</f>
        <v>0</v>
      </c>
      <c r="K104" s="100">
        <f>OpCost!$E$25*K$130</f>
        <v>0</v>
      </c>
      <c r="L104" s="100">
        <f>OpCost!$E$25*L$130</f>
        <v>0</v>
      </c>
      <c r="M104" s="100">
        <f>OpCost!$E$25*M$130</f>
        <v>2864.4</v>
      </c>
      <c r="N104" s="100">
        <f>OpCost!$E$25*N$130</f>
        <v>2772</v>
      </c>
      <c r="O104" s="100">
        <f>OpCost!$E$25*O$130</f>
        <v>2864.4</v>
      </c>
      <c r="P104" s="100">
        <f>OpCost!$E$25*P$130</f>
        <v>2772</v>
      </c>
      <c r="Q104" s="100">
        <f>OpCost!$E$25*Q$130</f>
        <v>2864.4</v>
      </c>
      <c r="R104" s="100">
        <f>OpCost!$E$25*R$130</f>
        <v>2864.4</v>
      </c>
      <c r="S104" s="100">
        <f>OpCost!$E$25*S$130</f>
        <v>2587.2000000000003</v>
      </c>
      <c r="T104" s="100">
        <f>OpCost!$E$25*T$130</f>
        <v>2864.4</v>
      </c>
      <c r="U104" s="100">
        <f>OpCost!$E$25*U$130</f>
        <v>2772</v>
      </c>
      <c r="V104" s="100">
        <f>OpCost!$E$25*V$130</f>
        <v>2864.4</v>
      </c>
      <c r="W104" s="100">
        <f>OpCost!$E$25*W$130</f>
        <v>2772</v>
      </c>
      <c r="X104" s="100">
        <f>OpCost!$E$25*X$130</f>
        <v>2864.4</v>
      </c>
      <c r="Y104" s="100">
        <f>OpCost!$E$25*Y$130</f>
        <v>2864.4</v>
      </c>
      <c r="Z104" s="100">
        <f>OpCost!$E$25*Z$130</f>
        <v>2772</v>
      </c>
      <c r="AA104" s="100">
        <f>OpCost!$E$25*AA$130</f>
        <v>2864.4</v>
      </c>
      <c r="AB104" s="100">
        <f>OpCost!$E$25*AB$130</f>
        <v>2772</v>
      </c>
      <c r="AC104" s="100">
        <f>OpCost!$E$25*AC$130</f>
        <v>2864.4</v>
      </c>
      <c r="AD104" s="100">
        <f>OpCost!$E$25*AD$130</f>
        <v>2864.4</v>
      </c>
      <c r="AE104" s="100">
        <f>OpCost!$E$25*AE$130</f>
        <v>2587.2000000000003</v>
      </c>
      <c r="AF104" s="100">
        <f>OpCost!$E$25*AF$130</f>
        <v>2864.4</v>
      </c>
      <c r="AG104" s="100">
        <f>OpCost!$E$25*AG$130</f>
        <v>2772</v>
      </c>
      <c r="AH104" s="100">
        <f>OpCost!$E$25*AH$130</f>
        <v>2864.4</v>
      </c>
      <c r="AI104" s="100">
        <f>OpCost!$E$25*AI$130</f>
        <v>2772</v>
      </c>
      <c r="AJ104" s="100">
        <f>OpCost!$E$25*AJ$130</f>
        <v>2864.4</v>
      </c>
      <c r="AK104" s="100">
        <f>OpCost!$E$25*AK$130</f>
        <v>2864.4</v>
      </c>
      <c r="AL104" s="100">
        <f>OpCost!$E$25*AL$130</f>
        <v>2772</v>
      </c>
      <c r="AM104" s="100">
        <f>OpCost!$E$25*AM$130</f>
        <v>2864.4</v>
      </c>
      <c r="AN104" s="100">
        <f>OpCost!$E$25*AN$130</f>
        <v>2772</v>
      </c>
      <c r="AO104" s="100">
        <f>OpCost!$E$25*AO$130</f>
        <v>2864.4</v>
      </c>
      <c r="AP104" s="100">
        <f>OpCost!$E$25*AP$130</f>
        <v>2864.4</v>
      </c>
      <c r="AQ104" s="100">
        <f>OpCost!$E$25*AQ$130</f>
        <v>2587.2000000000003</v>
      </c>
      <c r="AR104" s="100">
        <f>OpCost!$E$25*AR$130</f>
        <v>2864.4</v>
      </c>
      <c r="AS104" s="100">
        <f>OpCost!$E$25*AS$130</f>
        <v>2772</v>
      </c>
      <c r="AT104" s="100">
        <f>OpCost!$E$25*AT$130</f>
        <v>2864.4</v>
      </c>
      <c r="AU104" s="100">
        <f>OpCost!$E$25*AU$130</f>
        <v>2772</v>
      </c>
      <c r="AV104" s="100">
        <f>OpCost!$E$25*AV$130</f>
        <v>2864.4</v>
      </c>
      <c r="AW104" s="100">
        <f>OpCost!$E$25*AW$130</f>
        <v>2864.4</v>
      </c>
      <c r="AX104" s="100">
        <f>OpCost!$E$25*AX$130</f>
        <v>2772</v>
      </c>
      <c r="AY104" s="100">
        <f>OpCost!$E$25*AY$130</f>
        <v>2864.4</v>
      </c>
      <c r="AZ104" s="100">
        <f>OpCost!$E$25*AZ$130</f>
        <v>2772</v>
      </c>
      <c r="BA104" s="100">
        <f>OpCost!$E$25*BA$130</f>
        <v>2864.4</v>
      </c>
      <c r="BB104" s="100">
        <f>OpCost!$E$25*BB$130</f>
        <v>2864.4</v>
      </c>
      <c r="BC104" s="100">
        <f>OpCost!$E$25*BC$130</f>
        <v>2587.2000000000003</v>
      </c>
      <c r="BD104" s="100">
        <f>OpCost!$E$25*BD$130</f>
        <v>2864.4</v>
      </c>
      <c r="BE104" s="100">
        <f>OpCost!$E$25*BE$130</f>
        <v>2772</v>
      </c>
      <c r="BF104" s="100">
        <f>OpCost!$E$25*BF$130</f>
        <v>2864.4</v>
      </c>
      <c r="BG104" s="100">
        <f>OpCost!$E$25*BG$130</f>
        <v>2772</v>
      </c>
      <c r="BH104" s="100">
        <f>OpCost!$E$25*BH$130</f>
        <v>2864.4</v>
      </c>
      <c r="BI104" s="100">
        <f>OpCost!$E$25*BI$130</f>
        <v>2864.4</v>
      </c>
      <c r="BJ104" s="100">
        <f>OpCost!$E$25*BJ$130</f>
        <v>2772</v>
      </c>
      <c r="BK104" s="100">
        <f>OpCost!$E$25*BK$130</f>
        <v>2864.4</v>
      </c>
      <c r="BL104" s="100">
        <f>OpCost!$E$25*BL$130</f>
        <v>2772</v>
      </c>
      <c r="BM104" s="100">
        <f>OpCost!$E$25*BM$130</f>
        <v>2864.4</v>
      </c>
      <c r="BN104" s="100">
        <f>OpCost!$E$25*BN$130</f>
        <v>2864.4</v>
      </c>
      <c r="BO104" s="100">
        <f>OpCost!$E$25*BO$130</f>
        <v>2587.2000000000003</v>
      </c>
      <c r="BP104" s="100">
        <f>OpCost!$E$25*BP$130</f>
        <v>2864.4</v>
      </c>
      <c r="BQ104" s="100">
        <f>OpCost!$E$25*BQ$130</f>
        <v>2772</v>
      </c>
      <c r="BR104" s="100">
        <f>OpCost!$E$25*BR$130</f>
        <v>2864.4</v>
      </c>
      <c r="BS104" s="100">
        <f>OpCost!$E$25*BS$130</f>
        <v>2772</v>
      </c>
      <c r="BT104" s="100">
        <f>OpCost!$E$25*BT$130</f>
        <v>2864.4</v>
      </c>
      <c r="BU104" s="100">
        <f>OpCost!$E$25*BU$130</f>
        <v>2864.4</v>
      </c>
      <c r="BV104" s="100">
        <f>OpCost!$E$25*BV$130</f>
        <v>2772</v>
      </c>
      <c r="BW104" s="100">
        <f>OpCost!$E$25*BW$130</f>
        <v>2864.4</v>
      </c>
      <c r="BX104" s="100">
        <f>OpCost!$E$25*BX$130</f>
        <v>2772</v>
      </c>
      <c r="BY104" s="100">
        <f>OpCost!$E$25*BY$130</f>
        <v>2864.4</v>
      </c>
      <c r="BZ104" s="100">
        <f>OpCost!$E$25*BZ$130</f>
        <v>2864.4</v>
      </c>
      <c r="CA104" s="100">
        <f>OpCost!$E$25*CA$130</f>
        <v>2587.2000000000003</v>
      </c>
      <c r="CB104" s="100">
        <f>OpCost!$E$25*CB$130</f>
        <v>2864.4</v>
      </c>
      <c r="CC104" s="100">
        <f>OpCost!$E$25*CC$130</f>
        <v>2772</v>
      </c>
      <c r="CD104" s="100">
        <f>OpCost!$E$25*CD$130</f>
        <v>2864.4</v>
      </c>
      <c r="CE104" s="100">
        <f>OpCost!$E$25*CE$130</f>
        <v>2772</v>
      </c>
      <c r="CF104" s="100">
        <f>OpCost!$E$25*CF$130</f>
        <v>2864.4</v>
      </c>
      <c r="CG104" s="100">
        <f>OpCost!$E$25*CG$130</f>
        <v>2864.4</v>
      </c>
      <c r="CH104" s="100">
        <f>OpCost!$E$25*CH$130</f>
        <v>2772</v>
      </c>
      <c r="CI104" s="100">
        <f>OpCost!$E$25*CI$130</f>
        <v>2864.4</v>
      </c>
      <c r="CJ104" s="100">
        <f>OpCost!$E$25*CJ$130</f>
        <v>2772</v>
      </c>
      <c r="CK104" s="100">
        <f>OpCost!$E$25*CK$130</f>
        <v>2864.4</v>
      </c>
      <c r="CL104" s="100">
        <f>OpCost!$E$25*CL$130</f>
        <v>2864.4</v>
      </c>
      <c r="CM104" s="100">
        <f>OpCost!$E$25*CM$130</f>
        <v>2587.2000000000003</v>
      </c>
      <c r="CN104" s="100">
        <f>OpCost!$E$25*CN$130</f>
        <v>2864.4</v>
      </c>
      <c r="CO104" s="100">
        <f>OpCost!$E$25*CO$130</f>
        <v>2772</v>
      </c>
      <c r="CP104" s="100">
        <f>OpCost!$E$25*CP$130</f>
        <v>2864.4</v>
      </c>
      <c r="CQ104" s="100">
        <f>OpCost!$E$25*CQ$130</f>
        <v>2772</v>
      </c>
      <c r="CR104" s="100">
        <f>OpCost!$E$25*CR$130</f>
        <v>2864.4</v>
      </c>
      <c r="CS104" s="100">
        <f>OpCost!$E$25*CS$130</f>
        <v>2864.4</v>
      </c>
      <c r="CT104" s="100">
        <f>OpCost!$E$25*CT$130</f>
        <v>2772</v>
      </c>
      <c r="CU104" s="100">
        <f>OpCost!$E$25*CU$130</f>
        <v>2864.4</v>
      </c>
      <c r="CV104" s="100">
        <f>OpCost!$E$25*CV$130</f>
        <v>2772</v>
      </c>
      <c r="CW104" s="100">
        <f>OpCost!$E$25*CW$130</f>
        <v>2864.4</v>
      </c>
      <c r="CX104" s="100">
        <f>OpCost!$E$25*CX$130</f>
        <v>2864.4</v>
      </c>
      <c r="CY104" s="100">
        <f>OpCost!$E$25*CY$130</f>
        <v>2587.2000000000003</v>
      </c>
      <c r="CZ104" s="100">
        <f>OpCost!$E$25*CZ$130</f>
        <v>2864.4</v>
      </c>
      <c r="DA104" s="100">
        <f>OpCost!$E$25*DA$130</f>
        <v>2772</v>
      </c>
      <c r="DB104" s="100">
        <f>OpCost!$E$25*DB$130</f>
        <v>2864.4</v>
      </c>
      <c r="DC104" s="100">
        <f>OpCost!$E$25*DC$130</f>
        <v>2772</v>
      </c>
      <c r="DD104" s="100">
        <f>OpCost!$E$25*DD$130</f>
        <v>2864.4</v>
      </c>
      <c r="DE104" s="100">
        <f>OpCost!$E$25*DE$130</f>
        <v>2864.4</v>
      </c>
      <c r="DF104" s="100">
        <f>OpCost!$E$25*DF$130</f>
        <v>2772</v>
      </c>
      <c r="DG104" s="100">
        <f>OpCost!$E$25*DG$130</f>
        <v>2864.4</v>
      </c>
      <c r="DH104" s="100">
        <f>OpCost!$E$25*DH$130</f>
        <v>2772</v>
      </c>
      <c r="DI104" s="100">
        <f>OpCost!$E$25*DI$130</f>
        <v>2864.4</v>
      </c>
      <c r="DJ104" s="100">
        <f>OpCost!$E$25*DJ$130</f>
        <v>2864.4</v>
      </c>
      <c r="DK104" s="100">
        <f>OpCost!$E$25*DK$130</f>
        <v>2587.2000000000003</v>
      </c>
      <c r="DL104" s="100">
        <f>OpCost!$E$25*DL$130</f>
        <v>2864.4</v>
      </c>
      <c r="DM104" s="100">
        <f>OpCost!$E$25*DM$130</f>
        <v>2772</v>
      </c>
      <c r="DN104" s="100">
        <f>OpCost!$E$25*DN$130</f>
        <v>2864.4</v>
      </c>
      <c r="DO104" s="100">
        <f>OpCost!$E$25*DO$130</f>
        <v>2772</v>
      </c>
      <c r="DP104" s="100">
        <f>OpCost!$E$25*DP$130</f>
        <v>2864.4</v>
      </c>
      <c r="DQ104" s="100">
        <f>OpCost!$E$25*DQ$130</f>
        <v>2864.4</v>
      </c>
      <c r="DR104" s="100">
        <f>OpCost!$E$25*DR$130</f>
        <v>2772</v>
      </c>
      <c r="DS104" s="100">
        <f>OpCost!$E$25*DS$130</f>
        <v>2864.4</v>
      </c>
      <c r="DT104" s="100">
        <f>OpCost!$E$25*DT$130</f>
        <v>2772</v>
      </c>
      <c r="DU104" s="100">
        <f>OpCost!$E$25*DU$130</f>
        <v>2864.4</v>
      </c>
      <c r="DV104" s="100">
        <f>OpCost!$E$25*DV$130</f>
        <v>2864.4</v>
      </c>
      <c r="DW104" s="100">
        <f>OpCost!$E$25*DW$130</f>
        <v>2587.2000000000003</v>
      </c>
      <c r="DX104" s="100">
        <f>OpCost!$E$25*DX$130</f>
        <v>2864.4</v>
      </c>
      <c r="DY104" s="100">
        <f>OpCost!$E$25*DY$130</f>
        <v>2772</v>
      </c>
      <c r="DZ104" s="100">
        <f>OpCost!$E$25*DZ$130</f>
        <v>2864.4</v>
      </c>
      <c r="EA104" s="100">
        <f>OpCost!$E$25*EA$130</f>
        <v>2772</v>
      </c>
      <c r="EB104" s="100">
        <f>OpCost!$E$25*EB$130</f>
        <v>2864.4</v>
      </c>
      <c r="EC104" s="100">
        <f>OpCost!$E$25*EC$130</f>
        <v>2864.4</v>
      </c>
      <c r="ED104" s="100">
        <f>OpCost!$E$25*ED$130</f>
        <v>2772</v>
      </c>
      <c r="EE104" s="100">
        <f>OpCost!$E$25*EE$130</f>
        <v>2864.4</v>
      </c>
      <c r="EF104" s="100">
        <f>OpCost!$E$25*EF$130</f>
        <v>2772</v>
      </c>
      <c r="EG104" s="100">
        <f>OpCost!$E$25*EG$130</f>
        <v>2864.4</v>
      </c>
      <c r="EH104" s="100">
        <f>OpCost!$E$25*EH$130</f>
        <v>2864.4</v>
      </c>
      <c r="EI104" s="100">
        <f>OpCost!$E$25*EI$130</f>
        <v>2587.2000000000003</v>
      </c>
      <c r="EJ104" s="100">
        <f>OpCost!$E$25*EJ$130</f>
        <v>2864.4</v>
      </c>
      <c r="EK104" s="100">
        <f>OpCost!$E$25*EK$130</f>
        <v>2772</v>
      </c>
      <c r="EL104" s="100">
        <f>OpCost!$E$25*EL$130</f>
        <v>2864.4</v>
      </c>
      <c r="EM104" s="100">
        <f>OpCost!$E$25*EM$130</f>
        <v>2772</v>
      </c>
      <c r="EN104" s="100">
        <f>OpCost!$E$25*EN$130</f>
        <v>2864.4</v>
      </c>
      <c r="EO104" s="100">
        <f>OpCost!$E$25*EO$130</f>
        <v>2864.4</v>
      </c>
      <c r="EP104" s="100">
        <f>OpCost!$E$25*EP$130</f>
        <v>2772</v>
      </c>
      <c r="EQ104" s="100">
        <f>OpCost!$E$25*EQ$130</f>
        <v>2864.4</v>
      </c>
      <c r="ER104" s="100">
        <f>OpCost!$E$25*ER$130</f>
        <v>2772</v>
      </c>
      <c r="ES104" s="100">
        <f>OpCost!$E$25*ES$130</f>
        <v>2864.4</v>
      </c>
      <c r="ET104" s="100">
        <f>OpCost!$E$25*ET$130</f>
        <v>2864.4</v>
      </c>
      <c r="EU104" s="100">
        <f>OpCost!$E$25*EU$130</f>
        <v>2587.2000000000003</v>
      </c>
      <c r="EV104" s="100">
        <f>OpCost!$E$25*EV$130</f>
        <v>2864.4</v>
      </c>
      <c r="EW104" s="100">
        <f>OpCost!$E$25*EW$130</f>
        <v>2772</v>
      </c>
      <c r="EX104" s="100">
        <f>OpCost!$E$25*EX$130</f>
        <v>2864.4</v>
      </c>
      <c r="EY104" s="100">
        <f>OpCost!$E$25*EY$130</f>
        <v>2772</v>
      </c>
      <c r="EZ104" s="100">
        <f>OpCost!$E$25*EZ$130</f>
        <v>2864.4</v>
      </c>
      <c r="FA104" s="100">
        <f>OpCost!$E$25*FA$130</f>
        <v>2864.4</v>
      </c>
      <c r="FB104" s="100">
        <f>OpCost!$E$25*FB$130</f>
        <v>2772</v>
      </c>
      <c r="FC104" s="100">
        <f>OpCost!$E$25*FC$130</f>
        <v>2864.4</v>
      </c>
      <c r="FD104" s="100">
        <f>OpCost!$E$25*FD$130</f>
        <v>2772</v>
      </c>
      <c r="FE104" s="100">
        <f>OpCost!$E$25*FE$130</f>
        <v>2864.4</v>
      </c>
      <c r="FF104" s="100">
        <f>OpCost!$E$25*FF$130</f>
        <v>2864.4</v>
      </c>
      <c r="FG104" s="100">
        <f>OpCost!$E$25*FG$130</f>
        <v>2587.2000000000003</v>
      </c>
      <c r="FH104" s="100">
        <f>OpCost!$E$25*FH$130</f>
        <v>2864.4</v>
      </c>
      <c r="FI104" s="100">
        <f>OpCost!$E$25*FI$130</f>
        <v>2772</v>
      </c>
      <c r="FJ104" s="100">
        <f>OpCost!$E$25*FJ$130</f>
        <v>2864.4</v>
      </c>
      <c r="FK104" s="100">
        <f>OpCost!$E$25*FK$130</f>
        <v>2772</v>
      </c>
      <c r="FL104" s="100">
        <f>OpCost!$E$25*FL$130</f>
        <v>2864.4</v>
      </c>
      <c r="FM104" s="100">
        <f>OpCost!$E$25*FM$130</f>
        <v>2864.4</v>
      </c>
      <c r="FN104" s="100">
        <f>OpCost!$E$25*FN$130</f>
        <v>2772</v>
      </c>
      <c r="FO104" s="100">
        <f>OpCost!$E$25*FO$130</f>
        <v>2864.4</v>
      </c>
      <c r="FP104" s="100">
        <f>OpCost!$E$25*FP$130</f>
        <v>2772</v>
      </c>
      <c r="FQ104" s="100">
        <f>OpCost!$E$25*FQ$130</f>
        <v>2864.4</v>
      </c>
      <c r="FR104" s="100">
        <f>OpCost!$E$25*FR$130</f>
        <v>2864.4</v>
      </c>
      <c r="FS104" s="100">
        <f>OpCost!$E$25*FS$130</f>
        <v>2587.2000000000003</v>
      </c>
      <c r="FT104" s="100">
        <f>OpCost!$E$25*FT$130</f>
        <v>2864.4</v>
      </c>
      <c r="FU104" s="100">
        <f>OpCost!$E$25*FU$130</f>
        <v>2772</v>
      </c>
      <c r="FV104" s="100">
        <f>OpCost!$E$25*FV$130</f>
        <v>2864.4</v>
      </c>
      <c r="FW104" s="100">
        <f>OpCost!$E$25*FW$130</f>
        <v>2772</v>
      </c>
      <c r="FX104" s="100">
        <f>OpCost!$E$25*FX$130</f>
        <v>2864.4</v>
      </c>
      <c r="FY104" s="100">
        <f>OpCost!$E$25*FY$130</f>
        <v>2864.4</v>
      </c>
      <c r="FZ104" s="100">
        <f>OpCost!$E$25*FZ$130</f>
        <v>2772</v>
      </c>
      <c r="GA104" s="100">
        <f>OpCost!$E$25*GA$130</f>
        <v>2864.4</v>
      </c>
      <c r="GB104" s="100">
        <f>OpCost!$E$25*GB$130</f>
        <v>2772</v>
      </c>
      <c r="GC104" s="100">
        <f>OpCost!$E$25*GC$130</f>
        <v>2864.4</v>
      </c>
    </row>
    <row r="105" spans="1:185">
      <c r="A105" s="10"/>
      <c r="B105" s="80" t="s">
        <v>135</v>
      </c>
      <c r="C105" s="80"/>
      <c r="D105" s="80"/>
      <c r="E105" s="82">
        <f t="shared" si="111"/>
        <v>810502</v>
      </c>
      <c r="F105" s="100">
        <f>OpCost!$E$27*F$130</f>
        <v>0</v>
      </c>
      <c r="G105" s="100">
        <f>OpCost!$E$27*G$130</f>
        <v>0</v>
      </c>
      <c r="H105" s="100">
        <f>OpCost!$E$27*H$130</f>
        <v>0</v>
      </c>
      <c r="I105" s="100">
        <f>OpCost!$E$27*I$130</f>
        <v>0</v>
      </c>
      <c r="J105" s="100">
        <f>OpCost!$E$27*J$130</f>
        <v>0</v>
      </c>
      <c r="K105" s="100">
        <f>OpCost!$E$27*K$130</f>
        <v>0</v>
      </c>
      <c r="L105" s="100">
        <f>OpCost!$E$27*L$130</f>
        <v>0</v>
      </c>
      <c r="M105" s="100">
        <f>OpCost!$E$27*M$130</f>
        <v>4774</v>
      </c>
      <c r="N105" s="100">
        <f>OpCost!$E$27*N$130</f>
        <v>4620</v>
      </c>
      <c r="O105" s="100">
        <f>OpCost!$E$27*O$130</f>
        <v>4774</v>
      </c>
      <c r="P105" s="100">
        <f>OpCost!$E$27*P$130</f>
        <v>4620</v>
      </c>
      <c r="Q105" s="100">
        <f>OpCost!$E$27*Q$130</f>
        <v>4774</v>
      </c>
      <c r="R105" s="100">
        <f>OpCost!$E$27*R$130</f>
        <v>4774</v>
      </c>
      <c r="S105" s="100">
        <f>OpCost!$E$27*S$130</f>
        <v>4312</v>
      </c>
      <c r="T105" s="100">
        <f>OpCost!$E$27*T$130</f>
        <v>4774</v>
      </c>
      <c r="U105" s="100">
        <f>OpCost!$E$27*U$130</f>
        <v>4620</v>
      </c>
      <c r="V105" s="100">
        <f>OpCost!$E$27*V$130</f>
        <v>4774</v>
      </c>
      <c r="W105" s="100">
        <f>OpCost!$E$27*W$130</f>
        <v>4620</v>
      </c>
      <c r="X105" s="100">
        <f>OpCost!$E$27*X$130</f>
        <v>4774</v>
      </c>
      <c r="Y105" s="100">
        <f>OpCost!$E$27*Y$130</f>
        <v>4774</v>
      </c>
      <c r="Z105" s="100">
        <f>OpCost!$E$27*Z$130</f>
        <v>4620</v>
      </c>
      <c r="AA105" s="100">
        <f>OpCost!$E$27*AA$130</f>
        <v>4774</v>
      </c>
      <c r="AB105" s="100">
        <f>OpCost!$E$27*AB$130</f>
        <v>4620</v>
      </c>
      <c r="AC105" s="100">
        <f>OpCost!$E$27*AC$130</f>
        <v>4774</v>
      </c>
      <c r="AD105" s="100">
        <f>OpCost!$E$27*AD$130</f>
        <v>4774</v>
      </c>
      <c r="AE105" s="100">
        <f>OpCost!$E$27*AE$130</f>
        <v>4312</v>
      </c>
      <c r="AF105" s="100">
        <f>OpCost!$E$27*AF$130</f>
        <v>4774</v>
      </c>
      <c r="AG105" s="100">
        <f>OpCost!$E$27*AG$130</f>
        <v>4620</v>
      </c>
      <c r="AH105" s="100">
        <f>OpCost!$E$27*AH$130</f>
        <v>4774</v>
      </c>
      <c r="AI105" s="100">
        <f>OpCost!$E$27*AI$130</f>
        <v>4620</v>
      </c>
      <c r="AJ105" s="100">
        <f>OpCost!$E$27*AJ$130</f>
        <v>4774</v>
      </c>
      <c r="AK105" s="100">
        <f>OpCost!$E$27*AK$130</f>
        <v>4774</v>
      </c>
      <c r="AL105" s="100">
        <f>OpCost!$E$27*AL$130</f>
        <v>4620</v>
      </c>
      <c r="AM105" s="100">
        <f>OpCost!$E$27*AM$130</f>
        <v>4774</v>
      </c>
      <c r="AN105" s="100">
        <f>OpCost!$E$27*AN$130</f>
        <v>4620</v>
      </c>
      <c r="AO105" s="100">
        <f>OpCost!$E$27*AO$130</f>
        <v>4774</v>
      </c>
      <c r="AP105" s="100">
        <f>OpCost!$E$27*AP$130</f>
        <v>4774</v>
      </c>
      <c r="AQ105" s="100">
        <f>OpCost!$E$27*AQ$130</f>
        <v>4312</v>
      </c>
      <c r="AR105" s="100">
        <f>OpCost!$E$27*AR$130</f>
        <v>4774</v>
      </c>
      <c r="AS105" s="100">
        <f>OpCost!$E$27*AS$130</f>
        <v>4620</v>
      </c>
      <c r="AT105" s="100">
        <f>OpCost!$E$27*AT$130</f>
        <v>4774</v>
      </c>
      <c r="AU105" s="100">
        <f>OpCost!$E$27*AU$130</f>
        <v>4620</v>
      </c>
      <c r="AV105" s="100">
        <f>OpCost!$E$27*AV$130</f>
        <v>4774</v>
      </c>
      <c r="AW105" s="100">
        <f>OpCost!$E$27*AW$130</f>
        <v>4774</v>
      </c>
      <c r="AX105" s="100">
        <f>OpCost!$E$27*AX$130</f>
        <v>4620</v>
      </c>
      <c r="AY105" s="100">
        <f>OpCost!$E$27*AY$130</f>
        <v>4774</v>
      </c>
      <c r="AZ105" s="100">
        <f>OpCost!$E$27*AZ$130</f>
        <v>4620</v>
      </c>
      <c r="BA105" s="100">
        <f>OpCost!$E$27*BA$130</f>
        <v>4774</v>
      </c>
      <c r="BB105" s="100">
        <f>OpCost!$E$27*BB$130</f>
        <v>4774</v>
      </c>
      <c r="BC105" s="100">
        <f>OpCost!$E$27*BC$130</f>
        <v>4312</v>
      </c>
      <c r="BD105" s="100">
        <f>OpCost!$E$27*BD$130</f>
        <v>4774</v>
      </c>
      <c r="BE105" s="100">
        <f>OpCost!$E$27*BE$130</f>
        <v>4620</v>
      </c>
      <c r="BF105" s="100">
        <f>OpCost!$E$27*BF$130</f>
        <v>4774</v>
      </c>
      <c r="BG105" s="100">
        <f>OpCost!$E$27*BG$130</f>
        <v>4620</v>
      </c>
      <c r="BH105" s="100">
        <f>OpCost!$E$27*BH$130</f>
        <v>4774</v>
      </c>
      <c r="BI105" s="100">
        <f>OpCost!$E$27*BI$130</f>
        <v>4774</v>
      </c>
      <c r="BJ105" s="100">
        <f>OpCost!$E$27*BJ$130</f>
        <v>4620</v>
      </c>
      <c r="BK105" s="100">
        <f>OpCost!$E$27*BK$130</f>
        <v>4774</v>
      </c>
      <c r="BL105" s="100">
        <f>OpCost!$E$27*BL$130</f>
        <v>4620</v>
      </c>
      <c r="BM105" s="100">
        <f>OpCost!$E$27*BM$130</f>
        <v>4774</v>
      </c>
      <c r="BN105" s="100">
        <f>OpCost!$E$27*BN$130</f>
        <v>4774</v>
      </c>
      <c r="BO105" s="100">
        <f>OpCost!$E$27*BO$130</f>
        <v>4312</v>
      </c>
      <c r="BP105" s="100">
        <f>OpCost!$E$27*BP$130</f>
        <v>4774</v>
      </c>
      <c r="BQ105" s="100">
        <f>OpCost!$E$27*BQ$130</f>
        <v>4620</v>
      </c>
      <c r="BR105" s="100">
        <f>OpCost!$E$27*BR$130</f>
        <v>4774</v>
      </c>
      <c r="BS105" s="100">
        <f>OpCost!$E$27*BS$130</f>
        <v>4620</v>
      </c>
      <c r="BT105" s="100">
        <f>OpCost!$E$27*BT$130</f>
        <v>4774</v>
      </c>
      <c r="BU105" s="100">
        <f>OpCost!$E$27*BU$130</f>
        <v>4774</v>
      </c>
      <c r="BV105" s="100">
        <f>OpCost!$E$27*BV$130</f>
        <v>4620</v>
      </c>
      <c r="BW105" s="100">
        <f>OpCost!$E$27*BW$130</f>
        <v>4774</v>
      </c>
      <c r="BX105" s="100">
        <f>OpCost!$E$27*BX$130</f>
        <v>4620</v>
      </c>
      <c r="BY105" s="100">
        <f>OpCost!$E$27*BY$130</f>
        <v>4774</v>
      </c>
      <c r="BZ105" s="100">
        <f>OpCost!$E$27*BZ$130</f>
        <v>4774</v>
      </c>
      <c r="CA105" s="100">
        <f>OpCost!$E$27*CA$130</f>
        <v>4312</v>
      </c>
      <c r="CB105" s="100">
        <f>OpCost!$E$27*CB$130</f>
        <v>4774</v>
      </c>
      <c r="CC105" s="100">
        <f>OpCost!$E$27*CC$130</f>
        <v>4620</v>
      </c>
      <c r="CD105" s="100">
        <f>OpCost!$E$27*CD$130</f>
        <v>4774</v>
      </c>
      <c r="CE105" s="100">
        <f>OpCost!$E$27*CE$130</f>
        <v>4620</v>
      </c>
      <c r="CF105" s="100">
        <f>OpCost!$E$27*CF$130</f>
        <v>4774</v>
      </c>
      <c r="CG105" s="100">
        <f>OpCost!$E$27*CG$130</f>
        <v>4774</v>
      </c>
      <c r="CH105" s="100">
        <f>OpCost!$E$27*CH$130</f>
        <v>4620</v>
      </c>
      <c r="CI105" s="100">
        <f>OpCost!$E$27*CI$130</f>
        <v>4774</v>
      </c>
      <c r="CJ105" s="100">
        <f>OpCost!$E$27*CJ$130</f>
        <v>4620</v>
      </c>
      <c r="CK105" s="100">
        <f>OpCost!$E$27*CK$130</f>
        <v>4774</v>
      </c>
      <c r="CL105" s="100">
        <f>OpCost!$E$27*CL$130</f>
        <v>4774</v>
      </c>
      <c r="CM105" s="100">
        <f>OpCost!$E$27*CM$130</f>
        <v>4312</v>
      </c>
      <c r="CN105" s="100">
        <f>OpCost!$E$27*CN$130</f>
        <v>4774</v>
      </c>
      <c r="CO105" s="100">
        <f>OpCost!$E$27*CO$130</f>
        <v>4620</v>
      </c>
      <c r="CP105" s="100">
        <f>OpCost!$E$27*CP$130</f>
        <v>4774</v>
      </c>
      <c r="CQ105" s="100">
        <f>OpCost!$E$27*CQ$130</f>
        <v>4620</v>
      </c>
      <c r="CR105" s="100">
        <f>OpCost!$E$27*CR$130</f>
        <v>4774</v>
      </c>
      <c r="CS105" s="100">
        <f>OpCost!$E$27*CS$130</f>
        <v>4774</v>
      </c>
      <c r="CT105" s="100">
        <f>OpCost!$E$27*CT$130</f>
        <v>4620</v>
      </c>
      <c r="CU105" s="100">
        <f>OpCost!$E$27*CU$130</f>
        <v>4774</v>
      </c>
      <c r="CV105" s="100">
        <f>OpCost!$E$27*CV$130</f>
        <v>4620</v>
      </c>
      <c r="CW105" s="100">
        <f>OpCost!$E$27*CW$130</f>
        <v>4774</v>
      </c>
      <c r="CX105" s="100">
        <f>OpCost!$E$27*CX$130</f>
        <v>4774</v>
      </c>
      <c r="CY105" s="100">
        <f>OpCost!$E$27*CY$130</f>
        <v>4312</v>
      </c>
      <c r="CZ105" s="100">
        <f>OpCost!$E$27*CZ$130</f>
        <v>4774</v>
      </c>
      <c r="DA105" s="100">
        <f>OpCost!$E$27*DA$130</f>
        <v>4620</v>
      </c>
      <c r="DB105" s="100">
        <f>OpCost!$E$27*DB$130</f>
        <v>4774</v>
      </c>
      <c r="DC105" s="100">
        <f>OpCost!$E$27*DC$130</f>
        <v>4620</v>
      </c>
      <c r="DD105" s="100">
        <f>OpCost!$E$27*DD$130</f>
        <v>4774</v>
      </c>
      <c r="DE105" s="100">
        <f>OpCost!$E$27*DE$130</f>
        <v>4774</v>
      </c>
      <c r="DF105" s="100">
        <f>OpCost!$E$27*DF$130</f>
        <v>4620</v>
      </c>
      <c r="DG105" s="100">
        <f>OpCost!$E$27*DG$130</f>
        <v>4774</v>
      </c>
      <c r="DH105" s="100">
        <f>OpCost!$E$27*DH$130</f>
        <v>4620</v>
      </c>
      <c r="DI105" s="100">
        <f>OpCost!$E$27*DI$130</f>
        <v>4774</v>
      </c>
      <c r="DJ105" s="100">
        <f>OpCost!$E$27*DJ$130</f>
        <v>4774</v>
      </c>
      <c r="DK105" s="100">
        <f>OpCost!$E$27*DK$130</f>
        <v>4312</v>
      </c>
      <c r="DL105" s="100">
        <f>OpCost!$E$27*DL$130</f>
        <v>4774</v>
      </c>
      <c r="DM105" s="100">
        <f>OpCost!$E$27*DM$130</f>
        <v>4620</v>
      </c>
      <c r="DN105" s="100">
        <f>OpCost!$E$27*DN$130</f>
        <v>4774</v>
      </c>
      <c r="DO105" s="100">
        <f>OpCost!$E$27*DO$130</f>
        <v>4620</v>
      </c>
      <c r="DP105" s="100">
        <f>OpCost!$E$27*DP$130</f>
        <v>4774</v>
      </c>
      <c r="DQ105" s="100">
        <f>OpCost!$E$27*DQ$130</f>
        <v>4774</v>
      </c>
      <c r="DR105" s="100">
        <f>OpCost!$E$27*DR$130</f>
        <v>4620</v>
      </c>
      <c r="DS105" s="100">
        <f>OpCost!$E$27*DS$130</f>
        <v>4774</v>
      </c>
      <c r="DT105" s="100">
        <f>OpCost!$E$27*DT$130</f>
        <v>4620</v>
      </c>
      <c r="DU105" s="100">
        <f>OpCost!$E$27*DU$130</f>
        <v>4774</v>
      </c>
      <c r="DV105" s="100">
        <f>OpCost!$E$27*DV$130</f>
        <v>4774</v>
      </c>
      <c r="DW105" s="100">
        <f>OpCost!$E$27*DW$130</f>
        <v>4312</v>
      </c>
      <c r="DX105" s="100">
        <f>OpCost!$E$27*DX$130</f>
        <v>4774</v>
      </c>
      <c r="DY105" s="100">
        <f>OpCost!$E$27*DY$130</f>
        <v>4620</v>
      </c>
      <c r="DZ105" s="100">
        <f>OpCost!$E$27*DZ$130</f>
        <v>4774</v>
      </c>
      <c r="EA105" s="100">
        <f>OpCost!$E$27*EA$130</f>
        <v>4620</v>
      </c>
      <c r="EB105" s="100">
        <f>OpCost!$E$27*EB$130</f>
        <v>4774</v>
      </c>
      <c r="EC105" s="100">
        <f>OpCost!$E$27*EC$130</f>
        <v>4774</v>
      </c>
      <c r="ED105" s="100">
        <f>OpCost!$E$27*ED$130</f>
        <v>4620</v>
      </c>
      <c r="EE105" s="100">
        <f>OpCost!$E$27*EE$130</f>
        <v>4774</v>
      </c>
      <c r="EF105" s="100">
        <f>OpCost!$E$27*EF$130</f>
        <v>4620</v>
      </c>
      <c r="EG105" s="100">
        <f>OpCost!$E$27*EG$130</f>
        <v>4774</v>
      </c>
      <c r="EH105" s="100">
        <f>OpCost!$E$27*EH$130</f>
        <v>4774</v>
      </c>
      <c r="EI105" s="100">
        <f>OpCost!$E$27*EI$130</f>
        <v>4312</v>
      </c>
      <c r="EJ105" s="100">
        <f>OpCost!$E$27*EJ$130</f>
        <v>4774</v>
      </c>
      <c r="EK105" s="100">
        <f>OpCost!$E$27*EK$130</f>
        <v>4620</v>
      </c>
      <c r="EL105" s="100">
        <f>OpCost!$E$27*EL$130</f>
        <v>4774</v>
      </c>
      <c r="EM105" s="100">
        <f>OpCost!$E$27*EM$130</f>
        <v>4620</v>
      </c>
      <c r="EN105" s="100">
        <f>OpCost!$E$27*EN$130</f>
        <v>4774</v>
      </c>
      <c r="EO105" s="100">
        <f>OpCost!$E$27*EO$130</f>
        <v>4774</v>
      </c>
      <c r="EP105" s="100">
        <f>OpCost!$E$27*EP$130</f>
        <v>4620</v>
      </c>
      <c r="EQ105" s="100">
        <f>OpCost!$E$27*EQ$130</f>
        <v>4774</v>
      </c>
      <c r="ER105" s="100">
        <f>OpCost!$E$27*ER$130</f>
        <v>4620</v>
      </c>
      <c r="ES105" s="100">
        <f>OpCost!$E$27*ES$130</f>
        <v>4774</v>
      </c>
      <c r="ET105" s="100">
        <f>OpCost!$E$27*ET$130</f>
        <v>4774</v>
      </c>
      <c r="EU105" s="100">
        <f>OpCost!$E$27*EU$130</f>
        <v>4312</v>
      </c>
      <c r="EV105" s="100">
        <f>OpCost!$E$27*EV$130</f>
        <v>4774</v>
      </c>
      <c r="EW105" s="100">
        <f>OpCost!$E$27*EW$130</f>
        <v>4620</v>
      </c>
      <c r="EX105" s="100">
        <f>OpCost!$E$27*EX$130</f>
        <v>4774</v>
      </c>
      <c r="EY105" s="100">
        <f>OpCost!$E$27*EY$130</f>
        <v>4620</v>
      </c>
      <c r="EZ105" s="100">
        <f>OpCost!$E$27*EZ$130</f>
        <v>4774</v>
      </c>
      <c r="FA105" s="100">
        <f>OpCost!$E$27*FA$130</f>
        <v>4774</v>
      </c>
      <c r="FB105" s="100">
        <f>OpCost!$E$27*FB$130</f>
        <v>4620</v>
      </c>
      <c r="FC105" s="100">
        <f>OpCost!$E$27*FC$130</f>
        <v>4774</v>
      </c>
      <c r="FD105" s="100">
        <f>OpCost!$E$27*FD$130</f>
        <v>4620</v>
      </c>
      <c r="FE105" s="100">
        <f>OpCost!$E$27*FE$130</f>
        <v>4774</v>
      </c>
      <c r="FF105" s="100">
        <f>OpCost!$E$27*FF$130</f>
        <v>4774</v>
      </c>
      <c r="FG105" s="100">
        <f>OpCost!$E$27*FG$130</f>
        <v>4312</v>
      </c>
      <c r="FH105" s="100">
        <f>OpCost!$E$27*FH$130</f>
        <v>4774</v>
      </c>
      <c r="FI105" s="100">
        <f>OpCost!$E$27*FI$130</f>
        <v>4620</v>
      </c>
      <c r="FJ105" s="100">
        <f>OpCost!$E$27*FJ$130</f>
        <v>4774</v>
      </c>
      <c r="FK105" s="100">
        <f>OpCost!$E$27*FK$130</f>
        <v>4620</v>
      </c>
      <c r="FL105" s="100">
        <f>OpCost!$E$27*FL$130</f>
        <v>4774</v>
      </c>
      <c r="FM105" s="100">
        <f>OpCost!$E$27*FM$130</f>
        <v>4774</v>
      </c>
      <c r="FN105" s="100">
        <f>OpCost!$E$27*FN$130</f>
        <v>4620</v>
      </c>
      <c r="FO105" s="100">
        <f>OpCost!$E$27*FO$130</f>
        <v>4774</v>
      </c>
      <c r="FP105" s="100">
        <f>OpCost!$E$27*FP$130</f>
        <v>4620</v>
      </c>
      <c r="FQ105" s="100">
        <f>OpCost!$E$27*FQ$130</f>
        <v>4774</v>
      </c>
      <c r="FR105" s="100">
        <f>OpCost!$E$27*FR$130</f>
        <v>4774</v>
      </c>
      <c r="FS105" s="100">
        <f>OpCost!$E$27*FS$130</f>
        <v>4312</v>
      </c>
      <c r="FT105" s="100">
        <f>OpCost!$E$27*FT$130</f>
        <v>4774</v>
      </c>
      <c r="FU105" s="100">
        <f>OpCost!$E$27*FU$130</f>
        <v>4620</v>
      </c>
      <c r="FV105" s="100">
        <f>OpCost!$E$27*FV$130</f>
        <v>4774</v>
      </c>
      <c r="FW105" s="100">
        <f>OpCost!$E$27*FW$130</f>
        <v>4620</v>
      </c>
      <c r="FX105" s="100">
        <f>OpCost!$E$27*FX$130</f>
        <v>4774</v>
      </c>
      <c r="FY105" s="100">
        <f>OpCost!$E$27*FY$130</f>
        <v>4774</v>
      </c>
      <c r="FZ105" s="100">
        <f>OpCost!$E$27*FZ$130</f>
        <v>4620</v>
      </c>
      <c r="GA105" s="100">
        <f>OpCost!$E$27*GA$130</f>
        <v>4774</v>
      </c>
      <c r="GB105" s="100">
        <f>OpCost!$E$27*GB$130</f>
        <v>4620</v>
      </c>
      <c r="GC105" s="100">
        <f>OpCost!$E$27*GC$130</f>
        <v>4774</v>
      </c>
    </row>
    <row r="106" spans="1:185">
      <c r="A106" s="10"/>
      <c r="B106" s="80" t="s">
        <v>136</v>
      </c>
      <c r="C106" s="80"/>
      <c r="D106" s="80"/>
      <c r="E106" s="82">
        <f t="shared" si="111"/>
        <v>486301.20000000094</v>
      </c>
      <c r="F106" s="100">
        <f>OpCost!$E$28*F$130</f>
        <v>0</v>
      </c>
      <c r="G106" s="100">
        <f>OpCost!$E$28*G$130</f>
        <v>0</v>
      </c>
      <c r="H106" s="100">
        <f>OpCost!$E$28*H$130</f>
        <v>0</v>
      </c>
      <c r="I106" s="100">
        <f>OpCost!$E$28*I$130</f>
        <v>0</v>
      </c>
      <c r="J106" s="100">
        <f>OpCost!$E$28*J$130</f>
        <v>0</v>
      </c>
      <c r="K106" s="100">
        <f>OpCost!$E$28*K$130</f>
        <v>0</v>
      </c>
      <c r="L106" s="100">
        <f>OpCost!$E$28*L$130</f>
        <v>0</v>
      </c>
      <c r="M106" s="100">
        <f>OpCost!$E$28*M$130</f>
        <v>2864.4</v>
      </c>
      <c r="N106" s="100">
        <f>OpCost!$E$28*N$130</f>
        <v>2772</v>
      </c>
      <c r="O106" s="100">
        <f>OpCost!$E$28*O$130</f>
        <v>2864.4</v>
      </c>
      <c r="P106" s="100">
        <f>OpCost!$E$28*P$130</f>
        <v>2772</v>
      </c>
      <c r="Q106" s="100">
        <f>OpCost!$E$28*Q$130</f>
        <v>2864.4</v>
      </c>
      <c r="R106" s="100">
        <f>OpCost!$E$28*R$130</f>
        <v>2864.4</v>
      </c>
      <c r="S106" s="100">
        <f>OpCost!$E$28*S$130</f>
        <v>2587.2000000000003</v>
      </c>
      <c r="T106" s="100">
        <f>OpCost!$E$28*T$130</f>
        <v>2864.4</v>
      </c>
      <c r="U106" s="100">
        <f>OpCost!$E$28*U$130</f>
        <v>2772</v>
      </c>
      <c r="V106" s="100">
        <f>OpCost!$E$28*V$130</f>
        <v>2864.4</v>
      </c>
      <c r="W106" s="100">
        <f>OpCost!$E$28*W$130</f>
        <v>2772</v>
      </c>
      <c r="X106" s="100">
        <f>OpCost!$E$28*X$130</f>
        <v>2864.4</v>
      </c>
      <c r="Y106" s="100">
        <f>OpCost!$E$28*Y$130</f>
        <v>2864.4</v>
      </c>
      <c r="Z106" s="100">
        <f>OpCost!$E$28*Z$130</f>
        <v>2772</v>
      </c>
      <c r="AA106" s="100">
        <f>OpCost!$E$28*AA$130</f>
        <v>2864.4</v>
      </c>
      <c r="AB106" s="100">
        <f>OpCost!$E$28*AB$130</f>
        <v>2772</v>
      </c>
      <c r="AC106" s="100">
        <f>OpCost!$E$28*AC$130</f>
        <v>2864.4</v>
      </c>
      <c r="AD106" s="100">
        <f>OpCost!$E$28*AD$130</f>
        <v>2864.4</v>
      </c>
      <c r="AE106" s="100">
        <f>OpCost!$E$28*AE$130</f>
        <v>2587.2000000000003</v>
      </c>
      <c r="AF106" s="100">
        <f>OpCost!$E$28*AF$130</f>
        <v>2864.4</v>
      </c>
      <c r="AG106" s="100">
        <f>OpCost!$E$28*AG$130</f>
        <v>2772</v>
      </c>
      <c r="AH106" s="100">
        <f>OpCost!$E$28*AH$130</f>
        <v>2864.4</v>
      </c>
      <c r="AI106" s="100">
        <f>OpCost!$E$28*AI$130</f>
        <v>2772</v>
      </c>
      <c r="AJ106" s="100">
        <f>OpCost!$E$28*AJ$130</f>
        <v>2864.4</v>
      </c>
      <c r="AK106" s="100">
        <f>OpCost!$E$28*AK$130</f>
        <v>2864.4</v>
      </c>
      <c r="AL106" s="100">
        <f>OpCost!$E$28*AL$130</f>
        <v>2772</v>
      </c>
      <c r="AM106" s="100">
        <f>OpCost!$E$28*AM$130</f>
        <v>2864.4</v>
      </c>
      <c r="AN106" s="100">
        <f>OpCost!$E$28*AN$130</f>
        <v>2772</v>
      </c>
      <c r="AO106" s="100">
        <f>OpCost!$E$28*AO$130</f>
        <v>2864.4</v>
      </c>
      <c r="AP106" s="100">
        <f>OpCost!$E$28*AP$130</f>
        <v>2864.4</v>
      </c>
      <c r="AQ106" s="100">
        <f>OpCost!$E$28*AQ$130</f>
        <v>2587.2000000000003</v>
      </c>
      <c r="AR106" s="100">
        <f>OpCost!$E$28*AR$130</f>
        <v>2864.4</v>
      </c>
      <c r="AS106" s="100">
        <f>OpCost!$E$28*AS$130</f>
        <v>2772</v>
      </c>
      <c r="AT106" s="100">
        <f>OpCost!$E$28*AT$130</f>
        <v>2864.4</v>
      </c>
      <c r="AU106" s="100">
        <f>OpCost!$E$28*AU$130</f>
        <v>2772</v>
      </c>
      <c r="AV106" s="100">
        <f>OpCost!$E$28*AV$130</f>
        <v>2864.4</v>
      </c>
      <c r="AW106" s="100">
        <f>OpCost!$E$28*AW$130</f>
        <v>2864.4</v>
      </c>
      <c r="AX106" s="100">
        <f>OpCost!$E$28*AX$130</f>
        <v>2772</v>
      </c>
      <c r="AY106" s="100">
        <f>OpCost!$E$28*AY$130</f>
        <v>2864.4</v>
      </c>
      <c r="AZ106" s="100">
        <f>OpCost!$E$28*AZ$130</f>
        <v>2772</v>
      </c>
      <c r="BA106" s="100">
        <f>OpCost!$E$28*BA$130</f>
        <v>2864.4</v>
      </c>
      <c r="BB106" s="100">
        <f>OpCost!$E$28*BB$130</f>
        <v>2864.4</v>
      </c>
      <c r="BC106" s="100">
        <f>OpCost!$E$28*BC$130</f>
        <v>2587.2000000000003</v>
      </c>
      <c r="BD106" s="100">
        <f>OpCost!$E$28*BD$130</f>
        <v>2864.4</v>
      </c>
      <c r="BE106" s="100">
        <f>OpCost!$E$28*BE$130</f>
        <v>2772</v>
      </c>
      <c r="BF106" s="100">
        <f>OpCost!$E$28*BF$130</f>
        <v>2864.4</v>
      </c>
      <c r="BG106" s="100">
        <f>OpCost!$E$28*BG$130</f>
        <v>2772</v>
      </c>
      <c r="BH106" s="100">
        <f>OpCost!$E$28*BH$130</f>
        <v>2864.4</v>
      </c>
      <c r="BI106" s="100">
        <f>OpCost!$E$28*BI$130</f>
        <v>2864.4</v>
      </c>
      <c r="BJ106" s="100">
        <f>OpCost!$E$28*BJ$130</f>
        <v>2772</v>
      </c>
      <c r="BK106" s="100">
        <f>OpCost!$E$28*BK$130</f>
        <v>2864.4</v>
      </c>
      <c r="BL106" s="100">
        <f>OpCost!$E$28*BL$130</f>
        <v>2772</v>
      </c>
      <c r="BM106" s="100">
        <f>OpCost!$E$28*BM$130</f>
        <v>2864.4</v>
      </c>
      <c r="BN106" s="100">
        <f>OpCost!$E$28*BN$130</f>
        <v>2864.4</v>
      </c>
      <c r="BO106" s="100">
        <f>OpCost!$E$28*BO$130</f>
        <v>2587.2000000000003</v>
      </c>
      <c r="BP106" s="100">
        <f>OpCost!$E$28*BP$130</f>
        <v>2864.4</v>
      </c>
      <c r="BQ106" s="100">
        <f>OpCost!$E$28*BQ$130</f>
        <v>2772</v>
      </c>
      <c r="BR106" s="100">
        <f>OpCost!$E$28*BR$130</f>
        <v>2864.4</v>
      </c>
      <c r="BS106" s="100">
        <f>OpCost!$E$28*BS$130</f>
        <v>2772</v>
      </c>
      <c r="BT106" s="100">
        <f>OpCost!$E$28*BT$130</f>
        <v>2864.4</v>
      </c>
      <c r="BU106" s="100">
        <f>OpCost!$E$28*BU$130</f>
        <v>2864.4</v>
      </c>
      <c r="BV106" s="100">
        <f>OpCost!$E$28*BV$130</f>
        <v>2772</v>
      </c>
      <c r="BW106" s="100">
        <f>OpCost!$E$28*BW$130</f>
        <v>2864.4</v>
      </c>
      <c r="BX106" s="100">
        <f>OpCost!$E$28*BX$130</f>
        <v>2772</v>
      </c>
      <c r="BY106" s="100">
        <f>OpCost!$E$28*BY$130</f>
        <v>2864.4</v>
      </c>
      <c r="BZ106" s="100">
        <f>OpCost!$E$28*BZ$130</f>
        <v>2864.4</v>
      </c>
      <c r="CA106" s="100">
        <f>OpCost!$E$28*CA$130</f>
        <v>2587.2000000000003</v>
      </c>
      <c r="CB106" s="100">
        <f>OpCost!$E$28*CB$130</f>
        <v>2864.4</v>
      </c>
      <c r="CC106" s="100">
        <f>OpCost!$E$28*CC$130</f>
        <v>2772</v>
      </c>
      <c r="CD106" s="100">
        <f>OpCost!$E$28*CD$130</f>
        <v>2864.4</v>
      </c>
      <c r="CE106" s="100">
        <f>OpCost!$E$28*CE$130</f>
        <v>2772</v>
      </c>
      <c r="CF106" s="100">
        <f>OpCost!$E$28*CF$130</f>
        <v>2864.4</v>
      </c>
      <c r="CG106" s="100">
        <f>OpCost!$E$28*CG$130</f>
        <v>2864.4</v>
      </c>
      <c r="CH106" s="100">
        <f>OpCost!$E$28*CH$130</f>
        <v>2772</v>
      </c>
      <c r="CI106" s="100">
        <f>OpCost!$E$28*CI$130</f>
        <v>2864.4</v>
      </c>
      <c r="CJ106" s="100">
        <f>OpCost!$E$28*CJ$130</f>
        <v>2772</v>
      </c>
      <c r="CK106" s="100">
        <f>OpCost!$E$28*CK$130</f>
        <v>2864.4</v>
      </c>
      <c r="CL106" s="100">
        <f>OpCost!$E$28*CL$130</f>
        <v>2864.4</v>
      </c>
      <c r="CM106" s="100">
        <f>OpCost!$E$28*CM$130</f>
        <v>2587.2000000000003</v>
      </c>
      <c r="CN106" s="100">
        <f>OpCost!$E$28*CN$130</f>
        <v>2864.4</v>
      </c>
      <c r="CO106" s="100">
        <f>OpCost!$E$28*CO$130</f>
        <v>2772</v>
      </c>
      <c r="CP106" s="100">
        <f>OpCost!$E$28*CP$130</f>
        <v>2864.4</v>
      </c>
      <c r="CQ106" s="100">
        <f>OpCost!$E$28*CQ$130</f>
        <v>2772</v>
      </c>
      <c r="CR106" s="100">
        <f>OpCost!$E$28*CR$130</f>
        <v>2864.4</v>
      </c>
      <c r="CS106" s="100">
        <f>OpCost!$E$28*CS$130</f>
        <v>2864.4</v>
      </c>
      <c r="CT106" s="100">
        <f>OpCost!$E$28*CT$130</f>
        <v>2772</v>
      </c>
      <c r="CU106" s="100">
        <f>OpCost!$E$28*CU$130</f>
        <v>2864.4</v>
      </c>
      <c r="CV106" s="100">
        <f>OpCost!$E$28*CV$130</f>
        <v>2772</v>
      </c>
      <c r="CW106" s="100">
        <f>OpCost!$E$28*CW$130</f>
        <v>2864.4</v>
      </c>
      <c r="CX106" s="100">
        <f>OpCost!$E$28*CX$130</f>
        <v>2864.4</v>
      </c>
      <c r="CY106" s="100">
        <f>OpCost!$E$28*CY$130</f>
        <v>2587.2000000000003</v>
      </c>
      <c r="CZ106" s="100">
        <f>OpCost!$E$28*CZ$130</f>
        <v>2864.4</v>
      </c>
      <c r="DA106" s="100">
        <f>OpCost!$E$28*DA$130</f>
        <v>2772</v>
      </c>
      <c r="DB106" s="100">
        <f>OpCost!$E$28*DB$130</f>
        <v>2864.4</v>
      </c>
      <c r="DC106" s="100">
        <f>OpCost!$E$28*DC$130</f>
        <v>2772</v>
      </c>
      <c r="DD106" s="100">
        <f>OpCost!$E$28*DD$130</f>
        <v>2864.4</v>
      </c>
      <c r="DE106" s="100">
        <f>OpCost!$E$28*DE$130</f>
        <v>2864.4</v>
      </c>
      <c r="DF106" s="100">
        <f>OpCost!$E$28*DF$130</f>
        <v>2772</v>
      </c>
      <c r="DG106" s="100">
        <f>OpCost!$E$28*DG$130</f>
        <v>2864.4</v>
      </c>
      <c r="DH106" s="100">
        <f>OpCost!$E$28*DH$130</f>
        <v>2772</v>
      </c>
      <c r="DI106" s="100">
        <f>OpCost!$E$28*DI$130</f>
        <v>2864.4</v>
      </c>
      <c r="DJ106" s="100">
        <f>OpCost!$E$28*DJ$130</f>
        <v>2864.4</v>
      </c>
      <c r="DK106" s="100">
        <f>OpCost!$E$28*DK$130</f>
        <v>2587.2000000000003</v>
      </c>
      <c r="DL106" s="100">
        <f>OpCost!$E$28*DL$130</f>
        <v>2864.4</v>
      </c>
      <c r="DM106" s="100">
        <f>OpCost!$E$28*DM$130</f>
        <v>2772</v>
      </c>
      <c r="DN106" s="100">
        <f>OpCost!$E$28*DN$130</f>
        <v>2864.4</v>
      </c>
      <c r="DO106" s="100">
        <f>OpCost!$E$28*DO$130</f>
        <v>2772</v>
      </c>
      <c r="DP106" s="100">
        <f>OpCost!$E$28*DP$130</f>
        <v>2864.4</v>
      </c>
      <c r="DQ106" s="100">
        <f>OpCost!$E$28*DQ$130</f>
        <v>2864.4</v>
      </c>
      <c r="DR106" s="100">
        <f>OpCost!$E$28*DR$130</f>
        <v>2772</v>
      </c>
      <c r="DS106" s="100">
        <f>OpCost!$E$28*DS$130</f>
        <v>2864.4</v>
      </c>
      <c r="DT106" s="100">
        <f>OpCost!$E$28*DT$130</f>
        <v>2772</v>
      </c>
      <c r="DU106" s="100">
        <f>OpCost!$E$28*DU$130</f>
        <v>2864.4</v>
      </c>
      <c r="DV106" s="100">
        <f>OpCost!$E$28*DV$130</f>
        <v>2864.4</v>
      </c>
      <c r="DW106" s="100">
        <f>OpCost!$E$28*DW$130</f>
        <v>2587.2000000000003</v>
      </c>
      <c r="DX106" s="100">
        <f>OpCost!$E$28*DX$130</f>
        <v>2864.4</v>
      </c>
      <c r="DY106" s="100">
        <f>OpCost!$E$28*DY$130</f>
        <v>2772</v>
      </c>
      <c r="DZ106" s="100">
        <f>OpCost!$E$28*DZ$130</f>
        <v>2864.4</v>
      </c>
      <c r="EA106" s="100">
        <f>OpCost!$E$28*EA$130</f>
        <v>2772</v>
      </c>
      <c r="EB106" s="100">
        <f>OpCost!$E$28*EB$130</f>
        <v>2864.4</v>
      </c>
      <c r="EC106" s="100">
        <f>OpCost!$E$28*EC$130</f>
        <v>2864.4</v>
      </c>
      <c r="ED106" s="100">
        <f>OpCost!$E$28*ED$130</f>
        <v>2772</v>
      </c>
      <c r="EE106" s="100">
        <f>OpCost!$E$28*EE$130</f>
        <v>2864.4</v>
      </c>
      <c r="EF106" s="100">
        <f>OpCost!$E$28*EF$130</f>
        <v>2772</v>
      </c>
      <c r="EG106" s="100">
        <f>OpCost!$E$28*EG$130</f>
        <v>2864.4</v>
      </c>
      <c r="EH106" s="100">
        <f>OpCost!$E$28*EH$130</f>
        <v>2864.4</v>
      </c>
      <c r="EI106" s="100">
        <f>OpCost!$E$28*EI$130</f>
        <v>2587.2000000000003</v>
      </c>
      <c r="EJ106" s="100">
        <f>OpCost!$E$28*EJ$130</f>
        <v>2864.4</v>
      </c>
      <c r="EK106" s="100">
        <f>OpCost!$E$28*EK$130</f>
        <v>2772</v>
      </c>
      <c r="EL106" s="100">
        <f>OpCost!$E$28*EL$130</f>
        <v>2864.4</v>
      </c>
      <c r="EM106" s="100">
        <f>OpCost!$E$28*EM$130</f>
        <v>2772</v>
      </c>
      <c r="EN106" s="100">
        <f>OpCost!$E$28*EN$130</f>
        <v>2864.4</v>
      </c>
      <c r="EO106" s="100">
        <f>OpCost!$E$28*EO$130</f>
        <v>2864.4</v>
      </c>
      <c r="EP106" s="100">
        <f>OpCost!$E$28*EP$130</f>
        <v>2772</v>
      </c>
      <c r="EQ106" s="100">
        <f>OpCost!$E$28*EQ$130</f>
        <v>2864.4</v>
      </c>
      <c r="ER106" s="100">
        <f>OpCost!$E$28*ER$130</f>
        <v>2772</v>
      </c>
      <c r="ES106" s="100">
        <f>OpCost!$E$28*ES$130</f>
        <v>2864.4</v>
      </c>
      <c r="ET106" s="100">
        <f>OpCost!$E$28*ET$130</f>
        <v>2864.4</v>
      </c>
      <c r="EU106" s="100">
        <f>OpCost!$E$28*EU$130</f>
        <v>2587.2000000000003</v>
      </c>
      <c r="EV106" s="100">
        <f>OpCost!$E$28*EV$130</f>
        <v>2864.4</v>
      </c>
      <c r="EW106" s="100">
        <f>OpCost!$E$28*EW$130</f>
        <v>2772</v>
      </c>
      <c r="EX106" s="100">
        <f>OpCost!$E$28*EX$130</f>
        <v>2864.4</v>
      </c>
      <c r="EY106" s="100">
        <f>OpCost!$E$28*EY$130</f>
        <v>2772</v>
      </c>
      <c r="EZ106" s="100">
        <f>OpCost!$E$28*EZ$130</f>
        <v>2864.4</v>
      </c>
      <c r="FA106" s="100">
        <f>OpCost!$E$28*FA$130</f>
        <v>2864.4</v>
      </c>
      <c r="FB106" s="100">
        <f>OpCost!$E$28*FB$130</f>
        <v>2772</v>
      </c>
      <c r="FC106" s="100">
        <f>OpCost!$E$28*FC$130</f>
        <v>2864.4</v>
      </c>
      <c r="FD106" s="100">
        <f>OpCost!$E$28*FD$130</f>
        <v>2772</v>
      </c>
      <c r="FE106" s="100">
        <f>OpCost!$E$28*FE$130</f>
        <v>2864.4</v>
      </c>
      <c r="FF106" s="100">
        <f>OpCost!$E$28*FF$130</f>
        <v>2864.4</v>
      </c>
      <c r="FG106" s="100">
        <f>OpCost!$E$28*FG$130</f>
        <v>2587.2000000000003</v>
      </c>
      <c r="FH106" s="100">
        <f>OpCost!$E$28*FH$130</f>
        <v>2864.4</v>
      </c>
      <c r="FI106" s="100">
        <f>OpCost!$E$28*FI$130</f>
        <v>2772</v>
      </c>
      <c r="FJ106" s="100">
        <f>OpCost!$E$28*FJ$130</f>
        <v>2864.4</v>
      </c>
      <c r="FK106" s="100">
        <f>OpCost!$E$28*FK$130</f>
        <v>2772</v>
      </c>
      <c r="FL106" s="100">
        <f>OpCost!$E$28*FL$130</f>
        <v>2864.4</v>
      </c>
      <c r="FM106" s="100">
        <f>OpCost!$E$28*FM$130</f>
        <v>2864.4</v>
      </c>
      <c r="FN106" s="100">
        <f>OpCost!$E$28*FN$130</f>
        <v>2772</v>
      </c>
      <c r="FO106" s="100">
        <f>OpCost!$E$28*FO$130</f>
        <v>2864.4</v>
      </c>
      <c r="FP106" s="100">
        <f>OpCost!$E$28*FP$130</f>
        <v>2772</v>
      </c>
      <c r="FQ106" s="100">
        <f>OpCost!$E$28*FQ$130</f>
        <v>2864.4</v>
      </c>
      <c r="FR106" s="100">
        <f>OpCost!$E$28*FR$130</f>
        <v>2864.4</v>
      </c>
      <c r="FS106" s="100">
        <f>OpCost!$E$28*FS$130</f>
        <v>2587.2000000000003</v>
      </c>
      <c r="FT106" s="100">
        <f>OpCost!$E$28*FT$130</f>
        <v>2864.4</v>
      </c>
      <c r="FU106" s="100">
        <f>OpCost!$E$28*FU$130</f>
        <v>2772</v>
      </c>
      <c r="FV106" s="100">
        <f>OpCost!$E$28*FV$130</f>
        <v>2864.4</v>
      </c>
      <c r="FW106" s="100">
        <f>OpCost!$E$28*FW$130</f>
        <v>2772</v>
      </c>
      <c r="FX106" s="100">
        <f>OpCost!$E$28*FX$130</f>
        <v>2864.4</v>
      </c>
      <c r="FY106" s="100">
        <f>OpCost!$E$28*FY$130</f>
        <v>2864.4</v>
      </c>
      <c r="FZ106" s="100">
        <f>OpCost!$E$28*FZ$130</f>
        <v>2772</v>
      </c>
      <c r="GA106" s="100">
        <f>OpCost!$E$28*GA$130</f>
        <v>2864.4</v>
      </c>
      <c r="GB106" s="100">
        <f>OpCost!$E$28*GB$130</f>
        <v>2772</v>
      </c>
      <c r="GC106" s="100">
        <f>OpCost!$E$28*GC$130</f>
        <v>2864.4</v>
      </c>
    </row>
    <row r="107" spans="1:185">
      <c r="A107" s="10"/>
      <c r="B107" s="80" t="s">
        <v>137</v>
      </c>
      <c r="C107" s="80"/>
      <c r="D107" s="80"/>
      <c r="E107" s="82">
        <f t="shared" si="111"/>
        <v>2693460.2463999949</v>
      </c>
      <c r="F107" s="100">
        <f>OpCost!$E$29*F$130</f>
        <v>0</v>
      </c>
      <c r="G107" s="100">
        <f>OpCost!$E$29*G$130</f>
        <v>0</v>
      </c>
      <c r="H107" s="100">
        <f>OpCost!$E$29*H$130</f>
        <v>0</v>
      </c>
      <c r="I107" s="100">
        <f>OpCost!$E$29*I$130</f>
        <v>0</v>
      </c>
      <c r="J107" s="100">
        <f>OpCost!$E$29*J$130</f>
        <v>0</v>
      </c>
      <c r="K107" s="100">
        <f>OpCost!$E$29*K$130</f>
        <v>0</v>
      </c>
      <c r="L107" s="100">
        <f>OpCost!$E$29*L$130</f>
        <v>0</v>
      </c>
      <c r="M107" s="100">
        <f>OpCost!$E$29*M$130</f>
        <v>15864.9568</v>
      </c>
      <c r="N107" s="100">
        <f>OpCost!$E$29*N$130</f>
        <v>15353.184000000001</v>
      </c>
      <c r="O107" s="100">
        <f>OpCost!$E$29*O$130</f>
        <v>15864.9568</v>
      </c>
      <c r="P107" s="100">
        <f>OpCost!$E$29*P$130</f>
        <v>15353.184000000001</v>
      </c>
      <c r="Q107" s="100">
        <f>OpCost!$E$29*Q$130</f>
        <v>15864.9568</v>
      </c>
      <c r="R107" s="100">
        <f>OpCost!$E$29*R$130</f>
        <v>15864.9568</v>
      </c>
      <c r="S107" s="100">
        <f>OpCost!$E$29*S$130</f>
        <v>14329.638400000002</v>
      </c>
      <c r="T107" s="100">
        <f>OpCost!$E$29*T$130</f>
        <v>15864.9568</v>
      </c>
      <c r="U107" s="100">
        <f>OpCost!$E$29*U$130</f>
        <v>15353.184000000001</v>
      </c>
      <c r="V107" s="100">
        <f>OpCost!$E$29*V$130</f>
        <v>15864.9568</v>
      </c>
      <c r="W107" s="100">
        <f>OpCost!$E$29*W$130</f>
        <v>15353.184000000001</v>
      </c>
      <c r="X107" s="100">
        <f>OpCost!$E$29*X$130</f>
        <v>15864.9568</v>
      </c>
      <c r="Y107" s="100">
        <f>OpCost!$E$29*Y$130</f>
        <v>15864.9568</v>
      </c>
      <c r="Z107" s="100">
        <f>OpCost!$E$29*Z$130</f>
        <v>15353.184000000001</v>
      </c>
      <c r="AA107" s="100">
        <f>OpCost!$E$29*AA$130</f>
        <v>15864.9568</v>
      </c>
      <c r="AB107" s="100">
        <f>OpCost!$E$29*AB$130</f>
        <v>15353.184000000001</v>
      </c>
      <c r="AC107" s="100">
        <f>OpCost!$E$29*AC$130</f>
        <v>15864.9568</v>
      </c>
      <c r="AD107" s="100">
        <f>OpCost!$E$29*AD$130</f>
        <v>15864.9568</v>
      </c>
      <c r="AE107" s="100">
        <f>OpCost!$E$29*AE$130</f>
        <v>14329.638400000002</v>
      </c>
      <c r="AF107" s="100">
        <f>OpCost!$E$29*AF$130</f>
        <v>15864.9568</v>
      </c>
      <c r="AG107" s="100">
        <f>OpCost!$E$29*AG$130</f>
        <v>15353.184000000001</v>
      </c>
      <c r="AH107" s="100">
        <f>OpCost!$E$29*AH$130</f>
        <v>15864.9568</v>
      </c>
      <c r="AI107" s="100">
        <f>OpCost!$E$29*AI$130</f>
        <v>15353.184000000001</v>
      </c>
      <c r="AJ107" s="100">
        <f>OpCost!$E$29*AJ$130</f>
        <v>15864.9568</v>
      </c>
      <c r="AK107" s="100">
        <f>OpCost!$E$29*AK$130</f>
        <v>15864.9568</v>
      </c>
      <c r="AL107" s="100">
        <f>OpCost!$E$29*AL$130</f>
        <v>15353.184000000001</v>
      </c>
      <c r="AM107" s="100">
        <f>OpCost!$E$29*AM$130</f>
        <v>15864.9568</v>
      </c>
      <c r="AN107" s="100">
        <f>OpCost!$E$29*AN$130</f>
        <v>15353.184000000001</v>
      </c>
      <c r="AO107" s="100">
        <f>OpCost!$E$29*AO$130</f>
        <v>15864.9568</v>
      </c>
      <c r="AP107" s="100">
        <f>OpCost!$E$29*AP$130</f>
        <v>15864.9568</v>
      </c>
      <c r="AQ107" s="100">
        <f>OpCost!$E$29*AQ$130</f>
        <v>14329.638400000002</v>
      </c>
      <c r="AR107" s="100">
        <f>OpCost!$E$29*AR$130</f>
        <v>15864.9568</v>
      </c>
      <c r="AS107" s="100">
        <f>OpCost!$E$29*AS$130</f>
        <v>15353.184000000001</v>
      </c>
      <c r="AT107" s="100">
        <f>OpCost!$E$29*AT$130</f>
        <v>15864.9568</v>
      </c>
      <c r="AU107" s="100">
        <f>OpCost!$E$29*AU$130</f>
        <v>15353.184000000001</v>
      </c>
      <c r="AV107" s="100">
        <f>OpCost!$E$29*AV$130</f>
        <v>15864.9568</v>
      </c>
      <c r="AW107" s="100">
        <f>OpCost!$E$29*AW$130</f>
        <v>15864.9568</v>
      </c>
      <c r="AX107" s="100">
        <f>OpCost!$E$29*AX$130</f>
        <v>15353.184000000001</v>
      </c>
      <c r="AY107" s="100">
        <f>OpCost!$E$29*AY$130</f>
        <v>15864.9568</v>
      </c>
      <c r="AZ107" s="100">
        <f>OpCost!$E$29*AZ$130</f>
        <v>15353.184000000001</v>
      </c>
      <c r="BA107" s="100">
        <f>OpCost!$E$29*BA$130</f>
        <v>15864.9568</v>
      </c>
      <c r="BB107" s="100">
        <f>OpCost!$E$29*BB$130</f>
        <v>15864.9568</v>
      </c>
      <c r="BC107" s="100">
        <f>OpCost!$E$29*BC$130</f>
        <v>14329.638400000002</v>
      </c>
      <c r="BD107" s="100">
        <f>OpCost!$E$29*BD$130</f>
        <v>15864.9568</v>
      </c>
      <c r="BE107" s="100">
        <f>OpCost!$E$29*BE$130</f>
        <v>15353.184000000001</v>
      </c>
      <c r="BF107" s="100">
        <f>OpCost!$E$29*BF$130</f>
        <v>15864.9568</v>
      </c>
      <c r="BG107" s="100">
        <f>OpCost!$E$29*BG$130</f>
        <v>15353.184000000001</v>
      </c>
      <c r="BH107" s="100">
        <f>OpCost!$E$29*BH$130</f>
        <v>15864.9568</v>
      </c>
      <c r="BI107" s="100">
        <f>OpCost!$E$29*BI$130</f>
        <v>15864.9568</v>
      </c>
      <c r="BJ107" s="100">
        <f>OpCost!$E$29*BJ$130</f>
        <v>15353.184000000001</v>
      </c>
      <c r="BK107" s="100">
        <f>OpCost!$E$29*BK$130</f>
        <v>15864.9568</v>
      </c>
      <c r="BL107" s="100">
        <f>OpCost!$E$29*BL$130</f>
        <v>15353.184000000001</v>
      </c>
      <c r="BM107" s="100">
        <f>OpCost!$E$29*BM$130</f>
        <v>15864.9568</v>
      </c>
      <c r="BN107" s="100">
        <f>OpCost!$E$29*BN$130</f>
        <v>15864.9568</v>
      </c>
      <c r="BO107" s="100">
        <f>OpCost!$E$29*BO$130</f>
        <v>14329.638400000002</v>
      </c>
      <c r="BP107" s="100">
        <f>OpCost!$E$29*BP$130</f>
        <v>15864.9568</v>
      </c>
      <c r="BQ107" s="100">
        <f>OpCost!$E$29*BQ$130</f>
        <v>15353.184000000001</v>
      </c>
      <c r="BR107" s="100">
        <f>OpCost!$E$29*BR$130</f>
        <v>15864.9568</v>
      </c>
      <c r="BS107" s="100">
        <f>OpCost!$E$29*BS$130</f>
        <v>15353.184000000001</v>
      </c>
      <c r="BT107" s="100">
        <f>OpCost!$E$29*BT$130</f>
        <v>15864.9568</v>
      </c>
      <c r="BU107" s="100">
        <f>OpCost!$E$29*BU$130</f>
        <v>15864.9568</v>
      </c>
      <c r="BV107" s="100">
        <f>OpCost!$E$29*BV$130</f>
        <v>15353.184000000001</v>
      </c>
      <c r="BW107" s="100">
        <f>OpCost!$E$29*BW$130</f>
        <v>15864.9568</v>
      </c>
      <c r="BX107" s="100">
        <f>OpCost!$E$29*BX$130</f>
        <v>15353.184000000001</v>
      </c>
      <c r="BY107" s="100">
        <f>OpCost!$E$29*BY$130</f>
        <v>15864.9568</v>
      </c>
      <c r="BZ107" s="100">
        <f>OpCost!$E$29*BZ$130</f>
        <v>15864.9568</v>
      </c>
      <c r="CA107" s="100">
        <f>OpCost!$E$29*CA$130</f>
        <v>14329.638400000002</v>
      </c>
      <c r="CB107" s="100">
        <f>OpCost!$E$29*CB$130</f>
        <v>15864.9568</v>
      </c>
      <c r="CC107" s="100">
        <f>OpCost!$E$29*CC$130</f>
        <v>15353.184000000001</v>
      </c>
      <c r="CD107" s="100">
        <f>OpCost!$E$29*CD$130</f>
        <v>15864.9568</v>
      </c>
      <c r="CE107" s="100">
        <f>OpCost!$E$29*CE$130</f>
        <v>15353.184000000001</v>
      </c>
      <c r="CF107" s="100">
        <f>OpCost!$E$29*CF$130</f>
        <v>15864.9568</v>
      </c>
      <c r="CG107" s="100">
        <f>OpCost!$E$29*CG$130</f>
        <v>15864.9568</v>
      </c>
      <c r="CH107" s="100">
        <f>OpCost!$E$29*CH$130</f>
        <v>15353.184000000001</v>
      </c>
      <c r="CI107" s="100">
        <f>OpCost!$E$29*CI$130</f>
        <v>15864.9568</v>
      </c>
      <c r="CJ107" s="100">
        <f>OpCost!$E$29*CJ$130</f>
        <v>15353.184000000001</v>
      </c>
      <c r="CK107" s="100">
        <f>OpCost!$E$29*CK$130</f>
        <v>15864.9568</v>
      </c>
      <c r="CL107" s="100">
        <f>OpCost!$E$29*CL$130</f>
        <v>15864.9568</v>
      </c>
      <c r="CM107" s="100">
        <f>OpCost!$E$29*CM$130</f>
        <v>14329.638400000002</v>
      </c>
      <c r="CN107" s="100">
        <f>OpCost!$E$29*CN$130</f>
        <v>15864.9568</v>
      </c>
      <c r="CO107" s="100">
        <f>OpCost!$E$29*CO$130</f>
        <v>15353.184000000001</v>
      </c>
      <c r="CP107" s="100">
        <f>OpCost!$E$29*CP$130</f>
        <v>15864.9568</v>
      </c>
      <c r="CQ107" s="100">
        <f>OpCost!$E$29*CQ$130</f>
        <v>15353.184000000001</v>
      </c>
      <c r="CR107" s="100">
        <f>OpCost!$E$29*CR$130</f>
        <v>15864.9568</v>
      </c>
      <c r="CS107" s="100">
        <f>OpCost!$E$29*CS$130</f>
        <v>15864.9568</v>
      </c>
      <c r="CT107" s="100">
        <f>OpCost!$E$29*CT$130</f>
        <v>15353.184000000001</v>
      </c>
      <c r="CU107" s="100">
        <f>OpCost!$E$29*CU$130</f>
        <v>15864.9568</v>
      </c>
      <c r="CV107" s="100">
        <f>OpCost!$E$29*CV$130</f>
        <v>15353.184000000001</v>
      </c>
      <c r="CW107" s="100">
        <f>OpCost!$E$29*CW$130</f>
        <v>15864.9568</v>
      </c>
      <c r="CX107" s="100">
        <f>OpCost!$E$29*CX$130</f>
        <v>15864.9568</v>
      </c>
      <c r="CY107" s="100">
        <f>OpCost!$E$29*CY$130</f>
        <v>14329.638400000002</v>
      </c>
      <c r="CZ107" s="100">
        <f>OpCost!$E$29*CZ$130</f>
        <v>15864.9568</v>
      </c>
      <c r="DA107" s="100">
        <f>OpCost!$E$29*DA$130</f>
        <v>15353.184000000001</v>
      </c>
      <c r="DB107" s="100">
        <f>OpCost!$E$29*DB$130</f>
        <v>15864.9568</v>
      </c>
      <c r="DC107" s="100">
        <f>OpCost!$E$29*DC$130</f>
        <v>15353.184000000001</v>
      </c>
      <c r="DD107" s="100">
        <f>OpCost!$E$29*DD$130</f>
        <v>15864.9568</v>
      </c>
      <c r="DE107" s="100">
        <f>OpCost!$E$29*DE$130</f>
        <v>15864.9568</v>
      </c>
      <c r="DF107" s="100">
        <f>OpCost!$E$29*DF$130</f>
        <v>15353.184000000001</v>
      </c>
      <c r="DG107" s="100">
        <f>OpCost!$E$29*DG$130</f>
        <v>15864.9568</v>
      </c>
      <c r="DH107" s="100">
        <f>OpCost!$E$29*DH$130</f>
        <v>15353.184000000001</v>
      </c>
      <c r="DI107" s="100">
        <f>OpCost!$E$29*DI$130</f>
        <v>15864.9568</v>
      </c>
      <c r="DJ107" s="100">
        <f>OpCost!$E$29*DJ$130</f>
        <v>15864.9568</v>
      </c>
      <c r="DK107" s="100">
        <f>OpCost!$E$29*DK$130</f>
        <v>14329.638400000002</v>
      </c>
      <c r="DL107" s="100">
        <f>OpCost!$E$29*DL$130</f>
        <v>15864.9568</v>
      </c>
      <c r="DM107" s="100">
        <f>OpCost!$E$29*DM$130</f>
        <v>15353.184000000001</v>
      </c>
      <c r="DN107" s="100">
        <f>OpCost!$E$29*DN$130</f>
        <v>15864.9568</v>
      </c>
      <c r="DO107" s="100">
        <f>OpCost!$E$29*DO$130</f>
        <v>15353.184000000001</v>
      </c>
      <c r="DP107" s="100">
        <f>OpCost!$E$29*DP$130</f>
        <v>15864.9568</v>
      </c>
      <c r="DQ107" s="100">
        <f>OpCost!$E$29*DQ$130</f>
        <v>15864.9568</v>
      </c>
      <c r="DR107" s="100">
        <f>OpCost!$E$29*DR$130</f>
        <v>15353.184000000001</v>
      </c>
      <c r="DS107" s="100">
        <f>OpCost!$E$29*DS$130</f>
        <v>15864.9568</v>
      </c>
      <c r="DT107" s="100">
        <f>OpCost!$E$29*DT$130</f>
        <v>15353.184000000001</v>
      </c>
      <c r="DU107" s="100">
        <f>OpCost!$E$29*DU$130</f>
        <v>15864.9568</v>
      </c>
      <c r="DV107" s="100">
        <f>OpCost!$E$29*DV$130</f>
        <v>15864.9568</v>
      </c>
      <c r="DW107" s="100">
        <f>OpCost!$E$29*DW$130</f>
        <v>14329.638400000002</v>
      </c>
      <c r="DX107" s="100">
        <f>OpCost!$E$29*DX$130</f>
        <v>15864.9568</v>
      </c>
      <c r="DY107" s="100">
        <f>OpCost!$E$29*DY$130</f>
        <v>15353.184000000001</v>
      </c>
      <c r="DZ107" s="100">
        <f>OpCost!$E$29*DZ$130</f>
        <v>15864.9568</v>
      </c>
      <c r="EA107" s="100">
        <f>OpCost!$E$29*EA$130</f>
        <v>15353.184000000001</v>
      </c>
      <c r="EB107" s="100">
        <f>OpCost!$E$29*EB$130</f>
        <v>15864.9568</v>
      </c>
      <c r="EC107" s="100">
        <f>OpCost!$E$29*EC$130</f>
        <v>15864.9568</v>
      </c>
      <c r="ED107" s="100">
        <f>OpCost!$E$29*ED$130</f>
        <v>15353.184000000001</v>
      </c>
      <c r="EE107" s="100">
        <f>OpCost!$E$29*EE$130</f>
        <v>15864.9568</v>
      </c>
      <c r="EF107" s="100">
        <f>OpCost!$E$29*EF$130</f>
        <v>15353.184000000001</v>
      </c>
      <c r="EG107" s="100">
        <f>OpCost!$E$29*EG$130</f>
        <v>15864.9568</v>
      </c>
      <c r="EH107" s="100">
        <f>OpCost!$E$29*EH$130</f>
        <v>15864.9568</v>
      </c>
      <c r="EI107" s="100">
        <f>OpCost!$E$29*EI$130</f>
        <v>14329.638400000002</v>
      </c>
      <c r="EJ107" s="100">
        <f>OpCost!$E$29*EJ$130</f>
        <v>15864.9568</v>
      </c>
      <c r="EK107" s="100">
        <f>OpCost!$E$29*EK$130</f>
        <v>15353.184000000001</v>
      </c>
      <c r="EL107" s="100">
        <f>OpCost!$E$29*EL$130</f>
        <v>15864.9568</v>
      </c>
      <c r="EM107" s="100">
        <f>OpCost!$E$29*EM$130</f>
        <v>15353.184000000001</v>
      </c>
      <c r="EN107" s="100">
        <f>OpCost!$E$29*EN$130</f>
        <v>15864.9568</v>
      </c>
      <c r="EO107" s="100">
        <f>OpCost!$E$29*EO$130</f>
        <v>15864.9568</v>
      </c>
      <c r="EP107" s="100">
        <f>OpCost!$E$29*EP$130</f>
        <v>15353.184000000001</v>
      </c>
      <c r="EQ107" s="100">
        <f>OpCost!$E$29*EQ$130</f>
        <v>15864.9568</v>
      </c>
      <c r="ER107" s="100">
        <f>OpCost!$E$29*ER$130</f>
        <v>15353.184000000001</v>
      </c>
      <c r="ES107" s="100">
        <f>OpCost!$E$29*ES$130</f>
        <v>15864.9568</v>
      </c>
      <c r="ET107" s="100">
        <f>OpCost!$E$29*ET$130</f>
        <v>15864.9568</v>
      </c>
      <c r="EU107" s="100">
        <f>OpCost!$E$29*EU$130</f>
        <v>14329.638400000002</v>
      </c>
      <c r="EV107" s="100">
        <f>OpCost!$E$29*EV$130</f>
        <v>15864.9568</v>
      </c>
      <c r="EW107" s="100">
        <f>OpCost!$E$29*EW$130</f>
        <v>15353.184000000001</v>
      </c>
      <c r="EX107" s="100">
        <f>OpCost!$E$29*EX$130</f>
        <v>15864.9568</v>
      </c>
      <c r="EY107" s="100">
        <f>OpCost!$E$29*EY$130</f>
        <v>15353.184000000001</v>
      </c>
      <c r="EZ107" s="100">
        <f>OpCost!$E$29*EZ$130</f>
        <v>15864.9568</v>
      </c>
      <c r="FA107" s="100">
        <f>OpCost!$E$29*FA$130</f>
        <v>15864.9568</v>
      </c>
      <c r="FB107" s="100">
        <f>OpCost!$E$29*FB$130</f>
        <v>15353.184000000001</v>
      </c>
      <c r="FC107" s="100">
        <f>OpCost!$E$29*FC$130</f>
        <v>15864.9568</v>
      </c>
      <c r="FD107" s="100">
        <f>OpCost!$E$29*FD$130</f>
        <v>15353.184000000001</v>
      </c>
      <c r="FE107" s="100">
        <f>OpCost!$E$29*FE$130</f>
        <v>15864.9568</v>
      </c>
      <c r="FF107" s="100">
        <f>OpCost!$E$29*FF$130</f>
        <v>15864.9568</v>
      </c>
      <c r="FG107" s="100">
        <f>OpCost!$E$29*FG$130</f>
        <v>14329.638400000002</v>
      </c>
      <c r="FH107" s="100">
        <f>OpCost!$E$29*FH$130</f>
        <v>15864.9568</v>
      </c>
      <c r="FI107" s="100">
        <f>OpCost!$E$29*FI$130</f>
        <v>15353.184000000001</v>
      </c>
      <c r="FJ107" s="100">
        <f>OpCost!$E$29*FJ$130</f>
        <v>15864.9568</v>
      </c>
      <c r="FK107" s="100">
        <f>OpCost!$E$29*FK$130</f>
        <v>15353.184000000001</v>
      </c>
      <c r="FL107" s="100">
        <f>OpCost!$E$29*FL$130</f>
        <v>15864.9568</v>
      </c>
      <c r="FM107" s="100">
        <f>OpCost!$E$29*FM$130</f>
        <v>15864.9568</v>
      </c>
      <c r="FN107" s="100">
        <f>OpCost!$E$29*FN$130</f>
        <v>15353.184000000001</v>
      </c>
      <c r="FO107" s="100">
        <f>OpCost!$E$29*FO$130</f>
        <v>15864.9568</v>
      </c>
      <c r="FP107" s="100">
        <f>OpCost!$E$29*FP$130</f>
        <v>15353.184000000001</v>
      </c>
      <c r="FQ107" s="100">
        <f>OpCost!$E$29*FQ$130</f>
        <v>15864.9568</v>
      </c>
      <c r="FR107" s="100">
        <f>OpCost!$E$29*FR$130</f>
        <v>15864.9568</v>
      </c>
      <c r="FS107" s="100">
        <f>OpCost!$E$29*FS$130</f>
        <v>14329.638400000002</v>
      </c>
      <c r="FT107" s="100">
        <f>OpCost!$E$29*FT$130</f>
        <v>15864.9568</v>
      </c>
      <c r="FU107" s="100">
        <f>OpCost!$E$29*FU$130</f>
        <v>15353.184000000001</v>
      </c>
      <c r="FV107" s="100">
        <f>OpCost!$E$29*FV$130</f>
        <v>15864.9568</v>
      </c>
      <c r="FW107" s="100">
        <f>OpCost!$E$29*FW$130</f>
        <v>15353.184000000001</v>
      </c>
      <c r="FX107" s="100">
        <f>OpCost!$E$29*FX$130</f>
        <v>15864.9568</v>
      </c>
      <c r="FY107" s="100">
        <f>OpCost!$E$29*FY$130</f>
        <v>15864.9568</v>
      </c>
      <c r="FZ107" s="100">
        <f>OpCost!$E$29*FZ$130</f>
        <v>15353.184000000001</v>
      </c>
      <c r="GA107" s="100">
        <f>OpCost!$E$29*GA$130</f>
        <v>15864.9568</v>
      </c>
      <c r="GB107" s="100">
        <f>OpCost!$E$29*GB$130</f>
        <v>15353.184000000001</v>
      </c>
      <c r="GC107" s="100">
        <f>OpCost!$E$29*GC$130</f>
        <v>15864.9568</v>
      </c>
    </row>
    <row r="108" spans="1:185">
      <c r="A108" s="10"/>
      <c r="B108" s="80" t="s">
        <v>138</v>
      </c>
      <c r="C108" s="80"/>
      <c r="D108" s="80"/>
      <c r="E108" s="82">
        <f t="shared" si="111"/>
        <v>324200.79999999981</v>
      </c>
      <c r="F108" s="100">
        <f>OpCost!$E$30*F$130</f>
        <v>0</v>
      </c>
      <c r="G108" s="100">
        <f>OpCost!$E$30*G$130</f>
        <v>0</v>
      </c>
      <c r="H108" s="100">
        <f>OpCost!$E$30*H$130</f>
        <v>0</v>
      </c>
      <c r="I108" s="100">
        <f>OpCost!$E$30*I$130</f>
        <v>0</v>
      </c>
      <c r="J108" s="100">
        <f>OpCost!$E$30*J$130</f>
        <v>0</v>
      </c>
      <c r="K108" s="100">
        <f>OpCost!$E$30*K$130</f>
        <v>0</v>
      </c>
      <c r="L108" s="100">
        <f>OpCost!$E$30*L$130</f>
        <v>0</v>
      </c>
      <c r="M108" s="100">
        <f>OpCost!$E$30*M$130</f>
        <v>1909.5999999999997</v>
      </c>
      <c r="N108" s="100">
        <f>OpCost!$E$30*N$130</f>
        <v>1847.9999999999998</v>
      </c>
      <c r="O108" s="100">
        <f>OpCost!$E$30*O$130</f>
        <v>1909.5999999999997</v>
      </c>
      <c r="P108" s="100">
        <f>OpCost!$E$30*P$130</f>
        <v>1847.9999999999998</v>
      </c>
      <c r="Q108" s="100">
        <f>OpCost!$E$30*Q$130</f>
        <v>1909.5999999999997</v>
      </c>
      <c r="R108" s="100">
        <f>OpCost!$E$30*R$130</f>
        <v>1909.5999999999997</v>
      </c>
      <c r="S108" s="100">
        <f>OpCost!$E$30*S$130</f>
        <v>1724.8</v>
      </c>
      <c r="T108" s="100">
        <f>OpCost!$E$30*T$130</f>
        <v>1909.5999999999997</v>
      </c>
      <c r="U108" s="100">
        <f>OpCost!$E$30*U$130</f>
        <v>1847.9999999999998</v>
      </c>
      <c r="V108" s="100">
        <f>OpCost!$E$30*V$130</f>
        <v>1909.5999999999997</v>
      </c>
      <c r="W108" s="100">
        <f>OpCost!$E$30*W$130</f>
        <v>1847.9999999999998</v>
      </c>
      <c r="X108" s="100">
        <f>OpCost!$E$30*X$130</f>
        <v>1909.5999999999997</v>
      </c>
      <c r="Y108" s="100">
        <f>OpCost!$E$30*Y$130</f>
        <v>1909.5999999999997</v>
      </c>
      <c r="Z108" s="100">
        <f>OpCost!$E$30*Z$130</f>
        <v>1847.9999999999998</v>
      </c>
      <c r="AA108" s="100">
        <f>OpCost!$E$30*AA$130</f>
        <v>1909.5999999999997</v>
      </c>
      <c r="AB108" s="100">
        <f>OpCost!$E$30*AB$130</f>
        <v>1847.9999999999998</v>
      </c>
      <c r="AC108" s="100">
        <f>OpCost!$E$30*AC$130</f>
        <v>1909.5999999999997</v>
      </c>
      <c r="AD108" s="100">
        <f>OpCost!$E$30*AD$130</f>
        <v>1909.5999999999997</v>
      </c>
      <c r="AE108" s="100">
        <f>OpCost!$E$30*AE$130</f>
        <v>1724.8</v>
      </c>
      <c r="AF108" s="100">
        <f>OpCost!$E$30*AF$130</f>
        <v>1909.5999999999997</v>
      </c>
      <c r="AG108" s="100">
        <f>OpCost!$E$30*AG$130</f>
        <v>1847.9999999999998</v>
      </c>
      <c r="AH108" s="100">
        <f>OpCost!$E$30*AH$130</f>
        <v>1909.5999999999997</v>
      </c>
      <c r="AI108" s="100">
        <f>OpCost!$E$30*AI$130</f>
        <v>1847.9999999999998</v>
      </c>
      <c r="AJ108" s="100">
        <f>OpCost!$E$30*AJ$130</f>
        <v>1909.5999999999997</v>
      </c>
      <c r="AK108" s="100">
        <f>OpCost!$E$30*AK$130</f>
        <v>1909.5999999999997</v>
      </c>
      <c r="AL108" s="100">
        <f>OpCost!$E$30*AL$130</f>
        <v>1847.9999999999998</v>
      </c>
      <c r="AM108" s="100">
        <f>OpCost!$E$30*AM$130</f>
        <v>1909.5999999999997</v>
      </c>
      <c r="AN108" s="100">
        <f>OpCost!$E$30*AN$130</f>
        <v>1847.9999999999998</v>
      </c>
      <c r="AO108" s="100">
        <f>OpCost!$E$30*AO$130</f>
        <v>1909.5999999999997</v>
      </c>
      <c r="AP108" s="100">
        <f>OpCost!$E$30*AP$130</f>
        <v>1909.5999999999997</v>
      </c>
      <c r="AQ108" s="100">
        <f>OpCost!$E$30*AQ$130</f>
        <v>1724.8</v>
      </c>
      <c r="AR108" s="100">
        <f>OpCost!$E$30*AR$130</f>
        <v>1909.5999999999997</v>
      </c>
      <c r="AS108" s="100">
        <f>OpCost!$E$30*AS$130</f>
        <v>1847.9999999999998</v>
      </c>
      <c r="AT108" s="100">
        <f>OpCost!$E$30*AT$130</f>
        <v>1909.5999999999997</v>
      </c>
      <c r="AU108" s="100">
        <f>OpCost!$E$30*AU$130</f>
        <v>1847.9999999999998</v>
      </c>
      <c r="AV108" s="100">
        <f>OpCost!$E$30*AV$130</f>
        <v>1909.5999999999997</v>
      </c>
      <c r="AW108" s="100">
        <f>OpCost!$E$30*AW$130</f>
        <v>1909.5999999999997</v>
      </c>
      <c r="AX108" s="100">
        <f>OpCost!$E$30*AX$130</f>
        <v>1847.9999999999998</v>
      </c>
      <c r="AY108" s="100">
        <f>OpCost!$E$30*AY$130</f>
        <v>1909.5999999999997</v>
      </c>
      <c r="AZ108" s="100">
        <f>OpCost!$E$30*AZ$130</f>
        <v>1847.9999999999998</v>
      </c>
      <c r="BA108" s="100">
        <f>OpCost!$E$30*BA$130</f>
        <v>1909.5999999999997</v>
      </c>
      <c r="BB108" s="100">
        <f>OpCost!$E$30*BB$130</f>
        <v>1909.5999999999997</v>
      </c>
      <c r="BC108" s="100">
        <f>OpCost!$E$30*BC$130</f>
        <v>1724.8</v>
      </c>
      <c r="BD108" s="100">
        <f>OpCost!$E$30*BD$130</f>
        <v>1909.5999999999997</v>
      </c>
      <c r="BE108" s="100">
        <f>OpCost!$E$30*BE$130</f>
        <v>1847.9999999999998</v>
      </c>
      <c r="BF108" s="100">
        <f>OpCost!$E$30*BF$130</f>
        <v>1909.5999999999997</v>
      </c>
      <c r="BG108" s="100">
        <f>OpCost!$E$30*BG$130</f>
        <v>1847.9999999999998</v>
      </c>
      <c r="BH108" s="100">
        <f>OpCost!$E$30*BH$130</f>
        <v>1909.5999999999997</v>
      </c>
      <c r="BI108" s="100">
        <f>OpCost!$E$30*BI$130</f>
        <v>1909.5999999999997</v>
      </c>
      <c r="BJ108" s="100">
        <f>OpCost!$E$30*BJ$130</f>
        <v>1847.9999999999998</v>
      </c>
      <c r="BK108" s="100">
        <f>OpCost!$E$30*BK$130</f>
        <v>1909.5999999999997</v>
      </c>
      <c r="BL108" s="100">
        <f>OpCost!$E$30*BL$130</f>
        <v>1847.9999999999998</v>
      </c>
      <c r="BM108" s="100">
        <f>OpCost!$E$30*BM$130</f>
        <v>1909.5999999999997</v>
      </c>
      <c r="BN108" s="100">
        <f>OpCost!$E$30*BN$130</f>
        <v>1909.5999999999997</v>
      </c>
      <c r="BO108" s="100">
        <f>OpCost!$E$30*BO$130</f>
        <v>1724.8</v>
      </c>
      <c r="BP108" s="100">
        <f>OpCost!$E$30*BP$130</f>
        <v>1909.5999999999997</v>
      </c>
      <c r="BQ108" s="100">
        <f>OpCost!$E$30*BQ$130</f>
        <v>1847.9999999999998</v>
      </c>
      <c r="BR108" s="100">
        <f>OpCost!$E$30*BR$130</f>
        <v>1909.5999999999997</v>
      </c>
      <c r="BS108" s="100">
        <f>OpCost!$E$30*BS$130</f>
        <v>1847.9999999999998</v>
      </c>
      <c r="BT108" s="100">
        <f>OpCost!$E$30*BT$130</f>
        <v>1909.5999999999997</v>
      </c>
      <c r="BU108" s="100">
        <f>OpCost!$E$30*BU$130</f>
        <v>1909.5999999999997</v>
      </c>
      <c r="BV108" s="100">
        <f>OpCost!$E$30*BV$130</f>
        <v>1847.9999999999998</v>
      </c>
      <c r="BW108" s="100">
        <f>OpCost!$E$30*BW$130</f>
        <v>1909.5999999999997</v>
      </c>
      <c r="BX108" s="100">
        <f>OpCost!$E$30*BX$130</f>
        <v>1847.9999999999998</v>
      </c>
      <c r="BY108" s="100">
        <f>OpCost!$E$30*BY$130</f>
        <v>1909.5999999999997</v>
      </c>
      <c r="BZ108" s="100">
        <f>OpCost!$E$30*BZ$130</f>
        <v>1909.5999999999997</v>
      </c>
      <c r="CA108" s="100">
        <f>OpCost!$E$30*CA$130</f>
        <v>1724.8</v>
      </c>
      <c r="CB108" s="100">
        <f>OpCost!$E$30*CB$130</f>
        <v>1909.5999999999997</v>
      </c>
      <c r="CC108" s="100">
        <f>OpCost!$E$30*CC$130</f>
        <v>1847.9999999999998</v>
      </c>
      <c r="CD108" s="100">
        <f>OpCost!$E$30*CD$130</f>
        <v>1909.5999999999997</v>
      </c>
      <c r="CE108" s="100">
        <f>OpCost!$E$30*CE$130</f>
        <v>1847.9999999999998</v>
      </c>
      <c r="CF108" s="100">
        <f>OpCost!$E$30*CF$130</f>
        <v>1909.5999999999997</v>
      </c>
      <c r="CG108" s="100">
        <f>OpCost!$E$30*CG$130</f>
        <v>1909.5999999999997</v>
      </c>
      <c r="CH108" s="100">
        <f>OpCost!$E$30*CH$130</f>
        <v>1847.9999999999998</v>
      </c>
      <c r="CI108" s="100">
        <f>OpCost!$E$30*CI$130</f>
        <v>1909.5999999999997</v>
      </c>
      <c r="CJ108" s="100">
        <f>OpCost!$E$30*CJ$130</f>
        <v>1847.9999999999998</v>
      </c>
      <c r="CK108" s="100">
        <f>OpCost!$E$30*CK$130</f>
        <v>1909.5999999999997</v>
      </c>
      <c r="CL108" s="100">
        <f>OpCost!$E$30*CL$130</f>
        <v>1909.5999999999997</v>
      </c>
      <c r="CM108" s="100">
        <f>OpCost!$E$30*CM$130</f>
        <v>1724.8</v>
      </c>
      <c r="CN108" s="100">
        <f>OpCost!$E$30*CN$130</f>
        <v>1909.5999999999997</v>
      </c>
      <c r="CO108" s="100">
        <f>OpCost!$E$30*CO$130</f>
        <v>1847.9999999999998</v>
      </c>
      <c r="CP108" s="100">
        <f>OpCost!$E$30*CP$130</f>
        <v>1909.5999999999997</v>
      </c>
      <c r="CQ108" s="100">
        <f>OpCost!$E$30*CQ$130</f>
        <v>1847.9999999999998</v>
      </c>
      <c r="CR108" s="100">
        <f>OpCost!$E$30*CR$130</f>
        <v>1909.5999999999997</v>
      </c>
      <c r="CS108" s="100">
        <f>OpCost!$E$30*CS$130</f>
        <v>1909.5999999999997</v>
      </c>
      <c r="CT108" s="100">
        <f>OpCost!$E$30*CT$130</f>
        <v>1847.9999999999998</v>
      </c>
      <c r="CU108" s="100">
        <f>OpCost!$E$30*CU$130</f>
        <v>1909.5999999999997</v>
      </c>
      <c r="CV108" s="100">
        <f>OpCost!$E$30*CV$130</f>
        <v>1847.9999999999998</v>
      </c>
      <c r="CW108" s="100">
        <f>OpCost!$E$30*CW$130</f>
        <v>1909.5999999999997</v>
      </c>
      <c r="CX108" s="100">
        <f>OpCost!$E$30*CX$130</f>
        <v>1909.5999999999997</v>
      </c>
      <c r="CY108" s="100">
        <f>OpCost!$E$30*CY$130</f>
        <v>1724.8</v>
      </c>
      <c r="CZ108" s="100">
        <f>OpCost!$E$30*CZ$130</f>
        <v>1909.5999999999997</v>
      </c>
      <c r="DA108" s="100">
        <f>OpCost!$E$30*DA$130</f>
        <v>1847.9999999999998</v>
      </c>
      <c r="DB108" s="100">
        <f>OpCost!$E$30*DB$130</f>
        <v>1909.5999999999997</v>
      </c>
      <c r="DC108" s="100">
        <f>OpCost!$E$30*DC$130</f>
        <v>1847.9999999999998</v>
      </c>
      <c r="DD108" s="100">
        <f>OpCost!$E$30*DD$130</f>
        <v>1909.5999999999997</v>
      </c>
      <c r="DE108" s="100">
        <f>OpCost!$E$30*DE$130</f>
        <v>1909.5999999999997</v>
      </c>
      <c r="DF108" s="100">
        <f>OpCost!$E$30*DF$130</f>
        <v>1847.9999999999998</v>
      </c>
      <c r="DG108" s="100">
        <f>OpCost!$E$30*DG$130</f>
        <v>1909.5999999999997</v>
      </c>
      <c r="DH108" s="100">
        <f>OpCost!$E$30*DH$130</f>
        <v>1847.9999999999998</v>
      </c>
      <c r="DI108" s="100">
        <f>OpCost!$E$30*DI$130</f>
        <v>1909.5999999999997</v>
      </c>
      <c r="DJ108" s="100">
        <f>OpCost!$E$30*DJ$130</f>
        <v>1909.5999999999997</v>
      </c>
      <c r="DK108" s="100">
        <f>OpCost!$E$30*DK$130</f>
        <v>1724.8</v>
      </c>
      <c r="DL108" s="100">
        <f>OpCost!$E$30*DL$130</f>
        <v>1909.5999999999997</v>
      </c>
      <c r="DM108" s="100">
        <f>OpCost!$E$30*DM$130</f>
        <v>1847.9999999999998</v>
      </c>
      <c r="DN108" s="100">
        <f>OpCost!$E$30*DN$130</f>
        <v>1909.5999999999997</v>
      </c>
      <c r="DO108" s="100">
        <f>OpCost!$E$30*DO$130</f>
        <v>1847.9999999999998</v>
      </c>
      <c r="DP108" s="100">
        <f>OpCost!$E$30*DP$130</f>
        <v>1909.5999999999997</v>
      </c>
      <c r="DQ108" s="100">
        <f>OpCost!$E$30*DQ$130</f>
        <v>1909.5999999999997</v>
      </c>
      <c r="DR108" s="100">
        <f>OpCost!$E$30*DR$130</f>
        <v>1847.9999999999998</v>
      </c>
      <c r="DS108" s="100">
        <f>OpCost!$E$30*DS$130</f>
        <v>1909.5999999999997</v>
      </c>
      <c r="DT108" s="100">
        <f>OpCost!$E$30*DT$130</f>
        <v>1847.9999999999998</v>
      </c>
      <c r="DU108" s="100">
        <f>OpCost!$E$30*DU$130</f>
        <v>1909.5999999999997</v>
      </c>
      <c r="DV108" s="100">
        <f>OpCost!$E$30*DV$130</f>
        <v>1909.5999999999997</v>
      </c>
      <c r="DW108" s="100">
        <f>OpCost!$E$30*DW$130</f>
        <v>1724.8</v>
      </c>
      <c r="DX108" s="100">
        <f>OpCost!$E$30*DX$130</f>
        <v>1909.5999999999997</v>
      </c>
      <c r="DY108" s="100">
        <f>OpCost!$E$30*DY$130</f>
        <v>1847.9999999999998</v>
      </c>
      <c r="DZ108" s="100">
        <f>OpCost!$E$30*DZ$130</f>
        <v>1909.5999999999997</v>
      </c>
      <c r="EA108" s="100">
        <f>OpCost!$E$30*EA$130</f>
        <v>1847.9999999999998</v>
      </c>
      <c r="EB108" s="100">
        <f>OpCost!$E$30*EB$130</f>
        <v>1909.5999999999997</v>
      </c>
      <c r="EC108" s="100">
        <f>OpCost!$E$30*EC$130</f>
        <v>1909.5999999999997</v>
      </c>
      <c r="ED108" s="100">
        <f>OpCost!$E$30*ED$130</f>
        <v>1847.9999999999998</v>
      </c>
      <c r="EE108" s="100">
        <f>OpCost!$E$30*EE$130</f>
        <v>1909.5999999999997</v>
      </c>
      <c r="EF108" s="100">
        <f>OpCost!$E$30*EF$130</f>
        <v>1847.9999999999998</v>
      </c>
      <c r="EG108" s="100">
        <f>OpCost!$E$30*EG$130</f>
        <v>1909.5999999999997</v>
      </c>
      <c r="EH108" s="100">
        <f>OpCost!$E$30*EH$130</f>
        <v>1909.5999999999997</v>
      </c>
      <c r="EI108" s="100">
        <f>OpCost!$E$30*EI$130</f>
        <v>1724.8</v>
      </c>
      <c r="EJ108" s="100">
        <f>OpCost!$E$30*EJ$130</f>
        <v>1909.5999999999997</v>
      </c>
      <c r="EK108" s="100">
        <f>OpCost!$E$30*EK$130</f>
        <v>1847.9999999999998</v>
      </c>
      <c r="EL108" s="100">
        <f>OpCost!$E$30*EL$130</f>
        <v>1909.5999999999997</v>
      </c>
      <c r="EM108" s="100">
        <f>OpCost!$E$30*EM$130</f>
        <v>1847.9999999999998</v>
      </c>
      <c r="EN108" s="100">
        <f>OpCost!$E$30*EN$130</f>
        <v>1909.5999999999997</v>
      </c>
      <c r="EO108" s="100">
        <f>OpCost!$E$30*EO$130</f>
        <v>1909.5999999999997</v>
      </c>
      <c r="EP108" s="100">
        <f>OpCost!$E$30*EP$130</f>
        <v>1847.9999999999998</v>
      </c>
      <c r="EQ108" s="100">
        <f>OpCost!$E$30*EQ$130</f>
        <v>1909.5999999999997</v>
      </c>
      <c r="ER108" s="100">
        <f>OpCost!$E$30*ER$130</f>
        <v>1847.9999999999998</v>
      </c>
      <c r="ES108" s="100">
        <f>OpCost!$E$30*ES$130</f>
        <v>1909.5999999999997</v>
      </c>
      <c r="ET108" s="100">
        <f>OpCost!$E$30*ET$130</f>
        <v>1909.5999999999997</v>
      </c>
      <c r="EU108" s="100">
        <f>OpCost!$E$30*EU$130</f>
        <v>1724.8</v>
      </c>
      <c r="EV108" s="100">
        <f>OpCost!$E$30*EV$130</f>
        <v>1909.5999999999997</v>
      </c>
      <c r="EW108" s="100">
        <f>OpCost!$E$30*EW$130</f>
        <v>1847.9999999999998</v>
      </c>
      <c r="EX108" s="100">
        <f>OpCost!$E$30*EX$130</f>
        <v>1909.5999999999997</v>
      </c>
      <c r="EY108" s="100">
        <f>OpCost!$E$30*EY$130</f>
        <v>1847.9999999999998</v>
      </c>
      <c r="EZ108" s="100">
        <f>OpCost!$E$30*EZ$130</f>
        <v>1909.5999999999997</v>
      </c>
      <c r="FA108" s="100">
        <f>OpCost!$E$30*FA$130</f>
        <v>1909.5999999999997</v>
      </c>
      <c r="FB108" s="100">
        <f>OpCost!$E$30*FB$130</f>
        <v>1847.9999999999998</v>
      </c>
      <c r="FC108" s="100">
        <f>OpCost!$E$30*FC$130</f>
        <v>1909.5999999999997</v>
      </c>
      <c r="FD108" s="100">
        <f>OpCost!$E$30*FD$130</f>
        <v>1847.9999999999998</v>
      </c>
      <c r="FE108" s="100">
        <f>OpCost!$E$30*FE$130</f>
        <v>1909.5999999999997</v>
      </c>
      <c r="FF108" s="100">
        <f>OpCost!$E$30*FF$130</f>
        <v>1909.5999999999997</v>
      </c>
      <c r="FG108" s="100">
        <f>OpCost!$E$30*FG$130</f>
        <v>1724.8</v>
      </c>
      <c r="FH108" s="100">
        <f>OpCost!$E$30*FH$130</f>
        <v>1909.5999999999997</v>
      </c>
      <c r="FI108" s="100">
        <f>OpCost!$E$30*FI$130</f>
        <v>1847.9999999999998</v>
      </c>
      <c r="FJ108" s="100">
        <f>OpCost!$E$30*FJ$130</f>
        <v>1909.5999999999997</v>
      </c>
      <c r="FK108" s="100">
        <f>OpCost!$E$30*FK$130</f>
        <v>1847.9999999999998</v>
      </c>
      <c r="FL108" s="100">
        <f>OpCost!$E$30*FL$130</f>
        <v>1909.5999999999997</v>
      </c>
      <c r="FM108" s="100">
        <f>OpCost!$E$30*FM$130</f>
        <v>1909.5999999999997</v>
      </c>
      <c r="FN108" s="100">
        <f>OpCost!$E$30*FN$130</f>
        <v>1847.9999999999998</v>
      </c>
      <c r="FO108" s="100">
        <f>OpCost!$E$30*FO$130</f>
        <v>1909.5999999999997</v>
      </c>
      <c r="FP108" s="100">
        <f>OpCost!$E$30*FP$130</f>
        <v>1847.9999999999998</v>
      </c>
      <c r="FQ108" s="100">
        <f>OpCost!$E$30*FQ$130</f>
        <v>1909.5999999999997</v>
      </c>
      <c r="FR108" s="100">
        <f>OpCost!$E$30*FR$130</f>
        <v>1909.5999999999997</v>
      </c>
      <c r="FS108" s="100">
        <f>OpCost!$E$30*FS$130</f>
        <v>1724.8</v>
      </c>
      <c r="FT108" s="100">
        <f>OpCost!$E$30*FT$130</f>
        <v>1909.5999999999997</v>
      </c>
      <c r="FU108" s="100">
        <f>OpCost!$E$30*FU$130</f>
        <v>1847.9999999999998</v>
      </c>
      <c r="FV108" s="100">
        <f>OpCost!$E$30*FV$130</f>
        <v>1909.5999999999997</v>
      </c>
      <c r="FW108" s="100">
        <f>OpCost!$E$30*FW$130</f>
        <v>1847.9999999999998</v>
      </c>
      <c r="FX108" s="100">
        <f>OpCost!$E$30*FX$130</f>
        <v>1909.5999999999997</v>
      </c>
      <c r="FY108" s="100">
        <f>OpCost!$E$30*FY$130</f>
        <v>1909.5999999999997</v>
      </c>
      <c r="FZ108" s="100">
        <f>OpCost!$E$30*FZ$130</f>
        <v>1847.9999999999998</v>
      </c>
      <c r="GA108" s="100">
        <f>OpCost!$E$30*GA$130</f>
        <v>1909.5999999999997</v>
      </c>
      <c r="GB108" s="100">
        <f>OpCost!$E$30*GB$130</f>
        <v>1847.9999999999998</v>
      </c>
      <c r="GC108" s="100">
        <f>OpCost!$E$30*GC$130</f>
        <v>1909.5999999999997</v>
      </c>
    </row>
    <row r="109" spans="1:185">
      <c r="A109" s="10"/>
      <c r="B109" s="80" t="s">
        <v>139</v>
      </c>
      <c r="C109" s="80"/>
      <c r="D109" s="80"/>
      <c r="E109" s="82">
        <f t="shared" si="111"/>
        <v>121575.30000000024</v>
      </c>
      <c r="F109" s="100">
        <f>OpCost!$E$31*F$130</f>
        <v>0</v>
      </c>
      <c r="G109" s="100">
        <f>OpCost!$E$31*G$130</f>
        <v>0</v>
      </c>
      <c r="H109" s="100">
        <f>OpCost!$E$31*H$130</f>
        <v>0</v>
      </c>
      <c r="I109" s="100">
        <f>OpCost!$E$31*I$130</f>
        <v>0</v>
      </c>
      <c r="J109" s="100">
        <f>OpCost!$E$31*J$130</f>
        <v>0</v>
      </c>
      <c r="K109" s="100">
        <f>OpCost!$E$31*K$130</f>
        <v>0</v>
      </c>
      <c r="L109" s="100">
        <f>OpCost!$E$31*L$130</f>
        <v>0</v>
      </c>
      <c r="M109" s="100">
        <f>OpCost!$E$31*M$130</f>
        <v>716.1</v>
      </c>
      <c r="N109" s="100">
        <f>OpCost!$E$31*N$130</f>
        <v>693</v>
      </c>
      <c r="O109" s="100">
        <f>OpCost!$E$31*O$130</f>
        <v>716.1</v>
      </c>
      <c r="P109" s="100">
        <f>OpCost!$E$31*P$130</f>
        <v>693</v>
      </c>
      <c r="Q109" s="100">
        <f>OpCost!$E$31*Q$130</f>
        <v>716.1</v>
      </c>
      <c r="R109" s="100">
        <f>OpCost!$E$31*R$130</f>
        <v>716.1</v>
      </c>
      <c r="S109" s="100">
        <f>OpCost!$E$31*S$130</f>
        <v>646.80000000000007</v>
      </c>
      <c r="T109" s="100">
        <f>OpCost!$E$31*T$130</f>
        <v>716.1</v>
      </c>
      <c r="U109" s="100">
        <f>OpCost!$E$31*U$130</f>
        <v>693</v>
      </c>
      <c r="V109" s="100">
        <f>OpCost!$E$31*V$130</f>
        <v>716.1</v>
      </c>
      <c r="W109" s="100">
        <f>OpCost!$E$31*W$130</f>
        <v>693</v>
      </c>
      <c r="X109" s="100">
        <f>OpCost!$E$31*X$130</f>
        <v>716.1</v>
      </c>
      <c r="Y109" s="100">
        <f>OpCost!$E$31*Y$130</f>
        <v>716.1</v>
      </c>
      <c r="Z109" s="100">
        <f>OpCost!$E$31*Z$130</f>
        <v>693</v>
      </c>
      <c r="AA109" s="100">
        <f>OpCost!$E$31*AA$130</f>
        <v>716.1</v>
      </c>
      <c r="AB109" s="100">
        <f>OpCost!$E$31*AB$130</f>
        <v>693</v>
      </c>
      <c r="AC109" s="100">
        <f>OpCost!$E$31*AC$130</f>
        <v>716.1</v>
      </c>
      <c r="AD109" s="100">
        <f>OpCost!$E$31*AD$130</f>
        <v>716.1</v>
      </c>
      <c r="AE109" s="100">
        <f>OpCost!$E$31*AE$130</f>
        <v>646.80000000000007</v>
      </c>
      <c r="AF109" s="100">
        <f>OpCost!$E$31*AF$130</f>
        <v>716.1</v>
      </c>
      <c r="AG109" s="100">
        <f>OpCost!$E$31*AG$130</f>
        <v>693</v>
      </c>
      <c r="AH109" s="100">
        <f>OpCost!$E$31*AH$130</f>
        <v>716.1</v>
      </c>
      <c r="AI109" s="100">
        <f>OpCost!$E$31*AI$130</f>
        <v>693</v>
      </c>
      <c r="AJ109" s="100">
        <f>OpCost!$E$31*AJ$130</f>
        <v>716.1</v>
      </c>
      <c r="AK109" s="100">
        <f>OpCost!$E$31*AK$130</f>
        <v>716.1</v>
      </c>
      <c r="AL109" s="100">
        <f>OpCost!$E$31*AL$130</f>
        <v>693</v>
      </c>
      <c r="AM109" s="100">
        <f>OpCost!$E$31*AM$130</f>
        <v>716.1</v>
      </c>
      <c r="AN109" s="100">
        <f>OpCost!$E$31*AN$130</f>
        <v>693</v>
      </c>
      <c r="AO109" s="100">
        <f>OpCost!$E$31*AO$130</f>
        <v>716.1</v>
      </c>
      <c r="AP109" s="100">
        <f>OpCost!$E$31*AP$130</f>
        <v>716.1</v>
      </c>
      <c r="AQ109" s="100">
        <f>OpCost!$E$31*AQ$130</f>
        <v>646.80000000000007</v>
      </c>
      <c r="AR109" s="100">
        <f>OpCost!$E$31*AR$130</f>
        <v>716.1</v>
      </c>
      <c r="AS109" s="100">
        <f>OpCost!$E$31*AS$130</f>
        <v>693</v>
      </c>
      <c r="AT109" s="100">
        <f>OpCost!$E$31*AT$130</f>
        <v>716.1</v>
      </c>
      <c r="AU109" s="100">
        <f>OpCost!$E$31*AU$130</f>
        <v>693</v>
      </c>
      <c r="AV109" s="100">
        <f>OpCost!$E$31*AV$130</f>
        <v>716.1</v>
      </c>
      <c r="AW109" s="100">
        <f>OpCost!$E$31*AW$130</f>
        <v>716.1</v>
      </c>
      <c r="AX109" s="100">
        <f>OpCost!$E$31*AX$130</f>
        <v>693</v>
      </c>
      <c r="AY109" s="100">
        <f>OpCost!$E$31*AY$130</f>
        <v>716.1</v>
      </c>
      <c r="AZ109" s="100">
        <f>OpCost!$E$31*AZ$130</f>
        <v>693</v>
      </c>
      <c r="BA109" s="100">
        <f>OpCost!$E$31*BA$130</f>
        <v>716.1</v>
      </c>
      <c r="BB109" s="100">
        <f>OpCost!$E$31*BB$130</f>
        <v>716.1</v>
      </c>
      <c r="BC109" s="100">
        <f>OpCost!$E$31*BC$130</f>
        <v>646.80000000000007</v>
      </c>
      <c r="BD109" s="100">
        <f>OpCost!$E$31*BD$130</f>
        <v>716.1</v>
      </c>
      <c r="BE109" s="100">
        <f>OpCost!$E$31*BE$130</f>
        <v>693</v>
      </c>
      <c r="BF109" s="100">
        <f>OpCost!$E$31*BF$130</f>
        <v>716.1</v>
      </c>
      <c r="BG109" s="100">
        <f>OpCost!$E$31*BG$130</f>
        <v>693</v>
      </c>
      <c r="BH109" s="100">
        <f>OpCost!$E$31*BH$130</f>
        <v>716.1</v>
      </c>
      <c r="BI109" s="100">
        <f>OpCost!$E$31*BI$130</f>
        <v>716.1</v>
      </c>
      <c r="BJ109" s="100">
        <f>OpCost!$E$31*BJ$130</f>
        <v>693</v>
      </c>
      <c r="BK109" s="100">
        <f>OpCost!$E$31*BK$130</f>
        <v>716.1</v>
      </c>
      <c r="BL109" s="100">
        <f>OpCost!$E$31*BL$130</f>
        <v>693</v>
      </c>
      <c r="BM109" s="100">
        <f>OpCost!$E$31*BM$130</f>
        <v>716.1</v>
      </c>
      <c r="BN109" s="100">
        <f>OpCost!$E$31*BN$130</f>
        <v>716.1</v>
      </c>
      <c r="BO109" s="100">
        <f>OpCost!$E$31*BO$130</f>
        <v>646.80000000000007</v>
      </c>
      <c r="BP109" s="100">
        <f>OpCost!$E$31*BP$130</f>
        <v>716.1</v>
      </c>
      <c r="BQ109" s="100">
        <f>OpCost!$E$31*BQ$130</f>
        <v>693</v>
      </c>
      <c r="BR109" s="100">
        <f>OpCost!$E$31*BR$130</f>
        <v>716.1</v>
      </c>
      <c r="BS109" s="100">
        <f>OpCost!$E$31*BS$130</f>
        <v>693</v>
      </c>
      <c r="BT109" s="100">
        <f>OpCost!$E$31*BT$130</f>
        <v>716.1</v>
      </c>
      <c r="BU109" s="100">
        <f>OpCost!$E$31*BU$130</f>
        <v>716.1</v>
      </c>
      <c r="BV109" s="100">
        <f>OpCost!$E$31*BV$130</f>
        <v>693</v>
      </c>
      <c r="BW109" s="100">
        <f>OpCost!$E$31*BW$130</f>
        <v>716.1</v>
      </c>
      <c r="BX109" s="100">
        <f>OpCost!$E$31*BX$130</f>
        <v>693</v>
      </c>
      <c r="BY109" s="100">
        <f>OpCost!$E$31*BY$130</f>
        <v>716.1</v>
      </c>
      <c r="BZ109" s="100">
        <f>OpCost!$E$31*BZ$130</f>
        <v>716.1</v>
      </c>
      <c r="CA109" s="100">
        <f>OpCost!$E$31*CA$130</f>
        <v>646.80000000000007</v>
      </c>
      <c r="CB109" s="100">
        <f>OpCost!$E$31*CB$130</f>
        <v>716.1</v>
      </c>
      <c r="CC109" s="100">
        <f>OpCost!$E$31*CC$130</f>
        <v>693</v>
      </c>
      <c r="CD109" s="100">
        <f>OpCost!$E$31*CD$130</f>
        <v>716.1</v>
      </c>
      <c r="CE109" s="100">
        <f>OpCost!$E$31*CE$130</f>
        <v>693</v>
      </c>
      <c r="CF109" s="100">
        <f>OpCost!$E$31*CF$130</f>
        <v>716.1</v>
      </c>
      <c r="CG109" s="100">
        <f>OpCost!$E$31*CG$130</f>
        <v>716.1</v>
      </c>
      <c r="CH109" s="100">
        <f>OpCost!$E$31*CH$130</f>
        <v>693</v>
      </c>
      <c r="CI109" s="100">
        <f>OpCost!$E$31*CI$130</f>
        <v>716.1</v>
      </c>
      <c r="CJ109" s="100">
        <f>OpCost!$E$31*CJ$130</f>
        <v>693</v>
      </c>
      <c r="CK109" s="100">
        <f>OpCost!$E$31*CK$130</f>
        <v>716.1</v>
      </c>
      <c r="CL109" s="100">
        <f>OpCost!$E$31*CL$130</f>
        <v>716.1</v>
      </c>
      <c r="CM109" s="100">
        <f>OpCost!$E$31*CM$130</f>
        <v>646.80000000000007</v>
      </c>
      <c r="CN109" s="100">
        <f>OpCost!$E$31*CN$130</f>
        <v>716.1</v>
      </c>
      <c r="CO109" s="100">
        <f>OpCost!$E$31*CO$130</f>
        <v>693</v>
      </c>
      <c r="CP109" s="100">
        <f>OpCost!$E$31*CP$130</f>
        <v>716.1</v>
      </c>
      <c r="CQ109" s="100">
        <f>OpCost!$E$31*CQ$130</f>
        <v>693</v>
      </c>
      <c r="CR109" s="100">
        <f>OpCost!$E$31*CR$130</f>
        <v>716.1</v>
      </c>
      <c r="CS109" s="100">
        <f>OpCost!$E$31*CS$130</f>
        <v>716.1</v>
      </c>
      <c r="CT109" s="100">
        <f>OpCost!$E$31*CT$130</f>
        <v>693</v>
      </c>
      <c r="CU109" s="100">
        <f>OpCost!$E$31*CU$130</f>
        <v>716.1</v>
      </c>
      <c r="CV109" s="100">
        <f>OpCost!$E$31*CV$130</f>
        <v>693</v>
      </c>
      <c r="CW109" s="100">
        <f>OpCost!$E$31*CW$130</f>
        <v>716.1</v>
      </c>
      <c r="CX109" s="100">
        <f>OpCost!$E$31*CX$130</f>
        <v>716.1</v>
      </c>
      <c r="CY109" s="100">
        <f>OpCost!$E$31*CY$130</f>
        <v>646.80000000000007</v>
      </c>
      <c r="CZ109" s="100">
        <f>OpCost!$E$31*CZ$130</f>
        <v>716.1</v>
      </c>
      <c r="DA109" s="100">
        <f>OpCost!$E$31*DA$130</f>
        <v>693</v>
      </c>
      <c r="DB109" s="100">
        <f>OpCost!$E$31*DB$130</f>
        <v>716.1</v>
      </c>
      <c r="DC109" s="100">
        <f>OpCost!$E$31*DC$130</f>
        <v>693</v>
      </c>
      <c r="DD109" s="100">
        <f>OpCost!$E$31*DD$130</f>
        <v>716.1</v>
      </c>
      <c r="DE109" s="100">
        <f>OpCost!$E$31*DE$130</f>
        <v>716.1</v>
      </c>
      <c r="DF109" s="100">
        <f>OpCost!$E$31*DF$130</f>
        <v>693</v>
      </c>
      <c r="DG109" s="100">
        <f>OpCost!$E$31*DG$130</f>
        <v>716.1</v>
      </c>
      <c r="DH109" s="100">
        <f>OpCost!$E$31*DH$130</f>
        <v>693</v>
      </c>
      <c r="DI109" s="100">
        <f>OpCost!$E$31*DI$130</f>
        <v>716.1</v>
      </c>
      <c r="DJ109" s="100">
        <f>OpCost!$E$31*DJ$130</f>
        <v>716.1</v>
      </c>
      <c r="DK109" s="100">
        <f>OpCost!$E$31*DK$130</f>
        <v>646.80000000000007</v>
      </c>
      <c r="DL109" s="100">
        <f>OpCost!$E$31*DL$130</f>
        <v>716.1</v>
      </c>
      <c r="DM109" s="100">
        <f>OpCost!$E$31*DM$130</f>
        <v>693</v>
      </c>
      <c r="DN109" s="100">
        <f>OpCost!$E$31*DN$130</f>
        <v>716.1</v>
      </c>
      <c r="DO109" s="100">
        <f>OpCost!$E$31*DO$130</f>
        <v>693</v>
      </c>
      <c r="DP109" s="100">
        <f>OpCost!$E$31*DP$130</f>
        <v>716.1</v>
      </c>
      <c r="DQ109" s="100">
        <f>OpCost!$E$31*DQ$130</f>
        <v>716.1</v>
      </c>
      <c r="DR109" s="100">
        <f>OpCost!$E$31*DR$130</f>
        <v>693</v>
      </c>
      <c r="DS109" s="100">
        <f>OpCost!$E$31*DS$130</f>
        <v>716.1</v>
      </c>
      <c r="DT109" s="100">
        <f>OpCost!$E$31*DT$130</f>
        <v>693</v>
      </c>
      <c r="DU109" s="100">
        <f>OpCost!$E$31*DU$130</f>
        <v>716.1</v>
      </c>
      <c r="DV109" s="100">
        <f>OpCost!$E$31*DV$130</f>
        <v>716.1</v>
      </c>
      <c r="DW109" s="100">
        <f>OpCost!$E$31*DW$130</f>
        <v>646.80000000000007</v>
      </c>
      <c r="DX109" s="100">
        <f>OpCost!$E$31*DX$130</f>
        <v>716.1</v>
      </c>
      <c r="DY109" s="100">
        <f>OpCost!$E$31*DY$130</f>
        <v>693</v>
      </c>
      <c r="DZ109" s="100">
        <f>OpCost!$E$31*DZ$130</f>
        <v>716.1</v>
      </c>
      <c r="EA109" s="100">
        <f>OpCost!$E$31*EA$130</f>
        <v>693</v>
      </c>
      <c r="EB109" s="100">
        <f>OpCost!$E$31*EB$130</f>
        <v>716.1</v>
      </c>
      <c r="EC109" s="100">
        <f>OpCost!$E$31*EC$130</f>
        <v>716.1</v>
      </c>
      <c r="ED109" s="100">
        <f>OpCost!$E$31*ED$130</f>
        <v>693</v>
      </c>
      <c r="EE109" s="100">
        <f>OpCost!$E$31*EE$130</f>
        <v>716.1</v>
      </c>
      <c r="EF109" s="100">
        <f>OpCost!$E$31*EF$130</f>
        <v>693</v>
      </c>
      <c r="EG109" s="100">
        <f>OpCost!$E$31*EG$130</f>
        <v>716.1</v>
      </c>
      <c r="EH109" s="100">
        <f>OpCost!$E$31*EH$130</f>
        <v>716.1</v>
      </c>
      <c r="EI109" s="100">
        <f>OpCost!$E$31*EI$130</f>
        <v>646.80000000000007</v>
      </c>
      <c r="EJ109" s="100">
        <f>OpCost!$E$31*EJ$130</f>
        <v>716.1</v>
      </c>
      <c r="EK109" s="100">
        <f>OpCost!$E$31*EK$130</f>
        <v>693</v>
      </c>
      <c r="EL109" s="100">
        <f>OpCost!$E$31*EL$130</f>
        <v>716.1</v>
      </c>
      <c r="EM109" s="100">
        <f>OpCost!$E$31*EM$130</f>
        <v>693</v>
      </c>
      <c r="EN109" s="100">
        <f>OpCost!$E$31*EN$130</f>
        <v>716.1</v>
      </c>
      <c r="EO109" s="100">
        <f>OpCost!$E$31*EO$130</f>
        <v>716.1</v>
      </c>
      <c r="EP109" s="100">
        <f>OpCost!$E$31*EP$130</f>
        <v>693</v>
      </c>
      <c r="EQ109" s="100">
        <f>OpCost!$E$31*EQ$130</f>
        <v>716.1</v>
      </c>
      <c r="ER109" s="100">
        <f>OpCost!$E$31*ER$130</f>
        <v>693</v>
      </c>
      <c r="ES109" s="100">
        <f>OpCost!$E$31*ES$130</f>
        <v>716.1</v>
      </c>
      <c r="ET109" s="100">
        <f>OpCost!$E$31*ET$130</f>
        <v>716.1</v>
      </c>
      <c r="EU109" s="100">
        <f>OpCost!$E$31*EU$130</f>
        <v>646.80000000000007</v>
      </c>
      <c r="EV109" s="100">
        <f>OpCost!$E$31*EV$130</f>
        <v>716.1</v>
      </c>
      <c r="EW109" s="100">
        <f>OpCost!$E$31*EW$130</f>
        <v>693</v>
      </c>
      <c r="EX109" s="100">
        <f>OpCost!$E$31*EX$130</f>
        <v>716.1</v>
      </c>
      <c r="EY109" s="100">
        <f>OpCost!$E$31*EY$130</f>
        <v>693</v>
      </c>
      <c r="EZ109" s="100">
        <f>OpCost!$E$31*EZ$130</f>
        <v>716.1</v>
      </c>
      <c r="FA109" s="100">
        <f>OpCost!$E$31*FA$130</f>
        <v>716.1</v>
      </c>
      <c r="FB109" s="100">
        <f>OpCost!$E$31*FB$130</f>
        <v>693</v>
      </c>
      <c r="FC109" s="100">
        <f>OpCost!$E$31*FC$130</f>
        <v>716.1</v>
      </c>
      <c r="FD109" s="100">
        <f>OpCost!$E$31*FD$130</f>
        <v>693</v>
      </c>
      <c r="FE109" s="100">
        <f>OpCost!$E$31*FE$130</f>
        <v>716.1</v>
      </c>
      <c r="FF109" s="100">
        <f>OpCost!$E$31*FF$130</f>
        <v>716.1</v>
      </c>
      <c r="FG109" s="100">
        <f>OpCost!$E$31*FG$130</f>
        <v>646.80000000000007</v>
      </c>
      <c r="FH109" s="100">
        <f>OpCost!$E$31*FH$130</f>
        <v>716.1</v>
      </c>
      <c r="FI109" s="100">
        <f>OpCost!$E$31*FI$130</f>
        <v>693</v>
      </c>
      <c r="FJ109" s="100">
        <f>OpCost!$E$31*FJ$130</f>
        <v>716.1</v>
      </c>
      <c r="FK109" s="100">
        <f>OpCost!$E$31*FK$130</f>
        <v>693</v>
      </c>
      <c r="FL109" s="100">
        <f>OpCost!$E$31*FL$130</f>
        <v>716.1</v>
      </c>
      <c r="FM109" s="100">
        <f>OpCost!$E$31*FM$130</f>
        <v>716.1</v>
      </c>
      <c r="FN109" s="100">
        <f>OpCost!$E$31*FN$130</f>
        <v>693</v>
      </c>
      <c r="FO109" s="100">
        <f>OpCost!$E$31*FO$130</f>
        <v>716.1</v>
      </c>
      <c r="FP109" s="100">
        <f>OpCost!$E$31*FP$130</f>
        <v>693</v>
      </c>
      <c r="FQ109" s="100">
        <f>OpCost!$E$31*FQ$130</f>
        <v>716.1</v>
      </c>
      <c r="FR109" s="100">
        <f>OpCost!$E$31*FR$130</f>
        <v>716.1</v>
      </c>
      <c r="FS109" s="100">
        <f>OpCost!$E$31*FS$130</f>
        <v>646.80000000000007</v>
      </c>
      <c r="FT109" s="100">
        <f>OpCost!$E$31*FT$130</f>
        <v>716.1</v>
      </c>
      <c r="FU109" s="100">
        <f>OpCost!$E$31*FU$130</f>
        <v>693</v>
      </c>
      <c r="FV109" s="100">
        <f>OpCost!$E$31*FV$130</f>
        <v>716.1</v>
      </c>
      <c r="FW109" s="100">
        <f>OpCost!$E$31*FW$130</f>
        <v>693</v>
      </c>
      <c r="FX109" s="100">
        <f>OpCost!$E$31*FX$130</f>
        <v>716.1</v>
      </c>
      <c r="FY109" s="100">
        <f>OpCost!$E$31*FY$130</f>
        <v>716.1</v>
      </c>
      <c r="FZ109" s="100">
        <f>OpCost!$E$31*FZ$130</f>
        <v>693</v>
      </c>
      <c r="GA109" s="100">
        <f>OpCost!$E$31*GA$130</f>
        <v>716.1</v>
      </c>
      <c r="GB109" s="100">
        <f>OpCost!$E$31*GB$130</f>
        <v>693</v>
      </c>
      <c r="GC109" s="100">
        <f>OpCost!$E$31*GC$130</f>
        <v>716.1</v>
      </c>
    </row>
    <row r="110" spans="1:185">
      <c r="A110" s="10"/>
      <c r="B110" s="80" t="s">
        <v>140</v>
      </c>
      <c r="C110" s="80"/>
      <c r="D110" s="80"/>
      <c r="E110" s="82">
        <f t="shared" si="111"/>
        <v>486301.20000000094</v>
      </c>
      <c r="F110" s="100">
        <f>OpCost!$E$32*F$130</f>
        <v>0</v>
      </c>
      <c r="G110" s="100">
        <f>OpCost!$E$32*G$130</f>
        <v>0</v>
      </c>
      <c r="H110" s="100">
        <f>OpCost!$E$32*H$130</f>
        <v>0</v>
      </c>
      <c r="I110" s="100">
        <f>OpCost!$E$32*I$130</f>
        <v>0</v>
      </c>
      <c r="J110" s="100">
        <f>OpCost!$E$32*J$130</f>
        <v>0</v>
      </c>
      <c r="K110" s="100">
        <f>OpCost!$E$32*K$130</f>
        <v>0</v>
      </c>
      <c r="L110" s="100">
        <f>OpCost!$E$32*L$130</f>
        <v>0</v>
      </c>
      <c r="M110" s="100">
        <f>OpCost!$E$32*M$130</f>
        <v>2864.4</v>
      </c>
      <c r="N110" s="100">
        <f>OpCost!$E$32*N$130</f>
        <v>2772</v>
      </c>
      <c r="O110" s="100">
        <f>OpCost!$E$32*O$130</f>
        <v>2864.4</v>
      </c>
      <c r="P110" s="100">
        <f>OpCost!$E$32*P$130</f>
        <v>2772</v>
      </c>
      <c r="Q110" s="100">
        <f>OpCost!$E$32*Q$130</f>
        <v>2864.4</v>
      </c>
      <c r="R110" s="100">
        <f>OpCost!$E$32*R$130</f>
        <v>2864.4</v>
      </c>
      <c r="S110" s="100">
        <f>OpCost!$E$32*S$130</f>
        <v>2587.2000000000003</v>
      </c>
      <c r="T110" s="100">
        <f>OpCost!$E$32*T$130</f>
        <v>2864.4</v>
      </c>
      <c r="U110" s="100">
        <f>OpCost!$E$32*U$130</f>
        <v>2772</v>
      </c>
      <c r="V110" s="100">
        <f>OpCost!$E$32*V$130</f>
        <v>2864.4</v>
      </c>
      <c r="W110" s="100">
        <f>OpCost!$E$32*W$130</f>
        <v>2772</v>
      </c>
      <c r="X110" s="100">
        <f>OpCost!$E$32*X$130</f>
        <v>2864.4</v>
      </c>
      <c r="Y110" s="100">
        <f>OpCost!$E$32*Y$130</f>
        <v>2864.4</v>
      </c>
      <c r="Z110" s="100">
        <f>OpCost!$E$32*Z$130</f>
        <v>2772</v>
      </c>
      <c r="AA110" s="100">
        <f>OpCost!$E$32*AA$130</f>
        <v>2864.4</v>
      </c>
      <c r="AB110" s="100">
        <f>OpCost!$E$32*AB$130</f>
        <v>2772</v>
      </c>
      <c r="AC110" s="100">
        <f>OpCost!$E$32*AC$130</f>
        <v>2864.4</v>
      </c>
      <c r="AD110" s="100">
        <f>OpCost!$E$32*AD$130</f>
        <v>2864.4</v>
      </c>
      <c r="AE110" s="100">
        <f>OpCost!$E$32*AE$130</f>
        <v>2587.2000000000003</v>
      </c>
      <c r="AF110" s="100">
        <f>OpCost!$E$32*AF$130</f>
        <v>2864.4</v>
      </c>
      <c r="AG110" s="100">
        <f>OpCost!$E$32*AG$130</f>
        <v>2772</v>
      </c>
      <c r="AH110" s="100">
        <f>OpCost!$E$32*AH$130</f>
        <v>2864.4</v>
      </c>
      <c r="AI110" s="100">
        <f>OpCost!$E$32*AI$130</f>
        <v>2772</v>
      </c>
      <c r="AJ110" s="100">
        <f>OpCost!$E$32*AJ$130</f>
        <v>2864.4</v>
      </c>
      <c r="AK110" s="100">
        <f>OpCost!$E$32*AK$130</f>
        <v>2864.4</v>
      </c>
      <c r="AL110" s="100">
        <f>OpCost!$E$32*AL$130</f>
        <v>2772</v>
      </c>
      <c r="AM110" s="100">
        <f>OpCost!$E$32*AM$130</f>
        <v>2864.4</v>
      </c>
      <c r="AN110" s="100">
        <f>OpCost!$E$32*AN$130</f>
        <v>2772</v>
      </c>
      <c r="AO110" s="100">
        <f>OpCost!$E$32*AO$130</f>
        <v>2864.4</v>
      </c>
      <c r="AP110" s="100">
        <f>OpCost!$E$32*AP$130</f>
        <v>2864.4</v>
      </c>
      <c r="AQ110" s="100">
        <f>OpCost!$E$32*AQ$130</f>
        <v>2587.2000000000003</v>
      </c>
      <c r="AR110" s="100">
        <f>OpCost!$E$32*AR$130</f>
        <v>2864.4</v>
      </c>
      <c r="AS110" s="100">
        <f>OpCost!$E$32*AS$130</f>
        <v>2772</v>
      </c>
      <c r="AT110" s="100">
        <f>OpCost!$E$32*AT$130</f>
        <v>2864.4</v>
      </c>
      <c r="AU110" s="100">
        <f>OpCost!$E$32*AU$130</f>
        <v>2772</v>
      </c>
      <c r="AV110" s="100">
        <f>OpCost!$E$32*AV$130</f>
        <v>2864.4</v>
      </c>
      <c r="AW110" s="100">
        <f>OpCost!$E$32*AW$130</f>
        <v>2864.4</v>
      </c>
      <c r="AX110" s="100">
        <f>OpCost!$E$32*AX$130</f>
        <v>2772</v>
      </c>
      <c r="AY110" s="100">
        <f>OpCost!$E$32*AY$130</f>
        <v>2864.4</v>
      </c>
      <c r="AZ110" s="100">
        <f>OpCost!$E$32*AZ$130</f>
        <v>2772</v>
      </c>
      <c r="BA110" s="100">
        <f>OpCost!$E$32*BA$130</f>
        <v>2864.4</v>
      </c>
      <c r="BB110" s="100">
        <f>OpCost!$E$32*BB$130</f>
        <v>2864.4</v>
      </c>
      <c r="BC110" s="100">
        <f>OpCost!$E$32*BC$130</f>
        <v>2587.2000000000003</v>
      </c>
      <c r="BD110" s="100">
        <f>OpCost!$E$32*BD$130</f>
        <v>2864.4</v>
      </c>
      <c r="BE110" s="100">
        <f>OpCost!$E$32*BE$130</f>
        <v>2772</v>
      </c>
      <c r="BF110" s="100">
        <f>OpCost!$E$32*BF$130</f>
        <v>2864.4</v>
      </c>
      <c r="BG110" s="100">
        <f>OpCost!$E$32*BG$130</f>
        <v>2772</v>
      </c>
      <c r="BH110" s="100">
        <f>OpCost!$E$32*BH$130</f>
        <v>2864.4</v>
      </c>
      <c r="BI110" s="100">
        <f>OpCost!$E$32*BI$130</f>
        <v>2864.4</v>
      </c>
      <c r="BJ110" s="100">
        <f>OpCost!$E$32*BJ$130</f>
        <v>2772</v>
      </c>
      <c r="BK110" s="100">
        <f>OpCost!$E$32*BK$130</f>
        <v>2864.4</v>
      </c>
      <c r="BL110" s="100">
        <f>OpCost!$E$32*BL$130</f>
        <v>2772</v>
      </c>
      <c r="BM110" s="100">
        <f>OpCost!$E$32*BM$130</f>
        <v>2864.4</v>
      </c>
      <c r="BN110" s="100">
        <f>OpCost!$E$32*BN$130</f>
        <v>2864.4</v>
      </c>
      <c r="BO110" s="100">
        <f>OpCost!$E$32*BO$130</f>
        <v>2587.2000000000003</v>
      </c>
      <c r="BP110" s="100">
        <f>OpCost!$E$32*BP$130</f>
        <v>2864.4</v>
      </c>
      <c r="BQ110" s="100">
        <f>OpCost!$E$32*BQ$130</f>
        <v>2772</v>
      </c>
      <c r="BR110" s="100">
        <f>OpCost!$E$32*BR$130</f>
        <v>2864.4</v>
      </c>
      <c r="BS110" s="100">
        <f>OpCost!$E$32*BS$130</f>
        <v>2772</v>
      </c>
      <c r="BT110" s="100">
        <f>OpCost!$E$32*BT$130</f>
        <v>2864.4</v>
      </c>
      <c r="BU110" s="100">
        <f>OpCost!$E$32*BU$130</f>
        <v>2864.4</v>
      </c>
      <c r="BV110" s="100">
        <f>OpCost!$E$32*BV$130</f>
        <v>2772</v>
      </c>
      <c r="BW110" s="100">
        <f>OpCost!$E$32*BW$130</f>
        <v>2864.4</v>
      </c>
      <c r="BX110" s="100">
        <f>OpCost!$E$32*BX$130</f>
        <v>2772</v>
      </c>
      <c r="BY110" s="100">
        <f>OpCost!$E$32*BY$130</f>
        <v>2864.4</v>
      </c>
      <c r="BZ110" s="100">
        <f>OpCost!$E$32*BZ$130</f>
        <v>2864.4</v>
      </c>
      <c r="CA110" s="100">
        <f>OpCost!$E$32*CA$130</f>
        <v>2587.2000000000003</v>
      </c>
      <c r="CB110" s="100">
        <f>OpCost!$E$32*CB$130</f>
        <v>2864.4</v>
      </c>
      <c r="CC110" s="100">
        <f>OpCost!$E$32*CC$130</f>
        <v>2772</v>
      </c>
      <c r="CD110" s="100">
        <f>OpCost!$E$32*CD$130</f>
        <v>2864.4</v>
      </c>
      <c r="CE110" s="100">
        <f>OpCost!$E$32*CE$130</f>
        <v>2772</v>
      </c>
      <c r="CF110" s="100">
        <f>OpCost!$E$32*CF$130</f>
        <v>2864.4</v>
      </c>
      <c r="CG110" s="100">
        <f>OpCost!$E$32*CG$130</f>
        <v>2864.4</v>
      </c>
      <c r="CH110" s="100">
        <f>OpCost!$E$32*CH$130</f>
        <v>2772</v>
      </c>
      <c r="CI110" s="100">
        <f>OpCost!$E$32*CI$130</f>
        <v>2864.4</v>
      </c>
      <c r="CJ110" s="100">
        <f>OpCost!$E$32*CJ$130</f>
        <v>2772</v>
      </c>
      <c r="CK110" s="100">
        <f>OpCost!$E$32*CK$130</f>
        <v>2864.4</v>
      </c>
      <c r="CL110" s="100">
        <f>OpCost!$E$32*CL$130</f>
        <v>2864.4</v>
      </c>
      <c r="CM110" s="100">
        <f>OpCost!$E$32*CM$130</f>
        <v>2587.2000000000003</v>
      </c>
      <c r="CN110" s="100">
        <f>OpCost!$E$32*CN$130</f>
        <v>2864.4</v>
      </c>
      <c r="CO110" s="100">
        <f>OpCost!$E$32*CO$130</f>
        <v>2772</v>
      </c>
      <c r="CP110" s="100">
        <f>OpCost!$E$32*CP$130</f>
        <v>2864.4</v>
      </c>
      <c r="CQ110" s="100">
        <f>OpCost!$E$32*CQ$130</f>
        <v>2772</v>
      </c>
      <c r="CR110" s="100">
        <f>OpCost!$E$32*CR$130</f>
        <v>2864.4</v>
      </c>
      <c r="CS110" s="100">
        <f>OpCost!$E$32*CS$130</f>
        <v>2864.4</v>
      </c>
      <c r="CT110" s="100">
        <f>OpCost!$E$32*CT$130</f>
        <v>2772</v>
      </c>
      <c r="CU110" s="100">
        <f>OpCost!$E$32*CU$130</f>
        <v>2864.4</v>
      </c>
      <c r="CV110" s="100">
        <f>OpCost!$E$32*CV$130</f>
        <v>2772</v>
      </c>
      <c r="CW110" s="100">
        <f>OpCost!$E$32*CW$130</f>
        <v>2864.4</v>
      </c>
      <c r="CX110" s="100">
        <f>OpCost!$E$32*CX$130</f>
        <v>2864.4</v>
      </c>
      <c r="CY110" s="100">
        <f>OpCost!$E$32*CY$130</f>
        <v>2587.2000000000003</v>
      </c>
      <c r="CZ110" s="100">
        <f>OpCost!$E$32*CZ$130</f>
        <v>2864.4</v>
      </c>
      <c r="DA110" s="100">
        <f>OpCost!$E$32*DA$130</f>
        <v>2772</v>
      </c>
      <c r="DB110" s="100">
        <f>OpCost!$E$32*DB$130</f>
        <v>2864.4</v>
      </c>
      <c r="DC110" s="100">
        <f>OpCost!$E$32*DC$130</f>
        <v>2772</v>
      </c>
      <c r="DD110" s="100">
        <f>OpCost!$E$32*DD$130</f>
        <v>2864.4</v>
      </c>
      <c r="DE110" s="100">
        <f>OpCost!$E$32*DE$130</f>
        <v>2864.4</v>
      </c>
      <c r="DF110" s="100">
        <f>OpCost!$E$32*DF$130</f>
        <v>2772</v>
      </c>
      <c r="DG110" s="100">
        <f>OpCost!$E$32*DG$130</f>
        <v>2864.4</v>
      </c>
      <c r="DH110" s="100">
        <f>OpCost!$E$32*DH$130</f>
        <v>2772</v>
      </c>
      <c r="DI110" s="100">
        <f>OpCost!$E$32*DI$130</f>
        <v>2864.4</v>
      </c>
      <c r="DJ110" s="100">
        <f>OpCost!$E$32*DJ$130</f>
        <v>2864.4</v>
      </c>
      <c r="DK110" s="100">
        <f>OpCost!$E$32*DK$130</f>
        <v>2587.2000000000003</v>
      </c>
      <c r="DL110" s="100">
        <f>OpCost!$E$32*DL$130</f>
        <v>2864.4</v>
      </c>
      <c r="DM110" s="100">
        <f>OpCost!$E$32*DM$130</f>
        <v>2772</v>
      </c>
      <c r="DN110" s="100">
        <f>OpCost!$E$32*DN$130</f>
        <v>2864.4</v>
      </c>
      <c r="DO110" s="100">
        <f>OpCost!$E$32*DO$130</f>
        <v>2772</v>
      </c>
      <c r="DP110" s="100">
        <f>OpCost!$E$32*DP$130</f>
        <v>2864.4</v>
      </c>
      <c r="DQ110" s="100">
        <f>OpCost!$E$32*DQ$130</f>
        <v>2864.4</v>
      </c>
      <c r="DR110" s="100">
        <f>OpCost!$E$32*DR$130</f>
        <v>2772</v>
      </c>
      <c r="DS110" s="100">
        <f>OpCost!$E$32*DS$130</f>
        <v>2864.4</v>
      </c>
      <c r="DT110" s="100">
        <f>OpCost!$E$32*DT$130</f>
        <v>2772</v>
      </c>
      <c r="DU110" s="100">
        <f>OpCost!$E$32*DU$130</f>
        <v>2864.4</v>
      </c>
      <c r="DV110" s="100">
        <f>OpCost!$E$32*DV$130</f>
        <v>2864.4</v>
      </c>
      <c r="DW110" s="100">
        <f>OpCost!$E$32*DW$130</f>
        <v>2587.2000000000003</v>
      </c>
      <c r="DX110" s="100">
        <f>OpCost!$E$32*DX$130</f>
        <v>2864.4</v>
      </c>
      <c r="DY110" s="100">
        <f>OpCost!$E$32*DY$130</f>
        <v>2772</v>
      </c>
      <c r="DZ110" s="100">
        <f>OpCost!$E$32*DZ$130</f>
        <v>2864.4</v>
      </c>
      <c r="EA110" s="100">
        <f>OpCost!$E$32*EA$130</f>
        <v>2772</v>
      </c>
      <c r="EB110" s="100">
        <f>OpCost!$E$32*EB$130</f>
        <v>2864.4</v>
      </c>
      <c r="EC110" s="100">
        <f>OpCost!$E$32*EC$130</f>
        <v>2864.4</v>
      </c>
      <c r="ED110" s="100">
        <f>OpCost!$E$32*ED$130</f>
        <v>2772</v>
      </c>
      <c r="EE110" s="100">
        <f>OpCost!$E$32*EE$130</f>
        <v>2864.4</v>
      </c>
      <c r="EF110" s="100">
        <f>OpCost!$E$32*EF$130</f>
        <v>2772</v>
      </c>
      <c r="EG110" s="100">
        <f>OpCost!$E$32*EG$130</f>
        <v>2864.4</v>
      </c>
      <c r="EH110" s="100">
        <f>OpCost!$E$32*EH$130</f>
        <v>2864.4</v>
      </c>
      <c r="EI110" s="100">
        <f>OpCost!$E$32*EI$130</f>
        <v>2587.2000000000003</v>
      </c>
      <c r="EJ110" s="100">
        <f>OpCost!$E$32*EJ$130</f>
        <v>2864.4</v>
      </c>
      <c r="EK110" s="100">
        <f>OpCost!$E$32*EK$130</f>
        <v>2772</v>
      </c>
      <c r="EL110" s="100">
        <f>OpCost!$E$32*EL$130</f>
        <v>2864.4</v>
      </c>
      <c r="EM110" s="100">
        <f>OpCost!$E$32*EM$130</f>
        <v>2772</v>
      </c>
      <c r="EN110" s="100">
        <f>OpCost!$E$32*EN$130</f>
        <v>2864.4</v>
      </c>
      <c r="EO110" s="100">
        <f>OpCost!$E$32*EO$130</f>
        <v>2864.4</v>
      </c>
      <c r="EP110" s="100">
        <f>OpCost!$E$32*EP$130</f>
        <v>2772</v>
      </c>
      <c r="EQ110" s="100">
        <f>OpCost!$E$32*EQ$130</f>
        <v>2864.4</v>
      </c>
      <c r="ER110" s="100">
        <f>OpCost!$E$32*ER$130</f>
        <v>2772</v>
      </c>
      <c r="ES110" s="100">
        <f>OpCost!$E$32*ES$130</f>
        <v>2864.4</v>
      </c>
      <c r="ET110" s="100">
        <f>OpCost!$E$32*ET$130</f>
        <v>2864.4</v>
      </c>
      <c r="EU110" s="100">
        <f>OpCost!$E$32*EU$130</f>
        <v>2587.2000000000003</v>
      </c>
      <c r="EV110" s="100">
        <f>OpCost!$E$32*EV$130</f>
        <v>2864.4</v>
      </c>
      <c r="EW110" s="100">
        <f>OpCost!$E$32*EW$130</f>
        <v>2772</v>
      </c>
      <c r="EX110" s="100">
        <f>OpCost!$E$32*EX$130</f>
        <v>2864.4</v>
      </c>
      <c r="EY110" s="100">
        <f>OpCost!$E$32*EY$130</f>
        <v>2772</v>
      </c>
      <c r="EZ110" s="100">
        <f>OpCost!$E$32*EZ$130</f>
        <v>2864.4</v>
      </c>
      <c r="FA110" s="100">
        <f>OpCost!$E$32*FA$130</f>
        <v>2864.4</v>
      </c>
      <c r="FB110" s="100">
        <f>OpCost!$E$32*FB$130</f>
        <v>2772</v>
      </c>
      <c r="FC110" s="100">
        <f>OpCost!$E$32*FC$130</f>
        <v>2864.4</v>
      </c>
      <c r="FD110" s="100">
        <f>OpCost!$E$32*FD$130</f>
        <v>2772</v>
      </c>
      <c r="FE110" s="100">
        <f>OpCost!$E$32*FE$130</f>
        <v>2864.4</v>
      </c>
      <c r="FF110" s="100">
        <f>OpCost!$E$32*FF$130</f>
        <v>2864.4</v>
      </c>
      <c r="FG110" s="100">
        <f>OpCost!$E$32*FG$130</f>
        <v>2587.2000000000003</v>
      </c>
      <c r="FH110" s="100">
        <f>OpCost!$E$32*FH$130</f>
        <v>2864.4</v>
      </c>
      <c r="FI110" s="100">
        <f>OpCost!$E$32*FI$130</f>
        <v>2772</v>
      </c>
      <c r="FJ110" s="100">
        <f>OpCost!$E$32*FJ$130</f>
        <v>2864.4</v>
      </c>
      <c r="FK110" s="100">
        <f>OpCost!$E$32*FK$130</f>
        <v>2772</v>
      </c>
      <c r="FL110" s="100">
        <f>OpCost!$E$32*FL$130</f>
        <v>2864.4</v>
      </c>
      <c r="FM110" s="100">
        <f>OpCost!$E$32*FM$130</f>
        <v>2864.4</v>
      </c>
      <c r="FN110" s="100">
        <f>OpCost!$E$32*FN$130</f>
        <v>2772</v>
      </c>
      <c r="FO110" s="100">
        <f>OpCost!$E$32*FO$130</f>
        <v>2864.4</v>
      </c>
      <c r="FP110" s="100">
        <f>OpCost!$E$32*FP$130</f>
        <v>2772</v>
      </c>
      <c r="FQ110" s="100">
        <f>OpCost!$E$32*FQ$130</f>
        <v>2864.4</v>
      </c>
      <c r="FR110" s="100">
        <f>OpCost!$E$32*FR$130</f>
        <v>2864.4</v>
      </c>
      <c r="FS110" s="100">
        <f>OpCost!$E$32*FS$130</f>
        <v>2587.2000000000003</v>
      </c>
      <c r="FT110" s="100">
        <f>OpCost!$E$32*FT$130</f>
        <v>2864.4</v>
      </c>
      <c r="FU110" s="100">
        <f>OpCost!$E$32*FU$130</f>
        <v>2772</v>
      </c>
      <c r="FV110" s="100">
        <f>OpCost!$E$32*FV$130</f>
        <v>2864.4</v>
      </c>
      <c r="FW110" s="100">
        <f>OpCost!$E$32*FW$130</f>
        <v>2772</v>
      </c>
      <c r="FX110" s="100">
        <f>OpCost!$E$32*FX$130</f>
        <v>2864.4</v>
      </c>
      <c r="FY110" s="100">
        <f>OpCost!$E$32*FY$130</f>
        <v>2864.4</v>
      </c>
      <c r="FZ110" s="100">
        <f>OpCost!$E$32*FZ$130</f>
        <v>2772</v>
      </c>
      <c r="GA110" s="100">
        <f>OpCost!$E$32*GA$130</f>
        <v>2864.4</v>
      </c>
      <c r="GB110" s="100">
        <f>OpCost!$E$32*GB$130</f>
        <v>2772</v>
      </c>
      <c r="GC110" s="100">
        <f>OpCost!$E$32*GC$130</f>
        <v>2864.4</v>
      </c>
    </row>
    <row r="111" spans="1:185">
      <c r="A111" s="10"/>
      <c r="B111" s="80" t="s">
        <v>141</v>
      </c>
      <c r="C111" s="80"/>
      <c r="D111" s="80"/>
      <c r="E111" s="82">
        <f t="shared" si="111"/>
        <v>648401.59999999963</v>
      </c>
      <c r="F111" s="100">
        <f>OpCost!$E$33*F$130</f>
        <v>0</v>
      </c>
      <c r="G111" s="100">
        <f>OpCost!$E$33*G$130</f>
        <v>0</v>
      </c>
      <c r="H111" s="100">
        <f>OpCost!$E$33*H$130</f>
        <v>0</v>
      </c>
      <c r="I111" s="100">
        <f>OpCost!$E$33*I$130</f>
        <v>0</v>
      </c>
      <c r="J111" s="100">
        <f>OpCost!$E$33*J$130</f>
        <v>0</v>
      </c>
      <c r="K111" s="100">
        <f>OpCost!$E$33*K$130</f>
        <v>0</v>
      </c>
      <c r="L111" s="100">
        <f>OpCost!$E$33*L$130</f>
        <v>0</v>
      </c>
      <c r="M111" s="100">
        <f>OpCost!$E$33*M$130</f>
        <v>3819.1999999999994</v>
      </c>
      <c r="N111" s="100">
        <f>OpCost!$E$33*N$130</f>
        <v>3695.9999999999995</v>
      </c>
      <c r="O111" s="100">
        <f>OpCost!$E$33*O$130</f>
        <v>3819.1999999999994</v>
      </c>
      <c r="P111" s="100">
        <f>OpCost!$E$33*P$130</f>
        <v>3695.9999999999995</v>
      </c>
      <c r="Q111" s="100">
        <f>OpCost!$E$33*Q$130</f>
        <v>3819.1999999999994</v>
      </c>
      <c r="R111" s="100">
        <f>OpCost!$E$33*R$130</f>
        <v>3819.1999999999994</v>
      </c>
      <c r="S111" s="100">
        <f>OpCost!$E$33*S$130</f>
        <v>3449.6</v>
      </c>
      <c r="T111" s="100">
        <f>OpCost!$E$33*T$130</f>
        <v>3819.1999999999994</v>
      </c>
      <c r="U111" s="100">
        <f>OpCost!$E$33*U$130</f>
        <v>3695.9999999999995</v>
      </c>
      <c r="V111" s="100">
        <f>OpCost!$E$33*V$130</f>
        <v>3819.1999999999994</v>
      </c>
      <c r="W111" s="100">
        <f>OpCost!$E$33*W$130</f>
        <v>3695.9999999999995</v>
      </c>
      <c r="X111" s="100">
        <f>OpCost!$E$33*X$130</f>
        <v>3819.1999999999994</v>
      </c>
      <c r="Y111" s="100">
        <f>OpCost!$E$33*Y$130</f>
        <v>3819.1999999999994</v>
      </c>
      <c r="Z111" s="100">
        <f>OpCost!$E$33*Z$130</f>
        <v>3695.9999999999995</v>
      </c>
      <c r="AA111" s="100">
        <f>OpCost!$E$33*AA$130</f>
        <v>3819.1999999999994</v>
      </c>
      <c r="AB111" s="100">
        <f>OpCost!$E$33*AB$130</f>
        <v>3695.9999999999995</v>
      </c>
      <c r="AC111" s="100">
        <f>OpCost!$E$33*AC$130</f>
        <v>3819.1999999999994</v>
      </c>
      <c r="AD111" s="100">
        <f>OpCost!$E$33*AD$130</f>
        <v>3819.1999999999994</v>
      </c>
      <c r="AE111" s="100">
        <f>OpCost!$E$33*AE$130</f>
        <v>3449.6</v>
      </c>
      <c r="AF111" s="100">
        <f>OpCost!$E$33*AF$130</f>
        <v>3819.1999999999994</v>
      </c>
      <c r="AG111" s="100">
        <f>OpCost!$E$33*AG$130</f>
        <v>3695.9999999999995</v>
      </c>
      <c r="AH111" s="100">
        <f>OpCost!$E$33*AH$130</f>
        <v>3819.1999999999994</v>
      </c>
      <c r="AI111" s="100">
        <f>OpCost!$E$33*AI$130</f>
        <v>3695.9999999999995</v>
      </c>
      <c r="AJ111" s="100">
        <f>OpCost!$E$33*AJ$130</f>
        <v>3819.1999999999994</v>
      </c>
      <c r="AK111" s="100">
        <f>OpCost!$E$33*AK$130</f>
        <v>3819.1999999999994</v>
      </c>
      <c r="AL111" s="100">
        <f>OpCost!$E$33*AL$130</f>
        <v>3695.9999999999995</v>
      </c>
      <c r="AM111" s="100">
        <f>OpCost!$E$33*AM$130</f>
        <v>3819.1999999999994</v>
      </c>
      <c r="AN111" s="100">
        <f>OpCost!$E$33*AN$130</f>
        <v>3695.9999999999995</v>
      </c>
      <c r="AO111" s="100">
        <f>OpCost!$E$33*AO$130</f>
        <v>3819.1999999999994</v>
      </c>
      <c r="AP111" s="100">
        <f>OpCost!$E$33*AP$130</f>
        <v>3819.1999999999994</v>
      </c>
      <c r="AQ111" s="100">
        <f>OpCost!$E$33*AQ$130</f>
        <v>3449.6</v>
      </c>
      <c r="AR111" s="100">
        <f>OpCost!$E$33*AR$130</f>
        <v>3819.1999999999994</v>
      </c>
      <c r="AS111" s="100">
        <f>OpCost!$E$33*AS$130</f>
        <v>3695.9999999999995</v>
      </c>
      <c r="AT111" s="100">
        <f>OpCost!$E$33*AT$130</f>
        <v>3819.1999999999994</v>
      </c>
      <c r="AU111" s="100">
        <f>OpCost!$E$33*AU$130</f>
        <v>3695.9999999999995</v>
      </c>
      <c r="AV111" s="100">
        <f>OpCost!$E$33*AV$130</f>
        <v>3819.1999999999994</v>
      </c>
      <c r="AW111" s="100">
        <f>OpCost!$E$33*AW$130</f>
        <v>3819.1999999999994</v>
      </c>
      <c r="AX111" s="100">
        <f>OpCost!$E$33*AX$130</f>
        <v>3695.9999999999995</v>
      </c>
      <c r="AY111" s="100">
        <f>OpCost!$E$33*AY$130</f>
        <v>3819.1999999999994</v>
      </c>
      <c r="AZ111" s="100">
        <f>OpCost!$E$33*AZ$130</f>
        <v>3695.9999999999995</v>
      </c>
      <c r="BA111" s="100">
        <f>OpCost!$E$33*BA$130</f>
        <v>3819.1999999999994</v>
      </c>
      <c r="BB111" s="100">
        <f>OpCost!$E$33*BB$130</f>
        <v>3819.1999999999994</v>
      </c>
      <c r="BC111" s="100">
        <f>OpCost!$E$33*BC$130</f>
        <v>3449.6</v>
      </c>
      <c r="BD111" s="100">
        <f>OpCost!$E$33*BD$130</f>
        <v>3819.1999999999994</v>
      </c>
      <c r="BE111" s="100">
        <f>OpCost!$E$33*BE$130</f>
        <v>3695.9999999999995</v>
      </c>
      <c r="BF111" s="100">
        <f>OpCost!$E$33*BF$130</f>
        <v>3819.1999999999994</v>
      </c>
      <c r="BG111" s="100">
        <f>OpCost!$E$33*BG$130</f>
        <v>3695.9999999999995</v>
      </c>
      <c r="BH111" s="100">
        <f>OpCost!$E$33*BH$130</f>
        <v>3819.1999999999994</v>
      </c>
      <c r="BI111" s="100">
        <f>OpCost!$E$33*BI$130</f>
        <v>3819.1999999999994</v>
      </c>
      <c r="BJ111" s="100">
        <f>OpCost!$E$33*BJ$130</f>
        <v>3695.9999999999995</v>
      </c>
      <c r="BK111" s="100">
        <f>OpCost!$E$33*BK$130</f>
        <v>3819.1999999999994</v>
      </c>
      <c r="BL111" s="100">
        <f>OpCost!$E$33*BL$130</f>
        <v>3695.9999999999995</v>
      </c>
      <c r="BM111" s="100">
        <f>OpCost!$E$33*BM$130</f>
        <v>3819.1999999999994</v>
      </c>
      <c r="BN111" s="100">
        <f>OpCost!$E$33*BN$130</f>
        <v>3819.1999999999994</v>
      </c>
      <c r="BO111" s="100">
        <f>OpCost!$E$33*BO$130</f>
        <v>3449.6</v>
      </c>
      <c r="BP111" s="100">
        <f>OpCost!$E$33*BP$130</f>
        <v>3819.1999999999994</v>
      </c>
      <c r="BQ111" s="100">
        <f>OpCost!$E$33*BQ$130</f>
        <v>3695.9999999999995</v>
      </c>
      <c r="BR111" s="100">
        <f>OpCost!$E$33*BR$130</f>
        <v>3819.1999999999994</v>
      </c>
      <c r="BS111" s="100">
        <f>OpCost!$E$33*BS$130</f>
        <v>3695.9999999999995</v>
      </c>
      <c r="BT111" s="100">
        <f>OpCost!$E$33*BT$130</f>
        <v>3819.1999999999994</v>
      </c>
      <c r="BU111" s="100">
        <f>OpCost!$E$33*BU$130</f>
        <v>3819.1999999999994</v>
      </c>
      <c r="BV111" s="100">
        <f>OpCost!$E$33*BV$130</f>
        <v>3695.9999999999995</v>
      </c>
      <c r="BW111" s="100">
        <f>OpCost!$E$33*BW$130</f>
        <v>3819.1999999999994</v>
      </c>
      <c r="BX111" s="100">
        <f>OpCost!$E$33*BX$130</f>
        <v>3695.9999999999995</v>
      </c>
      <c r="BY111" s="100">
        <f>OpCost!$E$33*BY$130</f>
        <v>3819.1999999999994</v>
      </c>
      <c r="BZ111" s="100">
        <f>OpCost!$E$33*BZ$130</f>
        <v>3819.1999999999994</v>
      </c>
      <c r="CA111" s="100">
        <f>OpCost!$E$33*CA$130</f>
        <v>3449.6</v>
      </c>
      <c r="CB111" s="100">
        <f>OpCost!$E$33*CB$130</f>
        <v>3819.1999999999994</v>
      </c>
      <c r="CC111" s="100">
        <f>OpCost!$E$33*CC$130</f>
        <v>3695.9999999999995</v>
      </c>
      <c r="CD111" s="100">
        <f>OpCost!$E$33*CD$130</f>
        <v>3819.1999999999994</v>
      </c>
      <c r="CE111" s="100">
        <f>OpCost!$E$33*CE$130</f>
        <v>3695.9999999999995</v>
      </c>
      <c r="CF111" s="100">
        <f>OpCost!$E$33*CF$130</f>
        <v>3819.1999999999994</v>
      </c>
      <c r="CG111" s="100">
        <f>OpCost!$E$33*CG$130</f>
        <v>3819.1999999999994</v>
      </c>
      <c r="CH111" s="100">
        <f>OpCost!$E$33*CH$130</f>
        <v>3695.9999999999995</v>
      </c>
      <c r="CI111" s="100">
        <f>OpCost!$E$33*CI$130</f>
        <v>3819.1999999999994</v>
      </c>
      <c r="CJ111" s="100">
        <f>OpCost!$E$33*CJ$130</f>
        <v>3695.9999999999995</v>
      </c>
      <c r="CK111" s="100">
        <f>OpCost!$E$33*CK$130</f>
        <v>3819.1999999999994</v>
      </c>
      <c r="CL111" s="100">
        <f>OpCost!$E$33*CL$130</f>
        <v>3819.1999999999994</v>
      </c>
      <c r="CM111" s="100">
        <f>OpCost!$E$33*CM$130</f>
        <v>3449.6</v>
      </c>
      <c r="CN111" s="100">
        <f>OpCost!$E$33*CN$130</f>
        <v>3819.1999999999994</v>
      </c>
      <c r="CO111" s="100">
        <f>OpCost!$E$33*CO$130</f>
        <v>3695.9999999999995</v>
      </c>
      <c r="CP111" s="100">
        <f>OpCost!$E$33*CP$130</f>
        <v>3819.1999999999994</v>
      </c>
      <c r="CQ111" s="100">
        <f>OpCost!$E$33*CQ$130</f>
        <v>3695.9999999999995</v>
      </c>
      <c r="CR111" s="100">
        <f>OpCost!$E$33*CR$130</f>
        <v>3819.1999999999994</v>
      </c>
      <c r="CS111" s="100">
        <f>OpCost!$E$33*CS$130</f>
        <v>3819.1999999999994</v>
      </c>
      <c r="CT111" s="100">
        <f>OpCost!$E$33*CT$130</f>
        <v>3695.9999999999995</v>
      </c>
      <c r="CU111" s="100">
        <f>OpCost!$E$33*CU$130</f>
        <v>3819.1999999999994</v>
      </c>
      <c r="CV111" s="100">
        <f>OpCost!$E$33*CV$130</f>
        <v>3695.9999999999995</v>
      </c>
      <c r="CW111" s="100">
        <f>OpCost!$E$33*CW$130</f>
        <v>3819.1999999999994</v>
      </c>
      <c r="CX111" s="100">
        <f>OpCost!$E$33*CX$130</f>
        <v>3819.1999999999994</v>
      </c>
      <c r="CY111" s="100">
        <f>OpCost!$E$33*CY$130</f>
        <v>3449.6</v>
      </c>
      <c r="CZ111" s="100">
        <f>OpCost!$E$33*CZ$130</f>
        <v>3819.1999999999994</v>
      </c>
      <c r="DA111" s="100">
        <f>OpCost!$E$33*DA$130</f>
        <v>3695.9999999999995</v>
      </c>
      <c r="DB111" s="100">
        <f>OpCost!$E$33*DB$130</f>
        <v>3819.1999999999994</v>
      </c>
      <c r="DC111" s="100">
        <f>OpCost!$E$33*DC$130</f>
        <v>3695.9999999999995</v>
      </c>
      <c r="DD111" s="100">
        <f>OpCost!$E$33*DD$130</f>
        <v>3819.1999999999994</v>
      </c>
      <c r="DE111" s="100">
        <f>OpCost!$E$33*DE$130</f>
        <v>3819.1999999999994</v>
      </c>
      <c r="DF111" s="100">
        <f>OpCost!$E$33*DF$130</f>
        <v>3695.9999999999995</v>
      </c>
      <c r="DG111" s="100">
        <f>OpCost!$E$33*DG$130</f>
        <v>3819.1999999999994</v>
      </c>
      <c r="DH111" s="100">
        <f>OpCost!$E$33*DH$130</f>
        <v>3695.9999999999995</v>
      </c>
      <c r="DI111" s="100">
        <f>OpCost!$E$33*DI$130</f>
        <v>3819.1999999999994</v>
      </c>
      <c r="DJ111" s="100">
        <f>OpCost!$E$33*DJ$130</f>
        <v>3819.1999999999994</v>
      </c>
      <c r="DK111" s="100">
        <f>OpCost!$E$33*DK$130</f>
        <v>3449.6</v>
      </c>
      <c r="DL111" s="100">
        <f>OpCost!$E$33*DL$130</f>
        <v>3819.1999999999994</v>
      </c>
      <c r="DM111" s="100">
        <f>OpCost!$E$33*DM$130</f>
        <v>3695.9999999999995</v>
      </c>
      <c r="DN111" s="100">
        <f>OpCost!$E$33*DN$130</f>
        <v>3819.1999999999994</v>
      </c>
      <c r="DO111" s="100">
        <f>OpCost!$E$33*DO$130</f>
        <v>3695.9999999999995</v>
      </c>
      <c r="DP111" s="100">
        <f>OpCost!$E$33*DP$130</f>
        <v>3819.1999999999994</v>
      </c>
      <c r="DQ111" s="100">
        <f>OpCost!$E$33*DQ$130</f>
        <v>3819.1999999999994</v>
      </c>
      <c r="DR111" s="100">
        <f>OpCost!$E$33*DR$130</f>
        <v>3695.9999999999995</v>
      </c>
      <c r="DS111" s="100">
        <f>OpCost!$E$33*DS$130</f>
        <v>3819.1999999999994</v>
      </c>
      <c r="DT111" s="100">
        <f>OpCost!$E$33*DT$130</f>
        <v>3695.9999999999995</v>
      </c>
      <c r="DU111" s="100">
        <f>OpCost!$E$33*DU$130</f>
        <v>3819.1999999999994</v>
      </c>
      <c r="DV111" s="100">
        <f>OpCost!$E$33*DV$130</f>
        <v>3819.1999999999994</v>
      </c>
      <c r="DW111" s="100">
        <f>OpCost!$E$33*DW$130</f>
        <v>3449.6</v>
      </c>
      <c r="DX111" s="100">
        <f>OpCost!$E$33*DX$130</f>
        <v>3819.1999999999994</v>
      </c>
      <c r="DY111" s="100">
        <f>OpCost!$E$33*DY$130</f>
        <v>3695.9999999999995</v>
      </c>
      <c r="DZ111" s="100">
        <f>OpCost!$E$33*DZ$130</f>
        <v>3819.1999999999994</v>
      </c>
      <c r="EA111" s="100">
        <f>OpCost!$E$33*EA$130</f>
        <v>3695.9999999999995</v>
      </c>
      <c r="EB111" s="100">
        <f>OpCost!$E$33*EB$130</f>
        <v>3819.1999999999994</v>
      </c>
      <c r="EC111" s="100">
        <f>OpCost!$E$33*EC$130</f>
        <v>3819.1999999999994</v>
      </c>
      <c r="ED111" s="100">
        <f>OpCost!$E$33*ED$130</f>
        <v>3695.9999999999995</v>
      </c>
      <c r="EE111" s="100">
        <f>OpCost!$E$33*EE$130</f>
        <v>3819.1999999999994</v>
      </c>
      <c r="EF111" s="100">
        <f>OpCost!$E$33*EF$130</f>
        <v>3695.9999999999995</v>
      </c>
      <c r="EG111" s="100">
        <f>OpCost!$E$33*EG$130</f>
        <v>3819.1999999999994</v>
      </c>
      <c r="EH111" s="100">
        <f>OpCost!$E$33*EH$130</f>
        <v>3819.1999999999994</v>
      </c>
      <c r="EI111" s="100">
        <f>OpCost!$E$33*EI$130</f>
        <v>3449.6</v>
      </c>
      <c r="EJ111" s="100">
        <f>OpCost!$E$33*EJ$130</f>
        <v>3819.1999999999994</v>
      </c>
      <c r="EK111" s="100">
        <f>OpCost!$E$33*EK$130</f>
        <v>3695.9999999999995</v>
      </c>
      <c r="EL111" s="100">
        <f>OpCost!$E$33*EL$130</f>
        <v>3819.1999999999994</v>
      </c>
      <c r="EM111" s="100">
        <f>OpCost!$E$33*EM$130</f>
        <v>3695.9999999999995</v>
      </c>
      <c r="EN111" s="100">
        <f>OpCost!$E$33*EN$130</f>
        <v>3819.1999999999994</v>
      </c>
      <c r="EO111" s="100">
        <f>OpCost!$E$33*EO$130</f>
        <v>3819.1999999999994</v>
      </c>
      <c r="EP111" s="100">
        <f>OpCost!$E$33*EP$130</f>
        <v>3695.9999999999995</v>
      </c>
      <c r="EQ111" s="100">
        <f>OpCost!$E$33*EQ$130</f>
        <v>3819.1999999999994</v>
      </c>
      <c r="ER111" s="100">
        <f>OpCost!$E$33*ER$130</f>
        <v>3695.9999999999995</v>
      </c>
      <c r="ES111" s="100">
        <f>OpCost!$E$33*ES$130</f>
        <v>3819.1999999999994</v>
      </c>
      <c r="ET111" s="100">
        <f>OpCost!$E$33*ET$130</f>
        <v>3819.1999999999994</v>
      </c>
      <c r="EU111" s="100">
        <f>OpCost!$E$33*EU$130</f>
        <v>3449.6</v>
      </c>
      <c r="EV111" s="100">
        <f>OpCost!$E$33*EV$130</f>
        <v>3819.1999999999994</v>
      </c>
      <c r="EW111" s="100">
        <f>OpCost!$E$33*EW$130</f>
        <v>3695.9999999999995</v>
      </c>
      <c r="EX111" s="100">
        <f>OpCost!$E$33*EX$130</f>
        <v>3819.1999999999994</v>
      </c>
      <c r="EY111" s="100">
        <f>OpCost!$E$33*EY$130</f>
        <v>3695.9999999999995</v>
      </c>
      <c r="EZ111" s="100">
        <f>OpCost!$E$33*EZ$130</f>
        <v>3819.1999999999994</v>
      </c>
      <c r="FA111" s="100">
        <f>OpCost!$E$33*FA$130</f>
        <v>3819.1999999999994</v>
      </c>
      <c r="FB111" s="100">
        <f>OpCost!$E$33*FB$130</f>
        <v>3695.9999999999995</v>
      </c>
      <c r="FC111" s="100">
        <f>OpCost!$E$33*FC$130</f>
        <v>3819.1999999999994</v>
      </c>
      <c r="FD111" s="100">
        <f>OpCost!$E$33*FD$130</f>
        <v>3695.9999999999995</v>
      </c>
      <c r="FE111" s="100">
        <f>OpCost!$E$33*FE$130</f>
        <v>3819.1999999999994</v>
      </c>
      <c r="FF111" s="100">
        <f>OpCost!$E$33*FF$130</f>
        <v>3819.1999999999994</v>
      </c>
      <c r="FG111" s="100">
        <f>OpCost!$E$33*FG$130</f>
        <v>3449.6</v>
      </c>
      <c r="FH111" s="100">
        <f>OpCost!$E$33*FH$130</f>
        <v>3819.1999999999994</v>
      </c>
      <c r="FI111" s="100">
        <f>OpCost!$E$33*FI$130</f>
        <v>3695.9999999999995</v>
      </c>
      <c r="FJ111" s="100">
        <f>OpCost!$E$33*FJ$130</f>
        <v>3819.1999999999994</v>
      </c>
      <c r="FK111" s="100">
        <f>OpCost!$E$33*FK$130</f>
        <v>3695.9999999999995</v>
      </c>
      <c r="FL111" s="100">
        <f>OpCost!$E$33*FL$130</f>
        <v>3819.1999999999994</v>
      </c>
      <c r="FM111" s="100">
        <f>OpCost!$E$33*FM$130</f>
        <v>3819.1999999999994</v>
      </c>
      <c r="FN111" s="100">
        <f>OpCost!$E$33*FN$130</f>
        <v>3695.9999999999995</v>
      </c>
      <c r="FO111" s="100">
        <f>OpCost!$E$33*FO$130</f>
        <v>3819.1999999999994</v>
      </c>
      <c r="FP111" s="100">
        <f>OpCost!$E$33*FP$130</f>
        <v>3695.9999999999995</v>
      </c>
      <c r="FQ111" s="100">
        <f>OpCost!$E$33*FQ$130</f>
        <v>3819.1999999999994</v>
      </c>
      <c r="FR111" s="100">
        <f>OpCost!$E$33*FR$130</f>
        <v>3819.1999999999994</v>
      </c>
      <c r="FS111" s="100">
        <f>OpCost!$E$33*FS$130</f>
        <v>3449.6</v>
      </c>
      <c r="FT111" s="100">
        <f>OpCost!$E$33*FT$130</f>
        <v>3819.1999999999994</v>
      </c>
      <c r="FU111" s="100">
        <f>OpCost!$E$33*FU$130</f>
        <v>3695.9999999999995</v>
      </c>
      <c r="FV111" s="100">
        <f>OpCost!$E$33*FV$130</f>
        <v>3819.1999999999994</v>
      </c>
      <c r="FW111" s="100">
        <f>OpCost!$E$33*FW$130</f>
        <v>3695.9999999999995</v>
      </c>
      <c r="FX111" s="100">
        <f>OpCost!$E$33*FX$130</f>
        <v>3819.1999999999994</v>
      </c>
      <c r="FY111" s="100">
        <f>OpCost!$E$33*FY$130</f>
        <v>3819.1999999999994</v>
      </c>
      <c r="FZ111" s="100">
        <f>OpCost!$E$33*FZ$130</f>
        <v>3695.9999999999995</v>
      </c>
      <c r="GA111" s="100">
        <f>OpCost!$E$33*GA$130</f>
        <v>3819.1999999999994</v>
      </c>
      <c r="GB111" s="100">
        <f>OpCost!$E$33*GB$130</f>
        <v>3695.9999999999995</v>
      </c>
      <c r="GC111" s="100">
        <f>OpCost!$E$33*GC$130</f>
        <v>3819.1999999999994</v>
      </c>
    </row>
    <row r="112" spans="1:185">
      <c r="A112" s="10"/>
      <c r="B112" s="80" t="s">
        <v>142</v>
      </c>
      <c r="C112" s="80"/>
      <c r="D112" s="80"/>
      <c r="E112" s="82">
        <f t="shared" si="111"/>
        <v>40525.099999999977</v>
      </c>
      <c r="F112" s="100">
        <f>OpCost!$E$34*F$130</f>
        <v>0</v>
      </c>
      <c r="G112" s="100">
        <f>OpCost!$E$34*G$130</f>
        <v>0</v>
      </c>
      <c r="H112" s="100">
        <f>OpCost!$E$34*H$130</f>
        <v>0</v>
      </c>
      <c r="I112" s="100">
        <f>OpCost!$E$34*I$130</f>
        <v>0</v>
      </c>
      <c r="J112" s="100">
        <f>OpCost!$E$34*J$130</f>
        <v>0</v>
      </c>
      <c r="K112" s="100">
        <f>OpCost!$E$34*K$130</f>
        <v>0</v>
      </c>
      <c r="L112" s="100">
        <f>OpCost!$E$34*L$130</f>
        <v>0</v>
      </c>
      <c r="M112" s="100">
        <f>OpCost!$E$34*M$130</f>
        <v>238.69999999999996</v>
      </c>
      <c r="N112" s="100">
        <f>OpCost!$E$34*N$130</f>
        <v>230.99999999999997</v>
      </c>
      <c r="O112" s="100">
        <f>OpCost!$E$34*O$130</f>
        <v>238.69999999999996</v>
      </c>
      <c r="P112" s="100">
        <f>OpCost!$E$34*P$130</f>
        <v>230.99999999999997</v>
      </c>
      <c r="Q112" s="100">
        <f>OpCost!$E$34*Q$130</f>
        <v>238.69999999999996</v>
      </c>
      <c r="R112" s="100">
        <f>OpCost!$E$34*R$130</f>
        <v>238.69999999999996</v>
      </c>
      <c r="S112" s="100">
        <f>OpCost!$E$34*S$130</f>
        <v>215.6</v>
      </c>
      <c r="T112" s="100">
        <f>OpCost!$E$34*T$130</f>
        <v>238.69999999999996</v>
      </c>
      <c r="U112" s="100">
        <f>OpCost!$E$34*U$130</f>
        <v>230.99999999999997</v>
      </c>
      <c r="V112" s="100">
        <f>OpCost!$E$34*V$130</f>
        <v>238.69999999999996</v>
      </c>
      <c r="W112" s="100">
        <f>OpCost!$E$34*W$130</f>
        <v>230.99999999999997</v>
      </c>
      <c r="X112" s="100">
        <f>OpCost!$E$34*X$130</f>
        <v>238.69999999999996</v>
      </c>
      <c r="Y112" s="100">
        <f>OpCost!$E$34*Y$130</f>
        <v>238.69999999999996</v>
      </c>
      <c r="Z112" s="100">
        <f>OpCost!$E$34*Z$130</f>
        <v>230.99999999999997</v>
      </c>
      <c r="AA112" s="100">
        <f>OpCost!$E$34*AA$130</f>
        <v>238.69999999999996</v>
      </c>
      <c r="AB112" s="100">
        <f>OpCost!$E$34*AB$130</f>
        <v>230.99999999999997</v>
      </c>
      <c r="AC112" s="100">
        <f>OpCost!$E$34*AC$130</f>
        <v>238.69999999999996</v>
      </c>
      <c r="AD112" s="100">
        <f>OpCost!$E$34*AD$130</f>
        <v>238.69999999999996</v>
      </c>
      <c r="AE112" s="100">
        <f>OpCost!$E$34*AE$130</f>
        <v>215.6</v>
      </c>
      <c r="AF112" s="100">
        <f>OpCost!$E$34*AF$130</f>
        <v>238.69999999999996</v>
      </c>
      <c r="AG112" s="100">
        <f>OpCost!$E$34*AG$130</f>
        <v>230.99999999999997</v>
      </c>
      <c r="AH112" s="100">
        <f>OpCost!$E$34*AH$130</f>
        <v>238.69999999999996</v>
      </c>
      <c r="AI112" s="100">
        <f>OpCost!$E$34*AI$130</f>
        <v>230.99999999999997</v>
      </c>
      <c r="AJ112" s="100">
        <f>OpCost!$E$34*AJ$130</f>
        <v>238.69999999999996</v>
      </c>
      <c r="AK112" s="100">
        <f>OpCost!$E$34*AK$130</f>
        <v>238.69999999999996</v>
      </c>
      <c r="AL112" s="100">
        <f>OpCost!$E$34*AL$130</f>
        <v>230.99999999999997</v>
      </c>
      <c r="AM112" s="100">
        <f>OpCost!$E$34*AM$130</f>
        <v>238.69999999999996</v>
      </c>
      <c r="AN112" s="100">
        <f>OpCost!$E$34*AN$130</f>
        <v>230.99999999999997</v>
      </c>
      <c r="AO112" s="100">
        <f>OpCost!$E$34*AO$130</f>
        <v>238.69999999999996</v>
      </c>
      <c r="AP112" s="100">
        <f>OpCost!$E$34*AP$130</f>
        <v>238.69999999999996</v>
      </c>
      <c r="AQ112" s="100">
        <f>OpCost!$E$34*AQ$130</f>
        <v>215.6</v>
      </c>
      <c r="AR112" s="100">
        <f>OpCost!$E$34*AR$130</f>
        <v>238.69999999999996</v>
      </c>
      <c r="AS112" s="100">
        <f>OpCost!$E$34*AS$130</f>
        <v>230.99999999999997</v>
      </c>
      <c r="AT112" s="100">
        <f>OpCost!$E$34*AT$130</f>
        <v>238.69999999999996</v>
      </c>
      <c r="AU112" s="100">
        <f>OpCost!$E$34*AU$130</f>
        <v>230.99999999999997</v>
      </c>
      <c r="AV112" s="100">
        <f>OpCost!$E$34*AV$130</f>
        <v>238.69999999999996</v>
      </c>
      <c r="AW112" s="100">
        <f>OpCost!$E$34*AW$130</f>
        <v>238.69999999999996</v>
      </c>
      <c r="AX112" s="100">
        <f>OpCost!$E$34*AX$130</f>
        <v>230.99999999999997</v>
      </c>
      <c r="AY112" s="100">
        <f>OpCost!$E$34*AY$130</f>
        <v>238.69999999999996</v>
      </c>
      <c r="AZ112" s="100">
        <f>OpCost!$E$34*AZ$130</f>
        <v>230.99999999999997</v>
      </c>
      <c r="BA112" s="100">
        <f>OpCost!$E$34*BA$130</f>
        <v>238.69999999999996</v>
      </c>
      <c r="BB112" s="100">
        <f>OpCost!$E$34*BB$130</f>
        <v>238.69999999999996</v>
      </c>
      <c r="BC112" s="100">
        <f>OpCost!$E$34*BC$130</f>
        <v>215.6</v>
      </c>
      <c r="BD112" s="100">
        <f>OpCost!$E$34*BD$130</f>
        <v>238.69999999999996</v>
      </c>
      <c r="BE112" s="100">
        <f>OpCost!$E$34*BE$130</f>
        <v>230.99999999999997</v>
      </c>
      <c r="BF112" s="100">
        <f>OpCost!$E$34*BF$130</f>
        <v>238.69999999999996</v>
      </c>
      <c r="BG112" s="100">
        <f>OpCost!$E$34*BG$130</f>
        <v>230.99999999999997</v>
      </c>
      <c r="BH112" s="100">
        <f>OpCost!$E$34*BH$130</f>
        <v>238.69999999999996</v>
      </c>
      <c r="BI112" s="100">
        <f>OpCost!$E$34*BI$130</f>
        <v>238.69999999999996</v>
      </c>
      <c r="BJ112" s="100">
        <f>OpCost!$E$34*BJ$130</f>
        <v>230.99999999999997</v>
      </c>
      <c r="BK112" s="100">
        <f>OpCost!$E$34*BK$130</f>
        <v>238.69999999999996</v>
      </c>
      <c r="BL112" s="100">
        <f>OpCost!$E$34*BL$130</f>
        <v>230.99999999999997</v>
      </c>
      <c r="BM112" s="100">
        <f>OpCost!$E$34*BM$130</f>
        <v>238.69999999999996</v>
      </c>
      <c r="BN112" s="100">
        <f>OpCost!$E$34*BN$130</f>
        <v>238.69999999999996</v>
      </c>
      <c r="BO112" s="100">
        <f>OpCost!$E$34*BO$130</f>
        <v>215.6</v>
      </c>
      <c r="BP112" s="100">
        <f>OpCost!$E$34*BP$130</f>
        <v>238.69999999999996</v>
      </c>
      <c r="BQ112" s="100">
        <f>OpCost!$E$34*BQ$130</f>
        <v>230.99999999999997</v>
      </c>
      <c r="BR112" s="100">
        <f>OpCost!$E$34*BR$130</f>
        <v>238.69999999999996</v>
      </c>
      <c r="BS112" s="100">
        <f>OpCost!$E$34*BS$130</f>
        <v>230.99999999999997</v>
      </c>
      <c r="BT112" s="100">
        <f>OpCost!$E$34*BT$130</f>
        <v>238.69999999999996</v>
      </c>
      <c r="BU112" s="100">
        <f>OpCost!$E$34*BU$130</f>
        <v>238.69999999999996</v>
      </c>
      <c r="BV112" s="100">
        <f>OpCost!$E$34*BV$130</f>
        <v>230.99999999999997</v>
      </c>
      <c r="BW112" s="100">
        <f>OpCost!$E$34*BW$130</f>
        <v>238.69999999999996</v>
      </c>
      <c r="BX112" s="100">
        <f>OpCost!$E$34*BX$130</f>
        <v>230.99999999999997</v>
      </c>
      <c r="BY112" s="100">
        <f>OpCost!$E$34*BY$130</f>
        <v>238.69999999999996</v>
      </c>
      <c r="BZ112" s="100">
        <f>OpCost!$E$34*BZ$130</f>
        <v>238.69999999999996</v>
      </c>
      <c r="CA112" s="100">
        <f>OpCost!$E$34*CA$130</f>
        <v>215.6</v>
      </c>
      <c r="CB112" s="100">
        <f>OpCost!$E$34*CB$130</f>
        <v>238.69999999999996</v>
      </c>
      <c r="CC112" s="100">
        <f>OpCost!$E$34*CC$130</f>
        <v>230.99999999999997</v>
      </c>
      <c r="CD112" s="100">
        <f>OpCost!$E$34*CD$130</f>
        <v>238.69999999999996</v>
      </c>
      <c r="CE112" s="100">
        <f>OpCost!$E$34*CE$130</f>
        <v>230.99999999999997</v>
      </c>
      <c r="CF112" s="100">
        <f>OpCost!$E$34*CF$130</f>
        <v>238.69999999999996</v>
      </c>
      <c r="CG112" s="100">
        <f>OpCost!$E$34*CG$130</f>
        <v>238.69999999999996</v>
      </c>
      <c r="CH112" s="100">
        <f>OpCost!$E$34*CH$130</f>
        <v>230.99999999999997</v>
      </c>
      <c r="CI112" s="100">
        <f>OpCost!$E$34*CI$130</f>
        <v>238.69999999999996</v>
      </c>
      <c r="CJ112" s="100">
        <f>OpCost!$E$34*CJ$130</f>
        <v>230.99999999999997</v>
      </c>
      <c r="CK112" s="100">
        <f>OpCost!$E$34*CK$130</f>
        <v>238.69999999999996</v>
      </c>
      <c r="CL112" s="100">
        <f>OpCost!$E$34*CL$130</f>
        <v>238.69999999999996</v>
      </c>
      <c r="CM112" s="100">
        <f>OpCost!$E$34*CM$130</f>
        <v>215.6</v>
      </c>
      <c r="CN112" s="100">
        <f>OpCost!$E$34*CN$130</f>
        <v>238.69999999999996</v>
      </c>
      <c r="CO112" s="100">
        <f>OpCost!$E$34*CO$130</f>
        <v>230.99999999999997</v>
      </c>
      <c r="CP112" s="100">
        <f>OpCost!$E$34*CP$130</f>
        <v>238.69999999999996</v>
      </c>
      <c r="CQ112" s="100">
        <f>OpCost!$E$34*CQ$130</f>
        <v>230.99999999999997</v>
      </c>
      <c r="CR112" s="100">
        <f>OpCost!$E$34*CR$130</f>
        <v>238.69999999999996</v>
      </c>
      <c r="CS112" s="100">
        <f>OpCost!$E$34*CS$130</f>
        <v>238.69999999999996</v>
      </c>
      <c r="CT112" s="100">
        <f>OpCost!$E$34*CT$130</f>
        <v>230.99999999999997</v>
      </c>
      <c r="CU112" s="100">
        <f>OpCost!$E$34*CU$130</f>
        <v>238.69999999999996</v>
      </c>
      <c r="CV112" s="100">
        <f>OpCost!$E$34*CV$130</f>
        <v>230.99999999999997</v>
      </c>
      <c r="CW112" s="100">
        <f>OpCost!$E$34*CW$130</f>
        <v>238.69999999999996</v>
      </c>
      <c r="CX112" s="100">
        <f>OpCost!$E$34*CX$130</f>
        <v>238.69999999999996</v>
      </c>
      <c r="CY112" s="100">
        <f>OpCost!$E$34*CY$130</f>
        <v>215.6</v>
      </c>
      <c r="CZ112" s="100">
        <f>OpCost!$E$34*CZ$130</f>
        <v>238.69999999999996</v>
      </c>
      <c r="DA112" s="100">
        <f>OpCost!$E$34*DA$130</f>
        <v>230.99999999999997</v>
      </c>
      <c r="DB112" s="100">
        <f>OpCost!$E$34*DB$130</f>
        <v>238.69999999999996</v>
      </c>
      <c r="DC112" s="100">
        <f>OpCost!$E$34*DC$130</f>
        <v>230.99999999999997</v>
      </c>
      <c r="DD112" s="100">
        <f>OpCost!$E$34*DD$130</f>
        <v>238.69999999999996</v>
      </c>
      <c r="DE112" s="100">
        <f>OpCost!$E$34*DE$130</f>
        <v>238.69999999999996</v>
      </c>
      <c r="DF112" s="100">
        <f>OpCost!$E$34*DF$130</f>
        <v>230.99999999999997</v>
      </c>
      <c r="DG112" s="100">
        <f>OpCost!$E$34*DG$130</f>
        <v>238.69999999999996</v>
      </c>
      <c r="DH112" s="100">
        <f>OpCost!$E$34*DH$130</f>
        <v>230.99999999999997</v>
      </c>
      <c r="DI112" s="100">
        <f>OpCost!$E$34*DI$130</f>
        <v>238.69999999999996</v>
      </c>
      <c r="DJ112" s="100">
        <f>OpCost!$E$34*DJ$130</f>
        <v>238.69999999999996</v>
      </c>
      <c r="DK112" s="100">
        <f>OpCost!$E$34*DK$130</f>
        <v>215.6</v>
      </c>
      <c r="DL112" s="100">
        <f>OpCost!$E$34*DL$130</f>
        <v>238.69999999999996</v>
      </c>
      <c r="DM112" s="100">
        <f>OpCost!$E$34*DM$130</f>
        <v>230.99999999999997</v>
      </c>
      <c r="DN112" s="100">
        <f>OpCost!$E$34*DN$130</f>
        <v>238.69999999999996</v>
      </c>
      <c r="DO112" s="100">
        <f>OpCost!$E$34*DO$130</f>
        <v>230.99999999999997</v>
      </c>
      <c r="DP112" s="100">
        <f>OpCost!$E$34*DP$130</f>
        <v>238.69999999999996</v>
      </c>
      <c r="DQ112" s="100">
        <f>OpCost!$E$34*DQ$130</f>
        <v>238.69999999999996</v>
      </c>
      <c r="DR112" s="100">
        <f>OpCost!$E$34*DR$130</f>
        <v>230.99999999999997</v>
      </c>
      <c r="DS112" s="100">
        <f>OpCost!$E$34*DS$130</f>
        <v>238.69999999999996</v>
      </c>
      <c r="DT112" s="100">
        <f>OpCost!$E$34*DT$130</f>
        <v>230.99999999999997</v>
      </c>
      <c r="DU112" s="100">
        <f>OpCost!$E$34*DU$130</f>
        <v>238.69999999999996</v>
      </c>
      <c r="DV112" s="100">
        <f>OpCost!$E$34*DV$130</f>
        <v>238.69999999999996</v>
      </c>
      <c r="DW112" s="100">
        <f>OpCost!$E$34*DW$130</f>
        <v>215.6</v>
      </c>
      <c r="DX112" s="100">
        <f>OpCost!$E$34*DX$130</f>
        <v>238.69999999999996</v>
      </c>
      <c r="DY112" s="100">
        <f>OpCost!$E$34*DY$130</f>
        <v>230.99999999999997</v>
      </c>
      <c r="DZ112" s="100">
        <f>OpCost!$E$34*DZ$130</f>
        <v>238.69999999999996</v>
      </c>
      <c r="EA112" s="100">
        <f>OpCost!$E$34*EA$130</f>
        <v>230.99999999999997</v>
      </c>
      <c r="EB112" s="100">
        <f>OpCost!$E$34*EB$130</f>
        <v>238.69999999999996</v>
      </c>
      <c r="EC112" s="100">
        <f>OpCost!$E$34*EC$130</f>
        <v>238.69999999999996</v>
      </c>
      <c r="ED112" s="100">
        <f>OpCost!$E$34*ED$130</f>
        <v>230.99999999999997</v>
      </c>
      <c r="EE112" s="100">
        <f>OpCost!$E$34*EE$130</f>
        <v>238.69999999999996</v>
      </c>
      <c r="EF112" s="100">
        <f>OpCost!$E$34*EF$130</f>
        <v>230.99999999999997</v>
      </c>
      <c r="EG112" s="100">
        <f>OpCost!$E$34*EG$130</f>
        <v>238.69999999999996</v>
      </c>
      <c r="EH112" s="100">
        <f>OpCost!$E$34*EH$130</f>
        <v>238.69999999999996</v>
      </c>
      <c r="EI112" s="100">
        <f>OpCost!$E$34*EI$130</f>
        <v>215.6</v>
      </c>
      <c r="EJ112" s="100">
        <f>OpCost!$E$34*EJ$130</f>
        <v>238.69999999999996</v>
      </c>
      <c r="EK112" s="100">
        <f>OpCost!$E$34*EK$130</f>
        <v>230.99999999999997</v>
      </c>
      <c r="EL112" s="100">
        <f>OpCost!$E$34*EL$130</f>
        <v>238.69999999999996</v>
      </c>
      <c r="EM112" s="100">
        <f>OpCost!$E$34*EM$130</f>
        <v>230.99999999999997</v>
      </c>
      <c r="EN112" s="100">
        <f>OpCost!$E$34*EN$130</f>
        <v>238.69999999999996</v>
      </c>
      <c r="EO112" s="100">
        <f>OpCost!$E$34*EO$130</f>
        <v>238.69999999999996</v>
      </c>
      <c r="EP112" s="100">
        <f>OpCost!$E$34*EP$130</f>
        <v>230.99999999999997</v>
      </c>
      <c r="EQ112" s="100">
        <f>OpCost!$E$34*EQ$130</f>
        <v>238.69999999999996</v>
      </c>
      <c r="ER112" s="100">
        <f>OpCost!$E$34*ER$130</f>
        <v>230.99999999999997</v>
      </c>
      <c r="ES112" s="100">
        <f>OpCost!$E$34*ES$130</f>
        <v>238.69999999999996</v>
      </c>
      <c r="ET112" s="100">
        <f>OpCost!$E$34*ET$130</f>
        <v>238.69999999999996</v>
      </c>
      <c r="EU112" s="100">
        <f>OpCost!$E$34*EU$130</f>
        <v>215.6</v>
      </c>
      <c r="EV112" s="100">
        <f>OpCost!$E$34*EV$130</f>
        <v>238.69999999999996</v>
      </c>
      <c r="EW112" s="100">
        <f>OpCost!$E$34*EW$130</f>
        <v>230.99999999999997</v>
      </c>
      <c r="EX112" s="100">
        <f>OpCost!$E$34*EX$130</f>
        <v>238.69999999999996</v>
      </c>
      <c r="EY112" s="100">
        <f>OpCost!$E$34*EY$130</f>
        <v>230.99999999999997</v>
      </c>
      <c r="EZ112" s="100">
        <f>OpCost!$E$34*EZ$130</f>
        <v>238.69999999999996</v>
      </c>
      <c r="FA112" s="100">
        <f>OpCost!$E$34*FA$130</f>
        <v>238.69999999999996</v>
      </c>
      <c r="FB112" s="100">
        <f>OpCost!$E$34*FB$130</f>
        <v>230.99999999999997</v>
      </c>
      <c r="FC112" s="100">
        <f>OpCost!$E$34*FC$130</f>
        <v>238.69999999999996</v>
      </c>
      <c r="FD112" s="100">
        <f>OpCost!$E$34*FD$130</f>
        <v>230.99999999999997</v>
      </c>
      <c r="FE112" s="100">
        <f>OpCost!$E$34*FE$130</f>
        <v>238.69999999999996</v>
      </c>
      <c r="FF112" s="100">
        <f>OpCost!$E$34*FF$130</f>
        <v>238.69999999999996</v>
      </c>
      <c r="FG112" s="100">
        <f>OpCost!$E$34*FG$130</f>
        <v>215.6</v>
      </c>
      <c r="FH112" s="100">
        <f>OpCost!$E$34*FH$130</f>
        <v>238.69999999999996</v>
      </c>
      <c r="FI112" s="100">
        <f>OpCost!$E$34*FI$130</f>
        <v>230.99999999999997</v>
      </c>
      <c r="FJ112" s="100">
        <f>OpCost!$E$34*FJ$130</f>
        <v>238.69999999999996</v>
      </c>
      <c r="FK112" s="100">
        <f>OpCost!$E$34*FK$130</f>
        <v>230.99999999999997</v>
      </c>
      <c r="FL112" s="100">
        <f>OpCost!$E$34*FL$130</f>
        <v>238.69999999999996</v>
      </c>
      <c r="FM112" s="100">
        <f>OpCost!$E$34*FM$130</f>
        <v>238.69999999999996</v>
      </c>
      <c r="FN112" s="100">
        <f>OpCost!$E$34*FN$130</f>
        <v>230.99999999999997</v>
      </c>
      <c r="FO112" s="100">
        <f>OpCost!$E$34*FO$130</f>
        <v>238.69999999999996</v>
      </c>
      <c r="FP112" s="100">
        <f>OpCost!$E$34*FP$130</f>
        <v>230.99999999999997</v>
      </c>
      <c r="FQ112" s="100">
        <f>OpCost!$E$34*FQ$130</f>
        <v>238.69999999999996</v>
      </c>
      <c r="FR112" s="100">
        <f>OpCost!$E$34*FR$130</f>
        <v>238.69999999999996</v>
      </c>
      <c r="FS112" s="100">
        <f>OpCost!$E$34*FS$130</f>
        <v>215.6</v>
      </c>
      <c r="FT112" s="100">
        <f>OpCost!$E$34*FT$130</f>
        <v>238.69999999999996</v>
      </c>
      <c r="FU112" s="100">
        <f>OpCost!$E$34*FU$130</f>
        <v>230.99999999999997</v>
      </c>
      <c r="FV112" s="100">
        <f>OpCost!$E$34*FV$130</f>
        <v>238.69999999999996</v>
      </c>
      <c r="FW112" s="100">
        <f>OpCost!$E$34*FW$130</f>
        <v>230.99999999999997</v>
      </c>
      <c r="FX112" s="100">
        <f>OpCost!$E$34*FX$130</f>
        <v>238.69999999999996</v>
      </c>
      <c r="FY112" s="100">
        <f>OpCost!$E$34*FY$130</f>
        <v>238.69999999999996</v>
      </c>
      <c r="FZ112" s="100">
        <f>OpCost!$E$34*FZ$130</f>
        <v>230.99999999999997</v>
      </c>
      <c r="GA112" s="100">
        <f>OpCost!$E$34*GA$130</f>
        <v>238.69999999999996</v>
      </c>
      <c r="GB112" s="100">
        <f>OpCost!$E$34*GB$130</f>
        <v>230.99999999999997</v>
      </c>
      <c r="GC112" s="100">
        <f>OpCost!$E$34*GC$130</f>
        <v>238.69999999999996</v>
      </c>
    </row>
    <row r="113" spans="1:185">
      <c r="A113" s="10"/>
      <c r="B113" s="80" t="s">
        <v>143</v>
      </c>
      <c r="C113" s="80"/>
      <c r="D113" s="80"/>
      <c r="E113" s="82">
        <f t="shared" si="111"/>
        <v>243150.60000000047</v>
      </c>
      <c r="F113" s="100">
        <f>OpCost!$E$35*F$130</f>
        <v>0</v>
      </c>
      <c r="G113" s="100">
        <f>OpCost!$E$35*G$130</f>
        <v>0</v>
      </c>
      <c r="H113" s="100">
        <f>OpCost!$E$35*H$130</f>
        <v>0</v>
      </c>
      <c r="I113" s="100">
        <f>OpCost!$E$35*I$130</f>
        <v>0</v>
      </c>
      <c r="J113" s="100">
        <f>OpCost!$E$35*J$130</f>
        <v>0</v>
      </c>
      <c r="K113" s="100">
        <f>OpCost!$E$35*K$130</f>
        <v>0</v>
      </c>
      <c r="L113" s="100">
        <f>OpCost!$E$35*L$130</f>
        <v>0</v>
      </c>
      <c r="M113" s="100">
        <f>OpCost!$E$35*M$130</f>
        <v>1432.2</v>
      </c>
      <c r="N113" s="100">
        <f>OpCost!$E$35*N$130</f>
        <v>1386</v>
      </c>
      <c r="O113" s="100">
        <f>OpCost!$E$35*O$130</f>
        <v>1432.2</v>
      </c>
      <c r="P113" s="100">
        <f>OpCost!$E$35*P$130</f>
        <v>1386</v>
      </c>
      <c r="Q113" s="100">
        <f>OpCost!$E$35*Q$130</f>
        <v>1432.2</v>
      </c>
      <c r="R113" s="100">
        <f>OpCost!$E$35*R$130</f>
        <v>1432.2</v>
      </c>
      <c r="S113" s="100">
        <f>OpCost!$E$35*S$130</f>
        <v>1293.6000000000001</v>
      </c>
      <c r="T113" s="100">
        <f>OpCost!$E$35*T$130</f>
        <v>1432.2</v>
      </c>
      <c r="U113" s="100">
        <f>OpCost!$E$35*U$130</f>
        <v>1386</v>
      </c>
      <c r="V113" s="100">
        <f>OpCost!$E$35*V$130</f>
        <v>1432.2</v>
      </c>
      <c r="W113" s="100">
        <f>OpCost!$E$35*W$130</f>
        <v>1386</v>
      </c>
      <c r="X113" s="100">
        <f>OpCost!$E$35*X$130</f>
        <v>1432.2</v>
      </c>
      <c r="Y113" s="100">
        <f>OpCost!$E$35*Y$130</f>
        <v>1432.2</v>
      </c>
      <c r="Z113" s="100">
        <f>OpCost!$E$35*Z$130</f>
        <v>1386</v>
      </c>
      <c r="AA113" s="100">
        <f>OpCost!$E$35*AA$130</f>
        <v>1432.2</v>
      </c>
      <c r="AB113" s="100">
        <f>OpCost!$E$35*AB$130</f>
        <v>1386</v>
      </c>
      <c r="AC113" s="100">
        <f>OpCost!$E$35*AC$130</f>
        <v>1432.2</v>
      </c>
      <c r="AD113" s="100">
        <f>OpCost!$E$35*AD$130</f>
        <v>1432.2</v>
      </c>
      <c r="AE113" s="100">
        <f>OpCost!$E$35*AE$130</f>
        <v>1293.6000000000001</v>
      </c>
      <c r="AF113" s="100">
        <f>OpCost!$E$35*AF$130</f>
        <v>1432.2</v>
      </c>
      <c r="AG113" s="100">
        <f>OpCost!$E$35*AG$130</f>
        <v>1386</v>
      </c>
      <c r="AH113" s="100">
        <f>OpCost!$E$35*AH$130</f>
        <v>1432.2</v>
      </c>
      <c r="AI113" s="100">
        <f>OpCost!$E$35*AI$130</f>
        <v>1386</v>
      </c>
      <c r="AJ113" s="100">
        <f>OpCost!$E$35*AJ$130</f>
        <v>1432.2</v>
      </c>
      <c r="AK113" s="100">
        <f>OpCost!$E$35*AK$130</f>
        <v>1432.2</v>
      </c>
      <c r="AL113" s="100">
        <f>OpCost!$E$35*AL$130</f>
        <v>1386</v>
      </c>
      <c r="AM113" s="100">
        <f>OpCost!$E$35*AM$130</f>
        <v>1432.2</v>
      </c>
      <c r="AN113" s="100">
        <f>OpCost!$E$35*AN$130</f>
        <v>1386</v>
      </c>
      <c r="AO113" s="100">
        <f>OpCost!$E$35*AO$130</f>
        <v>1432.2</v>
      </c>
      <c r="AP113" s="100">
        <f>OpCost!$E$35*AP$130</f>
        <v>1432.2</v>
      </c>
      <c r="AQ113" s="100">
        <f>OpCost!$E$35*AQ$130</f>
        <v>1293.6000000000001</v>
      </c>
      <c r="AR113" s="100">
        <f>OpCost!$E$35*AR$130</f>
        <v>1432.2</v>
      </c>
      <c r="AS113" s="100">
        <f>OpCost!$E$35*AS$130</f>
        <v>1386</v>
      </c>
      <c r="AT113" s="100">
        <f>OpCost!$E$35*AT$130</f>
        <v>1432.2</v>
      </c>
      <c r="AU113" s="100">
        <f>OpCost!$E$35*AU$130</f>
        <v>1386</v>
      </c>
      <c r="AV113" s="100">
        <f>OpCost!$E$35*AV$130</f>
        <v>1432.2</v>
      </c>
      <c r="AW113" s="100">
        <f>OpCost!$E$35*AW$130</f>
        <v>1432.2</v>
      </c>
      <c r="AX113" s="100">
        <f>OpCost!$E$35*AX$130</f>
        <v>1386</v>
      </c>
      <c r="AY113" s="100">
        <f>OpCost!$E$35*AY$130</f>
        <v>1432.2</v>
      </c>
      <c r="AZ113" s="100">
        <f>OpCost!$E$35*AZ$130</f>
        <v>1386</v>
      </c>
      <c r="BA113" s="100">
        <f>OpCost!$E$35*BA$130</f>
        <v>1432.2</v>
      </c>
      <c r="BB113" s="100">
        <f>OpCost!$E$35*BB$130</f>
        <v>1432.2</v>
      </c>
      <c r="BC113" s="100">
        <f>OpCost!$E$35*BC$130</f>
        <v>1293.6000000000001</v>
      </c>
      <c r="BD113" s="100">
        <f>OpCost!$E$35*BD$130</f>
        <v>1432.2</v>
      </c>
      <c r="BE113" s="100">
        <f>OpCost!$E$35*BE$130</f>
        <v>1386</v>
      </c>
      <c r="BF113" s="100">
        <f>OpCost!$E$35*BF$130</f>
        <v>1432.2</v>
      </c>
      <c r="BG113" s="100">
        <f>OpCost!$E$35*BG$130</f>
        <v>1386</v>
      </c>
      <c r="BH113" s="100">
        <f>OpCost!$E$35*BH$130</f>
        <v>1432.2</v>
      </c>
      <c r="BI113" s="100">
        <f>OpCost!$E$35*BI$130</f>
        <v>1432.2</v>
      </c>
      <c r="BJ113" s="100">
        <f>OpCost!$E$35*BJ$130</f>
        <v>1386</v>
      </c>
      <c r="BK113" s="100">
        <f>OpCost!$E$35*BK$130</f>
        <v>1432.2</v>
      </c>
      <c r="BL113" s="100">
        <f>OpCost!$E$35*BL$130</f>
        <v>1386</v>
      </c>
      <c r="BM113" s="100">
        <f>OpCost!$E$35*BM$130</f>
        <v>1432.2</v>
      </c>
      <c r="BN113" s="100">
        <f>OpCost!$E$35*BN$130</f>
        <v>1432.2</v>
      </c>
      <c r="BO113" s="100">
        <f>OpCost!$E$35*BO$130</f>
        <v>1293.6000000000001</v>
      </c>
      <c r="BP113" s="100">
        <f>OpCost!$E$35*BP$130</f>
        <v>1432.2</v>
      </c>
      <c r="BQ113" s="100">
        <f>OpCost!$E$35*BQ$130</f>
        <v>1386</v>
      </c>
      <c r="BR113" s="100">
        <f>OpCost!$E$35*BR$130</f>
        <v>1432.2</v>
      </c>
      <c r="BS113" s="100">
        <f>OpCost!$E$35*BS$130</f>
        <v>1386</v>
      </c>
      <c r="BT113" s="100">
        <f>OpCost!$E$35*BT$130</f>
        <v>1432.2</v>
      </c>
      <c r="BU113" s="100">
        <f>OpCost!$E$35*BU$130</f>
        <v>1432.2</v>
      </c>
      <c r="BV113" s="100">
        <f>OpCost!$E$35*BV$130</f>
        <v>1386</v>
      </c>
      <c r="BW113" s="100">
        <f>OpCost!$E$35*BW$130</f>
        <v>1432.2</v>
      </c>
      <c r="BX113" s="100">
        <f>OpCost!$E$35*BX$130</f>
        <v>1386</v>
      </c>
      <c r="BY113" s="100">
        <f>OpCost!$E$35*BY$130</f>
        <v>1432.2</v>
      </c>
      <c r="BZ113" s="100">
        <f>OpCost!$E$35*BZ$130</f>
        <v>1432.2</v>
      </c>
      <c r="CA113" s="100">
        <f>OpCost!$E$35*CA$130</f>
        <v>1293.6000000000001</v>
      </c>
      <c r="CB113" s="100">
        <f>OpCost!$E$35*CB$130</f>
        <v>1432.2</v>
      </c>
      <c r="CC113" s="100">
        <f>OpCost!$E$35*CC$130</f>
        <v>1386</v>
      </c>
      <c r="CD113" s="100">
        <f>OpCost!$E$35*CD$130</f>
        <v>1432.2</v>
      </c>
      <c r="CE113" s="100">
        <f>OpCost!$E$35*CE$130</f>
        <v>1386</v>
      </c>
      <c r="CF113" s="100">
        <f>OpCost!$E$35*CF$130</f>
        <v>1432.2</v>
      </c>
      <c r="CG113" s="100">
        <f>OpCost!$E$35*CG$130</f>
        <v>1432.2</v>
      </c>
      <c r="CH113" s="100">
        <f>OpCost!$E$35*CH$130</f>
        <v>1386</v>
      </c>
      <c r="CI113" s="100">
        <f>OpCost!$E$35*CI$130</f>
        <v>1432.2</v>
      </c>
      <c r="CJ113" s="100">
        <f>OpCost!$E$35*CJ$130</f>
        <v>1386</v>
      </c>
      <c r="CK113" s="100">
        <f>OpCost!$E$35*CK$130</f>
        <v>1432.2</v>
      </c>
      <c r="CL113" s="100">
        <f>OpCost!$E$35*CL$130</f>
        <v>1432.2</v>
      </c>
      <c r="CM113" s="100">
        <f>OpCost!$E$35*CM$130</f>
        <v>1293.6000000000001</v>
      </c>
      <c r="CN113" s="100">
        <f>OpCost!$E$35*CN$130</f>
        <v>1432.2</v>
      </c>
      <c r="CO113" s="100">
        <f>OpCost!$E$35*CO$130</f>
        <v>1386</v>
      </c>
      <c r="CP113" s="100">
        <f>OpCost!$E$35*CP$130</f>
        <v>1432.2</v>
      </c>
      <c r="CQ113" s="100">
        <f>OpCost!$E$35*CQ$130</f>
        <v>1386</v>
      </c>
      <c r="CR113" s="100">
        <f>OpCost!$E$35*CR$130</f>
        <v>1432.2</v>
      </c>
      <c r="CS113" s="100">
        <f>OpCost!$E$35*CS$130</f>
        <v>1432.2</v>
      </c>
      <c r="CT113" s="100">
        <f>OpCost!$E$35*CT$130</f>
        <v>1386</v>
      </c>
      <c r="CU113" s="100">
        <f>OpCost!$E$35*CU$130</f>
        <v>1432.2</v>
      </c>
      <c r="CV113" s="100">
        <f>OpCost!$E$35*CV$130</f>
        <v>1386</v>
      </c>
      <c r="CW113" s="100">
        <f>OpCost!$E$35*CW$130</f>
        <v>1432.2</v>
      </c>
      <c r="CX113" s="100">
        <f>OpCost!$E$35*CX$130</f>
        <v>1432.2</v>
      </c>
      <c r="CY113" s="100">
        <f>OpCost!$E$35*CY$130</f>
        <v>1293.6000000000001</v>
      </c>
      <c r="CZ113" s="100">
        <f>OpCost!$E$35*CZ$130</f>
        <v>1432.2</v>
      </c>
      <c r="DA113" s="100">
        <f>OpCost!$E$35*DA$130</f>
        <v>1386</v>
      </c>
      <c r="DB113" s="100">
        <f>OpCost!$E$35*DB$130</f>
        <v>1432.2</v>
      </c>
      <c r="DC113" s="100">
        <f>OpCost!$E$35*DC$130</f>
        <v>1386</v>
      </c>
      <c r="DD113" s="100">
        <f>OpCost!$E$35*DD$130</f>
        <v>1432.2</v>
      </c>
      <c r="DE113" s="100">
        <f>OpCost!$E$35*DE$130</f>
        <v>1432.2</v>
      </c>
      <c r="DF113" s="100">
        <f>OpCost!$E$35*DF$130</f>
        <v>1386</v>
      </c>
      <c r="DG113" s="100">
        <f>OpCost!$E$35*DG$130</f>
        <v>1432.2</v>
      </c>
      <c r="DH113" s="100">
        <f>OpCost!$E$35*DH$130</f>
        <v>1386</v>
      </c>
      <c r="DI113" s="100">
        <f>OpCost!$E$35*DI$130</f>
        <v>1432.2</v>
      </c>
      <c r="DJ113" s="100">
        <f>OpCost!$E$35*DJ$130</f>
        <v>1432.2</v>
      </c>
      <c r="DK113" s="100">
        <f>OpCost!$E$35*DK$130</f>
        <v>1293.6000000000001</v>
      </c>
      <c r="DL113" s="100">
        <f>OpCost!$E$35*DL$130</f>
        <v>1432.2</v>
      </c>
      <c r="DM113" s="100">
        <f>OpCost!$E$35*DM$130</f>
        <v>1386</v>
      </c>
      <c r="DN113" s="100">
        <f>OpCost!$E$35*DN$130</f>
        <v>1432.2</v>
      </c>
      <c r="DO113" s="100">
        <f>OpCost!$E$35*DO$130</f>
        <v>1386</v>
      </c>
      <c r="DP113" s="100">
        <f>OpCost!$E$35*DP$130</f>
        <v>1432.2</v>
      </c>
      <c r="DQ113" s="100">
        <f>OpCost!$E$35*DQ$130</f>
        <v>1432.2</v>
      </c>
      <c r="DR113" s="100">
        <f>OpCost!$E$35*DR$130</f>
        <v>1386</v>
      </c>
      <c r="DS113" s="100">
        <f>OpCost!$E$35*DS$130</f>
        <v>1432.2</v>
      </c>
      <c r="DT113" s="100">
        <f>OpCost!$E$35*DT$130</f>
        <v>1386</v>
      </c>
      <c r="DU113" s="100">
        <f>OpCost!$E$35*DU$130</f>
        <v>1432.2</v>
      </c>
      <c r="DV113" s="100">
        <f>OpCost!$E$35*DV$130</f>
        <v>1432.2</v>
      </c>
      <c r="DW113" s="100">
        <f>OpCost!$E$35*DW$130</f>
        <v>1293.6000000000001</v>
      </c>
      <c r="DX113" s="100">
        <f>OpCost!$E$35*DX$130</f>
        <v>1432.2</v>
      </c>
      <c r="DY113" s="100">
        <f>OpCost!$E$35*DY$130</f>
        <v>1386</v>
      </c>
      <c r="DZ113" s="100">
        <f>OpCost!$E$35*DZ$130</f>
        <v>1432.2</v>
      </c>
      <c r="EA113" s="100">
        <f>OpCost!$E$35*EA$130</f>
        <v>1386</v>
      </c>
      <c r="EB113" s="100">
        <f>OpCost!$E$35*EB$130</f>
        <v>1432.2</v>
      </c>
      <c r="EC113" s="100">
        <f>OpCost!$E$35*EC$130</f>
        <v>1432.2</v>
      </c>
      <c r="ED113" s="100">
        <f>OpCost!$E$35*ED$130</f>
        <v>1386</v>
      </c>
      <c r="EE113" s="100">
        <f>OpCost!$E$35*EE$130</f>
        <v>1432.2</v>
      </c>
      <c r="EF113" s="100">
        <f>OpCost!$E$35*EF$130</f>
        <v>1386</v>
      </c>
      <c r="EG113" s="100">
        <f>OpCost!$E$35*EG$130</f>
        <v>1432.2</v>
      </c>
      <c r="EH113" s="100">
        <f>OpCost!$E$35*EH$130</f>
        <v>1432.2</v>
      </c>
      <c r="EI113" s="100">
        <f>OpCost!$E$35*EI$130</f>
        <v>1293.6000000000001</v>
      </c>
      <c r="EJ113" s="100">
        <f>OpCost!$E$35*EJ$130</f>
        <v>1432.2</v>
      </c>
      <c r="EK113" s="100">
        <f>OpCost!$E$35*EK$130</f>
        <v>1386</v>
      </c>
      <c r="EL113" s="100">
        <f>OpCost!$E$35*EL$130</f>
        <v>1432.2</v>
      </c>
      <c r="EM113" s="100">
        <f>OpCost!$E$35*EM$130</f>
        <v>1386</v>
      </c>
      <c r="EN113" s="100">
        <f>OpCost!$E$35*EN$130</f>
        <v>1432.2</v>
      </c>
      <c r="EO113" s="100">
        <f>OpCost!$E$35*EO$130</f>
        <v>1432.2</v>
      </c>
      <c r="EP113" s="100">
        <f>OpCost!$E$35*EP$130</f>
        <v>1386</v>
      </c>
      <c r="EQ113" s="100">
        <f>OpCost!$E$35*EQ$130</f>
        <v>1432.2</v>
      </c>
      <c r="ER113" s="100">
        <f>OpCost!$E$35*ER$130</f>
        <v>1386</v>
      </c>
      <c r="ES113" s="100">
        <f>OpCost!$E$35*ES$130</f>
        <v>1432.2</v>
      </c>
      <c r="ET113" s="100">
        <f>OpCost!$E$35*ET$130</f>
        <v>1432.2</v>
      </c>
      <c r="EU113" s="100">
        <f>OpCost!$E$35*EU$130</f>
        <v>1293.6000000000001</v>
      </c>
      <c r="EV113" s="100">
        <f>OpCost!$E$35*EV$130</f>
        <v>1432.2</v>
      </c>
      <c r="EW113" s="100">
        <f>OpCost!$E$35*EW$130</f>
        <v>1386</v>
      </c>
      <c r="EX113" s="100">
        <f>OpCost!$E$35*EX$130</f>
        <v>1432.2</v>
      </c>
      <c r="EY113" s="100">
        <f>OpCost!$E$35*EY$130</f>
        <v>1386</v>
      </c>
      <c r="EZ113" s="100">
        <f>OpCost!$E$35*EZ$130</f>
        <v>1432.2</v>
      </c>
      <c r="FA113" s="100">
        <f>OpCost!$E$35*FA$130</f>
        <v>1432.2</v>
      </c>
      <c r="FB113" s="100">
        <f>OpCost!$E$35*FB$130</f>
        <v>1386</v>
      </c>
      <c r="FC113" s="100">
        <f>OpCost!$E$35*FC$130</f>
        <v>1432.2</v>
      </c>
      <c r="FD113" s="100">
        <f>OpCost!$E$35*FD$130</f>
        <v>1386</v>
      </c>
      <c r="FE113" s="100">
        <f>OpCost!$E$35*FE$130</f>
        <v>1432.2</v>
      </c>
      <c r="FF113" s="100">
        <f>OpCost!$E$35*FF$130</f>
        <v>1432.2</v>
      </c>
      <c r="FG113" s="100">
        <f>OpCost!$E$35*FG$130</f>
        <v>1293.6000000000001</v>
      </c>
      <c r="FH113" s="100">
        <f>OpCost!$E$35*FH$130</f>
        <v>1432.2</v>
      </c>
      <c r="FI113" s="100">
        <f>OpCost!$E$35*FI$130</f>
        <v>1386</v>
      </c>
      <c r="FJ113" s="100">
        <f>OpCost!$E$35*FJ$130</f>
        <v>1432.2</v>
      </c>
      <c r="FK113" s="100">
        <f>OpCost!$E$35*FK$130</f>
        <v>1386</v>
      </c>
      <c r="FL113" s="100">
        <f>OpCost!$E$35*FL$130</f>
        <v>1432.2</v>
      </c>
      <c r="FM113" s="100">
        <f>OpCost!$E$35*FM$130</f>
        <v>1432.2</v>
      </c>
      <c r="FN113" s="100">
        <f>OpCost!$E$35*FN$130</f>
        <v>1386</v>
      </c>
      <c r="FO113" s="100">
        <f>OpCost!$E$35*FO$130</f>
        <v>1432.2</v>
      </c>
      <c r="FP113" s="100">
        <f>OpCost!$E$35*FP$130</f>
        <v>1386</v>
      </c>
      <c r="FQ113" s="100">
        <f>OpCost!$E$35*FQ$130</f>
        <v>1432.2</v>
      </c>
      <c r="FR113" s="100">
        <f>OpCost!$E$35*FR$130</f>
        <v>1432.2</v>
      </c>
      <c r="FS113" s="100">
        <f>OpCost!$E$35*FS$130</f>
        <v>1293.6000000000001</v>
      </c>
      <c r="FT113" s="100">
        <f>OpCost!$E$35*FT$130</f>
        <v>1432.2</v>
      </c>
      <c r="FU113" s="100">
        <f>OpCost!$E$35*FU$130</f>
        <v>1386</v>
      </c>
      <c r="FV113" s="100">
        <f>OpCost!$E$35*FV$130</f>
        <v>1432.2</v>
      </c>
      <c r="FW113" s="100">
        <f>OpCost!$E$35*FW$130</f>
        <v>1386</v>
      </c>
      <c r="FX113" s="100">
        <f>OpCost!$E$35*FX$130</f>
        <v>1432.2</v>
      </c>
      <c r="FY113" s="100">
        <f>OpCost!$E$35*FY$130</f>
        <v>1432.2</v>
      </c>
      <c r="FZ113" s="100">
        <f>OpCost!$E$35*FZ$130</f>
        <v>1386</v>
      </c>
      <c r="GA113" s="100">
        <f>OpCost!$E$35*GA$130</f>
        <v>1432.2</v>
      </c>
      <c r="GB113" s="100">
        <f>OpCost!$E$35*GB$130</f>
        <v>1386</v>
      </c>
      <c r="GC113" s="100">
        <f>OpCost!$E$35*GC$130</f>
        <v>1432.2</v>
      </c>
    </row>
    <row r="114" spans="1:185">
      <c r="A114" s="10"/>
      <c r="B114" s="80" t="s">
        <v>144</v>
      </c>
      <c r="C114" s="80"/>
      <c r="D114" s="80"/>
      <c r="E114" s="82">
        <f t="shared" si="111"/>
        <v>486301.20000000094</v>
      </c>
      <c r="F114" s="100">
        <f>OpCost!$E$36*F$130</f>
        <v>0</v>
      </c>
      <c r="G114" s="100">
        <f>OpCost!$E$36*G$130</f>
        <v>0</v>
      </c>
      <c r="H114" s="100">
        <f>OpCost!$E$36*H$130</f>
        <v>0</v>
      </c>
      <c r="I114" s="100">
        <f>OpCost!$E$36*I$130</f>
        <v>0</v>
      </c>
      <c r="J114" s="100">
        <f>OpCost!$E$36*J$130</f>
        <v>0</v>
      </c>
      <c r="K114" s="100">
        <f>OpCost!$E$36*K$130</f>
        <v>0</v>
      </c>
      <c r="L114" s="100">
        <f>OpCost!$E$36*L$130</f>
        <v>0</v>
      </c>
      <c r="M114" s="100">
        <f>OpCost!$E$36*M$130</f>
        <v>2864.4</v>
      </c>
      <c r="N114" s="100">
        <f>OpCost!$E$36*N$130</f>
        <v>2772</v>
      </c>
      <c r="O114" s="100">
        <f>OpCost!$E$36*O$130</f>
        <v>2864.4</v>
      </c>
      <c r="P114" s="100">
        <f>OpCost!$E$36*P$130</f>
        <v>2772</v>
      </c>
      <c r="Q114" s="100">
        <f>OpCost!$E$36*Q$130</f>
        <v>2864.4</v>
      </c>
      <c r="R114" s="100">
        <f>OpCost!$E$36*R$130</f>
        <v>2864.4</v>
      </c>
      <c r="S114" s="100">
        <f>OpCost!$E$36*S$130</f>
        <v>2587.2000000000003</v>
      </c>
      <c r="T114" s="100">
        <f>OpCost!$E$36*T$130</f>
        <v>2864.4</v>
      </c>
      <c r="U114" s="100">
        <f>OpCost!$E$36*U$130</f>
        <v>2772</v>
      </c>
      <c r="V114" s="100">
        <f>OpCost!$E$36*V$130</f>
        <v>2864.4</v>
      </c>
      <c r="W114" s="100">
        <f>OpCost!$E$36*W$130</f>
        <v>2772</v>
      </c>
      <c r="X114" s="100">
        <f>OpCost!$E$36*X$130</f>
        <v>2864.4</v>
      </c>
      <c r="Y114" s="100">
        <f>OpCost!$E$36*Y$130</f>
        <v>2864.4</v>
      </c>
      <c r="Z114" s="100">
        <f>OpCost!$E$36*Z$130</f>
        <v>2772</v>
      </c>
      <c r="AA114" s="100">
        <f>OpCost!$E$36*AA$130</f>
        <v>2864.4</v>
      </c>
      <c r="AB114" s="100">
        <f>OpCost!$E$36*AB$130</f>
        <v>2772</v>
      </c>
      <c r="AC114" s="100">
        <f>OpCost!$E$36*AC$130</f>
        <v>2864.4</v>
      </c>
      <c r="AD114" s="100">
        <f>OpCost!$E$36*AD$130</f>
        <v>2864.4</v>
      </c>
      <c r="AE114" s="100">
        <f>OpCost!$E$36*AE$130</f>
        <v>2587.2000000000003</v>
      </c>
      <c r="AF114" s="100">
        <f>OpCost!$E$36*AF$130</f>
        <v>2864.4</v>
      </c>
      <c r="AG114" s="100">
        <f>OpCost!$E$36*AG$130</f>
        <v>2772</v>
      </c>
      <c r="AH114" s="100">
        <f>OpCost!$E$36*AH$130</f>
        <v>2864.4</v>
      </c>
      <c r="AI114" s="100">
        <f>OpCost!$E$36*AI$130</f>
        <v>2772</v>
      </c>
      <c r="AJ114" s="100">
        <f>OpCost!$E$36*AJ$130</f>
        <v>2864.4</v>
      </c>
      <c r="AK114" s="100">
        <f>OpCost!$E$36*AK$130</f>
        <v>2864.4</v>
      </c>
      <c r="AL114" s="100">
        <f>OpCost!$E$36*AL$130</f>
        <v>2772</v>
      </c>
      <c r="AM114" s="100">
        <f>OpCost!$E$36*AM$130</f>
        <v>2864.4</v>
      </c>
      <c r="AN114" s="100">
        <f>OpCost!$E$36*AN$130</f>
        <v>2772</v>
      </c>
      <c r="AO114" s="100">
        <f>OpCost!$E$36*AO$130</f>
        <v>2864.4</v>
      </c>
      <c r="AP114" s="100">
        <f>OpCost!$E$36*AP$130</f>
        <v>2864.4</v>
      </c>
      <c r="AQ114" s="100">
        <f>OpCost!$E$36*AQ$130</f>
        <v>2587.2000000000003</v>
      </c>
      <c r="AR114" s="100">
        <f>OpCost!$E$36*AR$130</f>
        <v>2864.4</v>
      </c>
      <c r="AS114" s="100">
        <f>OpCost!$E$36*AS$130</f>
        <v>2772</v>
      </c>
      <c r="AT114" s="100">
        <f>OpCost!$E$36*AT$130</f>
        <v>2864.4</v>
      </c>
      <c r="AU114" s="100">
        <f>OpCost!$E$36*AU$130</f>
        <v>2772</v>
      </c>
      <c r="AV114" s="100">
        <f>OpCost!$E$36*AV$130</f>
        <v>2864.4</v>
      </c>
      <c r="AW114" s="100">
        <f>OpCost!$E$36*AW$130</f>
        <v>2864.4</v>
      </c>
      <c r="AX114" s="100">
        <f>OpCost!$E$36*AX$130</f>
        <v>2772</v>
      </c>
      <c r="AY114" s="100">
        <f>OpCost!$E$36*AY$130</f>
        <v>2864.4</v>
      </c>
      <c r="AZ114" s="100">
        <f>OpCost!$E$36*AZ$130</f>
        <v>2772</v>
      </c>
      <c r="BA114" s="100">
        <f>OpCost!$E$36*BA$130</f>
        <v>2864.4</v>
      </c>
      <c r="BB114" s="100">
        <f>OpCost!$E$36*BB$130</f>
        <v>2864.4</v>
      </c>
      <c r="BC114" s="100">
        <f>OpCost!$E$36*BC$130</f>
        <v>2587.2000000000003</v>
      </c>
      <c r="BD114" s="100">
        <f>OpCost!$E$36*BD$130</f>
        <v>2864.4</v>
      </c>
      <c r="BE114" s="100">
        <f>OpCost!$E$36*BE$130</f>
        <v>2772</v>
      </c>
      <c r="BF114" s="100">
        <f>OpCost!$E$36*BF$130</f>
        <v>2864.4</v>
      </c>
      <c r="BG114" s="100">
        <f>OpCost!$E$36*BG$130</f>
        <v>2772</v>
      </c>
      <c r="BH114" s="100">
        <f>OpCost!$E$36*BH$130</f>
        <v>2864.4</v>
      </c>
      <c r="BI114" s="100">
        <f>OpCost!$E$36*BI$130</f>
        <v>2864.4</v>
      </c>
      <c r="BJ114" s="100">
        <f>OpCost!$E$36*BJ$130</f>
        <v>2772</v>
      </c>
      <c r="BK114" s="100">
        <f>OpCost!$E$36*BK$130</f>
        <v>2864.4</v>
      </c>
      <c r="BL114" s="100">
        <f>OpCost!$E$36*BL$130</f>
        <v>2772</v>
      </c>
      <c r="BM114" s="100">
        <f>OpCost!$E$36*BM$130</f>
        <v>2864.4</v>
      </c>
      <c r="BN114" s="100">
        <f>OpCost!$E$36*BN$130</f>
        <v>2864.4</v>
      </c>
      <c r="BO114" s="100">
        <f>OpCost!$E$36*BO$130</f>
        <v>2587.2000000000003</v>
      </c>
      <c r="BP114" s="100">
        <f>OpCost!$E$36*BP$130</f>
        <v>2864.4</v>
      </c>
      <c r="BQ114" s="100">
        <f>OpCost!$E$36*BQ$130</f>
        <v>2772</v>
      </c>
      <c r="BR114" s="100">
        <f>OpCost!$E$36*BR$130</f>
        <v>2864.4</v>
      </c>
      <c r="BS114" s="100">
        <f>OpCost!$E$36*BS$130</f>
        <v>2772</v>
      </c>
      <c r="BT114" s="100">
        <f>OpCost!$E$36*BT$130</f>
        <v>2864.4</v>
      </c>
      <c r="BU114" s="100">
        <f>OpCost!$E$36*BU$130</f>
        <v>2864.4</v>
      </c>
      <c r="BV114" s="100">
        <f>OpCost!$E$36*BV$130</f>
        <v>2772</v>
      </c>
      <c r="BW114" s="100">
        <f>OpCost!$E$36*BW$130</f>
        <v>2864.4</v>
      </c>
      <c r="BX114" s="100">
        <f>OpCost!$E$36*BX$130</f>
        <v>2772</v>
      </c>
      <c r="BY114" s="100">
        <f>OpCost!$E$36*BY$130</f>
        <v>2864.4</v>
      </c>
      <c r="BZ114" s="100">
        <f>OpCost!$E$36*BZ$130</f>
        <v>2864.4</v>
      </c>
      <c r="CA114" s="100">
        <f>OpCost!$E$36*CA$130</f>
        <v>2587.2000000000003</v>
      </c>
      <c r="CB114" s="100">
        <f>OpCost!$E$36*CB$130</f>
        <v>2864.4</v>
      </c>
      <c r="CC114" s="100">
        <f>OpCost!$E$36*CC$130</f>
        <v>2772</v>
      </c>
      <c r="CD114" s="100">
        <f>OpCost!$E$36*CD$130</f>
        <v>2864.4</v>
      </c>
      <c r="CE114" s="100">
        <f>OpCost!$E$36*CE$130</f>
        <v>2772</v>
      </c>
      <c r="CF114" s="100">
        <f>OpCost!$E$36*CF$130</f>
        <v>2864.4</v>
      </c>
      <c r="CG114" s="100">
        <f>OpCost!$E$36*CG$130</f>
        <v>2864.4</v>
      </c>
      <c r="CH114" s="100">
        <f>OpCost!$E$36*CH$130</f>
        <v>2772</v>
      </c>
      <c r="CI114" s="100">
        <f>OpCost!$E$36*CI$130</f>
        <v>2864.4</v>
      </c>
      <c r="CJ114" s="100">
        <f>OpCost!$E$36*CJ$130</f>
        <v>2772</v>
      </c>
      <c r="CK114" s="100">
        <f>OpCost!$E$36*CK$130</f>
        <v>2864.4</v>
      </c>
      <c r="CL114" s="100">
        <f>OpCost!$E$36*CL$130</f>
        <v>2864.4</v>
      </c>
      <c r="CM114" s="100">
        <f>OpCost!$E$36*CM$130</f>
        <v>2587.2000000000003</v>
      </c>
      <c r="CN114" s="100">
        <f>OpCost!$E$36*CN$130</f>
        <v>2864.4</v>
      </c>
      <c r="CO114" s="100">
        <f>OpCost!$E$36*CO$130</f>
        <v>2772</v>
      </c>
      <c r="CP114" s="100">
        <f>OpCost!$E$36*CP$130</f>
        <v>2864.4</v>
      </c>
      <c r="CQ114" s="100">
        <f>OpCost!$E$36*CQ$130</f>
        <v>2772</v>
      </c>
      <c r="CR114" s="100">
        <f>OpCost!$E$36*CR$130</f>
        <v>2864.4</v>
      </c>
      <c r="CS114" s="100">
        <f>OpCost!$E$36*CS$130</f>
        <v>2864.4</v>
      </c>
      <c r="CT114" s="100">
        <f>OpCost!$E$36*CT$130</f>
        <v>2772</v>
      </c>
      <c r="CU114" s="100">
        <f>OpCost!$E$36*CU$130</f>
        <v>2864.4</v>
      </c>
      <c r="CV114" s="100">
        <f>OpCost!$E$36*CV$130</f>
        <v>2772</v>
      </c>
      <c r="CW114" s="100">
        <f>OpCost!$E$36*CW$130</f>
        <v>2864.4</v>
      </c>
      <c r="CX114" s="100">
        <f>OpCost!$E$36*CX$130</f>
        <v>2864.4</v>
      </c>
      <c r="CY114" s="100">
        <f>OpCost!$E$36*CY$130</f>
        <v>2587.2000000000003</v>
      </c>
      <c r="CZ114" s="100">
        <f>OpCost!$E$36*CZ$130</f>
        <v>2864.4</v>
      </c>
      <c r="DA114" s="100">
        <f>OpCost!$E$36*DA$130</f>
        <v>2772</v>
      </c>
      <c r="DB114" s="100">
        <f>OpCost!$E$36*DB$130</f>
        <v>2864.4</v>
      </c>
      <c r="DC114" s="100">
        <f>OpCost!$E$36*DC$130</f>
        <v>2772</v>
      </c>
      <c r="DD114" s="100">
        <f>OpCost!$E$36*DD$130</f>
        <v>2864.4</v>
      </c>
      <c r="DE114" s="100">
        <f>OpCost!$E$36*DE$130</f>
        <v>2864.4</v>
      </c>
      <c r="DF114" s="100">
        <f>OpCost!$E$36*DF$130</f>
        <v>2772</v>
      </c>
      <c r="DG114" s="100">
        <f>OpCost!$E$36*DG$130</f>
        <v>2864.4</v>
      </c>
      <c r="DH114" s="100">
        <f>OpCost!$E$36*DH$130</f>
        <v>2772</v>
      </c>
      <c r="DI114" s="100">
        <f>OpCost!$E$36*DI$130</f>
        <v>2864.4</v>
      </c>
      <c r="DJ114" s="100">
        <f>OpCost!$E$36*DJ$130</f>
        <v>2864.4</v>
      </c>
      <c r="DK114" s="100">
        <f>OpCost!$E$36*DK$130</f>
        <v>2587.2000000000003</v>
      </c>
      <c r="DL114" s="100">
        <f>OpCost!$E$36*DL$130</f>
        <v>2864.4</v>
      </c>
      <c r="DM114" s="100">
        <f>OpCost!$E$36*DM$130</f>
        <v>2772</v>
      </c>
      <c r="DN114" s="100">
        <f>OpCost!$E$36*DN$130</f>
        <v>2864.4</v>
      </c>
      <c r="DO114" s="100">
        <f>OpCost!$E$36*DO$130</f>
        <v>2772</v>
      </c>
      <c r="DP114" s="100">
        <f>OpCost!$E$36*DP$130</f>
        <v>2864.4</v>
      </c>
      <c r="DQ114" s="100">
        <f>OpCost!$E$36*DQ$130</f>
        <v>2864.4</v>
      </c>
      <c r="DR114" s="100">
        <f>OpCost!$E$36*DR$130</f>
        <v>2772</v>
      </c>
      <c r="DS114" s="100">
        <f>OpCost!$E$36*DS$130</f>
        <v>2864.4</v>
      </c>
      <c r="DT114" s="100">
        <f>OpCost!$E$36*DT$130</f>
        <v>2772</v>
      </c>
      <c r="DU114" s="100">
        <f>OpCost!$E$36*DU$130</f>
        <v>2864.4</v>
      </c>
      <c r="DV114" s="100">
        <f>OpCost!$E$36*DV$130</f>
        <v>2864.4</v>
      </c>
      <c r="DW114" s="100">
        <f>OpCost!$E$36*DW$130</f>
        <v>2587.2000000000003</v>
      </c>
      <c r="DX114" s="100">
        <f>OpCost!$E$36*DX$130</f>
        <v>2864.4</v>
      </c>
      <c r="DY114" s="100">
        <f>OpCost!$E$36*DY$130</f>
        <v>2772</v>
      </c>
      <c r="DZ114" s="100">
        <f>OpCost!$E$36*DZ$130</f>
        <v>2864.4</v>
      </c>
      <c r="EA114" s="100">
        <f>OpCost!$E$36*EA$130</f>
        <v>2772</v>
      </c>
      <c r="EB114" s="100">
        <f>OpCost!$E$36*EB$130</f>
        <v>2864.4</v>
      </c>
      <c r="EC114" s="100">
        <f>OpCost!$E$36*EC$130</f>
        <v>2864.4</v>
      </c>
      <c r="ED114" s="100">
        <f>OpCost!$E$36*ED$130</f>
        <v>2772</v>
      </c>
      <c r="EE114" s="100">
        <f>OpCost!$E$36*EE$130</f>
        <v>2864.4</v>
      </c>
      <c r="EF114" s="100">
        <f>OpCost!$E$36*EF$130</f>
        <v>2772</v>
      </c>
      <c r="EG114" s="100">
        <f>OpCost!$E$36*EG$130</f>
        <v>2864.4</v>
      </c>
      <c r="EH114" s="100">
        <f>OpCost!$E$36*EH$130</f>
        <v>2864.4</v>
      </c>
      <c r="EI114" s="100">
        <f>OpCost!$E$36*EI$130</f>
        <v>2587.2000000000003</v>
      </c>
      <c r="EJ114" s="100">
        <f>OpCost!$E$36*EJ$130</f>
        <v>2864.4</v>
      </c>
      <c r="EK114" s="100">
        <f>OpCost!$E$36*EK$130</f>
        <v>2772</v>
      </c>
      <c r="EL114" s="100">
        <f>OpCost!$E$36*EL$130</f>
        <v>2864.4</v>
      </c>
      <c r="EM114" s="100">
        <f>OpCost!$E$36*EM$130</f>
        <v>2772</v>
      </c>
      <c r="EN114" s="100">
        <f>OpCost!$E$36*EN$130</f>
        <v>2864.4</v>
      </c>
      <c r="EO114" s="100">
        <f>OpCost!$E$36*EO$130</f>
        <v>2864.4</v>
      </c>
      <c r="EP114" s="100">
        <f>OpCost!$E$36*EP$130</f>
        <v>2772</v>
      </c>
      <c r="EQ114" s="100">
        <f>OpCost!$E$36*EQ$130</f>
        <v>2864.4</v>
      </c>
      <c r="ER114" s="100">
        <f>OpCost!$E$36*ER$130</f>
        <v>2772</v>
      </c>
      <c r="ES114" s="100">
        <f>OpCost!$E$36*ES$130</f>
        <v>2864.4</v>
      </c>
      <c r="ET114" s="100">
        <f>OpCost!$E$36*ET$130</f>
        <v>2864.4</v>
      </c>
      <c r="EU114" s="100">
        <f>OpCost!$E$36*EU$130</f>
        <v>2587.2000000000003</v>
      </c>
      <c r="EV114" s="100">
        <f>OpCost!$E$36*EV$130</f>
        <v>2864.4</v>
      </c>
      <c r="EW114" s="100">
        <f>OpCost!$E$36*EW$130</f>
        <v>2772</v>
      </c>
      <c r="EX114" s="100">
        <f>OpCost!$E$36*EX$130</f>
        <v>2864.4</v>
      </c>
      <c r="EY114" s="100">
        <f>OpCost!$E$36*EY$130</f>
        <v>2772</v>
      </c>
      <c r="EZ114" s="100">
        <f>OpCost!$E$36*EZ$130</f>
        <v>2864.4</v>
      </c>
      <c r="FA114" s="100">
        <f>OpCost!$E$36*FA$130</f>
        <v>2864.4</v>
      </c>
      <c r="FB114" s="100">
        <f>OpCost!$E$36*FB$130</f>
        <v>2772</v>
      </c>
      <c r="FC114" s="100">
        <f>OpCost!$E$36*FC$130</f>
        <v>2864.4</v>
      </c>
      <c r="FD114" s="100">
        <f>OpCost!$E$36*FD$130</f>
        <v>2772</v>
      </c>
      <c r="FE114" s="100">
        <f>OpCost!$E$36*FE$130</f>
        <v>2864.4</v>
      </c>
      <c r="FF114" s="100">
        <f>OpCost!$E$36*FF$130</f>
        <v>2864.4</v>
      </c>
      <c r="FG114" s="100">
        <f>OpCost!$E$36*FG$130</f>
        <v>2587.2000000000003</v>
      </c>
      <c r="FH114" s="100">
        <f>OpCost!$E$36*FH$130</f>
        <v>2864.4</v>
      </c>
      <c r="FI114" s="100">
        <f>OpCost!$E$36*FI$130</f>
        <v>2772</v>
      </c>
      <c r="FJ114" s="100">
        <f>OpCost!$E$36*FJ$130</f>
        <v>2864.4</v>
      </c>
      <c r="FK114" s="100">
        <f>OpCost!$E$36*FK$130</f>
        <v>2772</v>
      </c>
      <c r="FL114" s="100">
        <f>OpCost!$E$36*FL$130</f>
        <v>2864.4</v>
      </c>
      <c r="FM114" s="100">
        <f>OpCost!$E$36*FM$130</f>
        <v>2864.4</v>
      </c>
      <c r="FN114" s="100">
        <f>OpCost!$E$36*FN$130</f>
        <v>2772</v>
      </c>
      <c r="FO114" s="100">
        <f>OpCost!$E$36*FO$130</f>
        <v>2864.4</v>
      </c>
      <c r="FP114" s="100">
        <f>OpCost!$E$36*FP$130</f>
        <v>2772</v>
      </c>
      <c r="FQ114" s="100">
        <f>OpCost!$E$36*FQ$130</f>
        <v>2864.4</v>
      </c>
      <c r="FR114" s="100">
        <f>OpCost!$E$36*FR$130</f>
        <v>2864.4</v>
      </c>
      <c r="FS114" s="100">
        <f>OpCost!$E$36*FS$130</f>
        <v>2587.2000000000003</v>
      </c>
      <c r="FT114" s="100">
        <f>OpCost!$E$36*FT$130</f>
        <v>2864.4</v>
      </c>
      <c r="FU114" s="100">
        <f>OpCost!$E$36*FU$130</f>
        <v>2772</v>
      </c>
      <c r="FV114" s="100">
        <f>OpCost!$E$36*FV$130</f>
        <v>2864.4</v>
      </c>
      <c r="FW114" s="100">
        <f>OpCost!$E$36*FW$130</f>
        <v>2772</v>
      </c>
      <c r="FX114" s="100">
        <f>OpCost!$E$36*FX$130</f>
        <v>2864.4</v>
      </c>
      <c r="FY114" s="100">
        <f>OpCost!$E$36*FY$130</f>
        <v>2864.4</v>
      </c>
      <c r="FZ114" s="100">
        <f>OpCost!$E$36*FZ$130</f>
        <v>2772</v>
      </c>
      <c r="GA114" s="100">
        <f>OpCost!$E$36*GA$130</f>
        <v>2864.4</v>
      </c>
      <c r="GB114" s="100">
        <f>OpCost!$E$36*GB$130</f>
        <v>2772</v>
      </c>
      <c r="GC114" s="100">
        <f>OpCost!$E$36*GC$130</f>
        <v>2864.4</v>
      </c>
    </row>
    <row r="115" spans="1:185">
      <c r="A115" s="10"/>
      <c r="B115" s="80" t="s">
        <v>145</v>
      </c>
      <c r="C115" s="80"/>
      <c r="D115" s="80"/>
      <c r="E115" s="82">
        <f t="shared" si="111"/>
        <v>97260.24000000002</v>
      </c>
      <c r="F115" s="100">
        <f>OpCost!$E$37*F$130</f>
        <v>0</v>
      </c>
      <c r="G115" s="100">
        <f>OpCost!$E$37*G$130</f>
        <v>0</v>
      </c>
      <c r="H115" s="100">
        <f>OpCost!$E$37*H$130</f>
        <v>0</v>
      </c>
      <c r="I115" s="100">
        <f>OpCost!$E$37*I$130</f>
        <v>0</v>
      </c>
      <c r="J115" s="100">
        <f>OpCost!$E$37*J$130</f>
        <v>0</v>
      </c>
      <c r="K115" s="100">
        <f>OpCost!$E$37*K$130</f>
        <v>0</v>
      </c>
      <c r="L115" s="100">
        <f>OpCost!$E$37*L$130</f>
        <v>0</v>
      </c>
      <c r="M115" s="100">
        <f>OpCost!$E$37*M$130</f>
        <v>572.87999999999988</v>
      </c>
      <c r="N115" s="100">
        <f>OpCost!$E$37*N$130</f>
        <v>554.4</v>
      </c>
      <c r="O115" s="100">
        <f>OpCost!$E$37*O$130</f>
        <v>572.87999999999988</v>
      </c>
      <c r="P115" s="100">
        <f>OpCost!$E$37*P$130</f>
        <v>554.4</v>
      </c>
      <c r="Q115" s="100">
        <f>OpCost!$E$37*Q$130</f>
        <v>572.87999999999988</v>
      </c>
      <c r="R115" s="100">
        <f>OpCost!$E$37*R$130</f>
        <v>572.87999999999988</v>
      </c>
      <c r="S115" s="100">
        <f>OpCost!$E$37*S$130</f>
        <v>517.43999999999994</v>
      </c>
      <c r="T115" s="100">
        <f>OpCost!$E$37*T$130</f>
        <v>572.87999999999988</v>
      </c>
      <c r="U115" s="100">
        <f>OpCost!$E$37*U$130</f>
        <v>554.4</v>
      </c>
      <c r="V115" s="100">
        <f>OpCost!$E$37*V$130</f>
        <v>572.87999999999988</v>
      </c>
      <c r="W115" s="100">
        <f>OpCost!$E$37*W$130</f>
        <v>554.4</v>
      </c>
      <c r="X115" s="100">
        <f>OpCost!$E$37*X$130</f>
        <v>572.87999999999988</v>
      </c>
      <c r="Y115" s="100">
        <f>OpCost!$E$37*Y$130</f>
        <v>572.87999999999988</v>
      </c>
      <c r="Z115" s="100">
        <f>OpCost!$E$37*Z$130</f>
        <v>554.4</v>
      </c>
      <c r="AA115" s="100">
        <f>OpCost!$E$37*AA$130</f>
        <v>572.87999999999988</v>
      </c>
      <c r="AB115" s="100">
        <f>OpCost!$E$37*AB$130</f>
        <v>554.4</v>
      </c>
      <c r="AC115" s="100">
        <f>OpCost!$E$37*AC$130</f>
        <v>572.87999999999988</v>
      </c>
      <c r="AD115" s="100">
        <f>OpCost!$E$37*AD$130</f>
        <v>572.87999999999988</v>
      </c>
      <c r="AE115" s="100">
        <f>OpCost!$E$37*AE$130</f>
        <v>517.43999999999994</v>
      </c>
      <c r="AF115" s="100">
        <f>OpCost!$E$37*AF$130</f>
        <v>572.87999999999988</v>
      </c>
      <c r="AG115" s="100">
        <f>OpCost!$E$37*AG$130</f>
        <v>554.4</v>
      </c>
      <c r="AH115" s="100">
        <f>OpCost!$E$37*AH$130</f>
        <v>572.87999999999988</v>
      </c>
      <c r="AI115" s="100">
        <f>OpCost!$E$37*AI$130</f>
        <v>554.4</v>
      </c>
      <c r="AJ115" s="100">
        <f>OpCost!$E$37*AJ$130</f>
        <v>572.87999999999988</v>
      </c>
      <c r="AK115" s="100">
        <f>OpCost!$E$37*AK$130</f>
        <v>572.87999999999988</v>
      </c>
      <c r="AL115" s="100">
        <f>OpCost!$E$37*AL$130</f>
        <v>554.4</v>
      </c>
      <c r="AM115" s="100">
        <f>OpCost!$E$37*AM$130</f>
        <v>572.87999999999988</v>
      </c>
      <c r="AN115" s="100">
        <f>OpCost!$E$37*AN$130</f>
        <v>554.4</v>
      </c>
      <c r="AO115" s="100">
        <f>OpCost!$E$37*AO$130</f>
        <v>572.87999999999988</v>
      </c>
      <c r="AP115" s="100">
        <f>OpCost!$E$37*AP$130</f>
        <v>572.87999999999988</v>
      </c>
      <c r="AQ115" s="100">
        <f>OpCost!$E$37*AQ$130</f>
        <v>517.43999999999994</v>
      </c>
      <c r="AR115" s="100">
        <f>OpCost!$E$37*AR$130</f>
        <v>572.87999999999988</v>
      </c>
      <c r="AS115" s="100">
        <f>OpCost!$E$37*AS$130</f>
        <v>554.4</v>
      </c>
      <c r="AT115" s="100">
        <f>OpCost!$E$37*AT$130</f>
        <v>572.87999999999988</v>
      </c>
      <c r="AU115" s="100">
        <f>OpCost!$E$37*AU$130</f>
        <v>554.4</v>
      </c>
      <c r="AV115" s="100">
        <f>OpCost!$E$37*AV$130</f>
        <v>572.87999999999988</v>
      </c>
      <c r="AW115" s="100">
        <f>OpCost!$E$37*AW$130</f>
        <v>572.87999999999988</v>
      </c>
      <c r="AX115" s="100">
        <f>OpCost!$E$37*AX$130</f>
        <v>554.4</v>
      </c>
      <c r="AY115" s="100">
        <f>OpCost!$E$37*AY$130</f>
        <v>572.87999999999988</v>
      </c>
      <c r="AZ115" s="100">
        <f>OpCost!$E$37*AZ$130</f>
        <v>554.4</v>
      </c>
      <c r="BA115" s="100">
        <f>OpCost!$E$37*BA$130</f>
        <v>572.87999999999988</v>
      </c>
      <c r="BB115" s="100">
        <f>OpCost!$E$37*BB$130</f>
        <v>572.87999999999988</v>
      </c>
      <c r="BC115" s="100">
        <f>OpCost!$E$37*BC$130</f>
        <v>517.43999999999994</v>
      </c>
      <c r="BD115" s="100">
        <f>OpCost!$E$37*BD$130</f>
        <v>572.87999999999988</v>
      </c>
      <c r="BE115" s="100">
        <f>OpCost!$E$37*BE$130</f>
        <v>554.4</v>
      </c>
      <c r="BF115" s="100">
        <f>OpCost!$E$37*BF$130</f>
        <v>572.87999999999988</v>
      </c>
      <c r="BG115" s="100">
        <f>OpCost!$E$37*BG$130</f>
        <v>554.4</v>
      </c>
      <c r="BH115" s="100">
        <f>OpCost!$E$37*BH$130</f>
        <v>572.87999999999988</v>
      </c>
      <c r="BI115" s="100">
        <f>OpCost!$E$37*BI$130</f>
        <v>572.87999999999988</v>
      </c>
      <c r="BJ115" s="100">
        <f>OpCost!$E$37*BJ$130</f>
        <v>554.4</v>
      </c>
      <c r="BK115" s="100">
        <f>OpCost!$E$37*BK$130</f>
        <v>572.87999999999988</v>
      </c>
      <c r="BL115" s="100">
        <f>OpCost!$E$37*BL$130</f>
        <v>554.4</v>
      </c>
      <c r="BM115" s="100">
        <f>OpCost!$E$37*BM$130</f>
        <v>572.87999999999988</v>
      </c>
      <c r="BN115" s="100">
        <f>OpCost!$E$37*BN$130</f>
        <v>572.87999999999988</v>
      </c>
      <c r="BO115" s="100">
        <f>OpCost!$E$37*BO$130</f>
        <v>517.43999999999994</v>
      </c>
      <c r="BP115" s="100">
        <f>OpCost!$E$37*BP$130</f>
        <v>572.87999999999988</v>
      </c>
      <c r="BQ115" s="100">
        <f>OpCost!$E$37*BQ$130</f>
        <v>554.4</v>
      </c>
      <c r="BR115" s="100">
        <f>OpCost!$E$37*BR$130</f>
        <v>572.87999999999988</v>
      </c>
      <c r="BS115" s="100">
        <f>OpCost!$E$37*BS$130</f>
        <v>554.4</v>
      </c>
      <c r="BT115" s="100">
        <f>OpCost!$E$37*BT$130</f>
        <v>572.87999999999988</v>
      </c>
      <c r="BU115" s="100">
        <f>OpCost!$E$37*BU$130</f>
        <v>572.87999999999988</v>
      </c>
      <c r="BV115" s="100">
        <f>OpCost!$E$37*BV$130</f>
        <v>554.4</v>
      </c>
      <c r="BW115" s="100">
        <f>OpCost!$E$37*BW$130</f>
        <v>572.87999999999988</v>
      </c>
      <c r="BX115" s="100">
        <f>OpCost!$E$37*BX$130</f>
        <v>554.4</v>
      </c>
      <c r="BY115" s="100">
        <f>OpCost!$E$37*BY$130</f>
        <v>572.87999999999988</v>
      </c>
      <c r="BZ115" s="100">
        <f>OpCost!$E$37*BZ$130</f>
        <v>572.87999999999988</v>
      </c>
      <c r="CA115" s="100">
        <f>OpCost!$E$37*CA$130</f>
        <v>517.43999999999994</v>
      </c>
      <c r="CB115" s="100">
        <f>OpCost!$E$37*CB$130</f>
        <v>572.87999999999988</v>
      </c>
      <c r="CC115" s="100">
        <f>OpCost!$E$37*CC$130</f>
        <v>554.4</v>
      </c>
      <c r="CD115" s="100">
        <f>OpCost!$E$37*CD$130</f>
        <v>572.87999999999988</v>
      </c>
      <c r="CE115" s="100">
        <f>OpCost!$E$37*CE$130</f>
        <v>554.4</v>
      </c>
      <c r="CF115" s="100">
        <f>OpCost!$E$37*CF$130</f>
        <v>572.87999999999988</v>
      </c>
      <c r="CG115" s="100">
        <f>OpCost!$E$37*CG$130</f>
        <v>572.87999999999988</v>
      </c>
      <c r="CH115" s="100">
        <f>OpCost!$E$37*CH$130</f>
        <v>554.4</v>
      </c>
      <c r="CI115" s="100">
        <f>OpCost!$E$37*CI$130</f>
        <v>572.87999999999988</v>
      </c>
      <c r="CJ115" s="100">
        <f>OpCost!$E$37*CJ$130</f>
        <v>554.4</v>
      </c>
      <c r="CK115" s="100">
        <f>OpCost!$E$37*CK$130</f>
        <v>572.87999999999988</v>
      </c>
      <c r="CL115" s="100">
        <f>OpCost!$E$37*CL$130</f>
        <v>572.87999999999988</v>
      </c>
      <c r="CM115" s="100">
        <f>OpCost!$E$37*CM$130</f>
        <v>517.43999999999994</v>
      </c>
      <c r="CN115" s="100">
        <f>OpCost!$E$37*CN$130</f>
        <v>572.87999999999988</v>
      </c>
      <c r="CO115" s="100">
        <f>OpCost!$E$37*CO$130</f>
        <v>554.4</v>
      </c>
      <c r="CP115" s="100">
        <f>OpCost!$E$37*CP$130</f>
        <v>572.87999999999988</v>
      </c>
      <c r="CQ115" s="100">
        <f>OpCost!$E$37*CQ$130</f>
        <v>554.4</v>
      </c>
      <c r="CR115" s="100">
        <f>OpCost!$E$37*CR$130</f>
        <v>572.87999999999988</v>
      </c>
      <c r="CS115" s="100">
        <f>OpCost!$E$37*CS$130</f>
        <v>572.87999999999988</v>
      </c>
      <c r="CT115" s="100">
        <f>OpCost!$E$37*CT$130</f>
        <v>554.4</v>
      </c>
      <c r="CU115" s="100">
        <f>OpCost!$E$37*CU$130</f>
        <v>572.87999999999988</v>
      </c>
      <c r="CV115" s="100">
        <f>OpCost!$E$37*CV$130</f>
        <v>554.4</v>
      </c>
      <c r="CW115" s="100">
        <f>OpCost!$E$37*CW$130</f>
        <v>572.87999999999988</v>
      </c>
      <c r="CX115" s="100">
        <f>OpCost!$E$37*CX$130</f>
        <v>572.87999999999988</v>
      </c>
      <c r="CY115" s="100">
        <f>OpCost!$E$37*CY$130</f>
        <v>517.43999999999994</v>
      </c>
      <c r="CZ115" s="100">
        <f>OpCost!$E$37*CZ$130</f>
        <v>572.87999999999988</v>
      </c>
      <c r="DA115" s="100">
        <f>OpCost!$E$37*DA$130</f>
        <v>554.4</v>
      </c>
      <c r="DB115" s="100">
        <f>OpCost!$E$37*DB$130</f>
        <v>572.87999999999988</v>
      </c>
      <c r="DC115" s="100">
        <f>OpCost!$E$37*DC$130</f>
        <v>554.4</v>
      </c>
      <c r="DD115" s="100">
        <f>OpCost!$E$37*DD$130</f>
        <v>572.87999999999988</v>
      </c>
      <c r="DE115" s="100">
        <f>OpCost!$E$37*DE$130</f>
        <v>572.87999999999988</v>
      </c>
      <c r="DF115" s="100">
        <f>OpCost!$E$37*DF$130</f>
        <v>554.4</v>
      </c>
      <c r="DG115" s="100">
        <f>OpCost!$E$37*DG$130</f>
        <v>572.87999999999988</v>
      </c>
      <c r="DH115" s="100">
        <f>OpCost!$E$37*DH$130</f>
        <v>554.4</v>
      </c>
      <c r="DI115" s="100">
        <f>OpCost!$E$37*DI$130</f>
        <v>572.87999999999988</v>
      </c>
      <c r="DJ115" s="100">
        <f>OpCost!$E$37*DJ$130</f>
        <v>572.87999999999988</v>
      </c>
      <c r="DK115" s="100">
        <f>OpCost!$E$37*DK$130</f>
        <v>517.43999999999994</v>
      </c>
      <c r="DL115" s="100">
        <f>OpCost!$E$37*DL$130</f>
        <v>572.87999999999988</v>
      </c>
      <c r="DM115" s="100">
        <f>OpCost!$E$37*DM$130</f>
        <v>554.4</v>
      </c>
      <c r="DN115" s="100">
        <f>OpCost!$E$37*DN$130</f>
        <v>572.87999999999988</v>
      </c>
      <c r="DO115" s="100">
        <f>OpCost!$E$37*DO$130</f>
        <v>554.4</v>
      </c>
      <c r="DP115" s="100">
        <f>OpCost!$E$37*DP$130</f>
        <v>572.87999999999988</v>
      </c>
      <c r="DQ115" s="100">
        <f>OpCost!$E$37*DQ$130</f>
        <v>572.87999999999988</v>
      </c>
      <c r="DR115" s="100">
        <f>OpCost!$E$37*DR$130</f>
        <v>554.4</v>
      </c>
      <c r="DS115" s="100">
        <f>OpCost!$E$37*DS$130</f>
        <v>572.87999999999988</v>
      </c>
      <c r="DT115" s="100">
        <f>OpCost!$E$37*DT$130</f>
        <v>554.4</v>
      </c>
      <c r="DU115" s="100">
        <f>OpCost!$E$37*DU$130</f>
        <v>572.87999999999988</v>
      </c>
      <c r="DV115" s="100">
        <f>OpCost!$E$37*DV$130</f>
        <v>572.87999999999988</v>
      </c>
      <c r="DW115" s="100">
        <f>OpCost!$E$37*DW$130</f>
        <v>517.43999999999994</v>
      </c>
      <c r="DX115" s="100">
        <f>OpCost!$E$37*DX$130</f>
        <v>572.87999999999988</v>
      </c>
      <c r="DY115" s="100">
        <f>OpCost!$E$37*DY$130</f>
        <v>554.4</v>
      </c>
      <c r="DZ115" s="100">
        <f>OpCost!$E$37*DZ$130</f>
        <v>572.87999999999988</v>
      </c>
      <c r="EA115" s="100">
        <f>OpCost!$E$37*EA$130</f>
        <v>554.4</v>
      </c>
      <c r="EB115" s="100">
        <f>OpCost!$E$37*EB$130</f>
        <v>572.87999999999988</v>
      </c>
      <c r="EC115" s="100">
        <f>OpCost!$E$37*EC$130</f>
        <v>572.87999999999988</v>
      </c>
      <c r="ED115" s="100">
        <f>OpCost!$E$37*ED$130</f>
        <v>554.4</v>
      </c>
      <c r="EE115" s="100">
        <f>OpCost!$E$37*EE$130</f>
        <v>572.87999999999988</v>
      </c>
      <c r="EF115" s="100">
        <f>OpCost!$E$37*EF$130</f>
        <v>554.4</v>
      </c>
      <c r="EG115" s="100">
        <f>OpCost!$E$37*EG$130</f>
        <v>572.87999999999988</v>
      </c>
      <c r="EH115" s="100">
        <f>OpCost!$E$37*EH$130</f>
        <v>572.87999999999988</v>
      </c>
      <c r="EI115" s="100">
        <f>OpCost!$E$37*EI$130</f>
        <v>517.43999999999994</v>
      </c>
      <c r="EJ115" s="100">
        <f>OpCost!$E$37*EJ$130</f>
        <v>572.87999999999988</v>
      </c>
      <c r="EK115" s="100">
        <f>OpCost!$E$37*EK$130</f>
        <v>554.4</v>
      </c>
      <c r="EL115" s="100">
        <f>OpCost!$E$37*EL$130</f>
        <v>572.87999999999988</v>
      </c>
      <c r="EM115" s="100">
        <f>OpCost!$E$37*EM$130</f>
        <v>554.4</v>
      </c>
      <c r="EN115" s="100">
        <f>OpCost!$E$37*EN$130</f>
        <v>572.87999999999988</v>
      </c>
      <c r="EO115" s="100">
        <f>OpCost!$E$37*EO$130</f>
        <v>572.87999999999988</v>
      </c>
      <c r="EP115" s="100">
        <f>OpCost!$E$37*EP$130</f>
        <v>554.4</v>
      </c>
      <c r="EQ115" s="100">
        <f>OpCost!$E$37*EQ$130</f>
        <v>572.87999999999988</v>
      </c>
      <c r="ER115" s="100">
        <f>OpCost!$E$37*ER$130</f>
        <v>554.4</v>
      </c>
      <c r="ES115" s="100">
        <f>OpCost!$E$37*ES$130</f>
        <v>572.87999999999988</v>
      </c>
      <c r="ET115" s="100">
        <f>OpCost!$E$37*ET$130</f>
        <v>572.87999999999988</v>
      </c>
      <c r="EU115" s="100">
        <f>OpCost!$E$37*EU$130</f>
        <v>517.43999999999994</v>
      </c>
      <c r="EV115" s="100">
        <f>OpCost!$E$37*EV$130</f>
        <v>572.87999999999988</v>
      </c>
      <c r="EW115" s="100">
        <f>OpCost!$E$37*EW$130</f>
        <v>554.4</v>
      </c>
      <c r="EX115" s="100">
        <f>OpCost!$E$37*EX$130</f>
        <v>572.87999999999988</v>
      </c>
      <c r="EY115" s="100">
        <f>OpCost!$E$37*EY$130</f>
        <v>554.4</v>
      </c>
      <c r="EZ115" s="100">
        <f>OpCost!$E$37*EZ$130</f>
        <v>572.87999999999988</v>
      </c>
      <c r="FA115" s="100">
        <f>OpCost!$E$37*FA$130</f>
        <v>572.87999999999988</v>
      </c>
      <c r="FB115" s="100">
        <f>OpCost!$E$37*FB$130</f>
        <v>554.4</v>
      </c>
      <c r="FC115" s="100">
        <f>OpCost!$E$37*FC$130</f>
        <v>572.87999999999988</v>
      </c>
      <c r="FD115" s="100">
        <f>OpCost!$E$37*FD$130</f>
        <v>554.4</v>
      </c>
      <c r="FE115" s="100">
        <f>OpCost!$E$37*FE$130</f>
        <v>572.87999999999988</v>
      </c>
      <c r="FF115" s="100">
        <f>OpCost!$E$37*FF$130</f>
        <v>572.87999999999988</v>
      </c>
      <c r="FG115" s="100">
        <f>OpCost!$E$37*FG$130</f>
        <v>517.43999999999994</v>
      </c>
      <c r="FH115" s="100">
        <f>OpCost!$E$37*FH$130</f>
        <v>572.87999999999988</v>
      </c>
      <c r="FI115" s="100">
        <f>OpCost!$E$37*FI$130</f>
        <v>554.4</v>
      </c>
      <c r="FJ115" s="100">
        <f>OpCost!$E$37*FJ$130</f>
        <v>572.87999999999988</v>
      </c>
      <c r="FK115" s="100">
        <f>OpCost!$E$37*FK$130</f>
        <v>554.4</v>
      </c>
      <c r="FL115" s="100">
        <f>OpCost!$E$37*FL$130</f>
        <v>572.87999999999988</v>
      </c>
      <c r="FM115" s="100">
        <f>OpCost!$E$37*FM$130</f>
        <v>572.87999999999988</v>
      </c>
      <c r="FN115" s="100">
        <f>OpCost!$E$37*FN$130</f>
        <v>554.4</v>
      </c>
      <c r="FO115" s="100">
        <f>OpCost!$E$37*FO$130</f>
        <v>572.87999999999988</v>
      </c>
      <c r="FP115" s="100">
        <f>OpCost!$E$37*FP$130</f>
        <v>554.4</v>
      </c>
      <c r="FQ115" s="100">
        <f>OpCost!$E$37*FQ$130</f>
        <v>572.87999999999988</v>
      </c>
      <c r="FR115" s="100">
        <f>OpCost!$E$37*FR$130</f>
        <v>572.87999999999988</v>
      </c>
      <c r="FS115" s="100">
        <f>OpCost!$E$37*FS$130</f>
        <v>517.43999999999994</v>
      </c>
      <c r="FT115" s="100">
        <f>OpCost!$E$37*FT$130</f>
        <v>572.87999999999988</v>
      </c>
      <c r="FU115" s="100">
        <f>OpCost!$E$37*FU$130</f>
        <v>554.4</v>
      </c>
      <c r="FV115" s="100">
        <f>OpCost!$E$37*FV$130</f>
        <v>572.87999999999988</v>
      </c>
      <c r="FW115" s="100">
        <f>OpCost!$E$37*FW$130</f>
        <v>554.4</v>
      </c>
      <c r="FX115" s="100">
        <f>OpCost!$E$37*FX$130</f>
        <v>572.87999999999988</v>
      </c>
      <c r="FY115" s="100">
        <f>OpCost!$E$37*FY$130</f>
        <v>572.87999999999988</v>
      </c>
      <c r="FZ115" s="100">
        <f>OpCost!$E$37*FZ$130</f>
        <v>554.4</v>
      </c>
      <c r="GA115" s="100">
        <f>OpCost!$E$37*GA$130</f>
        <v>572.87999999999988</v>
      </c>
      <c r="GB115" s="100">
        <f>OpCost!$E$37*GB$130</f>
        <v>554.4</v>
      </c>
      <c r="GC115" s="100">
        <f>OpCost!$E$37*GC$130</f>
        <v>572.87999999999988</v>
      </c>
    </row>
    <row r="116" spans="1:185">
      <c r="A116" s="10"/>
      <c r="B116" s="80" t="s">
        <v>146</v>
      </c>
      <c r="C116" s="80"/>
      <c r="D116" s="80"/>
      <c r="E116" s="82">
        <f t="shared" si="111"/>
        <v>32420.0799999999</v>
      </c>
      <c r="F116" s="100">
        <f>OpCost!$E$38*F$130</f>
        <v>0</v>
      </c>
      <c r="G116" s="100">
        <f>OpCost!$E$38*G$130</f>
        <v>0</v>
      </c>
      <c r="H116" s="100">
        <f>OpCost!$E$38*H$130</f>
        <v>0</v>
      </c>
      <c r="I116" s="100">
        <f>OpCost!$E$38*I$130</f>
        <v>0</v>
      </c>
      <c r="J116" s="100">
        <f>OpCost!$E$38*J$130</f>
        <v>0</v>
      </c>
      <c r="K116" s="100">
        <f>OpCost!$E$38*K$130</f>
        <v>0</v>
      </c>
      <c r="L116" s="100">
        <f>OpCost!$E$38*L$130</f>
        <v>0</v>
      </c>
      <c r="M116" s="100">
        <f>OpCost!$E$38*M$130</f>
        <v>190.95999999999998</v>
      </c>
      <c r="N116" s="100">
        <f>OpCost!$E$38*N$130</f>
        <v>184.8</v>
      </c>
      <c r="O116" s="100">
        <f>OpCost!$E$38*O$130</f>
        <v>190.95999999999998</v>
      </c>
      <c r="P116" s="100">
        <f>OpCost!$E$38*P$130</f>
        <v>184.8</v>
      </c>
      <c r="Q116" s="100">
        <f>OpCost!$E$38*Q$130</f>
        <v>190.95999999999998</v>
      </c>
      <c r="R116" s="100">
        <f>OpCost!$E$38*R$130</f>
        <v>190.95999999999998</v>
      </c>
      <c r="S116" s="100">
        <f>OpCost!$E$38*S$130</f>
        <v>172.48000000000002</v>
      </c>
      <c r="T116" s="100">
        <f>OpCost!$E$38*T$130</f>
        <v>190.95999999999998</v>
      </c>
      <c r="U116" s="100">
        <f>OpCost!$E$38*U$130</f>
        <v>184.8</v>
      </c>
      <c r="V116" s="100">
        <f>OpCost!$E$38*V$130</f>
        <v>190.95999999999998</v>
      </c>
      <c r="W116" s="100">
        <f>OpCost!$E$38*W$130</f>
        <v>184.8</v>
      </c>
      <c r="X116" s="100">
        <f>OpCost!$E$38*X$130</f>
        <v>190.95999999999998</v>
      </c>
      <c r="Y116" s="100">
        <f>OpCost!$E$38*Y$130</f>
        <v>190.95999999999998</v>
      </c>
      <c r="Z116" s="100">
        <f>OpCost!$E$38*Z$130</f>
        <v>184.8</v>
      </c>
      <c r="AA116" s="100">
        <f>OpCost!$E$38*AA$130</f>
        <v>190.95999999999998</v>
      </c>
      <c r="AB116" s="100">
        <f>OpCost!$E$38*AB$130</f>
        <v>184.8</v>
      </c>
      <c r="AC116" s="100">
        <f>OpCost!$E$38*AC$130</f>
        <v>190.95999999999998</v>
      </c>
      <c r="AD116" s="100">
        <f>OpCost!$E$38*AD$130</f>
        <v>190.95999999999998</v>
      </c>
      <c r="AE116" s="100">
        <f>OpCost!$E$38*AE$130</f>
        <v>172.48000000000002</v>
      </c>
      <c r="AF116" s="100">
        <f>OpCost!$E$38*AF$130</f>
        <v>190.95999999999998</v>
      </c>
      <c r="AG116" s="100">
        <f>OpCost!$E$38*AG$130</f>
        <v>184.8</v>
      </c>
      <c r="AH116" s="100">
        <f>OpCost!$E$38*AH$130</f>
        <v>190.95999999999998</v>
      </c>
      <c r="AI116" s="100">
        <f>OpCost!$E$38*AI$130</f>
        <v>184.8</v>
      </c>
      <c r="AJ116" s="100">
        <f>OpCost!$E$38*AJ$130</f>
        <v>190.95999999999998</v>
      </c>
      <c r="AK116" s="100">
        <f>OpCost!$E$38*AK$130</f>
        <v>190.95999999999998</v>
      </c>
      <c r="AL116" s="100">
        <f>OpCost!$E$38*AL$130</f>
        <v>184.8</v>
      </c>
      <c r="AM116" s="100">
        <f>OpCost!$E$38*AM$130</f>
        <v>190.95999999999998</v>
      </c>
      <c r="AN116" s="100">
        <f>OpCost!$E$38*AN$130</f>
        <v>184.8</v>
      </c>
      <c r="AO116" s="100">
        <f>OpCost!$E$38*AO$130</f>
        <v>190.95999999999998</v>
      </c>
      <c r="AP116" s="100">
        <f>OpCost!$E$38*AP$130</f>
        <v>190.95999999999998</v>
      </c>
      <c r="AQ116" s="100">
        <f>OpCost!$E$38*AQ$130</f>
        <v>172.48000000000002</v>
      </c>
      <c r="AR116" s="100">
        <f>OpCost!$E$38*AR$130</f>
        <v>190.95999999999998</v>
      </c>
      <c r="AS116" s="100">
        <f>OpCost!$E$38*AS$130</f>
        <v>184.8</v>
      </c>
      <c r="AT116" s="100">
        <f>OpCost!$E$38*AT$130</f>
        <v>190.95999999999998</v>
      </c>
      <c r="AU116" s="100">
        <f>OpCost!$E$38*AU$130</f>
        <v>184.8</v>
      </c>
      <c r="AV116" s="100">
        <f>OpCost!$E$38*AV$130</f>
        <v>190.95999999999998</v>
      </c>
      <c r="AW116" s="100">
        <f>OpCost!$E$38*AW$130</f>
        <v>190.95999999999998</v>
      </c>
      <c r="AX116" s="100">
        <f>OpCost!$E$38*AX$130</f>
        <v>184.8</v>
      </c>
      <c r="AY116" s="100">
        <f>OpCost!$E$38*AY$130</f>
        <v>190.95999999999998</v>
      </c>
      <c r="AZ116" s="100">
        <f>OpCost!$E$38*AZ$130</f>
        <v>184.8</v>
      </c>
      <c r="BA116" s="100">
        <f>OpCost!$E$38*BA$130</f>
        <v>190.95999999999998</v>
      </c>
      <c r="BB116" s="100">
        <f>OpCost!$E$38*BB$130</f>
        <v>190.95999999999998</v>
      </c>
      <c r="BC116" s="100">
        <f>OpCost!$E$38*BC$130</f>
        <v>172.48000000000002</v>
      </c>
      <c r="BD116" s="100">
        <f>OpCost!$E$38*BD$130</f>
        <v>190.95999999999998</v>
      </c>
      <c r="BE116" s="100">
        <f>OpCost!$E$38*BE$130</f>
        <v>184.8</v>
      </c>
      <c r="BF116" s="100">
        <f>OpCost!$E$38*BF$130</f>
        <v>190.95999999999998</v>
      </c>
      <c r="BG116" s="100">
        <f>OpCost!$E$38*BG$130</f>
        <v>184.8</v>
      </c>
      <c r="BH116" s="100">
        <f>OpCost!$E$38*BH$130</f>
        <v>190.95999999999998</v>
      </c>
      <c r="BI116" s="100">
        <f>OpCost!$E$38*BI$130</f>
        <v>190.95999999999998</v>
      </c>
      <c r="BJ116" s="100">
        <f>OpCost!$E$38*BJ$130</f>
        <v>184.8</v>
      </c>
      <c r="BK116" s="100">
        <f>OpCost!$E$38*BK$130</f>
        <v>190.95999999999998</v>
      </c>
      <c r="BL116" s="100">
        <f>OpCost!$E$38*BL$130</f>
        <v>184.8</v>
      </c>
      <c r="BM116" s="100">
        <f>OpCost!$E$38*BM$130</f>
        <v>190.95999999999998</v>
      </c>
      <c r="BN116" s="100">
        <f>OpCost!$E$38*BN$130</f>
        <v>190.95999999999998</v>
      </c>
      <c r="BO116" s="100">
        <f>OpCost!$E$38*BO$130</f>
        <v>172.48000000000002</v>
      </c>
      <c r="BP116" s="100">
        <f>OpCost!$E$38*BP$130</f>
        <v>190.95999999999998</v>
      </c>
      <c r="BQ116" s="100">
        <f>OpCost!$E$38*BQ$130</f>
        <v>184.8</v>
      </c>
      <c r="BR116" s="100">
        <f>OpCost!$E$38*BR$130</f>
        <v>190.95999999999998</v>
      </c>
      <c r="BS116" s="100">
        <f>OpCost!$E$38*BS$130</f>
        <v>184.8</v>
      </c>
      <c r="BT116" s="100">
        <f>OpCost!$E$38*BT$130</f>
        <v>190.95999999999998</v>
      </c>
      <c r="BU116" s="100">
        <f>OpCost!$E$38*BU$130</f>
        <v>190.95999999999998</v>
      </c>
      <c r="BV116" s="100">
        <f>OpCost!$E$38*BV$130</f>
        <v>184.8</v>
      </c>
      <c r="BW116" s="100">
        <f>OpCost!$E$38*BW$130</f>
        <v>190.95999999999998</v>
      </c>
      <c r="BX116" s="100">
        <f>OpCost!$E$38*BX$130</f>
        <v>184.8</v>
      </c>
      <c r="BY116" s="100">
        <f>OpCost!$E$38*BY$130</f>
        <v>190.95999999999998</v>
      </c>
      <c r="BZ116" s="100">
        <f>OpCost!$E$38*BZ$130</f>
        <v>190.95999999999998</v>
      </c>
      <c r="CA116" s="100">
        <f>OpCost!$E$38*CA$130</f>
        <v>172.48000000000002</v>
      </c>
      <c r="CB116" s="100">
        <f>OpCost!$E$38*CB$130</f>
        <v>190.95999999999998</v>
      </c>
      <c r="CC116" s="100">
        <f>OpCost!$E$38*CC$130</f>
        <v>184.8</v>
      </c>
      <c r="CD116" s="100">
        <f>OpCost!$E$38*CD$130</f>
        <v>190.95999999999998</v>
      </c>
      <c r="CE116" s="100">
        <f>OpCost!$E$38*CE$130</f>
        <v>184.8</v>
      </c>
      <c r="CF116" s="100">
        <f>OpCost!$E$38*CF$130</f>
        <v>190.95999999999998</v>
      </c>
      <c r="CG116" s="100">
        <f>OpCost!$E$38*CG$130</f>
        <v>190.95999999999998</v>
      </c>
      <c r="CH116" s="100">
        <f>OpCost!$E$38*CH$130</f>
        <v>184.8</v>
      </c>
      <c r="CI116" s="100">
        <f>OpCost!$E$38*CI$130</f>
        <v>190.95999999999998</v>
      </c>
      <c r="CJ116" s="100">
        <f>OpCost!$E$38*CJ$130</f>
        <v>184.8</v>
      </c>
      <c r="CK116" s="100">
        <f>OpCost!$E$38*CK$130</f>
        <v>190.95999999999998</v>
      </c>
      <c r="CL116" s="100">
        <f>OpCost!$E$38*CL$130</f>
        <v>190.95999999999998</v>
      </c>
      <c r="CM116" s="100">
        <f>OpCost!$E$38*CM$130</f>
        <v>172.48000000000002</v>
      </c>
      <c r="CN116" s="100">
        <f>OpCost!$E$38*CN$130</f>
        <v>190.95999999999998</v>
      </c>
      <c r="CO116" s="100">
        <f>OpCost!$E$38*CO$130</f>
        <v>184.8</v>
      </c>
      <c r="CP116" s="100">
        <f>OpCost!$E$38*CP$130</f>
        <v>190.95999999999998</v>
      </c>
      <c r="CQ116" s="100">
        <f>OpCost!$E$38*CQ$130</f>
        <v>184.8</v>
      </c>
      <c r="CR116" s="100">
        <f>OpCost!$E$38*CR$130</f>
        <v>190.95999999999998</v>
      </c>
      <c r="CS116" s="100">
        <f>OpCost!$E$38*CS$130</f>
        <v>190.95999999999998</v>
      </c>
      <c r="CT116" s="100">
        <f>OpCost!$E$38*CT$130</f>
        <v>184.8</v>
      </c>
      <c r="CU116" s="100">
        <f>OpCost!$E$38*CU$130</f>
        <v>190.95999999999998</v>
      </c>
      <c r="CV116" s="100">
        <f>OpCost!$E$38*CV$130</f>
        <v>184.8</v>
      </c>
      <c r="CW116" s="100">
        <f>OpCost!$E$38*CW$130</f>
        <v>190.95999999999998</v>
      </c>
      <c r="CX116" s="100">
        <f>OpCost!$E$38*CX$130</f>
        <v>190.95999999999998</v>
      </c>
      <c r="CY116" s="100">
        <f>OpCost!$E$38*CY$130</f>
        <v>172.48000000000002</v>
      </c>
      <c r="CZ116" s="100">
        <f>OpCost!$E$38*CZ$130</f>
        <v>190.95999999999998</v>
      </c>
      <c r="DA116" s="100">
        <f>OpCost!$E$38*DA$130</f>
        <v>184.8</v>
      </c>
      <c r="DB116" s="100">
        <f>OpCost!$E$38*DB$130</f>
        <v>190.95999999999998</v>
      </c>
      <c r="DC116" s="100">
        <f>OpCost!$E$38*DC$130</f>
        <v>184.8</v>
      </c>
      <c r="DD116" s="100">
        <f>OpCost!$E$38*DD$130</f>
        <v>190.95999999999998</v>
      </c>
      <c r="DE116" s="100">
        <f>OpCost!$E$38*DE$130</f>
        <v>190.95999999999998</v>
      </c>
      <c r="DF116" s="100">
        <f>OpCost!$E$38*DF$130</f>
        <v>184.8</v>
      </c>
      <c r="DG116" s="100">
        <f>OpCost!$E$38*DG$130</f>
        <v>190.95999999999998</v>
      </c>
      <c r="DH116" s="100">
        <f>OpCost!$E$38*DH$130</f>
        <v>184.8</v>
      </c>
      <c r="DI116" s="100">
        <f>OpCost!$E$38*DI$130</f>
        <v>190.95999999999998</v>
      </c>
      <c r="DJ116" s="100">
        <f>OpCost!$E$38*DJ$130</f>
        <v>190.95999999999998</v>
      </c>
      <c r="DK116" s="100">
        <f>OpCost!$E$38*DK$130</f>
        <v>172.48000000000002</v>
      </c>
      <c r="DL116" s="100">
        <f>OpCost!$E$38*DL$130</f>
        <v>190.95999999999998</v>
      </c>
      <c r="DM116" s="100">
        <f>OpCost!$E$38*DM$130</f>
        <v>184.8</v>
      </c>
      <c r="DN116" s="100">
        <f>OpCost!$E$38*DN$130</f>
        <v>190.95999999999998</v>
      </c>
      <c r="DO116" s="100">
        <f>OpCost!$E$38*DO$130</f>
        <v>184.8</v>
      </c>
      <c r="DP116" s="100">
        <f>OpCost!$E$38*DP$130</f>
        <v>190.95999999999998</v>
      </c>
      <c r="DQ116" s="100">
        <f>OpCost!$E$38*DQ$130</f>
        <v>190.95999999999998</v>
      </c>
      <c r="DR116" s="100">
        <f>OpCost!$E$38*DR$130</f>
        <v>184.8</v>
      </c>
      <c r="DS116" s="100">
        <f>OpCost!$E$38*DS$130</f>
        <v>190.95999999999998</v>
      </c>
      <c r="DT116" s="100">
        <f>OpCost!$E$38*DT$130</f>
        <v>184.8</v>
      </c>
      <c r="DU116" s="100">
        <f>OpCost!$E$38*DU$130</f>
        <v>190.95999999999998</v>
      </c>
      <c r="DV116" s="100">
        <f>OpCost!$E$38*DV$130</f>
        <v>190.95999999999998</v>
      </c>
      <c r="DW116" s="100">
        <f>OpCost!$E$38*DW$130</f>
        <v>172.48000000000002</v>
      </c>
      <c r="DX116" s="100">
        <f>OpCost!$E$38*DX$130</f>
        <v>190.95999999999998</v>
      </c>
      <c r="DY116" s="100">
        <f>OpCost!$E$38*DY$130</f>
        <v>184.8</v>
      </c>
      <c r="DZ116" s="100">
        <f>OpCost!$E$38*DZ$130</f>
        <v>190.95999999999998</v>
      </c>
      <c r="EA116" s="100">
        <f>OpCost!$E$38*EA$130</f>
        <v>184.8</v>
      </c>
      <c r="EB116" s="100">
        <f>OpCost!$E$38*EB$130</f>
        <v>190.95999999999998</v>
      </c>
      <c r="EC116" s="100">
        <f>OpCost!$E$38*EC$130</f>
        <v>190.95999999999998</v>
      </c>
      <c r="ED116" s="100">
        <f>OpCost!$E$38*ED$130</f>
        <v>184.8</v>
      </c>
      <c r="EE116" s="100">
        <f>OpCost!$E$38*EE$130</f>
        <v>190.95999999999998</v>
      </c>
      <c r="EF116" s="100">
        <f>OpCost!$E$38*EF$130</f>
        <v>184.8</v>
      </c>
      <c r="EG116" s="100">
        <f>OpCost!$E$38*EG$130</f>
        <v>190.95999999999998</v>
      </c>
      <c r="EH116" s="100">
        <f>OpCost!$E$38*EH$130</f>
        <v>190.95999999999998</v>
      </c>
      <c r="EI116" s="100">
        <f>OpCost!$E$38*EI$130</f>
        <v>172.48000000000002</v>
      </c>
      <c r="EJ116" s="100">
        <f>OpCost!$E$38*EJ$130</f>
        <v>190.95999999999998</v>
      </c>
      <c r="EK116" s="100">
        <f>OpCost!$E$38*EK$130</f>
        <v>184.8</v>
      </c>
      <c r="EL116" s="100">
        <f>OpCost!$E$38*EL$130</f>
        <v>190.95999999999998</v>
      </c>
      <c r="EM116" s="100">
        <f>OpCost!$E$38*EM$130</f>
        <v>184.8</v>
      </c>
      <c r="EN116" s="100">
        <f>OpCost!$E$38*EN$130</f>
        <v>190.95999999999998</v>
      </c>
      <c r="EO116" s="100">
        <f>OpCost!$E$38*EO$130</f>
        <v>190.95999999999998</v>
      </c>
      <c r="EP116" s="100">
        <f>OpCost!$E$38*EP$130</f>
        <v>184.8</v>
      </c>
      <c r="EQ116" s="100">
        <f>OpCost!$E$38*EQ$130</f>
        <v>190.95999999999998</v>
      </c>
      <c r="ER116" s="100">
        <f>OpCost!$E$38*ER$130</f>
        <v>184.8</v>
      </c>
      <c r="ES116" s="100">
        <f>OpCost!$E$38*ES$130</f>
        <v>190.95999999999998</v>
      </c>
      <c r="ET116" s="100">
        <f>OpCost!$E$38*ET$130</f>
        <v>190.95999999999998</v>
      </c>
      <c r="EU116" s="100">
        <f>OpCost!$E$38*EU$130</f>
        <v>172.48000000000002</v>
      </c>
      <c r="EV116" s="100">
        <f>OpCost!$E$38*EV$130</f>
        <v>190.95999999999998</v>
      </c>
      <c r="EW116" s="100">
        <f>OpCost!$E$38*EW$130</f>
        <v>184.8</v>
      </c>
      <c r="EX116" s="100">
        <f>OpCost!$E$38*EX$130</f>
        <v>190.95999999999998</v>
      </c>
      <c r="EY116" s="100">
        <f>OpCost!$E$38*EY$130</f>
        <v>184.8</v>
      </c>
      <c r="EZ116" s="100">
        <f>OpCost!$E$38*EZ$130</f>
        <v>190.95999999999998</v>
      </c>
      <c r="FA116" s="100">
        <f>OpCost!$E$38*FA$130</f>
        <v>190.95999999999998</v>
      </c>
      <c r="FB116" s="100">
        <f>OpCost!$E$38*FB$130</f>
        <v>184.8</v>
      </c>
      <c r="FC116" s="100">
        <f>OpCost!$E$38*FC$130</f>
        <v>190.95999999999998</v>
      </c>
      <c r="FD116" s="100">
        <f>OpCost!$E$38*FD$130</f>
        <v>184.8</v>
      </c>
      <c r="FE116" s="100">
        <f>OpCost!$E$38*FE$130</f>
        <v>190.95999999999998</v>
      </c>
      <c r="FF116" s="100">
        <f>OpCost!$E$38*FF$130</f>
        <v>190.95999999999998</v>
      </c>
      <c r="FG116" s="100">
        <f>OpCost!$E$38*FG$130</f>
        <v>172.48000000000002</v>
      </c>
      <c r="FH116" s="100">
        <f>OpCost!$E$38*FH$130</f>
        <v>190.95999999999998</v>
      </c>
      <c r="FI116" s="100">
        <f>OpCost!$E$38*FI$130</f>
        <v>184.8</v>
      </c>
      <c r="FJ116" s="100">
        <f>OpCost!$E$38*FJ$130</f>
        <v>190.95999999999998</v>
      </c>
      <c r="FK116" s="100">
        <f>OpCost!$E$38*FK$130</f>
        <v>184.8</v>
      </c>
      <c r="FL116" s="100">
        <f>OpCost!$E$38*FL$130</f>
        <v>190.95999999999998</v>
      </c>
      <c r="FM116" s="100">
        <f>OpCost!$E$38*FM$130</f>
        <v>190.95999999999998</v>
      </c>
      <c r="FN116" s="100">
        <f>OpCost!$E$38*FN$130</f>
        <v>184.8</v>
      </c>
      <c r="FO116" s="100">
        <f>OpCost!$E$38*FO$130</f>
        <v>190.95999999999998</v>
      </c>
      <c r="FP116" s="100">
        <f>OpCost!$E$38*FP$130</f>
        <v>184.8</v>
      </c>
      <c r="FQ116" s="100">
        <f>OpCost!$E$38*FQ$130</f>
        <v>190.95999999999998</v>
      </c>
      <c r="FR116" s="100">
        <f>OpCost!$E$38*FR$130</f>
        <v>190.95999999999998</v>
      </c>
      <c r="FS116" s="100">
        <f>OpCost!$E$38*FS$130</f>
        <v>172.48000000000002</v>
      </c>
      <c r="FT116" s="100">
        <f>OpCost!$E$38*FT$130</f>
        <v>190.95999999999998</v>
      </c>
      <c r="FU116" s="100">
        <f>OpCost!$E$38*FU$130</f>
        <v>184.8</v>
      </c>
      <c r="FV116" s="100">
        <f>OpCost!$E$38*FV$130</f>
        <v>190.95999999999998</v>
      </c>
      <c r="FW116" s="100">
        <f>OpCost!$E$38*FW$130</f>
        <v>184.8</v>
      </c>
      <c r="FX116" s="100">
        <f>OpCost!$E$38*FX$130</f>
        <v>190.95999999999998</v>
      </c>
      <c r="FY116" s="100">
        <f>OpCost!$E$38*FY$130</f>
        <v>190.95999999999998</v>
      </c>
      <c r="FZ116" s="100">
        <f>OpCost!$E$38*FZ$130</f>
        <v>184.8</v>
      </c>
      <c r="GA116" s="100">
        <f>OpCost!$E$38*GA$130</f>
        <v>190.95999999999998</v>
      </c>
      <c r="GB116" s="100">
        <f>OpCost!$E$38*GB$130</f>
        <v>184.8</v>
      </c>
      <c r="GC116" s="100">
        <f>OpCost!$E$38*GC$130</f>
        <v>190.95999999999998</v>
      </c>
    </row>
    <row r="117" spans="1:185">
      <c r="A117" s="10"/>
      <c r="B117" s="80" t="s">
        <v>147</v>
      </c>
      <c r="C117" s="80"/>
      <c r="D117" s="80"/>
      <c r="E117" s="82">
        <f t="shared" si="111"/>
        <v>97260.24000000002</v>
      </c>
      <c r="F117" s="100">
        <f>OpCost!$E$39*F$130</f>
        <v>0</v>
      </c>
      <c r="G117" s="100">
        <f>OpCost!$E$39*G$130</f>
        <v>0</v>
      </c>
      <c r="H117" s="100">
        <f>OpCost!$E$39*H$130</f>
        <v>0</v>
      </c>
      <c r="I117" s="100">
        <f>OpCost!$E$39*I$130</f>
        <v>0</v>
      </c>
      <c r="J117" s="100">
        <f>OpCost!$E$39*J$130</f>
        <v>0</v>
      </c>
      <c r="K117" s="100">
        <f>OpCost!$E$39*K$130</f>
        <v>0</v>
      </c>
      <c r="L117" s="100">
        <f>OpCost!$E$39*L$130</f>
        <v>0</v>
      </c>
      <c r="M117" s="100">
        <f>OpCost!$E$39*M$130</f>
        <v>572.87999999999988</v>
      </c>
      <c r="N117" s="100">
        <f>OpCost!$E$39*N$130</f>
        <v>554.4</v>
      </c>
      <c r="O117" s="100">
        <f>OpCost!$E$39*O$130</f>
        <v>572.87999999999988</v>
      </c>
      <c r="P117" s="100">
        <f>OpCost!$E$39*P$130</f>
        <v>554.4</v>
      </c>
      <c r="Q117" s="100">
        <f>OpCost!$E$39*Q$130</f>
        <v>572.87999999999988</v>
      </c>
      <c r="R117" s="100">
        <f>OpCost!$E$39*R$130</f>
        <v>572.87999999999988</v>
      </c>
      <c r="S117" s="100">
        <f>OpCost!$E$39*S$130</f>
        <v>517.43999999999994</v>
      </c>
      <c r="T117" s="100">
        <f>OpCost!$E$39*T$130</f>
        <v>572.87999999999988</v>
      </c>
      <c r="U117" s="100">
        <f>OpCost!$E$39*U$130</f>
        <v>554.4</v>
      </c>
      <c r="V117" s="100">
        <f>OpCost!$E$39*V$130</f>
        <v>572.87999999999988</v>
      </c>
      <c r="W117" s="100">
        <f>OpCost!$E$39*W$130</f>
        <v>554.4</v>
      </c>
      <c r="X117" s="100">
        <f>OpCost!$E$39*X$130</f>
        <v>572.87999999999988</v>
      </c>
      <c r="Y117" s="100">
        <f>OpCost!$E$39*Y$130</f>
        <v>572.87999999999988</v>
      </c>
      <c r="Z117" s="100">
        <f>OpCost!$E$39*Z$130</f>
        <v>554.4</v>
      </c>
      <c r="AA117" s="100">
        <f>OpCost!$E$39*AA$130</f>
        <v>572.87999999999988</v>
      </c>
      <c r="AB117" s="100">
        <f>OpCost!$E$39*AB$130</f>
        <v>554.4</v>
      </c>
      <c r="AC117" s="100">
        <f>OpCost!$E$39*AC$130</f>
        <v>572.87999999999988</v>
      </c>
      <c r="AD117" s="100">
        <f>OpCost!$E$39*AD$130</f>
        <v>572.87999999999988</v>
      </c>
      <c r="AE117" s="100">
        <f>OpCost!$E$39*AE$130</f>
        <v>517.43999999999994</v>
      </c>
      <c r="AF117" s="100">
        <f>OpCost!$E$39*AF$130</f>
        <v>572.87999999999988</v>
      </c>
      <c r="AG117" s="100">
        <f>OpCost!$E$39*AG$130</f>
        <v>554.4</v>
      </c>
      <c r="AH117" s="100">
        <f>OpCost!$E$39*AH$130</f>
        <v>572.87999999999988</v>
      </c>
      <c r="AI117" s="100">
        <f>OpCost!$E$39*AI$130</f>
        <v>554.4</v>
      </c>
      <c r="AJ117" s="100">
        <f>OpCost!$E$39*AJ$130</f>
        <v>572.87999999999988</v>
      </c>
      <c r="AK117" s="100">
        <f>OpCost!$E$39*AK$130</f>
        <v>572.87999999999988</v>
      </c>
      <c r="AL117" s="100">
        <f>OpCost!$E$39*AL$130</f>
        <v>554.4</v>
      </c>
      <c r="AM117" s="100">
        <f>OpCost!$E$39*AM$130</f>
        <v>572.87999999999988</v>
      </c>
      <c r="AN117" s="100">
        <f>OpCost!$E$39*AN$130</f>
        <v>554.4</v>
      </c>
      <c r="AO117" s="100">
        <f>OpCost!$E$39*AO$130</f>
        <v>572.87999999999988</v>
      </c>
      <c r="AP117" s="100">
        <f>OpCost!$E$39*AP$130</f>
        <v>572.87999999999988</v>
      </c>
      <c r="AQ117" s="100">
        <f>OpCost!$E$39*AQ$130</f>
        <v>517.43999999999994</v>
      </c>
      <c r="AR117" s="100">
        <f>OpCost!$E$39*AR$130</f>
        <v>572.87999999999988</v>
      </c>
      <c r="AS117" s="100">
        <f>OpCost!$E$39*AS$130</f>
        <v>554.4</v>
      </c>
      <c r="AT117" s="100">
        <f>OpCost!$E$39*AT$130</f>
        <v>572.87999999999988</v>
      </c>
      <c r="AU117" s="100">
        <f>OpCost!$E$39*AU$130</f>
        <v>554.4</v>
      </c>
      <c r="AV117" s="100">
        <f>OpCost!$E$39*AV$130</f>
        <v>572.87999999999988</v>
      </c>
      <c r="AW117" s="100">
        <f>OpCost!$E$39*AW$130</f>
        <v>572.87999999999988</v>
      </c>
      <c r="AX117" s="100">
        <f>OpCost!$E$39*AX$130</f>
        <v>554.4</v>
      </c>
      <c r="AY117" s="100">
        <f>OpCost!$E$39*AY$130</f>
        <v>572.87999999999988</v>
      </c>
      <c r="AZ117" s="100">
        <f>OpCost!$E$39*AZ$130</f>
        <v>554.4</v>
      </c>
      <c r="BA117" s="100">
        <f>OpCost!$E$39*BA$130</f>
        <v>572.87999999999988</v>
      </c>
      <c r="BB117" s="100">
        <f>OpCost!$E$39*BB$130</f>
        <v>572.87999999999988</v>
      </c>
      <c r="BC117" s="100">
        <f>OpCost!$E$39*BC$130</f>
        <v>517.43999999999994</v>
      </c>
      <c r="BD117" s="100">
        <f>OpCost!$E$39*BD$130</f>
        <v>572.87999999999988</v>
      </c>
      <c r="BE117" s="100">
        <f>OpCost!$E$39*BE$130</f>
        <v>554.4</v>
      </c>
      <c r="BF117" s="100">
        <f>OpCost!$E$39*BF$130</f>
        <v>572.87999999999988</v>
      </c>
      <c r="BG117" s="100">
        <f>OpCost!$E$39*BG$130</f>
        <v>554.4</v>
      </c>
      <c r="BH117" s="100">
        <f>OpCost!$E$39*BH$130</f>
        <v>572.87999999999988</v>
      </c>
      <c r="BI117" s="100">
        <f>OpCost!$E$39*BI$130</f>
        <v>572.87999999999988</v>
      </c>
      <c r="BJ117" s="100">
        <f>OpCost!$E$39*BJ$130</f>
        <v>554.4</v>
      </c>
      <c r="BK117" s="100">
        <f>OpCost!$E$39*BK$130</f>
        <v>572.87999999999988</v>
      </c>
      <c r="BL117" s="100">
        <f>OpCost!$E$39*BL$130</f>
        <v>554.4</v>
      </c>
      <c r="BM117" s="100">
        <f>OpCost!$E$39*BM$130</f>
        <v>572.87999999999988</v>
      </c>
      <c r="BN117" s="100">
        <f>OpCost!$E$39*BN$130</f>
        <v>572.87999999999988</v>
      </c>
      <c r="BO117" s="100">
        <f>OpCost!$E$39*BO$130</f>
        <v>517.43999999999994</v>
      </c>
      <c r="BP117" s="100">
        <f>OpCost!$E$39*BP$130</f>
        <v>572.87999999999988</v>
      </c>
      <c r="BQ117" s="100">
        <f>OpCost!$E$39*BQ$130</f>
        <v>554.4</v>
      </c>
      <c r="BR117" s="100">
        <f>OpCost!$E$39*BR$130</f>
        <v>572.87999999999988</v>
      </c>
      <c r="BS117" s="100">
        <f>OpCost!$E$39*BS$130</f>
        <v>554.4</v>
      </c>
      <c r="BT117" s="100">
        <f>OpCost!$E$39*BT$130</f>
        <v>572.87999999999988</v>
      </c>
      <c r="BU117" s="100">
        <f>OpCost!$E$39*BU$130</f>
        <v>572.87999999999988</v>
      </c>
      <c r="BV117" s="100">
        <f>OpCost!$E$39*BV$130</f>
        <v>554.4</v>
      </c>
      <c r="BW117" s="100">
        <f>OpCost!$E$39*BW$130</f>
        <v>572.87999999999988</v>
      </c>
      <c r="BX117" s="100">
        <f>OpCost!$E$39*BX$130</f>
        <v>554.4</v>
      </c>
      <c r="BY117" s="100">
        <f>OpCost!$E$39*BY$130</f>
        <v>572.87999999999988</v>
      </c>
      <c r="BZ117" s="100">
        <f>OpCost!$E$39*BZ$130</f>
        <v>572.87999999999988</v>
      </c>
      <c r="CA117" s="100">
        <f>OpCost!$E$39*CA$130</f>
        <v>517.43999999999994</v>
      </c>
      <c r="CB117" s="100">
        <f>OpCost!$E$39*CB$130</f>
        <v>572.87999999999988</v>
      </c>
      <c r="CC117" s="100">
        <f>OpCost!$E$39*CC$130</f>
        <v>554.4</v>
      </c>
      <c r="CD117" s="100">
        <f>OpCost!$E$39*CD$130</f>
        <v>572.87999999999988</v>
      </c>
      <c r="CE117" s="100">
        <f>OpCost!$E$39*CE$130</f>
        <v>554.4</v>
      </c>
      <c r="CF117" s="100">
        <f>OpCost!$E$39*CF$130</f>
        <v>572.87999999999988</v>
      </c>
      <c r="CG117" s="100">
        <f>OpCost!$E$39*CG$130</f>
        <v>572.87999999999988</v>
      </c>
      <c r="CH117" s="100">
        <f>OpCost!$E$39*CH$130</f>
        <v>554.4</v>
      </c>
      <c r="CI117" s="100">
        <f>OpCost!$E$39*CI$130</f>
        <v>572.87999999999988</v>
      </c>
      <c r="CJ117" s="100">
        <f>OpCost!$E$39*CJ$130</f>
        <v>554.4</v>
      </c>
      <c r="CK117" s="100">
        <f>OpCost!$E$39*CK$130</f>
        <v>572.87999999999988</v>
      </c>
      <c r="CL117" s="100">
        <f>OpCost!$E$39*CL$130</f>
        <v>572.87999999999988</v>
      </c>
      <c r="CM117" s="100">
        <f>OpCost!$E$39*CM$130</f>
        <v>517.43999999999994</v>
      </c>
      <c r="CN117" s="100">
        <f>OpCost!$E$39*CN$130</f>
        <v>572.87999999999988</v>
      </c>
      <c r="CO117" s="100">
        <f>OpCost!$E$39*CO$130</f>
        <v>554.4</v>
      </c>
      <c r="CP117" s="100">
        <f>OpCost!$E$39*CP$130</f>
        <v>572.87999999999988</v>
      </c>
      <c r="CQ117" s="100">
        <f>OpCost!$E$39*CQ$130</f>
        <v>554.4</v>
      </c>
      <c r="CR117" s="100">
        <f>OpCost!$E$39*CR$130</f>
        <v>572.87999999999988</v>
      </c>
      <c r="CS117" s="100">
        <f>OpCost!$E$39*CS$130</f>
        <v>572.87999999999988</v>
      </c>
      <c r="CT117" s="100">
        <f>OpCost!$E$39*CT$130</f>
        <v>554.4</v>
      </c>
      <c r="CU117" s="100">
        <f>OpCost!$E$39*CU$130</f>
        <v>572.87999999999988</v>
      </c>
      <c r="CV117" s="100">
        <f>OpCost!$E$39*CV$130</f>
        <v>554.4</v>
      </c>
      <c r="CW117" s="100">
        <f>OpCost!$E$39*CW$130</f>
        <v>572.87999999999988</v>
      </c>
      <c r="CX117" s="100">
        <f>OpCost!$E$39*CX$130</f>
        <v>572.87999999999988</v>
      </c>
      <c r="CY117" s="100">
        <f>OpCost!$E$39*CY$130</f>
        <v>517.43999999999994</v>
      </c>
      <c r="CZ117" s="100">
        <f>OpCost!$E$39*CZ$130</f>
        <v>572.87999999999988</v>
      </c>
      <c r="DA117" s="100">
        <f>OpCost!$E$39*DA$130</f>
        <v>554.4</v>
      </c>
      <c r="DB117" s="100">
        <f>OpCost!$E$39*DB$130</f>
        <v>572.87999999999988</v>
      </c>
      <c r="DC117" s="100">
        <f>OpCost!$E$39*DC$130</f>
        <v>554.4</v>
      </c>
      <c r="DD117" s="100">
        <f>OpCost!$E$39*DD$130</f>
        <v>572.87999999999988</v>
      </c>
      <c r="DE117" s="100">
        <f>OpCost!$E$39*DE$130</f>
        <v>572.87999999999988</v>
      </c>
      <c r="DF117" s="100">
        <f>OpCost!$E$39*DF$130</f>
        <v>554.4</v>
      </c>
      <c r="DG117" s="100">
        <f>OpCost!$E$39*DG$130</f>
        <v>572.87999999999988</v>
      </c>
      <c r="DH117" s="100">
        <f>OpCost!$E$39*DH$130</f>
        <v>554.4</v>
      </c>
      <c r="DI117" s="100">
        <f>OpCost!$E$39*DI$130</f>
        <v>572.87999999999988</v>
      </c>
      <c r="DJ117" s="100">
        <f>OpCost!$E$39*DJ$130</f>
        <v>572.87999999999988</v>
      </c>
      <c r="DK117" s="100">
        <f>OpCost!$E$39*DK$130</f>
        <v>517.43999999999994</v>
      </c>
      <c r="DL117" s="100">
        <f>OpCost!$E$39*DL$130</f>
        <v>572.87999999999988</v>
      </c>
      <c r="DM117" s="100">
        <f>OpCost!$E$39*DM$130</f>
        <v>554.4</v>
      </c>
      <c r="DN117" s="100">
        <f>OpCost!$E$39*DN$130</f>
        <v>572.87999999999988</v>
      </c>
      <c r="DO117" s="100">
        <f>OpCost!$E$39*DO$130</f>
        <v>554.4</v>
      </c>
      <c r="DP117" s="100">
        <f>OpCost!$E$39*DP$130</f>
        <v>572.87999999999988</v>
      </c>
      <c r="DQ117" s="100">
        <f>OpCost!$E$39*DQ$130</f>
        <v>572.87999999999988</v>
      </c>
      <c r="DR117" s="100">
        <f>OpCost!$E$39*DR$130</f>
        <v>554.4</v>
      </c>
      <c r="DS117" s="100">
        <f>OpCost!$E$39*DS$130</f>
        <v>572.87999999999988</v>
      </c>
      <c r="DT117" s="100">
        <f>OpCost!$E$39*DT$130</f>
        <v>554.4</v>
      </c>
      <c r="DU117" s="100">
        <f>OpCost!$E$39*DU$130</f>
        <v>572.87999999999988</v>
      </c>
      <c r="DV117" s="100">
        <f>OpCost!$E$39*DV$130</f>
        <v>572.87999999999988</v>
      </c>
      <c r="DW117" s="100">
        <f>OpCost!$E$39*DW$130</f>
        <v>517.43999999999994</v>
      </c>
      <c r="DX117" s="100">
        <f>OpCost!$E$39*DX$130</f>
        <v>572.87999999999988</v>
      </c>
      <c r="DY117" s="100">
        <f>OpCost!$E$39*DY$130</f>
        <v>554.4</v>
      </c>
      <c r="DZ117" s="100">
        <f>OpCost!$E$39*DZ$130</f>
        <v>572.87999999999988</v>
      </c>
      <c r="EA117" s="100">
        <f>OpCost!$E$39*EA$130</f>
        <v>554.4</v>
      </c>
      <c r="EB117" s="100">
        <f>OpCost!$E$39*EB$130</f>
        <v>572.87999999999988</v>
      </c>
      <c r="EC117" s="100">
        <f>OpCost!$E$39*EC$130</f>
        <v>572.87999999999988</v>
      </c>
      <c r="ED117" s="100">
        <f>OpCost!$E$39*ED$130</f>
        <v>554.4</v>
      </c>
      <c r="EE117" s="100">
        <f>OpCost!$E$39*EE$130</f>
        <v>572.87999999999988</v>
      </c>
      <c r="EF117" s="100">
        <f>OpCost!$E$39*EF$130</f>
        <v>554.4</v>
      </c>
      <c r="EG117" s="100">
        <f>OpCost!$E$39*EG$130</f>
        <v>572.87999999999988</v>
      </c>
      <c r="EH117" s="100">
        <f>OpCost!$E$39*EH$130</f>
        <v>572.87999999999988</v>
      </c>
      <c r="EI117" s="100">
        <f>OpCost!$E$39*EI$130</f>
        <v>517.43999999999994</v>
      </c>
      <c r="EJ117" s="100">
        <f>OpCost!$E$39*EJ$130</f>
        <v>572.87999999999988</v>
      </c>
      <c r="EK117" s="100">
        <f>OpCost!$E$39*EK$130</f>
        <v>554.4</v>
      </c>
      <c r="EL117" s="100">
        <f>OpCost!$E$39*EL$130</f>
        <v>572.87999999999988</v>
      </c>
      <c r="EM117" s="100">
        <f>OpCost!$E$39*EM$130</f>
        <v>554.4</v>
      </c>
      <c r="EN117" s="100">
        <f>OpCost!$E$39*EN$130</f>
        <v>572.87999999999988</v>
      </c>
      <c r="EO117" s="100">
        <f>OpCost!$E$39*EO$130</f>
        <v>572.87999999999988</v>
      </c>
      <c r="EP117" s="100">
        <f>OpCost!$E$39*EP$130</f>
        <v>554.4</v>
      </c>
      <c r="EQ117" s="100">
        <f>OpCost!$E$39*EQ$130</f>
        <v>572.87999999999988</v>
      </c>
      <c r="ER117" s="100">
        <f>OpCost!$E$39*ER$130</f>
        <v>554.4</v>
      </c>
      <c r="ES117" s="100">
        <f>OpCost!$E$39*ES$130</f>
        <v>572.87999999999988</v>
      </c>
      <c r="ET117" s="100">
        <f>OpCost!$E$39*ET$130</f>
        <v>572.87999999999988</v>
      </c>
      <c r="EU117" s="100">
        <f>OpCost!$E$39*EU$130</f>
        <v>517.43999999999994</v>
      </c>
      <c r="EV117" s="100">
        <f>OpCost!$E$39*EV$130</f>
        <v>572.87999999999988</v>
      </c>
      <c r="EW117" s="100">
        <f>OpCost!$E$39*EW$130</f>
        <v>554.4</v>
      </c>
      <c r="EX117" s="100">
        <f>OpCost!$E$39*EX$130</f>
        <v>572.87999999999988</v>
      </c>
      <c r="EY117" s="100">
        <f>OpCost!$E$39*EY$130</f>
        <v>554.4</v>
      </c>
      <c r="EZ117" s="100">
        <f>OpCost!$E$39*EZ$130</f>
        <v>572.87999999999988</v>
      </c>
      <c r="FA117" s="100">
        <f>OpCost!$E$39*FA$130</f>
        <v>572.87999999999988</v>
      </c>
      <c r="FB117" s="100">
        <f>OpCost!$E$39*FB$130</f>
        <v>554.4</v>
      </c>
      <c r="FC117" s="100">
        <f>OpCost!$E$39*FC$130</f>
        <v>572.87999999999988</v>
      </c>
      <c r="FD117" s="100">
        <f>OpCost!$E$39*FD$130</f>
        <v>554.4</v>
      </c>
      <c r="FE117" s="100">
        <f>OpCost!$E$39*FE$130</f>
        <v>572.87999999999988</v>
      </c>
      <c r="FF117" s="100">
        <f>OpCost!$E$39*FF$130</f>
        <v>572.87999999999988</v>
      </c>
      <c r="FG117" s="100">
        <f>OpCost!$E$39*FG$130</f>
        <v>517.43999999999994</v>
      </c>
      <c r="FH117" s="100">
        <f>OpCost!$E$39*FH$130</f>
        <v>572.87999999999988</v>
      </c>
      <c r="FI117" s="100">
        <f>OpCost!$E$39*FI$130</f>
        <v>554.4</v>
      </c>
      <c r="FJ117" s="100">
        <f>OpCost!$E$39*FJ$130</f>
        <v>572.87999999999988</v>
      </c>
      <c r="FK117" s="100">
        <f>OpCost!$E$39*FK$130</f>
        <v>554.4</v>
      </c>
      <c r="FL117" s="100">
        <f>OpCost!$E$39*FL$130</f>
        <v>572.87999999999988</v>
      </c>
      <c r="FM117" s="100">
        <f>OpCost!$E$39*FM$130</f>
        <v>572.87999999999988</v>
      </c>
      <c r="FN117" s="100">
        <f>OpCost!$E$39*FN$130</f>
        <v>554.4</v>
      </c>
      <c r="FO117" s="100">
        <f>OpCost!$E$39*FO$130</f>
        <v>572.87999999999988</v>
      </c>
      <c r="FP117" s="100">
        <f>OpCost!$E$39*FP$130</f>
        <v>554.4</v>
      </c>
      <c r="FQ117" s="100">
        <f>OpCost!$E$39*FQ$130</f>
        <v>572.87999999999988</v>
      </c>
      <c r="FR117" s="100">
        <f>OpCost!$E$39*FR$130</f>
        <v>572.87999999999988</v>
      </c>
      <c r="FS117" s="100">
        <f>OpCost!$E$39*FS$130</f>
        <v>517.43999999999994</v>
      </c>
      <c r="FT117" s="100">
        <f>OpCost!$E$39*FT$130</f>
        <v>572.87999999999988</v>
      </c>
      <c r="FU117" s="100">
        <f>OpCost!$E$39*FU$130</f>
        <v>554.4</v>
      </c>
      <c r="FV117" s="100">
        <f>OpCost!$E$39*FV$130</f>
        <v>572.87999999999988</v>
      </c>
      <c r="FW117" s="100">
        <f>OpCost!$E$39*FW$130</f>
        <v>554.4</v>
      </c>
      <c r="FX117" s="100">
        <f>OpCost!$E$39*FX$130</f>
        <v>572.87999999999988</v>
      </c>
      <c r="FY117" s="100">
        <f>OpCost!$E$39*FY$130</f>
        <v>572.87999999999988</v>
      </c>
      <c r="FZ117" s="100">
        <f>OpCost!$E$39*FZ$130</f>
        <v>554.4</v>
      </c>
      <c r="GA117" s="100">
        <f>OpCost!$E$39*GA$130</f>
        <v>572.87999999999988</v>
      </c>
      <c r="GB117" s="100">
        <f>OpCost!$E$39*GB$130</f>
        <v>554.4</v>
      </c>
      <c r="GC117" s="100">
        <f>OpCost!$E$39*GC$130</f>
        <v>572.87999999999988</v>
      </c>
    </row>
    <row r="118" spans="1:185">
      <c r="A118" s="10"/>
      <c r="B118" s="80" t="s">
        <v>148</v>
      </c>
      <c r="C118" s="80"/>
      <c r="D118" s="80"/>
      <c r="E118" s="82">
        <f t="shared" si="111"/>
        <v>105365.25999999997</v>
      </c>
      <c r="F118" s="100">
        <f>OpCost!$E$40*F$130</f>
        <v>0</v>
      </c>
      <c r="G118" s="100">
        <f>OpCost!$E$40*G$130</f>
        <v>0</v>
      </c>
      <c r="H118" s="100">
        <f>OpCost!$E$40*H$130</f>
        <v>0</v>
      </c>
      <c r="I118" s="100">
        <f>OpCost!$E$40*I$130</f>
        <v>0</v>
      </c>
      <c r="J118" s="100">
        <f>OpCost!$E$40*J$130</f>
        <v>0</v>
      </c>
      <c r="K118" s="100">
        <f>OpCost!$E$40*K$130</f>
        <v>0</v>
      </c>
      <c r="L118" s="100">
        <f>OpCost!$E$40*L$130</f>
        <v>0</v>
      </c>
      <c r="M118" s="100">
        <f>OpCost!$E$40*M$130</f>
        <v>620.62</v>
      </c>
      <c r="N118" s="100">
        <f>OpCost!$E$40*N$130</f>
        <v>600.6</v>
      </c>
      <c r="O118" s="100">
        <f>OpCost!$E$40*O$130</f>
        <v>620.62</v>
      </c>
      <c r="P118" s="100">
        <f>OpCost!$E$40*P$130</f>
        <v>600.6</v>
      </c>
      <c r="Q118" s="100">
        <f>OpCost!$E$40*Q$130</f>
        <v>620.62</v>
      </c>
      <c r="R118" s="100">
        <f>OpCost!$E$40*R$130</f>
        <v>620.62</v>
      </c>
      <c r="S118" s="100">
        <f>OpCost!$E$40*S$130</f>
        <v>560.56000000000006</v>
      </c>
      <c r="T118" s="100">
        <f>OpCost!$E$40*T$130</f>
        <v>620.62</v>
      </c>
      <c r="U118" s="100">
        <f>OpCost!$E$40*U$130</f>
        <v>600.6</v>
      </c>
      <c r="V118" s="100">
        <f>OpCost!$E$40*V$130</f>
        <v>620.62</v>
      </c>
      <c r="W118" s="100">
        <f>OpCost!$E$40*W$130</f>
        <v>600.6</v>
      </c>
      <c r="X118" s="100">
        <f>OpCost!$E$40*X$130</f>
        <v>620.62</v>
      </c>
      <c r="Y118" s="100">
        <f>OpCost!$E$40*Y$130</f>
        <v>620.62</v>
      </c>
      <c r="Z118" s="100">
        <f>OpCost!$E$40*Z$130</f>
        <v>600.6</v>
      </c>
      <c r="AA118" s="100">
        <f>OpCost!$E$40*AA$130</f>
        <v>620.62</v>
      </c>
      <c r="AB118" s="100">
        <f>OpCost!$E$40*AB$130</f>
        <v>600.6</v>
      </c>
      <c r="AC118" s="100">
        <f>OpCost!$E$40*AC$130</f>
        <v>620.62</v>
      </c>
      <c r="AD118" s="100">
        <f>OpCost!$E$40*AD$130</f>
        <v>620.62</v>
      </c>
      <c r="AE118" s="100">
        <f>OpCost!$E$40*AE$130</f>
        <v>560.56000000000006</v>
      </c>
      <c r="AF118" s="100">
        <f>OpCost!$E$40*AF$130</f>
        <v>620.62</v>
      </c>
      <c r="AG118" s="100">
        <f>OpCost!$E$40*AG$130</f>
        <v>600.6</v>
      </c>
      <c r="AH118" s="100">
        <f>OpCost!$E$40*AH$130</f>
        <v>620.62</v>
      </c>
      <c r="AI118" s="100">
        <f>OpCost!$E$40*AI$130</f>
        <v>600.6</v>
      </c>
      <c r="AJ118" s="100">
        <f>OpCost!$E$40*AJ$130</f>
        <v>620.62</v>
      </c>
      <c r="AK118" s="100">
        <f>OpCost!$E$40*AK$130</f>
        <v>620.62</v>
      </c>
      <c r="AL118" s="100">
        <f>OpCost!$E$40*AL$130</f>
        <v>600.6</v>
      </c>
      <c r="AM118" s="100">
        <f>OpCost!$E$40*AM$130</f>
        <v>620.62</v>
      </c>
      <c r="AN118" s="100">
        <f>OpCost!$E$40*AN$130</f>
        <v>600.6</v>
      </c>
      <c r="AO118" s="100">
        <f>OpCost!$E$40*AO$130</f>
        <v>620.62</v>
      </c>
      <c r="AP118" s="100">
        <f>OpCost!$E$40*AP$130</f>
        <v>620.62</v>
      </c>
      <c r="AQ118" s="100">
        <f>OpCost!$E$40*AQ$130</f>
        <v>560.56000000000006</v>
      </c>
      <c r="AR118" s="100">
        <f>OpCost!$E$40*AR$130</f>
        <v>620.62</v>
      </c>
      <c r="AS118" s="100">
        <f>OpCost!$E$40*AS$130</f>
        <v>600.6</v>
      </c>
      <c r="AT118" s="100">
        <f>OpCost!$E$40*AT$130</f>
        <v>620.62</v>
      </c>
      <c r="AU118" s="100">
        <f>OpCost!$E$40*AU$130</f>
        <v>600.6</v>
      </c>
      <c r="AV118" s="100">
        <f>OpCost!$E$40*AV$130</f>
        <v>620.62</v>
      </c>
      <c r="AW118" s="100">
        <f>OpCost!$E$40*AW$130</f>
        <v>620.62</v>
      </c>
      <c r="AX118" s="100">
        <f>OpCost!$E$40*AX$130</f>
        <v>600.6</v>
      </c>
      <c r="AY118" s="100">
        <f>OpCost!$E$40*AY$130</f>
        <v>620.62</v>
      </c>
      <c r="AZ118" s="100">
        <f>OpCost!$E$40*AZ$130</f>
        <v>600.6</v>
      </c>
      <c r="BA118" s="100">
        <f>OpCost!$E$40*BA$130</f>
        <v>620.62</v>
      </c>
      <c r="BB118" s="100">
        <f>OpCost!$E$40*BB$130</f>
        <v>620.62</v>
      </c>
      <c r="BC118" s="100">
        <f>OpCost!$E$40*BC$130</f>
        <v>560.56000000000006</v>
      </c>
      <c r="BD118" s="100">
        <f>OpCost!$E$40*BD$130</f>
        <v>620.62</v>
      </c>
      <c r="BE118" s="100">
        <f>OpCost!$E$40*BE$130</f>
        <v>600.6</v>
      </c>
      <c r="BF118" s="100">
        <f>OpCost!$E$40*BF$130</f>
        <v>620.62</v>
      </c>
      <c r="BG118" s="100">
        <f>OpCost!$E$40*BG$130</f>
        <v>600.6</v>
      </c>
      <c r="BH118" s="100">
        <f>OpCost!$E$40*BH$130</f>
        <v>620.62</v>
      </c>
      <c r="BI118" s="100">
        <f>OpCost!$E$40*BI$130</f>
        <v>620.62</v>
      </c>
      <c r="BJ118" s="100">
        <f>OpCost!$E$40*BJ$130</f>
        <v>600.6</v>
      </c>
      <c r="BK118" s="100">
        <f>OpCost!$E$40*BK$130</f>
        <v>620.62</v>
      </c>
      <c r="BL118" s="100">
        <f>OpCost!$E$40*BL$130</f>
        <v>600.6</v>
      </c>
      <c r="BM118" s="100">
        <f>OpCost!$E$40*BM$130</f>
        <v>620.62</v>
      </c>
      <c r="BN118" s="100">
        <f>OpCost!$E$40*BN$130</f>
        <v>620.62</v>
      </c>
      <c r="BO118" s="100">
        <f>OpCost!$E$40*BO$130</f>
        <v>560.56000000000006</v>
      </c>
      <c r="BP118" s="100">
        <f>OpCost!$E$40*BP$130</f>
        <v>620.62</v>
      </c>
      <c r="BQ118" s="100">
        <f>OpCost!$E$40*BQ$130</f>
        <v>600.6</v>
      </c>
      <c r="BR118" s="100">
        <f>OpCost!$E$40*BR$130</f>
        <v>620.62</v>
      </c>
      <c r="BS118" s="100">
        <f>OpCost!$E$40*BS$130</f>
        <v>600.6</v>
      </c>
      <c r="BT118" s="100">
        <f>OpCost!$E$40*BT$130</f>
        <v>620.62</v>
      </c>
      <c r="BU118" s="100">
        <f>OpCost!$E$40*BU$130</f>
        <v>620.62</v>
      </c>
      <c r="BV118" s="100">
        <f>OpCost!$E$40*BV$130</f>
        <v>600.6</v>
      </c>
      <c r="BW118" s="100">
        <f>OpCost!$E$40*BW$130</f>
        <v>620.62</v>
      </c>
      <c r="BX118" s="100">
        <f>OpCost!$E$40*BX$130</f>
        <v>600.6</v>
      </c>
      <c r="BY118" s="100">
        <f>OpCost!$E$40*BY$130</f>
        <v>620.62</v>
      </c>
      <c r="BZ118" s="100">
        <f>OpCost!$E$40*BZ$130</f>
        <v>620.62</v>
      </c>
      <c r="CA118" s="100">
        <f>OpCost!$E$40*CA$130</f>
        <v>560.56000000000006</v>
      </c>
      <c r="CB118" s="100">
        <f>OpCost!$E$40*CB$130</f>
        <v>620.62</v>
      </c>
      <c r="CC118" s="100">
        <f>OpCost!$E$40*CC$130</f>
        <v>600.6</v>
      </c>
      <c r="CD118" s="100">
        <f>OpCost!$E$40*CD$130</f>
        <v>620.62</v>
      </c>
      <c r="CE118" s="100">
        <f>OpCost!$E$40*CE$130</f>
        <v>600.6</v>
      </c>
      <c r="CF118" s="100">
        <f>OpCost!$E$40*CF$130</f>
        <v>620.62</v>
      </c>
      <c r="CG118" s="100">
        <f>OpCost!$E$40*CG$130</f>
        <v>620.62</v>
      </c>
      <c r="CH118" s="100">
        <f>OpCost!$E$40*CH$130</f>
        <v>600.6</v>
      </c>
      <c r="CI118" s="100">
        <f>OpCost!$E$40*CI$130</f>
        <v>620.62</v>
      </c>
      <c r="CJ118" s="100">
        <f>OpCost!$E$40*CJ$130</f>
        <v>600.6</v>
      </c>
      <c r="CK118" s="100">
        <f>OpCost!$E$40*CK$130</f>
        <v>620.62</v>
      </c>
      <c r="CL118" s="100">
        <f>OpCost!$E$40*CL$130</f>
        <v>620.62</v>
      </c>
      <c r="CM118" s="100">
        <f>OpCost!$E$40*CM$130</f>
        <v>560.56000000000006</v>
      </c>
      <c r="CN118" s="100">
        <f>OpCost!$E$40*CN$130</f>
        <v>620.62</v>
      </c>
      <c r="CO118" s="100">
        <f>OpCost!$E$40*CO$130</f>
        <v>600.6</v>
      </c>
      <c r="CP118" s="100">
        <f>OpCost!$E$40*CP$130</f>
        <v>620.62</v>
      </c>
      <c r="CQ118" s="100">
        <f>OpCost!$E$40*CQ$130</f>
        <v>600.6</v>
      </c>
      <c r="CR118" s="100">
        <f>OpCost!$E$40*CR$130</f>
        <v>620.62</v>
      </c>
      <c r="CS118" s="100">
        <f>OpCost!$E$40*CS$130</f>
        <v>620.62</v>
      </c>
      <c r="CT118" s="100">
        <f>OpCost!$E$40*CT$130</f>
        <v>600.6</v>
      </c>
      <c r="CU118" s="100">
        <f>OpCost!$E$40*CU$130</f>
        <v>620.62</v>
      </c>
      <c r="CV118" s="100">
        <f>OpCost!$E$40*CV$130</f>
        <v>600.6</v>
      </c>
      <c r="CW118" s="100">
        <f>OpCost!$E$40*CW$130</f>
        <v>620.62</v>
      </c>
      <c r="CX118" s="100">
        <f>OpCost!$E$40*CX$130</f>
        <v>620.62</v>
      </c>
      <c r="CY118" s="100">
        <f>OpCost!$E$40*CY$130</f>
        <v>560.56000000000006</v>
      </c>
      <c r="CZ118" s="100">
        <f>OpCost!$E$40*CZ$130</f>
        <v>620.62</v>
      </c>
      <c r="DA118" s="100">
        <f>OpCost!$E$40*DA$130</f>
        <v>600.6</v>
      </c>
      <c r="DB118" s="100">
        <f>OpCost!$E$40*DB$130</f>
        <v>620.62</v>
      </c>
      <c r="DC118" s="100">
        <f>OpCost!$E$40*DC$130</f>
        <v>600.6</v>
      </c>
      <c r="DD118" s="100">
        <f>OpCost!$E$40*DD$130</f>
        <v>620.62</v>
      </c>
      <c r="DE118" s="100">
        <f>OpCost!$E$40*DE$130</f>
        <v>620.62</v>
      </c>
      <c r="DF118" s="100">
        <f>OpCost!$E$40*DF$130</f>
        <v>600.6</v>
      </c>
      <c r="DG118" s="100">
        <f>OpCost!$E$40*DG$130</f>
        <v>620.62</v>
      </c>
      <c r="DH118" s="100">
        <f>OpCost!$E$40*DH$130</f>
        <v>600.6</v>
      </c>
      <c r="DI118" s="100">
        <f>OpCost!$E$40*DI$130</f>
        <v>620.62</v>
      </c>
      <c r="DJ118" s="100">
        <f>OpCost!$E$40*DJ$130</f>
        <v>620.62</v>
      </c>
      <c r="DK118" s="100">
        <f>OpCost!$E$40*DK$130</f>
        <v>560.56000000000006</v>
      </c>
      <c r="DL118" s="100">
        <f>OpCost!$E$40*DL$130</f>
        <v>620.62</v>
      </c>
      <c r="DM118" s="100">
        <f>OpCost!$E$40*DM$130</f>
        <v>600.6</v>
      </c>
      <c r="DN118" s="100">
        <f>OpCost!$E$40*DN$130</f>
        <v>620.62</v>
      </c>
      <c r="DO118" s="100">
        <f>OpCost!$E$40*DO$130</f>
        <v>600.6</v>
      </c>
      <c r="DP118" s="100">
        <f>OpCost!$E$40*DP$130</f>
        <v>620.62</v>
      </c>
      <c r="DQ118" s="100">
        <f>OpCost!$E$40*DQ$130</f>
        <v>620.62</v>
      </c>
      <c r="DR118" s="100">
        <f>OpCost!$E$40*DR$130</f>
        <v>600.6</v>
      </c>
      <c r="DS118" s="100">
        <f>OpCost!$E$40*DS$130</f>
        <v>620.62</v>
      </c>
      <c r="DT118" s="100">
        <f>OpCost!$E$40*DT$130</f>
        <v>600.6</v>
      </c>
      <c r="DU118" s="100">
        <f>OpCost!$E$40*DU$130</f>
        <v>620.62</v>
      </c>
      <c r="DV118" s="100">
        <f>OpCost!$E$40*DV$130</f>
        <v>620.62</v>
      </c>
      <c r="DW118" s="100">
        <f>OpCost!$E$40*DW$130</f>
        <v>560.56000000000006</v>
      </c>
      <c r="DX118" s="100">
        <f>OpCost!$E$40*DX$130</f>
        <v>620.62</v>
      </c>
      <c r="DY118" s="100">
        <f>OpCost!$E$40*DY$130</f>
        <v>600.6</v>
      </c>
      <c r="DZ118" s="100">
        <f>OpCost!$E$40*DZ$130</f>
        <v>620.62</v>
      </c>
      <c r="EA118" s="100">
        <f>OpCost!$E$40*EA$130</f>
        <v>600.6</v>
      </c>
      <c r="EB118" s="100">
        <f>OpCost!$E$40*EB$130</f>
        <v>620.62</v>
      </c>
      <c r="EC118" s="100">
        <f>OpCost!$E$40*EC$130</f>
        <v>620.62</v>
      </c>
      <c r="ED118" s="100">
        <f>OpCost!$E$40*ED$130</f>
        <v>600.6</v>
      </c>
      <c r="EE118" s="100">
        <f>OpCost!$E$40*EE$130</f>
        <v>620.62</v>
      </c>
      <c r="EF118" s="100">
        <f>OpCost!$E$40*EF$130</f>
        <v>600.6</v>
      </c>
      <c r="EG118" s="100">
        <f>OpCost!$E$40*EG$130</f>
        <v>620.62</v>
      </c>
      <c r="EH118" s="100">
        <f>OpCost!$E$40*EH$130</f>
        <v>620.62</v>
      </c>
      <c r="EI118" s="100">
        <f>OpCost!$E$40*EI$130</f>
        <v>560.56000000000006</v>
      </c>
      <c r="EJ118" s="100">
        <f>OpCost!$E$40*EJ$130</f>
        <v>620.62</v>
      </c>
      <c r="EK118" s="100">
        <f>OpCost!$E$40*EK$130</f>
        <v>600.6</v>
      </c>
      <c r="EL118" s="100">
        <f>OpCost!$E$40*EL$130</f>
        <v>620.62</v>
      </c>
      <c r="EM118" s="100">
        <f>OpCost!$E$40*EM$130</f>
        <v>600.6</v>
      </c>
      <c r="EN118" s="100">
        <f>OpCost!$E$40*EN$130</f>
        <v>620.62</v>
      </c>
      <c r="EO118" s="100">
        <f>OpCost!$E$40*EO$130</f>
        <v>620.62</v>
      </c>
      <c r="EP118" s="100">
        <f>OpCost!$E$40*EP$130</f>
        <v>600.6</v>
      </c>
      <c r="EQ118" s="100">
        <f>OpCost!$E$40*EQ$130</f>
        <v>620.62</v>
      </c>
      <c r="ER118" s="100">
        <f>OpCost!$E$40*ER$130</f>
        <v>600.6</v>
      </c>
      <c r="ES118" s="100">
        <f>OpCost!$E$40*ES$130</f>
        <v>620.62</v>
      </c>
      <c r="ET118" s="100">
        <f>OpCost!$E$40*ET$130</f>
        <v>620.62</v>
      </c>
      <c r="EU118" s="100">
        <f>OpCost!$E$40*EU$130</f>
        <v>560.56000000000006</v>
      </c>
      <c r="EV118" s="100">
        <f>OpCost!$E$40*EV$130</f>
        <v>620.62</v>
      </c>
      <c r="EW118" s="100">
        <f>OpCost!$E$40*EW$130</f>
        <v>600.6</v>
      </c>
      <c r="EX118" s="100">
        <f>OpCost!$E$40*EX$130</f>
        <v>620.62</v>
      </c>
      <c r="EY118" s="100">
        <f>OpCost!$E$40*EY$130</f>
        <v>600.6</v>
      </c>
      <c r="EZ118" s="100">
        <f>OpCost!$E$40*EZ$130</f>
        <v>620.62</v>
      </c>
      <c r="FA118" s="100">
        <f>OpCost!$E$40*FA$130</f>
        <v>620.62</v>
      </c>
      <c r="FB118" s="100">
        <f>OpCost!$E$40*FB$130</f>
        <v>600.6</v>
      </c>
      <c r="FC118" s="100">
        <f>OpCost!$E$40*FC$130</f>
        <v>620.62</v>
      </c>
      <c r="FD118" s="100">
        <f>OpCost!$E$40*FD$130</f>
        <v>600.6</v>
      </c>
      <c r="FE118" s="100">
        <f>OpCost!$E$40*FE$130</f>
        <v>620.62</v>
      </c>
      <c r="FF118" s="100">
        <f>OpCost!$E$40*FF$130</f>
        <v>620.62</v>
      </c>
      <c r="FG118" s="100">
        <f>OpCost!$E$40*FG$130</f>
        <v>560.56000000000006</v>
      </c>
      <c r="FH118" s="100">
        <f>OpCost!$E$40*FH$130</f>
        <v>620.62</v>
      </c>
      <c r="FI118" s="100">
        <f>OpCost!$E$40*FI$130</f>
        <v>600.6</v>
      </c>
      <c r="FJ118" s="100">
        <f>OpCost!$E$40*FJ$130</f>
        <v>620.62</v>
      </c>
      <c r="FK118" s="100">
        <f>OpCost!$E$40*FK$130</f>
        <v>600.6</v>
      </c>
      <c r="FL118" s="100">
        <f>OpCost!$E$40*FL$130</f>
        <v>620.62</v>
      </c>
      <c r="FM118" s="100">
        <f>OpCost!$E$40*FM$130</f>
        <v>620.62</v>
      </c>
      <c r="FN118" s="100">
        <f>OpCost!$E$40*FN$130</f>
        <v>600.6</v>
      </c>
      <c r="FO118" s="100">
        <f>OpCost!$E$40*FO$130</f>
        <v>620.62</v>
      </c>
      <c r="FP118" s="100">
        <f>OpCost!$E$40*FP$130</f>
        <v>600.6</v>
      </c>
      <c r="FQ118" s="100">
        <f>OpCost!$E$40*FQ$130</f>
        <v>620.62</v>
      </c>
      <c r="FR118" s="100">
        <f>OpCost!$E$40*FR$130</f>
        <v>620.62</v>
      </c>
      <c r="FS118" s="100">
        <f>OpCost!$E$40*FS$130</f>
        <v>560.56000000000006</v>
      </c>
      <c r="FT118" s="100">
        <f>OpCost!$E$40*FT$130</f>
        <v>620.62</v>
      </c>
      <c r="FU118" s="100">
        <f>OpCost!$E$40*FU$130</f>
        <v>600.6</v>
      </c>
      <c r="FV118" s="100">
        <f>OpCost!$E$40*FV$130</f>
        <v>620.62</v>
      </c>
      <c r="FW118" s="100">
        <f>OpCost!$E$40*FW$130</f>
        <v>600.6</v>
      </c>
      <c r="FX118" s="100">
        <f>OpCost!$E$40*FX$130</f>
        <v>620.62</v>
      </c>
      <c r="FY118" s="100">
        <f>OpCost!$E$40*FY$130</f>
        <v>620.62</v>
      </c>
      <c r="FZ118" s="100">
        <f>OpCost!$E$40*FZ$130</f>
        <v>600.6</v>
      </c>
      <c r="GA118" s="100">
        <f>OpCost!$E$40*GA$130</f>
        <v>620.62</v>
      </c>
      <c r="GB118" s="100">
        <f>OpCost!$E$40*GB$130</f>
        <v>600.6</v>
      </c>
      <c r="GC118" s="100">
        <f>OpCost!$E$40*GC$130</f>
        <v>620.62</v>
      </c>
    </row>
    <row r="119" spans="1:185">
      <c r="A119" s="10"/>
      <c r="B119" s="80" t="s">
        <v>149</v>
      </c>
      <c r="C119" s="80"/>
      <c r="D119" s="80"/>
      <c r="E119" s="82">
        <f t="shared" si="111"/>
        <v>81050.199999999953</v>
      </c>
      <c r="F119" s="100">
        <f>OpCost!$E$41*F$130</f>
        <v>0</v>
      </c>
      <c r="G119" s="100">
        <f>OpCost!$E$41*G$130</f>
        <v>0</v>
      </c>
      <c r="H119" s="100">
        <f>OpCost!$E$41*H$130</f>
        <v>0</v>
      </c>
      <c r="I119" s="100">
        <f>OpCost!$E$41*I$130</f>
        <v>0</v>
      </c>
      <c r="J119" s="100">
        <f>OpCost!$E$41*J$130</f>
        <v>0</v>
      </c>
      <c r="K119" s="100">
        <f>OpCost!$E$41*K$130</f>
        <v>0</v>
      </c>
      <c r="L119" s="100">
        <f>OpCost!$E$41*L$130</f>
        <v>0</v>
      </c>
      <c r="M119" s="100">
        <f>OpCost!$E$41*M$130</f>
        <v>477.39999999999992</v>
      </c>
      <c r="N119" s="100">
        <f>OpCost!$E$41*N$130</f>
        <v>461.99999999999994</v>
      </c>
      <c r="O119" s="100">
        <f>OpCost!$E$41*O$130</f>
        <v>477.39999999999992</v>
      </c>
      <c r="P119" s="100">
        <f>OpCost!$E$41*P$130</f>
        <v>461.99999999999994</v>
      </c>
      <c r="Q119" s="100">
        <f>OpCost!$E$41*Q$130</f>
        <v>477.39999999999992</v>
      </c>
      <c r="R119" s="100">
        <f>OpCost!$E$41*R$130</f>
        <v>477.39999999999992</v>
      </c>
      <c r="S119" s="100">
        <f>OpCost!$E$41*S$130</f>
        <v>431.2</v>
      </c>
      <c r="T119" s="100">
        <f>OpCost!$E$41*T$130</f>
        <v>477.39999999999992</v>
      </c>
      <c r="U119" s="100">
        <f>OpCost!$E$41*U$130</f>
        <v>461.99999999999994</v>
      </c>
      <c r="V119" s="100">
        <f>OpCost!$E$41*V$130</f>
        <v>477.39999999999992</v>
      </c>
      <c r="W119" s="100">
        <f>OpCost!$E$41*W$130</f>
        <v>461.99999999999994</v>
      </c>
      <c r="X119" s="100">
        <f>OpCost!$E$41*X$130</f>
        <v>477.39999999999992</v>
      </c>
      <c r="Y119" s="100">
        <f>OpCost!$E$41*Y$130</f>
        <v>477.39999999999992</v>
      </c>
      <c r="Z119" s="100">
        <f>OpCost!$E$41*Z$130</f>
        <v>461.99999999999994</v>
      </c>
      <c r="AA119" s="100">
        <f>OpCost!$E$41*AA$130</f>
        <v>477.39999999999992</v>
      </c>
      <c r="AB119" s="100">
        <f>OpCost!$E$41*AB$130</f>
        <v>461.99999999999994</v>
      </c>
      <c r="AC119" s="100">
        <f>OpCost!$E$41*AC$130</f>
        <v>477.39999999999992</v>
      </c>
      <c r="AD119" s="100">
        <f>OpCost!$E$41*AD$130</f>
        <v>477.39999999999992</v>
      </c>
      <c r="AE119" s="100">
        <f>OpCost!$E$41*AE$130</f>
        <v>431.2</v>
      </c>
      <c r="AF119" s="100">
        <f>OpCost!$E$41*AF$130</f>
        <v>477.39999999999992</v>
      </c>
      <c r="AG119" s="100">
        <f>OpCost!$E$41*AG$130</f>
        <v>461.99999999999994</v>
      </c>
      <c r="AH119" s="100">
        <f>OpCost!$E$41*AH$130</f>
        <v>477.39999999999992</v>
      </c>
      <c r="AI119" s="100">
        <f>OpCost!$E$41*AI$130</f>
        <v>461.99999999999994</v>
      </c>
      <c r="AJ119" s="100">
        <f>OpCost!$E$41*AJ$130</f>
        <v>477.39999999999992</v>
      </c>
      <c r="AK119" s="100">
        <f>OpCost!$E$41*AK$130</f>
        <v>477.39999999999992</v>
      </c>
      <c r="AL119" s="100">
        <f>OpCost!$E$41*AL$130</f>
        <v>461.99999999999994</v>
      </c>
      <c r="AM119" s="100">
        <f>OpCost!$E$41*AM$130</f>
        <v>477.39999999999992</v>
      </c>
      <c r="AN119" s="100">
        <f>OpCost!$E$41*AN$130</f>
        <v>461.99999999999994</v>
      </c>
      <c r="AO119" s="100">
        <f>OpCost!$E$41*AO$130</f>
        <v>477.39999999999992</v>
      </c>
      <c r="AP119" s="100">
        <f>OpCost!$E$41*AP$130</f>
        <v>477.39999999999992</v>
      </c>
      <c r="AQ119" s="100">
        <f>OpCost!$E$41*AQ$130</f>
        <v>431.2</v>
      </c>
      <c r="AR119" s="100">
        <f>OpCost!$E$41*AR$130</f>
        <v>477.39999999999992</v>
      </c>
      <c r="AS119" s="100">
        <f>OpCost!$E$41*AS$130</f>
        <v>461.99999999999994</v>
      </c>
      <c r="AT119" s="100">
        <f>OpCost!$E$41*AT$130</f>
        <v>477.39999999999992</v>
      </c>
      <c r="AU119" s="100">
        <f>OpCost!$E$41*AU$130</f>
        <v>461.99999999999994</v>
      </c>
      <c r="AV119" s="100">
        <f>OpCost!$E$41*AV$130</f>
        <v>477.39999999999992</v>
      </c>
      <c r="AW119" s="100">
        <f>OpCost!$E$41*AW$130</f>
        <v>477.39999999999992</v>
      </c>
      <c r="AX119" s="100">
        <f>OpCost!$E$41*AX$130</f>
        <v>461.99999999999994</v>
      </c>
      <c r="AY119" s="100">
        <f>OpCost!$E$41*AY$130</f>
        <v>477.39999999999992</v>
      </c>
      <c r="AZ119" s="100">
        <f>OpCost!$E$41*AZ$130</f>
        <v>461.99999999999994</v>
      </c>
      <c r="BA119" s="100">
        <f>OpCost!$E$41*BA$130</f>
        <v>477.39999999999992</v>
      </c>
      <c r="BB119" s="100">
        <f>OpCost!$E$41*BB$130</f>
        <v>477.39999999999992</v>
      </c>
      <c r="BC119" s="100">
        <f>OpCost!$E$41*BC$130</f>
        <v>431.2</v>
      </c>
      <c r="BD119" s="100">
        <f>OpCost!$E$41*BD$130</f>
        <v>477.39999999999992</v>
      </c>
      <c r="BE119" s="100">
        <f>OpCost!$E$41*BE$130</f>
        <v>461.99999999999994</v>
      </c>
      <c r="BF119" s="100">
        <f>OpCost!$E$41*BF$130</f>
        <v>477.39999999999992</v>
      </c>
      <c r="BG119" s="100">
        <f>OpCost!$E$41*BG$130</f>
        <v>461.99999999999994</v>
      </c>
      <c r="BH119" s="100">
        <f>OpCost!$E$41*BH$130</f>
        <v>477.39999999999992</v>
      </c>
      <c r="BI119" s="100">
        <f>OpCost!$E$41*BI$130</f>
        <v>477.39999999999992</v>
      </c>
      <c r="BJ119" s="100">
        <f>OpCost!$E$41*BJ$130</f>
        <v>461.99999999999994</v>
      </c>
      <c r="BK119" s="100">
        <f>OpCost!$E$41*BK$130</f>
        <v>477.39999999999992</v>
      </c>
      <c r="BL119" s="100">
        <f>OpCost!$E$41*BL$130</f>
        <v>461.99999999999994</v>
      </c>
      <c r="BM119" s="100">
        <f>OpCost!$E$41*BM$130</f>
        <v>477.39999999999992</v>
      </c>
      <c r="BN119" s="100">
        <f>OpCost!$E$41*BN$130</f>
        <v>477.39999999999992</v>
      </c>
      <c r="BO119" s="100">
        <f>OpCost!$E$41*BO$130</f>
        <v>431.2</v>
      </c>
      <c r="BP119" s="100">
        <f>OpCost!$E$41*BP$130</f>
        <v>477.39999999999992</v>
      </c>
      <c r="BQ119" s="100">
        <f>OpCost!$E$41*BQ$130</f>
        <v>461.99999999999994</v>
      </c>
      <c r="BR119" s="100">
        <f>OpCost!$E$41*BR$130</f>
        <v>477.39999999999992</v>
      </c>
      <c r="BS119" s="100">
        <f>OpCost!$E$41*BS$130</f>
        <v>461.99999999999994</v>
      </c>
      <c r="BT119" s="100">
        <f>OpCost!$E$41*BT$130</f>
        <v>477.39999999999992</v>
      </c>
      <c r="BU119" s="100">
        <f>OpCost!$E$41*BU$130</f>
        <v>477.39999999999992</v>
      </c>
      <c r="BV119" s="100">
        <f>OpCost!$E$41*BV$130</f>
        <v>461.99999999999994</v>
      </c>
      <c r="BW119" s="100">
        <f>OpCost!$E$41*BW$130</f>
        <v>477.39999999999992</v>
      </c>
      <c r="BX119" s="100">
        <f>OpCost!$E$41*BX$130</f>
        <v>461.99999999999994</v>
      </c>
      <c r="BY119" s="100">
        <f>OpCost!$E$41*BY$130</f>
        <v>477.39999999999992</v>
      </c>
      <c r="BZ119" s="100">
        <f>OpCost!$E$41*BZ$130</f>
        <v>477.39999999999992</v>
      </c>
      <c r="CA119" s="100">
        <f>OpCost!$E$41*CA$130</f>
        <v>431.2</v>
      </c>
      <c r="CB119" s="100">
        <f>OpCost!$E$41*CB$130</f>
        <v>477.39999999999992</v>
      </c>
      <c r="CC119" s="100">
        <f>OpCost!$E$41*CC$130</f>
        <v>461.99999999999994</v>
      </c>
      <c r="CD119" s="100">
        <f>OpCost!$E$41*CD$130</f>
        <v>477.39999999999992</v>
      </c>
      <c r="CE119" s="100">
        <f>OpCost!$E$41*CE$130</f>
        <v>461.99999999999994</v>
      </c>
      <c r="CF119" s="100">
        <f>OpCost!$E$41*CF$130</f>
        <v>477.39999999999992</v>
      </c>
      <c r="CG119" s="100">
        <f>OpCost!$E$41*CG$130</f>
        <v>477.39999999999992</v>
      </c>
      <c r="CH119" s="100">
        <f>OpCost!$E$41*CH$130</f>
        <v>461.99999999999994</v>
      </c>
      <c r="CI119" s="100">
        <f>OpCost!$E$41*CI$130</f>
        <v>477.39999999999992</v>
      </c>
      <c r="CJ119" s="100">
        <f>OpCost!$E$41*CJ$130</f>
        <v>461.99999999999994</v>
      </c>
      <c r="CK119" s="100">
        <f>OpCost!$E$41*CK$130</f>
        <v>477.39999999999992</v>
      </c>
      <c r="CL119" s="100">
        <f>OpCost!$E$41*CL$130</f>
        <v>477.39999999999992</v>
      </c>
      <c r="CM119" s="100">
        <f>OpCost!$E$41*CM$130</f>
        <v>431.2</v>
      </c>
      <c r="CN119" s="100">
        <f>OpCost!$E$41*CN$130</f>
        <v>477.39999999999992</v>
      </c>
      <c r="CO119" s="100">
        <f>OpCost!$E$41*CO$130</f>
        <v>461.99999999999994</v>
      </c>
      <c r="CP119" s="100">
        <f>OpCost!$E$41*CP$130</f>
        <v>477.39999999999992</v>
      </c>
      <c r="CQ119" s="100">
        <f>OpCost!$E$41*CQ$130</f>
        <v>461.99999999999994</v>
      </c>
      <c r="CR119" s="100">
        <f>OpCost!$E$41*CR$130</f>
        <v>477.39999999999992</v>
      </c>
      <c r="CS119" s="100">
        <f>OpCost!$E$41*CS$130</f>
        <v>477.39999999999992</v>
      </c>
      <c r="CT119" s="100">
        <f>OpCost!$E$41*CT$130</f>
        <v>461.99999999999994</v>
      </c>
      <c r="CU119" s="100">
        <f>OpCost!$E$41*CU$130</f>
        <v>477.39999999999992</v>
      </c>
      <c r="CV119" s="100">
        <f>OpCost!$E$41*CV$130</f>
        <v>461.99999999999994</v>
      </c>
      <c r="CW119" s="100">
        <f>OpCost!$E$41*CW$130</f>
        <v>477.39999999999992</v>
      </c>
      <c r="CX119" s="100">
        <f>OpCost!$E$41*CX$130</f>
        <v>477.39999999999992</v>
      </c>
      <c r="CY119" s="100">
        <f>OpCost!$E$41*CY$130</f>
        <v>431.2</v>
      </c>
      <c r="CZ119" s="100">
        <f>OpCost!$E$41*CZ$130</f>
        <v>477.39999999999992</v>
      </c>
      <c r="DA119" s="100">
        <f>OpCost!$E$41*DA$130</f>
        <v>461.99999999999994</v>
      </c>
      <c r="DB119" s="100">
        <f>OpCost!$E$41*DB$130</f>
        <v>477.39999999999992</v>
      </c>
      <c r="DC119" s="100">
        <f>OpCost!$E$41*DC$130</f>
        <v>461.99999999999994</v>
      </c>
      <c r="DD119" s="100">
        <f>OpCost!$E$41*DD$130</f>
        <v>477.39999999999992</v>
      </c>
      <c r="DE119" s="100">
        <f>OpCost!$E$41*DE$130</f>
        <v>477.39999999999992</v>
      </c>
      <c r="DF119" s="100">
        <f>OpCost!$E$41*DF$130</f>
        <v>461.99999999999994</v>
      </c>
      <c r="DG119" s="100">
        <f>OpCost!$E$41*DG$130</f>
        <v>477.39999999999992</v>
      </c>
      <c r="DH119" s="100">
        <f>OpCost!$E$41*DH$130</f>
        <v>461.99999999999994</v>
      </c>
      <c r="DI119" s="100">
        <f>OpCost!$E$41*DI$130</f>
        <v>477.39999999999992</v>
      </c>
      <c r="DJ119" s="100">
        <f>OpCost!$E$41*DJ$130</f>
        <v>477.39999999999992</v>
      </c>
      <c r="DK119" s="100">
        <f>OpCost!$E$41*DK$130</f>
        <v>431.2</v>
      </c>
      <c r="DL119" s="100">
        <f>OpCost!$E$41*DL$130</f>
        <v>477.39999999999992</v>
      </c>
      <c r="DM119" s="100">
        <f>OpCost!$E$41*DM$130</f>
        <v>461.99999999999994</v>
      </c>
      <c r="DN119" s="100">
        <f>OpCost!$E$41*DN$130</f>
        <v>477.39999999999992</v>
      </c>
      <c r="DO119" s="100">
        <f>OpCost!$E$41*DO$130</f>
        <v>461.99999999999994</v>
      </c>
      <c r="DP119" s="100">
        <f>OpCost!$E$41*DP$130</f>
        <v>477.39999999999992</v>
      </c>
      <c r="DQ119" s="100">
        <f>OpCost!$E$41*DQ$130</f>
        <v>477.39999999999992</v>
      </c>
      <c r="DR119" s="100">
        <f>OpCost!$E$41*DR$130</f>
        <v>461.99999999999994</v>
      </c>
      <c r="DS119" s="100">
        <f>OpCost!$E$41*DS$130</f>
        <v>477.39999999999992</v>
      </c>
      <c r="DT119" s="100">
        <f>OpCost!$E$41*DT$130</f>
        <v>461.99999999999994</v>
      </c>
      <c r="DU119" s="100">
        <f>OpCost!$E$41*DU$130</f>
        <v>477.39999999999992</v>
      </c>
      <c r="DV119" s="100">
        <f>OpCost!$E$41*DV$130</f>
        <v>477.39999999999992</v>
      </c>
      <c r="DW119" s="100">
        <f>OpCost!$E$41*DW$130</f>
        <v>431.2</v>
      </c>
      <c r="DX119" s="100">
        <f>OpCost!$E$41*DX$130</f>
        <v>477.39999999999992</v>
      </c>
      <c r="DY119" s="100">
        <f>OpCost!$E$41*DY$130</f>
        <v>461.99999999999994</v>
      </c>
      <c r="DZ119" s="100">
        <f>OpCost!$E$41*DZ$130</f>
        <v>477.39999999999992</v>
      </c>
      <c r="EA119" s="100">
        <f>OpCost!$E$41*EA$130</f>
        <v>461.99999999999994</v>
      </c>
      <c r="EB119" s="100">
        <f>OpCost!$E$41*EB$130</f>
        <v>477.39999999999992</v>
      </c>
      <c r="EC119" s="100">
        <f>OpCost!$E$41*EC$130</f>
        <v>477.39999999999992</v>
      </c>
      <c r="ED119" s="100">
        <f>OpCost!$E$41*ED$130</f>
        <v>461.99999999999994</v>
      </c>
      <c r="EE119" s="100">
        <f>OpCost!$E$41*EE$130</f>
        <v>477.39999999999992</v>
      </c>
      <c r="EF119" s="100">
        <f>OpCost!$E$41*EF$130</f>
        <v>461.99999999999994</v>
      </c>
      <c r="EG119" s="100">
        <f>OpCost!$E$41*EG$130</f>
        <v>477.39999999999992</v>
      </c>
      <c r="EH119" s="100">
        <f>OpCost!$E$41*EH$130</f>
        <v>477.39999999999992</v>
      </c>
      <c r="EI119" s="100">
        <f>OpCost!$E$41*EI$130</f>
        <v>431.2</v>
      </c>
      <c r="EJ119" s="100">
        <f>OpCost!$E$41*EJ$130</f>
        <v>477.39999999999992</v>
      </c>
      <c r="EK119" s="100">
        <f>OpCost!$E$41*EK$130</f>
        <v>461.99999999999994</v>
      </c>
      <c r="EL119" s="100">
        <f>OpCost!$E$41*EL$130</f>
        <v>477.39999999999992</v>
      </c>
      <c r="EM119" s="100">
        <f>OpCost!$E$41*EM$130</f>
        <v>461.99999999999994</v>
      </c>
      <c r="EN119" s="100">
        <f>OpCost!$E$41*EN$130</f>
        <v>477.39999999999992</v>
      </c>
      <c r="EO119" s="100">
        <f>OpCost!$E$41*EO$130</f>
        <v>477.39999999999992</v>
      </c>
      <c r="EP119" s="100">
        <f>OpCost!$E$41*EP$130</f>
        <v>461.99999999999994</v>
      </c>
      <c r="EQ119" s="100">
        <f>OpCost!$E$41*EQ$130</f>
        <v>477.39999999999992</v>
      </c>
      <c r="ER119" s="100">
        <f>OpCost!$E$41*ER$130</f>
        <v>461.99999999999994</v>
      </c>
      <c r="ES119" s="100">
        <f>OpCost!$E$41*ES$130</f>
        <v>477.39999999999992</v>
      </c>
      <c r="ET119" s="100">
        <f>OpCost!$E$41*ET$130</f>
        <v>477.39999999999992</v>
      </c>
      <c r="EU119" s="100">
        <f>OpCost!$E$41*EU$130</f>
        <v>431.2</v>
      </c>
      <c r="EV119" s="100">
        <f>OpCost!$E$41*EV$130</f>
        <v>477.39999999999992</v>
      </c>
      <c r="EW119" s="100">
        <f>OpCost!$E$41*EW$130</f>
        <v>461.99999999999994</v>
      </c>
      <c r="EX119" s="100">
        <f>OpCost!$E$41*EX$130</f>
        <v>477.39999999999992</v>
      </c>
      <c r="EY119" s="100">
        <f>OpCost!$E$41*EY$130</f>
        <v>461.99999999999994</v>
      </c>
      <c r="EZ119" s="100">
        <f>OpCost!$E$41*EZ$130</f>
        <v>477.39999999999992</v>
      </c>
      <c r="FA119" s="100">
        <f>OpCost!$E$41*FA$130</f>
        <v>477.39999999999992</v>
      </c>
      <c r="FB119" s="100">
        <f>OpCost!$E$41*FB$130</f>
        <v>461.99999999999994</v>
      </c>
      <c r="FC119" s="100">
        <f>OpCost!$E$41*FC$130</f>
        <v>477.39999999999992</v>
      </c>
      <c r="FD119" s="100">
        <f>OpCost!$E$41*FD$130</f>
        <v>461.99999999999994</v>
      </c>
      <c r="FE119" s="100">
        <f>OpCost!$E$41*FE$130</f>
        <v>477.39999999999992</v>
      </c>
      <c r="FF119" s="100">
        <f>OpCost!$E$41*FF$130</f>
        <v>477.39999999999992</v>
      </c>
      <c r="FG119" s="100">
        <f>OpCost!$E$41*FG$130</f>
        <v>431.2</v>
      </c>
      <c r="FH119" s="100">
        <f>OpCost!$E$41*FH$130</f>
        <v>477.39999999999992</v>
      </c>
      <c r="FI119" s="100">
        <f>OpCost!$E$41*FI$130</f>
        <v>461.99999999999994</v>
      </c>
      <c r="FJ119" s="100">
        <f>OpCost!$E$41*FJ$130</f>
        <v>477.39999999999992</v>
      </c>
      <c r="FK119" s="100">
        <f>OpCost!$E$41*FK$130</f>
        <v>461.99999999999994</v>
      </c>
      <c r="FL119" s="100">
        <f>OpCost!$E$41*FL$130</f>
        <v>477.39999999999992</v>
      </c>
      <c r="FM119" s="100">
        <f>OpCost!$E$41*FM$130</f>
        <v>477.39999999999992</v>
      </c>
      <c r="FN119" s="100">
        <f>OpCost!$E$41*FN$130</f>
        <v>461.99999999999994</v>
      </c>
      <c r="FO119" s="100">
        <f>OpCost!$E$41*FO$130</f>
        <v>477.39999999999992</v>
      </c>
      <c r="FP119" s="100">
        <f>OpCost!$E$41*FP$130</f>
        <v>461.99999999999994</v>
      </c>
      <c r="FQ119" s="100">
        <f>OpCost!$E$41*FQ$130</f>
        <v>477.39999999999992</v>
      </c>
      <c r="FR119" s="100">
        <f>OpCost!$E$41*FR$130</f>
        <v>477.39999999999992</v>
      </c>
      <c r="FS119" s="100">
        <f>OpCost!$E$41*FS$130</f>
        <v>431.2</v>
      </c>
      <c r="FT119" s="100">
        <f>OpCost!$E$41*FT$130</f>
        <v>477.39999999999992</v>
      </c>
      <c r="FU119" s="100">
        <f>OpCost!$E$41*FU$130</f>
        <v>461.99999999999994</v>
      </c>
      <c r="FV119" s="100">
        <f>OpCost!$E$41*FV$130</f>
        <v>477.39999999999992</v>
      </c>
      <c r="FW119" s="100">
        <f>OpCost!$E$41*FW$130</f>
        <v>461.99999999999994</v>
      </c>
      <c r="FX119" s="100">
        <f>OpCost!$E$41*FX$130</f>
        <v>477.39999999999992</v>
      </c>
      <c r="FY119" s="100">
        <f>OpCost!$E$41*FY$130</f>
        <v>477.39999999999992</v>
      </c>
      <c r="FZ119" s="100">
        <f>OpCost!$E$41*FZ$130</f>
        <v>461.99999999999994</v>
      </c>
      <c r="GA119" s="100">
        <f>OpCost!$E$41*GA$130</f>
        <v>477.39999999999992</v>
      </c>
      <c r="GB119" s="100">
        <f>OpCost!$E$41*GB$130</f>
        <v>461.99999999999994</v>
      </c>
      <c r="GC119" s="100">
        <f>OpCost!$E$41*GC$130</f>
        <v>477.39999999999992</v>
      </c>
    </row>
    <row r="120" spans="1:185">
      <c r="A120" s="10"/>
      <c r="B120" s="80" t="s">
        <v>150</v>
      </c>
      <c r="C120" s="80"/>
      <c r="D120" s="80"/>
      <c r="E120" s="82">
        <f t="shared" si="111"/>
        <v>162100.39999999991</v>
      </c>
      <c r="F120" s="100">
        <f>OpCost!$E$18*F$130</f>
        <v>0</v>
      </c>
      <c r="G120" s="100">
        <f>OpCost!$E$18*G$130</f>
        <v>0</v>
      </c>
      <c r="H120" s="100">
        <f>OpCost!$E$18*H$130</f>
        <v>0</v>
      </c>
      <c r="I120" s="100">
        <f>OpCost!$E$18*I$130</f>
        <v>0</v>
      </c>
      <c r="J120" s="100">
        <f>OpCost!$E$18*J$130</f>
        <v>0</v>
      </c>
      <c r="K120" s="100">
        <f>OpCost!$E$18*K$130</f>
        <v>0</v>
      </c>
      <c r="L120" s="100">
        <f>OpCost!$E$18*L$130</f>
        <v>0</v>
      </c>
      <c r="M120" s="100">
        <f>OpCost!$E$18*M$130</f>
        <v>954.79999999999984</v>
      </c>
      <c r="N120" s="100">
        <f>OpCost!$E$18*N$130</f>
        <v>923.99999999999989</v>
      </c>
      <c r="O120" s="100">
        <f>OpCost!$E$18*O$130</f>
        <v>954.79999999999984</v>
      </c>
      <c r="P120" s="100">
        <f>OpCost!$E$18*P$130</f>
        <v>923.99999999999989</v>
      </c>
      <c r="Q120" s="100">
        <f>OpCost!$E$18*Q$130</f>
        <v>954.79999999999984</v>
      </c>
      <c r="R120" s="100">
        <f>OpCost!$E$18*R$130</f>
        <v>954.79999999999984</v>
      </c>
      <c r="S120" s="100">
        <f>OpCost!$E$18*S$130</f>
        <v>862.4</v>
      </c>
      <c r="T120" s="100">
        <f>OpCost!$E$18*T$130</f>
        <v>954.79999999999984</v>
      </c>
      <c r="U120" s="100">
        <f>OpCost!$E$18*U$130</f>
        <v>923.99999999999989</v>
      </c>
      <c r="V120" s="100">
        <f>OpCost!$E$18*V$130</f>
        <v>954.79999999999984</v>
      </c>
      <c r="W120" s="100">
        <f>OpCost!$E$18*W$130</f>
        <v>923.99999999999989</v>
      </c>
      <c r="X120" s="100">
        <f>OpCost!$E$18*X$130</f>
        <v>954.79999999999984</v>
      </c>
      <c r="Y120" s="100">
        <f>OpCost!$E$18*Y$130</f>
        <v>954.79999999999984</v>
      </c>
      <c r="Z120" s="100">
        <f>OpCost!$E$18*Z$130</f>
        <v>923.99999999999989</v>
      </c>
      <c r="AA120" s="100">
        <f>OpCost!$E$18*AA$130</f>
        <v>954.79999999999984</v>
      </c>
      <c r="AB120" s="100">
        <f>OpCost!$E$18*AB$130</f>
        <v>923.99999999999989</v>
      </c>
      <c r="AC120" s="100">
        <f>OpCost!$E$18*AC$130</f>
        <v>954.79999999999984</v>
      </c>
      <c r="AD120" s="100">
        <f>OpCost!$E$18*AD$130</f>
        <v>954.79999999999984</v>
      </c>
      <c r="AE120" s="100">
        <f>OpCost!$E$18*AE$130</f>
        <v>862.4</v>
      </c>
      <c r="AF120" s="100">
        <f>OpCost!$E$18*AF$130</f>
        <v>954.79999999999984</v>
      </c>
      <c r="AG120" s="100">
        <f>OpCost!$E$18*AG$130</f>
        <v>923.99999999999989</v>
      </c>
      <c r="AH120" s="100">
        <f>OpCost!$E$18*AH$130</f>
        <v>954.79999999999984</v>
      </c>
      <c r="AI120" s="100">
        <f>OpCost!$E$18*AI$130</f>
        <v>923.99999999999989</v>
      </c>
      <c r="AJ120" s="100">
        <f>OpCost!$E$18*AJ$130</f>
        <v>954.79999999999984</v>
      </c>
      <c r="AK120" s="100">
        <f>OpCost!$E$18*AK$130</f>
        <v>954.79999999999984</v>
      </c>
      <c r="AL120" s="100">
        <f>OpCost!$E$18*AL$130</f>
        <v>923.99999999999989</v>
      </c>
      <c r="AM120" s="100">
        <f>OpCost!$E$18*AM$130</f>
        <v>954.79999999999984</v>
      </c>
      <c r="AN120" s="100">
        <f>OpCost!$E$18*AN$130</f>
        <v>923.99999999999989</v>
      </c>
      <c r="AO120" s="100">
        <f>OpCost!$E$18*AO$130</f>
        <v>954.79999999999984</v>
      </c>
      <c r="AP120" s="100">
        <f>OpCost!$E$18*AP$130</f>
        <v>954.79999999999984</v>
      </c>
      <c r="AQ120" s="100">
        <f>OpCost!$E$18*AQ$130</f>
        <v>862.4</v>
      </c>
      <c r="AR120" s="100">
        <f>OpCost!$E$18*AR$130</f>
        <v>954.79999999999984</v>
      </c>
      <c r="AS120" s="100">
        <f>OpCost!$E$18*AS$130</f>
        <v>923.99999999999989</v>
      </c>
      <c r="AT120" s="100">
        <f>OpCost!$E$18*AT$130</f>
        <v>954.79999999999984</v>
      </c>
      <c r="AU120" s="100">
        <f>OpCost!$E$18*AU$130</f>
        <v>923.99999999999989</v>
      </c>
      <c r="AV120" s="100">
        <f>OpCost!$E$18*AV$130</f>
        <v>954.79999999999984</v>
      </c>
      <c r="AW120" s="100">
        <f>OpCost!$E$18*AW$130</f>
        <v>954.79999999999984</v>
      </c>
      <c r="AX120" s="100">
        <f>OpCost!$E$18*AX$130</f>
        <v>923.99999999999989</v>
      </c>
      <c r="AY120" s="100">
        <f>OpCost!$E$18*AY$130</f>
        <v>954.79999999999984</v>
      </c>
      <c r="AZ120" s="100">
        <f>OpCost!$E$18*AZ$130</f>
        <v>923.99999999999989</v>
      </c>
      <c r="BA120" s="100">
        <f>OpCost!$E$18*BA$130</f>
        <v>954.79999999999984</v>
      </c>
      <c r="BB120" s="100">
        <f>OpCost!$E$18*BB$130</f>
        <v>954.79999999999984</v>
      </c>
      <c r="BC120" s="100">
        <f>OpCost!$E$18*BC$130</f>
        <v>862.4</v>
      </c>
      <c r="BD120" s="100">
        <f>OpCost!$E$18*BD$130</f>
        <v>954.79999999999984</v>
      </c>
      <c r="BE120" s="100">
        <f>OpCost!$E$18*BE$130</f>
        <v>923.99999999999989</v>
      </c>
      <c r="BF120" s="100">
        <f>OpCost!$E$18*BF$130</f>
        <v>954.79999999999984</v>
      </c>
      <c r="BG120" s="100">
        <f>OpCost!$E$18*BG$130</f>
        <v>923.99999999999989</v>
      </c>
      <c r="BH120" s="100">
        <f>OpCost!$E$18*BH$130</f>
        <v>954.79999999999984</v>
      </c>
      <c r="BI120" s="100">
        <f>OpCost!$E$18*BI$130</f>
        <v>954.79999999999984</v>
      </c>
      <c r="BJ120" s="100">
        <f>OpCost!$E$18*BJ$130</f>
        <v>923.99999999999989</v>
      </c>
      <c r="BK120" s="100">
        <f>OpCost!$E$18*BK$130</f>
        <v>954.79999999999984</v>
      </c>
      <c r="BL120" s="100">
        <f>OpCost!$E$18*BL$130</f>
        <v>923.99999999999989</v>
      </c>
      <c r="BM120" s="100">
        <f>OpCost!$E$18*BM$130</f>
        <v>954.79999999999984</v>
      </c>
      <c r="BN120" s="100">
        <f>OpCost!$E$18*BN$130</f>
        <v>954.79999999999984</v>
      </c>
      <c r="BO120" s="100">
        <f>OpCost!$E$18*BO$130</f>
        <v>862.4</v>
      </c>
      <c r="BP120" s="100">
        <f>OpCost!$E$18*BP$130</f>
        <v>954.79999999999984</v>
      </c>
      <c r="BQ120" s="100">
        <f>OpCost!$E$18*BQ$130</f>
        <v>923.99999999999989</v>
      </c>
      <c r="BR120" s="100">
        <f>OpCost!$E$18*BR$130</f>
        <v>954.79999999999984</v>
      </c>
      <c r="BS120" s="100">
        <f>OpCost!$E$18*BS$130</f>
        <v>923.99999999999989</v>
      </c>
      <c r="BT120" s="100">
        <f>OpCost!$E$18*BT$130</f>
        <v>954.79999999999984</v>
      </c>
      <c r="BU120" s="100">
        <f>OpCost!$E$18*BU$130</f>
        <v>954.79999999999984</v>
      </c>
      <c r="BV120" s="100">
        <f>OpCost!$E$18*BV$130</f>
        <v>923.99999999999989</v>
      </c>
      <c r="BW120" s="100">
        <f>OpCost!$E$18*BW$130</f>
        <v>954.79999999999984</v>
      </c>
      <c r="BX120" s="100">
        <f>OpCost!$E$18*BX$130</f>
        <v>923.99999999999989</v>
      </c>
      <c r="BY120" s="100">
        <f>OpCost!$E$18*BY$130</f>
        <v>954.79999999999984</v>
      </c>
      <c r="BZ120" s="100">
        <f>OpCost!$E$18*BZ$130</f>
        <v>954.79999999999984</v>
      </c>
      <c r="CA120" s="100">
        <f>OpCost!$E$18*CA$130</f>
        <v>862.4</v>
      </c>
      <c r="CB120" s="100">
        <f>OpCost!$E$18*CB$130</f>
        <v>954.79999999999984</v>
      </c>
      <c r="CC120" s="100">
        <f>OpCost!$E$18*CC$130</f>
        <v>923.99999999999989</v>
      </c>
      <c r="CD120" s="100">
        <f>OpCost!$E$18*CD$130</f>
        <v>954.79999999999984</v>
      </c>
      <c r="CE120" s="100">
        <f>OpCost!$E$18*CE$130</f>
        <v>923.99999999999989</v>
      </c>
      <c r="CF120" s="100">
        <f>OpCost!$E$18*CF$130</f>
        <v>954.79999999999984</v>
      </c>
      <c r="CG120" s="100">
        <f>OpCost!$E$18*CG$130</f>
        <v>954.79999999999984</v>
      </c>
      <c r="CH120" s="100">
        <f>OpCost!$E$18*CH$130</f>
        <v>923.99999999999989</v>
      </c>
      <c r="CI120" s="100">
        <f>OpCost!$E$18*CI$130</f>
        <v>954.79999999999984</v>
      </c>
      <c r="CJ120" s="100">
        <f>OpCost!$E$18*CJ$130</f>
        <v>923.99999999999989</v>
      </c>
      <c r="CK120" s="100">
        <f>OpCost!$E$18*CK$130</f>
        <v>954.79999999999984</v>
      </c>
      <c r="CL120" s="100">
        <f>OpCost!$E$18*CL$130</f>
        <v>954.79999999999984</v>
      </c>
      <c r="CM120" s="100">
        <f>OpCost!$E$18*CM$130</f>
        <v>862.4</v>
      </c>
      <c r="CN120" s="100">
        <f>OpCost!$E$18*CN$130</f>
        <v>954.79999999999984</v>
      </c>
      <c r="CO120" s="100">
        <f>OpCost!$E$18*CO$130</f>
        <v>923.99999999999989</v>
      </c>
      <c r="CP120" s="100">
        <f>OpCost!$E$18*CP$130</f>
        <v>954.79999999999984</v>
      </c>
      <c r="CQ120" s="100">
        <f>OpCost!$E$18*CQ$130</f>
        <v>923.99999999999989</v>
      </c>
      <c r="CR120" s="100">
        <f>OpCost!$E$18*CR$130</f>
        <v>954.79999999999984</v>
      </c>
      <c r="CS120" s="100">
        <f>OpCost!$E$18*CS$130</f>
        <v>954.79999999999984</v>
      </c>
      <c r="CT120" s="100">
        <f>OpCost!$E$18*CT$130</f>
        <v>923.99999999999989</v>
      </c>
      <c r="CU120" s="100">
        <f>OpCost!$E$18*CU$130</f>
        <v>954.79999999999984</v>
      </c>
      <c r="CV120" s="100">
        <f>OpCost!$E$18*CV$130</f>
        <v>923.99999999999989</v>
      </c>
      <c r="CW120" s="100">
        <f>OpCost!$E$18*CW$130</f>
        <v>954.79999999999984</v>
      </c>
      <c r="CX120" s="100">
        <f>OpCost!$E$18*CX$130</f>
        <v>954.79999999999984</v>
      </c>
      <c r="CY120" s="100">
        <f>OpCost!$E$18*CY$130</f>
        <v>862.4</v>
      </c>
      <c r="CZ120" s="100">
        <f>OpCost!$E$18*CZ$130</f>
        <v>954.79999999999984</v>
      </c>
      <c r="DA120" s="100">
        <f>OpCost!$E$18*DA$130</f>
        <v>923.99999999999989</v>
      </c>
      <c r="DB120" s="100">
        <f>OpCost!$E$18*DB$130</f>
        <v>954.79999999999984</v>
      </c>
      <c r="DC120" s="100">
        <f>OpCost!$E$18*DC$130</f>
        <v>923.99999999999989</v>
      </c>
      <c r="DD120" s="100">
        <f>OpCost!$E$18*DD$130</f>
        <v>954.79999999999984</v>
      </c>
      <c r="DE120" s="100">
        <f>OpCost!$E$18*DE$130</f>
        <v>954.79999999999984</v>
      </c>
      <c r="DF120" s="100">
        <f>OpCost!$E$18*DF$130</f>
        <v>923.99999999999989</v>
      </c>
      <c r="DG120" s="100">
        <f>OpCost!$E$18*DG$130</f>
        <v>954.79999999999984</v>
      </c>
      <c r="DH120" s="100">
        <f>OpCost!$E$18*DH$130</f>
        <v>923.99999999999989</v>
      </c>
      <c r="DI120" s="100">
        <f>OpCost!$E$18*DI$130</f>
        <v>954.79999999999984</v>
      </c>
      <c r="DJ120" s="100">
        <f>OpCost!$E$18*DJ$130</f>
        <v>954.79999999999984</v>
      </c>
      <c r="DK120" s="100">
        <f>OpCost!$E$18*DK$130</f>
        <v>862.4</v>
      </c>
      <c r="DL120" s="100">
        <f>OpCost!$E$18*DL$130</f>
        <v>954.79999999999984</v>
      </c>
      <c r="DM120" s="100">
        <f>OpCost!$E$18*DM$130</f>
        <v>923.99999999999989</v>
      </c>
      <c r="DN120" s="100">
        <f>OpCost!$E$18*DN$130</f>
        <v>954.79999999999984</v>
      </c>
      <c r="DO120" s="100">
        <f>OpCost!$E$18*DO$130</f>
        <v>923.99999999999989</v>
      </c>
      <c r="DP120" s="100">
        <f>OpCost!$E$18*DP$130</f>
        <v>954.79999999999984</v>
      </c>
      <c r="DQ120" s="100">
        <f>OpCost!$E$18*DQ$130</f>
        <v>954.79999999999984</v>
      </c>
      <c r="DR120" s="100">
        <f>OpCost!$E$18*DR$130</f>
        <v>923.99999999999989</v>
      </c>
      <c r="DS120" s="100">
        <f>OpCost!$E$18*DS$130</f>
        <v>954.79999999999984</v>
      </c>
      <c r="DT120" s="100">
        <f>OpCost!$E$18*DT$130</f>
        <v>923.99999999999989</v>
      </c>
      <c r="DU120" s="100">
        <f>OpCost!$E$18*DU$130</f>
        <v>954.79999999999984</v>
      </c>
      <c r="DV120" s="100">
        <f>OpCost!$E$18*DV$130</f>
        <v>954.79999999999984</v>
      </c>
      <c r="DW120" s="100">
        <f>OpCost!$E$18*DW$130</f>
        <v>862.4</v>
      </c>
      <c r="DX120" s="100">
        <f>OpCost!$E$18*DX$130</f>
        <v>954.79999999999984</v>
      </c>
      <c r="DY120" s="100">
        <f>OpCost!$E$18*DY$130</f>
        <v>923.99999999999989</v>
      </c>
      <c r="DZ120" s="100">
        <f>OpCost!$E$18*DZ$130</f>
        <v>954.79999999999984</v>
      </c>
      <c r="EA120" s="100">
        <f>OpCost!$E$18*EA$130</f>
        <v>923.99999999999989</v>
      </c>
      <c r="EB120" s="100">
        <f>OpCost!$E$18*EB$130</f>
        <v>954.79999999999984</v>
      </c>
      <c r="EC120" s="100">
        <f>OpCost!$E$18*EC$130</f>
        <v>954.79999999999984</v>
      </c>
      <c r="ED120" s="100">
        <f>OpCost!$E$18*ED$130</f>
        <v>923.99999999999989</v>
      </c>
      <c r="EE120" s="100">
        <f>OpCost!$E$18*EE$130</f>
        <v>954.79999999999984</v>
      </c>
      <c r="EF120" s="100">
        <f>OpCost!$E$18*EF$130</f>
        <v>923.99999999999989</v>
      </c>
      <c r="EG120" s="100">
        <f>OpCost!$E$18*EG$130</f>
        <v>954.79999999999984</v>
      </c>
      <c r="EH120" s="100">
        <f>OpCost!$E$18*EH$130</f>
        <v>954.79999999999984</v>
      </c>
      <c r="EI120" s="100">
        <f>OpCost!$E$18*EI$130</f>
        <v>862.4</v>
      </c>
      <c r="EJ120" s="100">
        <f>OpCost!$E$18*EJ$130</f>
        <v>954.79999999999984</v>
      </c>
      <c r="EK120" s="100">
        <f>OpCost!$E$18*EK$130</f>
        <v>923.99999999999989</v>
      </c>
      <c r="EL120" s="100">
        <f>OpCost!$E$18*EL$130</f>
        <v>954.79999999999984</v>
      </c>
      <c r="EM120" s="100">
        <f>OpCost!$E$18*EM$130</f>
        <v>923.99999999999989</v>
      </c>
      <c r="EN120" s="100">
        <f>OpCost!$E$18*EN$130</f>
        <v>954.79999999999984</v>
      </c>
      <c r="EO120" s="100">
        <f>OpCost!$E$18*EO$130</f>
        <v>954.79999999999984</v>
      </c>
      <c r="EP120" s="100">
        <f>OpCost!$E$18*EP$130</f>
        <v>923.99999999999989</v>
      </c>
      <c r="EQ120" s="100">
        <f>OpCost!$E$18*EQ$130</f>
        <v>954.79999999999984</v>
      </c>
      <c r="ER120" s="100">
        <f>OpCost!$E$18*ER$130</f>
        <v>923.99999999999989</v>
      </c>
      <c r="ES120" s="100">
        <f>OpCost!$E$18*ES$130</f>
        <v>954.79999999999984</v>
      </c>
      <c r="ET120" s="100">
        <f>OpCost!$E$18*ET$130</f>
        <v>954.79999999999984</v>
      </c>
      <c r="EU120" s="100">
        <f>OpCost!$E$18*EU$130</f>
        <v>862.4</v>
      </c>
      <c r="EV120" s="100">
        <f>OpCost!$E$18*EV$130</f>
        <v>954.79999999999984</v>
      </c>
      <c r="EW120" s="100">
        <f>OpCost!$E$18*EW$130</f>
        <v>923.99999999999989</v>
      </c>
      <c r="EX120" s="100">
        <f>OpCost!$E$18*EX$130</f>
        <v>954.79999999999984</v>
      </c>
      <c r="EY120" s="100">
        <f>OpCost!$E$18*EY$130</f>
        <v>923.99999999999989</v>
      </c>
      <c r="EZ120" s="100">
        <f>OpCost!$E$18*EZ$130</f>
        <v>954.79999999999984</v>
      </c>
      <c r="FA120" s="100">
        <f>OpCost!$E$18*FA$130</f>
        <v>954.79999999999984</v>
      </c>
      <c r="FB120" s="100">
        <f>OpCost!$E$18*FB$130</f>
        <v>923.99999999999989</v>
      </c>
      <c r="FC120" s="100">
        <f>OpCost!$E$18*FC$130</f>
        <v>954.79999999999984</v>
      </c>
      <c r="FD120" s="100">
        <f>OpCost!$E$18*FD$130</f>
        <v>923.99999999999989</v>
      </c>
      <c r="FE120" s="100">
        <f>OpCost!$E$18*FE$130</f>
        <v>954.79999999999984</v>
      </c>
      <c r="FF120" s="100">
        <f>OpCost!$E$18*FF$130</f>
        <v>954.79999999999984</v>
      </c>
      <c r="FG120" s="100">
        <f>OpCost!$E$18*FG$130</f>
        <v>862.4</v>
      </c>
      <c r="FH120" s="100">
        <f>OpCost!$E$18*FH$130</f>
        <v>954.79999999999984</v>
      </c>
      <c r="FI120" s="100">
        <f>OpCost!$E$18*FI$130</f>
        <v>923.99999999999989</v>
      </c>
      <c r="FJ120" s="100">
        <f>OpCost!$E$18*FJ$130</f>
        <v>954.79999999999984</v>
      </c>
      <c r="FK120" s="100">
        <f>OpCost!$E$18*FK$130</f>
        <v>923.99999999999989</v>
      </c>
      <c r="FL120" s="100">
        <f>OpCost!$E$18*FL$130</f>
        <v>954.79999999999984</v>
      </c>
      <c r="FM120" s="100">
        <f>OpCost!$E$18*FM$130</f>
        <v>954.79999999999984</v>
      </c>
      <c r="FN120" s="100">
        <f>OpCost!$E$18*FN$130</f>
        <v>923.99999999999989</v>
      </c>
      <c r="FO120" s="100">
        <f>OpCost!$E$18*FO$130</f>
        <v>954.79999999999984</v>
      </c>
      <c r="FP120" s="100">
        <f>OpCost!$E$18*FP$130</f>
        <v>923.99999999999989</v>
      </c>
      <c r="FQ120" s="100">
        <f>OpCost!$E$18*FQ$130</f>
        <v>954.79999999999984</v>
      </c>
      <c r="FR120" s="100">
        <f>OpCost!$E$18*FR$130</f>
        <v>954.79999999999984</v>
      </c>
      <c r="FS120" s="100">
        <f>OpCost!$E$18*FS$130</f>
        <v>862.4</v>
      </c>
      <c r="FT120" s="100">
        <f>OpCost!$E$18*FT$130</f>
        <v>954.79999999999984</v>
      </c>
      <c r="FU120" s="100">
        <f>OpCost!$E$18*FU$130</f>
        <v>923.99999999999989</v>
      </c>
      <c r="FV120" s="100">
        <f>OpCost!$E$18*FV$130</f>
        <v>954.79999999999984</v>
      </c>
      <c r="FW120" s="100">
        <f>OpCost!$E$18*FW$130</f>
        <v>923.99999999999989</v>
      </c>
      <c r="FX120" s="100">
        <f>OpCost!$E$18*FX$130</f>
        <v>954.79999999999984</v>
      </c>
      <c r="FY120" s="100">
        <f>OpCost!$E$18*FY$130</f>
        <v>954.79999999999984</v>
      </c>
      <c r="FZ120" s="100">
        <f>OpCost!$E$18*FZ$130</f>
        <v>923.99999999999989</v>
      </c>
      <c r="GA120" s="100">
        <f>OpCost!$E$18*GA$130</f>
        <v>954.79999999999984</v>
      </c>
      <c r="GB120" s="100">
        <f>OpCost!$E$18*GB$130</f>
        <v>923.99999999999989</v>
      </c>
      <c r="GC120" s="100">
        <f>OpCost!$E$18*GC$130</f>
        <v>954.79999999999984</v>
      </c>
    </row>
    <row r="121" spans="1:185">
      <c r="A121" s="10"/>
      <c r="B121" s="80" t="s">
        <v>151</v>
      </c>
      <c r="C121" s="80"/>
      <c r="D121" s="80"/>
      <c r="E121" s="82">
        <f t="shared" si="111"/>
        <v>259360.6399999992</v>
      </c>
      <c r="F121" s="100">
        <f>OpCost!$E$19*F$130</f>
        <v>0</v>
      </c>
      <c r="G121" s="100">
        <f>OpCost!$E$19*G$130</f>
        <v>0</v>
      </c>
      <c r="H121" s="100">
        <f>OpCost!$E$19*H$130</f>
        <v>0</v>
      </c>
      <c r="I121" s="100">
        <f>OpCost!$E$19*I$130</f>
        <v>0</v>
      </c>
      <c r="J121" s="100">
        <f>OpCost!$E$19*J$130</f>
        <v>0</v>
      </c>
      <c r="K121" s="100">
        <f>OpCost!$E$19*K$130</f>
        <v>0</v>
      </c>
      <c r="L121" s="100">
        <f>OpCost!$E$19*L$130</f>
        <v>0</v>
      </c>
      <c r="M121" s="100">
        <f>OpCost!$E$19*M$130</f>
        <v>1527.6799999999998</v>
      </c>
      <c r="N121" s="100">
        <f>OpCost!$E$19*N$130</f>
        <v>1478.4</v>
      </c>
      <c r="O121" s="100">
        <f>OpCost!$E$19*O$130</f>
        <v>1527.6799999999998</v>
      </c>
      <c r="P121" s="100">
        <f>OpCost!$E$19*P$130</f>
        <v>1478.4</v>
      </c>
      <c r="Q121" s="100">
        <f>OpCost!$E$19*Q$130</f>
        <v>1527.6799999999998</v>
      </c>
      <c r="R121" s="100">
        <f>OpCost!$E$19*R$130</f>
        <v>1527.6799999999998</v>
      </c>
      <c r="S121" s="100">
        <f>OpCost!$E$19*S$130</f>
        <v>1379.8400000000001</v>
      </c>
      <c r="T121" s="100">
        <f>OpCost!$E$19*T$130</f>
        <v>1527.6799999999998</v>
      </c>
      <c r="U121" s="100">
        <f>OpCost!$E$19*U$130</f>
        <v>1478.4</v>
      </c>
      <c r="V121" s="100">
        <f>OpCost!$E$19*V$130</f>
        <v>1527.6799999999998</v>
      </c>
      <c r="W121" s="100">
        <f>OpCost!$E$19*W$130</f>
        <v>1478.4</v>
      </c>
      <c r="X121" s="100">
        <f>OpCost!$E$19*X$130</f>
        <v>1527.6799999999998</v>
      </c>
      <c r="Y121" s="100">
        <f>OpCost!$E$19*Y$130</f>
        <v>1527.6799999999998</v>
      </c>
      <c r="Z121" s="100">
        <f>OpCost!$E$19*Z$130</f>
        <v>1478.4</v>
      </c>
      <c r="AA121" s="100">
        <f>OpCost!$E$19*AA$130</f>
        <v>1527.6799999999998</v>
      </c>
      <c r="AB121" s="100">
        <f>OpCost!$E$19*AB$130</f>
        <v>1478.4</v>
      </c>
      <c r="AC121" s="100">
        <f>OpCost!$E$19*AC$130</f>
        <v>1527.6799999999998</v>
      </c>
      <c r="AD121" s="100">
        <f>OpCost!$E$19*AD$130</f>
        <v>1527.6799999999998</v>
      </c>
      <c r="AE121" s="100">
        <f>OpCost!$E$19*AE$130</f>
        <v>1379.8400000000001</v>
      </c>
      <c r="AF121" s="100">
        <f>OpCost!$E$19*AF$130</f>
        <v>1527.6799999999998</v>
      </c>
      <c r="AG121" s="100">
        <f>OpCost!$E$19*AG$130</f>
        <v>1478.4</v>
      </c>
      <c r="AH121" s="100">
        <f>OpCost!$E$19*AH$130</f>
        <v>1527.6799999999998</v>
      </c>
      <c r="AI121" s="100">
        <f>OpCost!$E$19*AI$130</f>
        <v>1478.4</v>
      </c>
      <c r="AJ121" s="100">
        <f>OpCost!$E$19*AJ$130</f>
        <v>1527.6799999999998</v>
      </c>
      <c r="AK121" s="100">
        <f>OpCost!$E$19*AK$130</f>
        <v>1527.6799999999998</v>
      </c>
      <c r="AL121" s="100">
        <f>OpCost!$E$19*AL$130</f>
        <v>1478.4</v>
      </c>
      <c r="AM121" s="100">
        <f>OpCost!$E$19*AM$130</f>
        <v>1527.6799999999998</v>
      </c>
      <c r="AN121" s="100">
        <f>OpCost!$E$19*AN$130</f>
        <v>1478.4</v>
      </c>
      <c r="AO121" s="100">
        <f>OpCost!$E$19*AO$130</f>
        <v>1527.6799999999998</v>
      </c>
      <c r="AP121" s="100">
        <f>OpCost!$E$19*AP$130</f>
        <v>1527.6799999999998</v>
      </c>
      <c r="AQ121" s="100">
        <f>OpCost!$E$19*AQ$130</f>
        <v>1379.8400000000001</v>
      </c>
      <c r="AR121" s="100">
        <f>OpCost!$E$19*AR$130</f>
        <v>1527.6799999999998</v>
      </c>
      <c r="AS121" s="100">
        <f>OpCost!$E$19*AS$130</f>
        <v>1478.4</v>
      </c>
      <c r="AT121" s="100">
        <f>OpCost!$E$19*AT$130</f>
        <v>1527.6799999999998</v>
      </c>
      <c r="AU121" s="100">
        <f>OpCost!$E$19*AU$130</f>
        <v>1478.4</v>
      </c>
      <c r="AV121" s="100">
        <f>OpCost!$E$19*AV$130</f>
        <v>1527.6799999999998</v>
      </c>
      <c r="AW121" s="100">
        <f>OpCost!$E$19*AW$130</f>
        <v>1527.6799999999998</v>
      </c>
      <c r="AX121" s="100">
        <f>OpCost!$E$19*AX$130</f>
        <v>1478.4</v>
      </c>
      <c r="AY121" s="100">
        <f>OpCost!$E$19*AY$130</f>
        <v>1527.6799999999998</v>
      </c>
      <c r="AZ121" s="100">
        <f>OpCost!$E$19*AZ$130</f>
        <v>1478.4</v>
      </c>
      <c r="BA121" s="100">
        <f>OpCost!$E$19*BA$130</f>
        <v>1527.6799999999998</v>
      </c>
      <c r="BB121" s="100">
        <f>OpCost!$E$19*BB$130</f>
        <v>1527.6799999999998</v>
      </c>
      <c r="BC121" s="100">
        <f>OpCost!$E$19*BC$130</f>
        <v>1379.8400000000001</v>
      </c>
      <c r="BD121" s="100">
        <f>OpCost!$E$19*BD$130</f>
        <v>1527.6799999999998</v>
      </c>
      <c r="BE121" s="100">
        <f>OpCost!$E$19*BE$130</f>
        <v>1478.4</v>
      </c>
      <c r="BF121" s="100">
        <f>OpCost!$E$19*BF$130</f>
        <v>1527.6799999999998</v>
      </c>
      <c r="BG121" s="100">
        <f>OpCost!$E$19*BG$130</f>
        <v>1478.4</v>
      </c>
      <c r="BH121" s="100">
        <f>OpCost!$E$19*BH$130</f>
        <v>1527.6799999999998</v>
      </c>
      <c r="BI121" s="100">
        <f>OpCost!$E$19*BI$130</f>
        <v>1527.6799999999998</v>
      </c>
      <c r="BJ121" s="100">
        <f>OpCost!$E$19*BJ$130</f>
        <v>1478.4</v>
      </c>
      <c r="BK121" s="100">
        <f>OpCost!$E$19*BK$130</f>
        <v>1527.6799999999998</v>
      </c>
      <c r="BL121" s="100">
        <f>OpCost!$E$19*BL$130</f>
        <v>1478.4</v>
      </c>
      <c r="BM121" s="100">
        <f>OpCost!$E$19*BM$130</f>
        <v>1527.6799999999998</v>
      </c>
      <c r="BN121" s="100">
        <f>OpCost!$E$19*BN$130</f>
        <v>1527.6799999999998</v>
      </c>
      <c r="BO121" s="100">
        <f>OpCost!$E$19*BO$130</f>
        <v>1379.8400000000001</v>
      </c>
      <c r="BP121" s="100">
        <f>OpCost!$E$19*BP$130</f>
        <v>1527.6799999999998</v>
      </c>
      <c r="BQ121" s="100">
        <f>OpCost!$E$19*BQ$130</f>
        <v>1478.4</v>
      </c>
      <c r="BR121" s="100">
        <f>OpCost!$E$19*BR$130</f>
        <v>1527.6799999999998</v>
      </c>
      <c r="BS121" s="100">
        <f>OpCost!$E$19*BS$130</f>
        <v>1478.4</v>
      </c>
      <c r="BT121" s="100">
        <f>OpCost!$E$19*BT$130</f>
        <v>1527.6799999999998</v>
      </c>
      <c r="BU121" s="100">
        <f>OpCost!$E$19*BU$130</f>
        <v>1527.6799999999998</v>
      </c>
      <c r="BV121" s="100">
        <f>OpCost!$E$19*BV$130</f>
        <v>1478.4</v>
      </c>
      <c r="BW121" s="100">
        <f>OpCost!$E$19*BW$130</f>
        <v>1527.6799999999998</v>
      </c>
      <c r="BX121" s="100">
        <f>OpCost!$E$19*BX$130</f>
        <v>1478.4</v>
      </c>
      <c r="BY121" s="100">
        <f>OpCost!$E$19*BY$130</f>
        <v>1527.6799999999998</v>
      </c>
      <c r="BZ121" s="100">
        <f>OpCost!$E$19*BZ$130</f>
        <v>1527.6799999999998</v>
      </c>
      <c r="CA121" s="100">
        <f>OpCost!$E$19*CA$130</f>
        <v>1379.8400000000001</v>
      </c>
      <c r="CB121" s="100">
        <f>OpCost!$E$19*CB$130</f>
        <v>1527.6799999999998</v>
      </c>
      <c r="CC121" s="100">
        <f>OpCost!$E$19*CC$130</f>
        <v>1478.4</v>
      </c>
      <c r="CD121" s="100">
        <f>OpCost!$E$19*CD$130</f>
        <v>1527.6799999999998</v>
      </c>
      <c r="CE121" s="100">
        <f>OpCost!$E$19*CE$130</f>
        <v>1478.4</v>
      </c>
      <c r="CF121" s="100">
        <f>OpCost!$E$19*CF$130</f>
        <v>1527.6799999999998</v>
      </c>
      <c r="CG121" s="100">
        <f>OpCost!$E$19*CG$130</f>
        <v>1527.6799999999998</v>
      </c>
      <c r="CH121" s="100">
        <f>OpCost!$E$19*CH$130</f>
        <v>1478.4</v>
      </c>
      <c r="CI121" s="100">
        <f>OpCost!$E$19*CI$130</f>
        <v>1527.6799999999998</v>
      </c>
      <c r="CJ121" s="100">
        <f>OpCost!$E$19*CJ$130</f>
        <v>1478.4</v>
      </c>
      <c r="CK121" s="100">
        <f>OpCost!$E$19*CK$130</f>
        <v>1527.6799999999998</v>
      </c>
      <c r="CL121" s="100">
        <f>OpCost!$E$19*CL$130</f>
        <v>1527.6799999999998</v>
      </c>
      <c r="CM121" s="100">
        <f>OpCost!$E$19*CM$130</f>
        <v>1379.8400000000001</v>
      </c>
      <c r="CN121" s="100">
        <f>OpCost!$E$19*CN$130</f>
        <v>1527.6799999999998</v>
      </c>
      <c r="CO121" s="100">
        <f>OpCost!$E$19*CO$130</f>
        <v>1478.4</v>
      </c>
      <c r="CP121" s="100">
        <f>OpCost!$E$19*CP$130</f>
        <v>1527.6799999999998</v>
      </c>
      <c r="CQ121" s="100">
        <f>OpCost!$E$19*CQ$130</f>
        <v>1478.4</v>
      </c>
      <c r="CR121" s="100">
        <f>OpCost!$E$19*CR$130</f>
        <v>1527.6799999999998</v>
      </c>
      <c r="CS121" s="100">
        <f>OpCost!$E$19*CS$130</f>
        <v>1527.6799999999998</v>
      </c>
      <c r="CT121" s="100">
        <f>OpCost!$E$19*CT$130</f>
        <v>1478.4</v>
      </c>
      <c r="CU121" s="100">
        <f>OpCost!$E$19*CU$130</f>
        <v>1527.6799999999998</v>
      </c>
      <c r="CV121" s="100">
        <f>OpCost!$E$19*CV$130</f>
        <v>1478.4</v>
      </c>
      <c r="CW121" s="100">
        <f>OpCost!$E$19*CW$130</f>
        <v>1527.6799999999998</v>
      </c>
      <c r="CX121" s="100">
        <f>OpCost!$E$19*CX$130</f>
        <v>1527.6799999999998</v>
      </c>
      <c r="CY121" s="100">
        <f>OpCost!$E$19*CY$130</f>
        <v>1379.8400000000001</v>
      </c>
      <c r="CZ121" s="100">
        <f>OpCost!$E$19*CZ$130</f>
        <v>1527.6799999999998</v>
      </c>
      <c r="DA121" s="100">
        <f>OpCost!$E$19*DA$130</f>
        <v>1478.4</v>
      </c>
      <c r="DB121" s="100">
        <f>OpCost!$E$19*DB$130</f>
        <v>1527.6799999999998</v>
      </c>
      <c r="DC121" s="100">
        <f>OpCost!$E$19*DC$130</f>
        <v>1478.4</v>
      </c>
      <c r="DD121" s="100">
        <f>OpCost!$E$19*DD$130</f>
        <v>1527.6799999999998</v>
      </c>
      <c r="DE121" s="100">
        <f>OpCost!$E$19*DE$130</f>
        <v>1527.6799999999998</v>
      </c>
      <c r="DF121" s="100">
        <f>OpCost!$E$19*DF$130</f>
        <v>1478.4</v>
      </c>
      <c r="DG121" s="100">
        <f>OpCost!$E$19*DG$130</f>
        <v>1527.6799999999998</v>
      </c>
      <c r="DH121" s="100">
        <f>OpCost!$E$19*DH$130</f>
        <v>1478.4</v>
      </c>
      <c r="DI121" s="100">
        <f>OpCost!$E$19*DI$130</f>
        <v>1527.6799999999998</v>
      </c>
      <c r="DJ121" s="100">
        <f>OpCost!$E$19*DJ$130</f>
        <v>1527.6799999999998</v>
      </c>
      <c r="DK121" s="100">
        <f>OpCost!$E$19*DK$130</f>
        <v>1379.8400000000001</v>
      </c>
      <c r="DL121" s="100">
        <f>OpCost!$E$19*DL$130</f>
        <v>1527.6799999999998</v>
      </c>
      <c r="DM121" s="100">
        <f>OpCost!$E$19*DM$130</f>
        <v>1478.4</v>
      </c>
      <c r="DN121" s="100">
        <f>OpCost!$E$19*DN$130</f>
        <v>1527.6799999999998</v>
      </c>
      <c r="DO121" s="100">
        <f>OpCost!$E$19*DO$130</f>
        <v>1478.4</v>
      </c>
      <c r="DP121" s="100">
        <f>OpCost!$E$19*DP$130</f>
        <v>1527.6799999999998</v>
      </c>
      <c r="DQ121" s="100">
        <f>OpCost!$E$19*DQ$130</f>
        <v>1527.6799999999998</v>
      </c>
      <c r="DR121" s="100">
        <f>OpCost!$E$19*DR$130</f>
        <v>1478.4</v>
      </c>
      <c r="DS121" s="100">
        <f>OpCost!$E$19*DS$130</f>
        <v>1527.6799999999998</v>
      </c>
      <c r="DT121" s="100">
        <f>OpCost!$E$19*DT$130</f>
        <v>1478.4</v>
      </c>
      <c r="DU121" s="100">
        <f>OpCost!$E$19*DU$130</f>
        <v>1527.6799999999998</v>
      </c>
      <c r="DV121" s="100">
        <f>OpCost!$E$19*DV$130</f>
        <v>1527.6799999999998</v>
      </c>
      <c r="DW121" s="100">
        <f>OpCost!$E$19*DW$130</f>
        <v>1379.8400000000001</v>
      </c>
      <c r="DX121" s="100">
        <f>OpCost!$E$19*DX$130</f>
        <v>1527.6799999999998</v>
      </c>
      <c r="DY121" s="100">
        <f>OpCost!$E$19*DY$130</f>
        <v>1478.4</v>
      </c>
      <c r="DZ121" s="100">
        <f>OpCost!$E$19*DZ$130</f>
        <v>1527.6799999999998</v>
      </c>
      <c r="EA121" s="100">
        <f>OpCost!$E$19*EA$130</f>
        <v>1478.4</v>
      </c>
      <c r="EB121" s="100">
        <f>OpCost!$E$19*EB$130</f>
        <v>1527.6799999999998</v>
      </c>
      <c r="EC121" s="100">
        <f>OpCost!$E$19*EC$130</f>
        <v>1527.6799999999998</v>
      </c>
      <c r="ED121" s="100">
        <f>OpCost!$E$19*ED$130</f>
        <v>1478.4</v>
      </c>
      <c r="EE121" s="100">
        <f>OpCost!$E$19*EE$130</f>
        <v>1527.6799999999998</v>
      </c>
      <c r="EF121" s="100">
        <f>OpCost!$E$19*EF$130</f>
        <v>1478.4</v>
      </c>
      <c r="EG121" s="100">
        <f>OpCost!$E$19*EG$130</f>
        <v>1527.6799999999998</v>
      </c>
      <c r="EH121" s="100">
        <f>OpCost!$E$19*EH$130</f>
        <v>1527.6799999999998</v>
      </c>
      <c r="EI121" s="100">
        <f>OpCost!$E$19*EI$130</f>
        <v>1379.8400000000001</v>
      </c>
      <c r="EJ121" s="100">
        <f>OpCost!$E$19*EJ$130</f>
        <v>1527.6799999999998</v>
      </c>
      <c r="EK121" s="100">
        <f>OpCost!$E$19*EK$130</f>
        <v>1478.4</v>
      </c>
      <c r="EL121" s="100">
        <f>OpCost!$E$19*EL$130</f>
        <v>1527.6799999999998</v>
      </c>
      <c r="EM121" s="100">
        <f>OpCost!$E$19*EM$130</f>
        <v>1478.4</v>
      </c>
      <c r="EN121" s="100">
        <f>OpCost!$E$19*EN$130</f>
        <v>1527.6799999999998</v>
      </c>
      <c r="EO121" s="100">
        <f>OpCost!$E$19*EO$130</f>
        <v>1527.6799999999998</v>
      </c>
      <c r="EP121" s="100">
        <f>OpCost!$E$19*EP$130</f>
        <v>1478.4</v>
      </c>
      <c r="EQ121" s="100">
        <f>OpCost!$E$19*EQ$130</f>
        <v>1527.6799999999998</v>
      </c>
      <c r="ER121" s="100">
        <f>OpCost!$E$19*ER$130</f>
        <v>1478.4</v>
      </c>
      <c r="ES121" s="100">
        <f>OpCost!$E$19*ES$130</f>
        <v>1527.6799999999998</v>
      </c>
      <c r="ET121" s="100">
        <f>OpCost!$E$19*ET$130</f>
        <v>1527.6799999999998</v>
      </c>
      <c r="EU121" s="100">
        <f>OpCost!$E$19*EU$130</f>
        <v>1379.8400000000001</v>
      </c>
      <c r="EV121" s="100">
        <f>OpCost!$E$19*EV$130</f>
        <v>1527.6799999999998</v>
      </c>
      <c r="EW121" s="100">
        <f>OpCost!$E$19*EW$130</f>
        <v>1478.4</v>
      </c>
      <c r="EX121" s="100">
        <f>OpCost!$E$19*EX$130</f>
        <v>1527.6799999999998</v>
      </c>
      <c r="EY121" s="100">
        <f>OpCost!$E$19*EY$130</f>
        <v>1478.4</v>
      </c>
      <c r="EZ121" s="100">
        <f>OpCost!$E$19*EZ$130</f>
        <v>1527.6799999999998</v>
      </c>
      <c r="FA121" s="100">
        <f>OpCost!$E$19*FA$130</f>
        <v>1527.6799999999998</v>
      </c>
      <c r="FB121" s="100">
        <f>OpCost!$E$19*FB$130</f>
        <v>1478.4</v>
      </c>
      <c r="FC121" s="100">
        <f>OpCost!$E$19*FC$130</f>
        <v>1527.6799999999998</v>
      </c>
      <c r="FD121" s="100">
        <f>OpCost!$E$19*FD$130</f>
        <v>1478.4</v>
      </c>
      <c r="FE121" s="100">
        <f>OpCost!$E$19*FE$130</f>
        <v>1527.6799999999998</v>
      </c>
      <c r="FF121" s="100">
        <f>OpCost!$E$19*FF$130</f>
        <v>1527.6799999999998</v>
      </c>
      <c r="FG121" s="100">
        <f>OpCost!$E$19*FG$130</f>
        <v>1379.8400000000001</v>
      </c>
      <c r="FH121" s="100">
        <f>OpCost!$E$19*FH$130</f>
        <v>1527.6799999999998</v>
      </c>
      <c r="FI121" s="100">
        <f>OpCost!$E$19*FI$130</f>
        <v>1478.4</v>
      </c>
      <c r="FJ121" s="100">
        <f>OpCost!$E$19*FJ$130</f>
        <v>1527.6799999999998</v>
      </c>
      <c r="FK121" s="100">
        <f>OpCost!$E$19*FK$130</f>
        <v>1478.4</v>
      </c>
      <c r="FL121" s="100">
        <f>OpCost!$E$19*FL$130</f>
        <v>1527.6799999999998</v>
      </c>
      <c r="FM121" s="100">
        <f>OpCost!$E$19*FM$130</f>
        <v>1527.6799999999998</v>
      </c>
      <c r="FN121" s="100">
        <f>OpCost!$E$19*FN$130</f>
        <v>1478.4</v>
      </c>
      <c r="FO121" s="100">
        <f>OpCost!$E$19*FO$130</f>
        <v>1527.6799999999998</v>
      </c>
      <c r="FP121" s="100">
        <f>OpCost!$E$19*FP$130</f>
        <v>1478.4</v>
      </c>
      <c r="FQ121" s="100">
        <f>OpCost!$E$19*FQ$130</f>
        <v>1527.6799999999998</v>
      </c>
      <c r="FR121" s="100">
        <f>OpCost!$E$19*FR$130</f>
        <v>1527.6799999999998</v>
      </c>
      <c r="FS121" s="100">
        <f>OpCost!$E$19*FS$130</f>
        <v>1379.8400000000001</v>
      </c>
      <c r="FT121" s="100">
        <f>OpCost!$E$19*FT$130</f>
        <v>1527.6799999999998</v>
      </c>
      <c r="FU121" s="100">
        <f>OpCost!$E$19*FU$130</f>
        <v>1478.4</v>
      </c>
      <c r="FV121" s="100">
        <f>OpCost!$E$19*FV$130</f>
        <v>1527.6799999999998</v>
      </c>
      <c r="FW121" s="100">
        <f>OpCost!$E$19*FW$130</f>
        <v>1478.4</v>
      </c>
      <c r="FX121" s="100">
        <f>OpCost!$E$19*FX$130</f>
        <v>1527.6799999999998</v>
      </c>
      <c r="FY121" s="100">
        <f>OpCost!$E$19*FY$130</f>
        <v>1527.6799999999998</v>
      </c>
      <c r="FZ121" s="100">
        <f>OpCost!$E$19*FZ$130</f>
        <v>1478.4</v>
      </c>
      <c r="GA121" s="100">
        <f>OpCost!$E$19*GA$130</f>
        <v>1527.6799999999998</v>
      </c>
      <c r="GB121" s="100">
        <f>OpCost!$E$19*GB$130</f>
        <v>1478.4</v>
      </c>
      <c r="GC121" s="100">
        <f>OpCost!$E$19*GC$130</f>
        <v>1527.6799999999998</v>
      </c>
    </row>
    <row r="122" spans="1:185">
      <c r="A122" s="10"/>
      <c r="B122" s="80" t="s">
        <v>152</v>
      </c>
      <c r="C122" s="80"/>
      <c r="D122" s="80"/>
      <c r="E122" s="82">
        <f t="shared" si="111"/>
        <v>81050.199999999953</v>
      </c>
      <c r="F122" s="100">
        <f>OpCost!$E$20*F$130</f>
        <v>0</v>
      </c>
      <c r="G122" s="100">
        <f>OpCost!$E$20*G$130</f>
        <v>0</v>
      </c>
      <c r="H122" s="100">
        <f>OpCost!$E$20*H$130</f>
        <v>0</v>
      </c>
      <c r="I122" s="100">
        <f>OpCost!$E$20*I$130</f>
        <v>0</v>
      </c>
      <c r="J122" s="100">
        <f>OpCost!$E$20*J$130</f>
        <v>0</v>
      </c>
      <c r="K122" s="100">
        <f>OpCost!$E$20*K$130</f>
        <v>0</v>
      </c>
      <c r="L122" s="100">
        <f>OpCost!$E$20*L$130</f>
        <v>0</v>
      </c>
      <c r="M122" s="100">
        <f>OpCost!$E$20*M$130</f>
        <v>477.39999999999992</v>
      </c>
      <c r="N122" s="100">
        <f>OpCost!$E$20*N$130</f>
        <v>461.99999999999994</v>
      </c>
      <c r="O122" s="100">
        <f>OpCost!$E$20*O$130</f>
        <v>477.39999999999992</v>
      </c>
      <c r="P122" s="100">
        <f>OpCost!$E$20*P$130</f>
        <v>461.99999999999994</v>
      </c>
      <c r="Q122" s="100">
        <f>OpCost!$E$20*Q$130</f>
        <v>477.39999999999992</v>
      </c>
      <c r="R122" s="100">
        <f>OpCost!$E$20*R$130</f>
        <v>477.39999999999992</v>
      </c>
      <c r="S122" s="100">
        <f>OpCost!$E$20*S$130</f>
        <v>431.2</v>
      </c>
      <c r="T122" s="100">
        <f>OpCost!$E$20*T$130</f>
        <v>477.39999999999992</v>
      </c>
      <c r="U122" s="100">
        <f>OpCost!$E$20*U$130</f>
        <v>461.99999999999994</v>
      </c>
      <c r="V122" s="100">
        <f>OpCost!$E$20*V$130</f>
        <v>477.39999999999992</v>
      </c>
      <c r="W122" s="100">
        <f>OpCost!$E$20*W$130</f>
        <v>461.99999999999994</v>
      </c>
      <c r="X122" s="100">
        <f>OpCost!$E$20*X$130</f>
        <v>477.39999999999992</v>
      </c>
      <c r="Y122" s="100">
        <f>OpCost!$E$20*Y$130</f>
        <v>477.39999999999992</v>
      </c>
      <c r="Z122" s="100">
        <f>OpCost!$E$20*Z$130</f>
        <v>461.99999999999994</v>
      </c>
      <c r="AA122" s="100">
        <f>OpCost!$E$20*AA$130</f>
        <v>477.39999999999992</v>
      </c>
      <c r="AB122" s="100">
        <f>OpCost!$E$20*AB$130</f>
        <v>461.99999999999994</v>
      </c>
      <c r="AC122" s="100">
        <f>OpCost!$E$20*AC$130</f>
        <v>477.39999999999992</v>
      </c>
      <c r="AD122" s="100">
        <f>OpCost!$E$20*AD$130</f>
        <v>477.39999999999992</v>
      </c>
      <c r="AE122" s="100">
        <f>OpCost!$E$20*AE$130</f>
        <v>431.2</v>
      </c>
      <c r="AF122" s="100">
        <f>OpCost!$E$20*AF$130</f>
        <v>477.39999999999992</v>
      </c>
      <c r="AG122" s="100">
        <f>OpCost!$E$20*AG$130</f>
        <v>461.99999999999994</v>
      </c>
      <c r="AH122" s="100">
        <f>OpCost!$E$20*AH$130</f>
        <v>477.39999999999992</v>
      </c>
      <c r="AI122" s="100">
        <f>OpCost!$E$20*AI$130</f>
        <v>461.99999999999994</v>
      </c>
      <c r="AJ122" s="100">
        <f>OpCost!$E$20*AJ$130</f>
        <v>477.39999999999992</v>
      </c>
      <c r="AK122" s="100">
        <f>OpCost!$E$20*AK$130</f>
        <v>477.39999999999992</v>
      </c>
      <c r="AL122" s="100">
        <f>OpCost!$E$20*AL$130</f>
        <v>461.99999999999994</v>
      </c>
      <c r="AM122" s="100">
        <f>OpCost!$E$20*AM$130</f>
        <v>477.39999999999992</v>
      </c>
      <c r="AN122" s="100">
        <f>OpCost!$E$20*AN$130</f>
        <v>461.99999999999994</v>
      </c>
      <c r="AO122" s="100">
        <f>OpCost!$E$20*AO$130</f>
        <v>477.39999999999992</v>
      </c>
      <c r="AP122" s="100">
        <f>OpCost!$E$20*AP$130</f>
        <v>477.39999999999992</v>
      </c>
      <c r="AQ122" s="100">
        <f>OpCost!$E$20*AQ$130</f>
        <v>431.2</v>
      </c>
      <c r="AR122" s="100">
        <f>OpCost!$E$20*AR$130</f>
        <v>477.39999999999992</v>
      </c>
      <c r="AS122" s="100">
        <f>OpCost!$E$20*AS$130</f>
        <v>461.99999999999994</v>
      </c>
      <c r="AT122" s="100">
        <f>OpCost!$E$20*AT$130</f>
        <v>477.39999999999992</v>
      </c>
      <c r="AU122" s="100">
        <f>OpCost!$E$20*AU$130</f>
        <v>461.99999999999994</v>
      </c>
      <c r="AV122" s="100">
        <f>OpCost!$E$20*AV$130</f>
        <v>477.39999999999992</v>
      </c>
      <c r="AW122" s="100">
        <f>OpCost!$E$20*AW$130</f>
        <v>477.39999999999992</v>
      </c>
      <c r="AX122" s="100">
        <f>OpCost!$E$20*AX$130</f>
        <v>461.99999999999994</v>
      </c>
      <c r="AY122" s="100">
        <f>OpCost!$E$20*AY$130</f>
        <v>477.39999999999992</v>
      </c>
      <c r="AZ122" s="100">
        <f>OpCost!$E$20*AZ$130</f>
        <v>461.99999999999994</v>
      </c>
      <c r="BA122" s="100">
        <f>OpCost!$E$20*BA$130</f>
        <v>477.39999999999992</v>
      </c>
      <c r="BB122" s="100">
        <f>OpCost!$E$20*BB$130</f>
        <v>477.39999999999992</v>
      </c>
      <c r="BC122" s="100">
        <f>OpCost!$E$20*BC$130</f>
        <v>431.2</v>
      </c>
      <c r="BD122" s="100">
        <f>OpCost!$E$20*BD$130</f>
        <v>477.39999999999992</v>
      </c>
      <c r="BE122" s="100">
        <f>OpCost!$E$20*BE$130</f>
        <v>461.99999999999994</v>
      </c>
      <c r="BF122" s="100">
        <f>OpCost!$E$20*BF$130</f>
        <v>477.39999999999992</v>
      </c>
      <c r="BG122" s="100">
        <f>OpCost!$E$20*BG$130</f>
        <v>461.99999999999994</v>
      </c>
      <c r="BH122" s="100">
        <f>OpCost!$E$20*BH$130</f>
        <v>477.39999999999992</v>
      </c>
      <c r="BI122" s="100">
        <f>OpCost!$E$20*BI$130</f>
        <v>477.39999999999992</v>
      </c>
      <c r="BJ122" s="100">
        <f>OpCost!$E$20*BJ$130</f>
        <v>461.99999999999994</v>
      </c>
      <c r="BK122" s="100">
        <f>OpCost!$E$20*BK$130</f>
        <v>477.39999999999992</v>
      </c>
      <c r="BL122" s="100">
        <f>OpCost!$E$20*BL$130</f>
        <v>461.99999999999994</v>
      </c>
      <c r="BM122" s="100">
        <f>OpCost!$E$20*BM$130</f>
        <v>477.39999999999992</v>
      </c>
      <c r="BN122" s="100">
        <f>OpCost!$E$20*BN$130</f>
        <v>477.39999999999992</v>
      </c>
      <c r="BO122" s="100">
        <f>OpCost!$E$20*BO$130</f>
        <v>431.2</v>
      </c>
      <c r="BP122" s="100">
        <f>OpCost!$E$20*BP$130</f>
        <v>477.39999999999992</v>
      </c>
      <c r="BQ122" s="100">
        <f>OpCost!$E$20*BQ$130</f>
        <v>461.99999999999994</v>
      </c>
      <c r="BR122" s="100">
        <f>OpCost!$E$20*BR$130</f>
        <v>477.39999999999992</v>
      </c>
      <c r="BS122" s="100">
        <f>OpCost!$E$20*BS$130</f>
        <v>461.99999999999994</v>
      </c>
      <c r="BT122" s="100">
        <f>OpCost!$E$20*BT$130</f>
        <v>477.39999999999992</v>
      </c>
      <c r="BU122" s="100">
        <f>OpCost!$E$20*BU$130</f>
        <v>477.39999999999992</v>
      </c>
      <c r="BV122" s="100">
        <f>OpCost!$E$20*BV$130</f>
        <v>461.99999999999994</v>
      </c>
      <c r="BW122" s="100">
        <f>OpCost!$E$20*BW$130</f>
        <v>477.39999999999992</v>
      </c>
      <c r="BX122" s="100">
        <f>OpCost!$E$20*BX$130</f>
        <v>461.99999999999994</v>
      </c>
      <c r="BY122" s="100">
        <f>OpCost!$E$20*BY$130</f>
        <v>477.39999999999992</v>
      </c>
      <c r="BZ122" s="100">
        <f>OpCost!$E$20*BZ$130</f>
        <v>477.39999999999992</v>
      </c>
      <c r="CA122" s="100">
        <f>OpCost!$E$20*CA$130</f>
        <v>431.2</v>
      </c>
      <c r="CB122" s="100">
        <f>OpCost!$E$20*CB$130</f>
        <v>477.39999999999992</v>
      </c>
      <c r="CC122" s="100">
        <f>OpCost!$E$20*CC$130</f>
        <v>461.99999999999994</v>
      </c>
      <c r="CD122" s="100">
        <f>OpCost!$E$20*CD$130</f>
        <v>477.39999999999992</v>
      </c>
      <c r="CE122" s="100">
        <f>OpCost!$E$20*CE$130</f>
        <v>461.99999999999994</v>
      </c>
      <c r="CF122" s="100">
        <f>OpCost!$E$20*CF$130</f>
        <v>477.39999999999992</v>
      </c>
      <c r="CG122" s="100">
        <f>OpCost!$E$20*CG$130</f>
        <v>477.39999999999992</v>
      </c>
      <c r="CH122" s="100">
        <f>OpCost!$E$20*CH$130</f>
        <v>461.99999999999994</v>
      </c>
      <c r="CI122" s="100">
        <f>OpCost!$E$20*CI$130</f>
        <v>477.39999999999992</v>
      </c>
      <c r="CJ122" s="100">
        <f>OpCost!$E$20*CJ$130</f>
        <v>461.99999999999994</v>
      </c>
      <c r="CK122" s="100">
        <f>OpCost!$E$20*CK$130</f>
        <v>477.39999999999992</v>
      </c>
      <c r="CL122" s="100">
        <f>OpCost!$E$20*CL$130</f>
        <v>477.39999999999992</v>
      </c>
      <c r="CM122" s="100">
        <f>OpCost!$E$20*CM$130</f>
        <v>431.2</v>
      </c>
      <c r="CN122" s="100">
        <f>OpCost!$E$20*CN$130</f>
        <v>477.39999999999992</v>
      </c>
      <c r="CO122" s="100">
        <f>OpCost!$E$20*CO$130</f>
        <v>461.99999999999994</v>
      </c>
      <c r="CP122" s="100">
        <f>OpCost!$E$20*CP$130</f>
        <v>477.39999999999992</v>
      </c>
      <c r="CQ122" s="100">
        <f>OpCost!$E$20*CQ$130</f>
        <v>461.99999999999994</v>
      </c>
      <c r="CR122" s="100">
        <f>OpCost!$E$20*CR$130</f>
        <v>477.39999999999992</v>
      </c>
      <c r="CS122" s="100">
        <f>OpCost!$E$20*CS$130</f>
        <v>477.39999999999992</v>
      </c>
      <c r="CT122" s="100">
        <f>OpCost!$E$20*CT$130</f>
        <v>461.99999999999994</v>
      </c>
      <c r="CU122" s="100">
        <f>OpCost!$E$20*CU$130</f>
        <v>477.39999999999992</v>
      </c>
      <c r="CV122" s="100">
        <f>OpCost!$E$20*CV$130</f>
        <v>461.99999999999994</v>
      </c>
      <c r="CW122" s="100">
        <f>OpCost!$E$20*CW$130</f>
        <v>477.39999999999992</v>
      </c>
      <c r="CX122" s="100">
        <f>OpCost!$E$20*CX$130</f>
        <v>477.39999999999992</v>
      </c>
      <c r="CY122" s="100">
        <f>OpCost!$E$20*CY$130</f>
        <v>431.2</v>
      </c>
      <c r="CZ122" s="100">
        <f>OpCost!$E$20*CZ$130</f>
        <v>477.39999999999992</v>
      </c>
      <c r="DA122" s="100">
        <f>OpCost!$E$20*DA$130</f>
        <v>461.99999999999994</v>
      </c>
      <c r="DB122" s="100">
        <f>OpCost!$E$20*DB$130</f>
        <v>477.39999999999992</v>
      </c>
      <c r="DC122" s="100">
        <f>OpCost!$E$20*DC$130</f>
        <v>461.99999999999994</v>
      </c>
      <c r="DD122" s="100">
        <f>OpCost!$E$20*DD$130</f>
        <v>477.39999999999992</v>
      </c>
      <c r="DE122" s="100">
        <f>OpCost!$E$20*DE$130</f>
        <v>477.39999999999992</v>
      </c>
      <c r="DF122" s="100">
        <f>OpCost!$E$20*DF$130</f>
        <v>461.99999999999994</v>
      </c>
      <c r="DG122" s="100">
        <f>OpCost!$E$20*DG$130</f>
        <v>477.39999999999992</v>
      </c>
      <c r="DH122" s="100">
        <f>OpCost!$E$20*DH$130</f>
        <v>461.99999999999994</v>
      </c>
      <c r="DI122" s="100">
        <f>OpCost!$E$20*DI$130</f>
        <v>477.39999999999992</v>
      </c>
      <c r="DJ122" s="100">
        <f>OpCost!$E$20*DJ$130</f>
        <v>477.39999999999992</v>
      </c>
      <c r="DK122" s="100">
        <f>OpCost!$E$20*DK$130</f>
        <v>431.2</v>
      </c>
      <c r="DL122" s="100">
        <f>OpCost!$E$20*DL$130</f>
        <v>477.39999999999992</v>
      </c>
      <c r="DM122" s="100">
        <f>OpCost!$E$20*DM$130</f>
        <v>461.99999999999994</v>
      </c>
      <c r="DN122" s="100">
        <f>OpCost!$E$20*DN$130</f>
        <v>477.39999999999992</v>
      </c>
      <c r="DO122" s="100">
        <f>OpCost!$E$20*DO$130</f>
        <v>461.99999999999994</v>
      </c>
      <c r="DP122" s="100">
        <f>OpCost!$E$20*DP$130</f>
        <v>477.39999999999992</v>
      </c>
      <c r="DQ122" s="100">
        <f>OpCost!$E$20*DQ$130</f>
        <v>477.39999999999992</v>
      </c>
      <c r="DR122" s="100">
        <f>OpCost!$E$20*DR$130</f>
        <v>461.99999999999994</v>
      </c>
      <c r="DS122" s="100">
        <f>OpCost!$E$20*DS$130</f>
        <v>477.39999999999992</v>
      </c>
      <c r="DT122" s="100">
        <f>OpCost!$E$20*DT$130</f>
        <v>461.99999999999994</v>
      </c>
      <c r="DU122" s="100">
        <f>OpCost!$E$20*DU$130</f>
        <v>477.39999999999992</v>
      </c>
      <c r="DV122" s="100">
        <f>OpCost!$E$20*DV$130</f>
        <v>477.39999999999992</v>
      </c>
      <c r="DW122" s="100">
        <f>OpCost!$E$20*DW$130</f>
        <v>431.2</v>
      </c>
      <c r="DX122" s="100">
        <f>OpCost!$E$20*DX$130</f>
        <v>477.39999999999992</v>
      </c>
      <c r="DY122" s="100">
        <f>OpCost!$E$20*DY$130</f>
        <v>461.99999999999994</v>
      </c>
      <c r="DZ122" s="100">
        <f>OpCost!$E$20*DZ$130</f>
        <v>477.39999999999992</v>
      </c>
      <c r="EA122" s="100">
        <f>OpCost!$E$20*EA$130</f>
        <v>461.99999999999994</v>
      </c>
      <c r="EB122" s="100">
        <f>OpCost!$E$20*EB$130</f>
        <v>477.39999999999992</v>
      </c>
      <c r="EC122" s="100">
        <f>OpCost!$E$20*EC$130</f>
        <v>477.39999999999992</v>
      </c>
      <c r="ED122" s="100">
        <f>OpCost!$E$20*ED$130</f>
        <v>461.99999999999994</v>
      </c>
      <c r="EE122" s="100">
        <f>OpCost!$E$20*EE$130</f>
        <v>477.39999999999992</v>
      </c>
      <c r="EF122" s="100">
        <f>OpCost!$E$20*EF$130</f>
        <v>461.99999999999994</v>
      </c>
      <c r="EG122" s="100">
        <f>OpCost!$E$20*EG$130</f>
        <v>477.39999999999992</v>
      </c>
      <c r="EH122" s="100">
        <f>OpCost!$E$20*EH$130</f>
        <v>477.39999999999992</v>
      </c>
      <c r="EI122" s="100">
        <f>OpCost!$E$20*EI$130</f>
        <v>431.2</v>
      </c>
      <c r="EJ122" s="100">
        <f>OpCost!$E$20*EJ$130</f>
        <v>477.39999999999992</v>
      </c>
      <c r="EK122" s="100">
        <f>OpCost!$E$20*EK$130</f>
        <v>461.99999999999994</v>
      </c>
      <c r="EL122" s="100">
        <f>OpCost!$E$20*EL$130</f>
        <v>477.39999999999992</v>
      </c>
      <c r="EM122" s="100">
        <f>OpCost!$E$20*EM$130</f>
        <v>461.99999999999994</v>
      </c>
      <c r="EN122" s="100">
        <f>OpCost!$E$20*EN$130</f>
        <v>477.39999999999992</v>
      </c>
      <c r="EO122" s="100">
        <f>OpCost!$E$20*EO$130</f>
        <v>477.39999999999992</v>
      </c>
      <c r="EP122" s="100">
        <f>OpCost!$E$20*EP$130</f>
        <v>461.99999999999994</v>
      </c>
      <c r="EQ122" s="100">
        <f>OpCost!$E$20*EQ$130</f>
        <v>477.39999999999992</v>
      </c>
      <c r="ER122" s="100">
        <f>OpCost!$E$20*ER$130</f>
        <v>461.99999999999994</v>
      </c>
      <c r="ES122" s="100">
        <f>OpCost!$E$20*ES$130</f>
        <v>477.39999999999992</v>
      </c>
      <c r="ET122" s="100">
        <f>OpCost!$E$20*ET$130</f>
        <v>477.39999999999992</v>
      </c>
      <c r="EU122" s="100">
        <f>OpCost!$E$20*EU$130</f>
        <v>431.2</v>
      </c>
      <c r="EV122" s="100">
        <f>OpCost!$E$20*EV$130</f>
        <v>477.39999999999992</v>
      </c>
      <c r="EW122" s="100">
        <f>OpCost!$E$20*EW$130</f>
        <v>461.99999999999994</v>
      </c>
      <c r="EX122" s="100">
        <f>OpCost!$E$20*EX$130</f>
        <v>477.39999999999992</v>
      </c>
      <c r="EY122" s="100">
        <f>OpCost!$E$20*EY$130</f>
        <v>461.99999999999994</v>
      </c>
      <c r="EZ122" s="100">
        <f>OpCost!$E$20*EZ$130</f>
        <v>477.39999999999992</v>
      </c>
      <c r="FA122" s="100">
        <f>OpCost!$E$20*FA$130</f>
        <v>477.39999999999992</v>
      </c>
      <c r="FB122" s="100">
        <f>OpCost!$E$20*FB$130</f>
        <v>461.99999999999994</v>
      </c>
      <c r="FC122" s="100">
        <f>OpCost!$E$20*FC$130</f>
        <v>477.39999999999992</v>
      </c>
      <c r="FD122" s="100">
        <f>OpCost!$E$20*FD$130</f>
        <v>461.99999999999994</v>
      </c>
      <c r="FE122" s="100">
        <f>OpCost!$E$20*FE$130</f>
        <v>477.39999999999992</v>
      </c>
      <c r="FF122" s="100">
        <f>OpCost!$E$20*FF$130</f>
        <v>477.39999999999992</v>
      </c>
      <c r="FG122" s="100">
        <f>OpCost!$E$20*FG$130</f>
        <v>431.2</v>
      </c>
      <c r="FH122" s="100">
        <f>OpCost!$E$20*FH$130</f>
        <v>477.39999999999992</v>
      </c>
      <c r="FI122" s="100">
        <f>OpCost!$E$20*FI$130</f>
        <v>461.99999999999994</v>
      </c>
      <c r="FJ122" s="100">
        <f>OpCost!$E$20*FJ$130</f>
        <v>477.39999999999992</v>
      </c>
      <c r="FK122" s="100">
        <f>OpCost!$E$20*FK$130</f>
        <v>461.99999999999994</v>
      </c>
      <c r="FL122" s="100">
        <f>OpCost!$E$20*FL$130</f>
        <v>477.39999999999992</v>
      </c>
      <c r="FM122" s="100">
        <f>OpCost!$E$20*FM$130</f>
        <v>477.39999999999992</v>
      </c>
      <c r="FN122" s="100">
        <f>OpCost!$E$20*FN$130</f>
        <v>461.99999999999994</v>
      </c>
      <c r="FO122" s="100">
        <f>OpCost!$E$20*FO$130</f>
        <v>477.39999999999992</v>
      </c>
      <c r="FP122" s="100">
        <f>OpCost!$E$20*FP$130</f>
        <v>461.99999999999994</v>
      </c>
      <c r="FQ122" s="100">
        <f>OpCost!$E$20*FQ$130</f>
        <v>477.39999999999992</v>
      </c>
      <c r="FR122" s="100">
        <f>OpCost!$E$20*FR$130</f>
        <v>477.39999999999992</v>
      </c>
      <c r="FS122" s="100">
        <f>OpCost!$E$20*FS$130</f>
        <v>431.2</v>
      </c>
      <c r="FT122" s="100">
        <f>OpCost!$E$20*FT$130</f>
        <v>477.39999999999992</v>
      </c>
      <c r="FU122" s="100">
        <f>OpCost!$E$20*FU$130</f>
        <v>461.99999999999994</v>
      </c>
      <c r="FV122" s="100">
        <f>OpCost!$E$20*FV$130</f>
        <v>477.39999999999992</v>
      </c>
      <c r="FW122" s="100">
        <f>OpCost!$E$20*FW$130</f>
        <v>461.99999999999994</v>
      </c>
      <c r="FX122" s="100">
        <f>OpCost!$E$20*FX$130</f>
        <v>477.39999999999992</v>
      </c>
      <c r="FY122" s="100">
        <f>OpCost!$E$20*FY$130</f>
        <v>477.39999999999992</v>
      </c>
      <c r="FZ122" s="100">
        <f>OpCost!$E$20*FZ$130</f>
        <v>461.99999999999994</v>
      </c>
      <c r="GA122" s="100">
        <f>OpCost!$E$20*GA$130</f>
        <v>477.39999999999992</v>
      </c>
      <c r="GB122" s="100">
        <f>OpCost!$E$20*GB$130</f>
        <v>461.99999999999994</v>
      </c>
      <c r="GC122" s="100">
        <f>OpCost!$E$20*GC$130</f>
        <v>477.39999999999992</v>
      </c>
    </row>
    <row r="123" spans="1:185">
      <c r="A123" s="80"/>
      <c r="B123" s="80" t="s">
        <v>153</v>
      </c>
      <c r="C123" s="80" t="s">
        <v>35</v>
      </c>
      <c r="D123" s="80"/>
      <c r="E123" s="82">
        <f>SUM(F123:GC123)</f>
        <v>7888778.0663999794</v>
      </c>
      <c r="F123" s="111">
        <f>SUM(F103:F122)</f>
        <v>0</v>
      </c>
      <c r="G123" s="111">
        <f t="shared" ref="G123:BR123" si="112">SUM(G103:G122)</f>
        <v>0</v>
      </c>
      <c r="H123" s="111">
        <f t="shared" si="112"/>
        <v>0</v>
      </c>
      <c r="I123" s="111">
        <f t="shared" si="112"/>
        <v>0</v>
      </c>
      <c r="J123" s="111">
        <f t="shared" si="112"/>
        <v>0</v>
      </c>
      <c r="K123" s="111">
        <f t="shared" si="112"/>
        <v>0</v>
      </c>
      <c r="L123" s="111">
        <f t="shared" si="112"/>
        <v>0</v>
      </c>
      <c r="M123" s="111">
        <f t="shared" si="112"/>
        <v>46466.296799999996</v>
      </c>
      <c r="N123" s="111">
        <f t="shared" si="112"/>
        <v>44967.384000000005</v>
      </c>
      <c r="O123" s="111">
        <f t="shared" si="112"/>
        <v>46466.296799999996</v>
      </c>
      <c r="P123" s="111">
        <f t="shared" si="112"/>
        <v>44967.384000000005</v>
      </c>
      <c r="Q123" s="111">
        <f t="shared" si="112"/>
        <v>46466.296799999996</v>
      </c>
      <c r="R123" s="111">
        <f t="shared" si="112"/>
        <v>46466.296799999996</v>
      </c>
      <c r="S123" s="111">
        <f t="shared" si="112"/>
        <v>41969.558399999994</v>
      </c>
      <c r="T123" s="111">
        <f t="shared" si="112"/>
        <v>46466.296799999996</v>
      </c>
      <c r="U123" s="111">
        <f t="shared" si="112"/>
        <v>44967.384000000005</v>
      </c>
      <c r="V123" s="111">
        <f t="shared" si="112"/>
        <v>46466.296799999996</v>
      </c>
      <c r="W123" s="111">
        <f t="shared" si="112"/>
        <v>44967.384000000005</v>
      </c>
      <c r="X123" s="111">
        <f t="shared" si="112"/>
        <v>46466.296799999996</v>
      </c>
      <c r="Y123" s="111">
        <f t="shared" si="112"/>
        <v>46466.296799999996</v>
      </c>
      <c r="Z123" s="111">
        <f t="shared" si="112"/>
        <v>44967.384000000005</v>
      </c>
      <c r="AA123" s="111">
        <f t="shared" si="112"/>
        <v>46466.296799999996</v>
      </c>
      <c r="AB123" s="111">
        <f t="shared" si="112"/>
        <v>44967.384000000005</v>
      </c>
      <c r="AC123" s="111">
        <f t="shared" si="112"/>
        <v>46466.296799999996</v>
      </c>
      <c r="AD123" s="111">
        <f t="shared" si="112"/>
        <v>46466.296799999996</v>
      </c>
      <c r="AE123" s="111">
        <f t="shared" si="112"/>
        <v>41969.558399999994</v>
      </c>
      <c r="AF123" s="111">
        <f t="shared" si="112"/>
        <v>46466.296799999996</v>
      </c>
      <c r="AG123" s="111">
        <f t="shared" si="112"/>
        <v>44967.384000000005</v>
      </c>
      <c r="AH123" s="111">
        <f t="shared" si="112"/>
        <v>46466.296799999996</v>
      </c>
      <c r="AI123" s="111">
        <f t="shared" si="112"/>
        <v>44967.384000000005</v>
      </c>
      <c r="AJ123" s="111">
        <f t="shared" si="112"/>
        <v>46466.296799999996</v>
      </c>
      <c r="AK123" s="111">
        <f t="shared" si="112"/>
        <v>46466.296799999996</v>
      </c>
      <c r="AL123" s="111">
        <f t="shared" si="112"/>
        <v>44967.384000000005</v>
      </c>
      <c r="AM123" s="111">
        <f t="shared" si="112"/>
        <v>46466.296799999996</v>
      </c>
      <c r="AN123" s="111">
        <f t="shared" si="112"/>
        <v>44967.384000000005</v>
      </c>
      <c r="AO123" s="111">
        <f t="shared" si="112"/>
        <v>46466.296799999996</v>
      </c>
      <c r="AP123" s="111">
        <f t="shared" si="112"/>
        <v>46466.296799999996</v>
      </c>
      <c r="AQ123" s="111">
        <f t="shared" si="112"/>
        <v>41969.558399999994</v>
      </c>
      <c r="AR123" s="111">
        <f t="shared" si="112"/>
        <v>46466.296799999996</v>
      </c>
      <c r="AS123" s="111">
        <f t="shared" si="112"/>
        <v>44967.384000000005</v>
      </c>
      <c r="AT123" s="111">
        <f t="shared" si="112"/>
        <v>46466.296799999996</v>
      </c>
      <c r="AU123" s="111">
        <f t="shared" si="112"/>
        <v>44967.384000000005</v>
      </c>
      <c r="AV123" s="111">
        <f t="shared" si="112"/>
        <v>46466.296799999996</v>
      </c>
      <c r="AW123" s="111">
        <f t="shared" si="112"/>
        <v>46466.296799999996</v>
      </c>
      <c r="AX123" s="111">
        <f t="shared" si="112"/>
        <v>44967.384000000005</v>
      </c>
      <c r="AY123" s="111">
        <f t="shared" si="112"/>
        <v>46466.296799999996</v>
      </c>
      <c r="AZ123" s="111">
        <f t="shared" si="112"/>
        <v>44967.384000000005</v>
      </c>
      <c r="BA123" s="111">
        <f t="shared" si="112"/>
        <v>46466.296799999996</v>
      </c>
      <c r="BB123" s="111">
        <f t="shared" si="112"/>
        <v>46466.296799999996</v>
      </c>
      <c r="BC123" s="111">
        <f t="shared" si="112"/>
        <v>41969.558399999994</v>
      </c>
      <c r="BD123" s="111">
        <f t="shared" si="112"/>
        <v>46466.296799999996</v>
      </c>
      <c r="BE123" s="111">
        <f t="shared" si="112"/>
        <v>44967.384000000005</v>
      </c>
      <c r="BF123" s="111">
        <f t="shared" si="112"/>
        <v>46466.296799999996</v>
      </c>
      <c r="BG123" s="111">
        <f t="shared" si="112"/>
        <v>44967.384000000005</v>
      </c>
      <c r="BH123" s="111">
        <f t="shared" si="112"/>
        <v>46466.296799999996</v>
      </c>
      <c r="BI123" s="111">
        <f t="shared" si="112"/>
        <v>46466.296799999996</v>
      </c>
      <c r="BJ123" s="111">
        <f t="shared" si="112"/>
        <v>44967.384000000005</v>
      </c>
      <c r="BK123" s="111">
        <f t="shared" si="112"/>
        <v>46466.296799999996</v>
      </c>
      <c r="BL123" s="111">
        <f t="shared" si="112"/>
        <v>44967.384000000005</v>
      </c>
      <c r="BM123" s="111">
        <f t="shared" si="112"/>
        <v>46466.296799999996</v>
      </c>
      <c r="BN123" s="111">
        <f t="shared" si="112"/>
        <v>46466.296799999996</v>
      </c>
      <c r="BO123" s="111">
        <f t="shared" si="112"/>
        <v>41969.558399999994</v>
      </c>
      <c r="BP123" s="111">
        <f t="shared" si="112"/>
        <v>46466.296799999996</v>
      </c>
      <c r="BQ123" s="111">
        <f t="shared" si="112"/>
        <v>44967.384000000005</v>
      </c>
      <c r="BR123" s="111">
        <f t="shared" si="112"/>
        <v>46466.296799999996</v>
      </c>
      <c r="BS123" s="111">
        <f t="shared" ref="BS123:ED123" si="113">SUM(BS103:BS122)</f>
        <v>44967.384000000005</v>
      </c>
      <c r="BT123" s="111">
        <f t="shared" si="113"/>
        <v>46466.296799999996</v>
      </c>
      <c r="BU123" s="111">
        <f t="shared" si="113"/>
        <v>46466.296799999996</v>
      </c>
      <c r="BV123" s="111">
        <f t="shared" si="113"/>
        <v>44967.384000000005</v>
      </c>
      <c r="BW123" s="111">
        <f t="shared" si="113"/>
        <v>46466.296799999996</v>
      </c>
      <c r="BX123" s="111">
        <f t="shared" si="113"/>
        <v>44967.384000000005</v>
      </c>
      <c r="BY123" s="111">
        <f t="shared" si="113"/>
        <v>46466.296799999996</v>
      </c>
      <c r="BZ123" s="111">
        <f t="shared" si="113"/>
        <v>46466.296799999996</v>
      </c>
      <c r="CA123" s="111">
        <f t="shared" si="113"/>
        <v>41969.558399999994</v>
      </c>
      <c r="CB123" s="111">
        <f t="shared" si="113"/>
        <v>46466.296799999996</v>
      </c>
      <c r="CC123" s="111">
        <f t="shared" si="113"/>
        <v>44967.384000000005</v>
      </c>
      <c r="CD123" s="111">
        <f t="shared" si="113"/>
        <v>46466.296799999996</v>
      </c>
      <c r="CE123" s="111">
        <f t="shared" si="113"/>
        <v>44967.384000000005</v>
      </c>
      <c r="CF123" s="111">
        <f t="shared" si="113"/>
        <v>46466.296799999996</v>
      </c>
      <c r="CG123" s="111">
        <f t="shared" si="113"/>
        <v>46466.296799999996</v>
      </c>
      <c r="CH123" s="111">
        <f t="shared" si="113"/>
        <v>44967.384000000005</v>
      </c>
      <c r="CI123" s="111">
        <f t="shared" si="113"/>
        <v>46466.296799999996</v>
      </c>
      <c r="CJ123" s="111">
        <f t="shared" si="113"/>
        <v>44967.384000000005</v>
      </c>
      <c r="CK123" s="111">
        <f t="shared" si="113"/>
        <v>46466.296799999996</v>
      </c>
      <c r="CL123" s="111">
        <f t="shared" si="113"/>
        <v>46466.296799999996</v>
      </c>
      <c r="CM123" s="111">
        <f t="shared" si="113"/>
        <v>41969.558399999994</v>
      </c>
      <c r="CN123" s="111">
        <f t="shared" si="113"/>
        <v>46466.296799999996</v>
      </c>
      <c r="CO123" s="111">
        <f t="shared" si="113"/>
        <v>44967.384000000005</v>
      </c>
      <c r="CP123" s="111">
        <f t="shared" si="113"/>
        <v>46466.296799999996</v>
      </c>
      <c r="CQ123" s="111">
        <f t="shared" si="113"/>
        <v>44967.384000000005</v>
      </c>
      <c r="CR123" s="111">
        <f t="shared" si="113"/>
        <v>46466.296799999996</v>
      </c>
      <c r="CS123" s="111">
        <f t="shared" si="113"/>
        <v>46466.296799999996</v>
      </c>
      <c r="CT123" s="111">
        <f t="shared" si="113"/>
        <v>44967.384000000005</v>
      </c>
      <c r="CU123" s="111">
        <f t="shared" si="113"/>
        <v>46466.296799999996</v>
      </c>
      <c r="CV123" s="111">
        <f t="shared" si="113"/>
        <v>44967.384000000005</v>
      </c>
      <c r="CW123" s="111">
        <f t="shared" si="113"/>
        <v>46466.296799999996</v>
      </c>
      <c r="CX123" s="111">
        <f t="shared" si="113"/>
        <v>46466.296799999996</v>
      </c>
      <c r="CY123" s="111">
        <f t="shared" si="113"/>
        <v>41969.558399999994</v>
      </c>
      <c r="CZ123" s="111">
        <f t="shared" si="113"/>
        <v>46466.296799999996</v>
      </c>
      <c r="DA123" s="111">
        <f t="shared" si="113"/>
        <v>44967.384000000005</v>
      </c>
      <c r="DB123" s="111">
        <f t="shared" si="113"/>
        <v>46466.296799999996</v>
      </c>
      <c r="DC123" s="111">
        <f t="shared" si="113"/>
        <v>44967.384000000005</v>
      </c>
      <c r="DD123" s="111">
        <f t="shared" si="113"/>
        <v>46466.296799999996</v>
      </c>
      <c r="DE123" s="111">
        <f t="shared" si="113"/>
        <v>46466.296799999996</v>
      </c>
      <c r="DF123" s="111">
        <f t="shared" si="113"/>
        <v>44967.384000000005</v>
      </c>
      <c r="DG123" s="111">
        <f t="shared" si="113"/>
        <v>46466.296799999996</v>
      </c>
      <c r="DH123" s="111">
        <f t="shared" si="113"/>
        <v>44967.384000000005</v>
      </c>
      <c r="DI123" s="111">
        <f t="shared" si="113"/>
        <v>46466.296799999996</v>
      </c>
      <c r="DJ123" s="111">
        <f t="shared" si="113"/>
        <v>46466.296799999996</v>
      </c>
      <c r="DK123" s="111">
        <f t="shared" si="113"/>
        <v>41969.558399999994</v>
      </c>
      <c r="DL123" s="111">
        <f t="shared" si="113"/>
        <v>46466.296799999996</v>
      </c>
      <c r="DM123" s="111">
        <f t="shared" si="113"/>
        <v>44967.384000000005</v>
      </c>
      <c r="DN123" s="111">
        <f t="shared" si="113"/>
        <v>46466.296799999996</v>
      </c>
      <c r="DO123" s="111">
        <f t="shared" si="113"/>
        <v>44967.384000000005</v>
      </c>
      <c r="DP123" s="111">
        <f t="shared" si="113"/>
        <v>46466.296799999996</v>
      </c>
      <c r="DQ123" s="111">
        <f t="shared" si="113"/>
        <v>46466.296799999996</v>
      </c>
      <c r="DR123" s="111">
        <f t="shared" si="113"/>
        <v>44967.384000000005</v>
      </c>
      <c r="DS123" s="111">
        <f t="shared" si="113"/>
        <v>46466.296799999996</v>
      </c>
      <c r="DT123" s="111">
        <f t="shared" si="113"/>
        <v>44967.384000000005</v>
      </c>
      <c r="DU123" s="111">
        <f t="shared" si="113"/>
        <v>46466.296799999996</v>
      </c>
      <c r="DV123" s="111">
        <f t="shared" si="113"/>
        <v>46466.296799999996</v>
      </c>
      <c r="DW123" s="111">
        <f t="shared" si="113"/>
        <v>41969.558399999994</v>
      </c>
      <c r="DX123" s="111">
        <f t="shared" si="113"/>
        <v>46466.296799999996</v>
      </c>
      <c r="DY123" s="111">
        <f t="shared" si="113"/>
        <v>44967.384000000005</v>
      </c>
      <c r="DZ123" s="111">
        <f t="shared" si="113"/>
        <v>46466.296799999996</v>
      </c>
      <c r="EA123" s="111">
        <f t="shared" si="113"/>
        <v>44967.384000000005</v>
      </c>
      <c r="EB123" s="111">
        <f t="shared" si="113"/>
        <v>46466.296799999996</v>
      </c>
      <c r="EC123" s="111">
        <f t="shared" si="113"/>
        <v>46466.296799999996</v>
      </c>
      <c r="ED123" s="111">
        <f t="shared" si="113"/>
        <v>44967.384000000005</v>
      </c>
      <c r="EE123" s="111">
        <f t="shared" ref="EE123:GC123" si="114">SUM(EE103:EE122)</f>
        <v>46466.296799999996</v>
      </c>
      <c r="EF123" s="111">
        <f t="shared" si="114"/>
        <v>44967.384000000005</v>
      </c>
      <c r="EG123" s="111">
        <f t="shared" si="114"/>
        <v>46466.296799999996</v>
      </c>
      <c r="EH123" s="111">
        <f t="shared" si="114"/>
        <v>46466.296799999996</v>
      </c>
      <c r="EI123" s="111">
        <f t="shared" si="114"/>
        <v>41969.558399999994</v>
      </c>
      <c r="EJ123" s="111">
        <f t="shared" si="114"/>
        <v>46466.296799999996</v>
      </c>
      <c r="EK123" s="111">
        <f t="shared" si="114"/>
        <v>44967.384000000005</v>
      </c>
      <c r="EL123" s="111">
        <f t="shared" si="114"/>
        <v>46466.296799999996</v>
      </c>
      <c r="EM123" s="111">
        <f t="shared" si="114"/>
        <v>44967.384000000005</v>
      </c>
      <c r="EN123" s="111">
        <f t="shared" si="114"/>
        <v>46466.296799999996</v>
      </c>
      <c r="EO123" s="111">
        <f t="shared" si="114"/>
        <v>46466.296799999996</v>
      </c>
      <c r="EP123" s="111">
        <f t="shared" si="114"/>
        <v>44967.384000000005</v>
      </c>
      <c r="EQ123" s="111">
        <f t="shared" si="114"/>
        <v>46466.296799999996</v>
      </c>
      <c r="ER123" s="111">
        <f t="shared" si="114"/>
        <v>44967.384000000005</v>
      </c>
      <c r="ES123" s="111">
        <f t="shared" si="114"/>
        <v>46466.296799999996</v>
      </c>
      <c r="ET123" s="111">
        <f t="shared" si="114"/>
        <v>46466.296799999996</v>
      </c>
      <c r="EU123" s="111">
        <f t="shared" si="114"/>
        <v>41969.558399999994</v>
      </c>
      <c r="EV123" s="111">
        <f t="shared" si="114"/>
        <v>46466.296799999996</v>
      </c>
      <c r="EW123" s="111">
        <f t="shared" si="114"/>
        <v>44967.384000000005</v>
      </c>
      <c r="EX123" s="111">
        <f t="shared" si="114"/>
        <v>46466.296799999996</v>
      </c>
      <c r="EY123" s="111">
        <f t="shared" si="114"/>
        <v>44967.384000000005</v>
      </c>
      <c r="EZ123" s="111">
        <f t="shared" si="114"/>
        <v>46466.296799999996</v>
      </c>
      <c r="FA123" s="111">
        <f t="shared" si="114"/>
        <v>46466.296799999996</v>
      </c>
      <c r="FB123" s="111">
        <f t="shared" si="114"/>
        <v>44967.384000000005</v>
      </c>
      <c r="FC123" s="111">
        <f t="shared" si="114"/>
        <v>46466.296799999996</v>
      </c>
      <c r="FD123" s="111">
        <f t="shared" si="114"/>
        <v>44967.384000000005</v>
      </c>
      <c r="FE123" s="111">
        <f t="shared" si="114"/>
        <v>46466.296799999996</v>
      </c>
      <c r="FF123" s="111">
        <f t="shared" si="114"/>
        <v>46466.296799999996</v>
      </c>
      <c r="FG123" s="111">
        <f t="shared" si="114"/>
        <v>41969.558399999994</v>
      </c>
      <c r="FH123" s="111">
        <f t="shared" si="114"/>
        <v>46466.296799999996</v>
      </c>
      <c r="FI123" s="111">
        <f t="shared" si="114"/>
        <v>44967.384000000005</v>
      </c>
      <c r="FJ123" s="111">
        <f t="shared" si="114"/>
        <v>46466.296799999996</v>
      </c>
      <c r="FK123" s="111">
        <f t="shared" si="114"/>
        <v>44967.384000000005</v>
      </c>
      <c r="FL123" s="111">
        <f t="shared" si="114"/>
        <v>46466.296799999996</v>
      </c>
      <c r="FM123" s="111">
        <f t="shared" si="114"/>
        <v>46466.296799999996</v>
      </c>
      <c r="FN123" s="111">
        <f t="shared" si="114"/>
        <v>44967.384000000005</v>
      </c>
      <c r="FO123" s="111">
        <f t="shared" si="114"/>
        <v>46466.296799999996</v>
      </c>
      <c r="FP123" s="111">
        <f t="shared" si="114"/>
        <v>44967.384000000005</v>
      </c>
      <c r="FQ123" s="111">
        <f t="shared" si="114"/>
        <v>46466.296799999996</v>
      </c>
      <c r="FR123" s="111">
        <f t="shared" si="114"/>
        <v>46466.296799999996</v>
      </c>
      <c r="FS123" s="111">
        <f t="shared" si="114"/>
        <v>41969.558399999994</v>
      </c>
      <c r="FT123" s="111">
        <f t="shared" si="114"/>
        <v>46466.296799999996</v>
      </c>
      <c r="FU123" s="111">
        <f t="shared" si="114"/>
        <v>44967.384000000005</v>
      </c>
      <c r="FV123" s="111">
        <f t="shared" si="114"/>
        <v>46466.296799999996</v>
      </c>
      <c r="FW123" s="111">
        <f t="shared" si="114"/>
        <v>44967.384000000005</v>
      </c>
      <c r="FX123" s="111">
        <f t="shared" si="114"/>
        <v>46466.296799999996</v>
      </c>
      <c r="FY123" s="111">
        <f t="shared" si="114"/>
        <v>46466.296799999996</v>
      </c>
      <c r="FZ123" s="111">
        <f t="shared" si="114"/>
        <v>44967.384000000005</v>
      </c>
      <c r="GA123" s="111">
        <f t="shared" si="114"/>
        <v>46466.296799999996</v>
      </c>
      <c r="GB123" s="111">
        <f t="shared" si="114"/>
        <v>44967.384000000005</v>
      </c>
      <c r="GC123" s="111">
        <f t="shared" si="114"/>
        <v>46466.296799999996</v>
      </c>
    </row>
    <row r="124" spans="1:185">
      <c r="A124" s="80"/>
      <c r="B124" s="80" t="s">
        <v>100</v>
      </c>
      <c r="C124" s="80"/>
      <c r="D124" s="80"/>
      <c r="E124" s="103">
        <f>SUM(E123:E123)/SUM(E155:E158)</f>
        <v>2.5400246393424537E-2</v>
      </c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  <c r="BB124" s="100"/>
      <c r="BC124" s="100"/>
      <c r="BD124" s="100"/>
      <c r="BE124" s="100"/>
      <c r="BF124" s="100"/>
      <c r="BG124" s="100"/>
      <c r="BH124" s="100"/>
      <c r="BI124" s="100"/>
      <c r="BJ124" s="100"/>
      <c r="BK124" s="100"/>
      <c r="BL124" s="100"/>
      <c r="BM124" s="100"/>
      <c r="BN124" s="100"/>
      <c r="BO124" s="100"/>
      <c r="BP124" s="100"/>
      <c r="BQ124" s="100"/>
      <c r="BR124" s="100"/>
      <c r="BS124" s="100"/>
      <c r="BT124" s="100"/>
      <c r="BU124" s="100"/>
      <c r="BV124" s="100"/>
      <c r="BW124" s="100"/>
      <c r="BX124" s="100"/>
      <c r="BY124" s="100"/>
      <c r="BZ124" s="100"/>
      <c r="CA124" s="100"/>
      <c r="CB124" s="100"/>
      <c r="CC124" s="100"/>
      <c r="CD124" s="100"/>
      <c r="CE124" s="100"/>
      <c r="CF124" s="100"/>
      <c r="CG124" s="100"/>
      <c r="CH124" s="100"/>
      <c r="CI124" s="100"/>
      <c r="CJ124" s="100"/>
      <c r="CK124" s="100"/>
      <c r="CL124" s="100"/>
      <c r="CM124" s="100"/>
      <c r="CN124" s="100"/>
      <c r="CO124" s="100"/>
      <c r="CP124" s="100"/>
      <c r="CQ124" s="100"/>
      <c r="CR124" s="100"/>
      <c r="CS124" s="100"/>
      <c r="CT124" s="100"/>
      <c r="CU124" s="100"/>
      <c r="CV124" s="100"/>
      <c r="CW124" s="100"/>
      <c r="CX124" s="100"/>
      <c r="CY124" s="100"/>
      <c r="CZ124" s="100"/>
      <c r="DA124" s="100"/>
      <c r="DB124" s="100"/>
      <c r="DC124" s="100"/>
      <c r="DD124" s="100"/>
      <c r="DE124" s="100"/>
      <c r="DF124" s="100"/>
      <c r="DG124" s="100"/>
      <c r="DH124" s="100"/>
      <c r="DI124" s="100"/>
      <c r="DJ124" s="100"/>
      <c r="DK124" s="100"/>
      <c r="DL124" s="100"/>
      <c r="DM124" s="100"/>
      <c r="DN124" s="100"/>
      <c r="DO124" s="100"/>
      <c r="DP124" s="100"/>
      <c r="DQ124" s="100"/>
      <c r="DR124" s="100"/>
      <c r="DS124" s="100"/>
      <c r="DT124" s="100"/>
      <c r="DU124" s="100"/>
      <c r="DV124" s="100"/>
      <c r="DW124" s="100"/>
      <c r="DX124" s="100"/>
      <c r="DY124" s="100"/>
      <c r="DZ124" s="100"/>
      <c r="EA124" s="100"/>
      <c r="EB124" s="100"/>
      <c r="EC124" s="100"/>
      <c r="ED124" s="100"/>
      <c r="EE124" s="100"/>
      <c r="EF124" s="100"/>
      <c r="EG124" s="100"/>
      <c r="EH124" s="100"/>
      <c r="EI124" s="100"/>
      <c r="EJ124" s="100"/>
      <c r="EK124" s="100"/>
      <c r="EL124" s="100"/>
      <c r="EM124" s="100"/>
      <c r="EN124" s="100"/>
      <c r="EO124" s="100"/>
      <c r="EP124" s="100"/>
      <c r="EQ124" s="100"/>
      <c r="ER124" s="100"/>
      <c r="ES124" s="100"/>
      <c r="ET124" s="100"/>
      <c r="EU124" s="100"/>
      <c r="EV124" s="100"/>
      <c r="EW124" s="100"/>
      <c r="EX124" s="100"/>
      <c r="EY124" s="100"/>
      <c r="EZ124" s="100"/>
      <c r="FA124" s="100"/>
      <c r="FB124" s="100"/>
      <c r="FC124" s="100"/>
      <c r="FD124" s="100"/>
      <c r="FE124" s="100"/>
      <c r="FF124" s="100"/>
      <c r="FG124" s="100"/>
      <c r="FH124" s="100"/>
      <c r="FI124" s="100"/>
      <c r="FJ124" s="100"/>
      <c r="FK124" s="100"/>
      <c r="FL124" s="100"/>
      <c r="FM124" s="100"/>
      <c r="FN124" s="100"/>
      <c r="FO124" s="100"/>
      <c r="FP124" s="100"/>
      <c r="FQ124" s="100"/>
      <c r="FR124" s="100"/>
      <c r="FS124" s="100"/>
      <c r="FT124" s="100"/>
      <c r="FU124" s="100"/>
      <c r="FV124" s="100"/>
      <c r="FW124" s="100"/>
      <c r="FX124" s="100"/>
      <c r="FY124" s="100"/>
      <c r="FZ124" s="100"/>
      <c r="GA124" s="100"/>
      <c r="GB124" s="100"/>
      <c r="GC124" s="100"/>
    </row>
    <row r="125" spans="1:185">
      <c r="A125" s="80"/>
      <c r="B125" s="80"/>
      <c r="C125" s="80"/>
      <c r="D125" s="80"/>
      <c r="E125" s="82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7"/>
      <c r="BN125" s="77"/>
      <c r="BO125" s="77"/>
      <c r="BP125" s="77"/>
      <c r="BQ125" s="77"/>
      <c r="BR125" s="77"/>
      <c r="BS125" s="77"/>
      <c r="BT125" s="77"/>
      <c r="BU125" s="77"/>
      <c r="BV125" s="77"/>
      <c r="BW125" s="77"/>
      <c r="BX125" s="77"/>
      <c r="BY125" s="77"/>
      <c r="BZ125" s="77"/>
      <c r="CA125" s="77"/>
      <c r="CB125" s="77"/>
      <c r="CC125" s="77"/>
      <c r="CD125" s="77"/>
      <c r="CE125" s="77"/>
      <c r="CF125" s="77"/>
      <c r="CG125" s="77"/>
      <c r="CH125" s="77"/>
      <c r="CI125" s="77"/>
      <c r="CJ125" s="77"/>
      <c r="CK125" s="77"/>
      <c r="CL125" s="77"/>
      <c r="CM125" s="77"/>
      <c r="CN125" s="77"/>
      <c r="CO125" s="77"/>
      <c r="CP125" s="77"/>
      <c r="CQ125" s="77"/>
      <c r="CR125" s="77"/>
      <c r="CS125" s="77"/>
      <c r="CT125" s="77"/>
      <c r="CU125" s="77"/>
      <c r="CV125" s="77"/>
      <c r="CW125" s="77"/>
      <c r="CX125" s="77"/>
      <c r="CY125" s="77"/>
      <c r="CZ125" s="77"/>
      <c r="DA125" s="77"/>
      <c r="DB125" s="77"/>
      <c r="DC125" s="77"/>
      <c r="DD125" s="77"/>
      <c r="DE125" s="77"/>
      <c r="DF125" s="77"/>
      <c r="DG125" s="77"/>
      <c r="DH125" s="77"/>
      <c r="DI125" s="77"/>
      <c r="DJ125" s="77"/>
      <c r="DK125" s="77"/>
      <c r="DL125" s="77"/>
      <c r="DM125" s="77"/>
      <c r="DN125" s="77"/>
      <c r="DO125" s="77"/>
      <c r="DP125" s="77"/>
      <c r="DQ125" s="77"/>
      <c r="DR125" s="77"/>
      <c r="DS125" s="77"/>
      <c r="DT125" s="77"/>
      <c r="DU125" s="77"/>
      <c r="DV125" s="77"/>
      <c r="DW125" s="77"/>
      <c r="DX125" s="77"/>
      <c r="DY125" s="77"/>
      <c r="DZ125" s="77"/>
      <c r="EA125" s="77"/>
      <c r="EB125" s="77"/>
      <c r="EC125" s="77"/>
      <c r="ED125" s="77"/>
      <c r="EE125" s="77"/>
      <c r="EF125" s="77"/>
      <c r="EG125" s="77"/>
      <c r="EH125" s="77"/>
      <c r="EI125" s="77"/>
      <c r="EJ125" s="77"/>
      <c r="EK125" s="77"/>
      <c r="EL125" s="77"/>
      <c r="EM125" s="77"/>
      <c r="EN125" s="77"/>
      <c r="EO125" s="77"/>
      <c r="EP125" s="77"/>
      <c r="EQ125" s="77"/>
      <c r="ER125" s="77"/>
      <c r="ES125" s="77"/>
      <c r="ET125" s="77"/>
      <c r="EU125" s="77"/>
      <c r="EV125" s="77"/>
      <c r="EW125" s="77"/>
      <c r="EX125" s="77"/>
      <c r="EY125" s="77"/>
      <c r="EZ125" s="77"/>
      <c r="FA125" s="77"/>
      <c r="FB125" s="77"/>
      <c r="FC125" s="77"/>
      <c r="FD125" s="77"/>
      <c r="FE125" s="77"/>
      <c r="FF125" s="77"/>
      <c r="FG125" s="77"/>
      <c r="FH125" s="77"/>
      <c r="FI125" s="77"/>
      <c r="FJ125" s="77"/>
      <c r="FK125" s="77"/>
      <c r="FL125" s="77"/>
      <c r="FM125" s="77"/>
      <c r="FN125" s="77"/>
      <c r="FO125" s="77"/>
      <c r="FP125" s="77"/>
      <c r="FQ125" s="77"/>
      <c r="FR125" s="77"/>
      <c r="FS125" s="77"/>
      <c r="FT125" s="77"/>
      <c r="FU125" s="77"/>
      <c r="FV125" s="77"/>
      <c r="FW125" s="77"/>
      <c r="FX125" s="77"/>
      <c r="FY125" s="77"/>
      <c r="FZ125" s="77"/>
      <c r="GA125" s="77"/>
      <c r="GB125" s="77"/>
      <c r="GC125" s="77"/>
    </row>
    <row r="126" spans="1:185">
      <c r="A126" s="6" t="s">
        <v>154</v>
      </c>
      <c r="B126" s="80"/>
      <c r="C126" s="80"/>
      <c r="D126" s="80"/>
      <c r="E126" s="82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77"/>
      <c r="CQ126" s="77"/>
      <c r="CR126" s="77"/>
      <c r="CS126" s="77"/>
      <c r="CT126" s="77"/>
      <c r="CU126" s="77"/>
      <c r="CV126" s="77"/>
      <c r="CW126" s="77"/>
      <c r="CX126" s="77"/>
      <c r="CY126" s="77"/>
      <c r="CZ126" s="77"/>
      <c r="DA126" s="77"/>
      <c r="DB126" s="77"/>
      <c r="DC126" s="77"/>
      <c r="DD126" s="77"/>
      <c r="DE126" s="77"/>
      <c r="DF126" s="77"/>
      <c r="DG126" s="77"/>
      <c r="DH126" s="77"/>
      <c r="DI126" s="77"/>
      <c r="DJ126" s="77"/>
      <c r="DK126" s="77"/>
      <c r="DL126" s="77"/>
      <c r="DM126" s="77"/>
      <c r="DN126" s="77"/>
      <c r="DO126" s="77"/>
      <c r="DP126" s="77"/>
      <c r="DQ126" s="77"/>
      <c r="DR126" s="77"/>
      <c r="DS126" s="77"/>
      <c r="DT126" s="77"/>
      <c r="DU126" s="77"/>
      <c r="DV126" s="77"/>
      <c r="DW126" s="77"/>
      <c r="DX126" s="77"/>
      <c r="DY126" s="77"/>
      <c r="DZ126" s="77"/>
      <c r="EA126" s="77"/>
      <c r="EB126" s="77"/>
      <c r="EC126" s="77"/>
      <c r="ED126" s="77"/>
      <c r="EE126" s="77"/>
      <c r="EF126" s="77"/>
      <c r="EG126" s="77"/>
      <c r="EH126" s="77"/>
      <c r="EI126" s="77"/>
      <c r="EJ126" s="77"/>
      <c r="EK126" s="77"/>
      <c r="EL126" s="77"/>
      <c r="EM126" s="77"/>
      <c r="EN126" s="77"/>
      <c r="EO126" s="77"/>
      <c r="EP126" s="77"/>
      <c r="EQ126" s="77"/>
      <c r="ER126" s="77"/>
      <c r="ES126" s="77"/>
      <c r="ET126" s="77"/>
      <c r="EU126" s="77"/>
      <c r="EV126" s="77"/>
      <c r="EW126" s="77"/>
      <c r="EX126" s="77"/>
      <c r="EY126" s="77"/>
      <c r="EZ126" s="77"/>
      <c r="FA126" s="77"/>
      <c r="FB126" s="77"/>
      <c r="FC126" s="77"/>
      <c r="FD126" s="77"/>
      <c r="FE126" s="77"/>
      <c r="FF126" s="77"/>
      <c r="FG126" s="77"/>
      <c r="FH126" s="77"/>
      <c r="FI126" s="77"/>
      <c r="FJ126" s="77"/>
      <c r="FK126" s="77"/>
      <c r="FL126" s="77"/>
      <c r="FM126" s="77"/>
      <c r="FN126" s="77"/>
      <c r="FO126" s="77"/>
      <c r="FP126" s="77"/>
      <c r="FQ126" s="77"/>
      <c r="FR126" s="77"/>
      <c r="FS126" s="77"/>
      <c r="FT126" s="77"/>
      <c r="FU126" s="77"/>
      <c r="FV126" s="77"/>
      <c r="FW126" s="77"/>
      <c r="FX126" s="77"/>
      <c r="FY126" s="77"/>
      <c r="FZ126" s="77"/>
      <c r="GA126" s="77"/>
      <c r="GB126" s="77"/>
      <c r="GC126" s="77"/>
    </row>
    <row r="127" spans="1:185">
      <c r="A127" s="10"/>
      <c r="B127" s="80" t="s">
        <v>155</v>
      </c>
      <c r="C127" s="80"/>
      <c r="D127" s="80"/>
      <c r="E127" s="82"/>
      <c r="F127" s="112">
        <f>Assumptions!D47</f>
        <v>48</v>
      </c>
      <c r="G127" s="112">
        <f t="shared" ref="G127:M127" si="115">F127</f>
        <v>48</v>
      </c>
      <c r="H127" s="112">
        <f t="shared" si="115"/>
        <v>48</v>
      </c>
      <c r="I127" s="112">
        <f t="shared" si="115"/>
        <v>48</v>
      </c>
      <c r="J127" s="112">
        <f t="shared" si="115"/>
        <v>48</v>
      </c>
      <c r="K127" s="112">
        <f t="shared" si="115"/>
        <v>48</v>
      </c>
      <c r="L127" s="112">
        <f t="shared" si="115"/>
        <v>48</v>
      </c>
      <c r="M127" s="112">
        <f t="shared" si="115"/>
        <v>48</v>
      </c>
      <c r="N127" s="112">
        <f>M127</f>
        <v>48</v>
      </c>
      <c r="O127" s="112">
        <f>N127</f>
        <v>48</v>
      </c>
      <c r="P127" s="112">
        <f t="shared" ref="P127:BM127" si="116">O127</f>
        <v>48</v>
      </c>
      <c r="Q127" s="112">
        <f t="shared" si="116"/>
        <v>48</v>
      </c>
      <c r="R127" s="112">
        <f t="shared" si="116"/>
        <v>48</v>
      </c>
      <c r="S127" s="112">
        <f t="shared" si="116"/>
        <v>48</v>
      </c>
      <c r="T127" s="112">
        <f t="shared" si="116"/>
        <v>48</v>
      </c>
      <c r="U127" s="112">
        <f t="shared" si="116"/>
        <v>48</v>
      </c>
      <c r="V127" s="112">
        <f t="shared" si="116"/>
        <v>48</v>
      </c>
      <c r="W127" s="112">
        <f t="shared" si="116"/>
        <v>48</v>
      </c>
      <c r="X127" s="112">
        <f t="shared" si="116"/>
        <v>48</v>
      </c>
      <c r="Y127" s="112">
        <f t="shared" si="116"/>
        <v>48</v>
      </c>
      <c r="Z127" s="112">
        <f t="shared" si="116"/>
        <v>48</v>
      </c>
      <c r="AA127" s="112">
        <f t="shared" si="116"/>
        <v>48</v>
      </c>
      <c r="AB127" s="112">
        <f t="shared" si="116"/>
        <v>48</v>
      </c>
      <c r="AC127" s="112">
        <f t="shared" si="116"/>
        <v>48</v>
      </c>
      <c r="AD127" s="112">
        <f t="shared" si="116"/>
        <v>48</v>
      </c>
      <c r="AE127" s="112">
        <f t="shared" si="116"/>
        <v>48</v>
      </c>
      <c r="AF127" s="112">
        <f t="shared" si="116"/>
        <v>48</v>
      </c>
      <c r="AG127" s="112">
        <f t="shared" si="116"/>
        <v>48</v>
      </c>
      <c r="AH127" s="112">
        <f t="shared" si="116"/>
        <v>48</v>
      </c>
      <c r="AI127" s="112">
        <f t="shared" si="116"/>
        <v>48</v>
      </c>
      <c r="AJ127" s="112">
        <f t="shared" si="116"/>
        <v>48</v>
      </c>
      <c r="AK127" s="112">
        <f t="shared" si="116"/>
        <v>48</v>
      </c>
      <c r="AL127" s="112">
        <f t="shared" si="116"/>
        <v>48</v>
      </c>
      <c r="AM127" s="112">
        <f t="shared" si="116"/>
        <v>48</v>
      </c>
      <c r="AN127" s="112">
        <f t="shared" si="116"/>
        <v>48</v>
      </c>
      <c r="AO127" s="112">
        <f t="shared" si="116"/>
        <v>48</v>
      </c>
      <c r="AP127" s="112">
        <f t="shared" si="116"/>
        <v>48</v>
      </c>
      <c r="AQ127" s="112">
        <f t="shared" si="116"/>
        <v>48</v>
      </c>
      <c r="AR127" s="112">
        <f t="shared" si="116"/>
        <v>48</v>
      </c>
      <c r="AS127" s="112">
        <f t="shared" si="116"/>
        <v>48</v>
      </c>
      <c r="AT127" s="112">
        <f t="shared" si="116"/>
        <v>48</v>
      </c>
      <c r="AU127" s="112">
        <f t="shared" si="116"/>
        <v>48</v>
      </c>
      <c r="AV127" s="112">
        <f t="shared" si="116"/>
        <v>48</v>
      </c>
      <c r="AW127" s="112">
        <f t="shared" si="116"/>
        <v>48</v>
      </c>
      <c r="AX127" s="112">
        <f t="shared" si="116"/>
        <v>48</v>
      </c>
      <c r="AY127" s="112">
        <f t="shared" si="116"/>
        <v>48</v>
      </c>
      <c r="AZ127" s="112">
        <f t="shared" si="116"/>
        <v>48</v>
      </c>
      <c r="BA127" s="112">
        <f t="shared" si="116"/>
        <v>48</v>
      </c>
      <c r="BB127" s="112">
        <f t="shared" si="116"/>
        <v>48</v>
      </c>
      <c r="BC127" s="112">
        <f t="shared" si="116"/>
        <v>48</v>
      </c>
      <c r="BD127" s="112">
        <f t="shared" si="116"/>
        <v>48</v>
      </c>
      <c r="BE127" s="112">
        <f t="shared" si="116"/>
        <v>48</v>
      </c>
      <c r="BF127" s="112">
        <f t="shared" si="116"/>
        <v>48</v>
      </c>
      <c r="BG127" s="112">
        <f t="shared" si="116"/>
        <v>48</v>
      </c>
      <c r="BH127" s="112">
        <f t="shared" si="116"/>
        <v>48</v>
      </c>
      <c r="BI127" s="112">
        <f t="shared" si="116"/>
        <v>48</v>
      </c>
      <c r="BJ127" s="112">
        <f t="shared" si="116"/>
        <v>48</v>
      </c>
      <c r="BK127" s="112">
        <f t="shared" si="116"/>
        <v>48</v>
      </c>
      <c r="BL127" s="112">
        <f t="shared" si="116"/>
        <v>48</v>
      </c>
      <c r="BM127" s="112">
        <f t="shared" si="116"/>
        <v>48</v>
      </c>
      <c r="BN127" s="112">
        <f t="shared" ref="BN127" si="117">BM127</f>
        <v>48</v>
      </c>
      <c r="BO127" s="112">
        <f t="shared" ref="BO127" si="118">BN127</f>
        <v>48</v>
      </c>
      <c r="BP127" s="112">
        <f t="shared" ref="BP127" si="119">BO127</f>
        <v>48</v>
      </c>
      <c r="BQ127" s="112">
        <f t="shared" ref="BQ127" si="120">BP127</f>
        <v>48</v>
      </c>
      <c r="BR127" s="112">
        <f t="shared" ref="BR127" si="121">BQ127</f>
        <v>48</v>
      </c>
      <c r="BS127" s="112">
        <f t="shared" ref="BS127" si="122">BR127</f>
        <v>48</v>
      </c>
      <c r="BT127" s="112">
        <f t="shared" ref="BT127" si="123">BS127</f>
        <v>48</v>
      </c>
      <c r="BU127" s="112">
        <f t="shared" ref="BU127" si="124">BT127</f>
        <v>48</v>
      </c>
      <c r="BV127" s="112">
        <f t="shared" ref="BV127" si="125">BU127</f>
        <v>48</v>
      </c>
      <c r="BW127" s="112">
        <f t="shared" ref="BW127" si="126">BV127</f>
        <v>48</v>
      </c>
      <c r="BX127" s="112">
        <f t="shared" ref="BX127" si="127">BW127</f>
        <v>48</v>
      </c>
      <c r="BY127" s="112">
        <f t="shared" ref="BY127" si="128">BX127</f>
        <v>48</v>
      </c>
      <c r="BZ127" s="112">
        <f t="shared" ref="BZ127" si="129">BY127</f>
        <v>48</v>
      </c>
      <c r="CA127" s="112">
        <f t="shared" ref="CA127" si="130">BZ127</f>
        <v>48</v>
      </c>
      <c r="CB127" s="112">
        <f t="shared" ref="CB127" si="131">CA127</f>
        <v>48</v>
      </c>
      <c r="CC127" s="112">
        <f t="shared" ref="CC127" si="132">CB127</f>
        <v>48</v>
      </c>
      <c r="CD127" s="112">
        <f t="shared" ref="CD127" si="133">CC127</f>
        <v>48</v>
      </c>
      <c r="CE127" s="112">
        <f t="shared" ref="CE127" si="134">CD127</f>
        <v>48</v>
      </c>
      <c r="CF127" s="112">
        <f t="shared" ref="CF127" si="135">CE127</f>
        <v>48</v>
      </c>
      <c r="CG127" s="112">
        <f t="shared" ref="CG127" si="136">CF127</f>
        <v>48</v>
      </c>
      <c r="CH127" s="112">
        <f t="shared" ref="CH127" si="137">CG127</f>
        <v>48</v>
      </c>
      <c r="CI127" s="112">
        <f t="shared" ref="CI127" si="138">CH127</f>
        <v>48</v>
      </c>
      <c r="CJ127" s="112">
        <f t="shared" ref="CJ127" si="139">CI127</f>
        <v>48</v>
      </c>
      <c r="CK127" s="112">
        <f t="shared" ref="CK127" si="140">CJ127</f>
        <v>48</v>
      </c>
      <c r="CL127" s="112">
        <f t="shared" ref="CL127" si="141">CK127</f>
        <v>48</v>
      </c>
      <c r="CM127" s="112">
        <f t="shared" ref="CM127" si="142">CL127</f>
        <v>48</v>
      </c>
      <c r="CN127" s="112">
        <f t="shared" ref="CN127" si="143">CM127</f>
        <v>48</v>
      </c>
      <c r="CO127" s="112">
        <f t="shared" ref="CO127" si="144">CN127</f>
        <v>48</v>
      </c>
      <c r="CP127" s="112">
        <f t="shared" ref="CP127" si="145">CO127</f>
        <v>48</v>
      </c>
      <c r="CQ127" s="112">
        <f t="shared" ref="CQ127" si="146">CP127</f>
        <v>48</v>
      </c>
      <c r="CR127" s="112">
        <f t="shared" ref="CR127" si="147">CQ127</f>
        <v>48</v>
      </c>
      <c r="CS127" s="112">
        <f t="shared" ref="CS127" si="148">CR127</f>
        <v>48</v>
      </c>
      <c r="CT127" s="112">
        <f t="shared" ref="CT127" si="149">CS127</f>
        <v>48</v>
      </c>
      <c r="CU127" s="112">
        <f t="shared" ref="CU127" si="150">CT127</f>
        <v>48</v>
      </c>
      <c r="CV127" s="112">
        <f t="shared" ref="CV127" si="151">CU127</f>
        <v>48</v>
      </c>
      <c r="CW127" s="112">
        <f t="shared" ref="CW127" si="152">CV127</f>
        <v>48</v>
      </c>
      <c r="CX127" s="112">
        <f t="shared" ref="CX127" si="153">CW127</f>
        <v>48</v>
      </c>
      <c r="CY127" s="112">
        <f t="shared" ref="CY127" si="154">CX127</f>
        <v>48</v>
      </c>
      <c r="CZ127" s="112">
        <f t="shared" ref="CZ127" si="155">CY127</f>
        <v>48</v>
      </c>
      <c r="DA127" s="112">
        <f t="shared" ref="DA127" si="156">CZ127</f>
        <v>48</v>
      </c>
      <c r="DB127" s="112">
        <f t="shared" ref="DB127" si="157">DA127</f>
        <v>48</v>
      </c>
      <c r="DC127" s="112">
        <f t="shared" ref="DC127" si="158">DB127</f>
        <v>48</v>
      </c>
      <c r="DD127" s="112">
        <f t="shared" ref="DD127" si="159">DC127</f>
        <v>48</v>
      </c>
      <c r="DE127" s="112">
        <f t="shared" ref="DE127" si="160">DD127</f>
        <v>48</v>
      </c>
      <c r="DF127" s="112">
        <f t="shared" ref="DF127" si="161">DE127</f>
        <v>48</v>
      </c>
      <c r="DG127" s="112">
        <f t="shared" ref="DG127" si="162">DF127</f>
        <v>48</v>
      </c>
      <c r="DH127" s="112">
        <f t="shared" ref="DH127" si="163">DG127</f>
        <v>48</v>
      </c>
      <c r="DI127" s="112">
        <f t="shared" ref="DI127" si="164">DH127</f>
        <v>48</v>
      </c>
      <c r="DJ127" s="112">
        <f t="shared" ref="DJ127" si="165">DI127</f>
        <v>48</v>
      </c>
      <c r="DK127" s="112">
        <f t="shared" ref="DK127" si="166">DJ127</f>
        <v>48</v>
      </c>
      <c r="DL127" s="112">
        <f t="shared" ref="DL127" si="167">DK127</f>
        <v>48</v>
      </c>
      <c r="DM127" s="112">
        <f t="shared" ref="DM127" si="168">DL127</f>
        <v>48</v>
      </c>
      <c r="DN127" s="112">
        <f t="shared" ref="DN127" si="169">DM127</f>
        <v>48</v>
      </c>
      <c r="DO127" s="112">
        <f t="shared" ref="DO127" si="170">DN127</f>
        <v>48</v>
      </c>
      <c r="DP127" s="112">
        <f t="shared" ref="DP127" si="171">DO127</f>
        <v>48</v>
      </c>
      <c r="DQ127" s="112">
        <f t="shared" ref="DQ127" si="172">DP127</f>
        <v>48</v>
      </c>
      <c r="DR127" s="112">
        <f t="shared" ref="DR127" si="173">DQ127</f>
        <v>48</v>
      </c>
      <c r="DS127" s="112">
        <f t="shared" ref="DS127" si="174">DR127</f>
        <v>48</v>
      </c>
      <c r="DT127" s="112">
        <f t="shared" ref="DT127" si="175">DS127</f>
        <v>48</v>
      </c>
      <c r="DU127" s="112">
        <f t="shared" ref="DU127" si="176">DT127</f>
        <v>48</v>
      </c>
      <c r="DV127" s="112">
        <f t="shared" ref="DV127" si="177">DU127</f>
        <v>48</v>
      </c>
      <c r="DW127" s="112">
        <f t="shared" ref="DW127" si="178">DV127</f>
        <v>48</v>
      </c>
      <c r="DX127" s="112">
        <f t="shared" ref="DX127" si="179">DW127</f>
        <v>48</v>
      </c>
      <c r="DY127" s="112">
        <f t="shared" ref="DY127" si="180">DX127</f>
        <v>48</v>
      </c>
      <c r="DZ127" s="112">
        <f t="shared" ref="DZ127" si="181">DY127</f>
        <v>48</v>
      </c>
      <c r="EA127" s="112">
        <f t="shared" ref="EA127" si="182">DZ127</f>
        <v>48</v>
      </c>
      <c r="EB127" s="112">
        <f t="shared" ref="EB127" si="183">EA127</f>
        <v>48</v>
      </c>
      <c r="EC127" s="112">
        <f t="shared" ref="EC127" si="184">EB127</f>
        <v>48</v>
      </c>
      <c r="ED127" s="112">
        <f t="shared" ref="ED127" si="185">EC127</f>
        <v>48</v>
      </c>
      <c r="EE127" s="112">
        <f t="shared" ref="EE127" si="186">ED127</f>
        <v>48</v>
      </c>
      <c r="EF127" s="112">
        <f t="shared" ref="EF127" si="187">EE127</f>
        <v>48</v>
      </c>
      <c r="EG127" s="112">
        <f t="shared" ref="EG127" si="188">EF127</f>
        <v>48</v>
      </c>
      <c r="EH127" s="112">
        <f t="shared" ref="EH127" si="189">EG127</f>
        <v>48</v>
      </c>
      <c r="EI127" s="112">
        <f t="shared" ref="EI127" si="190">EH127</f>
        <v>48</v>
      </c>
      <c r="EJ127" s="112">
        <f t="shared" ref="EJ127" si="191">EI127</f>
        <v>48</v>
      </c>
      <c r="EK127" s="112">
        <f t="shared" ref="EK127" si="192">EJ127</f>
        <v>48</v>
      </c>
      <c r="EL127" s="112">
        <f t="shared" ref="EL127" si="193">EK127</f>
        <v>48</v>
      </c>
      <c r="EM127" s="112">
        <f t="shared" ref="EM127" si="194">EL127</f>
        <v>48</v>
      </c>
      <c r="EN127" s="112">
        <f t="shared" ref="EN127" si="195">EM127</f>
        <v>48</v>
      </c>
      <c r="EO127" s="112">
        <f t="shared" ref="EO127" si="196">EN127</f>
        <v>48</v>
      </c>
      <c r="EP127" s="112">
        <f t="shared" ref="EP127" si="197">EO127</f>
        <v>48</v>
      </c>
      <c r="EQ127" s="112">
        <f t="shared" ref="EQ127" si="198">EP127</f>
        <v>48</v>
      </c>
      <c r="ER127" s="112">
        <f t="shared" ref="ER127" si="199">EQ127</f>
        <v>48</v>
      </c>
      <c r="ES127" s="112">
        <f t="shared" ref="ES127" si="200">ER127</f>
        <v>48</v>
      </c>
      <c r="ET127" s="112">
        <f t="shared" ref="ET127" si="201">ES127</f>
        <v>48</v>
      </c>
      <c r="EU127" s="112">
        <f t="shared" ref="EU127" si="202">ET127</f>
        <v>48</v>
      </c>
      <c r="EV127" s="112">
        <f t="shared" ref="EV127" si="203">EU127</f>
        <v>48</v>
      </c>
      <c r="EW127" s="112">
        <f t="shared" ref="EW127" si="204">EV127</f>
        <v>48</v>
      </c>
      <c r="EX127" s="112">
        <f t="shared" ref="EX127" si="205">EW127</f>
        <v>48</v>
      </c>
      <c r="EY127" s="112">
        <f t="shared" ref="EY127" si="206">EX127</f>
        <v>48</v>
      </c>
      <c r="EZ127" s="112">
        <f t="shared" ref="EZ127" si="207">EY127</f>
        <v>48</v>
      </c>
      <c r="FA127" s="112">
        <f t="shared" ref="FA127" si="208">EZ127</f>
        <v>48</v>
      </c>
      <c r="FB127" s="112">
        <f t="shared" ref="FB127" si="209">FA127</f>
        <v>48</v>
      </c>
      <c r="FC127" s="112">
        <f t="shared" ref="FC127" si="210">FB127</f>
        <v>48</v>
      </c>
      <c r="FD127" s="112">
        <f t="shared" ref="FD127" si="211">FC127</f>
        <v>48</v>
      </c>
      <c r="FE127" s="112">
        <f t="shared" ref="FE127" si="212">FD127</f>
        <v>48</v>
      </c>
      <c r="FF127" s="112">
        <f t="shared" ref="FF127" si="213">FE127</f>
        <v>48</v>
      </c>
      <c r="FG127" s="112">
        <f t="shared" ref="FG127" si="214">FF127</f>
        <v>48</v>
      </c>
      <c r="FH127" s="112">
        <f t="shared" ref="FH127" si="215">FG127</f>
        <v>48</v>
      </c>
      <c r="FI127" s="112">
        <f t="shared" ref="FI127" si="216">FH127</f>
        <v>48</v>
      </c>
      <c r="FJ127" s="112">
        <f t="shared" ref="FJ127" si="217">FI127</f>
        <v>48</v>
      </c>
      <c r="FK127" s="112">
        <f t="shared" ref="FK127" si="218">FJ127</f>
        <v>48</v>
      </c>
      <c r="FL127" s="112">
        <f t="shared" ref="FL127" si="219">FK127</f>
        <v>48</v>
      </c>
      <c r="FM127" s="112">
        <f t="shared" ref="FM127" si="220">FL127</f>
        <v>48</v>
      </c>
      <c r="FN127" s="112">
        <f t="shared" ref="FN127" si="221">FM127</f>
        <v>48</v>
      </c>
      <c r="FO127" s="112">
        <f t="shared" ref="FO127" si="222">FN127</f>
        <v>48</v>
      </c>
      <c r="FP127" s="112">
        <f t="shared" ref="FP127" si="223">FO127</f>
        <v>48</v>
      </c>
      <c r="FQ127" s="112">
        <f t="shared" ref="FQ127" si="224">FP127</f>
        <v>48</v>
      </c>
      <c r="FR127" s="112">
        <f t="shared" ref="FR127" si="225">FQ127</f>
        <v>48</v>
      </c>
      <c r="FS127" s="112">
        <f t="shared" ref="FS127" si="226">FR127</f>
        <v>48</v>
      </c>
      <c r="FT127" s="112">
        <f t="shared" ref="FT127" si="227">FS127</f>
        <v>48</v>
      </c>
      <c r="FU127" s="112">
        <f t="shared" ref="FU127" si="228">FT127</f>
        <v>48</v>
      </c>
      <c r="FV127" s="112">
        <f t="shared" ref="FV127" si="229">FU127</f>
        <v>48</v>
      </c>
      <c r="FW127" s="112">
        <f t="shared" ref="FW127" si="230">FV127</f>
        <v>48</v>
      </c>
      <c r="FX127" s="112">
        <f t="shared" ref="FX127" si="231">FW127</f>
        <v>48</v>
      </c>
      <c r="FY127" s="112">
        <f t="shared" ref="FY127" si="232">FX127</f>
        <v>48</v>
      </c>
      <c r="FZ127" s="112">
        <f t="shared" ref="FZ127" si="233">FY127</f>
        <v>48</v>
      </c>
      <c r="GA127" s="112">
        <f t="shared" ref="GA127" si="234">FZ127</f>
        <v>48</v>
      </c>
      <c r="GB127" s="112">
        <f t="shared" ref="GB127" si="235">GA127</f>
        <v>48</v>
      </c>
      <c r="GC127" s="112">
        <f t="shared" ref="GC127" si="236">GB127</f>
        <v>48</v>
      </c>
    </row>
    <row r="128" spans="1:185">
      <c r="A128" s="80"/>
      <c r="B128" s="80" t="s">
        <v>156</v>
      </c>
      <c r="C128" s="80"/>
      <c r="D128" s="80"/>
      <c r="E128" s="82"/>
      <c r="F128" s="113">
        <f t="shared" ref="F128:AK128" si="237">F127*F23</f>
        <v>0</v>
      </c>
      <c r="G128" s="113">
        <f t="shared" si="237"/>
        <v>0</v>
      </c>
      <c r="H128" s="113">
        <f t="shared" si="237"/>
        <v>0</v>
      </c>
      <c r="I128" s="113">
        <f t="shared" si="237"/>
        <v>0</v>
      </c>
      <c r="J128" s="113">
        <f t="shared" si="237"/>
        <v>0</v>
      </c>
      <c r="K128" s="113">
        <f t="shared" si="237"/>
        <v>0</v>
      </c>
      <c r="L128" s="113">
        <f t="shared" si="237"/>
        <v>0</v>
      </c>
      <c r="M128" s="113">
        <f t="shared" si="237"/>
        <v>48</v>
      </c>
      <c r="N128" s="113">
        <f t="shared" si="237"/>
        <v>48</v>
      </c>
      <c r="O128" s="113">
        <f t="shared" si="237"/>
        <v>48</v>
      </c>
      <c r="P128" s="113">
        <f t="shared" si="237"/>
        <v>48</v>
      </c>
      <c r="Q128" s="113">
        <f t="shared" si="237"/>
        <v>48</v>
      </c>
      <c r="R128" s="113">
        <f t="shared" si="237"/>
        <v>48</v>
      </c>
      <c r="S128" s="113">
        <f t="shared" si="237"/>
        <v>48</v>
      </c>
      <c r="T128" s="113">
        <f t="shared" si="237"/>
        <v>48</v>
      </c>
      <c r="U128" s="113">
        <f t="shared" si="237"/>
        <v>48</v>
      </c>
      <c r="V128" s="113">
        <f t="shared" si="237"/>
        <v>48</v>
      </c>
      <c r="W128" s="113">
        <f t="shared" si="237"/>
        <v>48</v>
      </c>
      <c r="X128" s="113">
        <f t="shared" si="237"/>
        <v>48</v>
      </c>
      <c r="Y128" s="113">
        <f t="shared" si="237"/>
        <v>48</v>
      </c>
      <c r="Z128" s="113">
        <f t="shared" si="237"/>
        <v>48</v>
      </c>
      <c r="AA128" s="113">
        <f t="shared" si="237"/>
        <v>48</v>
      </c>
      <c r="AB128" s="113">
        <f t="shared" si="237"/>
        <v>48</v>
      </c>
      <c r="AC128" s="113">
        <f t="shared" si="237"/>
        <v>48</v>
      </c>
      <c r="AD128" s="113">
        <f t="shared" si="237"/>
        <v>48</v>
      </c>
      <c r="AE128" s="113">
        <f t="shared" si="237"/>
        <v>48</v>
      </c>
      <c r="AF128" s="113">
        <f t="shared" si="237"/>
        <v>48</v>
      </c>
      <c r="AG128" s="113">
        <f t="shared" si="237"/>
        <v>48</v>
      </c>
      <c r="AH128" s="113">
        <f t="shared" si="237"/>
        <v>48</v>
      </c>
      <c r="AI128" s="113">
        <f t="shared" si="237"/>
        <v>48</v>
      </c>
      <c r="AJ128" s="113">
        <f t="shared" si="237"/>
        <v>48</v>
      </c>
      <c r="AK128" s="113">
        <f t="shared" si="237"/>
        <v>48</v>
      </c>
      <c r="AL128" s="113">
        <f t="shared" ref="AL128:BQ128" si="238">AL127*AL23</f>
        <v>48</v>
      </c>
      <c r="AM128" s="113">
        <f t="shared" si="238"/>
        <v>48</v>
      </c>
      <c r="AN128" s="113">
        <f t="shared" si="238"/>
        <v>48</v>
      </c>
      <c r="AO128" s="113">
        <f t="shared" si="238"/>
        <v>48</v>
      </c>
      <c r="AP128" s="113">
        <f t="shared" si="238"/>
        <v>48</v>
      </c>
      <c r="AQ128" s="113">
        <f t="shared" si="238"/>
        <v>48</v>
      </c>
      <c r="AR128" s="113">
        <f t="shared" si="238"/>
        <v>48</v>
      </c>
      <c r="AS128" s="113">
        <f t="shared" si="238"/>
        <v>48</v>
      </c>
      <c r="AT128" s="113">
        <f t="shared" si="238"/>
        <v>48</v>
      </c>
      <c r="AU128" s="113">
        <f t="shared" si="238"/>
        <v>48</v>
      </c>
      <c r="AV128" s="113">
        <f t="shared" si="238"/>
        <v>48</v>
      </c>
      <c r="AW128" s="113">
        <f t="shared" si="238"/>
        <v>48</v>
      </c>
      <c r="AX128" s="113">
        <f t="shared" si="238"/>
        <v>48</v>
      </c>
      <c r="AY128" s="113">
        <f t="shared" si="238"/>
        <v>48</v>
      </c>
      <c r="AZ128" s="113">
        <f t="shared" si="238"/>
        <v>48</v>
      </c>
      <c r="BA128" s="113">
        <f t="shared" si="238"/>
        <v>48</v>
      </c>
      <c r="BB128" s="113">
        <f t="shared" si="238"/>
        <v>48</v>
      </c>
      <c r="BC128" s="113">
        <f t="shared" si="238"/>
        <v>48</v>
      </c>
      <c r="BD128" s="113">
        <f t="shared" si="238"/>
        <v>48</v>
      </c>
      <c r="BE128" s="113">
        <f t="shared" si="238"/>
        <v>48</v>
      </c>
      <c r="BF128" s="113">
        <f t="shared" si="238"/>
        <v>48</v>
      </c>
      <c r="BG128" s="113">
        <f t="shared" si="238"/>
        <v>48</v>
      </c>
      <c r="BH128" s="113">
        <f t="shared" si="238"/>
        <v>48</v>
      </c>
      <c r="BI128" s="113">
        <f t="shared" si="238"/>
        <v>48</v>
      </c>
      <c r="BJ128" s="113">
        <f t="shared" si="238"/>
        <v>48</v>
      </c>
      <c r="BK128" s="113">
        <f t="shared" si="238"/>
        <v>48</v>
      </c>
      <c r="BL128" s="113">
        <f t="shared" si="238"/>
        <v>48</v>
      </c>
      <c r="BM128" s="113">
        <f t="shared" si="238"/>
        <v>48</v>
      </c>
      <c r="BN128" s="113">
        <f t="shared" si="238"/>
        <v>48</v>
      </c>
      <c r="BO128" s="113">
        <f t="shared" si="238"/>
        <v>48</v>
      </c>
      <c r="BP128" s="113">
        <f t="shared" si="238"/>
        <v>48</v>
      </c>
      <c r="BQ128" s="113">
        <f t="shared" si="238"/>
        <v>48</v>
      </c>
      <c r="BR128" s="113">
        <f t="shared" ref="BR128:CW128" si="239">BR127*BR23</f>
        <v>48</v>
      </c>
      <c r="BS128" s="113">
        <f t="shared" si="239"/>
        <v>48</v>
      </c>
      <c r="BT128" s="113">
        <f t="shared" si="239"/>
        <v>48</v>
      </c>
      <c r="BU128" s="113">
        <f t="shared" si="239"/>
        <v>48</v>
      </c>
      <c r="BV128" s="113">
        <f t="shared" si="239"/>
        <v>48</v>
      </c>
      <c r="BW128" s="113">
        <f t="shared" si="239"/>
        <v>48</v>
      </c>
      <c r="BX128" s="113">
        <f t="shared" si="239"/>
        <v>48</v>
      </c>
      <c r="BY128" s="113">
        <f t="shared" si="239"/>
        <v>48</v>
      </c>
      <c r="BZ128" s="113">
        <f t="shared" si="239"/>
        <v>48</v>
      </c>
      <c r="CA128" s="113">
        <f t="shared" si="239"/>
        <v>48</v>
      </c>
      <c r="CB128" s="113">
        <f t="shared" si="239"/>
        <v>48</v>
      </c>
      <c r="CC128" s="113">
        <f t="shared" si="239"/>
        <v>48</v>
      </c>
      <c r="CD128" s="113">
        <f t="shared" si="239"/>
        <v>48</v>
      </c>
      <c r="CE128" s="113">
        <f t="shared" si="239"/>
        <v>48</v>
      </c>
      <c r="CF128" s="113">
        <f t="shared" si="239"/>
        <v>48</v>
      </c>
      <c r="CG128" s="113">
        <f t="shared" si="239"/>
        <v>48</v>
      </c>
      <c r="CH128" s="113">
        <f t="shared" si="239"/>
        <v>48</v>
      </c>
      <c r="CI128" s="113">
        <f t="shared" si="239"/>
        <v>48</v>
      </c>
      <c r="CJ128" s="113">
        <f t="shared" si="239"/>
        <v>48</v>
      </c>
      <c r="CK128" s="113">
        <f t="shared" si="239"/>
        <v>48</v>
      </c>
      <c r="CL128" s="113">
        <f t="shared" si="239"/>
        <v>48</v>
      </c>
      <c r="CM128" s="113">
        <f t="shared" si="239"/>
        <v>48</v>
      </c>
      <c r="CN128" s="113">
        <f t="shared" si="239"/>
        <v>48</v>
      </c>
      <c r="CO128" s="113">
        <f t="shared" si="239"/>
        <v>48</v>
      </c>
      <c r="CP128" s="113">
        <f t="shared" si="239"/>
        <v>48</v>
      </c>
      <c r="CQ128" s="113">
        <f t="shared" si="239"/>
        <v>48</v>
      </c>
      <c r="CR128" s="113">
        <f t="shared" si="239"/>
        <v>48</v>
      </c>
      <c r="CS128" s="113">
        <f t="shared" si="239"/>
        <v>48</v>
      </c>
      <c r="CT128" s="113">
        <f t="shared" si="239"/>
        <v>48</v>
      </c>
      <c r="CU128" s="113">
        <f t="shared" si="239"/>
        <v>48</v>
      </c>
      <c r="CV128" s="113">
        <f t="shared" si="239"/>
        <v>48</v>
      </c>
      <c r="CW128" s="113">
        <f t="shared" si="239"/>
        <v>48</v>
      </c>
      <c r="CX128" s="113">
        <f t="shared" ref="CX128:EC128" si="240">CX127*CX23</f>
        <v>48</v>
      </c>
      <c r="CY128" s="113">
        <f t="shared" si="240"/>
        <v>48</v>
      </c>
      <c r="CZ128" s="113">
        <f t="shared" si="240"/>
        <v>48</v>
      </c>
      <c r="DA128" s="113">
        <f t="shared" si="240"/>
        <v>48</v>
      </c>
      <c r="DB128" s="113">
        <f t="shared" si="240"/>
        <v>48</v>
      </c>
      <c r="DC128" s="113">
        <f t="shared" si="240"/>
        <v>48</v>
      </c>
      <c r="DD128" s="113">
        <f t="shared" si="240"/>
        <v>48</v>
      </c>
      <c r="DE128" s="113">
        <f t="shared" si="240"/>
        <v>48</v>
      </c>
      <c r="DF128" s="113">
        <f t="shared" si="240"/>
        <v>48</v>
      </c>
      <c r="DG128" s="113">
        <f t="shared" si="240"/>
        <v>48</v>
      </c>
      <c r="DH128" s="113">
        <f t="shared" si="240"/>
        <v>48</v>
      </c>
      <c r="DI128" s="113">
        <f t="shared" si="240"/>
        <v>48</v>
      </c>
      <c r="DJ128" s="113">
        <f t="shared" si="240"/>
        <v>48</v>
      </c>
      <c r="DK128" s="113">
        <f t="shared" si="240"/>
        <v>48</v>
      </c>
      <c r="DL128" s="113">
        <f t="shared" si="240"/>
        <v>48</v>
      </c>
      <c r="DM128" s="113">
        <f t="shared" si="240"/>
        <v>48</v>
      </c>
      <c r="DN128" s="113">
        <f t="shared" si="240"/>
        <v>48</v>
      </c>
      <c r="DO128" s="113">
        <f t="shared" si="240"/>
        <v>48</v>
      </c>
      <c r="DP128" s="113">
        <f t="shared" si="240"/>
        <v>48</v>
      </c>
      <c r="DQ128" s="113">
        <f t="shared" si="240"/>
        <v>48</v>
      </c>
      <c r="DR128" s="113">
        <f t="shared" si="240"/>
        <v>48</v>
      </c>
      <c r="DS128" s="113">
        <f t="shared" si="240"/>
        <v>48</v>
      </c>
      <c r="DT128" s="113">
        <f t="shared" si="240"/>
        <v>48</v>
      </c>
      <c r="DU128" s="113">
        <f t="shared" si="240"/>
        <v>48</v>
      </c>
      <c r="DV128" s="113">
        <f t="shared" si="240"/>
        <v>48</v>
      </c>
      <c r="DW128" s="113">
        <f t="shared" si="240"/>
        <v>48</v>
      </c>
      <c r="DX128" s="113">
        <f t="shared" si="240"/>
        <v>48</v>
      </c>
      <c r="DY128" s="113">
        <f t="shared" si="240"/>
        <v>48</v>
      </c>
      <c r="DZ128" s="113">
        <f t="shared" si="240"/>
        <v>48</v>
      </c>
      <c r="EA128" s="113">
        <f t="shared" si="240"/>
        <v>48</v>
      </c>
      <c r="EB128" s="113">
        <f t="shared" si="240"/>
        <v>48</v>
      </c>
      <c r="EC128" s="113">
        <f t="shared" si="240"/>
        <v>48</v>
      </c>
      <c r="ED128" s="113">
        <f t="shared" ref="ED128:FI128" si="241">ED127*ED23</f>
        <v>48</v>
      </c>
      <c r="EE128" s="113">
        <f t="shared" si="241"/>
        <v>48</v>
      </c>
      <c r="EF128" s="113">
        <f t="shared" si="241"/>
        <v>48</v>
      </c>
      <c r="EG128" s="113">
        <f t="shared" si="241"/>
        <v>48</v>
      </c>
      <c r="EH128" s="113">
        <f t="shared" si="241"/>
        <v>48</v>
      </c>
      <c r="EI128" s="113">
        <f t="shared" si="241"/>
        <v>48</v>
      </c>
      <c r="EJ128" s="113">
        <f t="shared" si="241"/>
        <v>48</v>
      </c>
      <c r="EK128" s="113">
        <f t="shared" si="241"/>
        <v>48</v>
      </c>
      <c r="EL128" s="113">
        <f t="shared" si="241"/>
        <v>48</v>
      </c>
      <c r="EM128" s="113">
        <f t="shared" si="241"/>
        <v>48</v>
      </c>
      <c r="EN128" s="113">
        <f t="shared" si="241"/>
        <v>48</v>
      </c>
      <c r="EO128" s="113">
        <f t="shared" si="241"/>
        <v>48</v>
      </c>
      <c r="EP128" s="113">
        <f t="shared" si="241"/>
        <v>48</v>
      </c>
      <c r="EQ128" s="113">
        <f t="shared" si="241"/>
        <v>48</v>
      </c>
      <c r="ER128" s="113">
        <f t="shared" si="241"/>
        <v>48</v>
      </c>
      <c r="ES128" s="113">
        <f t="shared" si="241"/>
        <v>48</v>
      </c>
      <c r="ET128" s="113">
        <f t="shared" si="241"/>
        <v>48</v>
      </c>
      <c r="EU128" s="113">
        <f t="shared" si="241"/>
        <v>48</v>
      </c>
      <c r="EV128" s="113">
        <f t="shared" si="241"/>
        <v>48</v>
      </c>
      <c r="EW128" s="113">
        <f t="shared" si="241"/>
        <v>48</v>
      </c>
      <c r="EX128" s="113">
        <f t="shared" si="241"/>
        <v>48</v>
      </c>
      <c r="EY128" s="113">
        <f t="shared" si="241"/>
        <v>48</v>
      </c>
      <c r="EZ128" s="113">
        <f t="shared" si="241"/>
        <v>48</v>
      </c>
      <c r="FA128" s="113">
        <f t="shared" si="241"/>
        <v>48</v>
      </c>
      <c r="FB128" s="113">
        <f t="shared" si="241"/>
        <v>48</v>
      </c>
      <c r="FC128" s="113">
        <f t="shared" si="241"/>
        <v>48</v>
      </c>
      <c r="FD128" s="113">
        <f t="shared" si="241"/>
        <v>48</v>
      </c>
      <c r="FE128" s="113">
        <f t="shared" si="241"/>
        <v>48</v>
      </c>
      <c r="FF128" s="113">
        <f t="shared" si="241"/>
        <v>48</v>
      </c>
      <c r="FG128" s="113">
        <f t="shared" si="241"/>
        <v>48</v>
      </c>
      <c r="FH128" s="113">
        <f t="shared" si="241"/>
        <v>48</v>
      </c>
      <c r="FI128" s="113">
        <f t="shared" si="241"/>
        <v>48</v>
      </c>
      <c r="FJ128" s="113">
        <f t="shared" ref="FJ128:GC128" si="242">FJ127*FJ23</f>
        <v>48</v>
      </c>
      <c r="FK128" s="113">
        <f t="shared" si="242"/>
        <v>48</v>
      </c>
      <c r="FL128" s="113">
        <f t="shared" si="242"/>
        <v>48</v>
      </c>
      <c r="FM128" s="113">
        <f t="shared" si="242"/>
        <v>48</v>
      </c>
      <c r="FN128" s="113">
        <f t="shared" si="242"/>
        <v>48</v>
      </c>
      <c r="FO128" s="113">
        <f t="shared" si="242"/>
        <v>48</v>
      </c>
      <c r="FP128" s="113">
        <f t="shared" si="242"/>
        <v>48</v>
      </c>
      <c r="FQ128" s="113">
        <f t="shared" si="242"/>
        <v>48</v>
      </c>
      <c r="FR128" s="113">
        <f t="shared" si="242"/>
        <v>48</v>
      </c>
      <c r="FS128" s="113">
        <f t="shared" si="242"/>
        <v>48</v>
      </c>
      <c r="FT128" s="113">
        <f t="shared" si="242"/>
        <v>48</v>
      </c>
      <c r="FU128" s="113">
        <f t="shared" si="242"/>
        <v>48</v>
      </c>
      <c r="FV128" s="113">
        <f t="shared" si="242"/>
        <v>48</v>
      </c>
      <c r="FW128" s="113">
        <f t="shared" si="242"/>
        <v>48</v>
      </c>
      <c r="FX128" s="113">
        <f t="shared" si="242"/>
        <v>48</v>
      </c>
      <c r="FY128" s="113">
        <f t="shared" si="242"/>
        <v>48</v>
      </c>
      <c r="FZ128" s="113">
        <f t="shared" si="242"/>
        <v>48</v>
      </c>
      <c r="GA128" s="113">
        <f t="shared" si="242"/>
        <v>48</v>
      </c>
      <c r="GB128" s="113">
        <f t="shared" si="242"/>
        <v>48</v>
      </c>
      <c r="GC128" s="113">
        <f t="shared" si="242"/>
        <v>48</v>
      </c>
    </row>
    <row r="129" spans="1:185">
      <c r="A129" s="80"/>
      <c r="B129" s="80" t="s">
        <v>157</v>
      </c>
      <c r="C129" s="80"/>
      <c r="D129" s="80"/>
      <c r="E129" s="82"/>
      <c r="F129" s="115">
        <f>Assumptions!$D$35</f>
        <v>0.84</v>
      </c>
      <c r="G129" s="115">
        <f>Assumptions!$D$35</f>
        <v>0.84</v>
      </c>
      <c r="H129" s="115">
        <f>Assumptions!$D$35</f>
        <v>0.84</v>
      </c>
      <c r="I129" s="115">
        <f>Assumptions!$D$35</f>
        <v>0.84</v>
      </c>
      <c r="J129" s="115">
        <f>Assumptions!$D$35</f>
        <v>0.84</v>
      </c>
      <c r="K129" s="115">
        <f>Assumptions!$D$35</f>
        <v>0.84</v>
      </c>
      <c r="L129" s="115">
        <f>Assumptions!$D$35</f>
        <v>0.84</v>
      </c>
      <c r="M129" s="115">
        <f>Assumptions!$D$35</f>
        <v>0.84</v>
      </c>
      <c r="N129" s="115">
        <f>Assumptions!$D$35</f>
        <v>0.84</v>
      </c>
      <c r="O129" s="115">
        <f>Assumptions!$D$35</f>
        <v>0.84</v>
      </c>
      <c r="P129" s="115">
        <f>Assumptions!$D$35</f>
        <v>0.84</v>
      </c>
      <c r="Q129" s="115">
        <f>Assumptions!$D$35</f>
        <v>0.84</v>
      </c>
      <c r="R129" s="115">
        <f>Assumptions!$D$35</f>
        <v>0.84</v>
      </c>
      <c r="S129" s="115">
        <f>Assumptions!$D$35</f>
        <v>0.84</v>
      </c>
      <c r="T129" s="115">
        <f>Assumptions!$D$35</f>
        <v>0.84</v>
      </c>
      <c r="U129" s="115">
        <f>Assumptions!$D$35</f>
        <v>0.84</v>
      </c>
      <c r="V129" s="115">
        <f>Assumptions!$D$35</f>
        <v>0.84</v>
      </c>
      <c r="W129" s="115">
        <f>Assumptions!$D$35</f>
        <v>0.84</v>
      </c>
      <c r="X129" s="115">
        <f>Assumptions!$D$35</f>
        <v>0.84</v>
      </c>
      <c r="Y129" s="115">
        <f>Assumptions!$D$35</f>
        <v>0.84</v>
      </c>
      <c r="Z129" s="115">
        <f>Assumptions!$D$35</f>
        <v>0.84</v>
      </c>
      <c r="AA129" s="115">
        <f>Assumptions!$D$35</f>
        <v>0.84</v>
      </c>
      <c r="AB129" s="115">
        <f>Assumptions!$D$35</f>
        <v>0.84</v>
      </c>
      <c r="AC129" s="115">
        <f>Assumptions!$D$35</f>
        <v>0.84</v>
      </c>
      <c r="AD129" s="115">
        <f>Assumptions!$D$35</f>
        <v>0.84</v>
      </c>
      <c r="AE129" s="115">
        <f>Assumptions!$D$35</f>
        <v>0.84</v>
      </c>
      <c r="AF129" s="115">
        <f>Assumptions!$D$35</f>
        <v>0.84</v>
      </c>
      <c r="AG129" s="115">
        <f>Assumptions!$D$35</f>
        <v>0.84</v>
      </c>
      <c r="AH129" s="115">
        <f>Assumptions!$D$35</f>
        <v>0.84</v>
      </c>
      <c r="AI129" s="115">
        <f>Assumptions!$D$35</f>
        <v>0.84</v>
      </c>
      <c r="AJ129" s="115">
        <f>Assumptions!$D$35</f>
        <v>0.84</v>
      </c>
      <c r="AK129" s="115">
        <f>Assumptions!$D$35</f>
        <v>0.84</v>
      </c>
      <c r="AL129" s="115">
        <f>Assumptions!$D$35</f>
        <v>0.84</v>
      </c>
      <c r="AM129" s="115">
        <f>Assumptions!$D$35</f>
        <v>0.84</v>
      </c>
      <c r="AN129" s="115">
        <f>Assumptions!$D$35</f>
        <v>0.84</v>
      </c>
      <c r="AO129" s="115">
        <f>Assumptions!$D$35</f>
        <v>0.84</v>
      </c>
      <c r="AP129" s="115">
        <f>Assumptions!$D$35</f>
        <v>0.84</v>
      </c>
      <c r="AQ129" s="115">
        <f>Assumptions!$D$35</f>
        <v>0.84</v>
      </c>
      <c r="AR129" s="115">
        <f>Assumptions!$D$35</f>
        <v>0.84</v>
      </c>
      <c r="AS129" s="115">
        <f>Assumptions!$D$35</f>
        <v>0.84</v>
      </c>
      <c r="AT129" s="115">
        <f>Assumptions!$D$35</f>
        <v>0.84</v>
      </c>
      <c r="AU129" s="115">
        <f>Assumptions!$D$35</f>
        <v>0.84</v>
      </c>
      <c r="AV129" s="115">
        <f>Assumptions!$D$35</f>
        <v>0.84</v>
      </c>
      <c r="AW129" s="115">
        <f>Assumptions!$D$35</f>
        <v>0.84</v>
      </c>
      <c r="AX129" s="115">
        <f>Assumptions!$D$35</f>
        <v>0.84</v>
      </c>
      <c r="AY129" s="115">
        <f>Assumptions!$D$35</f>
        <v>0.84</v>
      </c>
      <c r="AZ129" s="115">
        <f>Assumptions!$D$35</f>
        <v>0.84</v>
      </c>
      <c r="BA129" s="115">
        <f>Assumptions!$D$35</f>
        <v>0.84</v>
      </c>
      <c r="BB129" s="115">
        <f>Assumptions!$D$35</f>
        <v>0.84</v>
      </c>
      <c r="BC129" s="115">
        <f>Assumptions!$D$35</f>
        <v>0.84</v>
      </c>
      <c r="BD129" s="115">
        <f>Assumptions!$D$35</f>
        <v>0.84</v>
      </c>
      <c r="BE129" s="115">
        <f>Assumptions!$D$35</f>
        <v>0.84</v>
      </c>
      <c r="BF129" s="115">
        <f>Assumptions!$D$35</f>
        <v>0.84</v>
      </c>
      <c r="BG129" s="115">
        <f>Assumptions!$D$35</f>
        <v>0.84</v>
      </c>
      <c r="BH129" s="115">
        <f>Assumptions!$D$35</f>
        <v>0.84</v>
      </c>
      <c r="BI129" s="115">
        <f>Assumptions!$D$35</f>
        <v>0.84</v>
      </c>
      <c r="BJ129" s="115">
        <f>Assumptions!$D$35</f>
        <v>0.84</v>
      </c>
      <c r="BK129" s="115">
        <f>Assumptions!$D$35</f>
        <v>0.84</v>
      </c>
      <c r="BL129" s="115">
        <f>Assumptions!$D$35</f>
        <v>0.84</v>
      </c>
      <c r="BM129" s="115">
        <f>Assumptions!$D$35</f>
        <v>0.84</v>
      </c>
      <c r="BN129" s="115">
        <f>Assumptions!$D$35</f>
        <v>0.84</v>
      </c>
      <c r="BO129" s="115">
        <f>Assumptions!$D$35</f>
        <v>0.84</v>
      </c>
      <c r="BP129" s="115">
        <f>Assumptions!$D$35</f>
        <v>0.84</v>
      </c>
      <c r="BQ129" s="115">
        <f>Assumptions!$D$35</f>
        <v>0.84</v>
      </c>
      <c r="BR129" s="115">
        <f>Assumptions!$D$35</f>
        <v>0.84</v>
      </c>
      <c r="BS129" s="115">
        <f>Assumptions!$D$35</f>
        <v>0.84</v>
      </c>
      <c r="BT129" s="115">
        <f>Assumptions!$D$35</f>
        <v>0.84</v>
      </c>
      <c r="BU129" s="115">
        <f>Assumptions!$D$35</f>
        <v>0.84</v>
      </c>
      <c r="BV129" s="115">
        <f>Assumptions!$D$35</f>
        <v>0.84</v>
      </c>
      <c r="BW129" s="115">
        <f>Assumptions!$D$35</f>
        <v>0.84</v>
      </c>
      <c r="BX129" s="115">
        <f>Assumptions!$D$35</f>
        <v>0.84</v>
      </c>
      <c r="BY129" s="115">
        <f>Assumptions!$D$35</f>
        <v>0.84</v>
      </c>
      <c r="BZ129" s="115">
        <f>Assumptions!$D$35</f>
        <v>0.84</v>
      </c>
      <c r="CA129" s="115">
        <f>Assumptions!$D$35</f>
        <v>0.84</v>
      </c>
      <c r="CB129" s="115">
        <f>Assumptions!$D$35</f>
        <v>0.84</v>
      </c>
      <c r="CC129" s="115">
        <f>Assumptions!$D$35</f>
        <v>0.84</v>
      </c>
      <c r="CD129" s="115">
        <f>Assumptions!$D$35</f>
        <v>0.84</v>
      </c>
      <c r="CE129" s="115">
        <f>Assumptions!$D$35</f>
        <v>0.84</v>
      </c>
      <c r="CF129" s="115">
        <f>Assumptions!$D$35</f>
        <v>0.84</v>
      </c>
      <c r="CG129" s="115">
        <f>Assumptions!$D$35</f>
        <v>0.84</v>
      </c>
      <c r="CH129" s="115">
        <f>Assumptions!$D$35</f>
        <v>0.84</v>
      </c>
      <c r="CI129" s="115">
        <f>Assumptions!$D$35</f>
        <v>0.84</v>
      </c>
      <c r="CJ129" s="115">
        <f>Assumptions!$D$35</f>
        <v>0.84</v>
      </c>
      <c r="CK129" s="115">
        <f>Assumptions!$D$35</f>
        <v>0.84</v>
      </c>
      <c r="CL129" s="115">
        <f>Assumptions!$D$35</f>
        <v>0.84</v>
      </c>
      <c r="CM129" s="115">
        <f>Assumptions!$D$35</f>
        <v>0.84</v>
      </c>
      <c r="CN129" s="115">
        <f>Assumptions!$D$35</f>
        <v>0.84</v>
      </c>
      <c r="CO129" s="115">
        <f>Assumptions!$D$35</f>
        <v>0.84</v>
      </c>
      <c r="CP129" s="115">
        <f>Assumptions!$D$35</f>
        <v>0.84</v>
      </c>
      <c r="CQ129" s="115">
        <f>Assumptions!$D$35</f>
        <v>0.84</v>
      </c>
      <c r="CR129" s="115">
        <f>Assumptions!$D$35</f>
        <v>0.84</v>
      </c>
      <c r="CS129" s="115">
        <f>Assumptions!$D$35</f>
        <v>0.84</v>
      </c>
      <c r="CT129" s="115">
        <f>Assumptions!$D$35</f>
        <v>0.84</v>
      </c>
      <c r="CU129" s="115">
        <f>Assumptions!$D$35</f>
        <v>0.84</v>
      </c>
      <c r="CV129" s="115">
        <f>Assumptions!$D$35</f>
        <v>0.84</v>
      </c>
      <c r="CW129" s="115">
        <f>Assumptions!$D$35</f>
        <v>0.84</v>
      </c>
      <c r="CX129" s="115">
        <f>Assumptions!$D$35</f>
        <v>0.84</v>
      </c>
      <c r="CY129" s="115">
        <f>Assumptions!$D$35</f>
        <v>0.84</v>
      </c>
      <c r="CZ129" s="115">
        <f>Assumptions!$D$35</f>
        <v>0.84</v>
      </c>
      <c r="DA129" s="115">
        <f>Assumptions!$D$35</f>
        <v>0.84</v>
      </c>
      <c r="DB129" s="115">
        <f>Assumptions!$D$35</f>
        <v>0.84</v>
      </c>
      <c r="DC129" s="115">
        <f>Assumptions!$D$35</f>
        <v>0.84</v>
      </c>
      <c r="DD129" s="115">
        <f>Assumptions!$D$35</f>
        <v>0.84</v>
      </c>
      <c r="DE129" s="115">
        <f>Assumptions!$D$35</f>
        <v>0.84</v>
      </c>
      <c r="DF129" s="115">
        <f>Assumptions!$D$35</f>
        <v>0.84</v>
      </c>
      <c r="DG129" s="115">
        <f>Assumptions!$D$35</f>
        <v>0.84</v>
      </c>
      <c r="DH129" s="115">
        <f>Assumptions!$D$35</f>
        <v>0.84</v>
      </c>
      <c r="DI129" s="115">
        <f>Assumptions!$D$35</f>
        <v>0.84</v>
      </c>
      <c r="DJ129" s="115">
        <f>Assumptions!$D$35</f>
        <v>0.84</v>
      </c>
      <c r="DK129" s="115">
        <f>Assumptions!$D$35</f>
        <v>0.84</v>
      </c>
      <c r="DL129" s="115">
        <f>Assumptions!$D$35</f>
        <v>0.84</v>
      </c>
      <c r="DM129" s="115">
        <f>Assumptions!$D$35</f>
        <v>0.84</v>
      </c>
      <c r="DN129" s="115">
        <f>Assumptions!$D$35</f>
        <v>0.84</v>
      </c>
      <c r="DO129" s="115">
        <f>Assumptions!$D$35</f>
        <v>0.84</v>
      </c>
      <c r="DP129" s="115">
        <f>Assumptions!$D$35</f>
        <v>0.84</v>
      </c>
      <c r="DQ129" s="115">
        <f>Assumptions!$D$35</f>
        <v>0.84</v>
      </c>
      <c r="DR129" s="115">
        <f>Assumptions!$D$35</f>
        <v>0.84</v>
      </c>
      <c r="DS129" s="115">
        <f>Assumptions!$D$35</f>
        <v>0.84</v>
      </c>
      <c r="DT129" s="115">
        <f>Assumptions!$D$35</f>
        <v>0.84</v>
      </c>
      <c r="DU129" s="115">
        <f>Assumptions!$D$35</f>
        <v>0.84</v>
      </c>
      <c r="DV129" s="115">
        <f>Assumptions!$D$35</f>
        <v>0.84</v>
      </c>
      <c r="DW129" s="115">
        <f>Assumptions!$D$35</f>
        <v>0.84</v>
      </c>
      <c r="DX129" s="115">
        <f>Assumptions!$D$35</f>
        <v>0.84</v>
      </c>
      <c r="DY129" s="115">
        <f>Assumptions!$D$35</f>
        <v>0.84</v>
      </c>
      <c r="DZ129" s="115">
        <f>Assumptions!$D$35</f>
        <v>0.84</v>
      </c>
      <c r="EA129" s="115">
        <f>Assumptions!$D$35</f>
        <v>0.84</v>
      </c>
      <c r="EB129" s="115">
        <f>Assumptions!$D$35</f>
        <v>0.84</v>
      </c>
      <c r="EC129" s="115">
        <f>Assumptions!$D$35</f>
        <v>0.84</v>
      </c>
      <c r="ED129" s="115">
        <f>Assumptions!$D$35</f>
        <v>0.84</v>
      </c>
      <c r="EE129" s="115">
        <f>Assumptions!$D$35</f>
        <v>0.84</v>
      </c>
      <c r="EF129" s="115">
        <f>Assumptions!$D$35</f>
        <v>0.84</v>
      </c>
      <c r="EG129" s="115">
        <f>Assumptions!$D$35</f>
        <v>0.84</v>
      </c>
      <c r="EH129" s="115">
        <f>Assumptions!$D$35</f>
        <v>0.84</v>
      </c>
      <c r="EI129" s="115">
        <f>Assumptions!$D$35</f>
        <v>0.84</v>
      </c>
      <c r="EJ129" s="115">
        <f>Assumptions!$D$35</f>
        <v>0.84</v>
      </c>
      <c r="EK129" s="115">
        <f>Assumptions!$D$35</f>
        <v>0.84</v>
      </c>
      <c r="EL129" s="115">
        <f>Assumptions!$D$35</f>
        <v>0.84</v>
      </c>
      <c r="EM129" s="115">
        <f>Assumptions!$D$35</f>
        <v>0.84</v>
      </c>
      <c r="EN129" s="115">
        <f>Assumptions!$D$35</f>
        <v>0.84</v>
      </c>
      <c r="EO129" s="115">
        <f>Assumptions!$D$35</f>
        <v>0.84</v>
      </c>
      <c r="EP129" s="115">
        <f>Assumptions!$D$35</f>
        <v>0.84</v>
      </c>
      <c r="EQ129" s="115">
        <f>Assumptions!$D$35</f>
        <v>0.84</v>
      </c>
      <c r="ER129" s="115">
        <f>Assumptions!$D$35</f>
        <v>0.84</v>
      </c>
      <c r="ES129" s="115">
        <f>Assumptions!$D$35</f>
        <v>0.84</v>
      </c>
      <c r="ET129" s="115">
        <f>Assumptions!$D$35</f>
        <v>0.84</v>
      </c>
      <c r="EU129" s="115">
        <f>Assumptions!$D$35</f>
        <v>0.84</v>
      </c>
      <c r="EV129" s="115">
        <f>Assumptions!$D$35</f>
        <v>0.84</v>
      </c>
      <c r="EW129" s="115">
        <f>Assumptions!$D$35</f>
        <v>0.84</v>
      </c>
      <c r="EX129" s="115">
        <f>Assumptions!$D$35</f>
        <v>0.84</v>
      </c>
      <c r="EY129" s="115">
        <f>Assumptions!$D$35</f>
        <v>0.84</v>
      </c>
      <c r="EZ129" s="115">
        <f>Assumptions!$D$35</f>
        <v>0.84</v>
      </c>
      <c r="FA129" s="115">
        <f>Assumptions!$D$35</f>
        <v>0.84</v>
      </c>
      <c r="FB129" s="115">
        <f>Assumptions!$D$35</f>
        <v>0.84</v>
      </c>
      <c r="FC129" s="115">
        <f>Assumptions!$D$35</f>
        <v>0.84</v>
      </c>
      <c r="FD129" s="115">
        <f>Assumptions!$D$35</f>
        <v>0.84</v>
      </c>
      <c r="FE129" s="115">
        <f>Assumptions!$D$35</f>
        <v>0.84</v>
      </c>
      <c r="FF129" s="115">
        <f>Assumptions!$D$35</f>
        <v>0.84</v>
      </c>
      <c r="FG129" s="115">
        <f>Assumptions!$D$35</f>
        <v>0.84</v>
      </c>
      <c r="FH129" s="115">
        <f>Assumptions!$D$35</f>
        <v>0.84</v>
      </c>
      <c r="FI129" s="115">
        <f>Assumptions!$D$35</f>
        <v>0.84</v>
      </c>
      <c r="FJ129" s="115">
        <f>Assumptions!$D$35</f>
        <v>0.84</v>
      </c>
      <c r="FK129" s="115">
        <f>Assumptions!$D$35</f>
        <v>0.84</v>
      </c>
      <c r="FL129" s="115">
        <f>Assumptions!$D$35</f>
        <v>0.84</v>
      </c>
      <c r="FM129" s="115">
        <f>Assumptions!$D$35</f>
        <v>0.84</v>
      </c>
      <c r="FN129" s="115">
        <f>Assumptions!$D$35</f>
        <v>0.84</v>
      </c>
      <c r="FO129" s="115">
        <f>Assumptions!$D$35</f>
        <v>0.84</v>
      </c>
      <c r="FP129" s="115">
        <f>Assumptions!$D$35</f>
        <v>0.84</v>
      </c>
      <c r="FQ129" s="115">
        <f>Assumptions!$D$35</f>
        <v>0.84</v>
      </c>
      <c r="FR129" s="115">
        <f>Assumptions!$D$35</f>
        <v>0.84</v>
      </c>
      <c r="FS129" s="115">
        <f>Assumptions!$D$35</f>
        <v>0.84</v>
      </c>
      <c r="FT129" s="115">
        <f>Assumptions!$D$35</f>
        <v>0.84</v>
      </c>
      <c r="FU129" s="115">
        <f>Assumptions!$D$35</f>
        <v>0.84</v>
      </c>
      <c r="FV129" s="115">
        <f>Assumptions!$D$35</f>
        <v>0.84</v>
      </c>
      <c r="FW129" s="115">
        <f>Assumptions!$D$35</f>
        <v>0.84</v>
      </c>
      <c r="FX129" s="115">
        <f>Assumptions!$D$35</f>
        <v>0.84</v>
      </c>
      <c r="FY129" s="115">
        <f>Assumptions!$D$35</f>
        <v>0.84</v>
      </c>
      <c r="FZ129" s="115">
        <f>Assumptions!$D$35</f>
        <v>0.84</v>
      </c>
      <c r="GA129" s="115">
        <f>Assumptions!$D$35</f>
        <v>0.84</v>
      </c>
      <c r="GB129" s="115">
        <f>Assumptions!$D$35</f>
        <v>0.84</v>
      </c>
      <c r="GC129" s="115">
        <f>Assumptions!$D$35</f>
        <v>0.84</v>
      </c>
    </row>
    <row r="130" spans="1:185">
      <c r="A130" s="80"/>
      <c r="B130" s="80" t="s">
        <v>158</v>
      </c>
      <c r="C130" s="80"/>
      <c r="D130" s="80"/>
      <c r="E130" s="82"/>
      <c r="F130" s="93">
        <f t="shared" ref="F130:AK130" si="243">F128*F8*F129</f>
        <v>0</v>
      </c>
      <c r="G130" s="77">
        <f t="shared" si="243"/>
        <v>0</v>
      </c>
      <c r="H130" s="77">
        <f t="shared" si="243"/>
        <v>0</v>
      </c>
      <c r="I130" s="77">
        <f t="shared" si="243"/>
        <v>0</v>
      </c>
      <c r="J130" s="77">
        <f t="shared" si="243"/>
        <v>0</v>
      </c>
      <c r="K130" s="77">
        <f t="shared" si="243"/>
        <v>0</v>
      </c>
      <c r="L130" s="77">
        <f t="shared" si="243"/>
        <v>0</v>
      </c>
      <c r="M130" s="77">
        <f t="shared" si="243"/>
        <v>1249.9199999999998</v>
      </c>
      <c r="N130" s="77">
        <f t="shared" si="243"/>
        <v>1209.5999999999999</v>
      </c>
      <c r="O130" s="77">
        <f t="shared" si="243"/>
        <v>1249.9199999999998</v>
      </c>
      <c r="P130" s="77">
        <f t="shared" si="243"/>
        <v>1209.5999999999999</v>
      </c>
      <c r="Q130" s="77">
        <f t="shared" si="243"/>
        <v>1249.9199999999998</v>
      </c>
      <c r="R130" s="77">
        <f t="shared" si="243"/>
        <v>1249.9199999999998</v>
      </c>
      <c r="S130" s="77">
        <f t="shared" si="243"/>
        <v>1128.96</v>
      </c>
      <c r="T130" s="77">
        <f t="shared" si="243"/>
        <v>1249.9199999999998</v>
      </c>
      <c r="U130" s="77">
        <f t="shared" si="243"/>
        <v>1209.5999999999999</v>
      </c>
      <c r="V130" s="77">
        <f t="shared" si="243"/>
        <v>1249.9199999999998</v>
      </c>
      <c r="W130" s="77">
        <f t="shared" si="243"/>
        <v>1209.5999999999999</v>
      </c>
      <c r="X130" s="77">
        <f t="shared" si="243"/>
        <v>1249.9199999999998</v>
      </c>
      <c r="Y130" s="77">
        <f t="shared" si="243"/>
        <v>1249.9199999999998</v>
      </c>
      <c r="Z130" s="77">
        <f t="shared" si="243"/>
        <v>1209.5999999999999</v>
      </c>
      <c r="AA130" s="77">
        <f t="shared" si="243"/>
        <v>1249.9199999999998</v>
      </c>
      <c r="AB130" s="77">
        <f t="shared" si="243"/>
        <v>1209.5999999999999</v>
      </c>
      <c r="AC130" s="77">
        <f t="shared" si="243"/>
        <v>1249.9199999999998</v>
      </c>
      <c r="AD130" s="77">
        <f t="shared" si="243"/>
        <v>1249.9199999999998</v>
      </c>
      <c r="AE130" s="77">
        <f t="shared" si="243"/>
        <v>1128.96</v>
      </c>
      <c r="AF130" s="77">
        <f t="shared" si="243"/>
        <v>1249.9199999999998</v>
      </c>
      <c r="AG130" s="77">
        <f t="shared" si="243"/>
        <v>1209.5999999999999</v>
      </c>
      <c r="AH130" s="77">
        <f t="shared" si="243"/>
        <v>1249.9199999999998</v>
      </c>
      <c r="AI130" s="77">
        <f t="shared" si="243"/>
        <v>1209.5999999999999</v>
      </c>
      <c r="AJ130" s="77">
        <f t="shared" si="243"/>
        <v>1249.9199999999998</v>
      </c>
      <c r="AK130" s="77">
        <f t="shared" si="243"/>
        <v>1249.9199999999998</v>
      </c>
      <c r="AL130" s="77">
        <f t="shared" ref="AL130:BQ130" si="244">AL128*AL8*AL129</f>
        <v>1209.5999999999999</v>
      </c>
      <c r="AM130" s="77">
        <f t="shared" si="244"/>
        <v>1249.9199999999998</v>
      </c>
      <c r="AN130" s="77">
        <f t="shared" si="244"/>
        <v>1209.5999999999999</v>
      </c>
      <c r="AO130" s="77">
        <f t="shared" si="244"/>
        <v>1249.9199999999998</v>
      </c>
      <c r="AP130" s="77">
        <f t="shared" si="244"/>
        <v>1249.9199999999998</v>
      </c>
      <c r="AQ130" s="77">
        <f t="shared" si="244"/>
        <v>1128.96</v>
      </c>
      <c r="AR130" s="77">
        <f t="shared" si="244"/>
        <v>1249.9199999999998</v>
      </c>
      <c r="AS130" s="77">
        <f t="shared" si="244"/>
        <v>1209.5999999999999</v>
      </c>
      <c r="AT130" s="77">
        <f t="shared" si="244"/>
        <v>1249.9199999999998</v>
      </c>
      <c r="AU130" s="77">
        <f t="shared" si="244"/>
        <v>1209.5999999999999</v>
      </c>
      <c r="AV130" s="77">
        <f t="shared" si="244"/>
        <v>1249.9199999999998</v>
      </c>
      <c r="AW130" s="77">
        <f t="shared" si="244"/>
        <v>1249.9199999999998</v>
      </c>
      <c r="AX130" s="77">
        <f t="shared" si="244"/>
        <v>1209.5999999999999</v>
      </c>
      <c r="AY130" s="77">
        <f t="shared" si="244"/>
        <v>1249.9199999999998</v>
      </c>
      <c r="AZ130" s="77">
        <f t="shared" si="244"/>
        <v>1209.5999999999999</v>
      </c>
      <c r="BA130" s="77">
        <f t="shared" si="244"/>
        <v>1249.9199999999998</v>
      </c>
      <c r="BB130" s="77">
        <f t="shared" si="244"/>
        <v>1249.9199999999998</v>
      </c>
      <c r="BC130" s="77">
        <f t="shared" si="244"/>
        <v>1128.96</v>
      </c>
      <c r="BD130" s="77">
        <f t="shared" si="244"/>
        <v>1249.9199999999998</v>
      </c>
      <c r="BE130" s="77">
        <f t="shared" si="244"/>
        <v>1209.5999999999999</v>
      </c>
      <c r="BF130" s="77">
        <f t="shared" si="244"/>
        <v>1249.9199999999998</v>
      </c>
      <c r="BG130" s="77">
        <f t="shared" si="244"/>
        <v>1209.5999999999999</v>
      </c>
      <c r="BH130" s="77">
        <f t="shared" si="244"/>
        <v>1249.9199999999998</v>
      </c>
      <c r="BI130" s="77">
        <f t="shared" si="244"/>
        <v>1249.9199999999998</v>
      </c>
      <c r="BJ130" s="77">
        <f t="shared" si="244"/>
        <v>1209.5999999999999</v>
      </c>
      <c r="BK130" s="77">
        <f t="shared" si="244"/>
        <v>1249.9199999999998</v>
      </c>
      <c r="BL130" s="77">
        <f t="shared" si="244"/>
        <v>1209.5999999999999</v>
      </c>
      <c r="BM130" s="77">
        <f t="shared" si="244"/>
        <v>1249.9199999999998</v>
      </c>
      <c r="BN130" s="77">
        <f t="shared" si="244"/>
        <v>1249.9199999999998</v>
      </c>
      <c r="BO130" s="77">
        <f t="shared" si="244"/>
        <v>1128.96</v>
      </c>
      <c r="BP130" s="77">
        <f t="shared" si="244"/>
        <v>1249.9199999999998</v>
      </c>
      <c r="BQ130" s="77">
        <f t="shared" si="244"/>
        <v>1209.5999999999999</v>
      </c>
      <c r="BR130" s="77">
        <f t="shared" ref="BR130:CW130" si="245">BR128*BR8*BR129</f>
        <v>1249.9199999999998</v>
      </c>
      <c r="BS130" s="77">
        <f t="shared" si="245"/>
        <v>1209.5999999999999</v>
      </c>
      <c r="BT130" s="77">
        <f t="shared" si="245"/>
        <v>1249.9199999999998</v>
      </c>
      <c r="BU130" s="77">
        <f t="shared" si="245"/>
        <v>1249.9199999999998</v>
      </c>
      <c r="BV130" s="77">
        <f t="shared" si="245"/>
        <v>1209.5999999999999</v>
      </c>
      <c r="BW130" s="77">
        <f t="shared" si="245"/>
        <v>1249.9199999999998</v>
      </c>
      <c r="BX130" s="77">
        <f t="shared" si="245"/>
        <v>1209.5999999999999</v>
      </c>
      <c r="BY130" s="77">
        <f t="shared" si="245"/>
        <v>1249.9199999999998</v>
      </c>
      <c r="BZ130" s="77">
        <f t="shared" si="245"/>
        <v>1249.9199999999998</v>
      </c>
      <c r="CA130" s="77">
        <f t="shared" si="245"/>
        <v>1128.96</v>
      </c>
      <c r="CB130" s="77">
        <f t="shared" si="245"/>
        <v>1249.9199999999998</v>
      </c>
      <c r="CC130" s="77">
        <f t="shared" si="245"/>
        <v>1209.5999999999999</v>
      </c>
      <c r="CD130" s="77">
        <f t="shared" si="245"/>
        <v>1249.9199999999998</v>
      </c>
      <c r="CE130" s="77">
        <f t="shared" si="245"/>
        <v>1209.5999999999999</v>
      </c>
      <c r="CF130" s="77">
        <f t="shared" si="245"/>
        <v>1249.9199999999998</v>
      </c>
      <c r="CG130" s="77">
        <f t="shared" si="245"/>
        <v>1249.9199999999998</v>
      </c>
      <c r="CH130" s="77">
        <f t="shared" si="245"/>
        <v>1209.5999999999999</v>
      </c>
      <c r="CI130" s="77">
        <f t="shared" si="245"/>
        <v>1249.9199999999998</v>
      </c>
      <c r="CJ130" s="77">
        <f t="shared" si="245"/>
        <v>1209.5999999999999</v>
      </c>
      <c r="CK130" s="77">
        <f t="shared" si="245"/>
        <v>1249.9199999999998</v>
      </c>
      <c r="CL130" s="77">
        <f t="shared" si="245"/>
        <v>1249.9199999999998</v>
      </c>
      <c r="CM130" s="77">
        <f t="shared" si="245"/>
        <v>1128.96</v>
      </c>
      <c r="CN130" s="77">
        <f t="shared" si="245"/>
        <v>1249.9199999999998</v>
      </c>
      <c r="CO130" s="77">
        <f t="shared" si="245"/>
        <v>1209.5999999999999</v>
      </c>
      <c r="CP130" s="77">
        <f t="shared" si="245"/>
        <v>1249.9199999999998</v>
      </c>
      <c r="CQ130" s="77">
        <f t="shared" si="245"/>
        <v>1209.5999999999999</v>
      </c>
      <c r="CR130" s="77">
        <f t="shared" si="245"/>
        <v>1249.9199999999998</v>
      </c>
      <c r="CS130" s="77">
        <f t="shared" si="245"/>
        <v>1249.9199999999998</v>
      </c>
      <c r="CT130" s="77">
        <f t="shared" si="245"/>
        <v>1209.5999999999999</v>
      </c>
      <c r="CU130" s="77">
        <f t="shared" si="245"/>
        <v>1249.9199999999998</v>
      </c>
      <c r="CV130" s="77">
        <f t="shared" si="245"/>
        <v>1209.5999999999999</v>
      </c>
      <c r="CW130" s="77">
        <f t="shared" si="245"/>
        <v>1249.9199999999998</v>
      </c>
      <c r="CX130" s="77">
        <f t="shared" ref="CX130:EC130" si="246">CX128*CX8*CX129</f>
        <v>1249.9199999999998</v>
      </c>
      <c r="CY130" s="77">
        <f t="shared" si="246"/>
        <v>1128.96</v>
      </c>
      <c r="CZ130" s="77">
        <f t="shared" si="246"/>
        <v>1249.9199999999998</v>
      </c>
      <c r="DA130" s="77">
        <f t="shared" si="246"/>
        <v>1209.5999999999999</v>
      </c>
      <c r="DB130" s="77">
        <f t="shared" si="246"/>
        <v>1249.9199999999998</v>
      </c>
      <c r="DC130" s="77">
        <f t="shared" si="246"/>
        <v>1209.5999999999999</v>
      </c>
      <c r="DD130" s="77">
        <f t="shared" si="246"/>
        <v>1249.9199999999998</v>
      </c>
      <c r="DE130" s="77">
        <f t="shared" si="246"/>
        <v>1249.9199999999998</v>
      </c>
      <c r="DF130" s="77">
        <f t="shared" si="246"/>
        <v>1209.5999999999999</v>
      </c>
      <c r="DG130" s="77">
        <f t="shared" si="246"/>
        <v>1249.9199999999998</v>
      </c>
      <c r="DH130" s="77">
        <f t="shared" si="246"/>
        <v>1209.5999999999999</v>
      </c>
      <c r="DI130" s="77">
        <f t="shared" si="246"/>
        <v>1249.9199999999998</v>
      </c>
      <c r="DJ130" s="77">
        <f t="shared" si="246"/>
        <v>1249.9199999999998</v>
      </c>
      <c r="DK130" s="77">
        <f t="shared" si="246"/>
        <v>1128.96</v>
      </c>
      <c r="DL130" s="77">
        <f t="shared" si="246"/>
        <v>1249.9199999999998</v>
      </c>
      <c r="DM130" s="77">
        <f t="shared" si="246"/>
        <v>1209.5999999999999</v>
      </c>
      <c r="DN130" s="77">
        <f t="shared" si="246"/>
        <v>1249.9199999999998</v>
      </c>
      <c r="DO130" s="77">
        <f t="shared" si="246"/>
        <v>1209.5999999999999</v>
      </c>
      <c r="DP130" s="77">
        <f t="shared" si="246"/>
        <v>1249.9199999999998</v>
      </c>
      <c r="DQ130" s="77">
        <f t="shared" si="246"/>
        <v>1249.9199999999998</v>
      </c>
      <c r="DR130" s="77">
        <f t="shared" si="246"/>
        <v>1209.5999999999999</v>
      </c>
      <c r="DS130" s="77">
        <f t="shared" si="246"/>
        <v>1249.9199999999998</v>
      </c>
      <c r="DT130" s="77">
        <f t="shared" si="246"/>
        <v>1209.5999999999999</v>
      </c>
      <c r="DU130" s="77">
        <f t="shared" si="246"/>
        <v>1249.9199999999998</v>
      </c>
      <c r="DV130" s="77">
        <f t="shared" si="246"/>
        <v>1249.9199999999998</v>
      </c>
      <c r="DW130" s="77">
        <f t="shared" si="246"/>
        <v>1128.96</v>
      </c>
      <c r="DX130" s="77">
        <f t="shared" si="246"/>
        <v>1249.9199999999998</v>
      </c>
      <c r="DY130" s="77">
        <f t="shared" si="246"/>
        <v>1209.5999999999999</v>
      </c>
      <c r="DZ130" s="77">
        <f t="shared" si="246"/>
        <v>1249.9199999999998</v>
      </c>
      <c r="EA130" s="77">
        <f t="shared" si="246"/>
        <v>1209.5999999999999</v>
      </c>
      <c r="EB130" s="77">
        <f t="shared" si="246"/>
        <v>1249.9199999999998</v>
      </c>
      <c r="EC130" s="77">
        <f t="shared" si="246"/>
        <v>1249.9199999999998</v>
      </c>
      <c r="ED130" s="77">
        <f t="shared" ref="ED130:FI130" si="247">ED128*ED8*ED129</f>
        <v>1209.5999999999999</v>
      </c>
      <c r="EE130" s="77">
        <f t="shared" si="247"/>
        <v>1249.9199999999998</v>
      </c>
      <c r="EF130" s="77">
        <f t="shared" si="247"/>
        <v>1209.5999999999999</v>
      </c>
      <c r="EG130" s="77">
        <f t="shared" si="247"/>
        <v>1249.9199999999998</v>
      </c>
      <c r="EH130" s="77">
        <f t="shared" si="247"/>
        <v>1249.9199999999998</v>
      </c>
      <c r="EI130" s="77">
        <f t="shared" si="247"/>
        <v>1128.96</v>
      </c>
      <c r="EJ130" s="77">
        <f t="shared" si="247"/>
        <v>1249.9199999999998</v>
      </c>
      <c r="EK130" s="77">
        <f t="shared" si="247"/>
        <v>1209.5999999999999</v>
      </c>
      <c r="EL130" s="77">
        <f t="shared" si="247"/>
        <v>1249.9199999999998</v>
      </c>
      <c r="EM130" s="77">
        <f t="shared" si="247"/>
        <v>1209.5999999999999</v>
      </c>
      <c r="EN130" s="77">
        <f t="shared" si="247"/>
        <v>1249.9199999999998</v>
      </c>
      <c r="EO130" s="77">
        <f t="shared" si="247"/>
        <v>1249.9199999999998</v>
      </c>
      <c r="EP130" s="77">
        <f t="shared" si="247"/>
        <v>1209.5999999999999</v>
      </c>
      <c r="EQ130" s="77">
        <f t="shared" si="247"/>
        <v>1249.9199999999998</v>
      </c>
      <c r="ER130" s="77">
        <f t="shared" si="247"/>
        <v>1209.5999999999999</v>
      </c>
      <c r="ES130" s="77">
        <f t="shared" si="247"/>
        <v>1249.9199999999998</v>
      </c>
      <c r="ET130" s="77">
        <f t="shared" si="247"/>
        <v>1249.9199999999998</v>
      </c>
      <c r="EU130" s="77">
        <f t="shared" si="247"/>
        <v>1128.96</v>
      </c>
      <c r="EV130" s="77">
        <f t="shared" si="247"/>
        <v>1249.9199999999998</v>
      </c>
      <c r="EW130" s="77">
        <f t="shared" si="247"/>
        <v>1209.5999999999999</v>
      </c>
      <c r="EX130" s="77">
        <f t="shared" si="247"/>
        <v>1249.9199999999998</v>
      </c>
      <c r="EY130" s="77">
        <f t="shared" si="247"/>
        <v>1209.5999999999999</v>
      </c>
      <c r="EZ130" s="77">
        <f t="shared" si="247"/>
        <v>1249.9199999999998</v>
      </c>
      <c r="FA130" s="77">
        <f t="shared" si="247"/>
        <v>1249.9199999999998</v>
      </c>
      <c r="FB130" s="77">
        <f t="shared" si="247"/>
        <v>1209.5999999999999</v>
      </c>
      <c r="FC130" s="77">
        <f t="shared" si="247"/>
        <v>1249.9199999999998</v>
      </c>
      <c r="FD130" s="77">
        <f t="shared" si="247"/>
        <v>1209.5999999999999</v>
      </c>
      <c r="FE130" s="77">
        <f t="shared" si="247"/>
        <v>1249.9199999999998</v>
      </c>
      <c r="FF130" s="77">
        <f t="shared" si="247"/>
        <v>1249.9199999999998</v>
      </c>
      <c r="FG130" s="77">
        <f t="shared" si="247"/>
        <v>1128.96</v>
      </c>
      <c r="FH130" s="77">
        <f t="shared" si="247"/>
        <v>1249.9199999999998</v>
      </c>
      <c r="FI130" s="77">
        <f t="shared" si="247"/>
        <v>1209.5999999999999</v>
      </c>
      <c r="FJ130" s="77">
        <f t="shared" ref="FJ130:GC130" si="248">FJ128*FJ8*FJ129</f>
        <v>1249.9199999999998</v>
      </c>
      <c r="FK130" s="77">
        <f t="shared" si="248"/>
        <v>1209.5999999999999</v>
      </c>
      <c r="FL130" s="77">
        <f t="shared" si="248"/>
        <v>1249.9199999999998</v>
      </c>
      <c r="FM130" s="77">
        <f t="shared" si="248"/>
        <v>1249.9199999999998</v>
      </c>
      <c r="FN130" s="77">
        <f t="shared" si="248"/>
        <v>1209.5999999999999</v>
      </c>
      <c r="FO130" s="77">
        <f t="shared" si="248"/>
        <v>1249.9199999999998</v>
      </c>
      <c r="FP130" s="77">
        <f t="shared" si="248"/>
        <v>1209.5999999999999</v>
      </c>
      <c r="FQ130" s="77">
        <f t="shared" si="248"/>
        <v>1249.9199999999998</v>
      </c>
      <c r="FR130" s="77">
        <f t="shared" si="248"/>
        <v>1249.9199999999998</v>
      </c>
      <c r="FS130" s="77">
        <f t="shared" si="248"/>
        <v>1128.96</v>
      </c>
      <c r="FT130" s="77">
        <f t="shared" si="248"/>
        <v>1249.9199999999998</v>
      </c>
      <c r="FU130" s="77">
        <f t="shared" si="248"/>
        <v>1209.5999999999999</v>
      </c>
      <c r="FV130" s="77">
        <f t="shared" si="248"/>
        <v>1249.9199999999998</v>
      </c>
      <c r="FW130" s="77">
        <f t="shared" si="248"/>
        <v>1209.5999999999999</v>
      </c>
      <c r="FX130" s="77">
        <f t="shared" si="248"/>
        <v>1249.9199999999998</v>
      </c>
      <c r="FY130" s="77">
        <f t="shared" si="248"/>
        <v>1249.9199999999998</v>
      </c>
      <c r="FZ130" s="77">
        <f t="shared" si="248"/>
        <v>1209.5999999999999</v>
      </c>
      <c r="GA130" s="77">
        <f t="shared" si="248"/>
        <v>1249.9199999999998</v>
      </c>
      <c r="GB130" s="77">
        <f t="shared" si="248"/>
        <v>1209.5999999999999</v>
      </c>
      <c r="GC130" s="77">
        <f t="shared" si="248"/>
        <v>1249.9199999999998</v>
      </c>
    </row>
    <row r="131" spans="1:185">
      <c r="A131" s="80"/>
      <c r="B131" s="80"/>
      <c r="C131" s="80"/>
      <c r="D131" s="80"/>
      <c r="E131" s="82"/>
      <c r="F131" s="93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77"/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77"/>
      <c r="CD131" s="77"/>
      <c r="CE131" s="77"/>
      <c r="CF131" s="77"/>
      <c r="CG131" s="77"/>
      <c r="CH131" s="77"/>
      <c r="CI131" s="77"/>
      <c r="CJ131" s="77"/>
      <c r="CK131" s="77"/>
      <c r="CL131" s="77"/>
      <c r="CM131" s="77"/>
      <c r="CN131" s="77"/>
      <c r="CO131" s="77"/>
      <c r="CP131" s="77"/>
      <c r="CQ131" s="77"/>
      <c r="CR131" s="77"/>
      <c r="CS131" s="77"/>
      <c r="CT131" s="77"/>
      <c r="CU131" s="77"/>
      <c r="CV131" s="77"/>
      <c r="CW131" s="77"/>
      <c r="CX131" s="77"/>
      <c r="CY131" s="77"/>
      <c r="CZ131" s="77"/>
      <c r="DA131" s="77"/>
      <c r="DB131" s="77"/>
      <c r="DC131" s="77"/>
      <c r="DD131" s="77"/>
      <c r="DE131" s="77"/>
      <c r="DF131" s="77"/>
      <c r="DG131" s="77"/>
      <c r="DH131" s="77"/>
      <c r="DI131" s="77"/>
      <c r="DJ131" s="77"/>
      <c r="DK131" s="77"/>
      <c r="DL131" s="77"/>
      <c r="DM131" s="77"/>
      <c r="DN131" s="77"/>
      <c r="DO131" s="77"/>
      <c r="DP131" s="77"/>
      <c r="DQ131" s="77"/>
      <c r="DR131" s="77"/>
      <c r="DS131" s="77"/>
      <c r="DT131" s="77"/>
      <c r="DU131" s="77"/>
      <c r="DV131" s="77"/>
      <c r="DW131" s="77"/>
      <c r="DX131" s="77"/>
      <c r="DY131" s="77"/>
      <c r="DZ131" s="77"/>
      <c r="EA131" s="77"/>
      <c r="EB131" s="77"/>
      <c r="EC131" s="77"/>
      <c r="ED131" s="77"/>
      <c r="EE131" s="77"/>
      <c r="EF131" s="77"/>
      <c r="EG131" s="77"/>
      <c r="EH131" s="77"/>
      <c r="EI131" s="77"/>
      <c r="EJ131" s="77"/>
      <c r="EK131" s="77"/>
      <c r="EL131" s="77"/>
      <c r="EM131" s="77"/>
      <c r="EN131" s="77"/>
      <c r="EO131" s="77"/>
      <c r="EP131" s="77"/>
      <c r="EQ131" s="77"/>
      <c r="ER131" s="77"/>
      <c r="ES131" s="77"/>
      <c r="ET131" s="77"/>
      <c r="EU131" s="77"/>
      <c r="EV131" s="77"/>
      <c r="EW131" s="77"/>
      <c r="EX131" s="77"/>
      <c r="EY131" s="77"/>
      <c r="EZ131" s="77"/>
      <c r="FA131" s="77"/>
      <c r="FB131" s="77"/>
      <c r="FC131" s="77"/>
      <c r="FD131" s="77"/>
      <c r="FE131" s="77"/>
      <c r="FF131" s="77"/>
      <c r="FG131" s="77"/>
      <c r="FH131" s="77"/>
      <c r="FI131" s="77"/>
      <c r="FJ131" s="77"/>
      <c r="FK131" s="77"/>
      <c r="FL131" s="77"/>
      <c r="FM131" s="77"/>
      <c r="FN131" s="77"/>
      <c r="FO131" s="77"/>
      <c r="FP131" s="77"/>
      <c r="FQ131" s="77"/>
      <c r="FR131" s="77"/>
      <c r="FS131" s="77"/>
      <c r="FT131" s="77"/>
      <c r="FU131" s="77"/>
      <c r="FV131" s="77"/>
      <c r="FW131" s="77"/>
      <c r="FX131" s="77"/>
      <c r="FY131" s="77"/>
      <c r="FZ131" s="77"/>
      <c r="GA131" s="77"/>
      <c r="GB131" s="77"/>
      <c r="GC131" s="77"/>
    </row>
    <row r="132" spans="1:185">
      <c r="A132" s="80"/>
      <c r="B132" s="80" t="s">
        <v>159</v>
      </c>
      <c r="C132" s="80"/>
      <c r="D132" s="80"/>
      <c r="E132" s="82"/>
      <c r="F132" s="93">
        <f>F130*2000</f>
        <v>0</v>
      </c>
      <c r="G132" s="93">
        <f t="shared" ref="G132:BM132" si="249">G130*2000</f>
        <v>0</v>
      </c>
      <c r="H132" s="93">
        <f t="shared" si="249"/>
        <v>0</v>
      </c>
      <c r="I132" s="93">
        <f t="shared" si="249"/>
        <v>0</v>
      </c>
      <c r="J132" s="93">
        <f t="shared" si="249"/>
        <v>0</v>
      </c>
      <c r="K132" s="93">
        <f t="shared" si="249"/>
        <v>0</v>
      </c>
      <c r="L132" s="93">
        <f t="shared" si="249"/>
        <v>0</v>
      </c>
      <c r="M132" s="93">
        <f t="shared" si="249"/>
        <v>2499839.9999999995</v>
      </c>
      <c r="N132" s="93">
        <f t="shared" si="249"/>
        <v>2419200</v>
      </c>
      <c r="O132" s="93">
        <f t="shared" si="249"/>
        <v>2499839.9999999995</v>
      </c>
      <c r="P132" s="93">
        <f t="shared" si="249"/>
        <v>2419200</v>
      </c>
      <c r="Q132" s="93">
        <f t="shared" si="249"/>
        <v>2499839.9999999995</v>
      </c>
      <c r="R132" s="93">
        <f t="shared" si="249"/>
        <v>2499839.9999999995</v>
      </c>
      <c r="S132" s="93">
        <f t="shared" si="249"/>
        <v>2257920</v>
      </c>
      <c r="T132" s="93">
        <f t="shared" si="249"/>
        <v>2499839.9999999995</v>
      </c>
      <c r="U132" s="93">
        <f t="shared" si="249"/>
        <v>2419200</v>
      </c>
      <c r="V132" s="93">
        <f t="shared" si="249"/>
        <v>2499839.9999999995</v>
      </c>
      <c r="W132" s="93">
        <f t="shared" si="249"/>
        <v>2419200</v>
      </c>
      <c r="X132" s="93">
        <f t="shared" si="249"/>
        <v>2499839.9999999995</v>
      </c>
      <c r="Y132" s="93">
        <f t="shared" si="249"/>
        <v>2499839.9999999995</v>
      </c>
      <c r="Z132" s="93">
        <f t="shared" si="249"/>
        <v>2419200</v>
      </c>
      <c r="AA132" s="93">
        <f t="shared" si="249"/>
        <v>2499839.9999999995</v>
      </c>
      <c r="AB132" s="93">
        <f t="shared" si="249"/>
        <v>2419200</v>
      </c>
      <c r="AC132" s="93">
        <f t="shared" si="249"/>
        <v>2499839.9999999995</v>
      </c>
      <c r="AD132" s="93">
        <f t="shared" si="249"/>
        <v>2499839.9999999995</v>
      </c>
      <c r="AE132" s="93">
        <f t="shared" si="249"/>
        <v>2257920</v>
      </c>
      <c r="AF132" s="93">
        <f t="shared" si="249"/>
        <v>2499839.9999999995</v>
      </c>
      <c r="AG132" s="93">
        <f t="shared" si="249"/>
        <v>2419200</v>
      </c>
      <c r="AH132" s="93">
        <f t="shared" si="249"/>
        <v>2499839.9999999995</v>
      </c>
      <c r="AI132" s="93">
        <f t="shared" si="249"/>
        <v>2419200</v>
      </c>
      <c r="AJ132" s="93">
        <f t="shared" si="249"/>
        <v>2499839.9999999995</v>
      </c>
      <c r="AK132" s="93">
        <f t="shared" si="249"/>
        <v>2499839.9999999995</v>
      </c>
      <c r="AL132" s="93">
        <f t="shared" si="249"/>
        <v>2419200</v>
      </c>
      <c r="AM132" s="93">
        <f t="shared" si="249"/>
        <v>2499839.9999999995</v>
      </c>
      <c r="AN132" s="93">
        <f t="shared" si="249"/>
        <v>2419200</v>
      </c>
      <c r="AO132" s="93">
        <f t="shared" si="249"/>
        <v>2499839.9999999995</v>
      </c>
      <c r="AP132" s="93">
        <f t="shared" si="249"/>
        <v>2499839.9999999995</v>
      </c>
      <c r="AQ132" s="93">
        <f t="shared" si="249"/>
        <v>2257920</v>
      </c>
      <c r="AR132" s="93">
        <f t="shared" si="249"/>
        <v>2499839.9999999995</v>
      </c>
      <c r="AS132" s="93">
        <f t="shared" si="249"/>
        <v>2419200</v>
      </c>
      <c r="AT132" s="93">
        <f t="shared" si="249"/>
        <v>2499839.9999999995</v>
      </c>
      <c r="AU132" s="93">
        <f t="shared" si="249"/>
        <v>2419200</v>
      </c>
      <c r="AV132" s="93">
        <f t="shared" si="249"/>
        <v>2499839.9999999995</v>
      </c>
      <c r="AW132" s="93">
        <f t="shared" si="249"/>
        <v>2499839.9999999995</v>
      </c>
      <c r="AX132" s="93">
        <f t="shared" si="249"/>
        <v>2419200</v>
      </c>
      <c r="AY132" s="93">
        <f t="shared" si="249"/>
        <v>2499839.9999999995</v>
      </c>
      <c r="AZ132" s="93">
        <f t="shared" si="249"/>
        <v>2419200</v>
      </c>
      <c r="BA132" s="93">
        <f t="shared" si="249"/>
        <v>2499839.9999999995</v>
      </c>
      <c r="BB132" s="93">
        <f t="shared" si="249"/>
        <v>2499839.9999999995</v>
      </c>
      <c r="BC132" s="93">
        <f t="shared" si="249"/>
        <v>2257920</v>
      </c>
      <c r="BD132" s="93">
        <f t="shared" si="249"/>
        <v>2499839.9999999995</v>
      </c>
      <c r="BE132" s="93">
        <f t="shared" si="249"/>
        <v>2419200</v>
      </c>
      <c r="BF132" s="93">
        <f t="shared" si="249"/>
        <v>2499839.9999999995</v>
      </c>
      <c r="BG132" s="93">
        <f t="shared" si="249"/>
        <v>2419200</v>
      </c>
      <c r="BH132" s="93">
        <f t="shared" si="249"/>
        <v>2499839.9999999995</v>
      </c>
      <c r="BI132" s="93">
        <f t="shared" si="249"/>
        <v>2499839.9999999995</v>
      </c>
      <c r="BJ132" s="93">
        <f t="shared" si="249"/>
        <v>2419200</v>
      </c>
      <c r="BK132" s="93">
        <f t="shared" si="249"/>
        <v>2499839.9999999995</v>
      </c>
      <c r="BL132" s="93">
        <f t="shared" si="249"/>
        <v>2419200</v>
      </c>
      <c r="BM132" s="93">
        <f t="shared" si="249"/>
        <v>2499839.9999999995</v>
      </c>
      <c r="BN132" s="93">
        <f t="shared" ref="BN132:DY132" si="250">BN130*2000</f>
        <v>2499839.9999999995</v>
      </c>
      <c r="BO132" s="93">
        <f t="shared" si="250"/>
        <v>2257920</v>
      </c>
      <c r="BP132" s="93">
        <f t="shared" si="250"/>
        <v>2499839.9999999995</v>
      </c>
      <c r="BQ132" s="93">
        <f t="shared" si="250"/>
        <v>2419200</v>
      </c>
      <c r="BR132" s="93">
        <f t="shared" si="250"/>
        <v>2499839.9999999995</v>
      </c>
      <c r="BS132" s="93">
        <f t="shared" si="250"/>
        <v>2419200</v>
      </c>
      <c r="BT132" s="93">
        <f t="shared" si="250"/>
        <v>2499839.9999999995</v>
      </c>
      <c r="BU132" s="93">
        <f t="shared" si="250"/>
        <v>2499839.9999999995</v>
      </c>
      <c r="BV132" s="93">
        <f t="shared" si="250"/>
        <v>2419200</v>
      </c>
      <c r="BW132" s="93">
        <f t="shared" si="250"/>
        <v>2499839.9999999995</v>
      </c>
      <c r="BX132" s="93">
        <f t="shared" si="250"/>
        <v>2419200</v>
      </c>
      <c r="BY132" s="93">
        <f t="shared" si="250"/>
        <v>2499839.9999999995</v>
      </c>
      <c r="BZ132" s="93">
        <f t="shared" si="250"/>
        <v>2499839.9999999995</v>
      </c>
      <c r="CA132" s="93">
        <f t="shared" si="250"/>
        <v>2257920</v>
      </c>
      <c r="CB132" s="93">
        <f t="shared" si="250"/>
        <v>2499839.9999999995</v>
      </c>
      <c r="CC132" s="93">
        <f t="shared" si="250"/>
        <v>2419200</v>
      </c>
      <c r="CD132" s="93">
        <f t="shared" si="250"/>
        <v>2499839.9999999995</v>
      </c>
      <c r="CE132" s="93">
        <f t="shared" si="250"/>
        <v>2419200</v>
      </c>
      <c r="CF132" s="93">
        <f t="shared" si="250"/>
        <v>2499839.9999999995</v>
      </c>
      <c r="CG132" s="93">
        <f t="shared" si="250"/>
        <v>2499839.9999999995</v>
      </c>
      <c r="CH132" s="93">
        <f t="shared" si="250"/>
        <v>2419200</v>
      </c>
      <c r="CI132" s="93">
        <f t="shared" si="250"/>
        <v>2499839.9999999995</v>
      </c>
      <c r="CJ132" s="93">
        <f t="shared" si="250"/>
        <v>2419200</v>
      </c>
      <c r="CK132" s="93">
        <f t="shared" si="250"/>
        <v>2499839.9999999995</v>
      </c>
      <c r="CL132" s="93">
        <f t="shared" si="250"/>
        <v>2499839.9999999995</v>
      </c>
      <c r="CM132" s="93">
        <f t="shared" si="250"/>
        <v>2257920</v>
      </c>
      <c r="CN132" s="93">
        <f t="shared" si="250"/>
        <v>2499839.9999999995</v>
      </c>
      <c r="CO132" s="93">
        <f t="shared" si="250"/>
        <v>2419200</v>
      </c>
      <c r="CP132" s="93">
        <f t="shared" si="250"/>
        <v>2499839.9999999995</v>
      </c>
      <c r="CQ132" s="93">
        <f t="shared" si="250"/>
        <v>2419200</v>
      </c>
      <c r="CR132" s="93">
        <f t="shared" si="250"/>
        <v>2499839.9999999995</v>
      </c>
      <c r="CS132" s="93">
        <f t="shared" si="250"/>
        <v>2499839.9999999995</v>
      </c>
      <c r="CT132" s="93">
        <f t="shared" si="250"/>
        <v>2419200</v>
      </c>
      <c r="CU132" s="93">
        <f t="shared" si="250"/>
        <v>2499839.9999999995</v>
      </c>
      <c r="CV132" s="93">
        <f t="shared" si="250"/>
        <v>2419200</v>
      </c>
      <c r="CW132" s="93">
        <f t="shared" si="250"/>
        <v>2499839.9999999995</v>
      </c>
      <c r="CX132" s="93">
        <f t="shared" si="250"/>
        <v>2499839.9999999995</v>
      </c>
      <c r="CY132" s="93">
        <f t="shared" si="250"/>
        <v>2257920</v>
      </c>
      <c r="CZ132" s="93">
        <f t="shared" si="250"/>
        <v>2499839.9999999995</v>
      </c>
      <c r="DA132" s="93">
        <f t="shared" si="250"/>
        <v>2419200</v>
      </c>
      <c r="DB132" s="93">
        <f t="shared" si="250"/>
        <v>2499839.9999999995</v>
      </c>
      <c r="DC132" s="93">
        <f t="shared" si="250"/>
        <v>2419200</v>
      </c>
      <c r="DD132" s="93">
        <f t="shared" si="250"/>
        <v>2499839.9999999995</v>
      </c>
      <c r="DE132" s="93">
        <f t="shared" si="250"/>
        <v>2499839.9999999995</v>
      </c>
      <c r="DF132" s="93">
        <f t="shared" si="250"/>
        <v>2419200</v>
      </c>
      <c r="DG132" s="93">
        <f t="shared" si="250"/>
        <v>2499839.9999999995</v>
      </c>
      <c r="DH132" s="93">
        <f t="shared" si="250"/>
        <v>2419200</v>
      </c>
      <c r="DI132" s="93">
        <f t="shared" si="250"/>
        <v>2499839.9999999995</v>
      </c>
      <c r="DJ132" s="93">
        <f t="shared" si="250"/>
        <v>2499839.9999999995</v>
      </c>
      <c r="DK132" s="93">
        <f t="shared" si="250"/>
        <v>2257920</v>
      </c>
      <c r="DL132" s="93">
        <f t="shared" si="250"/>
        <v>2499839.9999999995</v>
      </c>
      <c r="DM132" s="93">
        <f t="shared" si="250"/>
        <v>2419200</v>
      </c>
      <c r="DN132" s="93">
        <f t="shared" si="250"/>
        <v>2499839.9999999995</v>
      </c>
      <c r="DO132" s="93">
        <f t="shared" si="250"/>
        <v>2419200</v>
      </c>
      <c r="DP132" s="93">
        <f t="shared" si="250"/>
        <v>2499839.9999999995</v>
      </c>
      <c r="DQ132" s="93">
        <f t="shared" si="250"/>
        <v>2499839.9999999995</v>
      </c>
      <c r="DR132" s="93">
        <f t="shared" si="250"/>
        <v>2419200</v>
      </c>
      <c r="DS132" s="93">
        <f t="shared" si="250"/>
        <v>2499839.9999999995</v>
      </c>
      <c r="DT132" s="93">
        <f t="shared" si="250"/>
        <v>2419200</v>
      </c>
      <c r="DU132" s="93">
        <f t="shared" si="250"/>
        <v>2499839.9999999995</v>
      </c>
      <c r="DV132" s="93">
        <f t="shared" si="250"/>
        <v>2499839.9999999995</v>
      </c>
      <c r="DW132" s="93">
        <f t="shared" si="250"/>
        <v>2257920</v>
      </c>
      <c r="DX132" s="93">
        <f t="shared" si="250"/>
        <v>2499839.9999999995</v>
      </c>
      <c r="DY132" s="93">
        <f t="shared" si="250"/>
        <v>2419200</v>
      </c>
      <c r="DZ132" s="93">
        <f t="shared" ref="DZ132:GC132" si="251">DZ130*2000</f>
        <v>2499839.9999999995</v>
      </c>
      <c r="EA132" s="93">
        <f t="shared" si="251"/>
        <v>2419200</v>
      </c>
      <c r="EB132" s="93">
        <f t="shared" si="251"/>
        <v>2499839.9999999995</v>
      </c>
      <c r="EC132" s="93">
        <f t="shared" si="251"/>
        <v>2499839.9999999995</v>
      </c>
      <c r="ED132" s="93">
        <f t="shared" si="251"/>
        <v>2419200</v>
      </c>
      <c r="EE132" s="93">
        <f t="shared" si="251"/>
        <v>2499839.9999999995</v>
      </c>
      <c r="EF132" s="93">
        <f t="shared" si="251"/>
        <v>2419200</v>
      </c>
      <c r="EG132" s="93">
        <f t="shared" si="251"/>
        <v>2499839.9999999995</v>
      </c>
      <c r="EH132" s="93">
        <f t="shared" si="251"/>
        <v>2499839.9999999995</v>
      </c>
      <c r="EI132" s="93">
        <f t="shared" si="251"/>
        <v>2257920</v>
      </c>
      <c r="EJ132" s="93">
        <f t="shared" si="251"/>
        <v>2499839.9999999995</v>
      </c>
      <c r="EK132" s="93">
        <f t="shared" si="251"/>
        <v>2419200</v>
      </c>
      <c r="EL132" s="93">
        <f t="shared" si="251"/>
        <v>2499839.9999999995</v>
      </c>
      <c r="EM132" s="93">
        <f t="shared" si="251"/>
        <v>2419200</v>
      </c>
      <c r="EN132" s="93">
        <f t="shared" si="251"/>
        <v>2499839.9999999995</v>
      </c>
      <c r="EO132" s="93">
        <f t="shared" si="251"/>
        <v>2499839.9999999995</v>
      </c>
      <c r="EP132" s="93">
        <f t="shared" si="251"/>
        <v>2419200</v>
      </c>
      <c r="EQ132" s="93">
        <f t="shared" si="251"/>
        <v>2499839.9999999995</v>
      </c>
      <c r="ER132" s="93">
        <f t="shared" si="251"/>
        <v>2419200</v>
      </c>
      <c r="ES132" s="93">
        <f t="shared" si="251"/>
        <v>2499839.9999999995</v>
      </c>
      <c r="ET132" s="93">
        <f t="shared" si="251"/>
        <v>2499839.9999999995</v>
      </c>
      <c r="EU132" s="93">
        <f t="shared" si="251"/>
        <v>2257920</v>
      </c>
      <c r="EV132" s="93">
        <f t="shared" si="251"/>
        <v>2499839.9999999995</v>
      </c>
      <c r="EW132" s="93">
        <f t="shared" si="251"/>
        <v>2419200</v>
      </c>
      <c r="EX132" s="93">
        <f t="shared" si="251"/>
        <v>2499839.9999999995</v>
      </c>
      <c r="EY132" s="93">
        <f t="shared" si="251"/>
        <v>2419200</v>
      </c>
      <c r="EZ132" s="93">
        <f t="shared" si="251"/>
        <v>2499839.9999999995</v>
      </c>
      <c r="FA132" s="93">
        <f t="shared" si="251"/>
        <v>2499839.9999999995</v>
      </c>
      <c r="FB132" s="93">
        <f t="shared" si="251"/>
        <v>2419200</v>
      </c>
      <c r="FC132" s="93">
        <f t="shared" si="251"/>
        <v>2499839.9999999995</v>
      </c>
      <c r="FD132" s="93">
        <f t="shared" si="251"/>
        <v>2419200</v>
      </c>
      <c r="FE132" s="93">
        <f t="shared" si="251"/>
        <v>2499839.9999999995</v>
      </c>
      <c r="FF132" s="93">
        <f t="shared" si="251"/>
        <v>2499839.9999999995</v>
      </c>
      <c r="FG132" s="93">
        <f t="shared" si="251"/>
        <v>2257920</v>
      </c>
      <c r="FH132" s="93">
        <f t="shared" si="251"/>
        <v>2499839.9999999995</v>
      </c>
      <c r="FI132" s="93">
        <f t="shared" si="251"/>
        <v>2419200</v>
      </c>
      <c r="FJ132" s="93">
        <f t="shared" si="251"/>
        <v>2499839.9999999995</v>
      </c>
      <c r="FK132" s="93">
        <f t="shared" si="251"/>
        <v>2419200</v>
      </c>
      <c r="FL132" s="93">
        <f t="shared" si="251"/>
        <v>2499839.9999999995</v>
      </c>
      <c r="FM132" s="93">
        <f t="shared" si="251"/>
        <v>2499839.9999999995</v>
      </c>
      <c r="FN132" s="93">
        <f t="shared" si="251"/>
        <v>2419200</v>
      </c>
      <c r="FO132" s="93">
        <f t="shared" si="251"/>
        <v>2499839.9999999995</v>
      </c>
      <c r="FP132" s="93">
        <f t="shared" si="251"/>
        <v>2419200</v>
      </c>
      <c r="FQ132" s="93">
        <f t="shared" si="251"/>
        <v>2499839.9999999995</v>
      </c>
      <c r="FR132" s="93">
        <f t="shared" si="251"/>
        <v>2499839.9999999995</v>
      </c>
      <c r="FS132" s="93">
        <f t="shared" si="251"/>
        <v>2257920</v>
      </c>
      <c r="FT132" s="93">
        <f t="shared" si="251"/>
        <v>2499839.9999999995</v>
      </c>
      <c r="FU132" s="93">
        <f t="shared" si="251"/>
        <v>2419200</v>
      </c>
      <c r="FV132" s="93">
        <f t="shared" si="251"/>
        <v>2499839.9999999995</v>
      </c>
      <c r="FW132" s="93">
        <f t="shared" si="251"/>
        <v>2419200</v>
      </c>
      <c r="FX132" s="93">
        <f t="shared" si="251"/>
        <v>2499839.9999999995</v>
      </c>
      <c r="FY132" s="93">
        <f t="shared" si="251"/>
        <v>2499839.9999999995</v>
      </c>
      <c r="FZ132" s="93">
        <f t="shared" si="251"/>
        <v>2419200</v>
      </c>
      <c r="GA132" s="93">
        <f t="shared" si="251"/>
        <v>2499839.9999999995</v>
      </c>
      <c r="GB132" s="93">
        <f t="shared" si="251"/>
        <v>2419200</v>
      </c>
      <c r="GC132" s="93">
        <f t="shared" si="251"/>
        <v>2499839.9999999995</v>
      </c>
    </row>
    <row r="133" spans="1:185">
      <c r="A133" s="80"/>
      <c r="B133" s="80" t="s">
        <v>64</v>
      </c>
      <c r="C133" s="80"/>
      <c r="D133" s="80"/>
      <c r="E133" s="82">
        <f>SUM(F133:GC133)</f>
        <v>23578240</v>
      </c>
      <c r="F133" s="93">
        <f>F132/(Assumptions!$D$48-Assumptions!$D$49)</f>
        <v>0</v>
      </c>
      <c r="G133" s="77">
        <f>G132/(Assumptions!$D$48-Assumptions!$D$49)</f>
        <v>0</v>
      </c>
      <c r="H133" s="77">
        <f>H132/(Assumptions!$D$48-Assumptions!$D$49)</f>
        <v>0</v>
      </c>
      <c r="I133" s="77">
        <f>I132/(Assumptions!$D$48-Assumptions!$D$49)</f>
        <v>0</v>
      </c>
      <c r="J133" s="77">
        <f>J132/(Assumptions!$D$48-Assumptions!$D$49)</f>
        <v>0</v>
      </c>
      <c r="K133" s="77">
        <f>K132/(Assumptions!$D$48-Assumptions!$D$49)</f>
        <v>0</v>
      </c>
      <c r="L133" s="77">
        <f>L132/(Assumptions!$D$48-Assumptions!$D$49)</f>
        <v>0</v>
      </c>
      <c r="M133" s="77">
        <f>M132/(Assumptions!$D$48-Assumptions!$D$49)</f>
        <v>138879.99999999997</v>
      </c>
      <c r="N133" s="77">
        <f>N132/(Assumptions!$D$48-Assumptions!$D$49)</f>
        <v>134400</v>
      </c>
      <c r="O133" s="77">
        <f>O132/(Assumptions!$D$48-Assumptions!$D$49)</f>
        <v>138879.99999999997</v>
      </c>
      <c r="P133" s="77">
        <f>P132/(Assumptions!$D$48-Assumptions!$D$49)</f>
        <v>134400</v>
      </c>
      <c r="Q133" s="77">
        <f>Q132/(Assumptions!$D$48-Assumptions!$D$49)</f>
        <v>138879.99999999997</v>
      </c>
      <c r="R133" s="77">
        <f>R132/(Assumptions!$D$48-Assumptions!$D$49)</f>
        <v>138879.99999999997</v>
      </c>
      <c r="S133" s="77">
        <f>S132/(Assumptions!$D$48-Assumptions!$D$49)</f>
        <v>125440</v>
      </c>
      <c r="T133" s="77">
        <f>T132/(Assumptions!$D$48-Assumptions!$D$49)</f>
        <v>138879.99999999997</v>
      </c>
      <c r="U133" s="77">
        <f>U132/(Assumptions!$D$48-Assumptions!$D$49)</f>
        <v>134400</v>
      </c>
      <c r="V133" s="77">
        <f>V132/(Assumptions!$D$48-Assumptions!$D$49)</f>
        <v>138879.99999999997</v>
      </c>
      <c r="W133" s="77">
        <f>W132/(Assumptions!$D$48-Assumptions!$D$49)</f>
        <v>134400</v>
      </c>
      <c r="X133" s="77">
        <f>X132/(Assumptions!$D$48-Assumptions!$D$49)</f>
        <v>138879.99999999997</v>
      </c>
      <c r="Y133" s="77">
        <f>Y132/(Assumptions!$D$48-Assumptions!$D$49)</f>
        <v>138879.99999999997</v>
      </c>
      <c r="Z133" s="77">
        <f>Z132/(Assumptions!$D$48-Assumptions!$D$49)</f>
        <v>134400</v>
      </c>
      <c r="AA133" s="77">
        <f>AA132/(Assumptions!$D$48-Assumptions!$D$49)</f>
        <v>138879.99999999997</v>
      </c>
      <c r="AB133" s="77">
        <f>AB132/(Assumptions!$D$48-Assumptions!$D$49)</f>
        <v>134400</v>
      </c>
      <c r="AC133" s="77">
        <f>AC132/(Assumptions!$D$48-Assumptions!$D$49)</f>
        <v>138879.99999999997</v>
      </c>
      <c r="AD133" s="77">
        <f>AD132/(Assumptions!$D$48-Assumptions!$D$49)</f>
        <v>138879.99999999997</v>
      </c>
      <c r="AE133" s="77">
        <f>AE132/(Assumptions!$D$48-Assumptions!$D$49)</f>
        <v>125440</v>
      </c>
      <c r="AF133" s="77">
        <f>AF132/(Assumptions!$D$48-Assumptions!$D$49)</f>
        <v>138879.99999999997</v>
      </c>
      <c r="AG133" s="77">
        <f>AG132/(Assumptions!$D$48-Assumptions!$D$49)</f>
        <v>134400</v>
      </c>
      <c r="AH133" s="77">
        <f>AH132/(Assumptions!$D$48-Assumptions!$D$49)</f>
        <v>138879.99999999997</v>
      </c>
      <c r="AI133" s="77">
        <f>AI132/(Assumptions!$D$48-Assumptions!$D$49)</f>
        <v>134400</v>
      </c>
      <c r="AJ133" s="77">
        <f>AJ132/(Assumptions!$D$48-Assumptions!$D$49)</f>
        <v>138879.99999999997</v>
      </c>
      <c r="AK133" s="77">
        <f>AK132/(Assumptions!$D$48-Assumptions!$D$49)</f>
        <v>138879.99999999997</v>
      </c>
      <c r="AL133" s="77">
        <f>AL132/(Assumptions!$D$48-Assumptions!$D$49)</f>
        <v>134400</v>
      </c>
      <c r="AM133" s="77">
        <f>AM132/(Assumptions!$D$48-Assumptions!$D$49)</f>
        <v>138879.99999999997</v>
      </c>
      <c r="AN133" s="77">
        <f>AN132/(Assumptions!$D$48-Assumptions!$D$49)</f>
        <v>134400</v>
      </c>
      <c r="AO133" s="77">
        <f>AO132/(Assumptions!$D$48-Assumptions!$D$49)</f>
        <v>138879.99999999997</v>
      </c>
      <c r="AP133" s="77">
        <f>AP132/(Assumptions!$D$48-Assumptions!$D$49)</f>
        <v>138879.99999999997</v>
      </c>
      <c r="AQ133" s="77">
        <f>AQ132/(Assumptions!$D$48-Assumptions!$D$49)</f>
        <v>125440</v>
      </c>
      <c r="AR133" s="77">
        <f>AR132/(Assumptions!$D$48-Assumptions!$D$49)</f>
        <v>138879.99999999997</v>
      </c>
      <c r="AS133" s="77">
        <f>AS132/(Assumptions!$D$48-Assumptions!$D$49)</f>
        <v>134400</v>
      </c>
      <c r="AT133" s="77">
        <f>AT132/(Assumptions!$D$48-Assumptions!$D$49)</f>
        <v>138879.99999999997</v>
      </c>
      <c r="AU133" s="77">
        <f>AU132/(Assumptions!$D$48-Assumptions!$D$49)</f>
        <v>134400</v>
      </c>
      <c r="AV133" s="77">
        <f>AV132/(Assumptions!$D$48-Assumptions!$D$49)</f>
        <v>138879.99999999997</v>
      </c>
      <c r="AW133" s="77">
        <f>AW132/(Assumptions!$D$48-Assumptions!$D$49)</f>
        <v>138879.99999999997</v>
      </c>
      <c r="AX133" s="77">
        <f>AX132/(Assumptions!$D$48-Assumptions!$D$49)</f>
        <v>134400</v>
      </c>
      <c r="AY133" s="77">
        <f>AY132/(Assumptions!$D$48-Assumptions!$D$49)</f>
        <v>138879.99999999997</v>
      </c>
      <c r="AZ133" s="77">
        <f>AZ132/(Assumptions!$D$48-Assumptions!$D$49)</f>
        <v>134400</v>
      </c>
      <c r="BA133" s="77">
        <f>BA132/(Assumptions!$D$48-Assumptions!$D$49)</f>
        <v>138879.99999999997</v>
      </c>
      <c r="BB133" s="77">
        <f>BB132/(Assumptions!$D$48-Assumptions!$D$49)</f>
        <v>138879.99999999997</v>
      </c>
      <c r="BC133" s="77">
        <f>BC132/(Assumptions!$D$48-Assumptions!$D$49)</f>
        <v>125440</v>
      </c>
      <c r="BD133" s="77">
        <f>BD132/(Assumptions!$D$48-Assumptions!$D$49)</f>
        <v>138879.99999999997</v>
      </c>
      <c r="BE133" s="77">
        <f>BE132/(Assumptions!$D$48-Assumptions!$D$49)</f>
        <v>134400</v>
      </c>
      <c r="BF133" s="77">
        <f>BF132/(Assumptions!$D$48-Assumptions!$D$49)</f>
        <v>138879.99999999997</v>
      </c>
      <c r="BG133" s="77">
        <f>BG132/(Assumptions!$D$48-Assumptions!$D$49)</f>
        <v>134400</v>
      </c>
      <c r="BH133" s="77">
        <f>BH132/(Assumptions!$D$48-Assumptions!$D$49)</f>
        <v>138879.99999999997</v>
      </c>
      <c r="BI133" s="77">
        <f>BI132/(Assumptions!$D$48-Assumptions!$D$49)</f>
        <v>138879.99999999997</v>
      </c>
      <c r="BJ133" s="77">
        <f>BJ132/(Assumptions!$D$48-Assumptions!$D$49)</f>
        <v>134400</v>
      </c>
      <c r="BK133" s="77">
        <f>BK132/(Assumptions!$D$48-Assumptions!$D$49)</f>
        <v>138879.99999999997</v>
      </c>
      <c r="BL133" s="77">
        <f>BL132/(Assumptions!$D$48-Assumptions!$D$49)</f>
        <v>134400</v>
      </c>
      <c r="BM133" s="77">
        <f>BM132/(Assumptions!$D$48-Assumptions!$D$49)</f>
        <v>138879.99999999997</v>
      </c>
      <c r="BN133" s="77">
        <f>BN132/(Assumptions!$D$48-Assumptions!$D$49)</f>
        <v>138879.99999999997</v>
      </c>
      <c r="BO133" s="77">
        <f>BO132/(Assumptions!$D$48-Assumptions!$D$49)</f>
        <v>125440</v>
      </c>
      <c r="BP133" s="77">
        <f>BP132/(Assumptions!$D$48-Assumptions!$D$49)</f>
        <v>138879.99999999997</v>
      </c>
      <c r="BQ133" s="77">
        <f>BQ132/(Assumptions!$D$48-Assumptions!$D$49)</f>
        <v>134400</v>
      </c>
      <c r="BR133" s="77">
        <f>BR132/(Assumptions!$D$48-Assumptions!$D$49)</f>
        <v>138879.99999999997</v>
      </c>
      <c r="BS133" s="77">
        <f>BS132/(Assumptions!$D$48-Assumptions!$D$49)</f>
        <v>134400</v>
      </c>
      <c r="BT133" s="77">
        <f>BT132/(Assumptions!$D$48-Assumptions!$D$49)</f>
        <v>138879.99999999997</v>
      </c>
      <c r="BU133" s="77">
        <f>BU132/(Assumptions!$D$48-Assumptions!$D$49)</f>
        <v>138879.99999999997</v>
      </c>
      <c r="BV133" s="77">
        <f>BV132/(Assumptions!$D$48-Assumptions!$D$49)</f>
        <v>134400</v>
      </c>
      <c r="BW133" s="77">
        <f>BW132/(Assumptions!$D$48-Assumptions!$D$49)</f>
        <v>138879.99999999997</v>
      </c>
      <c r="BX133" s="77">
        <f>BX132/(Assumptions!$D$48-Assumptions!$D$49)</f>
        <v>134400</v>
      </c>
      <c r="BY133" s="77">
        <f>BY132/(Assumptions!$D$48-Assumptions!$D$49)</f>
        <v>138879.99999999997</v>
      </c>
      <c r="BZ133" s="77">
        <f>BZ132/(Assumptions!$D$48-Assumptions!$D$49)</f>
        <v>138879.99999999997</v>
      </c>
      <c r="CA133" s="77">
        <f>CA132/(Assumptions!$D$48-Assumptions!$D$49)</f>
        <v>125440</v>
      </c>
      <c r="CB133" s="77">
        <f>CB132/(Assumptions!$D$48-Assumptions!$D$49)</f>
        <v>138879.99999999997</v>
      </c>
      <c r="CC133" s="77">
        <f>CC132/(Assumptions!$D$48-Assumptions!$D$49)</f>
        <v>134400</v>
      </c>
      <c r="CD133" s="77">
        <f>CD132/(Assumptions!$D$48-Assumptions!$D$49)</f>
        <v>138879.99999999997</v>
      </c>
      <c r="CE133" s="77">
        <f>CE132/(Assumptions!$D$48-Assumptions!$D$49)</f>
        <v>134400</v>
      </c>
      <c r="CF133" s="77">
        <f>CF132/(Assumptions!$D$48-Assumptions!$D$49)</f>
        <v>138879.99999999997</v>
      </c>
      <c r="CG133" s="77">
        <f>CG132/(Assumptions!$D$48-Assumptions!$D$49)</f>
        <v>138879.99999999997</v>
      </c>
      <c r="CH133" s="77">
        <f>CH132/(Assumptions!$D$48-Assumptions!$D$49)</f>
        <v>134400</v>
      </c>
      <c r="CI133" s="77">
        <f>CI132/(Assumptions!$D$48-Assumptions!$D$49)</f>
        <v>138879.99999999997</v>
      </c>
      <c r="CJ133" s="77">
        <f>CJ132/(Assumptions!$D$48-Assumptions!$D$49)</f>
        <v>134400</v>
      </c>
      <c r="CK133" s="77">
        <f>CK132/(Assumptions!$D$48-Assumptions!$D$49)</f>
        <v>138879.99999999997</v>
      </c>
      <c r="CL133" s="77">
        <f>CL132/(Assumptions!$D$48-Assumptions!$D$49)</f>
        <v>138879.99999999997</v>
      </c>
      <c r="CM133" s="77">
        <f>CM132/(Assumptions!$D$48-Assumptions!$D$49)</f>
        <v>125440</v>
      </c>
      <c r="CN133" s="77">
        <f>CN132/(Assumptions!$D$48-Assumptions!$D$49)</f>
        <v>138879.99999999997</v>
      </c>
      <c r="CO133" s="77">
        <f>CO132/(Assumptions!$D$48-Assumptions!$D$49)</f>
        <v>134400</v>
      </c>
      <c r="CP133" s="77">
        <f>CP132/(Assumptions!$D$48-Assumptions!$D$49)</f>
        <v>138879.99999999997</v>
      </c>
      <c r="CQ133" s="77">
        <f>CQ132/(Assumptions!$D$48-Assumptions!$D$49)</f>
        <v>134400</v>
      </c>
      <c r="CR133" s="77">
        <f>CR132/(Assumptions!$D$48-Assumptions!$D$49)</f>
        <v>138879.99999999997</v>
      </c>
      <c r="CS133" s="77">
        <f>CS132/(Assumptions!$D$48-Assumptions!$D$49)</f>
        <v>138879.99999999997</v>
      </c>
      <c r="CT133" s="77">
        <f>CT132/(Assumptions!$D$48-Assumptions!$D$49)</f>
        <v>134400</v>
      </c>
      <c r="CU133" s="77">
        <f>CU132/(Assumptions!$D$48-Assumptions!$D$49)</f>
        <v>138879.99999999997</v>
      </c>
      <c r="CV133" s="77">
        <f>CV132/(Assumptions!$D$48-Assumptions!$D$49)</f>
        <v>134400</v>
      </c>
      <c r="CW133" s="77">
        <f>CW132/(Assumptions!$D$48-Assumptions!$D$49)</f>
        <v>138879.99999999997</v>
      </c>
      <c r="CX133" s="77">
        <f>CX132/(Assumptions!$D$48-Assumptions!$D$49)</f>
        <v>138879.99999999997</v>
      </c>
      <c r="CY133" s="77">
        <f>CY132/(Assumptions!$D$48-Assumptions!$D$49)</f>
        <v>125440</v>
      </c>
      <c r="CZ133" s="77">
        <f>CZ132/(Assumptions!$D$48-Assumptions!$D$49)</f>
        <v>138879.99999999997</v>
      </c>
      <c r="DA133" s="77">
        <f>DA132/(Assumptions!$D$48-Assumptions!$D$49)</f>
        <v>134400</v>
      </c>
      <c r="DB133" s="77">
        <f>DB132/(Assumptions!$D$48-Assumptions!$D$49)</f>
        <v>138879.99999999997</v>
      </c>
      <c r="DC133" s="77">
        <f>DC132/(Assumptions!$D$48-Assumptions!$D$49)</f>
        <v>134400</v>
      </c>
      <c r="DD133" s="77">
        <f>DD132/(Assumptions!$D$48-Assumptions!$D$49)</f>
        <v>138879.99999999997</v>
      </c>
      <c r="DE133" s="77">
        <f>DE132/(Assumptions!$D$48-Assumptions!$D$49)</f>
        <v>138879.99999999997</v>
      </c>
      <c r="DF133" s="77">
        <f>DF132/(Assumptions!$D$48-Assumptions!$D$49)</f>
        <v>134400</v>
      </c>
      <c r="DG133" s="77">
        <f>DG132/(Assumptions!$D$48-Assumptions!$D$49)</f>
        <v>138879.99999999997</v>
      </c>
      <c r="DH133" s="77">
        <f>DH132/(Assumptions!$D$48-Assumptions!$D$49)</f>
        <v>134400</v>
      </c>
      <c r="DI133" s="77">
        <f>DI132/(Assumptions!$D$48-Assumptions!$D$49)</f>
        <v>138879.99999999997</v>
      </c>
      <c r="DJ133" s="77">
        <f>DJ132/(Assumptions!$D$48-Assumptions!$D$49)</f>
        <v>138879.99999999997</v>
      </c>
      <c r="DK133" s="77">
        <f>DK132/(Assumptions!$D$48-Assumptions!$D$49)</f>
        <v>125440</v>
      </c>
      <c r="DL133" s="77">
        <f>DL132/(Assumptions!$D$48-Assumptions!$D$49)</f>
        <v>138879.99999999997</v>
      </c>
      <c r="DM133" s="77">
        <f>DM132/(Assumptions!$D$48-Assumptions!$D$49)</f>
        <v>134400</v>
      </c>
      <c r="DN133" s="77">
        <f>DN132/(Assumptions!$D$48-Assumptions!$D$49)</f>
        <v>138879.99999999997</v>
      </c>
      <c r="DO133" s="77">
        <f>DO132/(Assumptions!$D$48-Assumptions!$D$49)</f>
        <v>134400</v>
      </c>
      <c r="DP133" s="77">
        <f>DP132/(Assumptions!$D$48-Assumptions!$D$49)</f>
        <v>138879.99999999997</v>
      </c>
      <c r="DQ133" s="77">
        <f>DQ132/(Assumptions!$D$48-Assumptions!$D$49)</f>
        <v>138879.99999999997</v>
      </c>
      <c r="DR133" s="77">
        <f>DR132/(Assumptions!$D$48-Assumptions!$D$49)</f>
        <v>134400</v>
      </c>
      <c r="DS133" s="77">
        <f>DS132/(Assumptions!$D$48-Assumptions!$D$49)</f>
        <v>138879.99999999997</v>
      </c>
      <c r="DT133" s="77">
        <f>DT132/(Assumptions!$D$48-Assumptions!$D$49)</f>
        <v>134400</v>
      </c>
      <c r="DU133" s="77">
        <f>DU132/(Assumptions!$D$48-Assumptions!$D$49)</f>
        <v>138879.99999999997</v>
      </c>
      <c r="DV133" s="77">
        <f>DV132/(Assumptions!$D$48-Assumptions!$D$49)</f>
        <v>138879.99999999997</v>
      </c>
      <c r="DW133" s="77">
        <f>DW132/(Assumptions!$D$48-Assumptions!$D$49)</f>
        <v>125440</v>
      </c>
      <c r="DX133" s="77">
        <f>DX132/(Assumptions!$D$48-Assumptions!$D$49)</f>
        <v>138879.99999999997</v>
      </c>
      <c r="DY133" s="77">
        <f>DY132/(Assumptions!$D$48-Assumptions!$D$49)</f>
        <v>134400</v>
      </c>
      <c r="DZ133" s="77">
        <f>DZ132/(Assumptions!$D$48-Assumptions!$D$49)</f>
        <v>138879.99999999997</v>
      </c>
      <c r="EA133" s="77">
        <f>EA132/(Assumptions!$D$48-Assumptions!$D$49)</f>
        <v>134400</v>
      </c>
      <c r="EB133" s="77">
        <f>EB132/(Assumptions!$D$48-Assumptions!$D$49)</f>
        <v>138879.99999999997</v>
      </c>
      <c r="EC133" s="77">
        <f>EC132/(Assumptions!$D$48-Assumptions!$D$49)</f>
        <v>138879.99999999997</v>
      </c>
      <c r="ED133" s="77">
        <f>ED132/(Assumptions!$D$48-Assumptions!$D$49)</f>
        <v>134400</v>
      </c>
      <c r="EE133" s="77">
        <f>EE132/(Assumptions!$D$48-Assumptions!$D$49)</f>
        <v>138879.99999999997</v>
      </c>
      <c r="EF133" s="77">
        <f>EF132/(Assumptions!$D$48-Assumptions!$D$49)</f>
        <v>134400</v>
      </c>
      <c r="EG133" s="77">
        <f>EG132/(Assumptions!$D$48-Assumptions!$D$49)</f>
        <v>138879.99999999997</v>
      </c>
      <c r="EH133" s="77">
        <f>EH132/(Assumptions!$D$48-Assumptions!$D$49)</f>
        <v>138879.99999999997</v>
      </c>
      <c r="EI133" s="77">
        <f>EI132/(Assumptions!$D$48-Assumptions!$D$49)</f>
        <v>125440</v>
      </c>
      <c r="EJ133" s="77">
        <f>EJ132/(Assumptions!$D$48-Assumptions!$D$49)</f>
        <v>138879.99999999997</v>
      </c>
      <c r="EK133" s="77">
        <f>EK132/(Assumptions!$D$48-Assumptions!$D$49)</f>
        <v>134400</v>
      </c>
      <c r="EL133" s="77">
        <f>EL132/(Assumptions!$D$48-Assumptions!$D$49)</f>
        <v>138879.99999999997</v>
      </c>
      <c r="EM133" s="77">
        <f>EM132/(Assumptions!$D$48-Assumptions!$D$49)</f>
        <v>134400</v>
      </c>
      <c r="EN133" s="77">
        <f>EN132/(Assumptions!$D$48-Assumptions!$D$49)</f>
        <v>138879.99999999997</v>
      </c>
      <c r="EO133" s="77">
        <f>EO132/(Assumptions!$D$48-Assumptions!$D$49)</f>
        <v>138879.99999999997</v>
      </c>
      <c r="EP133" s="77">
        <f>EP132/(Assumptions!$D$48-Assumptions!$D$49)</f>
        <v>134400</v>
      </c>
      <c r="EQ133" s="77">
        <f>EQ132/(Assumptions!$D$48-Assumptions!$D$49)</f>
        <v>138879.99999999997</v>
      </c>
      <c r="ER133" s="77">
        <f>ER132/(Assumptions!$D$48-Assumptions!$D$49)</f>
        <v>134400</v>
      </c>
      <c r="ES133" s="77">
        <f>ES132/(Assumptions!$D$48-Assumptions!$D$49)</f>
        <v>138879.99999999997</v>
      </c>
      <c r="ET133" s="77">
        <f>ET132/(Assumptions!$D$48-Assumptions!$D$49)</f>
        <v>138879.99999999997</v>
      </c>
      <c r="EU133" s="77">
        <f>EU132/(Assumptions!$D$48-Assumptions!$D$49)</f>
        <v>125440</v>
      </c>
      <c r="EV133" s="77">
        <f>EV132/(Assumptions!$D$48-Assumptions!$D$49)</f>
        <v>138879.99999999997</v>
      </c>
      <c r="EW133" s="77">
        <f>EW132/(Assumptions!$D$48-Assumptions!$D$49)</f>
        <v>134400</v>
      </c>
      <c r="EX133" s="77">
        <f>EX132/(Assumptions!$D$48-Assumptions!$D$49)</f>
        <v>138879.99999999997</v>
      </c>
      <c r="EY133" s="77">
        <f>EY132/(Assumptions!$D$48-Assumptions!$D$49)</f>
        <v>134400</v>
      </c>
      <c r="EZ133" s="77">
        <f>EZ132/(Assumptions!$D$48-Assumptions!$D$49)</f>
        <v>138879.99999999997</v>
      </c>
      <c r="FA133" s="77">
        <f>FA132/(Assumptions!$D$48-Assumptions!$D$49)</f>
        <v>138879.99999999997</v>
      </c>
      <c r="FB133" s="77">
        <f>FB132/(Assumptions!$D$48-Assumptions!$D$49)</f>
        <v>134400</v>
      </c>
      <c r="FC133" s="77">
        <f>FC132/(Assumptions!$D$48-Assumptions!$D$49)</f>
        <v>138879.99999999997</v>
      </c>
      <c r="FD133" s="77">
        <f>FD132/(Assumptions!$D$48-Assumptions!$D$49)</f>
        <v>134400</v>
      </c>
      <c r="FE133" s="77">
        <f>FE132/(Assumptions!$D$48-Assumptions!$D$49)</f>
        <v>138879.99999999997</v>
      </c>
      <c r="FF133" s="77">
        <f>FF132/(Assumptions!$D$48-Assumptions!$D$49)</f>
        <v>138879.99999999997</v>
      </c>
      <c r="FG133" s="77">
        <f>FG132/(Assumptions!$D$48-Assumptions!$D$49)</f>
        <v>125440</v>
      </c>
      <c r="FH133" s="77">
        <f>FH132/(Assumptions!$D$48-Assumptions!$D$49)</f>
        <v>138879.99999999997</v>
      </c>
      <c r="FI133" s="77">
        <f>FI132/(Assumptions!$D$48-Assumptions!$D$49)</f>
        <v>134400</v>
      </c>
      <c r="FJ133" s="77">
        <f>FJ132/(Assumptions!$D$48-Assumptions!$D$49)</f>
        <v>138879.99999999997</v>
      </c>
      <c r="FK133" s="77">
        <f>FK132/(Assumptions!$D$48-Assumptions!$D$49)</f>
        <v>134400</v>
      </c>
      <c r="FL133" s="77">
        <f>FL132/(Assumptions!$D$48-Assumptions!$D$49)</f>
        <v>138879.99999999997</v>
      </c>
      <c r="FM133" s="77">
        <f>FM132/(Assumptions!$D$48-Assumptions!$D$49)</f>
        <v>138879.99999999997</v>
      </c>
      <c r="FN133" s="77">
        <f>FN132/(Assumptions!$D$48-Assumptions!$D$49)</f>
        <v>134400</v>
      </c>
      <c r="FO133" s="77">
        <f>FO132/(Assumptions!$D$48-Assumptions!$D$49)</f>
        <v>138879.99999999997</v>
      </c>
      <c r="FP133" s="77">
        <f>FP132/(Assumptions!$D$48-Assumptions!$D$49)</f>
        <v>134400</v>
      </c>
      <c r="FQ133" s="77">
        <f>FQ132/(Assumptions!$D$48-Assumptions!$D$49)</f>
        <v>138879.99999999997</v>
      </c>
      <c r="FR133" s="77">
        <f>FR132/(Assumptions!$D$48-Assumptions!$D$49)</f>
        <v>138879.99999999997</v>
      </c>
      <c r="FS133" s="77">
        <f>FS132/(Assumptions!$D$48-Assumptions!$D$49)</f>
        <v>125440</v>
      </c>
      <c r="FT133" s="77">
        <f>FT132/(Assumptions!$D$48-Assumptions!$D$49)</f>
        <v>138879.99999999997</v>
      </c>
      <c r="FU133" s="77">
        <f>FU132/(Assumptions!$D$48-Assumptions!$D$49)</f>
        <v>134400</v>
      </c>
      <c r="FV133" s="77">
        <f>FV132/(Assumptions!$D$48-Assumptions!$D$49)</f>
        <v>138879.99999999997</v>
      </c>
      <c r="FW133" s="77">
        <f>FW132/(Assumptions!$D$48-Assumptions!$D$49)</f>
        <v>134400</v>
      </c>
      <c r="FX133" s="77">
        <f>FX132/(Assumptions!$D$48-Assumptions!$D$49)</f>
        <v>138879.99999999997</v>
      </c>
      <c r="FY133" s="77">
        <f>FY132/(Assumptions!$D$48-Assumptions!$D$49)</f>
        <v>138879.99999999997</v>
      </c>
      <c r="FZ133" s="77">
        <f>FZ132/(Assumptions!$D$48-Assumptions!$D$49)</f>
        <v>134400</v>
      </c>
      <c r="GA133" s="77">
        <f>GA132/(Assumptions!$D$48-Assumptions!$D$49)</f>
        <v>138879.99999999997</v>
      </c>
      <c r="GB133" s="77">
        <f>GB132/(Assumptions!$D$48-Assumptions!$D$49)</f>
        <v>134400</v>
      </c>
      <c r="GC133" s="77">
        <f>GC132/(Assumptions!$D$48-Assumptions!$D$49)</f>
        <v>138879.99999999997</v>
      </c>
    </row>
    <row r="134" spans="1:185">
      <c r="A134" s="80"/>
      <c r="B134" s="80" t="s">
        <v>160</v>
      </c>
      <c r="C134" s="80"/>
      <c r="D134" s="80"/>
      <c r="E134" s="82"/>
      <c r="F134" s="93">
        <f t="shared" ref="F134:AK134" si="252">F133/F80</f>
        <v>0</v>
      </c>
      <c r="G134" s="77">
        <f t="shared" si="252"/>
        <v>0</v>
      </c>
      <c r="H134" s="77">
        <f t="shared" si="252"/>
        <v>0</v>
      </c>
      <c r="I134" s="77">
        <f t="shared" si="252"/>
        <v>0</v>
      </c>
      <c r="J134" s="77">
        <f t="shared" si="252"/>
        <v>0</v>
      </c>
      <c r="K134" s="77">
        <f t="shared" si="252"/>
        <v>0</v>
      </c>
      <c r="L134" s="77">
        <f t="shared" si="252"/>
        <v>0</v>
      </c>
      <c r="M134" s="77">
        <f t="shared" si="252"/>
        <v>4479.9999999999991</v>
      </c>
      <c r="N134" s="77">
        <f t="shared" si="252"/>
        <v>4480</v>
      </c>
      <c r="O134" s="77">
        <f t="shared" si="252"/>
        <v>4479.9999999999991</v>
      </c>
      <c r="P134" s="77">
        <f t="shared" si="252"/>
        <v>4480</v>
      </c>
      <c r="Q134" s="77">
        <f t="shared" si="252"/>
        <v>4479.9999999999991</v>
      </c>
      <c r="R134" s="77">
        <f t="shared" si="252"/>
        <v>4479.9999999999991</v>
      </c>
      <c r="S134" s="77">
        <f t="shared" si="252"/>
        <v>4480</v>
      </c>
      <c r="T134" s="77">
        <f t="shared" si="252"/>
        <v>4479.9999999999991</v>
      </c>
      <c r="U134" s="77">
        <f t="shared" si="252"/>
        <v>4480</v>
      </c>
      <c r="V134" s="77">
        <f t="shared" si="252"/>
        <v>4479.9999999999991</v>
      </c>
      <c r="W134" s="77">
        <f t="shared" si="252"/>
        <v>4480</v>
      </c>
      <c r="X134" s="77">
        <f t="shared" si="252"/>
        <v>4479.9999999999991</v>
      </c>
      <c r="Y134" s="77">
        <f t="shared" si="252"/>
        <v>4479.9999999999991</v>
      </c>
      <c r="Z134" s="77">
        <f t="shared" si="252"/>
        <v>4480</v>
      </c>
      <c r="AA134" s="77">
        <f t="shared" si="252"/>
        <v>4479.9999999999991</v>
      </c>
      <c r="AB134" s="77">
        <f t="shared" si="252"/>
        <v>4480</v>
      </c>
      <c r="AC134" s="77">
        <f t="shared" si="252"/>
        <v>4479.9999999999991</v>
      </c>
      <c r="AD134" s="77">
        <f t="shared" si="252"/>
        <v>4479.9999999999991</v>
      </c>
      <c r="AE134" s="77">
        <f t="shared" si="252"/>
        <v>4480</v>
      </c>
      <c r="AF134" s="77">
        <f t="shared" si="252"/>
        <v>4479.9999999999991</v>
      </c>
      <c r="AG134" s="77">
        <f t="shared" si="252"/>
        <v>4480</v>
      </c>
      <c r="AH134" s="77">
        <f t="shared" si="252"/>
        <v>4479.9999999999991</v>
      </c>
      <c r="AI134" s="77">
        <f t="shared" si="252"/>
        <v>4480</v>
      </c>
      <c r="AJ134" s="77">
        <f t="shared" si="252"/>
        <v>4479.9999999999991</v>
      </c>
      <c r="AK134" s="77">
        <f t="shared" si="252"/>
        <v>4479.9999999999991</v>
      </c>
      <c r="AL134" s="77">
        <f t="shared" ref="AL134:BQ134" si="253">AL133/AL80</f>
        <v>4480</v>
      </c>
      <c r="AM134" s="77">
        <f t="shared" si="253"/>
        <v>4479.9999999999991</v>
      </c>
      <c r="AN134" s="77">
        <f t="shared" si="253"/>
        <v>4480</v>
      </c>
      <c r="AO134" s="77">
        <f t="shared" si="253"/>
        <v>4479.9999999999991</v>
      </c>
      <c r="AP134" s="77">
        <f t="shared" si="253"/>
        <v>4479.9999999999991</v>
      </c>
      <c r="AQ134" s="77">
        <f t="shared" si="253"/>
        <v>4480</v>
      </c>
      <c r="AR134" s="77">
        <f t="shared" si="253"/>
        <v>4479.9999999999991</v>
      </c>
      <c r="AS134" s="77">
        <f t="shared" si="253"/>
        <v>4480</v>
      </c>
      <c r="AT134" s="77">
        <f t="shared" si="253"/>
        <v>4479.9999999999991</v>
      </c>
      <c r="AU134" s="77">
        <f t="shared" si="253"/>
        <v>4480</v>
      </c>
      <c r="AV134" s="77">
        <f t="shared" si="253"/>
        <v>4479.9999999999991</v>
      </c>
      <c r="AW134" s="77">
        <f t="shared" si="253"/>
        <v>4479.9999999999991</v>
      </c>
      <c r="AX134" s="77">
        <f t="shared" si="253"/>
        <v>4480</v>
      </c>
      <c r="AY134" s="77">
        <f t="shared" si="253"/>
        <v>4479.9999999999991</v>
      </c>
      <c r="AZ134" s="77">
        <f t="shared" si="253"/>
        <v>4480</v>
      </c>
      <c r="BA134" s="77">
        <f t="shared" si="253"/>
        <v>4479.9999999999991</v>
      </c>
      <c r="BB134" s="77">
        <f t="shared" si="253"/>
        <v>4479.9999999999991</v>
      </c>
      <c r="BC134" s="77">
        <f t="shared" si="253"/>
        <v>4480</v>
      </c>
      <c r="BD134" s="77">
        <f t="shared" si="253"/>
        <v>4479.9999999999991</v>
      </c>
      <c r="BE134" s="77">
        <f t="shared" si="253"/>
        <v>4480</v>
      </c>
      <c r="BF134" s="77">
        <f t="shared" si="253"/>
        <v>4479.9999999999991</v>
      </c>
      <c r="BG134" s="77">
        <f t="shared" si="253"/>
        <v>4480</v>
      </c>
      <c r="BH134" s="77">
        <f t="shared" si="253"/>
        <v>4479.9999999999991</v>
      </c>
      <c r="BI134" s="77">
        <f t="shared" si="253"/>
        <v>4479.9999999999991</v>
      </c>
      <c r="BJ134" s="77">
        <f t="shared" si="253"/>
        <v>4480</v>
      </c>
      <c r="BK134" s="77">
        <f t="shared" si="253"/>
        <v>4479.9999999999991</v>
      </c>
      <c r="BL134" s="77">
        <f t="shared" si="253"/>
        <v>4480</v>
      </c>
      <c r="BM134" s="77">
        <f t="shared" si="253"/>
        <v>4479.9999999999991</v>
      </c>
      <c r="BN134" s="77">
        <f t="shared" si="253"/>
        <v>4479.9999999999991</v>
      </c>
      <c r="BO134" s="77">
        <f t="shared" si="253"/>
        <v>4480</v>
      </c>
      <c r="BP134" s="77">
        <f t="shared" si="253"/>
        <v>4479.9999999999991</v>
      </c>
      <c r="BQ134" s="77">
        <f t="shared" si="253"/>
        <v>4480</v>
      </c>
      <c r="BR134" s="77">
        <f t="shared" ref="BR134:CW134" si="254">BR133/BR80</f>
        <v>4479.9999999999991</v>
      </c>
      <c r="BS134" s="77">
        <f t="shared" si="254"/>
        <v>4480</v>
      </c>
      <c r="BT134" s="77">
        <f t="shared" si="254"/>
        <v>4479.9999999999991</v>
      </c>
      <c r="BU134" s="77">
        <f t="shared" si="254"/>
        <v>4479.9999999999991</v>
      </c>
      <c r="BV134" s="77">
        <f t="shared" si="254"/>
        <v>4480</v>
      </c>
      <c r="BW134" s="77">
        <f t="shared" si="254"/>
        <v>4479.9999999999991</v>
      </c>
      <c r="BX134" s="77">
        <f t="shared" si="254"/>
        <v>4480</v>
      </c>
      <c r="BY134" s="77">
        <f t="shared" si="254"/>
        <v>4479.9999999999991</v>
      </c>
      <c r="BZ134" s="77">
        <f t="shared" si="254"/>
        <v>4479.9999999999991</v>
      </c>
      <c r="CA134" s="77">
        <f t="shared" si="254"/>
        <v>4480</v>
      </c>
      <c r="CB134" s="77">
        <f t="shared" si="254"/>
        <v>4479.9999999999991</v>
      </c>
      <c r="CC134" s="77">
        <f t="shared" si="254"/>
        <v>4480</v>
      </c>
      <c r="CD134" s="77">
        <f t="shared" si="254"/>
        <v>4479.9999999999991</v>
      </c>
      <c r="CE134" s="77">
        <f t="shared" si="254"/>
        <v>4480</v>
      </c>
      <c r="CF134" s="77">
        <f t="shared" si="254"/>
        <v>4479.9999999999991</v>
      </c>
      <c r="CG134" s="77">
        <f t="shared" si="254"/>
        <v>4479.9999999999991</v>
      </c>
      <c r="CH134" s="77">
        <f t="shared" si="254"/>
        <v>4480</v>
      </c>
      <c r="CI134" s="77">
        <f t="shared" si="254"/>
        <v>4479.9999999999991</v>
      </c>
      <c r="CJ134" s="77">
        <f t="shared" si="254"/>
        <v>4480</v>
      </c>
      <c r="CK134" s="77">
        <f t="shared" si="254"/>
        <v>4479.9999999999991</v>
      </c>
      <c r="CL134" s="77">
        <f t="shared" si="254"/>
        <v>4479.9999999999991</v>
      </c>
      <c r="CM134" s="77">
        <f t="shared" si="254"/>
        <v>4480</v>
      </c>
      <c r="CN134" s="77">
        <f t="shared" si="254"/>
        <v>4479.9999999999991</v>
      </c>
      <c r="CO134" s="77">
        <f t="shared" si="254"/>
        <v>4480</v>
      </c>
      <c r="CP134" s="77">
        <f t="shared" si="254"/>
        <v>4479.9999999999991</v>
      </c>
      <c r="CQ134" s="77">
        <f t="shared" si="254"/>
        <v>4480</v>
      </c>
      <c r="CR134" s="77">
        <f t="shared" si="254"/>
        <v>4479.9999999999991</v>
      </c>
      <c r="CS134" s="77">
        <f t="shared" si="254"/>
        <v>4479.9999999999991</v>
      </c>
      <c r="CT134" s="77">
        <f t="shared" si="254"/>
        <v>4480</v>
      </c>
      <c r="CU134" s="77">
        <f t="shared" si="254"/>
        <v>4479.9999999999991</v>
      </c>
      <c r="CV134" s="77">
        <f t="shared" si="254"/>
        <v>4480</v>
      </c>
      <c r="CW134" s="77">
        <f t="shared" si="254"/>
        <v>4479.9999999999991</v>
      </c>
      <c r="CX134" s="77">
        <f t="shared" ref="CX134:EC134" si="255">CX133/CX80</f>
        <v>4479.9999999999991</v>
      </c>
      <c r="CY134" s="77">
        <f t="shared" si="255"/>
        <v>4480</v>
      </c>
      <c r="CZ134" s="77">
        <f t="shared" si="255"/>
        <v>4479.9999999999991</v>
      </c>
      <c r="DA134" s="77">
        <f t="shared" si="255"/>
        <v>4480</v>
      </c>
      <c r="DB134" s="77">
        <f t="shared" si="255"/>
        <v>4479.9999999999991</v>
      </c>
      <c r="DC134" s="77">
        <f t="shared" si="255"/>
        <v>4480</v>
      </c>
      <c r="DD134" s="77">
        <f t="shared" si="255"/>
        <v>4479.9999999999991</v>
      </c>
      <c r="DE134" s="77">
        <f t="shared" si="255"/>
        <v>4479.9999999999991</v>
      </c>
      <c r="DF134" s="77">
        <f t="shared" si="255"/>
        <v>4480</v>
      </c>
      <c r="DG134" s="77">
        <f t="shared" si="255"/>
        <v>4479.9999999999991</v>
      </c>
      <c r="DH134" s="77">
        <f t="shared" si="255"/>
        <v>4480</v>
      </c>
      <c r="DI134" s="77">
        <f t="shared" si="255"/>
        <v>4479.9999999999991</v>
      </c>
      <c r="DJ134" s="77">
        <f t="shared" si="255"/>
        <v>4479.9999999999991</v>
      </c>
      <c r="DK134" s="77">
        <f t="shared" si="255"/>
        <v>4480</v>
      </c>
      <c r="DL134" s="77">
        <f t="shared" si="255"/>
        <v>4479.9999999999991</v>
      </c>
      <c r="DM134" s="77">
        <f t="shared" si="255"/>
        <v>4480</v>
      </c>
      <c r="DN134" s="77">
        <f t="shared" si="255"/>
        <v>4479.9999999999991</v>
      </c>
      <c r="DO134" s="77">
        <f t="shared" si="255"/>
        <v>4480</v>
      </c>
      <c r="DP134" s="77">
        <f t="shared" si="255"/>
        <v>4479.9999999999991</v>
      </c>
      <c r="DQ134" s="77">
        <f t="shared" si="255"/>
        <v>4479.9999999999991</v>
      </c>
      <c r="DR134" s="77">
        <f t="shared" si="255"/>
        <v>4480</v>
      </c>
      <c r="DS134" s="77">
        <f t="shared" si="255"/>
        <v>4479.9999999999991</v>
      </c>
      <c r="DT134" s="77">
        <f t="shared" si="255"/>
        <v>4480</v>
      </c>
      <c r="DU134" s="77">
        <f t="shared" si="255"/>
        <v>4479.9999999999991</v>
      </c>
      <c r="DV134" s="77">
        <f t="shared" si="255"/>
        <v>4479.9999999999991</v>
      </c>
      <c r="DW134" s="77">
        <f t="shared" si="255"/>
        <v>4480</v>
      </c>
      <c r="DX134" s="77">
        <f t="shared" si="255"/>
        <v>4479.9999999999991</v>
      </c>
      <c r="DY134" s="77">
        <f t="shared" si="255"/>
        <v>4480</v>
      </c>
      <c r="DZ134" s="77">
        <f t="shared" si="255"/>
        <v>4479.9999999999991</v>
      </c>
      <c r="EA134" s="77">
        <f t="shared" si="255"/>
        <v>4480</v>
      </c>
      <c r="EB134" s="77">
        <f t="shared" si="255"/>
        <v>4479.9999999999991</v>
      </c>
      <c r="EC134" s="77">
        <f t="shared" si="255"/>
        <v>4479.9999999999991</v>
      </c>
      <c r="ED134" s="77">
        <f t="shared" ref="ED134:FI134" si="256">ED133/ED80</f>
        <v>4480</v>
      </c>
      <c r="EE134" s="77">
        <f t="shared" si="256"/>
        <v>4479.9999999999991</v>
      </c>
      <c r="EF134" s="77">
        <f t="shared" si="256"/>
        <v>4480</v>
      </c>
      <c r="EG134" s="77">
        <f t="shared" si="256"/>
        <v>4479.9999999999991</v>
      </c>
      <c r="EH134" s="77">
        <f t="shared" si="256"/>
        <v>4479.9999999999991</v>
      </c>
      <c r="EI134" s="77">
        <f t="shared" si="256"/>
        <v>4480</v>
      </c>
      <c r="EJ134" s="77">
        <f t="shared" si="256"/>
        <v>4479.9999999999991</v>
      </c>
      <c r="EK134" s="77">
        <f t="shared" si="256"/>
        <v>4480</v>
      </c>
      <c r="EL134" s="77">
        <f t="shared" si="256"/>
        <v>4479.9999999999991</v>
      </c>
      <c r="EM134" s="77">
        <f t="shared" si="256"/>
        <v>4480</v>
      </c>
      <c r="EN134" s="77">
        <f t="shared" si="256"/>
        <v>4479.9999999999991</v>
      </c>
      <c r="EO134" s="77">
        <f t="shared" si="256"/>
        <v>4479.9999999999991</v>
      </c>
      <c r="EP134" s="77">
        <f t="shared" si="256"/>
        <v>4480</v>
      </c>
      <c r="EQ134" s="77">
        <f t="shared" si="256"/>
        <v>4479.9999999999991</v>
      </c>
      <c r="ER134" s="77">
        <f t="shared" si="256"/>
        <v>4480</v>
      </c>
      <c r="ES134" s="77">
        <f t="shared" si="256"/>
        <v>4479.9999999999991</v>
      </c>
      <c r="ET134" s="77">
        <f t="shared" si="256"/>
        <v>4479.9999999999991</v>
      </c>
      <c r="EU134" s="77">
        <f t="shared" si="256"/>
        <v>4480</v>
      </c>
      <c r="EV134" s="77">
        <f t="shared" si="256"/>
        <v>4479.9999999999991</v>
      </c>
      <c r="EW134" s="77">
        <f t="shared" si="256"/>
        <v>4480</v>
      </c>
      <c r="EX134" s="77">
        <f t="shared" si="256"/>
        <v>4479.9999999999991</v>
      </c>
      <c r="EY134" s="77">
        <f t="shared" si="256"/>
        <v>4480</v>
      </c>
      <c r="EZ134" s="77">
        <f t="shared" si="256"/>
        <v>4479.9999999999991</v>
      </c>
      <c r="FA134" s="77">
        <f t="shared" si="256"/>
        <v>4479.9999999999991</v>
      </c>
      <c r="FB134" s="77">
        <f t="shared" si="256"/>
        <v>4480</v>
      </c>
      <c r="FC134" s="77">
        <f t="shared" si="256"/>
        <v>4479.9999999999991</v>
      </c>
      <c r="FD134" s="77">
        <f t="shared" si="256"/>
        <v>4480</v>
      </c>
      <c r="FE134" s="77">
        <f t="shared" si="256"/>
        <v>4479.9999999999991</v>
      </c>
      <c r="FF134" s="77">
        <f t="shared" si="256"/>
        <v>4479.9999999999991</v>
      </c>
      <c r="FG134" s="77">
        <f t="shared" si="256"/>
        <v>4480</v>
      </c>
      <c r="FH134" s="77">
        <f t="shared" si="256"/>
        <v>4479.9999999999991</v>
      </c>
      <c r="FI134" s="77">
        <f t="shared" si="256"/>
        <v>4480</v>
      </c>
      <c r="FJ134" s="77">
        <f t="shared" ref="FJ134:GC134" si="257">FJ133/FJ80</f>
        <v>4479.9999999999991</v>
      </c>
      <c r="FK134" s="77">
        <f t="shared" si="257"/>
        <v>4480</v>
      </c>
      <c r="FL134" s="77">
        <f t="shared" si="257"/>
        <v>4479.9999999999991</v>
      </c>
      <c r="FM134" s="77">
        <f t="shared" si="257"/>
        <v>4479.9999999999991</v>
      </c>
      <c r="FN134" s="77">
        <f t="shared" si="257"/>
        <v>4480</v>
      </c>
      <c r="FO134" s="77">
        <f t="shared" si="257"/>
        <v>4479.9999999999991</v>
      </c>
      <c r="FP134" s="77">
        <f t="shared" si="257"/>
        <v>4480</v>
      </c>
      <c r="FQ134" s="77">
        <f t="shared" si="257"/>
        <v>4479.9999999999991</v>
      </c>
      <c r="FR134" s="77">
        <f t="shared" si="257"/>
        <v>4479.9999999999991</v>
      </c>
      <c r="FS134" s="77">
        <f t="shared" si="257"/>
        <v>4480</v>
      </c>
      <c r="FT134" s="77">
        <f t="shared" si="257"/>
        <v>4479.9999999999991</v>
      </c>
      <c r="FU134" s="77">
        <f t="shared" si="257"/>
        <v>4480</v>
      </c>
      <c r="FV134" s="77">
        <f t="shared" si="257"/>
        <v>4479.9999999999991</v>
      </c>
      <c r="FW134" s="77">
        <f t="shared" si="257"/>
        <v>4480</v>
      </c>
      <c r="FX134" s="77">
        <f t="shared" si="257"/>
        <v>4479.9999999999991</v>
      </c>
      <c r="FY134" s="77">
        <f t="shared" si="257"/>
        <v>4479.9999999999991</v>
      </c>
      <c r="FZ134" s="77">
        <f t="shared" si="257"/>
        <v>4480</v>
      </c>
      <c r="GA134" s="77">
        <f t="shared" si="257"/>
        <v>4479.9999999999991</v>
      </c>
      <c r="GB134" s="77">
        <f t="shared" si="257"/>
        <v>4480</v>
      </c>
      <c r="GC134" s="77">
        <f t="shared" si="257"/>
        <v>4479.9999999999991</v>
      </c>
    </row>
    <row r="135" spans="1:185">
      <c r="A135" s="80"/>
      <c r="B135" s="80" t="s">
        <v>161</v>
      </c>
      <c r="C135" s="80"/>
      <c r="D135" s="80"/>
      <c r="E135" s="82"/>
      <c r="F135" s="171">
        <f>Assumptions!D49</f>
        <v>0</v>
      </c>
      <c r="G135" s="112">
        <f>F135</f>
        <v>0</v>
      </c>
      <c r="H135" s="112">
        <f t="shared" ref="H135:BM135" si="258">G135</f>
        <v>0</v>
      </c>
      <c r="I135" s="112">
        <f t="shared" si="258"/>
        <v>0</v>
      </c>
      <c r="J135" s="112">
        <f t="shared" si="258"/>
        <v>0</v>
      </c>
      <c r="K135" s="112">
        <f t="shared" si="258"/>
        <v>0</v>
      </c>
      <c r="L135" s="112">
        <f t="shared" si="258"/>
        <v>0</v>
      </c>
      <c r="M135" s="112">
        <f t="shared" si="258"/>
        <v>0</v>
      </c>
      <c r="N135" s="112">
        <f t="shared" si="258"/>
        <v>0</v>
      </c>
      <c r="O135" s="112">
        <f t="shared" si="258"/>
        <v>0</v>
      </c>
      <c r="P135" s="112">
        <f t="shared" si="258"/>
        <v>0</v>
      </c>
      <c r="Q135" s="112">
        <f t="shared" si="258"/>
        <v>0</v>
      </c>
      <c r="R135" s="112">
        <f t="shared" si="258"/>
        <v>0</v>
      </c>
      <c r="S135" s="112">
        <f t="shared" si="258"/>
        <v>0</v>
      </c>
      <c r="T135" s="112">
        <f t="shared" si="258"/>
        <v>0</v>
      </c>
      <c r="U135" s="112">
        <f t="shared" si="258"/>
        <v>0</v>
      </c>
      <c r="V135" s="112">
        <f t="shared" si="258"/>
        <v>0</v>
      </c>
      <c r="W135" s="112">
        <f t="shared" si="258"/>
        <v>0</v>
      </c>
      <c r="X135" s="112">
        <f t="shared" si="258"/>
        <v>0</v>
      </c>
      <c r="Y135" s="112">
        <f t="shared" si="258"/>
        <v>0</v>
      </c>
      <c r="Z135" s="112">
        <f t="shared" si="258"/>
        <v>0</v>
      </c>
      <c r="AA135" s="112">
        <f t="shared" si="258"/>
        <v>0</v>
      </c>
      <c r="AB135" s="112">
        <f t="shared" si="258"/>
        <v>0</v>
      </c>
      <c r="AC135" s="112">
        <f t="shared" si="258"/>
        <v>0</v>
      </c>
      <c r="AD135" s="112">
        <f t="shared" si="258"/>
        <v>0</v>
      </c>
      <c r="AE135" s="112">
        <f t="shared" si="258"/>
        <v>0</v>
      </c>
      <c r="AF135" s="112">
        <f t="shared" si="258"/>
        <v>0</v>
      </c>
      <c r="AG135" s="112">
        <f t="shared" si="258"/>
        <v>0</v>
      </c>
      <c r="AH135" s="112">
        <f t="shared" si="258"/>
        <v>0</v>
      </c>
      <c r="AI135" s="112">
        <f t="shared" si="258"/>
        <v>0</v>
      </c>
      <c r="AJ135" s="112">
        <f t="shared" si="258"/>
        <v>0</v>
      </c>
      <c r="AK135" s="112">
        <f t="shared" si="258"/>
        <v>0</v>
      </c>
      <c r="AL135" s="112">
        <f t="shared" si="258"/>
        <v>0</v>
      </c>
      <c r="AM135" s="112">
        <f t="shared" si="258"/>
        <v>0</v>
      </c>
      <c r="AN135" s="112">
        <f t="shared" si="258"/>
        <v>0</v>
      </c>
      <c r="AO135" s="112">
        <f t="shared" si="258"/>
        <v>0</v>
      </c>
      <c r="AP135" s="112">
        <f t="shared" si="258"/>
        <v>0</v>
      </c>
      <c r="AQ135" s="112">
        <f t="shared" si="258"/>
        <v>0</v>
      </c>
      <c r="AR135" s="112">
        <f t="shared" si="258"/>
        <v>0</v>
      </c>
      <c r="AS135" s="112">
        <f t="shared" si="258"/>
        <v>0</v>
      </c>
      <c r="AT135" s="112">
        <f t="shared" si="258"/>
        <v>0</v>
      </c>
      <c r="AU135" s="112">
        <f t="shared" si="258"/>
        <v>0</v>
      </c>
      <c r="AV135" s="112">
        <f t="shared" si="258"/>
        <v>0</v>
      </c>
      <c r="AW135" s="112">
        <f t="shared" si="258"/>
        <v>0</v>
      </c>
      <c r="AX135" s="112">
        <f t="shared" si="258"/>
        <v>0</v>
      </c>
      <c r="AY135" s="112">
        <f t="shared" si="258"/>
        <v>0</v>
      </c>
      <c r="AZ135" s="112">
        <f t="shared" si="258"/>
        <v>0</v>
      </c>
      <c r="BA135" s="112">
        <f t="shared" si="258"/>
        <v>0</v>
      </c>
      <c r="BB135" s="112">
        <f t="shared" si="258"/>
        <v>0</v>
      </c>
      <c r="BC135" s="112">
        <f t="shared" si="258"/>
        <v>0</v>
      </c>
      <c r="BD135" s="112">
        <f t="shared" si="258"/>
        <v>0</v>
      </c>
      <c r="BE135" s="112">
        <f t="shared" si="258"/>
        <v>0</v>
      </c>
      <c r="BF135" s="112">
        <f t="shared" si="258"/>
        <v>0</v>
      </c>
      <c r="BG135" s="112">
        <f t="shared" si="258"/>
        <v>0</v>
      </c>
      <c r="BH135" s="112">
        <f t="shared" si="258"/>
        <v>0</v>
      </c>
      <c r="BI135" s="112">
        <f t="shared" si="258"/>
        <v>0</v>
      </c>
      <c r="BJ135" s="112">
        <f t="shared" si="258"/>
        <v>0</v>
      </c>
      <c r="BK135" s="112">
        <f t="shared" si="258"/>
        <v>0</v>
      </c>
      <c r="BL135" s="112">
        <f t="shared" si="258"/>
        <v>0</v>
      </c>
      <c r="BM135" s="112">
        <f t="shared" si="258"/>
        <v>0</v>
      </c>
      <c r="BN135" s="112">
        <f t="shared" ref="BN135" si="259">BM135</f>
        <v>0</v>
      </c>
      <c r="BO135" s="112">
        <f t="shared" ref="BO135" si="260">BN135</f>
        <v>0</v>
      </c>
      <c r="BP135" s="112">
        <f t="shared" ref="BP135" si="261">BO135</f>
        <v>0</v>
      </c>
      <c r="BQ135" s="112">
        <f t="shared" ref="BQ135" si="262">BP135</f>
        <v>0</v>
      </c>
      <c r="BR135" s="112">
        <f t="shared" ref="BR135" si="263">BQ135</f>
        <v>0</v>
      </c>
      <c r="BS135" s="112">
        <f t="shared" ref="BS135" si="264">BR135</f>
        <v>0</v>
      </c>
      <c r="BT135" s="112">
        <f t="shared" ref="BT135" si="265">BS135</f>
        <v>0</v>
      </c>
      <c r="BU135" s="112">
        <f t="shared" ref="BU135" si="266">BT135</f>
        <v>0</v>
      </c>
      <c r="BV135" s="112">
        <f t="shared" ref="BV135" si="267">BU135</f>
        <v>0</v>
      </c>
      <c r="BW135" s="112">
        <f t="shared" ref="BW135" si="268">BV135</f>
        <v>0</v>
      </c>
      <c r="BX135" s="112">
        <f t="shared" ref="BX135" si="269">BW135</f>
        <v>0</v>
      </c>
      <c r="BY135" s="112">
        <f t="shared" ref="BY135" si="270">BX135</f>
        <v>0</v>
      </c>
      <c r="BZ135" s="112">
        <f t="shared" ref="BZ135" si="271">BY135</f>
        <v>0</v>
      </c>
      <c r="CA135" s="112">
        <f t="shared" ref="CA135" si="272">BZ135</f>
        <v>0</v>
      </c>
      <c r="CB135" s="112">
        <f t="shared" ref="CB135" si="273">CA135</f>
        <v>0</v>
      </c>
      <c r="CC135" s="112">
        <f t="shared" ref="CC135" si="274">CB135</f>
        <v>0</v>
      </c>
      <c r="CD135" s="112">
        <f t="shared" ref="CD135" si="275">CC135</f>
        <v>0</v>
      </c>
      <c r="CE135" s="112">
        <f t="shared" ref="CE135" si="276">CD135</f>
        <v>0</v>
      </c>
      <c r="CF135" s="112">
        <f t="shared" ref="CF135" si="277">CE135</f>
        <v>0</v>
      </c>
      <c r="CG135" s="112">
        <f t="shared" ref="CG135" si="278">CF135</f>
        <v>0</v>
      </c>
      <c r="CH135" s="112">
        <f t="shared" ref="CH135" si="279">CG135</f>
        <v>0</v>
      </c>
      <c r="CI135" s="112">
        <f t="shared" ref="CI135" si="280">CH135</f>
        <v>0</v>
      </c>
      <c r="CJ135" s="112">
        <f t="shared" ref="CJ135" si="281">CI135</f>
        <v>0</v>
      </c>
      <c r="CK135" s="112">
        <f t="shared" ref="CK135" si="282">CJ135</f>
        <v>0</v>
      </c>
      <c r="CL135" s="112">
        <f t="shared" ref="CL135" si="283">CK135</f>
        <v>0</v>
      </c>
      <c r="CM135" s="112">
        <f t="shared" ref="CM135" si="284">CL135</f>
        <v>0</v>
      </c>
      <c r="CN135" s="112">
        <f t="shared" ref="CN135" si="285">CM135</f>
        <v>0</v>
      </c>
      <c r="CO135" s="112">
        <f t="shared" ref="CO135" si="286">CN135</f>
        <v>0</v>
      </c>
      <c r="CP135" s="112">
        <f t="shared" ref="CP135" si="287">CO135</f>
        <v>0</v>
      </c>
      <c r="CQ135" s="112">
        <f t="shared" ref="CQ135" si="288">CP135</f>
        <v>0</v>
      </c>
      <c r="CR135" s="112">
        <f t="shared" ref="CR135" si="289">CQ135</f>
        <v>0</v>
      </c>
      <c r="CS135" s="112">
        <f t="shared" ref="CS135" si="290">CR135</f>
        <v>0</v>
      </c>
      <c r="CT135" s="112">
        <f t="shared" ref="CT135" si="291">CS135</f>
        <v>0</v>
      </c>
      <c r="CU135" s="112">
        <f t="shared" ref="CU135" si="292">CT135</f>
        <v>0</v>
      </c>
      <c r="CV135" s="112">
        <f t="shared" ref="CV135" si="293">CU135</f>
        <v>0</v>
      </c>
      <c r="CW135" s="112">
        <f t="shared" ref="CW135" si="294">CV135</f>
        <v>0</v>
      </c>
      <c r="CX135" s="112">
        <f t="shared" ref="CX135" si="295">CW135</f>
        <v>0</v>
      </c>
      <c r="CY135" s="112">
        <f t="shared" ref="CY135" si="296">CX135</f>
        <v>0</v>
      </c>
      <c r="CZ135" s="112">
        <f t="shared" ref="CZ135" si="297">CY135</f>
        <v>0</v>
      </c>
      <c r="DA135" s="112">
        <f t="shared" ref="DA135" si="298">CZ135</f>
        <v>0</v>
      </c>
      <c r="DB135" s="112">
        <f t="shared" ref="DB135" si="299">DA135</f>
        <v>0</v>
      </c>
      <c r="DC135" s="112">
        <f t="shared" ref="DC135" si="300">DB135</f>
        <v>0</v>
      </c>
      <c r="DD135" s="112">
        <f t="shared" ref="DD135" si="301">DC135</f>
        <v>0</v>
      </c>
      <c r="DE135" s="112">
        <f t="shared" ref="DE135" si="302">DD135</f>
        <v>0</v>
      </c>
      <c r="DF135" s="112">
        <f t="shared" ref="DF135" si="303">DE135</f>
        <v>0</v>
      </c>
      <c r="DG135" s="112">
        <f t="shared" ref="DG135" si="304">DF135</f>
        <v>0</v>
      </c>
      <c r="DH135" s="112">
        <f t="shared" ref="DH135" si="305">DG135</f>
        <v>0</v>
      </c>
      <c r="DI135" s="112">
        <f t="shared" ref="DI135" si="306">DH135</f>
        <v>0</v>
      </c>
      <c r="DJ135" s="112">
        <f t="shared" ref="DJ135" si="307">DI135</f>
        <v>0</v>
      </c>
      <c r="DK135" s="112">
        <f t="shared" ref="DK135" si="308">DJ135</f>
        <v>0</v>
      </c>
      <c r="DL135" s="112">
        <f t="shared" ref="DL135" si="309">DK135</f>
        <v>0</v>
      </c>
      <c r="DM135" s="112">
        <f t="shared" ref="DM135" si="310">DL135</f>
        <v>0</v>
      </c>
      <c r="DN135" s="112">
        <f t="shared" ref="DN135" si="311">DM135</f>
        <v>0</v>
      </c>
      <c r="DO135" s="112">
        <f t="shared" ref="DO135" si="312">DN135</f>
        <v>0</v>
      </c>
      <c r="DP135" s="112">
        <f t="shared" ref="DP135" si="313">DO135</f>
        <v>0</v>
      </c>
      <c r="DQ135" s="112">
        <f t="shared" ref="DQ135" si="314">DP135</f>
        <v>0</v>
      </c>
      <c r="DR135" s="112">
        <f t="shared" ref="DR135" si="315">DQ135</f>
        <v>0</v>
      </c>
      <c r="DS135" s="112">
        <f t="shared" ref="DS135" si="316">DR135</f>
        <v>0</v>
      </c>
      <c r="DT135" s="112">
        <f t="shared" ref="DT135" si="317">DS135</f>
        <v>0</v>
      </c>
      <c r="DU135" s="112">
        <f t="shared" ref="DU135" si="318">DT135</f>
        <v>0</v>
      </c>
      <c r="DV135" s="112">
        <f t="shared" ref="DV135" si="319">DU135</f>
        <v>0</v>
      </c>
      <c r="DW135" s="112">
        <f t="shared" ref="DW135" si="320">DV135</f>
        <v>0</v>
      </c>
      <c r="DX135" s="112">
        <f t="shared" ref="DX135" si="321">DW135</f>
        <v>0</v>
      </c>
      <c r="DY135" s="112">
        <f t="shared" ref="DY135" si="322">DX135</f>
        <v>0</v>
      </c>
      <c r="DZ135" s="112">
        <f t="shared" ref="DZ135" si="323">DY135</f>
        <v>0</v>
      </c>
      <c r="EA135" s="112">
        <f t="shared" ref="EA135" si="324">DZ135</f>
        <v>0</v>
      </c>
      <c r="EB135" s="112">
        <f t="shared" ref="EB135" si="325">EA135</f>
        <v>0</v>
      </c>
      <c r="EC135" s="112">
        <f t="shared" ref="EC135" si="326">EB135</f>
        <v>0</v>
      </c>
      <c r="ED135" s="112">
        <f t="shared" ref="ED135" si="327">EC135</f>
        <v>0</v>
      </c>
      <c r="EE135" s="112">
        <f t="shared" ref="EE135" si="328">ED135</f>
        <v>0</v>
      </c>
      <c r="EF135" s="112">
        <f t="shared" ref="EF135" si="329">EE135</f>
        <v>0</v>
      </c>
      <c r="EG135" s="112">
        <f t="shared" ref="EG135" si="330">EF135</f>
        <v>0</v>
      </c>
      <c r="EH135" s="112">
        <f t="shared" ref="EH135" si="331">EG135</f>
        <v>0</v>
      </c>
      <c r="EI135" s="112">
        <f t="shared" ref="EI135" si="332">EH135</f>
        <v>0</v>
      </c>
      <c r="EJ135" s="112">
        <f t="shared" ref="EJ135" si="333">EI135</f>
        <v>0</v>
      </c>
      <c r="EK135" s="112">
        <f t="shared" ref="EK135" si="334">EJ135</f>
        <v>0</v>
      </c>
      <c r="EL135" s="112">
        <f t="shared" ref="EL135" si="335">EK135</f>
        <v>0</v>
      </c>
      <c r="EM135" s="112">
        <f t="shared" ref="EM135" si="336">EL135</f>
        <v>0</v>
      </c>
      <c r="EN135" s="112">
        <f t="shared" ref="EN135" si="337">EM135</f>
        <v>0</v>
      </c>
      <c r="EO135" s="112">
        <f t="shared" ref="EO135" si="338">EN135</f>
        <v>0</v>
      </c>
      <c r="EP135" s="112">
        <f t="shared" ref="EP135" si="339">EO135</f>
        <v>0</v>
      </c>
      <c r="EQ135" s="112">
        <f t="shared" ref="EQ135" si="340">EP135</f>
        <v>0</v>
      </c>
      <c r="ER135" s="112">
        <f t="shared" ref="ER135" si="341">EQ135</f>
        <v>0</v>
      </c>
      <c r="ES135" s="112">
        <f t="shared" ref="ES135" si="342">ER135</f>
        <v>0</v>
      </c>
      <c r="ET135" s="112">
        <f t="shared" ref="ET135" si="343">ES135</f>
        <v>0</v>
      </c>
      <c r="EU135" s="112">
        <f t="shared" ref="EU135" si="344">ET135</f>
        <v>0</v>
      </c>
      <c r="EV135" s="112">
        <f t="shared" ref="EV135" si="345">EU135</f>
        <v>0</v>
      </c>
      <c r="EW135" s="112">
        <f t="shared" ref="EW135" si="346">EV135</f>
        <v>0</v>
      </c>
      <c r="EX135" s="112">
        <f t="shared" ref="EX135" si="347">EW135</f>
        <v>0</v>
      </c>
      <c r="EY135" s="112">
        <f t="shared" ref="EY135" si="348">EX135</f>
        <v>0</v>
      </c>
      <c r="EZ135" s="112">
        <f t="shared" ref="EZ135" si="349">EY135</f>
        <v>0</v>
      </c>
      <c r="FA135" s="112">
        <f t="shared" ref="FA135" si="350">EZ135</f>
        <v>0</v>
      </c>
      <c r="FB135" s="112">
        <f t="shared" ref="FB135" si="351">FA135</f>
        <v>0</v>
      </c>
      <c r="FC135" s="112">
        <f t="shared" ref="FC135" si="352">FB135</f>
        <v>0</v>
      </c>
      <c r="FD135" s="112">
        <f t="shared" ref="FD135" si="353">FC135</f>
        <v>0</v>
      </c>
      <c r="FE135" s="112">
        <f t="shared" ref="FE135" si="354">FD135</f>
        <v>0</v>
      </c>
      <c r="FF135" s="112">
        <f t="shared" ref="FF135" si="355">FE135</f>
        <v>0</v>
      </c>
      <c r="FG135" s="112">
        <f t="shared" ref="FG135" si="356">FF135</f>
        <v>0</v>
      </c>
      <c r="FH135" s="112">
        <f t="shared" ref="FH135" si="357">FG135</f>
        <v>0</v>
      </c>
      <c r="FI135" s="112">
        <f t="shared" ref="FI135" si="358">FH135</f>
        <v>0</v>
      </c>
      <c r="FJ135" s="112">
        <f t="shared" ref="FJ135" si="359">FI135</f>
        <v>0</v>
      </c>
      <c r="FK135" s="112">
        <f t="shared" ref="FK135" si="360">FJ135</f>
        <v>0</v>
      </c>
      <c r="FL135" s="112">
        <f t="shared" ref="FL135" si="361">FK135</f>
        <v>0</v>
      </c>
      <c r="FM135" s="112">
        <f t="shared" ref="FM135" si="362">FL135</f>
        <v>0</v>
      </c>
      <c r="FN135" s="112">
        <f t="shared" ref="FN135" si="363">FM135</f>
        <v>0</v>
      </c>
      <c r="FO135" s="112">
        <f t="shared" ref="FO135" si="364">FN135</f>
        <v>0</v>
      </c>
      <c r="FP135" s="112">
        <f t="shared" ref="FP135" si="365">FO135</f>
        <v>0</v>
      </c>
      <c r="FQ135" s="112">
        <f t="shared" ref="FQ135" si="366">FP135</f>
        <v>0</v>
      </c>
      <c r="FR135" s="112">
        <f t="shared" ref="FR135" si="367">FQ135</f>
        <v>0</v>
      </c>
      <c r="FS135" s="112">
        <f t="shared" ref="FS135" si="368">FR135</f>
        <v>0</v>
      </c>
      <c r="FT135" s="112">
        <f t="shared" ref="FT135" si="369">FS135</f>
        <v>0</v>
      </c>
      <c r="FU135" s="112">
        <f t="shared" ref="FU135" si="370">FT135</f>
        <v>0</v>
      </c>
      <c r="FV135" s="112">
        <f t="shared" ref="FV135" si="371">FU135</f>
        <v>0</v>
      </c>
      <c r="FW135" s="112">
        <f t="shared" ref="FW135" si="372">FV135</f>
        <v>0</v>
      </c>
      <c r="FX135" s="112">
        <f t="shared" ref="FX135" si="373">FW135</f>
        <v>0</v>
      </c>
      <c r="FY135" s="112">
        <f t="shared" ref="FY135" si="374">FX135</f>
        <v>0</v>
      </c>
      <c r="FZ135" s="112">
        <f t="shared" ref="FZ135" si="375">FY135</f>
        <v>0</v>
      </c>
      <c r="GA135" s="112">
        <f t="shared" ref="GA135" si="376">FZ135</f>
        <v>0</v>
      </c>
      <c r="GB135" s="112">
        <f t="shared" ref="GB135" si="377">GA135</f>
        <v>0</v>
      </c>
      <c r="GC135" s="112">
        <f t="shared" ref="GC135" si="378">GB135</f>
        <v>0</v>
      </c>
    </row>
    <row r="136" spans="1:185">
      <c r="A136" s="80"/>
      <c r="B136" t="s">
        <v>162</v>
      </c>
      <c r="C136" s="80"/>
      <c r="D136" s="80"/>
      <c r="E136" s="82">
        <f>SUM(F136:BM136)</f>
        <v>0</v>
      </c>
      <c r="F136" s="93">
        <f>F133*F135</f>
        <v>0</v>
      </c>
      <c r="G136" s="77">
        <f t="shared" ref="G136:BM136" si="379">G133*G135</f>
        <v>0</v>
      </c>
      <c r="H136" s="77">
        <f t="shared" si="379"/>
        <v>0</v>
      </c>
      <c r="I136" s="77">
        <f t="shared" si="379"/>
        <v>0</v>
      </c>
      <c r="J136" s="77">
        <f t="shared" si="379"/>
        <v>0</v>
      </c>
      <c r="K136" s="77">
        <f t="shared" si="379"/>
        <v>0</v>
      </c>
      <c r="L136" s="77">
        <f t="shared" si="379"/>
        <v>0</v>
      </c>
      <c r="M136" s="77">
        <f t="shared" si="379"/>
        <v>0</v>
      </c>
      <c r="N136" s="77">
        <f t="shared" si="379"/>
        <v>0</v>
      </c>
      <c r="O136" s="77">
        <f t="shared" si="379"/>
        <v>0</v>
      </c>
      <c r="P136" s="77">
        <f t="shared" si="379"/>
        <v>0</v>
      </c>
      <c r="Q136" s="77">
        <f t="shared" si="379"/>
        <v>0</v>
      </c>
      <c r="R136" s="77">
        <f t="shared" si="379"/>
        <v>0</v>
      </c>
      <c r="S136" s="77">
        <f t="shared" si="379"/>
        <v>0</v>
      </c>
      <c r="T136" s="77">
        <f t="shared" si="379"/>
        <v>0</v>
      </c>
      <c r="U136" s="77">
        <f t="shared" si="379"/>
        <v>0</v>
      </c>
      <c r="V136" s="77">
        <f t="shared" si="379"/>
        <v>0</v>
      </c>
      <c r="W136" s="77">
        <f t="shared" si="379"/>
        <v>0</v>
      </c>
      <c r="X136" s="77">
        <f t="shared" si="379"/>
        <v>0</v>
      </c>
      <c r="Y136" s="77">
        <f t="shared" si="379"/>
        <v>0</v>
      </c>
      <c r="Z136" s="77">
        <f t="shared" si="379"/>
        <v>0</v>
      </c>
      <c r="AA136" s="77">
        <f t="shared" si="379"/>
        <v>0</v>
      </c>
      <c r="AB136" s="77">
        <f t="shared" si="379"/>
        <v>0</v>
      </c>
      <c r="AC136" s="77">
        <f t="shared" si="379"/>
        <v>0</v>
      </c>
      <c r="AD136" s="77">
        <f t="shared" si="379"/>
        <v>0</v>
      </c>
      <c r="AE136" s="77">
        <f t="shared" si="379"/>
        <v>0</v>
      </c>
      <c r="AF136" s="77">
        <f t="shared" si="379"/>
        <v>0</v>
      </c>
      <c r="AG136" s="77">
        <f t="shared" si="379"/>
        <v>0</v>
      </c>
      <c r="AH136" s="77">
        <f t="shared" si="379"/>
        <v>0</v>
      </c>
      <c r="AI136" s="77">
        <f t="shared" si="379"/>
        <v>0</v>
      </c>
      <c r="AJ136" s="77">
        <f t="shared" si="379"/>
        <v>0</v>
      </c>
      <c r="AK136" s="77">
        <f t="shared" si="379"/>
        <v>0</v>
      </c>
      <c r="AL136" s="77">
        <f t="shared" si="379"/>
        <v>0</v>
      </c>
      <c r="AM136" s="77">
        <f t="shared" si="379"/>
        <v>0</v>
      </c>
      <c r="AN136" s="77">
        <f t="shared" si="379"/>
        <v>0</v>
      </c>
      <c r="AO136" s="77">
        <f t="shared" si="379"/>
        <v>0</v>
      </c>
      <c r="AP136" s="77">
        <f t="shared" si="379"/>
        <v>0</v>
      </c>
      <c r="AQ136" s="77">
        <f t="shared" si="379"/>
        <v>0</v>
      </c>
      <c r="AR136" s="77">
        <f t="shared" si="379"/>
        <v>0</v>
      </c>
      <c r="AS136" s="77">
        <f t="shared" si="379"/>
        <v>0</v>
      </c>
      <c r="AT136" s="77">
        <f t="shared" si="379"/>
        <v>0</v>
      </c>
      <c r="AU136" s="77">
        <f t="shared" si="379"/>
        <v>0</v>
      </c>
      <c r="AV136" s="77">
        <f t="shared" si="379"/>
        <v>0</v>
      </c>
      <c r="AW136" s="77">
        <f t="shared" si="379"/>
        <v>0</v>
      </c>
      <c r="AX136" s="77">
        <f t="shared" si="379"/>
        <v>0</v>
      </c>
      <c r="AY136" s="77">
        <f t="shared" si="379"/>
        <v>0</v>
      </c>
      <c r="AZ136" s="77">
        <f t="shared" si="379"/>
        <v>0</v>
      </c>
      <c r="BA136" s="77">
        <f t="shared" si="379"/>
        <v>0</v>
      </c>
      <c r="BB136" s="77">
        <f t="shared" si="379"/>
        <v>0</v>
      </c>
      <c r="BC136" s="77">
        <f t="shared" si="379"/>
        <v>0</v>
      </c>
      <c r="BD136" s="77">
        <f t="shared" si="379"/>
        <v>0</v>
      </c>
      <c r="BE136" s="77">
        <f t="shared" si="379"/>
        <v>0</v>
      </c>
      <c r="BF136" s="77">
        <f t="shared" si="379"/>
        <v>0</v>
      </c>
      <c r="BG136" s="77">
        <f t="shared" si="379"/>
        <v>0</v>
      </c>
      <c r="BH136" s="77">
        <f t="shared" si="379"/>
        <v>0</v>
      </c>
      <c r="BI136" s="77">
        <f t="shared" si="379"/>
        <v>0</v>
      </c>
      <c r="BJ136" s="77">
        <f t="shared" si="379"/>
        <v>0</v>
      </c>
      <c r="BK136" s="77">
        <f t="shared" si="379"/>
        <v>0</v>
      </c>
      <c r="BL136" s="77">
        <f t="shared" si="379"/>
        <v>0</v>
      </c>
      <c r="BM136" s="77">
        <f t="shared" si="379"/>
        <v>0</v>
      </c>
      <c r="BN136" s="77">
        <f t="shared" ref="BN136:DY136" si="380">BN133*BN135</f>
        <v>0</v>
      </c>
      <c r="BO136" s="77">
        <f t="shared" si="380"/>
        <v>0</v>
      </c>
      <c r="BP136" s="77">
        <f t="shared" si="380"/>
        <v>0</v>
      </c>
      <c r="BQ136" s="77">
        <f t="shared" si="380"/>
        <v>0</v>
      </c>
      <c r="BR136" s="77">
        <f t="shared" si="380"/>
        <v>0</v>
      </c>
      <c r="BS136" s="77">
        <f t="shared" si="380"/>
        <v>0</v>
      </c>
      <c r="BT136" s="77">
        <f t="shared" si="380"/>
        <v>0</v>
      </c>
      <c r="BU136" s="77">
        <f t="shared" si="380"/>
        <v>0</v>
      </c>
      <c r="BV136" s="77">
        <f t="shared" si="380"/>
        <v>0</v>
      </c>
      <c r="BW136" s="77">
        <f t="shared" si="380"/>
        <v>0</v>
      </c>
      <c r="BX136" s="77">
        <f t="shared" si="380"/>
        <v>0</v>
      </c>
      <c r="BY136" s="77">
        <f t="shared" si="380"/>
        <v>0</v>
      </c>
      <c r="BZ136" s="77">
        <f t="shared" si="380"/>
        <v>0</v>
      </c>
      <c r="CA136" s="77">
        <f t="shared" si="380"/>
        <v>0</v>
      </c>
      <c r="CB136" s="77">
        <f t="shared" si="380"/>
        <v>0</v>
      </c>
      <c r="CC136" s="77">
        <f t="shared" si="380"/>
        <v>0</v>
      </c>
      <c r="CD136" s="77">
        <f t="shared" si="380"/>
        <v>0</v>
      </c>
      <c r="CE136" s="77">
        <f t="shared" si="380"/>
        <v>0</v>
      </c>
      <c r="CF136" s="77">
        <f t="shared" si="380"/>
        <v>0</v>
      </c>
      <c r="CG136" s="77">
        <f t="shared" si="380"/>
        <v>0</v>
      </c>
      <c r="CH136" s="77">
        <f t="shared" si="380"/>
        <v>0</v>
      </c>
      <c r="CI136" s="77">
        <f t="shared" si="380"/>
        <v>0</v>
      </c>
      <c r="CJ136" s="77">
        <f t="shared" si="380"/>
        <v>0</v>
      </c>
      <c r="CK136" s="77">
        <f t="shared" si="380"/>
        <v>0</v>
      </c>
      <c r="CL136" s="77">
        <f t="shared" si="380"/>
        <v>0</v>
      </c>
      <c r="CM136" s="77">
        <f t="shared" si="380"/>
        <v>0</v>
      </c>
      <c r="CN136" s="77">
        <f t="shared" si="380"/>
        <v>0</v>
      </c>
      <c r="CO136" s="77">
        <f t="shared" si="380"/>
        <v>0</v>
      </c>
      <c r="CP136" s="77">
        <f t="shared" si="380"/>
        <v>0</v>
      </c>
      <c r="CQ136" s="77">
        <f t="shared" si="380"/>
        <v>0</v>
      </c>
      <c r="CR136" s="77">
        <f t="shared" si="380"/>
        <v>0</v>
      </c>
      <c r="CS136" s="77">
        <f t="shared" si="380"/>
        <v>0</v>
      </c>
      <c r="CT136" s="77">
        <f t="shared" si="380"/>
        <v>0</v>
      </c>
      <c r="CU136" s="77">
        <f t="shared" si="380"/>
        <v>0</v>
      </c>
      <c r="CV136" s="77">
        <f t="shared" si="380"/>
        <v>0</v>
      </c>
      <c r="CW136" s="77">
        <f t="shared" si="380"/>
        <v>0</v>
      </c>
      <c r="CX136" s="77">
        <f t="shared" si="380"/>
        <v>0</v>
      </c>
      <c r="CY136" s="77">
        <f t="shared" si="380"/>
        <v>0</v>
      </c>
      <c r="CZ136" s="77">
        <f t="shared" si="380"/>
        <v>0</v>
      </c>
      <c r="DA136" s="77">
        <f t="shared" si="380"/>
        <v>0</v>
      </c>
      <c r="DB136" s="77">
        <f t="shared" si="380"/>
        <v>0</v>
      </c>
      <c r="DC136" s="77">
        <f t="shared" si="380"/>
        <v>0</v>
      </c>
      <c r="DD136" s="77">
        <f t="shared" si="380"/>
        <v>0</v>
      </c>
      <c r="DE136" s="77">
        <f t="shared" si="380"/>
        <v>0</v>
      </c>
      <c r="DF136" s="77">
        <f t="shared" si="380"/>
        <v>0</v>
      </c>
      <c r="DG136" s="77">
        <f t="shared" si="380"/>
        <v>0</v>
      </c>
      <c r="DH136" s="77">
        <f t="shared" si="380"/>
        <v>0</v>
      </c>
      <c r="DI136" s="77">
        <f t="shared" si="380"/>
        <v>0</v>
      </c>
      <c r="DJ136" s="77">
        <f t="shared" si="380"/>
        <v>0</v>
      </c>
      <c r="DK136" s="77">
        <f t="shared" si="380"/>
        <v>0</v>
      </c>
      <c r="DL136" s="77">
        <f t="shared" si="380"/>
        <v>0</v>
      </c>
      <c r="DM136" s="77">
        <f t="shared" si="380"/>
        <v>0</v>
      </c>
      <c r="DN136" s="77">
        <f t="shared" si="380"/>
        <v>0</v>
      </c>
      <c r="DO136" s="77">
        <f t="shared" si="380"/>
        <v>0</v>
      </c>
      <c r="DP136" s="77">
        <f t="shared" si="380"/>
        <v>0</v>
      </c>
      <c r="DQ136" s="77">
        <f t="shared" si="380"/>
        <v>0</v>
      </c>
      <c r="DR136" s="77">
        <f t="shared" si="380"/>
        <v>0</v>
      </c>
      <c r="DS136" s="77">
        <f t="shared" si="380"/>
        <v>0</v>
      </c>
      <c r="DT136" s="77">
        <f t="shared" si="380"/>
        <v>0</v>
      </c>
      <c r="DU136" s="77">
        <f t="shared" si="380"/>
        <v>0</v>
      </c>
      <c r="DV136" s="77">
        <f t="shared" si="380"/>
        <v>0</v>
      </c>
      <c r="DW136" s="77">
        <f t="shared" si="380"/>
        <v>0</v>
      </c>
      <c r="DX136" s="77">
        <f t="shared" si="380"/>
        <v>0</v>
      </c>
      <c r="DY136" s="77">
        <f t="shared" si="380"/>
        <v>0</v>
      </c>
      <c r="DZ136" s="77">
        <f t="shared" ref="DZ136:GC136" si="381">DZ133*DZ135</f>
        <v>0</v>
      </c>
      <c r="EA136" s="77">
        <f t="shared" si="381"/>
        <v>0</v>
      </c>
      <c r="EB136" s="77">
        <f t="shared" si="381"/>
        <v>0</v>
      </c>
      <c r="EC136" s="77">
        <f t="shared" si="381"/>
        <v>0</v>
      </c>
      <c r="ED136" s="77">
        <f t="shared" si="381"/>
        <v>0</v>
      </c>
      <c r="EE136" s="77">
        <f t="shared" si="381"/>
        <v>0</v>
      </c>
      <c r="EF136" s="77">
        <f t="shared" si="381"/>
        <v>0</v>
      </c>
      <c r="EG136" s="77">
        <f t="shared" si="381"/>
        <v>0</v>
      </c>
      <c r="EH136" s="77">
        <f t="shared" si="381"/>
        <v>0</v>
      </c>
      <c r="EI136" s="77">
        <f t="shared" si="381"/>
        <v>0</v>
      </c>
      <c r="EJ136" s="77">
        <f t="shared" si="381"/>
        <v>0</v>
      </c>
      <c r="EK136" s="77">
        <f t="shared" si="381"/>
        <v>0</v>
      </c>
      <c r="EL136" s="77">
        <f t="shared" si="381"/>
        <v>0</v>
      </c>
      <c r="EM136" s="77">
        <f t="shared" si="381"/>
        <v>0</v>
      </c>
      <c r="EN136" s="77">
        <f t="shared" si="381"/>
        <v>0</v>
      </c>
      <c r="EO136" s="77">
        <f t="shared" si="381"/>
        <v>0</v>
      </c>
      <c r="EP136" s="77">
        <f t="shared" si="381"/>
        <v>0</v>
      </c>
      <c r="EQ136" s="77">
        <f t="shared" si="381"/>
        <v>0</v>
      </c>
      <c r="ER136" s="77">
        <f t="shared" si="381"/>
        <v>0</v>
      </c>
      <c r="ES136" s="77">
        <f t="shared" si="381"/>
        <v>0</v>
      </c>
      <c r="ET136" s="77">
        <f t="shared" si="381"/>
        <v>0</v>
      </c>
      <c r="EU136" s="77">
        <f t="shared" si="381"/>
        <v>0</v>
      </c>
      <c r="EV136" s="77">
        <f t="shared" si="381"/>
        <v>0</v>
      </c>
      <c r="EW136" s="77">
        <f t="shared" si="381"/>
        <v>0</v>
      </c>
      <c r="EX136" s="77">
        <f t="shared" si="381"/>
        <v>0</v>
      </c>
      <c r="EY136" s="77">
        <f t="shared" si="381"/>
        <v>0</v>
      </c>
      <c r="EZ136" s="77">
        <f t="shared" si="381"/>
        <v>0</v>
      </c>
      <c r="FA136" s="77">
        <f t="shared" si="381"/>
        <v>0</v>
      </c>
      <c r="FB136" s="77">
        <f t="shared" si="381"/>
        <v>0</v>
      </c>
      <c r="FC136" s="77">
        <f t="shared" si="381"/>
        <v>0</v>
      </c>
      <c r="FD136" s="77">
        <f t="shared" si="381"/>
        <v>0</v>
      </c>
      <c r="FE136" s="77">
        <f t="shared" si="381"/>
        <v>0</v>
      </c>
      <c r="FF136" s="77">
        <f t="shared" si="381"/>
        <v>0</v>
      </c>
      <c r="FG136" s="77">
        <f t="shared" si="381"/>
        <v>0</v>
      </c>
      <c r="FH136" s="77">
        <f t="shared" si="381"/>
        <v>0</v>
      </c>
      <c r="FI136" s="77">
        <f t="shared" si="381"/>
        <v>0</v>
      </c>
      <c r="FJ136" s="77">
        <f t="shared" si="381"/>
        <v>0</v>
      </c>
      <c r="FK136" s="77">
        <f t="shared" si="381"/>
        <v>0</v>
      </c>
      <c r="FL136" s="77">
        <f t="shared" si="381"/>
        <v>0</v>
      </c>
      <c r="FM136" s="77">
        <f t="shared" si="381"/>
        <v>0</v>
      </c>
      <c r="FN136" s="77">
        <f t="shared" si="381"/>
        <v>0</v>
      </c>
      <c r="FO136" s="77">
        <f t="shared" si="381"/>
        <v>0</v>
      </c>
      <c r="FP136" s="77">
        <f t="shared" si="381"/>
        <v>0</v>
      </c>
      <c r="FQ136" s="77">
        <f t="shared" si="381"/>
        <v>0</v>
      </c>
      <c r="FR136" s="77">
        <f t="shared" si="381"/>
        <v>0</v>
      </c>
      <c r="FS136" s="77">
        <f t="shared" si="381"/>
        <v>0</v>
      </c>
      <c r="FT136" s="77">
        <f t="shared" si="381"/>
        <v>0</v>
      </c>
      <c r="FU136" s="77">
        <f t="shared" si="381"/>
        <v>0</v>
      </c>
      <c r="FV136" s="77">
        <f t="shared" si="381"/>
        <v>0</v>
      </c>
      <c r="FW136" s="77">
        <f t="shared" si="381"/>
        <v>0</v>
      </c>
      <c r="FX136" s="77">
        <f t="shared" si="381"/>
        <v>0</v>
      </c>
      <c r="FY136" s="77">
        <f t="shared" si="381"/>
        <v>0</v>
      </c>
      <c r="FZ136" s="77">
        <f t="shared" si="381"/>
        <v>0</v>
      </c>
      <c r="GA136" s="77">
        <f t="shared" si="381"/>
        <v>0</v>
      </c>
      <c r="GB136" s="77">
        <f t="shared" si="381"/>
        <v>0</v>
      </c>
      <c r="GC136" s="77">
        <f t="shared" si="381"/>
        <v>0</v>
      </c>
    </row>
    <row r="137" spans="1:185">
      <c r="A137" s="80"/>
      <c r="B137" s="80"/>
      <c r="C137" s="80"/>
      <c r="D137" s="80"/>
      <c r="E137" s="82"/>
      <c r="F137" s="93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  <c r="CC137" s="77"/>
      <c r="CD137" s="77"/>
      <c r="CE137" s="77"/>
      <c r="CF137" s="77"/>
      <c r="CG137" s="77"/>
      <c r="CH137" s="77"/>
      <c r="CI137" s="77"/>
      <c r="CJ137" s="77"/>
      <c r="CK137" s="77"/>
      <c r="CL137" s="77"/>
      <c r="CM137" s="77"/>
      <c r="CN137" s="77"/>
      <c r="CO137" s="77"/>
      <c r="CP137" s="77"/>
      <c r="CQ137" s="77"/>
      <c r="CR137" s="77"/>
      <c r="CS137" s="77"/>
      <c r="CT137" s="77"/>
      <c r="CU137" s="77"/>
      <c r="CV137" s="77"/>
      <c r="CW137" s="77"/>
      <c r="CX137" s="77"/>
      <c r="CY137" s="77"/>
      <c r="CZ137" s="77"/>
      <c r="DA137" s="77"/>
      <c r="DB137" s="77"/>
      <c r="DC137" s="77"/>
      <c r="DD137" s="77"/>
      <c r="DE137" s="77"/>
      <c r="DF137" s="77"/>
      <c r="DG137" s="77"/>
      <c r="DH137" s="77"/>
      <c r="DI137" s="77"/>
      <c r="DJ137" s="77"/>
      <c r="DK137" s="77"/>
      <c r="DL137" s="77"/>
      <c r="DM137" s="77"/>
      <c r="DN137" s="77"/>
      <c r="DO137" s="77"/>
      <c r="DP137" s="77"/>
      <c r="DQ137" s="77"/>
      <c r="DR137" s="77"/>
      <c r="DS137" s="77"/>
      <c r="DT137" s="77"/>
      <c r="DU137" s="77"/>
      <c r="DV137" s="77"/>
      <c r="DW137" s="77"/>
      <c r="DX137" s="77"/>
      <c r="DY137" s="77"/>
      <c r="DZ137" s="77"/>
      <c r="EA137" s="77"/>
      <c r="EB137" s="77"/>
      <c r="EC137" s="77"/>
      <c r="ED137" s="77"/>
      <c r="EE137" s="77"/>
      <c r="EF137" s="77"/>
      <c r="EG137" s="77"/>
      <c r="EH137" s="77"/>
      <c r="EI137" s="77"/>
      <c r="EJ137" s="77"/>
      <c r="EK137" s="77"/>
      <c r="EL137" s="77"/>
      <c r="EM137" s="77"/>
      <c r="EN137" s="77"/>
      <c r="EO137" s="77"/>
      <c r="EP137" s="77"/>
      <c r="EQ137" s="77"/>
      <c r="ER137" s="77"/>
      <c r="ES137" s="77"/>
      <c r="ET137" s="77"/>
      <c r="EU137" s="77"/>
      <c r="EV137" s="77"/>
      <c r="EW137" s="77"/>
      <c r="EX137" s="77"/>
      <c r="EY137" s="77"/>
      <c r="EZ137" s="77"/>
      <c r="FA137" s="77"/>
      <c r="FB137" s="77"/>
      <c r="FC137" s="77"/>
      <c r="FD137" s="77"/>
      <c r="FE137" s="77"/>
      <c r="FF137" s="77"/>
      <c r="FG137" s="77"/>
      <c r="FH137" s="77"/>
      <c r="FI137" s="77"/>
      <c r="FJ137" s="77"/>
      <c r="FK137" s="77"/>
      <c r="FL137" s="77"/>
      <c r="FM137" s="77"/>
      <c r="FN137" s="77"/>
      <c r="FO137" s="77"/>
      <c r="FP137" s="77"/>
      <c r="FQ137" s="77"/>
      <c r="FR137" s="77"/>
      <c r="FS137" s="77"/>
      <c r="FT137" s="77"/>
      <c r="FU137" s="77"/>
      <c r="FV137" s="77"/>
      <c r="FW137" s="77"/>
      <c r="FX137" s="77"/>
      <c r="FY137" s="77"/>
      <c r="FZ137" s="77"/>
      <c r="GA137" s="77"/>
      <c r="GB137" s="77"/>
      <c r="GC137" s="77"/>
    </row>
    <row r="138" spans="1:185">
      <c r="A138" s="80"/>
      <c r="B138" s="10" t="s">
        <v>163</v>
      </c>
      <c r="C138" s="80"/>
      <c r="D138" s="80"/>
      <c r="E138" s="82"/>
      <c r="F138" s="93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  <c r="CC138" s="77"/>
      <c r="CD138" s="77"/>
      <c r="CE138" s="77"/>
      <c r="CF138" s="77"/>
      <c r="CG138" s="77"/>
      <c r="CH138" s="77"/>
      <c r="CI138" s="77"/>
      <c r="CJ138" s="77"/>
      <c r="CK138" s="77"/>
      <c r="CL138" s="77"/>
      <c r="CM138" s="77"/>
      <c r="CN138" s="77"/>
      <c r="CO138" s="77"/>
      <c r="CP138" s="77"/>
      <c r="CQ138" s="77"/>
      <c r="CR138" s="77"/>
      <c r="CS138" s="77"/>
      <c r="CT138" s="77"/>
      <c r="CU138" s="77"/>
      <c r="CV138" s="77"/>
      <c r="CW138" s="77"/>
      <c r="CX138" s="77"/>
      <c r="CY138" s="77"/>
      <c r="CZ138" s="77"/>
      <c r="DA138" s="77"/>
      <c r="DB138" s="77"/>
      <c r="DC138" s="77"/>
      <c r="DD138" s="77"/>
      <c r="DE138" s="77"/>
      <c r="DF138" s="77"/>
      <c r="DG138" s="77"/>
      <c r="DH138" s="77"/>
      <c r="DI138" s="77"/>
      <c r="DJ138" s="77"/>
      <c r="DK138" s="77"/>
      <c r="DL138" s="77"/>
      <c r="DM138" s="77"/>
      <c r="DN138" s="77"/>
      <c r="DO138" s="77"/>
      <c r="DP138" s="77"/>
      <c r="DQ138" s="77"/>
      <c r="DR138" s="77"/>
      <c r="DS138" s="77"/>
      <c r="DT138" s="77"/>
      <c r="DU138" s="77"/>
      <c r="DV138" s="77"/>
      <c r="DW138" s="77"/>
      <c r="DX138" s="77"/>
      <c r="DY138" s="77"/>
      <c r="DZ138" s="77"/>
      <c r="EA138" s="77"/>
      <c r="EB138" s="77"/>
      <c r="EC138" s="77"/>
      <c r="ED138" s="77"/>
      <c r="EE138" s="77"/>
      <c r="EF138" s="77"/>
      <c r="EG138" s="77"/>
      <c r="EH138" s="77"/>
      <c r="EI138" s="77"/>
      <c r="EJ138" s="77"/>
      <c r="EK138" s="77"/>
      <c r="EL138" s="77"/>
      <c r="EM138" s="77"/>
      <c r="EN138" s="77"/>
      <c r="EO138" s="77"/>
      <c r="EP138" s="77"/>
      <c r="EQ138" s="77"/>
      <c r="ER138" s="77"/>
      <c r="ES138" s="77"/>
      <c r="ET138" s="77"/>
      <c r="EU138" s="77"/>
      <c r="EV138" s="77"/>
      <c r="EW138" s="77"/>
      <c r="EX138" s="77"/>
      <c r="EY138" s="77"/>
      <c r="EZ138" s="77"/>
      <c r="FA138" s="77"/>
      <c r="FB138" s="77"/>
      <c r="FC138" s="77"/>
      <c r="FD138" s="77"/>
      <c r="FE138" s="77"/>
      <c r="FF138" s="77"/>
      <c r="FG138" s="77"/>
      <c r="FH138" s="77"/>
      <c r="FI138" s="77"/>
      <c r="FJ138" s="77"/>
      <c r="FK138" s="77"/>
      <c r="FL138" s="77"/>
      <c r="FM138" s="77"/>
      <c r="FN138" s="77"/>
      <c r="FO138" s="77"/>
      <c r="FP138" s="77"/>
      <c r="FQ138" s="77"/>
      <c r="FR138" s="77"/>
      <c r="FS138" s="77"/>
      <c r="FT138" s="77"/>
      <c r="FU138" s="77"/>
      <c r="FV138" s="77"/>
      <c r="FW138" s="77"/>
      <c r="FX138" s="77"/>
      <c r="FY138" s="77"/>
      <c r="FZ138" s="77"/>
      <c r="GA138" s="77"/>
      <c r="GB138" s="77"/>
      <c r="GC138" s="77"/>
    </row>
    <row r="139" spans="1:185">
      <c r="A139" s="80"/>
      <c r="B139" s="80" t="s">
        <v>164</v>
      </c>
      <c r="C139" s="80"/>
      <c r="D139" s="80"/>
      <c r="E139" s="82"/>
      <c r="F139" s="114">
        <f>Assumptions!D53</f>
        <v>0.45</v>
      </c>
      <c r="G139" s="115">
        <f>F139</f>
        <v>0.45</v>
      </c>
      <c r="H139" s="115">
        <f t="shared" ref="H139:W141" si="382">G139</f>
        <v>0.45</v>
      </c>
      <c r="I139" s="115">
        <f t="shared" si="382"/>
        <v>0.45</v>
      </c>
      <c r="J139" s="115">
        <f t="shared" si="382"/>
        <v>0.45</v>
      </c>
      <c r="K139" s="115">
        <f t="shared" si="382"/>
        <v>0.45</v>
      </c>
      <c r="L139" s="115">
        <f t="shared" si="382"/>
        <v>0.45</v>
      </c>
      <c r="M139" s="115">
        <f t="shared" si="382"/>
        <v>0.45</v>
      </c>
      <c r="N139" s="115">
        <f t="shared" si="382"/>
        <v>0.45</v>
      </c>
      <c r="O139" s="115">
        <f t="shared" si="382"/>
        <v>0.45</v>
      </c>
      <c r="P139" s="115">
        <f t="shared" si="382"/>
        <v>0.45</v>
      </c>
      <c r="Q139" s="115">
        <f t="shared" si="382"/>
        <v>0.45</v>
      </c>
      <c r="R139" s="115">
        <f t="shared" si="382"/>
        <v>0.45</v>
      </c>
      <c r="S139" s="115">
        <f t="shared" si="382"/>
        <v>0.45</v>
      </c>
      <c r="T139" s="115">
        <f t="shared" si="382"/>
        <v>0.45</v>
      </c>
      <c r="U139" s="115">
        <f t="shared" si="382"/>
        <v>0.45</v>
      </c>
      <c r="V139" s="115">
        <f t="shared" si="382"/>
        <v>0.45</v>
      </c>
      <c r="W139" s="115">
        <f t="shared" si="382"/>
        <v>0.45</v>
      </c>
      <c r="X139" s="115">
        <f t="shared" ref="X139:AM141" si="383">W139</f>
        <v>0.45</v>
      </c>
      <c r="Y139" s="115">
        <f t="shared" si="383"/>
        <v>0.45</v>
      </c>
      <c r="Z139" s="115">
        <f t="shared" si="383"/>
        <v>0.45</v>
      </c>
      <c r="AA139" s="115">
        <f t="shared" si="383"/>
        <v>0.45</v>
      </c>
      <c r="AB139" s="115">
        <f t="shared" si="383"/>
        <v>0.45</v>
      </c>
      <c r="AC139" s="115">
        <f t="shared" si="383"/>
        <v>0.45</v>
      </c>
      <c r="AD139" s="115">
        <f t="shared" si="383"/>
        <v>0.45</v>
      </c>
      <c r="AE139" s="115">
        <f t="shared" si="383"/>
        <v>0.45</v>
      </c>
      <c r="AF139" s="115">
        <f t="shared" si="383"/>
        <v>0.45</v>
      </c>
      <c r="AG139" s="115">
        <f t="shared" si="383"/>
        <v>0.45</v>
      </c>
      <c r="AH139" s="115">
        <f t="shared" si="383"/>
        <v>0.45</v>
      </c>
      <c r="AI139" s="115">
        <f t="shared" si="383"/>
        <v>0.45</v>
      </c>
      <c r="AJ139" s="115">
        <f t="shared" si="383"/>
        <v>0.45</v>
      </c>
      <c r="AK139" s="115">
        <f t="shared" si="383"/>
        <v>0.45</v>
      </c>
      <c r="AL139" s="115">
        <f t="shared" si="383"/>
        <v>0.45</v>
      </c>
      <c r="AM139" s="115">
        <f t="shared" si="383"/>
        <v>0.45</v>
      </c>
      <c r="AN139" s="115">
        <f t="shared" ref="AN139:BC141" si="384">AM139</f>
        <v>0.45</v>
      </c>
      <c r="AO139" s="115">
        <f t="shared" si="384"/>
        <v>0.45</v>
      </c>
      <c r="AP139" s="115">
        <f t="shared" si="384"/>
        <v>0.45</v>
      </c>
      <c r="AQ139" s="115">
        <f t="shared" si="384"/>
        <v>0.45</v>
      </c>
      <c r="AR139" s="115">
        <f t="shared" si="384"/>
        <v>0.45</v>
      </c>
      <c r="AS139" s="115">
        <f t="shared" si="384"/>
        <v>0.45</v>
      </c>
      <c r="AT139" s="115">
        <f t="shared" si="384"/>
        <v>0.45</v>
      </c>
      <c r="AU139" s="115">
        <f t="shared" si="384"/>
        <v>0.45</v>
      </c>
      <c r="AV139" s="115">
        <f t="shared" si="384"/>
        <v>0.45</v>
      </c>
      <c r="AW139" s="115">
        <f t="shared" si="384"/>
        <v>0.45</v>
      </c>
      <c r="AX139" s="115">
        <f t="shared" si="384"/>
        <v>0.45</v>
      </c>
      <c r="AY139" s="115">
        <f t="shared" si="384"/>
        <v>0.45</v>
      </c>
      <c r="AZ139" s="115">
        <f t="shared" si="384"/>
        <v>0.45</v>
      </c>
      <c r="BA139" s="115">
        <f t="shared" si="384"/>
        <v>0.45</v>
      </c>
      <c r="BB139" s="115">
        <f t="shared" si="384"/>
        <v>0.45</v>
      </c>
      <c r="BC139" s="115">
        <f t="shared" si="384"/>
        <v>0.45</v>
      </c>
      <c r="BD139" s="115">
        <f t="shared" ref="BD139:BM141" si="385">BC139</f>
        <v>0.45</v>
      </c>
      <c r="BE139" s="115">
        <f t="shared" si="385"/>
        <v>0.45</v>
      </c>
      <c r="BF139" s="115">
        <f t="shared" si="385"/>
        <v>0.45</v>
      </c>
      <c r="BG139" s="115">
        <f t="shared" si="385"/>
        <v>0.45</v>
      </c>
      <c r="BH139" s="115">
        <f t="shared" si="385"/>
        <v>0.45</v>
      </c>
      <c r="BI139" s="115">
        <f t="shared" si="385"/>
        <v>0.45</v>
      </c>
      <c r="BJ139" s="115">
        <f t="shared" si="385"/>
        <v>0.45</v>
      </c>
      <c r="BK139" s="115">
        <f t="shared" si="385"/>
        <v>0.45</v>
      </c>
      <c r="BL139" s="115">
        <f t="shared" si="385"/>
        <v>0.45</v>
      </c>
      <c r="BM139" s="115">
        <f t="shared" si="385"/>
        <v>0.45</v>
      </c>
      <c r="BN139" s="115">
        <f t="shared" ref="BN139:BN141" si="386">BM139</f>
        <v>0.45</v>
      </c>
      <c r="BO139" s="115">
        <f t="shared" ref="BO139:BO141" si="387">BN139</f>
        <v>0.45</v>
      </c>
      <c r="BP139" s="115">
        <f t="shared" ref="BP139:BP141" si="388">BO139</f>
        <v>0.45</v>
      </c>
      <c r="BQ139" s="115">
        <f t="shared" ref="BQ139:BQ141" si="389">BP139</f>
        <v>0.45</v>
      </c>
      <c r="BR139" s="115">
        <f t="shared" ref="BR139:BR141" si="390">BQ139</f>
        <v>0.45</v>
      </c>
      <c r="BS139" s="115">
        <f t="shared" ref="BS139:BS141" si="391">BR139</f>
        <v>0.45</v>
      </c>
      <c r="BT139" s="115">
        <f t="shared" ref="BT139:BT141" si="392">BS139</f>
        <v>0.45</v>
      </c>
      <c r="BU139" s="115">
        <f t="shared" ref="BU139:BU141" si="393">BT139</f>
        <v>0.45</v>
      </c>
      <c r="BV139" s="115">
        <f t="shared" ref="BV139:BV141" si="394">BU139</f>
        <v>0.45</v>
      </c>
      <c r="BW139" s="115">
        <f t="shared" ref="BW139:BW141" si="395">BV139</f>
        <v>0.45</v>
      </c>
      <c r="BX139" s="115">
        <f t="shared" ref="BX139:BX141" si="396">BW139</f>
        <v>0.45</v>
      </c>
      <c r="BY139" s="115">
        <f t="shared" ref="BY139:BY141" si="397">BX139</f>
        <v>0.45</v>
      </c>
      <c r="BZ139" s="115">
        <f t="shared" ref="BZ139:BZ141" si="398">BY139</f>
        <v>0.45</v>
      </c>
      <c r="CA139" s="115">
        <f t="shared" ref="CA139:CA141" si="399">BZ139</f>
        <v>0.45</v>
      </c>
      <c r="CB139" s="115">
        <f t="shared" ref="CB139:CB141" si="400">CA139</f>
        <v>0.45</v>
      </c>
      <c r="CC139" s="115">
        <f t="shared" ref="CC139:CC141" si="401">CB139</f>
        <v>0.45</v>
      </c>
      <c r="CD139" s="115">
        <f t="shared" ref="CD139:CD141" si="402">CC139</f>
        <v>0.45</v>
      </c>
      <c r="CE139" s="115">
        <f t="shared" ref="CE139:CE141" si="403">CD139</f>
        <v>0.45</v>
      </c>
      <c r="CF139" s="115">
        <f t="shared" ref="CF139:CF141" si="404">CE139</f>
        <v>0.45</v>
      </c>
      <c r="CG139" s="115">
        <f t="shared" ref="CG139:CG141" si="405">CF139</f>
        <v>0.45</v>
      </c>
      <c r="CH139" s="115">
        <f t="shared" ref="CH139:CH141" si="406">CG139</f>
        <v>0.45</v>
      </c>
      <c r="CI139" s="115">
        <f t="shared" ref="CI139:CI141" si="407">CH139</f>
        <v>0.45</v>
      </c>
      <c r="CJ139" s="115">
        <f t="shared" ref="CJ139:CJ141" si="408">CI139</f>
        <v>0.45</v>
      </c>
      <c r="CK139" s="115">
        <f t="shared" ref="CK139:CK141" si="409">CJ139</f>
        <v>0.45</v>
      </c>
      <c r="CL139" s="115">
        <f t="shared" ref="CL139:CL141" si="410">CK139</f>
        <v>0.45</v>
      </c>
      <c r="CM139" s="115">
        <f t="shared" ref="CM139:CM141" si="411">CL139</f>
        <v>0.45</v>
      </c>
      <c r="CN139" s="115">
        <f t="shared" ref="CN139:CN141" si="412">CM139</f>
        <v>0.45</v>
      </c>
      <c r="CO139" s="115">
        <f t="shared" ref="CO139:CO141" si="413">CN139</f>
        <v>0.45</v>
      </c>
      <c r="CP139" s="115">
        <f t="shared" ref="CP139:CP141" si="414">CO139</f>
        <v>0.45</v>
      </c>
      <c r="CQ139" s="115">
        <f t="shared" ref="CQ139:CQ141" si="415">CP139</f>
        <v>0.45</v>
      </c>
      <c r="CR139" s="115">
        <f t="shared" ref="CR139:CR141" si="416">CQ139</f>
        <v>0.45</v>
      </c>
      <c r="CS139" s="115">
        <f t="shared" ref="CS139:CS141" si="417">CR139</f>
        <v>0.45</v>
      </c>
      <c r="CT139" s="115">
        <f t="shared" ref="CT139:CT141" si="418">CS139</f>
        <v>0.45</v>
      </c>
      <c r="CU139" s="115">
        <f t="shared" ref="CU139:CU141" si="419">CT139</f>
        <v>0.45</v>
      </c>
      <c r="CV139" s="115">
        <f t="shared" ref="CV139:CV141" si="420">CU139</f>
        <v>0.45</v>
      </c>
      <c r="CW139" s="115">
        <f t="shared" ref="CW139:CW141" si="421">CV139</f>
        <v>0.45</v>
      </c>
      <c r="CX139" s="115">
        <f t="shared" ref="CX139:CX141" si="422">CW139</f>
        <v>0.45</v>
      </c>
      <c r="CY139" s="115">
        <f t="shared" ref="CY139:CY141" si="423">CX139</f>
        <v>0.45</v>
      </c>
      <c r="CZ139" s="115">
        <f t="shared" ref="CZ139:CZ141" si="424">CY139</f>
        <v>0.45</v>
      </c>
      <c r="DA139" s="115">
        <f t="shared" ref="DA139:DA141" si="425">CZ139</f>
        <v>0.45</v>
      </c>
      <c r="DB139" s="115">
        <f t="shared" ref="DB139:DB141" si="426">DA139</f>
        <v>0.45</v>
      </c>
      <c r="DC139" s="115">
        <f t="shared" ref="DC139:DC141" si="427">DB139</f>
        <v>0.45</v>
      </c>
      <c r="DD139" s="115">
        <f t="shared" ref="DD139:DD141" si="428">DC139</f>
        <v>0.45</v>
      </c>
      <c r="DE139" s="115">
        <f t="shared" ref="DE139:DE141" si="429">DD139</f>
        <v>0.45</v>
      </c>
      <c r="DF139" s="115">
        <f t="shared" ref="DF139:DF141" si="430">DE139</f>
        <v>0.45</v>
      </c>
      <c r="DG139" s="115">
        <f t="shared" ref="DG139:DG141" si="431">DF139</f>
        <v>0.45</v>
      </c>
      <c r="DH139" s="115">
        <f t="shared" ref="DH139:DH141" si="432">DG139</f>
        <v>0.45</v>
      </c>
      <c r="DI139" s="115">
        <f t="shared" ref="DI139:DI141" si="433">DH139</f>
        <v>0.45</v>
      </c>
      <c r="DJ139" s="115">
        <f t="shared" ref="DJ139:DJ141" si="434">DI139</f>
        <v>0.45</v>
      </c>
      <c r="DK139" s="115">
        <f t="shared" ref="DK139:DK141" si="435">DJ139</f>
        <v>0.45</v>
      </c>
      <c r="DL139" s="115">
        <f t="shared" ref="DL139:DL141" si="436">DK139</f>
        <v>0.45</v>
      </c>
      <c r="DM139" s="115">
        <f t="shared" ref="DM139:DM141" si="437">DL139</f>
        <v>0.45</v>
      </c>
      <c r="DN139" s="115">
        <f t="shared" ref="DN139:DN141" si="438">DM139</f>
        <v>0.45</v>
      </c>
      <c r="DO139" s="115">
        <f t="shared" ref="DO139:DO141" si="439">DN139</f>
        <v>0.45</v>
      </c>
      <c r="DP139" s="115">
        <f t="shared" ref="DP139:DP141" si="440">DO139</f>
        <v>0.45</v>
      </c>
      <c r="DQ139" s="115">
        <f t="shared" ref="DQ139:DQ141" si="441">DP139</f>
        <v>0.45</v>
      </c>
      <c r="DR139" s="115">
        <f t="shared" ref="DR139:DR141" si="442">DQ139</f>
        <v>0.45</v>
      </c>
      <c r="DS139" s="115">
        <f t="shared" ref="DS139:DS141" si="443">DR139</f>
        <v>0.45</v>
      </c>
      <c r="DT139" s="115">
        <f t="shared" ref="DT139:DT141" si="444">DS139</f>
        <v>0.45</v>
      </c>
      <c r="DU139" s="115">
        <f t="shared" ref="DU139:DU141" si="445">DT139</f>
        <v>0.45</v>
      </c>
      <c r="DV139" s="115">
        <f t="shared" ref="DV139:DV141" si="446">DU139</f>
        <v>0.45</v>
      </c>
      <c r="DW139" s="115">
        <f t="shared" ref="DW139:DW141" si="447">DV139</f>
        <v>0.45</v>
      </c>
      <c r="DX139" s="115">
        <f t="shared" ref="DX139:DX141" si="448">DW139</f>
        <v>0.45</v>
      </c>
      <c r="DY139" s="115">
        <f t="shared" ref="DY139:DY141" si="449">DX139</f>
        <v>0.45</v>
      </c>
      <c r="DZ139" s="115">
        <f t="shared" ref="DZ139:DZ141" si="450">DY139</f>
        <v>0.45</v>
      </c>
      <c r="EA139" s="115">
        <f t="shared" ref="EA139:EA141" si="451">DZ139</f>
        <v>0.45</v>
      </c>
      <c r="EB139" s="115">
        <f t="shared" ref="EB139:EB141" si="452">EA139</f>
        <v>0.45</v>
      </c>
      <c r="EC139" s="115">
        <f t="shared" ref="EC139:EC141" si="453">EB139</f>
        <v>0.45</v>
      </c>
      <c r="ED139" s="115">
        <f t="shared" ref="ED139:ED141" si="454">EC139</f>
        <v>0.45</v>
      </c>
      <c r="EE139" s="115">
        <f t="shared" ref="EE139:EE141" si="455">ED139</f>
        <v>0.45</v>
      </c>
      <c r="EF139" s="115">
        <f t="shared" ref="EF139:EF141" si="456">EE139</f>
        <v>0.45</v>
      </c>
      <c r="EG139" s="115">
        <f t="shared" ref="EG139:EG141" si="457">EF139</f>
        <v>0.45</v>
      </c>
      <c r="EH139" s="115">
        <f t="shared" ref="EH139:EH141" si="458">EG139</f>
        <v>0.45</v>
      </c>
      <c r="EI139" s="115">
        <f t="shared" ref="EI139:EI141" si="459">EH139</f>
        <v>0.45</v>
      </c>
      <c r="EJ139" s="115">
        <f t="shared" ref="EJ139:EJ141" si="460">EI139</f>
        <v>0.45</v>
      </c>
      <c r="EK139" s="115">
        <f t="shared" ref="EK139:EK141" si="461">EJ139</f>
        <v>0.45</v>
      </c>
      <c r="EL139" s="115">
        <f t="shared" ref="EL139:EL141" si="462">EK139</f>
        <v>0.45</v>
      </c>
      <c r="EM139" s="115">
        <f t="shared" ref="EM139:EM141" si="463">EL139</f>
        <v>0.45</v>
      </c>
      <c r="EN139" s="115">
        <f t="shared" ref="EN139:EN141" si="464">EM139</f>
        <v>0.45</v>
      </c>
      <c r="EO139" s="115">
        <f t="shared" ref="EO139:EO141" si="465">EN139</f>
        <v>0.45</v>
      </c>
      <c r="EP139" s="115">
        <f t="shared" ref="EP139:EP141" si="466">EO139</f>
        <v>0.45</v>
      </c>
      <c r="EQ139" s="115">
        <f t="shared" ref="EQ139:EQ141" si="467">EP139</f>
        <v>0.45</v>
      </c>
      <c r="ER139" s="115">
        <f t="shared" ref="ER139:ER141" si="468">EQ139</f>
        <v>0.45</v>
      </c>
      <c r="ES139" s="115">
        <f t="shared" ref="ES139:ES141" si="469">ER139</f>
        <v>0.45</v>
      </c>
      <c r="ET139" s="115">
        <f t="shared" ref="ET139:ET141" si="470">ES139</f>
        <v>0.45</v>
      </c>
      <c r="EU139" s="115">
        <f t="shared" ref="EU139:EU141" si="471">ET139</f>
        <v>0.45</v>
      </c>
      <c r="EV139" s="115">
        <f t="shared" ref="EV139:EV141" si="472">EU139</f>
        <v>0.45</v>
      </c>
      <c r="EW139" s="115">
        <f t="shared" ref="EW139:EW141" si="473">EV139</f>
        <v>0.45</v>
      </c>
      <c r="EX139" s="115">
        <f t="shared" ref="EX139:EX141" si="474">EW139</f>
        <v>0.45</v>
      </c>
      <c r="EY139" s="115">
        <f t="shared" ref="EY139:EY141" si="475">EX139</f>
        <v>0.45</v>
      </c>
      <c r="EZ139" s="115">
        <f t="shared" ref="EZ139:EZ141" si="476">EY139</f>
        <v>0.45</v>
      </c>
      <c r="FA139" s="115">
        <f t="shared" ref="FA139:FA141" si="477">EZ139</f>
        <v>0.45</v>
      </c>
      <c r="FB139" s="115">
        <f t="shared" ref="FB139:FB141" si="478">FA139</f>
        <v>0.45</v>
      </c>
      <c r="FC139" s="115">
        <f t="shared" ref="FC139:FC141" si="479">FB139</f>
        <v>0.45</v>
      </c>
      <c r="FD139" s="115">
        <f t="shared" ref="FD139:FD141" si="480">FC139</f>
        <v>0.45</v>
      </c>
      <c r="FE139" s="115">
        <f t="shared" ref="FE139:FE141" si="481">FD139</f>
        <v>0.45</v>
      </c>
      <c r="FF139" s="115">
        <f t="shared" ref="FF139:FF141" si="482">FE139</f>
        <v>0.45</v>
      </c>
      <c r="FG139" s="115">
        <f t="shared" ref="FG139:FG141" si="483">FF139</f>
        <v>0.45</v>
      </c>
      <c r="FH139" s="115">
        <f t="shared" ref="FH139:FH141" si="484">FG139</f>
        <v>0.45</v>
      </c>
      <c r="FI139" s="115">
        <f t="shared" ref="FI139:FI141" si="485">FH139</f>
        <v>0.45</v>
      </c>
      <c r="FJ139" s="115">
        <f t="shared" ref="FJ139:FJ141" si="486">FI139</f>
        <v>0.45</v>
      </c>
      <c r="FK139" s="115">
        <f t="shared" ref="FK139:FK141" si="487">FJ139</f>
        <v>0.45</v>
      </c>
      <c r="FL139" s="115">
        <f t="shared" ref="FL139:FL141" si="488">FK139</f>
        <v>0.45</v>
      </c>
      <c r="FM139" s="115">
        <f t="shared" ref="FM139:FM141" si="489">FL139</f>
        <v>0.45</v>
      </c>
      <c r="FN139" s="115">
        <f t="shared" ref="FN139:FN141" si="490">FM139</f>
        <v>0.45</v>
      </c>
      <c r="FO139" s="115">
        <f t="shared" ref="FO139:FO141" si="491">FN139</f>
        <v>0.45</v>
      </c>
      <c r="FP139" s="115">
        <f t="shared" ref="FP139:FP141" si="492">FO139</f>
        <v>0.45</v>
      </c>
      <c r="FQ139" s="115">
        <f t="shared" ref="FQ139:FQ141" si="493">FP139</f>
        <v>0.45</v>
      </c>
      <c r="FR139" s="115">
        <f t="shared" ref="FR139:FR141" si="494">FQ139</f>
        <v>0.45</v>
      </c>
      <c r="FS139" s="115">
        <f t="shared" ref="FS139:FS141" si="495">FR139</f>
        <v>0.45</v>
      </c>
      <c r="FT139" s="115">
        <f t="shared" ref="FT139:FT141" si="496">FS139</f>
        <v>0.45</v>
      </c>
      <c r="FU139" s="115">
        <f t="shared" ref="FU139:FU141" si="497">FT139</f>
        <v>0.45</v>
      </c>
      <c r="FV139" s="115">
        <f t="shared" ref="FV139:FV141" si="498">FU139</f>
        <v>0.45</v>
      </c>
      <c r="FW139" s="115">
        <f t="shared" ref="FW139:FW141" si="499">FV139</f>
        <v>0.45</v>
      </c>
      <c r="FX139" s="115">
        <f t="shared" ref="FX139:FX141" si="500">FW139</f>
        <v>0.45</v>
      </c>
      <c r="FY139" s="115">
        <f t="shared" ref="FY139:FY141" si="501">FX139</f>
        <v>0.45</v>
      </c>
      <c r="FZ139" s="115">
        <f t="shared" ref="FZ139:FZ141" si="502">FY139</f>
        <v>0.45</v>
      </c>
      <c r="GA139" s="115">
        <f t="shared" ref="GA139:GA141" si="503">FZ139</f>
        <v>0.45</v>
      </c>
      <c r="GB139" s="115">
        <f t="shared" ref="GB139:GB141" si="504">GA139</f>
        <v>0.45</v>
      </c>
      <c r="GC139" s="115">
        <f t="shared" ref="GC139:GC141" si="505">GB139</f>
        <v>0.45</v>
      </c>
    </row>
    <row r="140" spans="1:185">
      <c r="A140" s="80"/>
      <c r="B140" s="80" t="s">
        <v>165</v>
      </c>
      <c r="C140" s="80"/>
      <c r="D140" s="80"/>
      <c r="E140" s="82"/>
      <c r="F140" s="114">
        <f>Assumptions!D54</f>
        <v>0.45000000000000007</v>
      </c>
      <c r="G140" s="115">
        <f>F140</f>
        <v>0.45000000000000007</v>
      </c>
      <c r="H140" s="115">
        <f t="shared" si="382"/>
        <v>0.45000000000000007</v>
      </c>
      <c r="I140" s="115">
        <f t="shared" si="382"/>
        <v>0.45000000000000007</v>
      </c>
      <c r="J140" s="115">
        <f t="shared" si="382"/>
        <v>0.45000000000000007</v>
      </c>
      <c r="K140" s="115">
        <f t="shared" si="382"/>
        <v>0.45000000000000007</v>
      </c>
      <c r="L140" s="115">
        <f t="shared" si="382"/>
        <v>0.45000000000000007</v>
      </c>
      <c r="M140" s="115">
        <f t="shared" si="382"/>
        <v>0.45000000000000007</v>
      </c>
      <c r="N140" s="115">
        <f t="shared" si="382"/>
        <v>0.45000000000000007</v>
      </c>
      <c r="O140" s="115">
        <f t="shared" si="382"/>
        <v>0.45000000000000007</v>
      </c>
      <c r="P140" s="115">
        <f t="shared" si="382"/>
        <v>0.45000000000000007</v>
      </c>
      <c r="Q140" s="115">
        <f t="shared" si="382"/>
        <v>0.45000000000000007</v>
      </c>
      <c r="R140" s="115">
        <f t="shared" si="382"/>
        <v>0.45000000000000007</v>
      </c>
      <c r="S140" s="115">
        <f t="shared" si="382"/>
        <v>0.45000000000000007</v>
      </c>
      <c r="T140" s="115">
        <f t="shared" si="382"/>
        <v>0.45000000000000007</v>
      </c>
      <c r="U140" s="115">
        <f t="shared" si="382"/>
        <v>0.45000000000000007</v>
      </c>
      <c r="V140" s="115">
        <f t="shared" si="382"/>
        <v>0.45000000000000007</v>
      </c>
      <c r="W140" s="115">
        <f t="shared" si="382"/>
        <v>0.45000000000000007</v>
      </c>
      <c r="X140" s="115">
        <f t="shared" si="383"/>
        <v>0.45000000000000007</v>
      </c>
      <c r="Y140" s="115">
        <f t="shared" si="383"/>
        <v>0.45000000000000007</v>
      </c>
      <c r="Z140" s="115">
        <f t="shared" si="383"/>
        <v>0.45000000000000007</v>
      </c>
      <c r="AA140" s="115">
        <f t="shared" si="383"/>
        <v>0.45000000000000007</v>
      </c>
      <c r="AB140" s="115">
        <f t="shared" si="383"/>
        <v>0.45000000000000007</v>
      </c>
      <c r="AC140" s="115">
        <f t="shared" si="383"/>
        <v>0.45000000000000007</v>
      </c>
      <c r="AD140" s="115">
        <f t="shared" si="383"/>
        <v>0.45000000000000007</v>
      </c>
      <c r="AE140" s="115">
        <f t="shared" si="383"/>
        <v>0.45000000000000007</v>
      </c>
      <c r="AF140" s="115">
        <f t="shared" si="383"/>
        <v>0.45000000000000007</v>
      </c>
      <c r="AG140" s="115">
        <f t="shared" si="383"/>
        <v>0.45000000000000007</v>
      </c>
      <c r="AH140" s="115">
        <f t="shared" si="383"/>
        <v>0.45000000000000007</v>
      </c>
      <c r="AI140" s="115">
        <f t="shared" si="383"/>
        <v>0.45000000000000007</v>
      </c>
      <c r="AJ140" s="115">
        <f t="shared" si="383"/>
        <v>0.45000000000000007</v>
      </c>
      <c r="AK140" s="115">
        <f t="shared" si="383"/>
        <v>0.45000000000000007</v>
      </c>
      <c r="AL140" s="115">
        <f t="shared" si="383"/>
        <v>0.45000000000000007</v>
      </c>
      <c r="AM140" s="115">
        <f t="shared" si="383"/>
        <v>0.45000000000000007</v>
      </c>
      <c r="AN140" s="115">
        <f t="shared" si="384"/>
        <v>0.45000000000000007</v>
      </c>
      <c r="AO140" s="115">
        <f t="shared" si="384"/>
        <v>0.45000000000000007</v>
      </c>
      <c r="AP140" s="115">
        <f t="shared" si="384"/>
        <v>0.45000000000000007</v>
      </c>
      <c r="AQ140" s="115">
        <f t="shared" si="384"/>
        <v>0.45000000000000007</v>
      </c>
      <c r="AR140" s="115">
        <f t="shared" si="384"/>
        <v>0.45000000000000007</v>
      </c>
      <c r="AS140" s="115">
        <f t="shared" si="384"/>
        <v>0.45000000000000007</v>
      </c>
      <c r="AT140" s="115">
        <f t="shared" si="384"/>
        <v>0.45000000000000007</v>
      </c>
      <c r="AU140" s="115">
        <f t="shared" si="384"/>
        <v>0.45000000000000007</v>
      </c>
      <c r="AV140" s="115">
        <f t="shared" si="384"/>
        <v>0.45000000000000007</v>
      </c>
      <c r="AW140" s="115">
        <f t="shared" si="384"/>
        <v>0.45000000000000007</v>
      </c>
      <c r="AX140" s="115">
        <f t="shared" si="384"/>
        <v>0.45000000000000007</v>
      </c>
      <c r="AY140" s="115">
        <f t="shared" si="384"/>
        <v>0.45000000000000007</v>
      </c>
      <c r="AZ140" s="115">
        <f t="shared" si="384"/>
        <v>0.45000000000000007</v>
      </c>
      <c r="BA140" s="115">
        <f t="shared" si="384"/>
        <v>0.45000000000000007</v>
      </c>
      <c r="BB140" s="115">
        <f t="shared" si="384"/>
        <v>0.45000000000000007</v>
      </c>
      <c r="BC140" s="115">
        <f t="shared" si="384"/>
        <v>0.45000000000000007</v>
      </c>
      <c r="BD140" s="115">
        <f t="shared" si="385"/>
        <v>0.45000000000000007</v>
      </c>
      <c r="BE140" s="115">
        <f t="shared" si="385"/>
        <v>0.45000000000000007</v>
      </c>
      <c r="BF140" s="115">
        <f t="shared" si="385"/>
        <v>0.45000000000000007</v>
      </c>
      <c r="BG140" s="115">
        <f t="shared" si="385"/>
        <v>0.45000000000000007</v>
      </c>
      <c r="BH140" s="115">
        <f t="shared" si="385"/>
        <v>0.45000000000000007</v>
      </c>
      <c r="BI140" s="115">
        <f t="shared" si="385"/>
        <v>0.45000000000000007</v>
      </c>
      <c r="BJ140" s="115">
        <f t="shared" si="385"/>
        <v>0.45000000000000007</v>
      </c>
      <c r="BK140" s="115">
        <f t="shared" si="385"/>
        <v>0.45000000000000007</v>
      </c>
      <c r="BL140" s="115">
        <f t="shared" si="385"/>
        <v>0.45000000000000007</v>
      </c>
      <c r="BM140" s="115">
        <f t="shared" si="385"/>
        <v>0.45000000000000007</v>
      </c>
      <c r="BN140" s="115">
        <f t="shared" si="386"/>
        <v>0.45000000000000007</v>
      </c>
      <c r="BO140" s="115">
        <f t="shared" si="387"/>
        <v>0.45000000000000007</v>
      </c>
      <c r="BP140" s="115">
        <f t="shared" si="388"/>
        <v>0.45000000000000007</v>
      </c>
      <c r="BQ140" s="115">
        <f t="shared" si="389"/>
        <v>0.45000000000000007</v>
      </c>
      <c r="BR140" s="115">
        <f t="shared" si="390"/>
        <v>0.45000000000000007</v>
      </c>
      <c r="BS140" s="115">
        <f t="shared" si="391"/>
        <v>0.45000000000000007</v>
      </c>
      <c r="BT140" s="115">
        <f t="shared" si="392"/>
        <v>0.45000000000000007</v>
      </c>
      <c r="BU140" s="115">
        <f t="shared" si="393"/>
        <v>0.45000000000000007</v>
      </c>
      <c r="BV140" s="115">
        <f t="shared" si="394"/>
        <v>0.45000000000000007</v>
      </c>
      <c r="BW140" s="115">
        <f t="shared" si="395"/>
        <v>0.45000000000000007</v>
      </c>
      <c r="BX140" s="115">
        <f t="shared" si="396"/>
        <v>0.45000000000000007</v>
      </c>
      <c r="BY140" s="115">
        <f t="shared" si="397"/>
        <v>0.45000000000000007</v>
      </c>
      <c r="BZ140" s="115">
        <f t="shared" si="398"/>
        <v>0.45000000000000007</v>
      </c>
      <c r="CA140" s="115">
        <f t="shared" si="399"/>
        <v>0.45000000000000007</v>
      </c>
      <c r="CB140" s="115">
        <f t="shared" si="400"/>
        <v>0.45000000000000007</v>
      </c>
      <c r="CC140" s="115">
        <f t="shared" si="401"/>
        <v>0.45000000000000007</v>
      </c>
      <c r="CD140" s="115">
        <f t="shared" si="402"/>
        <v>0.45000000000000007</v>
      </c>
      <c r="CE140" s="115">
        <f t="shared" si="403"/>
        <v>0.45000000000000007</v>
      </c>
      <c r="CF140" s="115">
        <f t="shared" si="404"/>
        <v>0.45000000000000007</v>
      </c>
      <c r="CG140" s="115">
        <f t="shared" si="405"/>
        <v>0.45000000000000007</v>
      </c>
      <c r="CH140" s="115">
        <f t="shared" si="406"/>
        <v>0.45000000000000007</v>
      </c>
      <c r="CI140" s="115">
        <f t="shared" si="407"/>
        <v>0.45000000000000007</v>
      </c>
      <c r="CJ140" s="115">
        <f t="shared" si="408"/>
        <v>0.45000000000000007</v>
      </c>
      <c r="CK140" s="115">
        <f t="shared" si="409"/>
        <v>0.45000000000000007</v>
      </c>
      <c r="CL140" s="115">
        <f t="shared" si="410"/>
        <v>0.45000000000000007</v>
      </c>
      <c r="CM140" s="115">
        <f t="shared" si="411"/>
        <v>0.45000000000000007</v>
      </c>
      <c r="CN140" s="115">
        <f t="shared" si="412"/>
        <v>0.45000000000000007</v>
      </c>
      <c r="CO140" s="115">
        <f t="shared" si="413"/>
        <v>0.45000000000000007</v>
      </c>
      <c r="CP140" s="115">
        <f t="shared" si="414"/>
        <v>0.45000000000000007</v>
      </c>
      <c r="CQ140" s="115">
        <f t="shared" si="415"/>
        <v>0.45000000000000007</v>
      </c>
      <c r="CR140" s="115">
        <f t="shared" si="416"/>
        <v>0.45000000000000007</v>
      </c>
      <c r="CS140" s="115">
        <f t="shared" si="417"/>
        <v>0.45000000000000007</v>
      </c>
      <c r="CT140" s="115">
        <f t="shared" si="418"/>
        <v>0.45000000000000007</v>
      </c>
      <c r="CU140" s="115">
        <f t="shared" si="419"/>
        <v>0.45000000000000007</v>
      </c>
      <c r="CV140" s="115">
        <f t="shared" si="420"/>
        <v>0.45000000000000007</v>
      </c>
      <c r="CW140" s="115">
        <f t="shared" si="421"/>
        <v>0.45000000000000007</v>
      </c>
      <c r="CX140" s="115">
        <f t="shared" si="422"/>
        <v>0.45000000000000007</v>
      </c>
      <c r="CY140" s="115">
        <f t="shared" si="423"/>
        <v>0.45000000000000007</v>
      </c>
      <c r="CZ140" s="115">
        <f t="shared" si="424"/>
        <v>0.45000000000000007</v>
      </c>
      <c r="DA140" s="115">
        <f t="shared" si="425"/>
        <v>0.45000000000000007</v>
      </c>
      <c r="DB140" s="115">
        <f t="shared" si="426"/>
        <v>0.45000000000000007</v>
      </c>
      <c r="DC140" s="115">
        <f t="shared" si="427"/>
        <v>0.45000000000000007</v>
      </c>
      <c r="DD140" s="115">
        <f t="shared" si="428"/>
        <v>0.45000000000000007</v>
      </c>
      <c r="DE140" s="115">
        <f t="shared" si="429"/>
        <v>0.45000000000000007</v>
      </c>
      <c r="DF140" s="115">
        <f t="shared" si="430"/>
        <v>0.45000000000000007</v>
      </c>
      <c r="DG140" s="115">
        <f t="shared" si="431"/>
        <v>0.45000000000000007</v>
      </c>
      <c r="DH140" s="115">
        <f t="shared" si="432"/>
        <v>0.45000000000000007</v>
      </c>
      <c r="DI140" s="115">
        <f t="shared" si="433"/>
        <v>0.45000000000000007</v>
      </c>
      <c r="DJ140" s="115">
        <f t="shared" si="434"/>
        <v>0.45000000000000007</v>
      </c>
      <c r="DK140" s="115">
        <f t="shared" si="435"/>
        <v>0.45000000000000007</v>
      </c>
      <c r="DL140" s="115">
        <f t="shared" si="436"/>
        <v>0.45000000000000007</v>
      </c>
      <c r="DM140" s="115">
        <f t="shared" si="437"/>
        <v>0.45000000000000007</v>
      </c>
      <c r="DN140" s="115">
        <f t="shared" si="438"/>
        <v>0.45000000000000007</v>
      </c>
      <c r="DO140" s="115">
        <f t="shared" si="439"/>
        <v>0.45000000000000007</v>
      </c>
      <c r="DP140" s="115">
        <f t="shared" si="440"/>
        <v>0.45000000000000007</v>
      </c>
      <c r="DQ140" s="115">
        <f t="shared" si="441"/>
        <v>0.45000000000000007</v>
      </c>
      <c r="DR140" s="115">
        <f t="shared" si="442"/>
        <v>0.45000000000000007</v>
      </c>
      <c r="DS140" s="115">
        <f t="shared" si="443"/>
        <v>0.45000000000000007</v>
      </c>
      <c r="DT140" s="115">
        <f t="shared" si="444"/>
        <v>0.45000000000000007</v>
      </c>
      <c r="DU140" s="115">
        <f t="shared" si="445"/>
        <v>0.45000000000000007</v>
      </c>
      <c r="DV140" s="115">
        <f t="shared" si="446"/>
        <v>0.45000000000000007</v>
      </c>
      <c r="DW140" s="115">
        <f t="shared" si="447"/>
        <v>0.45000000000000007</v>
      </c>
      <c r="DX140" s="115">
        <f t="shared" si="448"/>
        <v>0.45000000000000007</v>
      </c>
      <c r="DY140" s="115">
        <f t="shared" si="449"/>
        <v>0.45000000000000007</v>
      </c>
      <c r="DZ140" s="115">
        <f t="shared" si="450"/>
        <v>0.45000000000000007</v>
      </c>
      <c r="EA140" s="115">
        <f t="shared" si="451"/>
        <v>0.45000000000000007</v>
      </c>
      <c r="EB140" s="115">
        <f t="shared" si="452"/>
        <v>0.45000000000000007</v>
      </c>
      <c r="EC140" s="115">
        <f t="shared" si="453"/>
        <v>0.45000000000000007</v>
      </c>
      <c r="ED140" s="115">
        <f t="shared" si="454"/>
        <v>0.45000000000000007</v>
      </c>
      <c r="EE140" s="115">
        <f t="shared" si="455"/>
        <v>0.45000000000000007</v>
      </c>
      <c r="EF140" s="115">
        <f t="shared" si="456"/>
        <v>0.45000000000000007</v>
      </c>
      <c r="EG140" s="115">
        <f t="shared" si="457"/>
        <v>0.45000000000000007</v>
      </c>
      <c r="EH140" s="115">
        <f t="shared" si="458"/>
        <v>0.45000000000000007</v>
      </c>
      <c r="EI140" s="115">
        <f t="shared" si="459"/>
        <v>0.45000000000000007</v>
      </c>
      <c r="EJ140" s="115">
        <f t="shared" si="460"/>
        <v>0.45000000000000007</v>
      </c>
      <c r="EK140" s="115">
        <f t="shared" si="461"/>
        <v>0.45000000000000007</v>
      </c>
      <c r="EL140" s="115">
        <f t="shared" si="462"/>
        <v>0.45000000000000007</v>
      </c>
      <c r="EM140" s="115">
        <f t="shared" si="463"/>
        <v>0.45000000000000007</v>
      </c>
      <c r="EN140" s="115">
        <f t="shared" si="464"/>
        <v>0.45000000000000007</v>
      </c>
      <c r="EO140" s="115">
        <f t="shared" si="465"/>
        <v>0.45000000000000007</v>
      </c>
      <c r="EP140" s="115">
        <f t="shared" si="466"/>
        <v>0.45000000000000007</v>
      </c>
      <c r="EQ140" s="115">
        <f t="shared" si="467"/>
        <v>0.45000000000000007</v>
      </c>
      <c r="ER140" s="115">
        <f t="shared" si="468"/>
        <v>0.45000000000000007</v>
      </c>
      <c r="ES140" s="115">
        <f t="shared" si="469"/>
        <v>0.45000000000000007</v>
      </c>
      <c r="ET140" s="115">
        <f t="shared" si="470"/>
        <v>0.45000000000000007</v>
      </c>
      <c r="EU140" s="115">
        <f t="shared" si="471"/>
        <v>0.45000000000000007</v>
      </c>
      <c r="EV140" s="115">
        <f t="shared" si="472"/>
        <v>0.45000000000000007</v>
      </c>
      <c r="EW140" s="115">
        <f t="shared" si="473"/>
        <v>0.45000000000000007</v>
      </c>
      <c r="EX140" s="115">
        <f t="shared" si="474"/>
        <v>0.45000000000000007</v>
      </c>
      <c r="EY140" s="115">
        <f t="shared" si="475"/>
        <v>0.45000000000000007</v>
      </c>
      <c r="EZ140" s="115">
        <f t="shared" si="476"/>
        <v>0.45000000000000007</v>
      </c>
      <c r="FA140" s="115">
        <f t="shared" si="477"/>
        <v>0.45000000000000007</v>
      </c>
      <c r="FB140" s="115">
        <f t="shared" si="478"/>
        <v>0.45000000000000007</v>
      </c>
      <c r="FC140" s="115">
        <f t="shared" si="479"/>
        <v>0.45000000000000007</v>
      </c>
      <c r="FD140" s="115">
        <f t="shared" si="480"/>
        <v>0.45000000000000007</v>
      </c>
      <c r="FE140" s="115">
        <f t="shared" si="481"/>
        <v>0.45000000000000007</v>
      </c>
      <c r="FF140" s="115">
        <f t="shared" si="482"/>
        <v>0.45000000000000007</v>
      </c>
      <c r="FG140" s="115">
        <f t="shared" si="483"/>
        <v>0.45000000000000007</v>
      </c>
      <c r="FH140" s="115">
        <f t="shared" si="484"/>
        <v>0.45000000000000007</v>
      </c>
      <c r="FI140" s="115">
        <f t="shared" si="485"/>
        <v>0.45000000000000007</v>
      </c>
      <c r="FJ140" s="115">
        <f t="shared" si="486"/>
        <v>0.45000000000000007</v>
      </c>
      <c r="FK140" s="115">
        <f t="shared" si="487"/>
        <v>0.45000000000000007</v>
      </c>
      <c r="FL140" s="115">
        <f t="shared" si="488"/>
        <v>0.45000000000000007</v>
      </c>
      <c r="FM140" s="115">
        <f t="shared" si="489"/>
        <v>0.45000000000000007</v>
      </c>
      <c r="FN140" s="115">
        <f t="shared" si="490"/>
        <v>0.45000000000000007</v>
      </c>
      <c r="FO140" s="115">
        <f t="shared" si="491"/>
        <v>0.45000000000000007</v>
      </c>
      <c r="FP140" s="115">
        <f t="shared" si="492"/>
        <v>0.45000000000000007</v>
      </c>
      <c r="FQ140" s="115">
        <f t="shared" si="493"/>
        <v>0.45000000000000007</v>
      </c>
      <c r="FR140" s="115">
        <f t="shared" si="494"/>
        <v>0.45000000000000007</v>
      </c>
      <c r="FS140" s="115">
        <f t="shared" si="495"/>
        <v>0.45000000000000007</v>
      </c>
      <c r="FT140" s="115">
        <f t="shared" si="496"/>
        <v>0.45000000000000007</v>
      </c>
      <c r="FU140" s="115">
        <f t="shared" si="497"/>
        <v>0.45000000000000007</v>
      </c>
      <c r="FV140" s="115">
        <f t="shared" si="498"/>
        <v>0.45000000000000007</v>
      </c>
      <c r="FW140" s="115">
        <f t="shared" si="499"/>
        <v>0.45000000000000007</v>
      </c>
      <c r="FX140" s="115">
        <f t="shared" si="500"/>
        <v>0.45000000000000007</v>
      </c>
      <c r="FY140" s="115">
        <f t="shared" si="501"/>
        <v>0.45000000000000007</v>
      </c>
      <c r="FZ140" s="115">
        <f t="shared" si="502"/>
        <v>0.45000000000000007</v>
      </c>
      <c r="GA140" s="115">
        <f t="shared" si="503"/>
        <v>0.45000000000000007</v>
      </c>
      <c r="GB140" s="115">
        <f t="shared" si="504"/>
        <v>0.45000000000000007</v>
      </c>
      <c r="GC140" s="115">
        <f t="shared" si="505"/>
        <v>0.45000000000000007</v>
      </c>
    </row>
    <row r="141" spans="1:185">
      <c r="A141" s="80"/>
      <c r="B141" s="80" t="s">
        <v>166</v>
      </c>
      <c r="C141" s="80"/>
      <c r="D141" s="80"/>
      <c r="E141" s="82"/>
      <c r="F141" s="172">
        <f>Assumptions!D55</f>
        <v>0.1</v>
      </c>
      <c r="G141" s="116">
        <f>F141</f>
        <v>0.1</v>
      </c>
      <c r="H141" s="116">
        <f t="shared" si="382"/>
        <v>0.1</v>
      </c>
      <c r="I141" s="116">
        <f t="shared" si="382"/>
        <v>0.1</v>
      </c>
      <c r="J141" s="116">
        <f t="shared" si="382"/>
        <v>0.1</v>
      </c>
      <c r="K141" s="116">
        <f t="shared" si="382"/>
        <v>0.1</v>
      </c>
      <c r="L141" s="116">
        <f t="shared" si="382"/>
        <v>0.1</v>
      </c>
      <c r="M141" s="116">
        <f t="shared" si="382"/>
        <v>0.1</v>
      </c>
      <c r="N141" s="116">
        <f t="shared" si="382"/>
        <v>0.1</v>
      </c>
      <c r="O141" s="116">
        <f t="shared" si="382"/>
        <v>0.1</v>
      </c>
      <c r="P141" s="116">
        <f t="shared" si="382"/>
        <v>0.1</v>
      </c>
      <c r="Q141" s="116">
        <f t="shared" si="382"/>
        <v>0.1</v>
      </c>
      <c r="R141" s="116">
        <f t="shared" si="382"/>
        <v>0.1</v>
      </c>
      <c r="S141" s="116">
        <f t="shared" si="382"/>
        <v>0.1</v>
      </c>
      <c r="T141" s="116">
        <f t="shared" si="382"/>
        <v>0.1</v>
      </c>
      <c r="U141" s="116">
        <f t="shared" si="382"/>
        <v>0.1</v>
      </c>
      <c r="V141" s="116">
        <f t="shared" si="382"/>
        <v>0.1</v>
      </c>
      <c r="W141" s="116">
        <f t="shared" si="382"/>
        <v>0.1</v>
      </c>
      <c r="X141" s="116">
        <f t="shared" si="383"/>
        <v>0.1</v>
      </c>
      <c r="Y141" s="116">
        <f t="shared" si="383"/>
        <v>0.1</v>
      </c>
      <c r="Z141" s="116">
        <f t="shared" si="383"/>
        <v>0.1</v>
      </c>
      <c r="AA141" s="116">
        <f t="shared" si="383"/>
        <v>0.1</v>
      </c>
      <c r="AB141" s="116">
        <f t="shared" si="383"/>
        <v>0.1</v>
      </c>
      <c r="AC141" s="116">
        <f t="shared" si="383"/>
        <v>0.1</v>
      </c>
      <c r="AD141" s="116">
        <f t="shared" si="383"/>
        <v>0.1</v>
      </c>
      <c r="AE141" s="116">
        <f t="shared" si="383"/>
        <v>0.1</v>
      </c>
      <c r="AF141" s="116">
        <f t="shared" si="383"/>
        <v>0.1</v>
      </c>
      <c r="AG141" s="116">
        <f t="shared" si="383"/>
        <v>0.1</v>
      </c>
      <c r="AH141" s="116">
        <f t="shared" si="383"/>
        <v>0.1</v>
      </c>
      <c r="AI141" s="116">
        <f t="shared" si="383"/>
        <v>0.1</v>
      </c>
      <c r="AJ141" s="116">
        <f t="shared" si="383"/>
        <v>0.1</v>
      </c>
      <c r="AK141" s="116">
        <f t="shared" si="383"/>
        <v>0.1</v>
      </c>
      <c r="AL141" s="116">
        <f t="shared" si="383"/>
        <v>0.1</v>
      </c>
      <c r="AM141" s="116">
        <f t="shared" si="383"/>
        <v>0.1</v>
      </c>
      <c r="AN141" s="116">
        <f t="shared" si="384"/>
        <v>0.1</v>
      </c>
      <c r="AO141" s="116">
        <f t="shared" si="384"/>
        <v>0.1</v>
      </c>
      <c r="AP141" s="116">
        <f t="shared" si="384"/>
        <v>0.1</v>
      </c>
      <c r="AQ141" s="116">
        <f t="shared" si="384"/>
        <v>0.1</v>
      </c>
      <c r="AR141" s="116">
        <f t="shared" si="384"/>
        <v>0.1</v>
      </c>
      <c r="AS141" s="116">
        <f t="shared" si="384"/>
        <v>0.1</v>
      </c>
      <c r="AT141" s="116">
        <f t="shared" si="384"/>
        <v>0.1</v>
      </c>
      <c r="AU141" s="116">
        <f t="shared" si="384"/>
        <v>0.1</v>
      </c>
      <c r="AV141" s="116">
        <f t="shared" si="384"/>
        <v>0.1</v>
      </c>
      <c r="AW141" s="116">
        <f t="shared" si="384"/>
        <v>0.1</v>
      </c>
      <c r="AX141" s="116">
        <f t="shared" si="384"/>
        <v>0.1</v>
      </c>
      <c r="AY141" s="116">
        <f t="shared" si="384"/>
        <v>0.1</v>
      </c>
      <c r="AZ141" s="116">
        <f t="shared" si="384"/>
        <v>0.1</v>
      </c>
      <c r="BA141" s="116">
        <f t="shared" si="384"/>
        <v>0.1</v>
      </c>
      <c r="BB141" s="116">
        <f t="shared" si="384"/>
        <v>0.1</v>
      </c>
      <c r="BC141" s="116">
        <f t="shared" si="384"/>
        <v>0.1</v>
      </c>
      <c r="BD141" s="116">
        <f t="shared" si="385"/>
        <v>0.1</v>
      </c>
      <c r="BE141" s="116">
        <f t="shared" si="385"/>
        <v>0.1</v>
      </c>
      <c r="BF141" s="116">
        <f t="shared" si="385"/>
        <v>0.1</v>
      </c>
      <c r="BG141" s="116">
        <f t="shared" si="385"/>
        <v>0.1</v>
      </c>
      <c r="BH141" s="116">
        <f t="shared" si="385"/>
        <v>0.1</v>
      </c>
      <c r="BI141" s="116">
        <f t="shared" si="385"/>
        <v>0.1</v>
      </c>
      <c r="BJ141" s="116">
        <f t="shared" si="385"/>
        <v>0.1</v>
      </c>
      <c r="BK141" s="116">
        <f t="shared" si="385"/>
        <v>0.1</v>
      </c>
      <c r="BL141" s="116">
        <f t="shared" si="385"/>
        <v>0.1</v>
      </c>
      <c r="BM141" s="116">
        <f t="shared" si="385"/>
        <v>0.1</v>
      </c>
      <c r="BN141" s="116">
        <f t="shared" si="386"/>
        <v>0.1</v>
      </c>
      <c r="BO141" s="116">
        <f t="shared" si="387"/>
        <v>0.1</v>
      </c>
      <c r="BP141" s="116">
        <f t="shared" si="388"/>
        <v>0.1</v>
      </c>
      <c r="BQ141" s="116">
        <f t="shared" si="389"/>
        <v>0.1</v>
      </c>
      <c r="BR141" s="116">
        <f t="shared" si="390"/>
        <v>0.1</v>
      </c>
      <c r="BS141" s="116">
        <f t="shared" si="391"/>
        <v>0.1</v>
      </c>
      <c r="BT141" s="116">
        <f t="shared" si="392"/>
        <v>0.1</v>
      </c>
      <c r="BU141" s="116">
        <f t="shared" si="393"/>
        <v>0.1</v>
      </c>
      <c r="BV141" s="116">
        <f t="shared" si="394"/>
        <v>0.1</v>
      </c>
      <c r="BW141" s="116">
        <f t="shared" si="395"/>
        <v>0.1</v>
      </c>
      <c r="BX141" s="116">
        <f t="shared" si="396"/>
        <v>0.1</v>
      </c>
      <c r="BY141" s="116">
        <f t="shared" si="397"/>
        <v>0.1</v>
      </c>
      <c r="BZ141" s="116">
        <f t="shared" si="398"/>
        <v>0.1</v>
      </c>
      <c r="CA141" s="116">
        <f t="shared" si="399"/>
        <v>0.1</v>
      </c>
      <c r="CB141" s="116">
        <f t="shared" si="400"/>
        <v>0.1</v>
      </c>
      <c r="CC141" s="116">
        <f t="shared" si="401"/>
        <v>0.1</v>
      </c>
      <c r="CD141" s="116">
        <f t="shared" si="402"/>
        <v>0.1</v>
      </c>
      <c r="CE141" s="116">
        <f t="shared" si="403"/>
        <v>0.1</v>
      </c>
      <c r="CF141" s="116">
        <f t="shared" si="404"/>
        <v>0.1</v>
      </c>
      <c r="CG141" s="116">
        <f t="shared" si="405"/>
        <v>0.1</v>
      </c>
      <c r="CH141" s="116">
        <f t="shared" si="406"/>
        <v>0.1</v>
      </c>
      <c r="CI141" s="116">
        <f t="shared" si="407"/>
        <v>0.1</v>
      </c>
      <c r="CJ141" s="116">
        <f t="shared" si="408"/>
        <v>0.1</v>
      </c>
      <c r="CK141" s="116">
        <f t="shared" si="409"/>
        <v>0.1</v>
      </c>
      <c r="CL141" s="116">
        <f t="shared" si="410"/>
        <v>0.1</v>
      </c>
      <c r="CM141" s="116">
        <f t="shared" si="411"/>
        <v>0.1</v>
      </c>
      <c r="CN141" s="116">
        <f t="shared" si="412"/>
        <v>0.1</v>
      </c>
      <c r="CO141" s="116">
        <f t="shared" si="413"/>
        <v>0.1</v>
      </c>
      <c r="CP141" s="116">
        <f t="shared" si="414"/>
        <v>0.1</v>
      </c>
      <c r="CQ141" s="116">
        <f t="shared" si="415"/>
        <v>0.1</v>
      </c>
      <c r="CR141" s="116">
        <f t="shared" si="416"/>
        <v>0.1</v>
      </c>
      <c r="CS141" s="116">
        <f t="shared" si="417"/>
        <v>0.1</v>
      </c>
      <c r="CT141" s="116">
        <f t="shared" si="418"/>
        <v>0.1</v>
      </c>
      <c r="CU141" s="116">
        <f t="shared" si="419"/>
        <v>0.1</v>
      </c>
      <c r="CV141" s="116">
        <f t="shared" si="420"/>
        <v>0.1</v>
      </c>
      <c r="CW141" s="116">
        <f t="shared" si="421"/>
        <v>0.1</v>
      </c>
      <c r="CX141" s="116">
        <f t="shared" si="422"/>
        <v>0.1</v>
      </c>
      <c r="CY141" s="116">
        <f t="shared" si="423"/>
        <v>0.1</v>
      </c>
      <c r="CZ141" s="116">
        <f t="shared" si="424"/>
        <v>0.1</v>
      </c>
      <c r="DA141" s="116">
        <f t="shared" si="425"/>
        <v>0.1</v>
      </c>
      <c r="DB141" s="116">
        <f t="shared" si="426"/>
        <v>0.1</v>
      </c>
      <c r="DC141" s="116">
        <f t="shared" si="427"/>
        <v>0.1</v>
      </c>
      <c r="DD141" s="116">
        <f t="shared" si="428"/>
        <v>0.1</v>
      </c>
      <c r="DE141" s="116">
        <f t="shared" si="429"/>
        <v>0.1</v>
      </c>
      <c r="DF141" s="116">
        <f t="shared" si="430"/>
        <v>0.1</v>
      </c>
      <c r="DG141" s="116">
        <f t="shared" si="431"/>
        <v>0.1</v>
      </c>
      <c r="DH141" s="116">
        <f t="shared" si="432"/>
        <v>0.1</v>
      </c>
      <c r="DI141" s="116">
        <f t="shared" si="433"/>
        <v>0.1</v>
      </c>
      <c r="DJ141" s="116">
        <f t="shared" si="434"/>
        <v>0.1</v>
      </c>
      <c r="DK141" s="116">
        <f t="shared" si="435"/>
        <v>0.1</v>
      </c>
      <c r="DL141" s="116">
        <f t="shared" si="436"/>
        <v>0.1</v>
      </c>
      <c r="DM141" s="116">
        <f t="shared" si="437"/>
        <v>0.1</v>
      </c>
      <c r="DN141" s="116">
        <f t="shared" si="438"/>
        <v>0.1</v>
      </c>
      <c r="DO141" s="116">
        <f t="shared" si="439"/>
        <v>0.1</v>
      </c>
      <c r="DP141" s="116">
        <f t="shared" si="440"/>
        <v>0.1</v>
      </c>
      <c r="DQ141" s="116">
        <f t="shared" si="441"/>
        <v>0.1</v>
      </c>
      <c r="DR141" s="116">
        <f t="shared" si="442"/>
        <v>0.1</v>
      </c>
      <c r="DS141" s="116">
        <f t="shared" si="443"/>
        <v>0.1</v>
      </c>
      <c r="DT141" s="116">
        <f t="shared" si="444"/>
        <v>0.1</v>
      </c>
      <c r="DU141" s="116">
        <f t="shared" si="445"/>
        <v>0.1</v>
      </c>
      <c r="DV141" s="116">
        <f t="shared" si="446"/>
        <v>0.1</v>
      </c>
      <c r="DW141" s="116">
        <f t="shared" si="447"/>
        <v>0.1</v>
      </c>
      <c r="DX141" s="116">
        <f t="shared" si="448"/>
        <v>0.1</v>
      </c>
      <c r="DY141" s="116">
        <f t="shared" si="449"/>
        <v>0.1</v>
      </c>
      <c r="DZ141" s="116">
        <f t="shared" si="450"/>
        <v>0.1</v>
      </c>
      <c r="EA141" s="116">
        <f t="shared" si="451"/>
        <v>0.1</v>
      </c>
      <c r="EB141" s="116">
        <f t="shared" si="452"/>
        <v>0.1</v>
      </c>
      <c r="EC141" s="116">
        <f t="shared" si="453"/>
        <v>0.1</v>
      </c>
      <c r="ED141" s="116">
        <f t="shared" si="454"/>
        <v>0.1</v>
      </c>
      <c r="EE141" s="116">
        <f t="shared" si="455"/>
        <v>0.1</v>
      </c>
      <c r="EF141" s="116">
        <f t="shared" si="456"/>
        <v>0.1</v>
      </c>
      <c r="EG141" s="116">
        <f t="shared" si="457"/>
        <v>0.1</v>
      </c>
      <c r="EH141" s="116">
        <f t="shared" si="458"/>
        <v>0.1</v>
      </c>
      <c r="EI141" s="116">
        <f t="shared" si="459"/>
        <v>0.1</v>
      </c>
      <c r="EJ141" s="116">
        <f t="shared" si="460"/>
        <v>0.1</v>
      </c>
      <c r="EK141" s="116">
        <f t="shared" si="461"/>
        <v>0.1</v>
      </c>
      <c r="EL141" s="116">
        <f t="shared" si="462"/>
        <v>0.1</v>
      </c>
      <c r="EM141" s="116">
        <f t="shared" si="463"/>
        <v>0.1</v>
      </c>
      <c r="EN141" s="116">
        <f t="shared" si="464"/>
        <v>0.1</v>
      </c>
      <c r="EO141" s="116">
        <f t="shared" si="465"/>
        <v>0.1</v>
      </c>
      <c r="EP141" s="116">
        <f t="shared" si="466"/>
        <v>0.1</v>
      </c>
      <c r="EQ141" s="116">
        <f t="shared" si="467"/>
        <v>0.1</v>
      </c>
      <c r="ER141" s="116">
        <f t="shared" si="468"/>
        <v>0.1</v>
      </c>
      <c r="ES141" s="116">
        <f t="shared" si="469"/>
        <v>0.1</v>
      </c>
      <c r="ET141" s="116">
        <f t="shared" si="470"/>
        <v>0.1</v>
      </c>
      <c r="EU141" s="116">
        <f t="shared" si="471"/>
        <v>0.1</v>
      </c>
      <c r="EV141" s="116">
        <f t="shared" si="472"/>
        <v>0.1</v>
      </c>
      <c r="EW141" s="116">
        <f t="shared" si="473"/>
        <v>0.1</v>
      </c>
      <c r="EX141" s="116">
        <f t="shared" si="474"/>
        <v>0.1</v>
      </c>
      <c r="EY141" s="116">
        <f t="shared" si="475"/>
        <v>0.1</v>
      </c>
      <c r="EZ141" s="116">
        <f t="shared" si="476"/>
        <v>0.1</v>
      </c>
      <c r="FA141" s="116">
        <f t="shared" si="477"/>
        <v>0.1</v>
      </c>
      <c r="FB141" s="116">
        <f t="shared" si="478"/>
        <v>0.1</v>
      </c>
      <c r="FC141" s="116">
        <f t="shared" si="479"/>
        <v>0.1</v>
      </c>
      <c r="FD141" s="116">
        <f t="shared" si="480"/>
        <v>0.1</v>
      </c>
      <c r="FE141" s="116">
        <f t="shared" si="481"/>
        <v>0.1</v>
      </c>
      <c r="FF141" s="116">
        <f t="shared" si="482"/>
        <v>0.1</v>
      </c>
      <c r="FG141" s="116">
        <f t="shared" si="483"/>
        <v>0.1</v>
      </c>
      <c r="FH141" s="116">
        <f t="shared" si="484"/>
        <v>0.1</v>
      </c>
      <c r="FI141" s="116">
        <f t="shared" si="485"/>
        <v>0.1</v>
      </c>
      <c r="FJ141" s="116">
        <f t="shared" si="486"/>
        <v>0.1</v>
      </c>
      <c r="FK141" s="116">
        <f t="shared" si="487"/>
        <v>0.1</v>
      </c>
      <c r="FL141" s="116">
        <f t="shared" si="488"/>
        <v>0.1</v>
      </c>
      <c r="FM141" s="116">
        <f t="shared" si="489"/>
        <v>0.1</v>
      </c>
      <c r="FN141" s="116">
        <f t="shared" si="490"/>
        <v>0.1</v>
      </c>
      <c r="FO141" s="116">
        <f t="shared" si="491"/>
        <v>0.1</v>
      </c>
      <c r="FP141" s="116">
        <f t="shared" si="492"/>
        <v>0.1</v>
      </c>
      <c r="FQ141" s="116">
        <f t="shared" si="493"/>
        <v>0.1</v>
      </c>
      <c r="FR141" s="116">
        <f t="shared" si="494"/>
        <v>0.1</v>
      </c>
      <c r="FS141" s="116">
        <f t="shared" si="495"/>
        <v>0.1</v>
      </c>
      <c r="FT141" s="116">
        <f t="shared" si="496"/>
        <v>0.1</v>
      </c>
      <c r="FU141" s="116">
        <f t="shared" si="497"/>
        <v>0.1</v>
      </c>
      <c r="FV141" s="116">
        <f t="shared" si="498"/>
        <v>0.1</v>
      </c>
      <c r="FW141" s="116">
        <f t="shared" si="499"/>
        <v>0.1</v>
      </c>
      <c r="FX141" s="116">
        <f t="shared" si="500"/>
        <v>0.1</v>
      </c>
      <c r="FY141" s="116">
        <f t="shared" si="501"/>
        <v>0.1</v>
      </c>
      <c r="FZ141" s="116">
        <f t="shared" si="502"/>
        <v>0.1</v>
      </c>
      <c r="GA141" s="116">
        <f t="shared" si="503"/>
        <v>0.1</v>
      </c>
      <c r="GB141" s="116">
        <f t="shared" si="504"/>
        <v>0.1</v>
      </c>
      <c r="GC141" s="116">
        <f t="shared" si="505"/>
        <v>0.1</v>
      </c>
    </row>
    <row r="142" spans="1:185">
      <c r="A142" s="80"/>
      <c r="B142" s="80"/>
      <c r="C142" s="80"/>
      <c r="D142" s="80"/>
      <c r="E142" s="82"/>
      <c r="F142" s="115">
        <f t="shared" ref="F142:BM142" si="506">SUM(F139:F141)</f>
        <v>1.0000000000000002</v>
      </c>
      <c r="G142" s="115">
        <f t="shared" si="506"/>
        <v>1.0000000000000002</v>
      </c>
      <c r="H142" s="115">
        <f t="shared" si="506"/>
        <v>1.0000000000000002</v>
      </c>
      <c r="I142" s="115">
        <f t="shared" si="506"/>
        <v>1.0000000000000002</v>
      </c>
      <c r="J142" s="115">
        <f t="shared" si="506"/>
        <v>1.0000000000000002</v>
      </c>
      <c r="K142" s="115">
        <f t="shared" si="506"/>
        <v>1.0000000000000002</v>
      </c>
      <c r="L142" s="115">
        <f t="shared" si="506"/>
        <v>1.0000000000000002</v>
      </c>
      <c r="M142" s="115">
        <f t="shared" si="506"/>
        <v>1.0000000000000002</v>
      </c>
      <c r="N142" s="115">
        <f t="shared" si="506"/>
        <v>1.0000000000000002</v>
      </c>
      <c r="O142" s="115">
        <f t="shared" si="506"/>
        <v>1.0000000000000002</v>
      </c>
      <c r="P142" s="115">
        <f t="shared" si="506"/>
        <v>1.0000000000000002</v>
      </c>
      <c r="Q142" s="115">
        <f t="shared" si="506"/>
        <v>1.0000000000000002</v>
      </c>
      <c r="R142" s="115">
        <f t="shared" si="506"/>
        <v>1.0000000000000002</v>
      </c>
      <c r="S142" s="115">
        <f t="shared" si="506"/>
        <v>1.0000000000000002</v>
      </c>
      <c r="T142" s="115">
        <f t="shared" si="506"/>
        <v>1.0000000000000002</v>
      </c>
      <c r="U142" s="115">
        <f t="shared" si="506"/>
        <v>1.0000000000000002</v>
      </c>
      <c r="V142" s="115">
        <f t="shared" si="506"/>
        <v>1.0000000000000002</v>
      </c>
      <c r="W142" s="115">
        <f t="shared" si="506"/>
        <v>1.0000000000000002</v>
      </c>
      <c r="X142" s="115">
        <f t="shared" si="506"/>
        <v>1.0000000000000002</v>
      </c>
      <c r="Y142" s="115">
        <f t="shared" si="506"/>
        <v>1.0000000000000002</v>
      </c>
      <c r="Z142" s="115">
        <f t="shared" si="506"/>
        <v>1.0000000000000002</v>
      </c>
      <c r="AA142" s="115">
        <f t="shared" si="506"/>
        <v>1.0000000000000002</v>
      </c>
      <c r="AB142" s="115">
        <f t="shared" si="506"/>
        <v>1.0000000000000002</v>
      </c>
      <c r="AC142" s="115">
        <f t="shared" si="506"/>
        <v>1.0000000000000002</v>
      </c>
      <c r="AD142" s="115">
        <f t="shared" si="506"/>
        <v>1.0000000000000002</v>
      </c>
      <c r="AE142" s="115">
        <f t="shared" si="506"/>
        <v>1.0000000000000002</v>
      </c>
      <c r="AF142" s="115">
        <f t="shared" si="506"/>
        <v>1.0000000000000002</v>
      </c>
      <c r="AG142" s="115">
        <f t="shared" si="506"/>
        <v>1.0000000000000002</v>
      </c>
      <c r="AH142" s="115">
        <f t="shared" si="506"/>
        <v>1.0000000000000002</v>
      </c>
      <c r="AI142" s="115">
        <f t="shared" si="506"/>
        <v>1.0000000000000002</v>
      </c>
      <c r="AJ142" s="115">
        <f t="shared" si="506"/>
        <v>1.0000000000000002</v>
      </c>
      <c r="AK142" s="115">
        <f t="shared" si="506"/>
        <v>1.0000000000000002</v>
      </c>
      <c r="AL142" s="115">
        <f t="shared" si="506"/>
        <v>1.0000000000000002</v>
      </c>
      <c r="AM142" s="115">
        <f t="shared" si="506"/>
        <v>1.0000000000000002</v>
      </c>
      <c r="AN142" s="115">
        <f t="shared" si="506"/>
        <v>1.0000000000000002</v>
      </c>
      <c r="AO142" s="115">
        <f t="shared" si="506"/>
        <v>1.0000000000000002</v>
      </c>
      <c r="AP142" s="115">
        <f t="shared" si="506"/>
        <v>1.0000000000000002</v>
      </c>
      <c r="AQ142" s="115">
        <f t="shared" si="506"/>
        <v>1.0000000000000002</v>
      </c>
      <c r="AR142" s="115">
        <f t="shared" si="506"/>
        <v>1.0000000000000002</v>
      </c>
      <c r="AS142" s="115">
        <f t="shared" si="506"/>
        <v>1.0000000000000002</v>
      </c>
      <c r="AT142" s="115">
        <f t="shared" si="506"/>
        <v>1.0000000000000002</v>
      </c>
      <c r="AU142" s="115">
        <f t="shared" si="506"/>
        <v>1.0000000000000002</v>
      </c>
      <c r="AV142" s="115">
        <f t="shared" si="506"/>
        <v>1.0000000000000002</v>
      </c>
      <c r="AW142" s="115">
        <f t="shared" si="506"/>
        <v>1.0000000000000002</v>
      </c>
      <c r="AX142" s="115">
        <f t="shared" si="506"/>
        <v>1.0000000000000002</v>
      </c>
      <c r="AY142" s="115">
        <f t="shared" si="506"/>
        <v>1.0000000000000002</v>
      </c>
      <c r="AZ142" s="115">
        <f t="shared" si="506"/>
        <v>1.0000000000000002</v>
      </c>
      <c r="BA142" s="115">
        <f t="shared" si="506"/>
        <v>1.0000000000000002</v>
      </c>
      <c r="BB142" s="115">
        <f t="shared" si="506"/>
        <v>1.0000000000000002</v>
      </c>
      <c r="BC142" s="115">
        <f t="shared" si="506"/>
        <v>1.0000000000000002</v>
      </c>
      <c r="BD142" s="115">
        <f t="shared" si="506"/>
        <v>1.0000000000000002</v>
      </c>
      <c r="BE142" s="115">
        <f t="shared" si="506"/>
        <v>1.0000000000000002</v>
      </c>
      <c r="BF142" s="115">
        <f t="shared" si="506"/>
        <v>1.0000000000000002</v>
      </c>
      <c r="BG142" s="115">
        <f t="shared" si="506"/>
        <v>1.0000000000000002</v>
      </c>
      <c r="BH142" s="115">
        <f t="shared" si="506"/>
        <v>1.0000000000000002</v>
      </c>
      <c r="BI142" s="115">
        <f t="shared" si="506"/>
        <v>1.0000000000000002</v>
      </c>
      <c r="BJ142" s="115">
        <f t="shared" si="506"/>
        <v>1.0000000000000002</v>
      </c>
      <c r="BK142" s="115">
        <f t="shared" si="506"/>
        <v>1.0000000000000002</v>
      </c>
      <c r="BL142" s="115">
        <f t="shared" si="506"/>
        <v>1.0000000000000002</v>
      </c>
      <c r="BM142" s="115">
        <f t="shared" si="506"/>
        <v>1.0000000000000002</v>
      </c>
      <c r="BN142" s="115">
        <f t="shared" ref="BN142:DY142" si="507">SUM(BN139:BN141)</f>
        <v>1.0000000000000002</v>
      </c>
      <c r="BO142" s="115">
        <f t="shared" si="507"/>
        <v>1.0000000000000002</v>
      </c>
      <c r="BP142" s="115">
        <f t="shared" si="507"/>
        <v>1.0000000000000002</v>
      </c>
      <c r="BQ142" s="115">
        <f t="shared" si="507"/>
        <v>1.0000000000000002</v>
      </c>
      <c r="BR142" s="115">
        <f t="shared" si="507"/>
        <v>1.0000000000000002</v>
      </c>
      <c r="BS142" s="115">
        <f t="shared" si="507"/>
        <v>1.0000000000000002</v>
      </c>
      <c r="BT142" s="115">
        <f t="shared" si="507"/>
        <v>1.0000000000000002</v>
      </c>
      <c r="BU142" s="115">
        <f t="shared" si="507"/>
        <v>1.0000000000000002</v>
      </c>
      <c r="BV142" s="115">
        <f t="shared" si="507"/>
        <v>1.0000000000000002</v>
      </c>
      <c r="BW142" s="115">
        <f t="shared" si="507"/>
        <v>1.0000000000000002</v>
      </c>
      <c r="BX142" s="115">
        <f t="shared" si="507"/>
        <v>1.0000000000000002</v>
      </c>
      <c r="BY142" s="115">
        <f t="shared" si="507"/>
        <v>1.0000000000000002</v>
      </c>
      <c r="BZ142" s="115">
        <f t="shared" si="507"/>
        <v>1.0000000000000002</v>
      </c>
      <c r="CA142" s="115">
        <f t="shared" si="507"/>
        <v>1.0000000000000002</v>
      </c>
      <c r="CB142" s="115">
        <f t="shared" si="507"/>
        <v>1.0000000000000002</v>
      </c>
      <c r="CC142" s="115">
        <f t="shared" si="507"/>
        <v>1.0000000000000002</v>
      </c>
      <c r="CD142" s="115">
        <f t="shared" si="507"/>
        <v>1.0000000000000002</v>
      </c>
      <c r="CE142" s="115">
        <f t="shared" si="507"/>
        <v>1.0000000000000002</v>
      </c>
      <c r="CF142" s="115">
        <f t="shared" si="507"/>
        <v>1.0000000000000002</v>
      </c>
      <c r="CG142" s="115">
        <f t="shared" si="507"/>
        <v>1.0000000000000002</v>
      </c>
      <c r="CH142" s="115">
        <f t="shared" si="507"/>
        <v>1.0000000000000002</v>
      </c>
      <c r="CI142" s="115">
        <f t="shared" si="507"/>
        <v>1.0000000000000002</v>
      </c>
      <c r="CJ142" s="115">
        <f t="shared" si="507"/>
        <v>1.0000000000000002</v>
      </c>
      <c r="CK142" s="115">
        <f t="shared" si="507"/>
        <v>1.0000000000000002</v>
      </c>
      <c r="CL142" s="115">
        <f t="shared" si="507"/>
        <v>1.0000000000000002</v>
      </c>
      <c r="CM142" s="115">
        <f t="shared" si="507"/>
        <v>1.0000000000000002</v>
      </c>
      <c r="CN142" s="115">
        <f t="shared" si="507"/>
        <v>1.0000000000000002</v>
      </c>
      <c r="CO142" s="115">
        <f t="shared" si="507"/>
        <v>1.0000000000000002</v>
      </c>
      <c r="CP142" s="115">
        <f t="shared" si="507"/>
        <v>1.0000000000000002</v>
      </c>
      <c r="CQ142" s="115">
        <f t="shared" si="507"/>
        <v>1.0000000000000002</v>
      </c>
      <c r="CR142" s="115">
        <f t="shared" si="507"/>
        <v>1.0000000000000002</v>
      </c>
      <c r="CS142" s="115">
        <f t="shared" si="507"/>
        <v>1.0000000000000002</v>
      </c>
      <c r="CT142" s="115">
        <f t="shared" si="507"/>
        <v>1.0000000000000002</v>
      </c>
      <c r="CU142" s="115">
        <f t="shared" si="507"/>
        <v>1.0000000000000002</v>
      </c>
      <c r="CV142" s="115">
        <f t="shared" si="507"/>
        <v>1.0000000000000002</v>
      </c>
      <c r="CW142" s="115">
        <f t="shared" si="507"/>
        <v>1.0000000000000002</v>
      </c>
      <c r="CX142" s="115">
        <f t="shared" si="507"/>
        <v>1.0000000000000002</v>
      </c>
      <c r="CY142" s="115">
        <f t="shared" si="507"/>
        <v>1.0000000000000002</v>
      </c>
      <c r="CZ142" s="115">
        <f t="shared" si="507"/>
        <v>1.0000000000000002</v>
      </c>
      <c r="DA142" s="115">
        <f t="shared" si="507"/>
        <v>1.0000000000000002</v>
      </c>
      <c r="DB142" s="115">
        <f t="shared" si="507"/>
        <v>1.0000000000000002</v>
      </c>
      <c r="DC142" s="115">
        <f t="shared" si="507"/>
        <v>1.0000000000000002</v>
      </c>
      <c r="DD142" s="115">
        <f t="shared" si="507"/>
        <v>1.0000000000000002</v>
      </c>
      <c r="DE142" s="115">
        <f t="shared" si="507"/>
        <v>1.0000000000000002</v>
      </c>
      <c r="DF142" s="115">
        <f t="shared" si="507"/>
        <v>1.0000000000000002</v>
      </c>
      <c r="DG142" s="115">
        <f t="shared" si="507"/>
        <v>1.0000000000000002</v>
      </c>
      <c r="DH142" s="115">
        <f t="shared" si="507"/>
        <v>1.0000000000000002</v>
      </c>
      <c r="DI142" s="115">
        <f t="shared" si="507"/>
        <v>1.0000000000000002</v>
      </c>
      <c r="DJ142" s="115">
        <f t="shared" si="507"/>
        <v>1.0000000000000002</v>
      </c>
      <c r="DK142" s="115">
        <f t="shared" si="507"/>
        <v>1.0000000000000002</v>
      </c>
      <c r="DL142" s="115">
        <f t="shared" si="507"/>
        <v>1.0000000000000002</v>
      </c>
      <c r="DM142" s="115">
        <f t="shared" si="507"/>
        <v>1.0000000000000002</v>
      </c>
      <c r="DN142" s="115">
        <f t="shared" si="507"/>
        <v>1.0000000000000002</v>
      </c>
      <c r="DO142" s="115">
        <f t="shared" si="507"/>
        <v>1.0000000000000002</v>
      </c>
      <c r="DP142" s="115">
        <f t="shared" si="507"/>
        <v>1.0000000000000002</v>
      </c>
      <c r="DQ142" s="115">
        <f t="shared" si="507"/>
        <v>1.0000000000000002</v>
      </c>
      <c r="DR142" s="115">
        <f t="shared" si="507"/>
        <v>1.0000000000000002</v>
      </c>
      <c r="DS142" s="115">
        <f t="shared" si="507"/>
        <v>1.0000000000000002</v>
      </c>
      <c r="DT142" s="115">
        <f t="shared" si="507"/>
        <v>1.0000000000000002</v>
      </c>
      <c r="DU142" s="115">
        <f t="shared" si="507"/>
        <v>1.0000000000000002</v>
      </c>
      <c r="DV142" s="115">
        <f t="shared" si="507"/>
        <v>1.0000000000000002</v>
      </c>
      <c r="DW142" s="115">
        <f t="shared" si="507"/>
        <v>1.0000000000000002</v>
      </c>
      <c r="DX142" s="115">
        <f t="shared" si="507"/>
        <v>1.0000000000000002</v>
      </c>
      <c r="DY142" s="115">
        <f t="shared" si="507"/>
        <v>1.0000000000000002</v>
      </c>
      <c r="DZ142" s="115">
        <f t="shared" ref="DZ142:GC142" si="508">SUM(DZ139:DZ141)</f>
        <v>1.0000000000000002</v>
      </c>
      <c r="EA142" s="115">
        <f t="shared" si="508"/>
        <v>1.0000000000000002</v>
      </c>
      <c r="EB142" s="115">
        <f t="shared" si="508"/>
        <v>1.0000000000000002</v>
      </c>
      <c r="EC142" s="115">
        <f t="shared" si="508"/>
        <v>1.0000000000000002</v>
      </c>
      <c r="ED142" s="115">
        <f t="shared" si="508"/>
        <v>1.0000000000000002</v>
      </c>
      <c r="EE142" s="115">
        <f t="shared" si="508"/>
        <v>1.0000000000000002</v>
      </c>
      <c r="EF142" s="115">
        <f t="shared" si="508"/>
        <v>1.0000000000000002</v>
      </c>
      <c r="EG142" s="115">
        <f t="shared" si="508"/>
        <v>1.0000000000000002</v>
      </c>
      <c r="EH142" s="115">
        <f t="shared" si="508"/>
        <v>1.0000000000000002</v>
      </c>
      <c r="EI142" s="115">
        <f t="shared" si="508"/>
        <v>1.0000000000000002</v>
      </c>
      <c r="EJ142" s="115">
        <f t="shared" si="508"/>
        <v>1.0000000000000002</v>
      </c>
      <c r="EK142" s="115">
        <f t="shared" si="508"/>
        <v>1.0000000000000002</v>
      </c>
      <c r="EL142" s="115">
        <f t="shared" si="508"/>
        <v>1.0000000000000002</v>
      </c>
      <c r="EM142" s="115">
        <f t="shared" si="508"/>
        <v>1.0000000000000002</v>
      </c>
      <c r="EN142" s="115">
        <f t="shared" si="508"/>
        <v>1.0000000000000002</v>
      </c>
      <c r="EO142" s="115">
        <f t="shared" si="508"/>
        <v>1.0000000000000002</v>
      </c>
      <c r="EP142" s="115">
        <f t="shared" si="508"/>
        <v>1.0000000000000002</v>
      </c>
      <c r="EQ142" s="115">
        <f t="shared" si="508"/>
        <v>1.0000000000000002</v>
      </c>
      <c r="ER142" s="115">
        <f t="shared" si="508"/>
        <v>1.0000000000000002</v>
      </c>
      <c r="ES142" s="115">
        <f t="shared" si="508"/>
        <v>1.0000000000000002</v>
      </c>
      <c r="ET142" s="115">
        <f t="shared" si="508"/>
        <v>1.0000000000000002</v>
      </c>
      <c r="EU142" s="115">
        <f t="shared" si="508"/>
        <v>1.0000000000000002</v>
      </c>
      <c r="EV142" s="115">
        <f t="shared" si="508"/>
        <v>1.0000000000000002</v>
      </c>
      <c r="EW142" s="115">
        <f t="shared" si="508"/>
        <v>1.0000000000000002</v>
      </c>
      <c r="EX142" s="115">
        <f t="shared" si="508"/>
        <v>1.0000000000000002</v>
      </c>
      <c r="EY142" s="115">
        <f t="shared" si="508"/>
        <v>1.0000000000000002</v>
      </c>
      <c r="EZ142" s="115">
        <f t="shared" si="508"/>
        <v>1.0000000000000002</v>
      </c>
      <c r="FA142" s="115">
        <f t="shared" si="508"/>
        <v>1.0000000000000002</v>
      </c>
      <c r="FB142" s="115">
        <f t="shared" si="508"/>
        <v>1.0000000000000002</v>
      </c>
      <c r="FC142" s="115">
        <f t="shared" si="508"/>
        <v>1.0000000000000002</v>
      </c>
      <c r="FD142" s="115">
        <f t="shared" si="508"/>
        <v>1.0000000000000002</v>
      </c>
      <c r="FE142" s="115">
        <f t="shared" si="508"/>
        <v>1.0000000000000002</v>
      </c>
      <c r="FF142" s="115">
        <f t="shared" si="508"/>
        <v>1.0000000000000002</v>
      </c>
      <c r="FG142" s="115">
        <f t="shared" si="508"/>
        <v>1.0000000000000002</v>
      </c>
      <c r="FH142" s="115">
        <f t="shared" si="508"/>
        <v>1.0000000000000002</v>
      </c>
      <c r="FI142" s="115">
        <f t="shared" si="508"/>
        <v>1.0000000000000002</v>
      </c>
      <c r="FJ142" s="115">
        <f t="shared" si="508"/>
        <v>1.0000000000000002</v>
      </c>
      <c r="FK142" s="115">
        <f t="shared" si="508"/>
        <v>1.0000000000000002</v>
      </c>
      <c r="FL142" s="115">
        <f t="shared" si="508"/>
        <v>1.0000000000000002</v>
      </c>
      <c r="FM142" s="115">
        <f t="shared" si="508"/>
        <v>1.0000000000000002</v>
      </c>
      <c r="FN142" s="115">
        <f t="shared" si="508"/>
        <v>1.0000000000000002</v>
      </c>
      <c r="FO142" s="115">
        <f t="shared" si="508"/>
        <v>1.0000000000000002</v>
      </c>
      <c r="FP142" s="115">
        <f t="shared" si="508"/>
        <v>1.0000000000000002</v>
      </c>
      <c r="FQ142" s="115">
        <f t="shared" si="508"/>
        <v>1.0000000000000002</v>
      </c>
      <c r="FR142" s="115">
        <f t="shared" si="508"/>
        <v>1.0000000000000002</v>
      </c>
      <c r="FS142" s="115">
        <f t="shared" si="508"/>
        <v>1.0000000000000002</v>
      </c>
      <c r="FT142" s="115">
        <f t="shared" si="508"/>
        <v>1.0000000000000002</v>
      </c>
      <c r="FU142" s="115">
        <f t="shared" si="508"/>
        <v>1.0000000000000002</v>
      </c>
      <c r="FV142" s="115">
        <f t="shared" si="508"/>
        <v>1.0000000000000002</v>
      </c>
      <c r="FW142" s="115">
        <f t="shared" si="508"/>
        <v>1.0000000000000002</v>
      </c>
      <c r="FX142" s="115">
        <f t="shared" si="508"/>
        <v>1.0000000000000002</v>
      </c>
      <c r="FY142" s="115">
        <f t="shared" si="508"/>
        <v>1.0000000000000002</v>
      </c>
      <c r="FZ142" s="115">
        <f t="shared" si="508"/>
        <v>1.0000000000000002</v>
      </c>
      <c r="GA142" s="115">
        <f t="shared" si="508"/>
        <v>1.0000000000000002</v>
      </c>
      <c r="GB142" s="115">
        <f t="shared" si="508"/>
        <v>1.0000000000000002</v>
      </c>
      <c r="GC142" s="115">
        <f t="shared" si="508"/>
        <v>1.0000000000000002</v>
      </c>
    </row>
    <row r="143" spans="1:185">
      <c r="A143" s="80"/>
      <c r="B143" s="80" t="s">
        <v>167</v>
      </c>
      <c r="C143" s="80"/>
      <c r="D143" s="80"/>
      <c r="E143" s="82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/>
      <c r="BP143" s="77"/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  <c r="CA143" s="77"/>
      <c r="CB143" s="77"/>
      <c r="CC143" s="77"/>
      <c r="CD143" s="77"/>
      <c r="CE143" s="77"/>
      <c r="CF143" s="77"/>
      <c r="CG143" s="77"/>
      <c r="CH143" s="77"/>
      <c r="CI143" s="77"/>
      <c r="CJ143" s="77"/>
      <c r="CK143" s="77"/>
      <c r="CL143" s="77"/>
      <c r="CM143" s="77"/>
      <c r="CN143" s="77"/>
      <c r="CO143" s="77"/>
      <c r="CP143" s="77"/>
      <c r="CQ143" s="77"/>
      <c r="CR143" s="77"/>
      <c r="CS143" s="77"/>
      <c r="CT143" s="77"/>
      <c r="CU143" s="77"/>
      <c r="CV143" s="77"/>
      <c r="CW143" s="77"/>
      <c r="CX143" s="77"/>
      <c r="CY143" s="77"/>
      <c r="CZ143" s="77"/>
      <c r="DA143" s="77"/>
      <c r="DB143" s="77"/>
      <c r="DC143" s="77"/>
      <c r="DD143" s="77"/>
      <c r="DE143" s="77"/>
      <c r="DF143" s="77"/>
      <c r="DG143" s="77"/>
      <c r="DH143" s="77"/>
      <c r="DI143" s="77"/>
      <c r="DJ143" s="77"/>
      <c r="DK143" s="77"/>
      <c r="DL143" s="77"/>
      <c r="DM143" s="77"/>
      <c r="DN143" s="77"/>
      <c r="DO143" s="77"/>
      <c r="DP143" s="77"/>
      <c r="DQ143" s="77"/>
      <c r="DR143" s="77"/>
      <c r="DS143" s="77"/>
      <c r="DT143" s="77"/>
      <c r="DU143" s="77"/>
      <c r="DV143" s="77"/>
      <c r="DW143" s="77"/>
      <c r="DX143" s="77"/>
      <c r="DY143" s="77"/>
      <c r="DZ143" s="77"/>
      <c r="EA143" s="77"/>
      <c r="EB143" s="77"/>
      <c r="EC143" s="77"/>
      <c r="ED143" s="77"/>
      <c r="EE143" s="77"/>
      <c r="EF143" s="77"/>
      <c r="EG143" s="77"/>
      <c r="EH143" s="77"/>
      <c r="EI143" s="77"/>
      <c r="EJ143" s="77"/>
      <c r="EK143" s="77"/>
      <c r="EL143" s="77"/>
      <c r="EM143" s="77"/>
      <c r="EN143" s="77"/>
      <c r="EO143" s="77"/>
      <c r="EP143" s="77"/>
      <c r="EQ143" s="77"/>
      <c r="ER143" s="77"/>
      <c r="ES143" s="77"/>
      <c r="ET143" s="77"/>
      <c r="EU143" s="77"/>
      <c r="EV143" s="77"/>
      <c r="EW143" s="77"/>
      <c r="EX143" s="77"/>
      <c r="EY143" s="77"/>
      <c r="EZ143" s="77"/>
      <c r="FA143" s="77"/>
      <c r="FB143" s="77"/>
      <c r="FC143" s="77"/>
      <c r="FD143" s="77"/>
      <c r="FE143" s="77"/>
      <c r="FF143" s="77"/>
      <c r="FG143" s="77"/>
      <c r="FH143" s="77"/>
      <c r="FI143" s="77"/>
      <c r="FJ143" s="77"/>
      <c r="FK143" s="77"/>
      <c r="FL143" s="77"/>
      <c r="FM143" s="77"/>
      <c r="FN143" s="77"/>
      <c r="FO143" s="77"/>
      <c r="FP143" s="77"/>
      <c r="FQ143" s="77"/>
      <c r="FR143" s="77"/>
      <c r="FS143" s="77"/>
      <c r="FT143" s="77"/>
      <c r="FU143" s="77"/>
      <c r="FV143" s="77"/>
      <c r="FW143" s="77"/>
      <c r="FX143" s="77"/>
      <c r="FY143" s="77"/>
      <c r="FZ143" s="77"/>
      <c r="GA143" s="77"/>
      <c r="GB143" s="77"/>
      <c r="GC143" s="77"/>
    </row>
    <row r="144" spans="1:185">
      <c r="A144" s="80"/>
      <c r="B144" s="80" t="s">
        <v>65</v>
      </c>
      <c r="C144" s="80"/>
      <c r="D144" s="80"/>
      <c r="E144" s="82">
        <f t="shared" ref="E144:E146" si="509">SUM(F144:GC144)</f>
        <v>25464499.199999958</v>
      </c>
      <c r="F144" s="77">
        <f t="shared" ref="F144:AK144" si="510">F130*F139*2000/7.5</f>
        <v>0</v>
      </c>
      <c r="G144" s="77">
        <f t="shared" si="510"/>
        <v>0</v>
      </c>
      <c r="H144" s="77">
        <f t="shared" si="510"/>
        <v>0</v>
      </c>
      <c r="I144" s="77">
        <f t="shared" si="510"/>
        <v>0</v>
      </c>
      <c r="J144" s="77">
        <f t="shared" si="510"/>
        <v>0</v>
      </c>
      <c r="K144" s="77">
        <f t="shared" si="510"/>
        <v>0</v>
      </c>
      <c r="L144" s="77">
        <f t="shared" si="510"/>
        <v>0</v>
      </c>
      <c r="M144" s="77">
        <f t="shared" si="510"/>
        <v>149990.39999999999</v>
      </c>
      <c r="N144" s="77">
        <f t="shared" si="510"/>
        <v>145151.99999999997</v>
      </c>
      <c r="O144" s="77">
        <f t="shared" si="510"/>
        <v>149990.39999999999</v>
      </c>
      <c r="P144" s="77">
        <f t="shared" si="510"/>
        <v>145151.99999999997</v>
      </c>
      <c r="Q144" s="77">
        <f t="shared" si="510"/>
        <v>149990.39999999999</v>
      </c>
      <c r="R144" s="77">
        <f t="shared" si="510"/>
        <v>149990.39999999999</v>
      </c>
      <c r="S144" s="77">
        <f t="shared" si="510"/>
        <v>135475.20000000001</v>
      </c>
      <c r="T144" s="77">
        <f t="shared" si="510"/>
        <v>149990.39999999999</v>
      </c>
      <c r="U144" s="77">
        <f t="shared" si="510"/>
        <v>145151.99999999997</v>
      </c>
      <c r="V144" s="77">
        <f t="shared" si="510"/>
        <v>149990.39999999999</v>
      </c>
      <c r="W144" s="77">
        <f t="shared" si="510"/>
        <v>145151.99999999997</v>
      </c>
      <c r="X144" s="77">
        <f t="shared" si="510"/>
        <v>149990.39999999999</v>
      </c>
      <c r="Y144" s="77">
        <f t="shared" si="510"/>
        <v>149990.39999999999</v>
      </c>
      <c r="Z144" s="77">
        <f t="shared" si="510"/>
        <v>145151.99999999997</v>
      </c>
      <c r="AA144" s="77">
        <f t="shared" si="510"/>
        <v>149990.39999999999</v>
      </c>
      <c r="AB144" s="77">
        <f t="shared" si="510"/>
        <v>145151.99999999997</v>
      </c>
      <c r="AC144" s="77">
        <f t="shared" si="510"/>
        <v>149990.39999999999</v>
      </c>
      <c r="AD144" s="77">
        <f t="shared" si="510"/>
        <v>149990.39999999999</v>
      </c>
      <c r="AE144" s="77">
        <f t="shared" si="510"/>
        <v>135475.20000000001</v>
      </c>
      <c r="AF144" s="77">
        <f t="shared" si="510"/>
        <v>149990.39999999999</v>
      </c>
      <c r="AG144" s="77">
        <f t="shared" si="510"/>
        <v>145151.99999999997</v>
      </c>
      <c r="AH144" s="77">
        <f t="shared" si="510"/>
        <v>149990.39999999999</v>
      </c>
      <c r="AI144" s="77">
        <f t="shared" si="510"/>
        <v>145151.99999999997</v>
      </c>
      <c r="AJ144" s="77">
        <f t="shared" si="510"/>
        <v>149990.39999999999</v>
      </c>
      <c r="AK144" s="77">
        <f t="shared" si="510"/>
        <v>149990.39999999999</v>
      </c>
      <c r="AL144" s="77">
        <f t="shared" ref="AL144:BQ144" si="511">AL130*AL139*2000/7.5</f>
        <v>145151.99999999997</v>
      </c>
      <c r="AM144" s="77">
        <f t="shared" si="511"/>
        <v>149990.39999999999</v>
      </c>
      <c r="AN144" s="77">
        <f t="shared" si="511"/>
        <v>145151.99999999997</v>
      </c>
      <c r="AO144" s="77">
        <f t="shared" si="511"/>
        <v>149990.39999999999</v>
      </c>
      <c r="AP144" s="77">
        <f t="shared" si="511"/>
        <v>149990.39999999999</v>
      </c>
      <c r="AQ144" s="77">
        <f t="shared" si="511"/>
        <v>135475.20000000001</v>
      </c>
      <c r="AR144" s="77">
        <f t="shared" si="511"/>
        <v>149990.39999999999</v>
      </c>
      <c r="AS144" s="77">
        <f t="shared" si="511"/>
        <v>145151.99999999997</v>
      </c>
      <c r="AT144" s="77">
        <f t="shared" si="511"/>
        <v>149990.39999999999</v>
      </c>
      <c r="AU144" s="77">
        <f t="shared" si="511"/>
        <v>145151.99999999997</v>
      </c>
      <c r="AV144" s="77">
        <f t="shared" si="511"/>
        <v>149990.39999999999</v>
      </c>
      <c r="AW144" s="77">
        <f t="shared" si="511"/>
        <v>149990.39999999999</v>
      </c>
      <c r="AX144" s="77">
        <f t="shared" si="511"/>
        <v>145151.99999999997</v>
      </c>
      <c r="AY144" s="77">
        <f t="shared" si="511"/>
        <v>149990.39999999999</v>
      </c>
      <c r="AZ144" s="77">
        <f t="shared" si="511"/>
        <v>145151.99999999997</v>
      </c>
      <c r="BA144" s="77">
        <f t="shared" si="511"/>
        <v>149990.39999999999</v>
      </c>
      <c r="BB144" s="77">
        <f t="shared" si="511"/>
        <v>149990.39999999999</v>
      </c>
      <c r="BC144" s="77">
        <f t="shared" si="511"/>
        <v>135475.20000000001</v>
      </c>
      <c r="BD144" s="77">
        <f t="shared" si="511"/>
        <v>149990.39999999999</v>
      </c>
      <c r="BE144" s="77">
        <f t="shared" si="511"/>
        <v>145151.99999999997</v>
      </c>
      <c r="BF144" s="77">
        <f t="shared" si="511"/>
        <v>149990.39999999999</v>
      </c>
      <c r="BG144" s="77">
        <f t="shared" si="511"/>
        <v>145151.99999999997</v>
      </c>
      <c r="BH144" s="77">
        <f t="shared" si="511"/>
        <v>149990.39999999999</v>
      </c>
      <c r="BI144" s="77">
        <f t="shared" si="511"/>
        <v>149990.39999999999</v>
      </c>
      <c r="BJ144" s="77">
        <f t="shared" si="511"/>
        <v>145151.99999999997</v>
      </c>
      <c r="BK144" s="77">
        <f t="shared" si="511"/>
        <v>149990.39999999999</v>
      </c>
      <c r="BL144" s="77">
        <f t="shared" si="511"/>
        <v>145151.99999999997</v>
      </c>
      <c r="BM144" s="77">
        <f t="shared" si="511"/>
        <v>149990.39999999999</v>
      </c>
      <c r="BN144" s="77">
        <f t="shared" si="511"/>
        <v>149990.39999999999</v>
      </c>
      <c r="BO144" s="77">
        <f t="shared" si="511"/>
        <v>135475.20000000001</v>
      </c>
      <c r="BP144" s="77">
        <f t="shared" si="511"/>
        <v>149990.39999999999</v>
      </c>
      <c r="BQ144" s="77">
        <f t="shared" si="511"/>
        <v>145151.99999999997</v>
      </c>
      <c r="BR144" s="77">
        <f t="shared" ref="BR144:CW144" si="512">BR130*BR139*2000/7.5</f>
        <v>149990.39999999999</v>
      </c>
      <c r="BS144" s="77">
        <f t="shared" si="512"/>
        <v>145151.99999999997</v>
      </c>
      <c r="BT144" s="77">
        <f t="shared" si="512"/>
        <v>149990.39999999999</v>
      </c>
      <c r="BU144" s="77">
        <f t="shared" si="512"/>
        <v>149990.39999999999</v>
      </c>
      <c r="BV144" s="77">
        <f t="shared" si="512"/>
        <v>145151.99999999997</v>
      </c>
      <c r="BW144" s="77">
        <f t="shared" si="512"/>
        <v>149990.39999999999</v>
      </c>
      <c r="BX144" s="77">
        <f t="shared" si="512"/>
        <v>145151.99999999997</v>
      </c>
      <c r="BY144" s="77">
        <f t="shared" si="512"/>
        <v>149990.39999999999</v>
      </c>
      <c r="BZ144" s="77">
        <f t="shared" si="512"/>
        <v>149990.39999999999</v>
      </c>
      <c r="CA144" s="77">
        <f t="shared" si="512"/>
        <v>135475.20000000001</v>
      </c>
      <c r="CB144" s="77">
        <f t="shared" si="512"/>
        <v>149990.39999999999</v>
      </c>
      <c r="CC144" s="77">
        <f t="shared" si="512"/>
        <v>145151.99999999997</v>
      </c>
      <c r="CD144" s="77">
        <f t="shared" si="512"/>
        <v>149990.39999999999</v>
      </c>
      <c r="CE144" s="77">
        <f t="shared" si="512"/>
        <v>145151.99999999997</v>
      </c>
      <c r="CF144" s="77">
        <f t="shared" si="512"/>
        <v>149990.39999999999</v>
      </c>
      <c r="CG144" s="77">
        <f t="shared" si="512"/>
        <v>149990.39999999999</v>
      </c>
      <c r="CH144" s="77">
        <f t="shared" si="512"/>
        <v>145151.99999999997</v>
      </c>
      <c r="CI144" s="77">
        <f t="shared" si="512"/>
        <v>149990.39999999999</v>
      </c>
      <c r="CJ144" s="77">
        <f t="shared" si="512"/>
        <v>145151.99999999997</v>
      </c>
      <c r="CK144" s="77">
        <f t="shared" si="512"/>
        <v>149990.39999999999</v>
      </c>
      <c r="CL144" s="77">
        <f t="shared" si="512"/>
        <v>149990.39999999999</v>
      </c>
      <c r="CM144" s="77">
        <f t="shared" si="512"/>
        <v>135475.20000000001</v>
      </c>
      <c r="CN144" s="77">
        <f t="shared" si="512"/>
        <v>149990.39999999999</v>
      </c>
      <c r="CO144" s="77">
        <f t="shared" si="512"/>
        <v>145151.99999999997</v>
      </c>
      <c r="CP144" s="77">
        <f t="shared" si="512"/>
        <v>149990.39999999999</v>
      </c>
      <c r="CQ144" s="77">
        <f t="shared" si="512"/>
        <v>145151.99999999997</v>
      </c>
      <c r="CR144" s="77">
        <f t="shared" si="512"/>
        <v>149990.39999999999</v>
      </c>
      <c r="CS144" s="77">
        <f t="shared" si="512"/>
        <v>149990.39999999999</v>
      </c>
      <c r="CT144" s="77">
        <f t="shared" si="512"/>
        <v>145151.99999999997</v>
      </c>
      <c r="CU144" s="77">
        <f t="shared" si="512"/>
        <v>149990.39999999999</v>
      </c>
      <c r="CV144" s="77">
        <f t="shared" si="512"/>
        <v>145151.99999999997</v>
      </c>
      <c r="CW144" s="77">
        <f t="shared" si="512"/>
        <v>149990.39999999999</v>
      </c>
      <c r="CX144" s="77">
        <f t="shared" ref="CX144:EC144" si="513">CX130*CX139*2000/7.5</f>
        <v>149990.39999999999</v>
      </c>
      <c r="CY144" s="77">
        <f t="shared" si="513"/>
        <v>135475.20000000001</v>
      </c>
      <c r="CZ144" s="77">
        <f t="shared" si="513"/>
        <v>149990.39999999999</v>
      </c>
      <c r="DA144" s="77">
        <f t="shared" si="513"/>
        <v>145151.99999999997</v>
      </c>
      <c r="DB144" s="77">
        <f t="shared" si="513"/>
        <v>149990.39999999999</v>
      </c>
      <c r="DC144" s="77">
        <f t="shared" si="513"/>
        <v>145151.99999999997</v>
      </c>
      <c r="DD144" s="77">
        <f t="shared" si="513"/>
        <v>149990.39999999999</v>
      </c>
      <c r="DE144" s="77">
        <f t="shared" si="513"/>
        <v>149990.39999999999</v>
      </c>
      <c r="DF144" s="77">
        <f t="shared" si="513"/>
        <v>145151.99999999997</v>
      </c>
      <c r="DG144" s="77">
        <f t="shared" si="513"/>
        <v>149990.39999999999</v>
      </c>
      <c r="DH144" s="77">
        <f t="shared" si="513"/>
        <v>145151.99999999997</v>
      </c>
      <c r="DI144" s="77">
        <f t="shared" si="513"/>
        <v>149990.39999999999</v>
      </c>
      <c r="DJ144" s="77">
        <f t="shared" si="513"/>
        <v>149990.39999999999</v>
      </c>
      <c r="DK144" s="77">
        <f t="shared" si="513"/>
        <v>135475.20000000001</v>
      </c>
      <c r="DL144" s="77">
        <f t="shared" si="513"/>
        <v>149990.39999999999</v>
      </c>
      <c r="DM144" s="77">
        <f t="shared" si="513"/>
        <v>145151.99999999997</v>
      </c>
      <c r="DN144" s="77">
        <f t="shared" si="513"/>
        <v>149990.39999999999</v>
      </c>
      <c r="DO144" s="77">
        <f t="shared" si="513"/>
        <v>145151.99999999997</v>
      </c>
      <c r="DP144" s="77">
        <f t="shared" si="513"/>
        <v>149990.39999999999</v>
      </c>
      <c r="DQ144" s="77">
        <f t="shared" si="513"/>
        <v>149990.39999999999</v>
      </c>
      <c r="DR144" s="77">
        <f t="shared" si="513"/>
        <v>145151.99999999997</v>
      </c>
      <c r="DS144" s="77">
        <f t="shared" si="513"/>
        <v>149990.39999999999</v>
      </c>
      <c r="DT144" s="77">
        <f t="shared" si="513"/>
        <v>145151.99999999997</v>
      </c>
      <c r="DU144" s="77">
        <f t="shared" si="513"/>
        <v>149990.39999999999</v>
      </c>
      <c r="DV144" s="77">
        <f t="shared" si="513"/>
        <v>149990.39999999999</v>
      </c>
      <c r="DW144" s="77">
        <f t="shared" si="513"/>
        <v>135475.20000000001</v>
      </c>
      <c r="DX144" s="77">
        <f t="shared" si="513"/>
        <v>149990.39999999999</v>
      </c>
      <c r="DY144" s="77">
        <f t="shared" si="513"/>
        <v>145151.99999999997</v>
      </c>
      <c r="DZ144" s="77">
        <f t="shared" si="513"/>
        <v>149990.39999999999</v>
      </c>
      <c r="EA144" s="77">
        <f t="shared" si="513"/>
        <v>145151.99999999997</v>
      </c>
      <c r="EB144" s="77">
        <f t="shared" si="513"/>
        <v>149990.39999999999</v>
      </c>
      <c r="EC144" s="77">
        <f t="shared" si="513"/>
        <v>149990.39999999999</v>
      </c>
      <c r="ED144" s="77">
        <f t="shared" ref="ED144:FI144" si="514">ED130*ED139*2000/7.5</f>
        <v>145151.99999999997</v>
      </c>
      <c r="EE144" s="77">
        <f t="shared" si="514"/>
        <v>149990.39999999999</v>
      </c>
      <c r="EF144" s="77">
        <f t="shared" si="514"/>
        <v>145151.99999999997</v>
      </c>
      <c r="EG144" s="77">
        <f t="shared" si="514"/>
        <v>149990.39999999999</v>
      </c>
      <c r="EH144" s="77">
        <f t="shared" si="514"/>
        <v>149990.39999999999</v>
      </c>
      <c r="EI144" s="77">
        <f t="shared" si="514"/>
        <v>135475.20000000001</v>
      </c>
      <c r="EJ144" s="77">
        <f t="shared" si="514"/>
        <v>149990.39999999999</v>
      </c>
      <c r="EK144" s="77">
        <f t="shared" si="514"/>
        <v>145151.99999999997</v>
      </c>
      <c r="EL144" s="77">
        <f t="shared" si="514"/>
        <v>149990.39999999999</v>
      </c>
      <c r="EM144" s="77">
        <f t="shared" si="514"/>
        <v>145151.99999999997</v>
      </c>
      <c r="EN144" s="77">
        <f t="shared" si="514"/>
        <v>149990.39999999999</v>
      </c>
      <c r="EO144" s="77">
        <f t="shared" si="514"/>
        <v>149990.39999999999</v>
      </c>
      <c r="EP144" s="77">
        <f t="shared" si="514"/>
        <v>145151.99999999997</v>
      </c>
      <c r="EQ144" s="77">
        <f t="shared" si="514"/>
        <v>149990.39999999999</v>
      </c>
      <c r="ER144" s="77">
        <f t="shared" si="514"/>
        <v>145151.99999999997</v>
      </c>
      <c r="ES144" s="77">
        <f t="shared" si="514"/>
        <v>149990.39999999999</v>
      </c>
      <c r="ET144" s="77">
        <f t="shared" si="514"/>
        <v>149990.39999999999</v>
      </c>
      <c r="EU144" s="77">
        <f t="shared" si="514"/>
        <v>135475.20000000001</v>
      </c>
      <c r="EV144" s="77">
        <f t="shared" si="514"/>
        <v>149990.39999999999</v>
      </c>
      <c r="EW144" s="77">
        <f t="shared" si="514"/>
        <v>145151.99999999997</v>
      </c>
      <c r="EX144" s="77">
        <f t="shared" si="514"/>
        <v>149990.39999999999</v>
      </c>
      <c r="EY144" s="77">
        <f t="shared" si="514"/>
        <v>145151.99999999997</v>
      </c>
      <c r="EZ144" s="77">
        <f t="shared" si="514"/>
        <v>149990.39999999999</v>
      </c>
      <c r="FA144" s="77">
        <f t="shared" si="514"/>
        <v>149990.39999999999</v>
      </c>
      <c r="FB144" s="77">
        <f t="shared" si="514"/>
        <v>145151.99999999997</v>
      </c>
      <c r="FC144" s="77">
        <f t="shared" si="514"/>
        <v>149990.39999999999</v>
      </c>
      <c r="FD144" s="77">
        <f t="shared" si="514"/>
        <v>145151.99999999997</v>
      </c>
      <c r="FE144" s="77">
        <f t="shared" si="514"/>
        <v>149990.39999999999</v>
      </c>
      <c r="FF144" s="77">
        <f t="shared" si="514"/>
        <v>149990.39999999999</v>
      </c>
      <c r="FG144" s="77">
        <f t="shared" si="514"/>
        <v>135475.20000000001</v>
      </c>
      <c r="FH144" s="77">
        <f t="shared" si="514"/>
        <v>149990.39999999999</v>
      </c>
      <c r="FI144" s="77">
        <f t="shared" si="514"/>
        <v>145151.99999999997</v>
      </c>
      <c r="FJ144" s="77">
        <f t="shared" ref="FJ144:GC144" si="515">FJ130*FJ139*2000/7.5</f>
        <v>149990.39999999999</v>
      </c>
      <c r="FK144" s="77">
        <f t="shared" si="515"/>
        <v>145151.99999999997</v>
      </c>
      <c r="FL144" s="77">
        <f t="shared" si="515"/>
        <v>149990.39999999999</v>
      </c>
      <c r="FM144" s="77">
        <f t="shared" si="515"/>
        <v>149990.39999999999</v>
      </c>
      <c r="FN144" s="77">
        <f t="shared" si="515"/>
        <v>145151.99999999997</v>
      </c>
      <c r="FO144" s="77">
        <f t="shared" si="515"/>
        <v>149990.39999999999</v>
      </c>
      <c r="FP144" s="77">
        <f t="shared" si="515"/>
        <v>145151.99999999997</v>
      </c>
      <c r="FQ144" s="77">
        <f t="shared" si="515"/>
        <v>149990.39999999999</v>
      </c>
      <c r="FR144" s="77">
        <f t="shared" si="515"/>
        <v>149990.39999999999</v>
      </c>
      <c r="FS144" s="77">
        <f t="shared" si="515"/>
        <v>135475.20000000001</v>
      </c>
      <c r="FT144" s="77">
        <f t="shared" si="515"/>
        <v>149990.39999999999</v>
      </c>
      <c r="FU144" s="77">
        <f t="shared" si="515"/>
        <v>145151.99999999997</v>
      </c>
      <c r="FV144" s="77">
        <f t="shared" si="515"/>
        <v>149990.39999999999</v>
      </c>
      <c r="FW144" s="77">
        <f t="shared" si="515"/>
        <v>145151.99999999997</v>
      </c>
      <c r="FX144" s="77">
        <f t="shared" si="515"/>
        <v>149990.39999999999</v>
      </c>
      <c r="FY144" s="77">
        <f t="shared" si="515"/>
        <v>149990.39999999999</v>
      </c>
      <c r="FZ144" s="77">
        <f t="shared" si="515"/>
        <v>145151.99999999997</v>
      </c>
      <c r="GA144" s="77">
        <f t="shared" si="515"/>
        <v>149990.39999999999</v>
      </c>
      <c r="GB144" s="77">
        <f t="shared" si="515"/>
        <v>145151.99999999997</v>
      </c>
      <c r="GC144" s="77">
        <f t="shared" si="515"/>
        <v>149990.39999999999</v>
      </c>
    </row>
    <row r="145" spans="1:185">
      <c r="A145" s="80"/>
      <c r="B145" s="80" t="s">
        <v>66</v>
      </c>
      <c r="C145" s="80"/>
      <c r="D145" s="80"/>
      <c r="E145" s="82">
        <f t="shared" si="509"/>
        <v>190983744</v>
      </c>
      <c r="F145" s="77">
        <f t="shared" ref="F145:AK145" si="516">F130*2000*F140</f>
        <v>0</v>
      </c>
      <c r="G145" s="77">
        <f t="shared" si="516"/>
        <v>0</v>
      </c>
      <c r="H145" s="77">
        <f t="shared" si="516"/>
        <v>0</v>
      </c>
      <c r="I145" s="77">
        <f t="shared" si="516"/>
        <v>0</v>
      </c>
      <c r="J145" s="77">
        <f t="shared" si="516"/>
        <v>0</v>
      </c>
      <c r="K145" s="77">
        <f t="shared" si="516"/>
        <v>0</v>
      </c>
      <c r="L145" s="77">
        <f t="shared" si="516"/>
        <v>0</v>
      </c>
      <c r="M145" s="77">
        <f t="shared" si="516"/>
        <v>1124928</v>
      </c>
      <c r="N145" s="77">
        <f t="shared" si="516"/>
        <v>1088640.0000000002</v>
      </c>
      <c r="O145" s="77">
        <f t="shared" si="516"/>
        <v>1124928</v>
      </c>
      <c r="P145" s="77">
        <f t="shared" si="516"/>
        <v>1088640.0000000002</v>
      </c>
      <c r="Q145" s="77">
        <f t="shared" si="516"/>
        <v>1124928</v>
      </c>
      <c r="R145" s="77">
        <f t="shared" si="516"/>
        <v>1124928</v>
      </c>
      <c r="S145" s="77">
        <f t="shared" si="516"/>
        <v>1016064.0000000001</v>
      </c>
      <c r="T145" s="77">
        <f t="shared" si="516"/>
        <v>1124928</v>
      </c>
      <c r="U145" s="77">
        <f t="shared" si="516"/>
        <v>1088640.0000000002</v>
      </c>
      <c r="V145" s="77">
        <f t="shared" si="516"/>
        <v>1124928</v>
      </c>
      <c r="W145" s="77">
        <f t="shared" si="516"/>
        <v>1088640.0000000002</v>
      </c>
      <c r="X145" s="77">
        <f t="shared" si="516"/>
        <v>1124928</v>
      </c>
      <c r="Y145" s="77">
        <f t="shared" si="516"/>
        <v>1124928</v>
      </c>
      <c r="Z145" s="77">
        <f t="shared" si="516"/>
        <v>1088640.0000000002</v>
      </c>
      <c r="AA145" s="77">
        <f t="shared" si="516"/>
        <v>1124928</v>
      </c>
      <c r="AB145" s="77">
        <f t="shared" si="516"/>
        <v>1088640.0000000002</v>
      </c>
      <c r="AC145" s="77">
        <f t="shared" si="516"/>
        <v>1124928</v>
      </c>
      <c r="AD145" s="77">
        <f t="shared" si="516"/>
        <v>1124928</v>
      </c>
      <c r="AE145" s="77">
        <f t="shared" si="516"/>
        <v>1016064.0000000001</v>
      </c>
      <c r="AF145" s="77">
        <f t="shared" si="516"/>
        <v>1124928</v>
      </c>
      <c r="AG145" s="77">
        <f t="shared" si="516"/>
        <v>1088640.0000000002</v>
      </c>
      <c r="AH145" s="77">
        <f t="shared" si="516"/>
        <v>1124928</v>
      </c>
      <c r="AI145" s="77">
        <f t="shared" si="516"/>
        <v>1088640.0000000002</v>
      </c>
      <c r="AJ145" s="77">
        <f t="shared" si="516"/>
        <v>1124928</v>
      </c>
      <c r="AK145" s="77">
        <f t="shared" si="516"/>
        <v>1124928</v>
      </c>
      <c r="AL145" s="77">
        <f t="shared" ref="AL145:BQ145" si="517">AL130*2000*AL140</f>
        <v>1088640.0000000002</v>
      </c>
      <c r="AM145" s="77">
        <f t="shared" si="517"/>
        <v>1124928</v>
      </c>
      <c r="AN145" s="77">
        <f t="shared" si="517"/>
        <v>1088640.0000000002</v>
      </c>
      <c r="AO145" s="77">
        <f t="shared" si="517"/>
        <v>1124928</v>
      </c>
      <c r="AP145" s="77">
        <f t="shared" si="517"/>
        <v>1124928</v>
      </c>
      <c r="AQ145" s="77">
        <f t="shared" si="517"/>
        <v>1016064.0000000001</v>
      </c>
      <c r="AR145" s="77">
        <f t="shared" si="517"/>
        <v>1124928</v>
      </c>
      <c r="AS145" s="77">
        <f t="shared" si="517"/>
        <v>1088640.0000000002</v>
      </c>
      <c r="AT145" s="77">
        <f t="shared" si="517"/>
        <v>1124928</v>
      </c>
      <c r="AU145" s="77">
        <f t="shared" si="517"/>
        <v>1088640.0000000002</v>
      </c>
      <c r="AV145" s="77">
        <f t="shared" si="517"/>
        <v>1124928</v>
      </c>
      <c r="AW145" s="77">
        <f t="shared" si="517"/>
        <v>1124928</v>
      </c>
      <c r="AX145" s="77">
        <f t="shared" si="517"/>
        <v>1088640.0000000002</v>
      </c>
      <c r="AY145" s="77">
        <f t="shared" si="517"/>
        <v>1124928</v>
      </c>
      <c r="AZ145" s="77">
        <f t="shared" si="517"/>
        <v>1088640.0000000002</v>
      </c>
      <c r="BA145" s="77">
        <f t="shared" si="517"/>
        <v>1124928</v>
      </c>
      <c r="BB145" s="77">
        <f t="shared" si="517"/>
        <v>1124928</v>
      </c>
      <c r="BC145" s="77">
        <f t="shared" si="517"/>
        <v>1016064.0000000001</v>
      </c>
      <c r="BD145" s="77">
        <f t="shared" si="517"/>
        <v>1124928</v>
      </c>
      <c r="BE145" s="77">
        <f t="shared" si="517"/>
        <v>1088640.0000000002</v>
      </c>
      <c r="BF145" s="77">
        <f t="shared" si="517"/>
        <v>1124928</v>
      </c>
      <c r="BG145" s="77">
        <f t="shared" si="517"/>
        <v>1088640.0000000002</v>
      </c>
      <c r="BH145" s="77">
        <f t="shared" si="517"/>
        <v>1124928</v>
      </c>
      <c r="BI145" s="77">
        <f t="shared" si="517"/>
        <v>1124928</v>
      </c>
      <c r="BJ145" s="77">
        <f t="shared" si="517"/>
        <v>1088640.0000000002</v>
      </c>
      <c r="BK145" s="77">
        <f t="shared" si="517"/>
        <v>1124928</v>
      </c>
      <c r="BL145" s="77">
        <f t="shared" si="517"/>
        <v>1088640.0000000002</v>
      </c>
      <c r="BM145" s="77">
        <f t="shared" si="517"/>
        <v>1124928</v>
      </c>
      <c r="BN145" s="77">
        <f t="shared" si="517"/>
        <v>1124928</v>
      </c>
      <c r="BO145" s="77">
        <f t="shared" si="517"/>
        <v>1016064.0000000001</v>
      </c>
      <c r="BP145" s="77">
        <f t="shared" si="517"/>
        <v>1124928</v>
      </c>
      <c r="BQ145" s="77">
        <f t="shared" si="517"/>
        <v>1088640.0000000002</v>
      </c>
      <c r="BR145" s="77">
        <f t="shared" ref="BR145:CW145" si="518">BR130*2000*BR140</f>
        <v>1124928</v>
      </c>
      <c r="BS145" s="77">
        <f t="shared" si="518"/>
        <v>1088640.0000000002</v>
      </c>
      <c r="BT145" s="77">
        <f t="shared" si="518"/>
        <v>1124928</v>
      </c>
      <c r="BU145" s="77">
        <f t="shared" si="518"/>
        <v>1124928</v>
      </c>
      <c r="BV145" s="77">
        <f t="shared" si="518"/>
        <v>1088640.0000000002</v>
      </c>
      <c r="BW145" s="77">
        <f t="shared" si="518"/>
        <v>1124928</v>
      </c>
      <c r="BX145" s="77">
        <f t="shared" si="518"/>
        <v>1088640.0000000002</v>
      </c>
      <c r="BY145" s="77">
        <f t="shared" si="518"/>
        <v>1124928</v>
      </c>
      <c r="BZ145" s="77">
        <f t="shared" si="518"/>
        <v>1124928</v>
      </c>
      <c r="CA145" s="77">
        <f t="shared" si="518"/>
        <v>1016064.0000000001</v>
      </c>
      <c r="CB145" s="77">
        <f t="shared" si="518"/>
        <v>1124928</v>
      </c>
      <c r="CC145" s="77">
        <f t="shared" si="518"/>
        <v>1088640.0000000002</v>
      </c>
      <c r="CD145" s="77">
        <f t="shared" si="518"/>
        <v>1124928</v>
      </c>
      <c r="CE145" s="77">
        <f t="shared" si="518"/>
        <v>1088640.0000000002</v>
      </c>
      <c r="CF145" s="77">
        <f t="shared" si="518"/>
        <v>1124928</v>
      </c>
      <c r="CG145" s="77">
        <f t="shared" si="518"/>
        <v>1124928</v>
      </c>
      <c r="CH145" s="77">
        <f t="shared" si="518"/>
        <v>1088640.0000000002</v>
      </c>
      <c r="CI145" s="77">
        <f t="shared" si="518"/>
        <v>1124928</v>
      </c>
      <c r="CJ145" s="77">
        <f t="shared" si="518"/>
        <v>1088640.0000000002</v>
      </c>
      <c r="CK145" s="77">
        <f t="shared" si="518"/>
        <v>1124928</v>
      </c>
      <c r="CL145" s="77">
        <f t="shared" si="518"/>
        <v>1124928</v>
      </c>
      <c r="CM145" s="77">
        <f t="shared" si="518"/>
        <v>1016064.0000000001</v>
      </c>
      <c r="CN145" s="77">
        <f t="shared" si="518"/>
        <v>1124928</v>
      </c>
      <c r="CO145" s="77">
        <f t="shared" si="518"/>
        <v>1088640.0000000002</v>
      </c>
      <c r="CP145" s="77">
        <f t="shared" si="518"/>
        <v>1124928</v>
      </c>
      <c r="CQ145" s="77">
        <f t="shared" si="518"/>
        <v>1088640.0000000002</v>
      </c>
      <c r="CR145" s="77">
        <f t="shared" si="518"/>
        <v>1124928</v>
      </c>
      <c r="CS145" s="77">
        <f t="shared" si="518"/>
        <v>1124928</v>
      </c>
      <c r="CT145" s="77">
        <f t="shared" si="518"/>
        <v>1088640.0000000002</v>
      </c>
      <c r="CU145" s="77">
        <f t="shared" si="518"/>
        <v>1124928</v>
      </c>
      <c r="CV145" s="77">
        <f t="shared" si="518"/>
        <v>1088640.0000000002</v>
      </c>
      <c r="CW145" s="77">
        <f t="shared" si="518"/>
        <v>1124928</v>
      </c>
      <c r="CX145" s="77">
        <f t="shared" ref="CX145:EC145" si="519">CX130*2000*CX140</f>
        <v>1124928</v>
      </c>
      <c r="CY145" s="77">
        <f t="shared" si="519"/>
        <v>1016064.0000000001</v>
      </c>
      <c r="CZ145" s="77">
        <f t="shared" si="519"/>
        <v>1124928</v>
      </c>
      <c r="DA145" s="77">
        <f t="shared" si="519"/>
        <v>1088640.0000000002</v>
      </c>
      <c r="DB145" s="77">
        <f t="shared" si="519"/>
        <v>1124928</v>
      </c>
      <c r="DC145" s="77">
        <f t="shared" si="519"/>
        <v>1088640.0000000002</v>
      </c>
      <c r="DD145" s="77">
        <f t="shared" si="519"/>
        <v>1124928</v>
      </c>
      <c r="DE145" s="77">
        <f t="shared" si="519"/>
        <v>1124928</v>
      </c>
      <c r="DF145" s="77">
        <f t="shared" si="519"/>
        <v>1088640.0000000002</v>
      </c>
      <c r="DG145" s="77">
        <f t="shared" si="519"/>
        <v>1124928</v>
      </c>
      <c r="DH145" s="77">
        <f t="shared" si="519"/>
        <v>1088640.0000000002</v>
      </c>
      <c r="DI145" s="77">
        <f t="shared" si="519"/>
        <v>1124928</v>
      </c>
      <c r="DJ145" s="77">
        <f t="shared" si="519"/>
        <v>1124928</v>
      </c>
      <c r="DK145" s="77">
        <f t="shared" si="519"/>
        <v>1016064.0000000001</v>
      </c>
      <c r="DL145" s="77">
        <f t="shared" si="519"/>
        <v>1124928</v>
      </c>
      <c r="DM145" s="77">
        <f t="shared" si="519"/>
        <v>1088640.0000000002</v>
      </c>
      <c r="DN145" s="77">
        <f t="shared" si="519"/>
        <v>1124928</v>
      </c>
      <c r="DO145" s="77">
        <f t="shared" si="519"/>
        <v>1088640.0000000002</v>
      </c>
      <c r="DP145" s="77">
        <f t="shared" si="519"/>
        <v>1124928</v>
      </c>
      <c r="DQ145" s="77">
        <f t="shared" si="519"/>
        <v>1124928</v>
      </c>
      <c r="DR145" s="77">
        <f t="shared" si="519"/>
        <v>1088640.0000000002</v>
      </c>
      <c r="DS145" s="77">
        <f t="shared" si="519"/>
        <v>1124928</v>
      </c>
      <c r="DT145" s="77">
        <f t="shared" si="519"/>
        <v>1088640.0000000002</v>
      </c>
      <c r="DU145" s="77">
        <f t="shared" si="519"/>
        <v>1124928</v>
      </c>
      <c r="DV145" s="77">
        <f t="shared" si="519"/>
        <v>1124928</v>
      </c>
      <c r="DW145" s="77">
        <f t="shared" si="519"/>
        <v>1016064.0000000001</v>
      </c>
      <c r="DX145" s="77">
        <f t="shared" si="519"/>
        <v>1124928</v>
      </c>
      <c r="DY145" s="77">
        <f t="shared" si="519"/>
        <v>1088640.0000000002</v>
      </c>
      <c r="DZ145" s="77">
        <f t="shared" si="519"/>
        <v>1124928</v>
      </c>
      <c r="EA145" s="77">
        <f t="shared" si="519"/>
        <v>1088640.0000000002</v>
      </c>
      <c r="EB145" s="77">
        <f t="shared" si="519"/>
        <v>1124928</v>
      </c>
      <c r="EC145" s="77">
        <f t="shared" si="519"/>
        <v>1124928</v>
      </c>
      <c r="ED145" s="77">
        <f t="shared" ref="ED145:FI145" si="520">ED130*2000*ED140</f>
        <v>1088640.0000000002</v>
      </c>
      <c r="EE145" s="77">
        <f t="shared" si="520"/>
        <v>1124928</v>
      </c>
      <c r="EF145" s="77">
        <f t="shared" si="520"/>
        <v>1088640.0000000002</v>
      </c>
      <c r="EG145" s="77">
        <f t="shared" si="520"/>
        <v>1124928</v>
      </c>
      <c r="EH145" s="77">
        <f t="shared" si="520"/>
        <v>1124928</v>
      </c>
      <c r="EI145" s="77">
        <f t="shared" si="520"/>
        <v>1016064.0000000001</v>
      </c>
      <c r="EJ145" s="77">
        <f t="shared" si="520"/>
        <v>1124928</v>
      </c>
      <c r="EK145" s="77">
        <f t="shared" si="520"/>
        <v>1088640.0000000002</v>
      </c>
      <c r="EL145" s="77">
        <f t="shared" si="520"/>
        <v>1124928</v>
      </c>
      <c r="EM145" s="77">
        <f t="shared" si="520"/>
        <v>1088640.0000000002</v>
      </c>
      <c r="EN145" s="77">
        <f t="shared" si="520"/>
        <v>1124928</v>
      </c>
      <c r="EO145" s="77">
        <f t="shared" si="520"/>
        <v>1124928</v>
      </c>
      <c r="EP145" s="77">
        <f t="shared" si="520"/>
        <v>1088640.0000000002</v>
      </c>
      <c r="EQ145" s="77">
        <f t="shared" si="520"/>
        <v>1124928</v>
      </c>
      <c r="ER145" s="77">
        <f t="shared" si="520"/>
        <v>1088640.0000000002</v>
      </c>
      <c r="ES145" s="77">
        <f t="shared" si="520"/>
        <v>1124928</v>
      </c>
      <c r="ET145" s="77">
        <f t="shared" si="520"/>
        <v>1124928</v>
      </c>
      <c r="EU145" s="77">
        <f t="shared" si="520"/>
        <v>1016064.0000000001</v>
      </c>
      <c r="EV145" s="77">
        <f t="shared" si="520"/>
        <v>1124928</v>
      </c>
      <c r="EW145" s="77">
        <f t="shared" si="520"/>
        <v>1088640.0000000002</v>
      </c>
      <c r="EX145" s="77">
        <f t="shared" si="520"/>
        <v>1124928</v>
      </c>
      <c r="EY145" s="77">
        <f t="shared" si="520"/>
        <v>1088640.0000000002</v>
      </c>
      <c r="EZ145" s="77">
        <f t="shared" si="520"/>
        <v>1124928</v>
      </c>
      <c r="FA145" s="77">
        <f t="shared" si="520"/>
        <v>1124928</v>
      </c>
      <c r="FB145" s="77">
        <f t="shared" si="520"/>
        <v>1088640.0000000002</v>
      </c>
      <c r="FC145" s="77">
        <f t="shared" si="520"/>
        <v>1124928</v>
      </c>
      <c r="FD145" s="77">
        <f t="shared" si="520"/>
        <v>1088640.0000000002</v>
      </c>
      <c r="FE145" s="77">
        <f t="shared" si="520"/>
        <v>1124928</v>
      </c>
      <c r="FF145" s="77">
        <f t="shared" si="520"/>
        <v>1124928</v>
      </c>
      <c r="FG145" s="77">
        <f t="shared" si="520"/>
        <v>1016064.0000000001</v>
      </c>
      <c r="FH145" s="77">
        <f t="shared" si="520"/>
        <v>1124928</v>
      </c>
      <c r="FI145" s="77">
        <f t="shared" si="520"/>
        <v>1088640.0000000002</v>
      </c>
      <c r="FJ145" s="77">
        <f t="shared" ref="FJ145:GC145" si="521">FJ130*2000*FJ140</f>
        <v>1124928</v>
      </c>
      <c r="FK145" s="77">
        <f t="shared" si="521"/>
        <v>1088640.0000000002</v>
      </c>
      <c r="FL145" s="77">
        <f t="shared" si="521"/>
        <v>1124928</v>
      </c>
      <c r="FM145" s="77">
        <f t="shared" si="521"/>
        <v>1124928</v>
      </c>
      <c r="FN145" s="77">
        <f t="shared" si="521"/>
        <v>1088640.0000000002</v>
      </c>
      <c r="FO145" s="77">
        <f t="shared" si="521"/>
        <v>1124928</v>
      </c>
      <c r="FP145" s="77">
        <f t="shared" si="521"/>
        <v>1088640.0000000002</v>
      </c>
      <c r="FQ145" s="77">
        <f t="shared" si="521"/>
        <v>1124928</v>
      </c>
      <c r="FR145" s="77">
        <f t="shared" si="521"/>
        <v>1124928</v>
      </c>
      <c r="FS145" s="77">
        <f t="shared" si="521"/>
        <v>1016064.0000000001</v>
      </c>
      <c r="FT145" s="77">
        <f t="shared" si="521"/>
        <v>1124928</v>
      </c>
      <c r="FU145" s="77">
        <f t="shared" si="521"/>
        <v>1088640.0000000002</v>
      </c>
      <c r="FV145" s="77">
        <f t="shared" si="521"/>
        <v>1124928</v>
      </c>
      <c r="FW145" s="77">
        <f t="shared" si="521"/>
        <v>1088640.0000000002</v>
      </c>
      <c r="FX145" s="77">
        <f t="shared" si="521"/>
        <v>1124928</v>
      </c>
      <c r="FY145" s="77">
        <f t="shared" si="521"/>
        <v>1124928</v>
      </c>
      <c r="FZ145" s="77">
        <f t="shared" si="521"/>
        <v>1088640.0000000002</v>
      </c>
      <c r="GA145" s="77">
        <f t="shared" si="521"/>
        <v>1124928</v>
      </c>
      <c r="GB145" s="77">
        <f t="shared" si="521"/>
        <v>1088640.0000000002</v>
      </c>
      <c r="GC145" s="77">
        <f t="shared" si="521"/>
        <v>1124928</v>
      </c>
    </row>
    <row r="146" spans="1:185">
      <c r="A146" s="80"/>
      <c r="B146" t="s">
        <v>168</v>
      </c>
      <c r="C146" s="80"/>
      <c r="D146" s="80"/>
      <c r="E146" s="82">
        <f t="shared" si="509"/>
        <v>7580623.5061851889</v>
      </c>
      <c r="F146" s="77">
        <f t="shared" ref="F146:M146" si="522">F136/2000</f>
        <v>0</v>
      </c>
      <c r="G146" s="77">
        <f t="shared" si="522"/>
        <v>0</v>
      </c>
      <c r="H146" s="77">
        <f t="shared" si="522"/>
        <v>0</v>
      </c>
      <c r="I146" s="77">
        <f t="shared" si="522"/>
        <v>0</v>
      </c>
      <c r="J146" s="77">
        <f t="shared" si="522"/>
        <v>0</v>
      </c>
      <c r="K146" s="77">
        <f t="shared" si="522"/>
        <v>0</v>
      </c>
      <c r="L146" s="77">
        <f t="shared" si="522"/>
        <v>0</v>
      </c>
      <c r="M146" s="77">
        <f t="shared" si="522"/>
        <v>0</v>
      </c>
      <c r="N146" s="93">
        <f>N130*2000*N141*60*24/8.003/1000*0.75</f>
        <v>32646.957390978387</v>
      </c>
      <c r="O146" s="93">
        <f t="shared" ref="O146:AT146" si="523">O130*2000*O141*60*24/8.003/1000</f>
        <v>44980.252405347986</v>
      </c>
      <c r="P146" s="93">
        <f t="shared" si="523"/>
        <v>43529.276521304513</v>
      </c>
      <c r="Q146" s="93">
        <f t="shared" si="523"/>
        <v>44980.252405347986</v>
      </c>
      <c r="R146" s="93">
        <f t="shared" si="523"/>
        <v>44980.252405347986</v>
      </c>
      <c r="S146" s="93">
        <f t="shared" si="523"/>
        <v>40627.324753217537</v>
      </c>
      <c r="T146" s="93">
        <f t="shared" si="523"/>
        <v>44980.252405347986</v>
      </c>
      <c r="U146" s="93">
        <f t="shared" si="523"/>
        <v>43529.276521304513</v>
      </c>
      <c r="V146" s="93">
        <f t="shared" si="523"/>
        <v>44980.252405347986</v>
      </c>
      <c r="W146" s="93">
        <f t="shared" si="523"/>
        <v>43529.276521304513</v>
      </c>
      <c r="X146" s="93">
        <f t="shared" si="523"/>
        <v>44980.252405347986</v>
      </c>
      <c r="Y146" s="93">
        <f t="shared" si="523"/>
        <v>44980.252405347986</v>
      </c>
      <c r="Z146" s="93">
        <f t="shared" si="523"/>
        <v>43529.276521304513</v>
      </c>
      <c r="AA146" s="93">
        <f t="shared" si="523"/>
        <v>44980.252405347986</v>
      </c>
      <c r="AB146" s="93">
        <f t="shared" si="523"/>
        <v>43529.276521304513</v>
      </c>
      <c r="AC146" s="93">
        <f t="shared" si="523"/>
        <v>44980.252405347986</v>
      </c>
      <c r="AD146" s="93">
        <f t="shared" si="523"/>
        <v>44980.252405347986</v>
      </c>
      <c r="AE146" s="93">
        <f t="shared" si="523"/>
        <v>40627.324753217537</v>
      </c>
      <c r="AF146" s="93">
        <f t="shared" si="523"/>
        <v>44980.252405347986</v>
      </c>
      <c r="AG146" s="93">
        <f t="shared" si="523"/>
        <v>43529.276521304513</v>
      </c>
      <c r="AH146" s="93">
        <f t="shared" si="523"/>
        <v>44980.252405347986</v>
      </c>
      <c r="AI146" s="93">
        <f t="shared" si="523"/>
        <v>43529.276521304513</v>
      </c>
      <c r="AJ146" s="93">
        <f t="shared" si="523"/>
        <v>44980.252405347986</v>
      </c>
      <c r="AK146" s="93">
        <f t="shared" si="523"/>
        <v>44980.252405347986</v>
      </c>
      <c r="AL146" s="93">
        <f t="shared" si="523"/>
        <v>43529.276521304513</v>
      </c>
      <c r="AM146" s="93">
        <f t="shared" si="523"/>
        <v>44980.252405347986</v>
      </c>
      <c r="AN146" s="93">
        <f t="shared" si="523"/>
        <v>43529.276521304513</v>
      </c>
      <c r="AO146" s="93">
        <f t="shared" si="523"/>
        <v>44980.252405347986</v>
      </c>
      <c r="AP146" s="93">
        <f t="shared" si="523"/>
        <v>44980.252405347986</v>
      </c>
      <c r="AQ146" s="93">
        <f t="shared" si="523"/>
        <v>40627.324753217537</v>
      </c>
      <c r="AR146" s="93">
        <f t="shared" si="523"/>
        <v>44980.252405347986</v>
      </c>
      <c r="AS146" s="93">
        <f t="shared" si="523"/>
        <v>43529.276521304513</v>
      </c>
      <c r="AT146" s="93">
        <f t="shared" si="523"/>
        <v>44980.252405347986</v>
      </c>
      <c r="AU146" s="93">
        <f t="shared" ref="AU146:BZ146" si="524">AU130*2000*AU141*60*24/8.003/1000</f>
        <v>43529.276521304513</v>
      </c>
      <c r="AV146" s="93">
        <f t="shared" si="524"/>
        <v>44980.252405347986</v>
      </c>
      <c r="AW146" s="93">
        <f t="shared" si="524"/>
        <v>44980.252405347986</v>
      </c>
      <c r="AX146" s="93">
        <f t="shared" si="524"/>
        <v>43529.276521304513</v>
      </c>
      <c r="AY146" s="93">
        <f t="shared" si="524"/>
        <v>44980.252405347986</v>
      </c>
      <c r="AZ146" s="93">
        <f t="shared" si="524"/>
        <v>43529.276521304513</v>
      </c>
      <c r="BA146" s="93">
        <f t="shared" si="524"/>
        <v>44980.252405347986</v>
      </c>
      <c r="BB146" s="93">
        <f t="shared" si="524"/>
        <v>44980.252405347986</v>
      </c>
      <c r="BC146" s="93">
        <f t="shared" si="524"/>
        <v>40627.324753217537</v>
      </c>
      <c r="BD146" s="93">
        <f t="shared" si="524"/>
        <v>44980.252405347986</v>
      </c>
      <c r="BE146" s="93">
        <f t="shared" si="524"/>
        <v>43529.276521304513</v>
      </c>
      <c r="BF146" s="93">
        <f t="shared" si="524"/>
        <v>44980.252405347986</v>
      </c>
      <c r="BG146" s="93">
        <f t="shared" si="524"/>
        <v>43529.276521304513</v>
      </c>
      <c r="BH146" s="93">
        <f t="shared" si="524"/>
        <v>44980.252405347986</v>
      </c>
      <c r="BI146" s="93">
        <f t="shared" si="524"/>
        <v>44980.252405347986</v>
      </c>
      <c r="BJ146" s="93">
        <f t="shared" si="524"/>
        <v>43529.276521304513</v>
      </c>
      <c r="BK146" s="93">
        <f t="shared" si="524"/>
        <v>44980.252405347986</v>
      </c>
      <c r="BL146" s="93">
        <f t="shared" si="524"/>
        <v>43529.276521304513</v>
      </c>
      <c r="BM146" s="93">
        <f t="shared" si="524"/>
        <v>44980.252405347986</v>
      </c>
      <c r="BN146" s="93">
        <f t="shared" si="524"/>
        <v>44980.252405347986</v>
      </c>
      <c r="BO146" s="93">
        <f t="shared" si="524"/>
        <v>40627.324753217537</v>
      </c>
      <c r="BP146" s="93">
        <f t="shared" si="524"/>
        <v>44980.252405347986</v>
      </c>
      <c r="BQ146" s="93">
        <f t="shared" si="524"/>
        <v>43529.276521304513</v>
      </c>
      <c r="BR146" s="93">
        <f t="shared" si="524"/>
        <v>44980.252405347986</v>
      </c>
      <c r="BS146" s="93">
        <f t="shared" si="524"/>
        <v>43529.276521304513</v>
      </c>
      <c r="BT146" s="93">
        <f t="shared" si="524"/>
        <v>44980.252405347986</v>
      </c>
      <c r="BU146" s="93">
        <f t="shared" si="524"/>
        <v>44980.252405347986</v>
      </c>
      <c r="BV146" s="93">
        <f t="shared" si="524"/>
        <v>43529.276521304513</v>
      </c>
      <c r="BW146" s="93">
        <f t="shared" si="524"/>
        <v>44980.252405347986</v>
      </c>
      <c r="BX146" s="93">
        <f t="shared" si="524"/>
        <v>43529.276521304513</v>
      </c>
      <c r="BY146" s="93">
        <f t="shared" si="524"/>
        <v>44980.252405347986</v>
      </c>
      <c r="BZ146" s="93">
        <f t="shared" si="524"/>
        <v>44980.252405347986</v>
      </c>
      <c r="CA146" s="93">
        <f t="shared" ref="CA146:DF146" si="525">CA130*2000*CA141*60*24/8.003/1000</f>
        <v>40627.324753217537</v>
      </c>
      <c r="CB146" s="93">
        <f t="shared" si="525"/>
        <v>44980.252405347986</v>
      </c>
      <c r="CC146" s="93">
        <f t="shared" si="525"/>
        <v>43529.276521304513</v>
      </c>
      <c r="CD146" s="93">
        <f t="shared" si="525"/>
        <v>44980.252405347986</v>
      </c>
      <c r="CE146" s="93">
        <f t="shared" si="525"/>
        <v>43529.276521304513</v>
      </c>
      <c r="CF146" s="93">
        <f t="shared" si="525"/>
        <v>44980.252405347986</v>
      </c>
      <c r="CG146" s="93">
        <f t="shared" si="525"/>
        <v>44980.252405347986</v>
      </c>
      <c r="CH146" s="93">
        <f t="shared" si="525"/>
        <v>43529.276521304513</v>
      </c>
      <c r="CI146" s="93">
        <f t="shared" si="525"/>
        <v>44980.252405347986</v>
      </c>
      <c r="CJ146" s="93">
        <f t="shared" si="525"/>
        <v>43529.276521304513</v>
      </c>
      <c r="CK146" s="93">
        <f t="shared" si="525"/>
        <v>44980.252405347986</v>
      </c>
      <c r="CL146" s="93">
        <f t="shared" si="525"/>
        <v>44980.252405347986</v>
      </c>
      <c r="CM146" s="93">
        <f t="shared" si="525"/>
        <v>40627.324753217537</v>
      </c>
      <c r="CN146" s="93">
        <f t="shared" si="525"/>
        <v>44980.252405347986</v>
      </c>
      <c r="CO146" s="93">
        <f t="shared" si="525"/>
        <v>43529.276521304513</v>
      </c>
      <c r="CP146" s="93">
        <f t="shared" si="525"/>
        <v>44980.252405347986</v>
      </c>
      <c r="CQ146" s="93">
        <f t="shared" si="525"/>
        <v>43529.276521304513</v>
      </c>
      <c r="CR146" s="93">
        <f t="shared" si="525"/>
        <v>44980.252405347986</v>
      </c>
      <c r="CS146" s="93">
        <f t="shared" si="525"/>
        <v>44980.252405347986</v>
      </c>
      <c r="CT146" s="93">
        <f t="shared" si="525"/>
        <v>43529.276521304513</v>
      </c>
      <c r="CU146" s="93">
        <f t="shared" si="525"/>
        <v>44980.252405347986</v>
      </c>
      <c r="CV146" s="93">
        <f t="shared" si="525"/>
        <v>43529.276521304513</v>
      </c>
      <c r="CW146" s="93">
        <f t="shared" si="525"/>
        <v>44980.252405347986</v>
      </c>
      <c r="CX146" s="93">
        <f t="shared" si="525"/>
        <v>44980.252405347986</v>
      </c>
      <c r="CY146" s="93">
        <f t="shared" si="525"/>
        <v>40627.324753217537</v>
      </c>
      <c r="CZ146" s="93">
        <f t="shared" si="525"/>
        <v>44980.252405347986</v>
      </c>
      <c r="DA146" s="93">
        <f t="shared" si="525"/>
        <v>43529.276521304513</v>
      </c>
      <c r="DB146" s="93">
        <f t="shared" si="525"/>
        <v>44980.252405347986</v>
      </c>
      <c r="DC146" s="93">
        <f t="shared" si="525"/>
        <v>43529.276521304513</v>
      </c>
      <c r="DD146" s="93">
        <f t="shared" si="525"/>
        <v>44980.252405347986</v>
      </c>
      <c r="DE146" s="93">
        <f t="shared" si="525"/>
        <v>44980.252405347986</v>
      </c>
      <c r="DF146" s="93">
        <f t="shared" si="525"/>
        <v>43529.276521304513</v>
      </c>
      <c r="DG146" s="93">
        <f t="shared" ref="DG146:EL146" si="526">DG130*2000*DG141*60*24/8.003/1000</f>
        <v>44980.252405347986</v>
      </c>
      <c r="DH146" s="93">
        <f t="shared" si="526"/>
        <v>43529.276521304513</v>
      </c>
      <c r="DI146" s="93">
        <f t="shared" si="526"/>
        <v>44980.252405347986</v>
      </c>
      <c r="DJ146" s="93">
        <f t="shared" si="526"/>
        <v>44980.252405347986</v>
      </c>
      <c r="DK146" s="93">
        <f t="shared" si="526"/>
        <v>40627.324753217537</v>
      </c>
      <c r="DL146" s="93">
        <f t="shared" si="526"/>
        <v>44980.252405347986</v>
      </c>
      <c r="DM146" s="93">
        <f t="shared" si="526"/>
        <v>43529.276521304513</v>
      </c>
      <c r="DN146" s="93">
        <f t="shared" si="526"/>
        <v>44980.252405347986</v>
      </c>
      <c r="DO146" s="93">
        <f t="shared" si="526"/>
        <v>43529.276521304513</v>
      </c>
      <c r="DP146" s="93">
        <f t="shared" si="526"/>
        <v>44980.252405347986</v>
      </c>
      <c r="DQ146" s="93">
        <f t="shared" si="526"/>
        <v>44980.252405347986</v>
      </c>
      <c r="DR146" s="93">
        <f t="shared" si="526"/>
        <v>43529.276521304513</v>
      </c>
      <c r="DS146" s="93">
        <f t="shared" si="526"/>
        <v>44980.252405347986</v>
      </c>
      <c r="DT146" s="93">
        <f t="shared" si="526"/>
        <v>43529.276521304513</v>
      </c>
      <c r="DU146" s="93">
        <f t="shared" si="526"/>
        <v>44980.252405347986</v>
      </c>
      <c r="DV146" s="93">
        <f t="shared" si="526"/>
        <v>44980.252405347986</v>
      </c>
      <c r="DW146" s="93">
        <f t="shared" si="526"/>
        <v>40627.324753217537</v>
      </c>
      <c r="DX146" s="93">
        <f t="shared" si="526"/>
        <v>44980.252405347986</v>
      </c>
      <c r="DY146" s="93">
        <f t="shared" si="526"/>
        <v>43529.276521304513</v>
      </c>
      <c r="DZ146" s="93">
        <f t="shared" si="526"/>
        <v>44980.252405347986</v>
      </c>
      <c r="EA146" s="93">
        <f t="shared" si="526"/>
        <v>43529.276521304513</v>
      </c>
      <c r="EB146" s="93">
        <f t="shared" si="526"/>
        <v>44980.252405347986</v>
      </c>
      <c r="EC146" s="93">
        <f t="shared" si="526"/>
        <v>44980.252405347986</v>
      </c>
      <c r="ED146" s="93">
        <f t="shared" si="526"/>
        <v>43529.276521304513</v>
      </c>
      <c r="EE146" s="93">
        <f t="shared" si="526"/>
        <v>44980.252405347986</v>
      </c>
      <c r="EF146" s="93">
        <f t="shared" si="526"/>
        <v>43529.276521304513</v>
      </c>
      <c r="EG146" s="93">
        <f t="shared" si="526"/>
        <v>44980.252405347986</v>
      </c>
      <c r="EH146" s="93">
        <f t="shared" si="526"/>
        <v>44980.252405347986</v>
      </c>
      <c r="EI146" s="93">
        <f t="shared" si="526"/>
        <v>40627.324753217537</v>
      </c>
      <c r="EJ146" s="93">
        <f t="shared" si="526"/>
        <v>44980.252405347986</v>
      </c>
      <c r="EK146" s="93">
        <f t="shared" si="526"/>
        <v>43529.276521304513</v>
      </c>
      <c r="EL146" s="93">
        <f t="shared" si="526"/>
        <v>44980.252405347986</v>
      </c>
      <c r="EM146" s="93">
        <f t="shared" ref="EM146:FR146" si="527">EM130*2000*EM141*60*24/8.003/1000</f>
        <v>43529.276521304513</v>
      </c>
      <c r="EN146" s="93">
        <f t="shared" si="527"/>
        <v>44980.252405347986</v>
      </c>
      <c r="EO146" s="93">
        <f t="shared" si="527"/>
        <v>44980.252405347986</v>
      </c>
      <c r="EP146" s="93">
        <f t="shared" si="527"/>
        <v>43529.276521304513</v>
      </c>
      <c r="EQ146" s="93">
        <f t="shared" si="527"/>
        <v>44980.252405347986</v>
      </c>
      <c r="ER146" s="93">
        <f t="shared" si="527"/>
        <v>43529.276521304513</v>
      </c>
      <c r="ES146" s="93">
        <f t="shared" si="527"/>
        <v>44980.252405347986</v>
      </c>
      <c r="ET146" s="93">
        <f t="shared" si="527"/>
        <v>44980.252405347986</v>
      </c>
      <c r="EU146" s="93">
        <f t="shared" si="527"/>
        <v>40627.324753217537</v>
      </c>
      <c r="EV146" s="93">
        <f t="shared" si="527"/>
        <v>44980.252405347986</v>
      </c>
      <c r="EW146" s="93">
        <f t="shared" si="527"/>
        <v>43529.276521304513</v>
      </c>
      <c r="EX146" s="93">
        <f t="shared" si="527"/>
        <v>44980.252405347986</v>
      </c>
      <c r="EY146" s="93">
        <f t="shared" si="527"/>
        <v>43529.276521304513</v>
      </c>
      <c r="EZ146" s="93">
        <f t="shared" si="527"/>
        <v>44980.252405347986</v>
      </c>
      <c r="FA146" s="93">
        <f t="shared" si="527"/>
        <v>44980.252405347986</v>
      </c>
      <c r="FB146" s="93">
        <f t="shared" si="527"/>
        <v>43529.276521304513</v>
      </c>
      <c r="FC146" s="93">
        <f t="shared" si="527"/>
        <v>44980.252405347986</v>
      </c>
      <c r="FD146" s="93">
        <f t="shared" si="527"/>
        <v>43529.276521304513</v>
      </c>
      <c r="FE146" s="93">
        <f t="shared" si="527"/>
        <v>44980.252405347986</v>
      </c>
      <c r="FF146" s="93">
        <f t="shared" si="527"/>
        <v>44980.252405347986</v>
      </c>
      <c r="FG146" s="93">
        <f t="shared" si="527"/>
        <v>40627.324753217537</v>
      </c>
      <c r="FH146" s="93">
        <f t="shared" si="527"/>
        <v>44980.252405347986</v>
      </c>
      <c r="FI146" s="93">
        <f t="shared" si="527"/>
        <v>43529.276521304513</v>
      </c>
      <c r="FJ146" s="93">
        <f t="shared" si="527"/>
        <v>44980.252405347986</v>
      </c>
      <c r="FK146" s="93">
        <f t="shared" si="527"/>
        <v>43529.276521304513</v>
      </c>
      <c r="FL146" s="93">
        <f t="shared" si="527"/>
        <v>44980.252405347986</v>
      </c>
      <c r="FM146" s="93">
        <f t="shared" si="527"/>
        <v>44980.252405347986</v>
      </c>
      <c r="FN146" s="93">
        <f t="shared" si="527"/>
        <v>43529.276521304513</v>
      </c>
      <c r="FO146" s="93">
        <f t="shared" si="527"/>
        <v>44980.252405347986</v>
      </c>
      <c r="FP146" s="93">
        <f t="shared" si="527"/>
        <v>43529.276521304513</v>
      </c>
      <c r="FQ146" s="93">
        <f t="shared" si="527"/>
        <v>44980.252405347986</v>
      </c>
      <c r="FR146" s="93">
        <f t="shared" si="527"/>
        <v>44980.252405347986</v>
      </c>
      <c r="FS146" s="93">
        <f t="shared" ref="FS146:GC146" si="528">FS130*2000*FS141*60*24/8.003/1000</f>
        <v>40627.324753217537</v>
      </c>
      <c r="FT146" s="93">
        <f t="shared" si="528"/>
        <v>44980.252405347986</v>
      </c>
      <c r="FU146" s="93">
        <f t="shared" si="528"/>
        <v>43529.276521304513</v>
      </c>
      <c r="FV146" s="93">
        <f t="shared" si="528"/>
        <v>44980.252405347986</v>
      </c>
      <c r="FW146" s="93">
        <f t="shared" si="528"/>
        <v>43529.276521304513</v>
      </c>
      <c r="FX146" s="93">
        <f t="shared" si="528"/>
        <v>44980.252405347986</v>
      </c>
      <c r="FY146" s="93">
        <f t="shared" si="528"/>
        <v>44980.252405347986</v>
      </c>
      <c r="FZ146" s="93">
        <f t="shared" si="528"/>
        <v>43529.276521304513</v>
      </c>
      <c r="GA146" s="93">
        <f t="shared" si="528"/>
        <v>44980.252405347986</v>
      </c>
      <c r="GB146" s="93">
        <f t="shared" si="528"/>
        <v>43529.276521304513</v>
      </c>
      <c r="GC146" s="93">
        <f t="shared" si="528"/>
        <v>44980.252405347986</v>
      </c>
    </row>
    <row r="147" spans="1:185">
      <c r="A147" s="80"/>
      <c r="B147" s="80"/>
      <c r="C147" s="80"/>
      <c r="D147" s="80"/>
      <c r="E147" s="82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77"/>
      <c r="BQ147" s="77"/>
      <c r="BR147" s="77"/>
      <c r="BS147" s="77"/>
      <c r="BT147" s="77"/>
      <c r="BU147" s="77"/>
      <c r="BV147" s="77"/>
      <c r="BW147" s="77"/>
      <c r="BX147" s="77"/>
      <c r="BY147" s="77"/>
      <c r="BZ147" s="77"/>
      <c r="CA147" s="77"/>
      <c r="CB147" s="77"/>
      <c r="CC147" s="77"/>
      <c r="CD147" s="77"/>
      <c r="CE147" s="77"/>
      <c r="CF147" s="77"/>
      <c r="CG147" s="77"/>
      <c r="CH147" s="77"/>
      <c r="CI147" s="77"/>
      <c r="CJ147" s="77"/>
      <c r="CK147" s="77"/>
      <c r="CL147" s="77"/>
      <c r="CM147" s="77"/>
      <c r="CN147" s="77"/>
      <c r="CO147" s="77"/>
      <c r="CP147" s="77"/>
      <c r="CQ147" s="77"/>
      <c r="CR147" s="77"/>
      <c r="CS147" s="77"/>
      <c r="CT147" s="77"/>
      <c r="CU147" s="77"/>
      <c r="CV147" s="77"/>
      <c r="CW147" s="77"/>
      <c r="CX147" s="77"/>
      <c r="CY147" s="77"/>
      <c r="CZ147" s="77"/>
      <c r="DA147" s="77"/>
      <c r="DB147" s="77"/>
      <c r="DC147" s="77"/>
      <c r="DD147" s="77"/>
      <c r="DE147" s="77"/>
      <c r="DF147" s="77"/>
      <c r="DG147" s="77"/>
      <c r="DH147" s="77"/>
      <c r="DI147" s="77"/>
      <c r="DJ147" s="77"/>
      <c r="DK147" s="77"/>
      <c r="DL147" s="77"/>
      <c r="DM147" s="77"/>
      <c r="DN147" s="77"/>
      <c r="DO147" s="77"/>
      <c r="DP147" s="77"/>
      <c r="DQ147" s="77"/>
      <c r="DR147" s="77"/>
      <c r="DS147" s="77"/>
      <c r="DT147" s="77"/>
      <c r="DU147" s="77"/>
      <c r="DV147" s="77"/>
      <c r="DW147" s="77"/>
      <c r="DX147" s="77"/>
      <c r="DY147" s="77"/>
      <c r="DZ147" s="77"/>
      <c r="EA147" s="77"/>
      <c r="EB147" s="77"/>
      <c r="EC147" s="77"/>
      <c r="ED147" s="77"/>
      <c r="EE147" s="77"/>
      <c r="EF147" s="77"/>
      <c r="EG147" s="77"/>
      <c r="EH147" s="77"/>
      <c r="EI147" s="77"/>
      <c r="EJ147" s="77"/>
      <c r="EK147" s="77"/>
      <c r="EL147" s="77"/>
      <c r="EM147" s="77"/>
      <c r="EN147" s="77"/>
      <c r="EO147" s="77"/>
      <c r="EP147" s="77"/>
      <c r="EQ147" s="77"/>
      <c r="ER147" s="77"/>
      <c r="ES147" s="77"/>
      <c r="ET147" s="77"/>
      <c r="EU147" s="77"/>
      <c r="EV147" s="77"/>
      <c r="EW147" s="77"/>
      <c r="EX147" s="77"/>
      <c r="EY147" s="77"/>
      <c r="EZ147" s="77"/>
      <c r="FA147" s="77"/>
      <c r="FB147" s="77"/>
      <c r="FC147" s="77"/>
      <c r="FD147" s="77"/>
      <c r="FE147" s="77"/>
      <c r="FF147" s="77"/>
      <c r="FG147" s="77"/>
      <c r="FH147" s="77"/>
      <c r="FI147" s="77"/>
      <c r="FJ147" s="77"/>
      <c r="FK147" s="77"/>
      <c r="FL147" s="77"/>
      <c r="FM147" s="77"/>
      <c r="FN147" s="77"/>
      <c r="FO147" s="77"/>
      <c r="FP147" s="77"/>
      <c r="FQ147" s="77"/>
      <c r="FR147" s="77"/>
      <c r="FS147" s="77"/>
      <c r="FT147" s="77"/>
      <c r="FU147" s="77"/>
      <c r="FV147" s="77"/>
      <c r="FW147" s="77"/>
      <c r="FX147" s="77"/>
      <c r="FY147" s="77"/>
      <c r="FZ147" s="77"/>
      <c r="GA147" s="77"/>
      <c r="GB147" s="77"/>
      <c r="GC147" s="77"/>
    </row>
    <row r="148" spans="1:185">
      <c r="A148" s="80"/>
      <c r="B148" s="10" t="s">
        <v>169</v>
      </c>
      <c r="C148" s="80"/>
      <c r="D148" s="80"/>
      <c r="E148" s="82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  <c r="BM148" s="77"/>
      <c r="BN148" s="77"/>
      <c r="BO148" s="77"/>
      <c r="BP148" s="77"/>
      <c r="BQ148" s="77"/>
      <c r="BR148" s="77"/>
      <c r="BS148" s="77"/>
      <c r="BT148" s="77"/>
      <c r="BU148" s="77"/>
      <c r="BV148" s="77"/>
      <c r="BW148" s="77"/>
      <c r="BX148" s="77"/>
      <c r="BY148" s="77"/>
      <c r="BZ148" s="77"/>
      <c r="CA148" s="77"/>
      <c r="CB148" s="77"/>
      <c r="CC148" s="77"/>
      <c r="CD148" s="77"/>
      <c r="CE148" s="77"/>
      <c r="CF148" s="77"/>
      <c r="CG148" s="77"/>
      <c r="CH148" s="77"/>
      <c r="CI148" s="77"/>
      <c r="CJ148" s="77"/>
      <c r="CK148" s="77"/>
      <c r="CL148" s="77"/>
      <c r="CM148" s="77"/>
      <c r="CN148" s="77"/>
      <c r="CO148" s="77"/>
      <c r="CP148" s="77"/>
      <c r="CQ148" s="77"/>
      <c r="CR148" s="77"/>
      <c r="CS148" s="77"/>
      <c r="CT148" s="77"/>
      <c r="CU148" s="77"/>
      <c r="CV148" s="77"/>
      <c r="CW148" s="77"/>
      <c r="CX148" s="77"/>
      <c r="CY148" s="77"/>
      <c r="CZ148" s="77"/>
      <c r="DA148" s="77"/>
      <c r="DB148" s="77"/>
      <c r="DC148" s="77"/>
      <c r="DD148" s="77"/>
      <c r="DE148" s="77"/>
      <c r="DF148" s="77"/>
      <c r="DG148" s="77"/>
      <c r="DH148" s="77"/>
      <c r="DI148" s="77"/>
      <c r="DJ148" s="77"/>
      <c r="DK148" s="77"/>
      <c r="DL148" s="77"/>
      <c r="DM148" s="77"/>
      <c r="DN148" s="77"/>
      <c r="DO148" s="77"/>
      <c r="DP148" s="77"/>
      <c r="DQ148" s="77"/>
      <c r="DR148" s="77"/>
      <c r="DS148" s="77"/>
      <c r="DT148" s="77"/>
      <c r="DU148" s="77"/>
      <c r="DV148" s="77"/>
      <c r="DW148" s="77"/>
      <c r="DX148" s="77"/>
      <c r="DY148" s="77"/>
      <c r="DZ148" s="77"/>
      <c r="EA148" s="77"/>
      <c r="EB148" s="77"/>
      <c r="EC148" s="77"/>
      <c r="ED148" s="77"/>
      <c r="EE148" s="77"/>
      <c r="EF148" s="77"/>
      <c r="EG148" s="77"/>
      <c r="EH148" s="77"/>
      <c r="EI148" s="77"/>
      <c r="EJ148" s="77"/>
      <c r="EK148" s="77"/>
      <c r="EL148" s="77"/>
      <c r="EM148" s="77"/>
      <c r="EN148" s="77"/>
      <c r="EO148" s="77"/>
      <c r="EP148" s="77"/>
      <c r="EQ148" s="77"/>
      <c r="ER148" s="77"/>
      <c r="ES148" s="77"/>
      <c r="ET148" s="77"/>
      <c r="EU148" s="77"/>
      <c r="EV148" s="77"/>
      <c r="EW148" s="77"/>
      <c r="EX148" s="77"/>
      <c r="EY148" s="77"/>
      <c r="EZ148" s="77"/>
      <c r="FA148" s="77"/>
      <c r="FB148" s="77"/>
      <c r="FC148" s="77"/>
      <c r="FD148" s="77"/>
      <c r="FE148" s="77"/>
      <c r="FF148" s="77"/>
      <c r="FG148" s="77"/>
      <c r="FH148" s="77"/>
      <c r="FI148" s="77"/>
      <c r="FJ148" s="77"/>
      <c r="FK148" s="77"/>
      <c r="FL148" s="77"/>
      <c r="FM148" s="77"/>
      <c r="FN148" s="77"/>
      <c r="FO148" s="77"/>
      <c r="FP148" s="77"/>
      <c r="FQ148" s="77"/>
      <c r="FR148" s="77"/>
      <c r="FS148" s="77"/>
      <c r="FT148" s="77"/>
      <c r="FU148" s="77"/>
      <c r="FV148" s="77"/>
      <c r="FW148" s="77"/>
      <c r="FX148" s="77"/>
      <c r="FY148" s="77"/>
      <c r="FZ148" s="77"/>
      <c r="GA148" s="77"/>
      <c r="GB148" s="77"/>
      <c r="GC148" s="77"/>
    </row>
    <row r="149" spans="1:185">
      <c r="A149" s="80"/>
      <c r="B149" s="80" t="s">
        <v>170</v>
      </c>
      <c r="C149" s="80"/>
      <c r="D149" s="80"/>
      <c r="E149" s="82"/>
      <c r="F149" s="104">
        <f>IF(F5&lt;=Assumptions!$E$15, Assumptions!$D$16, IF(F5&lt;=Assumptions!$F$15, Assumptions!$E$16, IF(F5&lt;=Assumptions!$G$15, Assumptions!$F$16, Assumptions!$G$16)))</f>
        <v>8</v>
      </c>
      <c r="G149" s="104">
        <f>IF(G5&lt;=Assumptions!$E$15, Assumptions!$D$16, IF(G5&lt;=Assumptions!$F$15, Assumptions!$E$16, IF(G5&lt;=Assumptions!$G$15, Assumptions!$F$16, Assumptions!$G$16)))</f>
        <v>8</v>
      </c>
      <c r="H149" s="104">
        <f>IF(H5&lt;=Assumptions!$E$15, Assumptions!$D$16, IF(H5&lt;=Assumptions!$F$15, Assumptions!$E$16, IF(H5&lt;=Assumptions!$G$15, Assumptions!$F$16, Assumptions!$G$16)))</f>
        <v>8</v>
      </c>
      <c r="I149" s="104">
        <f>IF(I5&lt;=Assumptions!$E$15, Assumptions!$D$16, IF(I5&lt;=Assumptions!$F$15, Assumptions!$E$16, IF(I5&lt;=Assumptions!$G$15, Assumptions!$F$16, Assumptions!$G$16)))</f>
        <v>8</v>
      </c>
      <c r="J149" s="104">
        <f>IF(J5&lt;=Assumptions!$E$15, Assumptions!$D$16, IF(J5&lt;=Assumptions!$F$15, Assumptions!$E$16, IF(J5&lt;=Assumptions!$G$15, Assumptions!$F$16, Assumptions!$G$16)))</f>
        <v>8</v>
      </c>
      <c r="K149" s="104">
        <f>IF(K5&lt;=Assumptions!$E$15, Assumptions!$D$16, IF(K5&lt;=Assumptions!$F$15, Assumptions!$E$16, IF(K5&lt;=Assumptions!$G$15, Assumptions!$F$16, Assumptions!$G$16)))</f>
        <v>8</v>
      </c>
      <c r="L149" s="104">
        <f>IF(L5&lt;=Assumptions!$E$15, Assumptions!$D$16, IF(L5&lt;=Assumptions!$F$15, Assumptions!$E$16, IF(L5&lt;=Assumptions!$G$15, Assumptions!$F$16, Assumptions!$G$16)))</f>
        <v>8</v>
      </c>
      <c r="M149" s="104">
        <f>IF(M5&lt;=Assumptions!$E$15, Assumptions!$D$16, IF(M5&lt;=Assumptions!$F$15, Assumptions!$E$16, IF(M5&lt;=Assumptions!$G$15, Assumptions!$F$16, Assumptions!$G$16)))</f>
        <v>8</v>
      </c>
      <c r="N149" s="104">
        <f>IF(N5&lt;=Assumptions!$E$15, Assumptions!$D$16, IF(N5&lt;=Assumptions!$F$15, Assumptions!$E$16, IF(N5&lt;=Assumptions!$G$15, Assumptions!$F$16, Assumptions!$G$16)))</f>
        <v>8</v>
      </c>
      <c r="O149" s="104">
        <f>IF(O5&lt;=Assumptions!$E$15, Assumptions!$D$16, IF(O5&lt;=Assumptions!$F$15, Assumptions!$E$16, IF(O5&lt;=Assumptions!$G$15, Assumptions!$F$16, Assumptions!$G$16)))</f>
        <v>8</v>
      </c>
      <c r="P149" s="104">
        <f>IF(P5&lt;=Assumptions!$E$15, Assumptions!$D$16, IF(P5&lt;=Assumptions!$F$15, Assumptions!$E$16, IF(P5&lt;=Assumptions!$G$15, Assumptions!$F$16, Assumptions!$G$16)))</f>
        <v>8</v>
      </c>
      <c r="Q149" s="104">
        <f>IF(Q5&lt;=Assumptions!$E$15, Assumptions!$D$16, IF(Q5&lt;=Assumptions!$F$15, Assumptions!$E$16, IF(Q5&lt;=Assumptions!$G$15, Assumptions!$F$16, Assumptions!$G$16)))</f>
        <v>8</v>
      </c>
      <c r="R149" s="104">
        <f>IF(R5&lt;=Assumptions!$E$15, Assumptions!$D$16, IF(R5&lt;=Assumptions!$F$15, Assumptions!$E$16, IF(R5&lt;=Assumptions!$G$15, Assumptions!$F$16, Assumptions!$G$16)))</f>
        <v>8</v>
      </c>
      <c r="S149" s="104">
        <f>IF(S5&lt;=Assumptions!$E$15, Assumptions!$D$16, IF(S5&lt;=Assumptions!$F$15, Assumptions!$E$16, IF(S5&lt;=Assumptions!$G$15, Assumptions!$F$16, Assumptions!$G$16)))</f>
        <v>8</v>
      </c>
      <c r="T149" s="104">
        <f>IF(T5&lt;=Assumptions!$E$15, Assumptions!$D$16, IF(T5&lt;=Assumptions!$F$15, Assumptions!$E$16, IF(T5&lt;=Assumptions!$G$15, Assumptions!$F$16, Assumptions!$G$16)))</f>
        <v>8</v>
      </c>
      <c r="U149" s="104">
        <f>IF(U5&lt;=Assumptions!$E$15, Assumptions!$D$16, IF(U5&lt;=Assumptions!$F$15, Assumptions!$E$16, IF(U5&lt;=Assumptions!$G$15, Assumptions!$F$16, Assumptions!$G$16)))</f>
        <v>8</v>
      </c>
      <c r="V149" s="104">
        <f>IF(V5&lt;=Assumptions!$E$15, Assumptions!$D$16, IF(V5&lt;=Assumptions!$F$15, Assumptions!$E$16, IF(V5&lt;=Assumptions!$G$15, Assumptions!$F$16, Assumptions!$G$16)))</f>
        <v>8</v>
      </c>
      <c r="W149" s="104">
        <f>IF(W5&lt;=Assumptions!$E$15, Assumptions!$D$16, IF(W5&lt;=Assumptions!$F$15, Assumptions!$E$16, IF(W5&lt;=Assumptions!$G$15, Assumptions!$F$16, Assumptions!$G$16)))</f>
        <v>8</v>
      </c>
      <c r="X149" s="104">
        <f>IF(X5&lt;=Assumptions!$E$15, Assumptions!$D$16, IF(X5&lt;=Assumptions!$F$15, Assumptions!$E$16, IF(X5&lt;=Assumptions!$G$15, Assumptions!$F$16, Assumptions!$G$16)))</f>
        <v>8</v>
      </c>
      <c r="Y149" s="104">
        <f>IF(Y5&lt;=Assumptions!$E$15, Assumptions!W$16, IF(Y5&lt;=Assumptions!$F$15, Assumptions!$E$16, IF(Y5&lt;=Assumptions!$G$15, Assumptions!$F$16, Assumptions!$G$16)))</f>
        <v>8</v>
      </c>
      <c r="Z149" s="104">
        <f>IF(Z5&lt;=Assumptions!$E$15, Assumptions!X$16, IF(Z5&lt;=Assumptions!$F$15, Assumptions!$E$16, IF(Z5&lt;=Assumptions!$G$15, Assumptions!$F$16, Assumptions!$G$16)))</f>
        <v>8</v>
      </c>
      <c r="AA149" s="104">
        <f>IF(AA5&lt;=Assumptions!$E$15, Assumptions!Y$16, IF(AA5&lt;=Assumptions!$F$15, Assumptions!$E$16, IF(AA5&lt;=Assumptions!$G$15, Assumptions!$F$16, Assumptions!$G$16)))</f>
        <v>8</v>
      </c>
      <c r="AB149" s="104">
        <f>IF(AB5&lt;=Assumptions!$E$15, Assumptions!Z$16, IF(AB5&lt;=Assumptions!$F$15, Assumptions!$E$16, IF(AB5&lt;=Assumptions!$G$15, Assumptions!$F$16, Assumptions!$G$16)))</f>
        <v>8</v>
      </c>
      <c r="AC149" s="104">
        <f>IF(AC5&lt;=Assumptions!$E$15, Assumptions!AA$16, IF(AC5&lt;=Assumptions!$F$15, Assumptions!$E$16, IF(AC5&lt;=Assumptions!$G$15, Assumptions!$F$16, Assumptions!$G$16)))</f>
        <v>8</v>
      </c>
      <c r="AD149" s="104">
        <f>IF(AD5&lt;=Assumptions!$E$15, Assumptions!AB$16, IF(AD5&lt;=Assumptions!$F$15, Assumptions!$E$16, IF(AD5&lt;=Assumptions!$G$15, Assumptions!$F$16, Assumptions!$G$16)))</f>
        <v>8</v>
      </c>
      <c r="AE149" s="104">
        <f>IF(AE5&lt;=Assumptions!$E$15, Assumptions!AC$16, IF(AE5&lt;=Assumptions!$F$15, Assumptions!$E$16, IF(AE5&lt;=Assumptions!$G$15, Assumptions!$F$16, Assumptions!$G$16)))</f>
        <v>8</v>
      </c>
      <c r="AF149" s="104">
        <f>IF(AF5&lt;=Assumptions!$E$15, Assumptions!AD$16, IF(AF5&lt;=Assumptions!$F$15, Assumptions!$E$16, IF(AF5&lt;=Assumptions!$G$15, Assumptions!$F$16, Assumptions!$G$16)))</f>
        <v>8</v>
      </c>
      <c r="AG149" s="104">
        <f>IF(AG5&lt;=Assumptions!$E$15, Assumptions!AE$16, IF(AG5&lt;=Assumptions!$F$15, Assumptions!$E$16, IF(AG5&lt;=Assumptions!$G$15, Assumptions!$F$16, Assumptions!$G$16)))</f>
        <v>8</v>
      </c>
      <c r="AH149" s="104">
        <f>IF(AH5&lt;=Assumptions!$E$15, Assumptions!AF$16, IF(AH5&lt;=Assumptions!$F$15, Assumptions!$E$16, IF(AH5&lt;=Assumptions!$G$15, Assumptions!$F$16, Assumptions!$G$16)))</f>
        <v>8</v>
      </c>
      <c r="AI149" s="104">
        <f>IF(AI5&lt;=Assumptions!$E$15, Assumptions!AG$16, IF(AI5&lt;=Assumptions!$F$15, Assumptions!$E$16, IF(AI5&lt;=Assumptions!$G$15, Assumptions!$F$16, Assumptions!$G$16)))</f>
        <v>8</v>
      </c>
      <c r="AJ149" s="104">
        <f>IF(AJ5&lt;=Assumptions!$E$15, Assumptions!AH$16, IF(AJ5&lt;=Assumptions!$F$15, Assumptions!$E$16, IF(AJ5&lt;=Assumptions!$G$15, Assumptions!$F$16, Assumptions!$G$16)))</f>
        <v>8</v>
      </c>
      <c r="AK149" s="104">
        <f>IF(AK5&lt;=Assumptions!$E$15, Assumptions!AI$16, IF(AK5&lt;=Assumptions!$F$15, Assumptions!$E$16, IF(AK5&lt;=Assumptions!$G$15, Assumptions!$F$16, Assumptions!$G$16)))</f>
        <v>8</v>
      </c>
      <c r="AL149" s="104">
        <f>IF(AL5&lt;=Assumptions!$E$15, Assumptions!AJ$16, IF(AL5&lt;=Assumptions!$F$15, Assumptions!$E$16, IF(AL5&lt;=Assumptions!$G$15, Assumptions!$F$16, Assumptions!$G$16)))</f>
        <v>8</v>
      </c>
      <c r="AM149" s="104">
        <f>IF(AM5&lt;=Assumptions!$E$15, Assumptions!AK$16, IF(AM5&lt;=Assumptions!$F$15, Assumptions!$E$16, IF(AM5&lt;=Assumptions!$G$15, Assumptions!$F$16, Assumptions!$G$16)))</f>
        <v>8</v>
      </c>
      <c r="AN149" s="104">
        <f>IF(AN5&lt;=Assumptions!$E$15, Assumptions!AL$16, IF(AN5&lt;=Assumptions!$F$15, Assumptions!$E$16, IF(AN5&lt;=Assumptions!$G$15, Assumptions!$F$16, Assumptions!$G$16)))</f>
        <v>8</v>
      </c>
      <c r="AO149" s="104">
        <f>IF(AO5&lt;=Assumptions!$E$15, Assumptions!AM$16, IF(AO5&lt;=Assumptions!$F$15, Assumptions!$E$16, IF(AO5&lt;=Assumptions!$G$15, Assumptions!$F$16, Assumptions!$G$16)))</f>
        <v>8</v>
      </c>
      <c r="AP149" s="104">
        <f>IF(AP5&lt;=Assumptions!$E$15, Assumptions!AN$16, IF(AP5&lt;=Assumptions!$F$15, Assumptions!$E$16, IF(AP5&lt;=Assumptions!$G$15, Assumptions!$F$16, Assumptions!$G$16)))</f>
        <v>8</v>
      </c>
      <c r="AQ149" s="104">
        <f>IF(AQ5&lt;=Assumptions!$E$15, Assumptions!AO$16, IF(AQ5&lt;=Assumptions!$F$15, Assumptions!$E$16, IF(AQ5&lt;=Assumptions!$G$15, Assumptions!$F$16, Assumptions!$G$16)))</f>
        <v>8</v>
      </c>
      <c r="AR149" s="104">
        <f>IF(AR5&lt;=Assumptions!$E$15, Assumptions!AP$16, IF(AR5&lt;=Assumptions!$F$15, Assumptions!$E$16, IF(AR5&lt;=Assumptions!$G$15, Assumptions!$F$16, Assumptions!$G$16)))</f>
        <v>8</v>
      </c>
      <c r="AS149" s="104">
        <f>IF(AS5&lt;=Assumptions!$E$15, Assumptions!AQ$16, IF(AS5&lt;=Assumptions!$F$15, Assumptions!$E$16, IF(AS5&lt;=Assumptions!$G$15, Assumptions!$F$16, Assumptions!$G$16)))</f>
        <v>8</v>
      </c>
      <c r="AT149" s="104">
        <f>IF(AT5&lt;=Assumptions!$E$15, Assumptions!AR$16, IF(AT5&lt;=Assumptions!$F$15, Assumptions!$E$16, IF(AT5&lt;=Assumptions!$G$15, Assumptions!$F$16, Assumptions!$G$16)))</f>
        <v>8</v>
      </c>
      <c r="AU149" s="104">
        <f>IF(AU5&lt;=Assumptions!$E$15, Assumptions!AS$16, IF(AU5&lt;=Assumptions!$F$15, Assumptions!$E$16, IF(AU5&lt;=Assumptions!$G$15, Assumptions!$F$16, Assumptions!$G$16)))</f>
        <v>8</v>
      </c>
      <c r="AV149" s="104">
        <f>IF(AV5&lt;=Assumptions!$E$15, Assumptions!AT$16, IF(AV5&lt;=Assumptions!$F$15, Assumptions!$E$16, IF(AV5&lt;=Assumptions!$G$15, Assumptions!$F$16, Assumptions!$G$16)))</f>
        <v>8</v>
      </c>
      <c r="AW149" s="104">
        <f>IF(AW5&lt;=Assumptions!$E$15, Assumptions!AU$16, IF(AW5&lt;=Assumptions!$F$15, Assumptions!$E$16, IF(AW5&lt;=Assumptions!$G$15, Assumptions!$F$16, Assumptions!$G$16)))</f>
        <v>8</v>
      </c>
      <c r="AX149" s="104">
        <f>IF(AX5&lt;=Assumptions!$E$15, Assumptions!AV$16, IF(AX5&lt;=Assumptions!$F$15, Assumptions!$E$16, IF(AX5&lt;=Assumptions!$G$15, Assumptions!$F$16, Assumptions!$G$16)))</f>
        <v>8</v>
      </c>
      <c r="AY149" s="104">
        <f>IF(AY5&lt;=Assumptions!$E$15, Assumptions!AW$16, IF(AY5&lt;=Assumptions!$F$15, Assumptions!$E$16, IF(AY5&lt;=Assumptions!$G$15, Assumptions!$F$16, Assumptions!$G$16)))</f>
        <v>8</v>
      </c>
      <c r="AZ149" s="104">
        <f>IF(AZ5&lt;=Assumptions!$E$15, Assumptions!AX$16, IF(AZ5&lt;=Assumptions!$F$15, Assumptions!$E$16, IF(AZ5&lt;=Assumptions!$G$15, Assumptions!$F$16, Assumptions!$G$16)))</f>
        <v>8</v>
      </c>
      <c r="BA149" s="104">
        <f>IF(BA5&lt;=Assumptions!$E$15, Assumptions!AY$16, IF(BA5&lt;=Assumptions!$F$15, Assumptions!$E$16, IF(BA5&lt;=Assumptions!$G$15, Assumptions!$F$16, Assumptions!$G$16)))</f>
        <v>8</v>
      </c>
      <c r="BB149" s="104">
        <f>IF(BB5&lt;=Assumptions!$E$15, Assumptions!AZ$16, IF(BB5&lt;=Assumptions!$F$15, Assumptions!$E$16, IF(BB5&lt;=Assumptions!$G$15, Assumptions!$F$16, Assumptions!$G$16)))</f>
        <v>8</v>
      </c>
      <c r="BC149" s="104">
        <f>IF(BC5&lt;=Assumptions!$E$15, Assumptions!BA$16, IF(BC5&lt;=Assumptions!$F$15, Assumptions!$E$16, IF(BC5&lt;=Assumptions!$G$15, Assumptions!$F$16, Assumptions!$G$16)))</f>
        <v>8</v>
      </c>
      <c r="BD149" s="104">
        <f>IF(BD5&lt;=Assumptions!$E$15, Assumptions!BB$16, IF(BD5&lt;=Assumptions!$F$15, Assumptions!$E$16, IF(BD5&lt;=Assumptions!$G$15, Assumptions!$F$16, Assumptions!$G$16)))</f>
        <v>8</v>
      </c>
      <c r="BE149" s="104">
        <f>IF(BE5&lt;=Assumptions!$E$15, Assumptions!BC$16, IF(BE5&lt;=Assumptions!$F$15, Assumptions!$E$16, IF(BE5&lt;=Assumptions!$G$15, Assumptions!$F$16, Assumptions!$G$16)))</f>
        <v>8</v>
      </c>
      <c r="BF149" s="104">
        <f>IF(BF5&lt;=Assumptions!$E$15, Assumptions!BD$16, IF(BF5&lt;=Assumptions!$F$15, Assumptions!$E$16, IF(BF5&lt;=Assumptions!$G$15, Assumptions!$F$16, Assumptions!$G$16)))</f>
        <v>8</v>
      </c>
      <c r="BG149" s="104">
        <f>IF(BG5&lt;=Assumptions!$E$15, Assumptions!BE$16, IF(BG5&lt;=Assumptions!$F$15, Assumptions!$E$16, IF(BG5&lt;=Assumptions!$G$15, Assumptions!$F$16, Assumptions!$G$16)))</f>
        <v>8</v>
      </c>
      <c r="BH149" s="104">
        <f>IF(BH5&lt;=Assumptions!$E$15, Assumptions!BF$16, IF(BH5&lt;=Assumptions!$F$15, Assumptions!$E$16, IF(BH5&lt;=Assumptions!$G$15, Assumptions!$F$16, Assumptions!$G$16)))</f>
        <v>8</v>
      </c>
      <c r="BI149" s="104">
        <f>IF(BI5&lt;=Assumptions!$E$15, Assumptions!BG$16, IF(BI5&lt;=Assumptions!$F$15, Assumptions!$E$16, IF(BI5&lt;=Assumptions!$G$15, Assumptions!$F$16, Assumptions!$G$16)))</f>
        <v>8</v>
      </c>
      <c r="BJ149" s="104">
        <f>IF(BJ5&lt;=Assumptions!$E$15, Assumptions!BH$16, IF(BJ5&lt;=Assumptions!$F$15, Assumptions!$E$16, IF(BJ5&lt;=Assumptions!$G$15, Assumptions!$F$16, Assumptions!$G$16)))</f>
        <v>8</v>
      </c>
      <c r="BK149" s="104">
        <f>IF(BK5&lt;=Assumptions!$E$15, Assumptions!BI$16, IF(BK5&lt;=Assumptions!$F$15, Assumptions!$E$16, IF(BK5&lt;=Assumptions!$G$15, Assumptions!$F$16, Assumptions!$G$16)))</f>
        <v>8</v>
      </c>
      <c r="BL149" s="104">
        <f>IF(BL5&lt;=Assumptions!$E$15, Assumptions!BJ$16, IF(BL5&lt;=Assumptions!$F$15, Assumptions!$E$16, IF(BL5&lt;=Assumptions!$G$15, Assumptions!$F$16, Assumptions!$G$16)))</f>
        <v>8</v>
      </c>
      <c r="BM149" s="104">
        <f>IF(BM5&lt;=Assumptions!$E$15, Assumptions!BK$16, IF(BM5&lt;=Assumptions!$F$15, Assumptions!$E$16, IF(BM5&lt;=Assumptions!$G$15, Assumptions!$F$16, Assumptions!$G$16)))</f>
        <v>8</v>
      </c>
      <c r="BN149" s="104">
        <f>IF(BN5&lt;=Assumptions!$E$15, Assumptions!BL$16, IF(BN5&lt;=Assumptions!$F$15, Assumptions!$E$16, IF(BN5&lt;=Assumptions!$G$15, Assumptions!$F$16, Assumptions!$G$16)))</f>
        <v>8</v>
      </c>
      <c r="BO149" s="104">
        <f>IF(BO5&lt;=Assumptions!$E$15, Assumptions!BM$16, IF(BO5&lt;=Assumptions!$F$15, Assumptions!$E$16, IF(BO5&lt;=Assumptions!$G$15, Assumptions!$F$16, Assumptions!$G$16)))</f>
        <v>8</v>
      </c>
      <c r="BP149" s="104">
        <f>IF(BP5&lt;=Assumptions!$E$15, Assumptions!BN$16, IF(BP5&lt;=Assumptions!$F$15, Assumptions!$E$16, IF(BP5&lt;=Assumptions!$G$15, Assumptions!$F$16, Assumptions!$G$16)))</f>
        <v>8</v>
      </c>
      <c r="BQ149" s="104">
        <f>IF(BQ5&lt;=Assumptions!$E$15, Assumptions!BO$16, IF(BQ5&lt;=Assumptions!$F$15, Assumptions!$E$16, IF(BQ5&lt;=Assumptions!$G$15, Assumptions!$F$16, Assumptions!$G$16)))</f>
        <v>8</v>
      </c>
      <c r="BR149" s="104">
        <f>IF(BR5&lt;=Assumptions!$E$15, Assumptions!BP$16, IF(BR5&lt;=Assumptions!$F$15, Assumptions!$E$16, IF(BR5&lt;=Assumptions!$G$15, Assumptions!$F$16, Assumptions!$G$16)))</f>
        <v>8</v>
      </c>
      <c r="BS149" s="104">
        <f>IF(BS5&lt;=Assumptions!$E$15, Assumptions!BQ$16, IF(BS5&lt;=Assumptions!$F$15, Assumptions!$E$16, IF(BS5&lt;=Assumptions!$G$15, Assumptions!$F$16, Assumptions!$G$16)))</f>
        <v>8</v>
      </c>
      <c r="BT149" s="104">
        <f>IF(BT5&lt;=Assumptions!$E$15, Assumptions!BR$16, IF(BT5&lt;=Assumptions!$F$15, Assumptions!$E$16, IF(BT5&lt;=Assumptions!$G$15, Assumptions!$F$16, Assumptions!$G$16)))</f>
        <v>8</v>
      </c>
      <c r="BU149" s="104">
        <f>IF(BU5&lt;=Assumptions!$E$15, Assumptions!BS$16, IF(BU5&lt;=Assumptions!$F$15, Assumptions!$E$16, IF(BU5&lt;=Assumptions!$G$15, Assumptions!$F$16, Assumptions!$G$16)))</f>
        <v>8</v>
      </c>
      <c r="BV149" s="104">
        <f>IF(BV5&lt;=Assumptions!$E$15, Assumptions!BT$16, IF(BV5&lt;=Assumptions!$F$15, Assumptions!$E$16, IF(BV5&lt;=Assumptions!$G$15, Assumptions!$F$16, Assumptions!$G$16)))</f>
        <v>8</v>
      </c>
      <c r="BW149" s="104">
        <f>IF(BW5&lt;=Assumptions!$E$15, Assumptions!BU$16, IF(BW5&lt;=Assumptions!$F$15, Assumptions!$E$16, IF(BW5&lt;=Assumptions!$G$15, Assumptions!$F$16, Assumptions!$G$16)))</f>
        <v>8</v>
      </c>
      <c r="BX149" s="104">
        <f>IF(BX5&lt;=Assumptions!$E$15, Assumptions!BV$16, IF(BX5&lt;=Assumptions!$F$15, Assumptions!$E$16, IF(BX5&lt;=Assumptions!$G$15, Assumptions!$F$16, Assumptions!$G$16)))</f>
        <v>8</v>
      </c>
      <c r="BY149" s="104">
        <f>IF(BY5&lt;=Assumptions!$E$15, Assumptions!BW$16, IF(BY5&lt;=Assumptions!$F$15, Assumptions!$E$16, IF(BY5&lt;=Assumptions!$G$15, Assumptions!$F$16, Assumptions!$G$16)))</f>
        <v>8</v>
      </c>
      <c r="BZ149" s="104">
        <f>IF(BZ5&lt;=Assumptions!$E$15, Assumptions!BX$16, IF(BZ5&lt;=Assumptions!$F$15, Assumptions!$E$16, IF(BZ5&lt;=Assumptions!$G$15, Assumptions!$F$16, Assumptions!$G$16)))</f>
        <v>8</v>
      </c>
      <c r="CA149" s="104">
        <f>IF(CA5&lt;=Assumptions!$E$15, Assumptions!BY$16, IF(CA5&lt;=Assumptions!$F$15, Assumptions!$E$16, IF(CA5&lt;=Assumptions!$G$15, Assumptions!$F$16, Assumptions!$G$16)))</f>
        <v>8</v>
      </c>
      <c r="CB149" s="104">
        <f>IF(CB5&lt;=Assumptions!$E$15, Assumptions!BZ$16, IF(CB5&lt;=Assumptions!$F$15, Assumptions!$E$16, IF(CB5&lt;=Assumptions!$G$15, Assumptions!$F$16, Assumptions!$G$16)))</f>
        <v>8</v>
      </c>
      <c r="CC149" s="104">
        <f>IF(CC5&lt;=Assumptions!$E$15, Assumptions!CA$16, IF(CC5&lt;=Assumptions!$F$15, Assumptions!$E$16, IF(CC5&lt;=Assumptions!$G$15, Assumptions!$F$16, Assumptions!$G$16)))</f>
        <v>8</v>
      </c>
      <c r="CD149" s="104">
        <f>IF(CD5&lt;=Assumptions!$E$15, Assumptions!CB$16, IF(CD5&lt;=Assumptions!$F$15, Assumptions!$E$16, IF(CD5&lt;=Assumptions!$G$15, Assumptions!$F$16, Assumptions!$G$16)))</f>
        <v>8</v>
      </c>
      <c r="CE149" s="104">
        <f>IF(CE5&lt;=Assumptions!$E$15, Assumptions!CC$16, IF(CE5&lt;=Assumptions!$F$15, Assumptions!$E$16, IF(CE5&lt;=Assumptions!$G$15, Assumptions!$F$16, Assumptions!$G$16)))</f>
        <v>8</v>
      </c>
      <c r="CF149" s="104">
        <f>IF(CF5&lt;=Assumptions!$E$15, Assumptions!CD$16, IF(CF5&lt;=Assumptions!$F$15, Assumptions!$E$16, IF(CF5&lt;=Assumptions!$G$15, Assumptions!$F$16, Assumptions!$G$16)))</f>
        <v>8</v>
      </c>
      <c r="CG149" s="104">
        <f>IF(CG5&lt;=Assumptions!$E$15, Assumptions!CE$16, IF(CG5&lt;=Assumptions!$F$15, Assumptions!$E$16, IF(CG5&lt;=Assumptions!$G$15, Assumptions!$F$16, Assumptions!$G$16)))</f>
        <v>8</v>
      </c>
      <c r="CH149" s="104">
        <f>IF(CH5&lt;=Assumptions!$E$15, Assumptions!CF$16, IF(CH5&lt;=Assumptions!$F$15, Assumptions!$E$16, IF(CH5&lt;=Assumptions!$G$15, Assumptions!$F$16, Assumptions!$G$16)))</f>
        <v>8</v>
      </c>
      <c r="CI149" s="104">
        <f>IF(CI5&lt;=Assumptions!$E$15, Assumptions!CG$16, IF(CI5&lt;=Assumptions!$F$15, Assumptions!$E$16, IF(CI5&lt;=Assumptions!$G$15, Assumptions!$F$16, Assumptions!$G$16)))</f>
        <v>8</v>
      </c>
      <c r="CJ149" s="104">
        <f>IF(CJ5&lt;=Assumptions!$E$15, Assumptions!CH$16, IF(CJ5&lt;=Assumptions!$F$15, Assumptions!$E$16, IF(CJ5&lt;=Assumptions!$G$15, Assumptions!$F$16, Assumptions!$G$16)))</f>
        <v>8</v>
      </c>
      <c r="CK149" s="104">
        <f>IF(CK5&lt;=Assumptions!$E$15, Assumptions!CI$16, IF(CK5&lt;=Assumptions!$F$15, Assumptions!$E$16, IF(CK5&lt;=Assumptions!$G$15, Assumptions!$F$16, Assumptions!$G$16)))</f>
        <v>8</v>
      </c>
      <c r="CL149" s="104">
        <f>IF(CL5&lt;=Assumptions!$E$15, Assumptions!CJ$16, IF(CL5&lt;=Assumptions!$F$15, Assumptions!$E$16, IF(CL5&lt;=Assumptions!$G$15, Assumptions!$F$16, Assumptions!$G$16)))</f>
        <v>8</v>
      </c>
      <c r="CM149" s="104">
        <f>IF(CM5&lt;=Assumptions!$E$15, Assumptions!CK$16, IF(CM5&lt;=Assumptions!$F$15, Assumptions!$E$16, IF(CM5&lt;=Assumptions!$G$15, Assumptions!$F$16, Assumptions!$G$16)))</f>
        <v>8</v>
      </c>
      <c r="CN149" s="104">
        <f>IF(CN5&lt;=Assumptions!$E$15, Assumptions!CL$16, IF(CN5&lt;=Assumptions!$F$15, Assumptions!$E$16, IF(CN5&lt;=Assumptions!$G$15, Assumptions!$F$16, Assumptions!$G$16)))</f>
        <v>8</v>
      </c>
      <c r="CO149" s="104">
        <f>IF(CO5&lt;=Assumptions!$E$15, Assumptions!CM$16, IF(CO5&lt;=Assumptions!$F$15, Assumptions!$E$16, IF(CO5&lt;=Assumptions!$G$15, Assumptions!$F$16, Assumptions!$G$16)))</f>
        <v>8</v>
      </c>
      <c r="CP149" s="104">
        <f>IF(CP5&lt;=Assumptions!$E$15, Assumptions!CN$16, IF(CP5&lt;=Assumptions!$F$15, Assumptions!$E$16, IF(CP5&lt;=Assumptions!$G$15, Assumptions!$F$16, Assumptions!$G$16)))</f>
        <v>8</v>
      </c>
      <c r="CQ149" s="104">
        <f>IF(CQ5&lt;=Assumptions!$E$15, Assumptions!CO$16, IF(CQ5&lt;=Assumptions!$F$15, Assumptions!$E$16, IF(CQ5&lt;=Assumptions!$G$15, Assumptions!$F$16, Assumptions!$G$16)))</f>
        <v>8</v>
      </c>
      <c r="CR149" s="104">
        <f>IF(CR5&lt;=Assumptions!$E$15, Assumptions!CP$16, IF(CR5&lt;=Assumptions!$F$15, Assumptions!$E$16, IF(CR5&lt;=Assumptions!$G$15, Assumptions!$F$16, Assumptions!$G$16)))</f>
        <v>8</v>
      </c>
      <c r="CS149" s="104">
        <f>IF(CS5&lt;=Assumptions!$E$15, Assumptions!CQ$16, IF(CS5&lt;=Assumptions!$F$15, Assumptions!$E$16, IF(CS5&lt;=Assumptions!$G$15, Assumptions!$F$16, Assumptions!$G$16)))</f>
        <v>8</v>
      </c>
      <c r="CT149" s="104">
        <f>IF(CT5&lt;=Assumptions!$E$15, Assumptions!CR$16, IF(CT5&lt;=Assumptions!$F$15, Assumptions!$E$16, IF(CT5&lt;=Assumptions!$G$15, Assumptions!$F$16, Assumptions!$G$16)))</f>
        <v>8</v>
      </c>
      <c r="CU149" s="104">
        <f>IF(CU5&lt;=Assumptions!$E$15, Assumptions!CS$16, IF(CU5&lt;=Assumptions!$F$15, Assumptions!$E$16, IF(CU5&lt;=Assumptions!$G$15, Assumptions!$F$16, Assumptions!$G$16)))</f>
        <v>8</v>
      </c>
      <c r="CV149" s="104">
        <f>IF(CV5&lt;=Assumptions!$E$15, Assumptions!CT$16, IF(CV5&lt;=Assumptions!$F$15, Assumptions!$E$16, IF(CV5&lt;=Assumptions!$G$15, Assumptions!$F$16, Assumptions!$G$16)))</f>
        <v>8</v>
      </c>
      <c r="CW149" s="104">
        <f>IF(CW5&lt;=Assumptions!$E$15, Assumptions!CU$16, IF(CW5&lt;=Assumptions!$F$15, Assumptions!$E$16, IF(CW5&lt;=Assumptions!$G$15, Assumptions!$F$16, Assumptions!$G$16)))</f>
        <v>8</v>
      </c>
      <c r="CX149" s="104">
        <f>IF(CX5&lt;=Assumptions!$E$15, Assumptions!CV$16, IF(CX5&lt;=Assumptions!$F$15, Assumptions!$E$16, IF(CX5&lt;=Assumptions!$G$15, Assumptions!$F$16, Assumptions!$G$16)))</f>
        <v>8</v>
      </c>
      <c r="CY149" s="104">
        <f>IF(CY5&lt;=Assumptions!$E$15, Assumptions!CW$16, IF(CY5&lt;=Assumptions!$F$15, Assumptions!$E$16, IF(CY5&lt;=Assumptions!$G$15, Assumptions!$F$16, Assumptions!$G$16)))</f>
        <v>8</v>
      </c>
      <c r="CZ149" s="104">
        <f>IF(CZ5&lt;=Assumptions!$E$15, Assumptions!CX$16, IF(CZ5&lt;=Assumptions!$F$15, Assumptions!$E$16, IF(CZ5&lt;=Assumptions!$G$15, Assumptions!$F$16, Assumptions!$G$16)))</f>
        <v>8</v>
      </c>
      <c r="DA149" s="104">
        <f>IF(DA5&lt;=Assumptions!$E$15, Assumptions!CY$16, IF(DA5&lt;=Assumptions!$F$15, Assumptions!$E$16, IF(DA5&lt;=Assumptions!$G$15, Assumptions!$F$16, Assumptions!$G$16)))</f>
        <v>8</v>
      </c>
      <c r="DB149" s="104">
        <f>IF(DB5&lt;=Assumptions!$E$15, Assumptions!CZ$16, IF(DB5&lt;=Assumptions!$F$15, Assumptions!$E$16, IF(DB5&lt;=Assumptions!$G$15, Assumptions!$F$16, Assumptions!$G$16)))</f>
        <v>8</v>
      </c>
      <c r="DC149" s="104">
        <f>IF(DC5&lt;=Assumptions!$E$15, Assumptions!DA$16, IF(DC5&lt;=Assumptions!$F$15, Assumptions!$E$16, IF(DC5&lt;=Assumptions!$G$15, Assumptions!$F$16, Assumptions!$G$16)))</f>
        <v>8</v>
      </c>
      <c r="DD149" s="104">
        <f>IF(DD5&lt;=Assumptions!$E$15, Assumptions!DB$16, IF(DD5&lt;=Assumptions!$F$15, Assumptions!$E$16, IF(DD5&lt;=Assumptions!$G$15, Assumptions!$F$16, Assumptions!$G$16)))</f>
        <v>8</v>
      </c>
      <c r="DE149" s="104">
        <f>IF(DE5&lt;=Assumptions!$E$15, Assumptions!DC$16, IF(DE5&lt;=Assumptions!$F$15, Assumptions!$E$16, IF(DE5&lt;=Assumptions!$G$15, Assumptions!$F$16, Assumptions!$G$16)))</f>
        <v>8</v>
      </c>
      <c r="DF149" s="104">
        <f>IF(DF5&lt;=Assumptions!$E$15, Assumptions!DD$16, IF(DF5&lt;=Assumptions!$F$15, Assumptions!$E$16, IF(DF5&lt;=Assumptions!$G$15, Assumptions!$F$16, Assumptions!$G$16)))</f>
        <v>8</v>
      </c>
      <c r="DG149" s="104">
        <f>IF(DG5&lt;=Assumptions!$E$15, Assumptions!DE$16, IF(DG5&lt;=Assumptions!$F$15, Assumptions!$E$16, IF(DG5&lt;=Assumptions!$G$15, Assumptions!$F$16, Assumptions!$G$16)))</f>
        <v>8</v>
      </c>
      <c r="DH149" s="104">
        <f>IF(DH5&lt;=Assumptions!$E$15, Assumptions!DF$16, IF(DH5&lt;=Assumptions!$F$15, Assumptions!$E$16, IF(DH5&lt;=Assumptions!$G$15, Assumptions!$F$16, Assumptions!$G$16)))</f>
        <v>8</v>
      </c>
      <c r="DI149" s="104">
        <f>IF(DI5&lt;=Assumptions!$E$15, Assumptions!DG$16, IF(DI5&lt;=Assumptions!$F$15, Assumptions!$E$16, IF(DI5&lt;=Assumptions!$G$15, Assumptions!$F$16, Assumptions!$G$16)))</f>
        <v>8</v>
      </c>
      <c r="DJ149" s="104">
        <f>IF(DJ5&lt;=Assumptions!$E$15, Assumptions!DH$16, IF(DJ5&lt;=Assumptions!$F$15, Assumptions!$E$16, IF(DJ5&lt;=Assumptions!$G$15, Assumptions!$F$16, Assumptions!$G$16)))</f>
        <v>8</v>
      </c>
      <c r="DK149" s="104">
        <f>IF(DK5&lt;=Assumptions!$E$15, Assumptions!DI$16, IF(DK5&lt;=Assumptions!$F$15, Assumptions!$E$16, IF(DK5&lt;=Assumptions!$G$15, Assumptions!$F$16, Assumptions!$G$16)))</f>
        <v>8</v>
      </c>
      <c r="DL149" s="104">
        <f>IF(DL5&lt;=Assumptions!$E$15, Assumptions!DJ$16, IF(DL5&lt;=Assumptions!$F$15, Assumptions!$E$16, IF(DL5&lt;=Assumptions!$G$15, Assumptions!$F$16, Assumptions!$G$16)))</f>
        <v>8</v>
      </c>
      <c r="DM149" s="104">
        <f>IF(DM5&lt;=Assumptions!$E$15, Assumptions!DK$16, IF(DM5&lt;=Assumptions!$F$15, Assumptions!$E$16, IF(DM5&lt;=Assumptions!$G$15, Assumptions!$F$16, Assumptions!$G$16)))</f>
        <v>8</v>
      </c>
      <c r="DN149" s="104">
        <f>IF(DN5&lt;=Assumptions!$E$15, Assumptions!DL$16, IF(DN5&lt;=Assumptions!$F$15, Assumptions!$E$16, IF(DN5&lt;=Assumptions!$G$15, Assumptions!$F$16, Assumptions!$G$16)))</f>
        <v>8</v>
      </c>
      <c r="DO149" s="104">
        <f>IF(DO5&lt;=Assumptions!$E$15, Assumptions!DM$16, IF(DO5&lt;=Assumptions!$F$15, Assumptions!$E$16, IF(DO5&lt;=Assumptions!$G$15, Assumptions!$F$16, Assumptions!$G$16)))</f>
        <v>8</v>
      </c>
      <c r="DP149" s="104">
        <f>IF(DP5&lt;=Assumptions!$E$15, Assumptions!DN$16, IF(DP5&lt;=Assumptions!$F$15, Assumptions!$E$16, IF(DP5&lt;=Assumptions!$G$15, Assumptions!$F$16, Assumptions!$G$16)))</f>
        <v>8</v>
      </c>
      <c r="DQ149" s="104">
        <f>IF(DQ5&lt;=Assumptions!$E$15, Assumptions!DO$16, IF(DQ5&lt;=Assumptions!$F$15, Assumptions!$E$16, IF(DQ5&lt;=Assumptions!$G$15, Assumptions!$F$16, Assumptions!$G$16)))</f>
        <v>8</v>
      </c>
      <c r="DR149" s="104">
        <f>IF(DR5&lt;=Assumptions!$E$15, Assumptions!DP$16, IF(DR5&lt;=Assumptions!$F$15, Assumptions!$E$16, IF(DR5&lt;=Assumptions!$G$15, Assumptions!$F$16, Assumptions!$G$16)))</f>
        <v>8</v>
      </c>
      <c r="DS149" s="104">
        <f>IF(DS5&lt;=Assumptions!$E$15, Assumptions!DQ$16, IF(DS5&lt;=Assumptions!$F$15, Assumptions!$E$16, IF(DS5&lt;=Assumptions!$G$15, Assumptions!$F$16, Assumptions!$G$16)))</f>
        <v>8</v>
      </c>
      <c r="DT149" s="104">
        <f>IF(DT5&lt;=Assumptions!$E$15, Assumptions!DR$16, IF(DT5&lt;=Assumptions!$F$15, Assumptions!$E$16, IF(DT5&lt;=Assumptions!$G$15, Assumptions!$F$16, Assumptions!$G$16)))</f>
        <v>8</v>
      </c>
      <c r="DU149" s="104">
        <f>IF(DU5&lt;=Assumptions!$E$15, Assumptions!DS$16, IF(DU5&lt;=Assumptions!$F$15, Assumptions!$E$16, IF(DU5&lt;=Assumptions!$G$15, Assumptions!$F$16, Assumptions!$G$16)))</f>
        <v>8</v>
      </c>
      <c r="DV149" s="104">
        <f>IF(DV5&lt;=Assumptions!$E$15, Assumptions!DT$16, IF(DV5&lt;=Assumptions!$F$15, Assumptions!$E$16, IF(DV5&lt;=Assumptions!$G$15, Assumptions!$F$16, Assumptions!$G$16)))</f>
        <v>8</v>
      </c>
      <c r="DW149" s="104">
        <f>IF(DW5&lt;=Assumptions!$E$15, Assumptions!DU$16, IF(DW5&lt;=Assumptions!$F$15, Assumptions!$E$16, IF(DW5&lt;=Assumptions!$G$15, Assumptions!$F$16, Assumptions!$G$16)))</f>
        <v>8</v>
      </c>
      <c r="DX149" s="104">
        <f>IF(DX5&lt;=Assumptions!$E$15, Assumptions!DV$16, IF(DX5&lt;=Assumptions!$F$15, Assumptions!$E$16, IF(DX5&lt;=Assumptions!$G$15, Assumptions!$F$16, Assumptions!$G$16)))</f>
        <v>8</v>
      </c>
      <c r="DY149" s="104">
        <f>IF(DY5&lt;=Assumptions!$E$15, Assumptions!DW$16, IF(DY5&lt;=Assumptions!$F$15, Assumptions!$E$16, IF(DY5&lt;=Assumptions!$G$15, Assumptions!$F$16, Assumptions!$G$16)))</f>
        <v>8</v>
      </c>
      <c r="DZ149" s="104">
        <f>IF(DZ5&lt;=Assumptions!$E$15, Assumptions!DX$16, IF(DZ5&lt;=Assumptions!$F$15, Assumptions!$E$16, IF(DZ5&lt;=Assumptions!$G$15, Assumptions!$F$16, Assumptions!$G$16)))</f>
        <v>8</v>
      </c>
      <c r="EA149" s="104">
        <f>IF(EA5&lt;=Assumptions!$E$15, Assumptions!DY$16, IF(EA5&lt;=Assumptions!$F$15, Assumptions!$E$16, IF(EA5&lt;=Assumptions!$G$15, Assumptions!$F$16, Assumptions!$G$16)))</f>
        <v>8</v>
      </c>
      <c r="EB149" s="104">
        <f>IF(EB5&lt;=Assumptions!$E$15, Assumptions!DZ$16, IF(EB5&lt;=Assumptions!$F$15, Assumptions!$E$16, IF(EB5&lt;=Assumptions!$G$15, Assumptions!$F$16, Assumptions!$G$16)))</f>
        <v>8</v>
      </c>
      <c r="EC149" s="104">
        <f>IF(EC5&lt;=Assumptions!$E$15, Assumptions!EA$16, IF(EC5&lt;=Assumptions!$F$15, Assumptions!$E$16, IF(EC5&lt;=Assumptions!$G$15, Assumptions!$F$16, Assumptions!$G$16)))</f>
        <v>8</v>
      </c>
      <c r="ED149" s="104">
        <f>IF(ED5&lt;=Assumptions!$E$15, Assumptions!EB$16, IF(ED5&lt;=Assumptions!$F$15, Assumptions!$E$16, IF(ED5&lt;=Assumptions!$G$15, Assumptions!$F$16, Assumptions!$G$16)))</f>
        <v>8</v>
      </c>
      <c r="EE149" s="104">
        <f>IF(EE5&lt;=Assumptions!$E$15, Assumptions!EC$16, IF(EE5&lt;=Assumptions!$F$15, Assumptions!$E$16, IF(EE5&lt;=Assumptions!$G$15, Assumptions!$F$16, Assumptions!$G$16)))</f>
        <v>8</v>
      </c>
      <c r="EF149" s="104">
        <f>IF(EF5&lt;=Assumptions!$E$15, Assumptions!ED$16, IF(EF5&lt;=Assumptions!$F$15, Assumptions!$E$16, IF(EF5&lt;=Assumptions!$G$15, Assumptions!$F$16, Assumptions!$G$16)))</f>
        <v>8</v>
      </c>
      <c r="EG149" s="104">
        <f>IF(EG5&lt;=Assumptions!$E$15, Assumptions!EE$16, IF(EG5&lt;=Assumptions!$F$15, Assumptions!$E$16, IF(EG5&lt;=Assumptions!$G$15, Assumptions!$F$16, Assumptions!$G$16)))</f>
        <v>8</v>
      </c>
      <c r="EH149" s="104">
        <f>IF(EH5&lt;=Assumptions!$E$15, Assumptions!EF$16, IF(EH5&lt;=Assumptions!$F$15, Assumptions!$E$16, IF(EH5&lt;=Assumptions!$G$15, Assumptions!$F$16, Assumptions!$G$16)))</f>
        <v>8</v>
      </c>
      <c r="EI149" s="104">
        <f>IF(EI5&lt;=Assumptions!$E$15, Assumptions!EG$16, IF(EI5&lt;=Assumptions!$F$15, Assumptions!$E$16, IF(EI5&lt;=Assumptions!$G$15, Assumptions!$F$16, Assumptions!$G$16)))</f>
        <v>8</v>
      </c>
      <c r="EJ149" s="104">
        <f>IF(EJ5&lt;=Assumptions!$E$15, Assumptions!EH$16, IF(EJ5&lt;=Assumptions!$F$15, Assumptions!$E$16, IF(EJ5&lt;=Assumptions!$G$15, Assumptions!$F$16, Assumptions!$G$16)))</f>
        <v>8</v>
      </c>
      <c r="EK149" s="104">
        <f>IF(EK5&lt;=Assumptions!$E$15, Assumptions!EI$16, IF(EK5&lt;=Assumptions!$F$15, Assumptions!$E$16, IF(EK5&lt;=Assumptions!$G$15, Assumptions!$F$16, Assumptions!$G$16)))</f>
        <v>8</v>
      </c>
      <c r="EL149" s="104">
        <f>IF(EL5&lt;=Assumptions!$E$15, Assumptions!EJ$16, IF(EL5&lt;=Assumptions!$F$15, Assumptions!$E$16, IF(EL5&lt;=Assumptions!$G$15, Assumptions!$F$16, Assumptions!$G$16)))</f>
        <v>8</v>
      </c>
      <c r="EM149" s="104">
        <f>IF(EM5&lt;=Assumptions!$E$15, Assumptions!EK$16, IF(EM5&lt;=Assumptions!$F$15, Assumptions!$E$16, IF(EM5&lt;=Assumptions!$G$15, Assumptions!$F$16, Assumptions!$G$16)))</f>
        <v>8</v>
      </c>
      <c r="EN149" s="104">
        <f>IF(EN5&lt;=Assumptions!$E$15, Assumptions!EL$16, IF(EN5&lt;=Assumptions!$F$15, Assumptions!$E$16, IF(EN5&lt;=Assumptions!$G$15, Assumptions!$F$16, Assumptions!$G$16)))</f>
        <v>8</v>
      </c>
      <c r="EO149" s="104">
        <f>IF(EO5&lt;=Assumptions!$E$15, Assumptions!EM$16, IF(EO5&lt;=Assumptions!$F$15, Assumptions!$E$16, IF(EO5&lt;=Assumptions!$G$15, Assumptions!$F$16, Assumptions!$G$16)))</f>
        <v>8</v>
      </c>
      <c r="EP149" s="104">
        <f>IF(EP5&lt;=Assumptions!$E$15, Assumptions!EN$16, IF(EP5&lt;=Assumptions!$F$15, Assumptions!$E$16, IF(EP5&lt;=Assumptions!$G$15, Assumptions!$F$16, Assumptions!$G$16)))</f>
        <v>8</v>
      </c>
      <c r="EQ149" s="104">
        <f>IF(EQ5&lt;=Assumptions!$E$15, Assumptions!EO$16, IF(EQ5&lt;=Assumptions!$F$15, Assumptions!$E$16, IF(EQ5&lt;=Assumptions!$G$15, Assumptions!$F$16, Assumptions!$G$16)))</f>
        <v>8</v>
      </c>
      <c r="ER149" s="104">
        <f>IF(ER5&lt;=Assumptions!$E$15, Assumptions!EP$16, IF(ER5&lt;=Assumptions!$F$15, Assumptions!$E$16, IF(ER5&lt;=Assumptions!$G$15, Assumptions!$F$16, Assumptions!$G$16)))</f>
        <v>8</v>
      </c>
      <c r="ES149" s="104">
        <f>IF(ES5&lt;=Assumptions!$E$15, Assumptions!EQ$16, IF(ES5&lt;=Assumptions!$F$15, Assumptions!$E$16, IF(ES5&lt;=Assumptions!$G$15, Assumptions!$F$16, Assumptions!$G$16)))</f>
        <v>8</v>
      </c>
      <c r="ET149" s="104">
        <f>IF(ET5&lt;=Assumptions!$E$15, Assumptions!ER$16, IF(ET5&lt;=Assumptions!$F$15, Assumptions!$E$16, IF(ET5&lt;=Assumptions!$G$15, Assumptions!$F$16, Assumptions!$G$16)))</f>
        <v>8</v>
      </c>
      <c r="EU149" s="104">
        <f>IF(EU5&lt;=Assumptions!$E$15, Assumptions!ES$16, IF(EU5&lt;=Assumptions!$F$15, Assumptions!$E$16, IF(EU5&lt;=Assumptions!$G$15, Assumptions!$F$16, Assumptions!$G$16)))</f>
        <v>8</v>
      </c>
      <c r="EV149" s="104">
        <f>IF(EV5&lt;=Assumptions!$E$15, Assumptions!ET$16, IF(EV5&lt;=Assumptions!$F$15, Assumptions!$E$16, IF(EV5&lt;=Assumptions!$G$15, Assumptions!$F$16, Assumptions!$G$16)))</f>
        <v>8</v>
      </c>
      <c r="EW149" s="104">
        <f>IF(EW5&lt;=Assumptions!$E$15, Assumptions!EU$16, IF(EW5&lt;=Assumptions!$F$15, Assumptions!$E$16, IF(EW5&lt;=Assumptions!$G$15, Assumptions!$F$16, Assumptions!$G$16)))</f>
        <v>8</v>
      </c>
      <c r="EX149" s="104">
        <f>IF(EX5&lt;=Assumptions!$E$15, Assumptions!EV$16, IF(EX5&lt;=Assumptions!$F$15, Assumptions!$E$16, IF(EX5&lt;=Assumptions!$G$15, Assumptions!$F$16, Assumptions!$G$16)))</f>
        <v>8</v>
      </c>
      <c r="EY149" s="104">
        <f>IF(EY5&lt;=Assumptions!$E$15, Assumptions!EW$16, IF(EY5&lt;=Assumptions!$F$15, Assumptions!$E$16, IF(EY5&lt;=Assumptions!$G$15, Assumptions!$F$16, Assumptions!$G$16)))</f>
        <v>8</v>
      </c>
      <c r="EZ149" s="104">
        <f>IF(EZ5&lt;=Assumptions!$E$15, Assumptions!EX$16, IF(EZ5&lt;=Assumptions!$F$15, Assumptions!$E$16, IF(EZ5&lt;=Assumptions!$G$15, Assumptions!$F$16, Assumptions!$G$16)))</f>
        <v>8</v>
      </c>
      <c r="FA149" s="104">
        <f>IF(FA5&lt;=Assumptions!$E$15, Assumptions!EY$16, IF(FA5&lt;=Assumptions!$F$15, Assumptions!$E$16, IF(FA5&lt;=Assumptions!$G$15, Assumptions!$F$16, Assumptions!$G$16)))</f>
        <v>8</v>
      </c>
      <c r="FB149" s="104">
        <f>IF(FB5&lt;=Assumptions!$E$15, Assumptions!EZ$16, IF(FB5&lt;=Assumptions!$F$15, Assumptions!$E$16, IF(FB5&lt;=Assumptions!$G$15, Assumptions!$F$16, Assumptions!$G$16)))</f>
        <v>8</v>
      </c>
      <c r="FC149" s="104">
        <f>IF(FC5&lt;=Assumptions!$E$15, Assumptions!FA$16, IF(FC5&lt;=Assumptions!$F$15, Assumptions!$E$16, IF(FC5&lt;=Assumptions!$G$15, Assumptions!$F$16, Assumptions!$G$16)))</f>
        <v>8</v>
      </c>
      <c r="FD149" s="104">
        <f>IF(FD5&lt;=Assumptions!$E$15, Assumptions!FB$16, IF(FD5&lt;=Assumptions!$F$15, Assumptions!$E$16, IF(FD5&lt;=Assumptions!$G$15, Assumptions!$F$16, Assumptions!$G$16)))</f>
        <v>8</v>
      </c>
      <c r="FE149" s="104">
        <f>IF(FE5&lt;=Assumptions!$E$15, Assumptions!FC$16, IF(FE5&lt;=Assumptions!$F$15, Assumptions!$E$16, IF(FE5&lt;=Assumptions!$G$15, Assumptions!$F$16, Assumptions!$G$16)))</f>
        <v>8</v>
      </c>
      <c r="FF149" s="104">
        <f>IF(FF5&lt;=Assumptions!$E$15, Assumptions!FD$16, IF(FF5&lt;=Assumptions!$F$15, Assumptions!$E$16, IF(FF5&lt;=Assumptions!$G$15, Assumptions!$F$16, Assumptions!$G$16)))</f>
        <v>8</v>
      </c>
      <c r="FG149" s="104">
        <f>IF(FG5&lt;=Assumptions!$E$15, Assumptions!FE$16, IF(FG5&lt;=Assumptions!$F$15, Assumptions!$E$16, IF(FG5&lt;=Assumptions!$G$15, Assumptions!$F$16, Assumptions!$G$16)))</f>
        <v>8</v>
      </c>
      <c r="FH149" s="104">
        <f>IF(FH5&lt;=Assumptions!$E$15, Assumptions!FF$16, IF(FH5&lt;=Assumptions!$F$15, Assumptions!$E$16, IF(FH5&lt;=Assumptions!$G$15, Assumptions!$F$16, Assumptions!$G$16)))</f>
        <v>8</v>
      </c>
      <c r="FI149" s="104">
        <f>IF(FI5&lt;=Assumptions!$E$15, Assumptions!FG$16, IF(FI5&lt;=Assumptions!$F$15, Assumptions!$E$16, IF(FI5&lt;=Assumptions!$G$15, Assumptions!$F$16, Assumptions!$G$16)))</f>
        <v>8</v>
      </c>
      <c r="FJ149" s="104">
        <f>IF(FJ5&lt;=Assumptions!$E$15, Assumptions!FH$16, IF(FJ5&lt;=Assumptions!$F$15, Assumptions!$E$16, IF(FJ5&lt;=Assumptions!$G$15, Assumptions!$F$16, Assumptions!$G$16)))</f>
        <v>8</v>
      </c>
      <c r="FK149" s="104">
        <f>IF(FK5&lt;=Assumptions!$E$15, Assumptions!FI$16, IF(FK5&lt;=Assumptions!$F$15, Assumptions!$E$16, IF(FK5&lt;=Assumptions!$G$15, Assumptions!$F$16, Assumptions!$G$16)))</f>
        <v>8</v>
      </c>
      <c r="FL149" s="104">
        <f>IF(FL5&lt;=Assumptions!$E$15, Assumptions!FJ$16, IF(FL5&lt;=Assumptions!$F$15, Assumptions!$E$16, IF(FL5&lt;=Assumptions!$G$15, Assumptions!$F$16, Assumptions!$G$16)))</f>
        <v>8</v>
      </c>
      <c r="FM149" s="104">
        <f>IF(FM5&lt;=Assumptions!$E$15, Assumptions!FK$16, IF(FM5&lt;=Assumptions!$F$15, Assumptions!$E$16, IF(FM5&lt;=Assumptions!$G$15, Assumptions!$F$16, Assumptions!$G$16)))</f>
        <v>8</v>
      </c>
      <c r="FN149" s="104">
        <f>IF(FN5&lt;=Assumptions!$E$15, Assumptions!FL$16, IF(FN5&lt;=Assumptions!$F$15, Assumptions!$E$16, IF(FN5&lt;=Assumptions!$G$15, Assumptions!$F$16, Assumptions!$G$16)))</f>
        <v>8</v>
      </c>
      <c r="FO149" s="104">
        <f>IF(FO5&lt;=Assumptions!$E$15, Assumptions!FM$16, IF(FO5&lt;=Assumptions!$F$15, Assumptions!$E$16, IF(FO5&lt;=Assumptions!$G$15, Assumptions!$F$16, Assumptions!$G$16)))</f>
        <v>8</v>
      </c>
      <c r="FP149" s="104">
        <f>IF(FP5&lt;=Assumptions!$E$15, Assumptions!FN$16, IF(FP5&lt;=Assumptions!$F$15, Assumptions!$E$16, IF(FP5&lt;=Assumptions!$G$15, Assumptions!$F$16, Assumptions!$G$16)))</f>
        <v>8</v>
      </c>
      <c r="FQ149" s="104">
        <f>IF(FQ5&lt;=Assumptions!$E$15, Assumptions!FO$16, IF(FQ5&lt;=Assumptions!$F$15, Assumptions!$E$16, IF(FQ5&lt;=Assumptions!$G$15, Assumptions!$F$16, Assumptions!$G$16)))</f>
        <v>8</v>
      </c>
      <c r="FR149" s="104">
        <f>IF(FR5&lt;=Assumptions!$E$15, Assumptions!FP$16, IF(FR5&lt;=Assumptions!$F$15, Assumptions!$E$16, IF(FR5&lt;=Assumptions!$G$15, Assumptions!$F$16, Assumptions!$G$16)))</f>
        <v>8</v>
      </c>
      <c r="FS149" s="104">
        <f>IF(FS5&lt;=Assumptions!$E$15, Assumptions!FQ$16, IF(FS5&lt;=Assumptions!$F$15, Assumptions!$E$16, IF(FS5&lt;=Assumptions!$G$15, Assumptions!$F$16, Assumptions!$G$16)))</f>
        <v>8</v>
      </c>
      <c r="FT149" s="104">
        <f>IF(FT5&lt;=Assumptions!$E$15, Assumptions!FR$16, IF(FT5&lt;=Assumptions!$F$15, Assumptions!$E$16, IF(FT5&lt;=Assumptions!$G$15, Assumptions!$F$16, Assumptions!$G$16)))</f>
        <v>8</v>
      </c>
      <c r="FU149" s="104">
        <f>IF(FU5&lt;=Assumptions!$E$15, Assumptions!FS$16, IF(FU5&lt;=Assumptions!$F$15, Assumptions!$E$16, IF(FU5&lt;=Assumptions!$G$15, Assumptions!$F$16, Assumptions!$G$16)))</f>
        <v>8</v>
      </c>
      <c r="FV149" s="104">
        <f>IF(FV5&lt;=Assumptions!$E$15, Assumptions!FT$16, IF(FV5&lt;=Assumptions!$F$15, Assumptions!$E$16, IF(FV5&lt;=Assumptions!$G$15, Assumptions!$F$16, Assumptions!$G$16)))</f>
        <v>8</v>
      </c>
      <c r="FW149" s="104">
        <f>IF(FW5&lt;=Assumptions!$E$15, Assumptions!FU$16, IF(FW5&lt;=Assumptions!$F$15, Assumptions!$E$16, IF(FW5&lt;=Assumptions!$G$15, Assumptions!$F$16, Assumptions!$G$16)))</f>
        <v>8</v>
      </c>
      <c r="FX149" s="104">
        <f>IF(FX5&lt;=Assumptions!$E$15, Assumptions!FV$16, IF(FX5&lt;=Assumptions!$F$15, Assumptions!$E$16, IF(FX5&lt;=Assumptions!$G$15, Assumptions!$F$16, Assumptions!$G$16)))</f>
        <v>8</v>
      </c>
      <c r="FY149" s="104">
        <f>IF(FY5&lt;=Assumptions!$E$15, Assumptions!FW$16, IF(FY5&lt;=Assumptions!$F$15, Assumptions!$E$16, IF(FY5&lt;=Assumptions!$G$15, Assumptions!$F$16, Assumptions!$G$16)))</f>
        <v>8</v>
      </c>
      <c r="FZ149" s="104">
        <f>IF(FZ5&lt;=Assumptions!$E$15, Assumptions!FX$16, IF(FZ5&lt;=Assumptions!$F$15, Assumptions!$E$16, IF(FZ5&lt;=Assumptions!$G$15, Assumptions!$F$16, Assumptions!$G$16)))</f>
        <v>8</v>
      </c>
      <c r="GA149" s="104">
        <f>IF(GA5&lt;=Assumptions!$E$15, Assumptions!FY$16, IF(GA5&lt;=Assumptions!$F$15, Assumptions!$E$16, IF(GA5&lt;=Assumptions!$G$15, Assumptions!$F$16, Assumptions!$G$16)))</f>
        <v>8</v>
      </c>
      <c r="GB149" s="104">
        <f>IF(GB5&lt;=Assumptions!$E$15, Assumptions!FZ$16, IF(GB5&lt;=Assumptions!$F$15, Assumptions!$E$16, IF(GB5&lt;=Assumptions!$G$15, Assumptions!$F$16, Assumptions!$G$16)))</f>
        <v>8</v>
      </c>
      <c r="GC149" s="104">
        <f>IF(GC5&lt;=Assumptions!$E$15, Assumptions!GA$16, IF(GC5&lt;=Assumptions!$F$15, Assumptions!$E$16, IF(GC5&lt;=Assumptions!$G$15, Assumptions!$F$16, Assumptions!$G$16)))</f>
        <v>8</v>
      </c>
    </row>
    <row r="150" spans="1:185">
      <c r="A150" s="80"/>
      <c r="B150" s="80" t="s">
        <v>171</v>
      </c>
      <c r="C150" s="80"/>
      <c r="D150" s="80"/>
      <c r="E150" s="82"/>
      <c r="F150" s="104">
        <f>Assumptions!D17</f>
        <v>0.5</v>
      </c>
      <c r="G150" s="104">
        <f t="shared" ref="G150:N152" si="529">F150</f>
        <v>0.5</v>
      </c>
      <c r="H150" s="104">
        <f t="shared" si="529"/>
        <v>0.5</v>
      </c>
      <c r="I150" s="104">
        <f t="shared" si="529"/>
        <v>0.5</v>
      </c>
      <c r="J150" s="104">
        <f t="shared" si="529"/>
        <v>0.5</v>
      </c>
      <c r="K150" s="104">
        <f t="shared" ref="K150" si="530">J150</f>
        <v>0.5</v>
      </c>
      <c r="L150" s="104">
        <f t="shared" ref="L150" si="531">K150</f>
        <v>0.5</v>
      </c>
      <c r="M150" s="104">
        <f t="shared" si="529"/>
        <v>0.5</v>
      </c>
      <c r="N150" s="104">
        <f t="shared" si="529"/>
        <v>0.5</v>
      </c>
      <c r="O150" s="104">
        <f t="shared" ref="O150:AT150" si="532">N150</f>
        <v>0.5</v>
      </c>
      <c r="P150" s="104">
        <f t="shared" si="532"/>
        <v>0.5</v>
      </c>
      <c r="Q150" s="104">
        <f t="shared" si="532"/>
        <v>0.5</v>
      </c>
      <c r="R150" s="104">
        <f t="shared" si="532"/>
        <v>0.5</v>
      </c>
      <c r="S150" s="104">
        <f t="shared" si="532"/>
        <v>0.5</v>
      </c>
      <c r="T150" s="104">
        <f t="shared" si="532"/>
        <v>0.5</v>
      </c>
      <c r="U150" s="104">
        <f t="shared" si="532"/>
        <v>0.5</v>
      </c>
      <c r="V150" s="104">
        <f t="shared" si="532"/>
        <v>0.5</v>
      </c>
      <c r="W150" s="104">
        <f t="shared" si="532"/>
        <v>0.5</v>
      </c>
      <c r="X150" s="104">
        <f t="shared" si="532"/>
        <v>0.5</v>
      </c>
      <c r="Y150" s="104">
        <f t="shared" si="532"/>
        <v>0.5</v>
      </c>
      <c r="Z150" s="104">
        <f t="shared" si="532"/>
        <v>0.5</v>
      </c>
      <c r="AA150" s="104">
        <f t="shared" si="532"/>
        <v>0.5</v>
      </c>
      <c r="AB150" s="104">
        <f t="shared" si="532"/>
        <v>0.5</v>
      </c>
      <c r="AC150" s="104">
        <f t="shared" si="532"/>
        <v>0.5</v>
      </c>
      <c r="AD150" s="104">
        <f t="shared" si="532"/>
        <v>0.5</v>
      </c>
      <c r="AE150" s="104">
        <f t="shared" si="532"/>
        <v>0.5</v>
      </c>
      <c r="AF150" s="104">
        <f t="shared" si="532"/>
        <v>0.5</v>
      </c>
      <c r="AG150" s="104">
        <f t="shared" si="532"/>
        <v>0.5</v>
      </c>
      <c r="AH150" s="104">
        <f t="shared" si="532"/>
        <v>0.5</v>
      </c>
      <c r="AI150" s="104">
        <f t="shared" si="532"/>
        <v>0.5</v>
      </c>
      <c r="AJ150" s="104">
        <f t="shared" si="532"/>
        <v>0.5</v>
      </c>
      <c r="AK150" s="104">
        <f t="shared" si="532"/>
        <v>0.5</v>
      </c>
      <c r="AL150" s="104">
        <f t="shared" si="532"/>
        <v>0.5</v>
      </c>
      <c r="AM150" s="104">
        <f t="shared" si="532"/>
        <v>0.5</v>
      </c>
      <c r="AN150" s="104">
        <f t="shared" si="532"/>
        <v>0.5</v>
      </c>
      <c r="AO150" s="104">
        <f t="shared" si="532"/>
        <v>0.5</v>
      </c>
      <c r="AP150" s="104">
        <f t="shared" si="532"/>
        <v>0.5</v>
      </c>
      <c r="AQ150" s="104">
        <f t="shared" si="532"/>
        <v>0.5</v>
      </c>
      <c r="AR150" s="104">
        <f t="shared" si="532"/>
        <v>0.5</v>
      </c>
      <c r="AS150" s="104">
        <f t="shared" si="532"/>
        <v>0.5</v>
      </c>
      <c r="AT150" s="104">
        <f t="shared" si="532"/>
        <v>0.5</v>
      </c>
      <c r="AU150" s="104">
        <f t="shared" ref="AU150:BZ150" si="533">AT150</f>
        <v>0.5</v>
      </c>
      <c r="AV150" s="104">
        <f t="shared" si="533"/>
        <v>0.5</v>
      </c>
      <c r="AW150" s="104">
        <f t="shared" si="533"/>
        <v>0.5</v>
      </c>
      <c r="AX150" s="104">
        <f t="shared" si="533"/>
        <v>0.5</v>
      </c>
      <c r="AY150" s="104">
        <f t="shared" si="533"/>
        <v>0.5</v>
      </c>
      <c r="AZ150" s="104">
        <f t="shared" si="533"/>
        <v>0.5</v>
      </c>
      <c r="BA150" s="104">
        <f t="shared" si="533"/>
        <v>0.5</v>
      </c>
      <c r="BB150" s="104">
        <f t="shared" si="533"/>
        <v>0.5</v>
      </c>
      <c r="BC150" s="104">
        <f t="shared" si="533"/>
        <v>0.5</v>
      </c>
      <c r="BD150" s="104">
        <f t="shared" si="533"/>
        <v>0.5</v>
      </c>
      <c r="BE150" s="104">
        <f t="shared" si="533"/>
        <v>0.5</v>
      </c>
      <c r="BF150" s="104">
        <f t="shared" si="533"/>
        <v>0.5</v>
      </c>
      <c r="BG150" s="104">
        <f t="shared" si="533"/>
        <v>0.5</v>
      </c>
      <c r="BH150" s="104">
        <f t="shared" si="533"/>
        <v>0.5</v>
      </c>
      <c r="BI150" s="104">
        <f t="shared" si="533"/>
        <v>0.5</v>
      </c>
      <c r="BJ150" s="104">
        <f t="shared" si="533"/>
        <v>0.5</v>
      </c>
      <c r="BK150" s="104">
        <f t="shared" si="533"/>
        <v>0.5</v>
      </c>
      <c r="BL150" s="104">
        <f t="shared" si="533"/>
        <v>0.5</v>
      </c>
      <c r="BM150" s="104">
        <f t="shared" si="533"/>
        <v>0.5</v>
      </c>
      <c r="BN150" s="104">
        <f t="shared" si="533"/>
        <v>0.5</v>
      </c>
      <c r="BO150" s="104">
        <f t="shared" si="533"/>
        <v>0.5</v>
      </c>
      <c r="BP150" s="104">
        <f t="shared" si="533"/>
        <v>0.5</v>
      </c>
      <c r="BQ150" s="104">
        <f t="shared" si="533"/>
        <v>0.5</v>
      </c>
      <c r="BR150" s="104">
        <f t="shared" si="533"/>
        <v>0.5</v>
      </c>
      <c r="BS150" s="104">
        <f t="shared" si="533"/>
        <v>0.5</v>
      </c>
      <c r="BT150" s="104">
        <f t="shared" si="533"/>
        <v>0.5</v>
      </c>
      <c r="BU150" s="104">
        <f t="shared" si="533"/>
        <v>0.5</v>
      </c>
      <c r="BV150" s="104">
        <f t="shared" si="533"/>
        <v>0.5</v>
      </c>
      <c r="BW150" s="104">
        <f t="shared" si="533"/>
        <v>0.5</v>
      </c>
      <c r="BX150" s="104">
        <f t="shared" si="533"/>
        <v>0.5</v>
      </c>
      <c r="BY150" s="104">
        <f t="shared" si="533"/>
        <v>0.5</v>
      </c>
      <c r="BZ150" s="104">
        <f t="shared" si="533"/>
        <v>0.5</v>
      </c>
      <c r="CA150" s="104">
        <f t="shared" ref="CA150:DF150" si="534">BZ150</f>
        <v>0.5</v>
      </c>
      <c r="CB150" s="104">
        <f t="shared" si="534"/>
        <v>0.5</v>
      </c>
      <c r="CC150" s="104">
        <f t="shared" si="534"/>
        <v>0.5</v>
      </c>
      <c r="CD150" s="104">
        <f t="shared" si="534"/>
        <v>0.5</v>
      </c>
      <c r="CE150" s="104">
        <f t="shared" si="534"/>
        <v>0.5</v>
      </c>
      <c r="CF150" s="104">
        <f t="shared" si="534"/>
        <v>0.5</v>
      </c>
      <c r="CG150" s="104">
        <f t="shared" si="534"/>
        <v>0.5</v>
      </c>
      <c r="CH150" s="104">
        <f t="shared" si="534"/>
        <v>0.5</v>
      </c>
      <c r="CI150" s="104">
        <f t="shared" si="534"/>
        <v>0.5</v>
      </c>
      <c r="CJ150" s="104">
        <f t="shared" si="534"/>
        <v>0.5</v>
      </c>
      <c r="CK150" s="104">
        <f t="shared" si="534"/>
        <v>0.5</v>
      </c>
      <c r="CL150" s="104">
        <f t="shared" si="534"/>
        <v>0.5</v>
      </c>
      <c r="CM150" s="104">
        <f t="shared" si="534"/>
        <v>0.5</v>
      </c>
      <c r="CN150" s="104">
        <f t="shared" si="534"/>
        <v>0.5</v>
      </c>
      <c r="CO150" s="104">
        <f t="shared" si="534"/>
        <v>0.5</v>
      </c>
      <c r="CP150" s="104">
        <f t="shared" si="534"/>
        <v>0.5</v>
      </c>
      <c r="CQ150" s="104">
        <f t="shared" si="534"/>
        <v>0.5</v>
      </c>
      <c r="CR150" s="104">
        <f t="shared" si="534"/>
        <v>0.5</v>
      </c>
      <c r="CS150" s="104">
        <f t="shared" si="534"/>
        <v>0.5</v>
      </c>
      <c r="CT150" s="104">
        <f t="shared" si="534"/>
        <v>0.5</v>
      </c>
      <c r="CU150" s="104">
        <f t="shared" si="534"/>
        <v>0.5</v>
      </c>
      <c r="CV150" s="104">
        <f t="shared" si="534"/>
        <v>0.5</v>
      </c>
      <c r="CW150" s="104">
        <f t="shared" si="534"/>
        <v>0.5</v>
      </c>
      <c r="CX150" s="104">
        <f t="shared" si="534"/>
        <v>0.5</v>
      </c>
      <c r="CY150" s="104">
        <f t="shared" si="534"/>
        <v>0.5</v>
      </c>
      <c r="CZ150" s="104">
        <f t="shared" si="534"/>
        <v>0.5</v>
      </c>
      <c r="DA150" s="104">
        <f t="shared" si="534"/>
        <v>0.5</v>
      </c>
      <c r="DB150" s="104">
        <f t="shared" si="534"/>
        <v>0.5</v>
      </c>
      <c r="DC150" s="104">
        <f t="shared" si="534"/>
        <v>0.5</v>
      </c>
      <c r="DD150" s="104">
        <f t="shared" si="534"/>
        <v>0.5</v>
      </c>
      <c r="DE150" s="104">
        <f t="shared" si="534"/>
        <v>0.5</v>
      </c>
      <c r="DF150" s="104">
        <f t="shared" si="534"/>
        <v>0.5</v>
      </c>
      <c r="DG150" s="104">
        <f t="shared" ref="DG150:EL150" si="535">DF150</f>
        <v>0.5</v>
      </c>
      <c r="DH150" s="104">
        <f t="shared" si="535"/>
        <v>0.5</v>
      </c>
      <c r="DI150" s="104">
        <f t="shared" si="535"/>
        <v>0.5</v>
      </c>
      <c r="DJ150" s="104">
        <f t="shared" si="535"/>
        <v>0.5</v>
      </c>
      <c r="DK150" s="104">
        <f t="shared" si="535"/>
        <v>0.5</v>
      </c>
      <c r="DL150" s="104">
        <f t="shared" si="535"/>
        <v>0.5</v>
      </c>
      <c r="DM150" s="104">
        <f t="shared" si="535"/>
        <v>0.5</v>
      </c>
      <c r="DN150" s="104">
        <f t="shared" si="535"/>
        <v>0.5</v>
      </c>
      <c r="DO150" s="104">
        <f t="shared" si="535"/>
        <v>0.5</v>
      </c>
      <c r="DP150" s="104">
        <f t="shared" si="535"/>
        <v>0.5</v>
      </c>
      <c r="DQ150" s="104">
        <f t="shared" si="535"/>
        <v>0.5</v>
      </c>
      <c r="DR150" s="104">
        <f t="shared" si="535"/>
        <v>0.5</v>
      </c>
      <c r="DS150" s="104">
        <f t="shared" si="535"/>
        <v>0.5</v>
      </c>
      <c r="DT150" s="104">
        <f t="shared" si="535"/>
        <v>0.5</v>
      </c>
      <c r="DU150" s="104">
        <f t="shared" si="535"/>
        <v>0.5</v>
      </c>
      <c r="DV150" s="104">
        <f t="shared" si="535"/>
        <v>0.5</v>
      </c>
      <c r="DW150" s="104">
        <f t="shared" si="535"/>
        <v>0.5</v>
      </c>
      <c r="DX150" s="104">
        <f t="shared" si="535"/>
        <v>0.5</v>
      </c>
      <c r="DY150" s="104">
        <f t="shared" si="535"/>
        <v>0.5</v>
      </c>
      <c r="DZ150" s="104">
        <f t="shared" si="535"/>
        <v>0.5</v>
      </c>
      <c r="EA150" s="104">
        <f t="shared" si="535"/>
        <v>0.5</v>
      </c>
      <c r="EB150" s="104">
        <f t="shared" si="535"/>
        <v>0.5</v>
      </c>
      <c r="EC150" s="104">
        <f t="shared" si="535"/>
        <v>0.5</v>
      </c>
      <c r="ED150" s="104">
        <f t="shared" si="535"/>
        <v>0.5</v>
      </c>
      <c r="EE150" s="104">
        <f t="shared" si="535"/>
        <v>0.5</v>
      </c>
      <c r="EF150" s="104">
        <f t="shared" si="535"/>
        <v>0.5</v>
      </c>
      <c r="EG150" s="104">
        <f t="shared" si="535"/>
        <v>0.5</v>
      </c>
      <c r="EH150" s="104">
        <f t="shared" si="535"/>
        <v>0.5</v>
      </c>
      <c r="EI150" s="104">
        <f t="shared" si="535"/>
        <v>0.5</v>
      </c>
      <c r="EJ150" s="104">
        <f t="shared" si="535"/>
        <v>0.5</v>
      </c>
      <c r="EK150" s="104">
        <f t="shared" si="535"/>
        <v>0.5</v>
      </c>
      <c r="EL150" s="104">
        <f t="shared" si="535"/>
        <v>0.5</v>
      </c>
      <c r="EM150" s="104">
        <f t="shared" ref="EM150:FR150" si="536">EL150</f>
        <v>0.5</v>
      </c>
      <c r="EN150" s="104">
        <f t="shared" si="536"/>
        <v>0.5</v>
      </c>
      <c r="EO150" s="104">
        <f t="shared" si="536"/>
        <v>0.5</v>
      </c>
      <c r="EP150" s="104">
        <f t="shared" si="536"/>
        <v>0.5</v>
      </c>
      <c r="EQ150" s="104">
        <f t="shared" si="536"/>
        <v>0.5</v>
      </c>
      <c r="ER150" s="104">
        <f t="shared" si="536"/>
        <v>0.5</v>
      </c>
      <c r="ES150" s="104">
        <f t="shared" si="536"/>
        <v>0.5</v>
      </c>
      <c r="ET150" s="104">
        <f t="shared" si="536"/>
        <v>0.5</v>
      </c>
      <c r="EU150" s="104">
        <f t="shared" si="536"/>
        <v>0.5</v>
      </c>
      <c r="EV150" s="104">
        <f t="shared" si="536"/>
        <v>0.5</v>
      </c>
      <c r="EW150" s="104">
        <f t="shared" si="536"/>
        <v>0.5</v>
      </c>
      <c r="EX150" s="104">
        <f t="shared" si="536"/>
        <v>0.5</v>
      </c>
      <c r="EY150" s="104">
        <f t="shared" si="536"/>
        <v>0.5</v>
      </c>
      <c r="EZ150" s="104">
        <f t="shared" si="536"/>
        <v>0.5</v>
      </c>
      <c r="FA150" s="104">
        <f t="shared" si="536"/>
        <v>0.5</v>
      </c>
      <c r="FB150" s="104">
        <f t="shared" si="536"/>
        <v>0.5</v>
      </c>
      <c r="FC150" s="104">
        <f t="shared" si="536"/>
        <v>0.5</v>
      </c>
      <c r="FD150" s="104">
        <f t="shared" si="536"/>
        <v>0.5</v>
      </c>
      <c r="FE150" s="104">
        <f t="shared" si="536"/>
        <v>0.5</v>
      </c>
      <c r="FF150" s="104">
        <f t="shared" si="536"/>
        <v>0.5</v>
      </c>
      <c r="FG150" s="104">
        <f t="shared" si="536"/>
        <v>0.5</v>
      </c>
      <c r="FH150" s="104">
        <f t="shared" si="536"/>
        <v>0.5</v>
      </c>
      <c r="FI150" s="104">
        <f t="shared" si="536"/>
        <v>0.5</v>
      </c>
      <c r="FJ150" s="104">
        <f t="shared" si="536"/>
        <v>0.5</v>
      </c>
      <c r="FK150" s="104">
        <f t="shared" si="536"/>
        <v>0.5</v>
      </c>
      <c r="FL150" s="104">
        <f t="shared" si="536"/>
        <v>0.5</v>
      </c>
      <c r="FM150" s="104">
        <f t="shared" si="536"/>
        <v>0.5</v>
      </c>
      <c r="FN150" s="104">
        <f t="shared" si="536"/>
        <v>0.5</v>
      </c>
      <c r="FO150" s="104">
        <f t="shared" si="536"/>
        <v>0.5</v>
      </c>
      <c r="FP150" s="104">
        <f t="shared" si="536"/>
        <v>0.5</v>
      </c>
      <c r="FQ150" s="104">
        <f t="shared" si="536"/>
        <v>0.5</v>
      </c>
      <c r="FR150" s="104">
        <f t="shared" si="536"/>
        <v>0.5</v>
      </c>
      <c r="FS150" s="104">
        <f t="shared" ref="FS150:GC150" si="537">FR150</f>
        <v>0.5</v>
      </c>
      <c r="FT150" s="104">
        <f t="shared" si="537"/>
        <v>0.5</v>
      </c>
      <c r="FU150" s="104">
        <f t="shared" si="537"/>
        <v>0.5</v>
      </c>
      <c r="FV150" s="104">
        <f t="shared" si="537"/>
        <v>0.5</v>
      </c>
      <c r="FW150" s="104">
        <f t="shared" si="537"/>
        <v>0.5</v>
      </c>
      <c r="FX150" s="104">
        <f t="shared" si="537"/>
        <v>0.5</v>
      </c>
      <c r="FY150" s="104">
        <f t="shared" si="537"/>
        <v>0.5</v>
      </c>
      <c r="FZ150" s="104">
        <f t="shared" si="537"/>
        <v>0.5</v>
      </c>
      <c r="GA150" s="104">
        <f t="shared" si="537"/>
        <v>0.5</v>
      </c>
      <c r="GB150" s="104">
        <f t="shared" si="537"/>
        <v>0.5</v>
      </c>
      <c r="GC150" s="104">
        <f t="shared" si="537"/>
        <v>0.5</v>
      </c>
    </row>
    <row r="151" spans="1:185">
      <c r="A151" s="80"/>
      <c r="B151" t="s">
        <v>172</v>
      </c>
      <c r="C151" s="80"/>
      <c r="D151" s="80"/>
      <c r="E151" s="25"/>
      <c r="F151" s="104">
        <f>Assumptions!D18</f>
        <v>1.5</v>
      </c>
      <c r="G151" s="117">
        <f t="shared" si="529"/>
        <v>1.5</v>
      </c>
      <c r="H151" s="117">
        <f t="shared" si="529"/>
        <v>1.5</v>
      </c>
      <c r="I151" s="117">
        <f t="shared" si="529"/>
        <v>1.5</v>
      </c>
      <c r="J151" s="117">
        <f t="shared" si="529"/>
        <v>1.5</v>
      </c>
      <c r="K151" s="117">
        <f t="shared" si="529"/>
        <v>1.5</v>
      </c>
      <c r="L151" s="117">
        <f t="shared" si="529"/>
        <v>1.5</v>
      </c>
      <c r="M151" s="117">
        <f t="shared" si="529"/>
        <v>1.5</v>
      </c>
      <c r="N151" s="117">
        <f t="shared" si="529"/>
        <v>1.5</v>
      </c>
      <c r="O151" s="117">
        <f t="shared" ref="O151:AT151" si="538">N151</f>
        <v>1.5</v>
      </c>
      <c r="P151" s="117">
        <f t="shared" si="538"/>
        <v>1.5</v>
      </c>
      <c r="Q151" s="117">
        <f t="shared" si="538"/>
        <v>1.5</v>
      </c>
      <c r="R151" s="117">
        <f t="shared" si="538"/>
        <v>1.5</v>
      </c>
      <c r="S151" s="117">
        <f t="shared" si="538"/>
        <v>1.5</v>
      </c>
      <c r="T151" s="117">
        <f t="shared" si="538"/>
        <v>1.5</v>
      </c>
      <c r="U151" s="117">
        <f t="shared" si="538"/>
        <v>1.5</v>
      </c>
      <c r="V151" s="117">
        <f t="shared" si="538"/>
        <v>1.5</v>
      </c>
      <c r="W151" s="117">
        <f t="shared" si="538"/>
        <v>1.5</v>
      </c>
      <c r="X151" s="117">
        <f t="shared" si="538"/>
        <v>1.5</v>
      </c>
      <c r="Y151" s="117">
        <f t="shared" si="538"/>
        <v>1.5</v>
      </c>
      <c r="Z151" s="117">
        <f t="shared" si="538"/>
        <v>1.5</v>
      </c>
      <c r="AA151" s="117">
        <f t="shared" si="538"/>
        <v>1.5</v>
      </c>
      <c r="AB151" s="117">
        <f t="shared" si="538"/>
        <v>1.5</v>
      </c>
      <c r="AC151" s="117">
        <f t="shared" si="538"/>
        <v>1.5</v>
      </c>
      <c r="AD151" s="117">
        <f t="shared" si="538"/>
        <v>1.5</v>
      </c>
      <c r="AE151" s="117">
        <f t="shared" si="538"/>
        <v>1.5</v>
      </c>
      <c r="AF151" s="117">
        <f t="shared" si="538"/>
        <v>1.5</v>
      </c>
      <c r="AG151" s="117">
        <f t="shared" si="538"/>
        <v>1.5</v>
      </c>
      <c r="AH151" s="117">
        <f t="shared" si="538"/>
        <v>1.5</v>
      </c>
      <c r="AI151" s="117">
        <f t="shared" si="538"/>
        <v>1.5</v>
      </c>
      <c r="AJ151" s="117">
        <f t="shared" si="538"/>
        <v>1.5</v>
      </c>
      <c r="AK151" s="117">
        <f t="shared" si="538"/>
        <v>1.5</v>
      </c>
      <c r="AL151" s="117">
        <f t="shared" si="538"/>
        <v>1.5</v>
      </c>
      <c r="AM151" s="117">
        <f t="shared" si="538"/>
        <v>1.5</v>
      </c>
      <c r="AN151" s="117">
        <f t="shared" si="538"/>
        <v>1.5</v>
      </c>
      <c r="AO151" s="117">
        <f t="shared" si="538"/>
        <v>1.5</v>
      </c>
      <c r="AP151" s="117">
        <f t="shared" si="538"/>
        <v>1.5</v>
      </c>
      <c r="AQ151" s="117">
        <f t="shared" si="538"/>
        <v>1.5</v>
      </c>
      <c r="AR151" s="117">
        <f t="shared" si="538"/>
        <v>1.5</v>
      </c>
      <c r="AS151" s="117">
        <f t="shared" si="538"/>
        <v>1.5</v>
      </c>
      <c r="AT151" s="117">
        <f t="shared" si="538"/>
        <v>1.5</v>
      </c>
      <c r="AU151" s="117">
        <f t="shared" ref="AU151:BZ151" si="539">AT151</f>
        <v>1.5</v>
      </c>
      <c r="AV151" s="117">
        <f t="shared" si="539"/>
        <v>1.5</v>
      </c>
      <c r="AW151" s="117">
        <f t="shared" si="539"/>
        <v>1.5</v>
      </c>
      <c r="AX151" s="117">
        <f t="shared" si="539"/>
        <v>1.5</v>
      </c>
      <c r="AY151" s="117">
        <f t="shared" si="539"/>
        <v>1.5</v>
      </c>
      <c r="AZ151" s="117">
        <f t="shared" si="539"/>
        <v>1.5</v>
      </c>
      <c r="BA151" s="117">
        <f t="shared" si="539"/>
        <v>1.5</v>
      </c>
      <c r="BB151" s="117">
        <f t="shared" si="539"/>
        <v>1.5</v>
      </c>
      <c r="BC151" s="117">
        <f t="shared" si="539"/>
        <v>1.5</v>
      </c>
      <c r="BD151" s="117">
        <f t="shared" si="539"/>
        <v>1.5</v>
      </c>
      <c r="BE151" s="117">
        <f t="shared" si="539"/>
        <v>1.5</v>
      </c>
      <c r="BF151" s="117">
        <f t="shared" si="539"/>
        <v>1.5</v>
      </c>
      <c r="BG151" s="117">
        <f t="shared" si="539"/>
        <v>1.5</v>
      </c>
      <c r="BH151" s="117">
        <f t="shared" si="539"/>
        <v>1.5</v>
      </c>
      <c r="BI151" s="117">
        <f t="shared" si="539"/>
        <v>1.5</v>
      </c>
      <c r="BJ151" s="117">
        <f t="shared" si="539"/>
        <v>1.5</v>
      </c>
      <c r="BK151" s="117">
        <f t="shared" si="539"/>
        <v>1.5</v>
      </c>
      <c r="BL151" s="117">
        <f t="shared" si="539"/>
        <v>1.5</v>
      </c>
      <c r="BM151" s="117">
        <f t="shared" si="539"/>
        <v>1.5</v>
      </c>
      <c r="BN151" s="117">
        <f t="shared" si="539"/>
        <v>1.5</v>
      </c>
      <c r="BO151" s="117">
        <f t="shared" si="539"/>
        <v>1.5</v>
      </c>
      <c r="BP151" s="117">
        <f t="shared" si="539"/>
        <v>1.5</v>
      </c>
      <c r="BQ151" s="117">
        <f t="shared" si="539"/>
        <v>1.5</v>
      </c>
      <c r="BR151" s="117">
        <f t="shared" si="539"/>
        <v>1.5</v>
      </c>
      <c r="BS151" s="117">
        <f t="shared" si="539"/>
        <v>1.5</v>
      </c>
      <c r="BT151" s="117">
        <f t="shared" si="539"/>
        <v>1.5</v>
      </c>
      <c r="BU151" s="117">
        <f t="shared" si="539"/>
        <v>1.5</v>
      </c>
      <c r="BV151" s="117">
        <f t="shared" si="539"/>
        <v>1.5</v>
      </c>
      <c r="BW151" s="117">
        <f t="shared" si="539"/>
        <v>1.5</v>
      </c>
      <c r="BX151" s="117">
        <f t="shared" si="539"/>
        <v>1.5</v>
      </c>
      <c r="BY151" s="117">
        <f t="shared" si="539"/>
        <v>1.5</v>
      </c>
      <c r="BZ151" s="117">
        <f t="shared" si="539"/>
        <v>1.5</v>
      </c>
      <c r="CA151" s="117">
        <f t="shared" ref="CA151:DF151" si="540">BZ151</f>
        <v>1.5</v>
      </c>
      <c r="CB151" s="117">
        <f t="shared" si="540"/>
        <v>1.5</v>
      </c>
      <c r="CC151" s="117">
        <f t="shared" si="540"/>
        <v>1.5</v>
      </c>
      <c r="CD151" s="117">
        <f t="shared" si="540"/>
        <v>1.5</v>
      </c>
      <c r="CE151" s="117">
        <f t="shared" si="540"/>
        <v>1.5</v>
      </c>
      <c r="CF151" s="117">
        <f t="shared" si="540"/>
        <v>1.5</v>
      </c>
      <c r="CG151" s="117">
        <f t="shared" si="540"/>
        <v>1.5</v>
      </c>
      <c r="CH151" s="117">
        <f t="shared" si="540"/>
        <v>1.5</v>
      </c>
      <c r="CI151" s="117">
        <f t="shared" si="540"/>
        <v>1.5</v>
      </c>
      <c r="CJ151" s="117">
        <f t="shared" si="540"/>
        <v>1.5</v>
      </c>
      <c r="CK151" s="117">
        <f t="shared" si="540"/>
        <v>1.5</v>
      </c>
      <c r="CL151" s="117">
        <f t="shared" si="540"/>
        <v>1.5</v>
      </c>
      <c r="CM151" s="117">
        <f t="shared" si="540"/>
        <v>1.5</v>
      </c>
      <c r="CN151" s="117">
        <f t="shared" si="540"/>
        <v>1.5</v>
      </c>
      <c r="CO151" s="117">
        <f t="shared" si="540"/>
        <v>1.5</v>
      </c>
      <c r="CP151" s="117">
        <f t="shared" si="540"/>
        <v>1.5</v>
      </c>
      <c r="CQ151" s="117">
        <f t="shared" si="540"/>
        <v>1.5</v>
      </c>
      <c r="CR151" s="117">
        <f t="shared" si="540"/>
        <v>1.5</v>
      </c>
      <c r="CS151" s="117">
        <f t="shared" si="540"/>
        <v>1.5</v>
      </c>
      <c r="CT151" s="117">
        <f t="shared" si="540"/>
        <v>1.5</v>
      </c>
      <c r="CU151" s="117">
        <f t="shared" si="540"/>
        <v>1.5</v>
      </c>
      <c r="CV151" s="117">
        <f t="shared" si="540"/>
        <v>1.5</v>
      </c>
      <c r="CW151" s="117">
        <f t="shared" si="540"/>
        <v>1.5</v>
      </c>
      <c r="CX151" s="117">
        <f t="shared" si="540"/>
        <v>1.5</v>
      </c>
      <c r="CY151" s="117">
        <f t="shared" si="540"/>
        <v>1.5</v>
      </c>
      <c r="CZ151" s="117">
        <f t="shared" si="540"/>
        <v>1.5</v>
      </c>
      <c r="DA151" s="117">
        <f t="shared" si="540"/>
        <v>1.5</v>
      </c>
      <c r="DB151" s="117">
        <f t="shared" si="540"/>
        <v>1.5</v>
      </c>
      <c r="DC151" s="117">
        <f t="shared" si="540"/>
        <v>1.5</v>
      </c>
      <c r="DD151" s="117">
        <f t="shared" si="540"/>
        <v>1.5</v>
      </c>
      <c r="DE151" s="117">
        <f t="shared" si="540"/>
        <v>1.5</v>
      </c>
      <c r="DF151" s="117">
        <f t="shared" si="540"/>
        <v>1.5</v>
      </c>
      <c r="DG151" s="117">
        <f t="shared" ref="DG151:EL151" si="541">DF151</f>
        <v>1.5</v>
      </c>
      <c r="DH151" s="117">
        <f t="shared" si="541"/>
        <v>1.5</v>
      </c>
      <c r="DI151" s="117">
        <f t="shared" si="541"/>
        <v>1.5</v>
      </c>
      <c r="DJ151" s="117">
        <f t="shared" si="541"/>
        <v>1.5</v>
      </c>
      <c r="DK151" s="117">
        <f t="shared" si="541"/>
        <v>1.5</v>
      </c>
      <c r="DL151" s="117">
        <f t="shared" si="541"/>
        <v>1.5</v>
      </c>
      <c r="DM151" s="117">
        <f t="shared" si="541"/>
        <v>1.5</v>
      </c>
      <c r="DN151" s="117">
        <f t="shared" si="541"/>
        <v>1.5</v>
      </c>
      <c r="DO151" s="117">
        <f t="shared" si="541"/>
        <v>1.5</v>
      </c>
      <c r="DP151" s="117">
        <f t="shared" si="541"/>
        <v>1.5</v>
      </c>
      <c r="DQ151" s="117">
        <f t="shared" si="541"/>
        <v>1.5</v>
      </c>
      <c r="DR151" s="117">
        <f t="shared" si="541"/>
        <v>1.5</v>
      </c>
      <c r="DS151" s="117">
        <f t="shared" si="541"/>
        <v>1.5</v>
      </c>
      <c r="DT151" s="117">
        <f t="shared" si="541"/>
        <v>1.5</v>
      </c>
      <c r="DU151" s="117">
        <f t="shared" si="541"/>
        <v>1.5</v>
      </c>
      <c r="DV151" s="117">
        <f t="shared" si="541"/>
        <v>1.5</v>
      </c>
      <c r="DW151" s="117">
        <f t="shared" si="541"/>
        <v>1.5</v>
      </c>
      <c r="DX151" s="117">
        <f t="shared" si="541"/>
        <v>1.5</v>
      </c>
      <c r="DY151" s="117">
        <f t="shared" si="541"/>
        <v>1.5</v>
      </c>
      <c r="DZ151" s="117">
        <f t="shared" si="541"/>
        <v>1.5</v>
      </c>
      <c r="EA151" s="117">
        <f t="shared" si="541"/>
        <v>1.5</v>
      </c>
      <c r="EB151" s="117">
        <f t="shared" si="541"/>
        <v>1.5</v>
      </c>
      <c r="EC151" s="117">
        <f t="shared" si="541"/>
        <v>1.5</v>
      </c>
      <c r="ED151" s="117">
        <f t="shared" si="541"/>
        <v>1.5</v>
      </c>
      <c r="EE151" s="117">
        <f t="shared" si="541"/>
        <v>1.5</v>
      </c>
      <c r="EF151" s="117">
        <f t="shared" si="541"/>
        <v>1.5</v>
      </c>
      <c r="EG151" s="117">
        <f t="shared" si="541"/>
        <v>1.5</v>
      </c>
      <c r="EH151" s="117">
        <f t="shared" si="541"/>
        <v>1.5</v>
      </c>
      <c r="EI151" s="117">
        <f t="shared" si="541"/>
        <v>1.5</v>
      </c>
      <c r="EJ151" s="117">
        <f t="shared" si="541"/>
        <v>1.5</v>
      </c>
      <c r="EK151" s="117">
        <f t="shared" si="541"/>
        <v>1.5</v>
      </c>
      <c r="EL151" s="117">
        <f t="shared" si="541"/>
        <v>1.5</v>
      </c>
      <c r="EM151" s="117">
        <f t="shared" ref="EM151:FR151" si="542">EL151</f>
        <v>1.5</v>
      </c>
      <c r="EN151" s="117">
        <f t="shared" si="542"/>
        <v>1.5</v>
      </c>
      <c r="EO151" s="117">
        <f t="shared" si="542"/>
        <v>1.5</v>
      </c>
      <c r="EP151" s="117">
        <f t="shared" si="542"/>
        <v>1.5</v>
      </c>
      <c r="EQ151" s="117">
        <f t="shared" si="542"/>
        <v>1.5</v>
      </c>
      <c r="ER151" s="117">
        <f t="shared" si="542"/>
        <v>1.5</v>
      </c>
      <c r="ES151" s="117">
        <f t="shared" si="542"/>
        <v>1.5</v>
      </c>
      <c r="ET151" s="117">
        <f t="shared" si="542"/>
        <v>1.5</v>
      </c>
      <c r="EU151" s="117">
        <f t="shared" si="542"/>
        <v>1.5</v>
      </c>
      <c r="EV151" s="117">
        <f t="shared" si="542"/>
        <v>1.5</v>
      </c>
      <c r="EW151" s="117">
        <f t="shared" si="542"/>
        <v>1.5</v>
      </c>
      <c r="EX151" s="117">
        <f t="shared" si="542"/>
        <v>1.5</v>
      </c>
      <c r="EY151" s="117">
        <f t="shared" si="542"/>
        <v>1.5</v>
      </c>
      <c r="EZ151" s="117">
        <f t="shared" si="542"/>
        <v>1.5</v>
      </c>
      <c r="FA151" s="117">
        <f t="shared" si="542"/>
        <v>1.5</v>
      </c>
      <c r="FB151" s="117">
        <f t="shared" si="542"/>
        <v>1.5</v>
      </c>
      <c r="FC151" s="117">
        <f t="shared" si="542"/>
        <v>1.5</v>
      </c>
      <c r="FD151" s="117">
        <f t="shared" si="542"/>
        <v>1.5</v>
      </c>
      <c r="FE151" s="117">
        <f t="shared" si="542"/>
        <v>1.5</v>
      </c>
      <c r="FF151" s="117">
        <f t="shared" si="542"/>
        <v>1.5</v>
      </c>
      <c r="FG151" s="117">
        <f t="shared" si="542"/>
        <v>1.5</v>
      </c>
      <c r="FH151" s="117">
        <f t="shared" si="542"/>
        <v>1.5</v>
      </c>
      <c r="FI151" s="117">
        <f t="shared" si="542"/>
        <v>1.5</v>
      </c>
      <c r="FJ151" s="117">
        <f t="shared" si="542"/>
        <v>1.5</v>
      </c>
      <c r="FK151" s="117">
        <f t="shared" si="542"/>
        <v>1.5</v>
      </c>
      <c r="FL151" s="117">
        <f t="shared" si="542"/>
        <v>1.5</v>
      </c>
      <c r="FM151" s="117">
        <f t="shared" si="542"/>
        <v>1.5</v>
      </c>
      <c r="FN151" s="117">
        <f t="shared" si="542"/>
        <v>1.5</v>
      </c>
      <c r="FO151" s="117">
        <f t="shared" si="542"/>
        <v>1.5</v>
      </c>
      <c r="FP151" s="117">
        <f t="shared" si="542"/>
        <v>1.5</v>
      </c>
      <c r="FQ151" s="117">
        <f t="shared" si="542"/>
        <v>1.5</v>
      </c>
      <c r="FR151" s="117">
        <f t="shared" si="542"/>
        <v>1.5</v>
      </c>
      <c r="FS151" s="117">
        <f t="shared" ref="FS151:GC151" si="543">FR151</f>
        <v>1.5</v>
      </c>
      <c r="FT151" s="117">
        <f t="shared" si="543"/>
        <v>1.5</v>
      </c>
      <c r="FU151" s="117">
        <f t="shared" si="543"/>
        <v>1.5</v>
      </c>
      <c r="FV151" s="117">
        <f t="shared" si="543"/>
        <v>1.5</v>
      </c>
      <c r="FW151" s="117">
        <f t="shared" si="543"/>
        <v>1.5</v>
      </c>
      <c r="FX151" s="117">
        <f t="shared" si="543"/>
        <v>1.5</v>
      </c>
      <c r="FY151" s="117">
        <f t="shared" si="543"/>
        <v>1.5</v>
      </c>
      <c r="FZ151" s="117">
        <f t="shared" si="543"/>
        <v>1.5</v>
      </c>
      <c r="GA151" s="117">
        <f t="shared" si="543"/>
        <v>1.5</v>
      </c>
      <c r="GB151" s="117">
        <f t="shared" si="543"/>
        <v>1.5</v>
      </c>
      <c r="GC151" s="117">
        <f t="shared" si="543"/>
        <v>1.5</v>
      </c>
    </row>
    <row r="152" spans="1:185">
      <c r="A152" s="80"/>
      <c r="B152" s="80" t="s">
        <v>173</v>
      </c>
      <c r="C152" s="80"/>
      <c r="D152" s="80"/>
      <c r="E152" s="82"/>
      <c r="F152" s="104">
        <f>Assumptions!D19</f>
        <v>0</v>
      </c>
      <c r="G152" s="104">
        <f t="shared" si="529"/>
        <v>0</v>
      </c>
      <c r="H152" s="104">
        <f t="shared" si="529"/>
        <v>0</v>
      </c>
      <c r="I152" s="104">
        <f t="shared" si="529"/>
        <v>0</v>
      </c>
      <c r="J152" s="104">
        <f t="shared" si="529"/>
        <v>0</v>
      </c>
      <c r="K152" s="104">
        <f t="shared" si="529"/>
        <v>0</v>
      </c>
      <c r="L152" s="104">
        <f t="shared" si="529"/>
        <v>0</v>
      </c>
      <c r="M152" s="104">
        <f t="shared" si="529"/>
        <v>0</v>
      </c>
      <c r="N152" s="104">
        <f t="shared" si="529"/>
        <v>0</v>
      </c>
      <c r="O152" s="104">
        <f t="shared" ref="O152:AT152" si="544">N152</f>
        <v>0</v>
      </c>
      <c r="P152" s="104">
        <f t="shared" si="544"/>
        <v>0</v>
      </c>
      <c r="Q152" s="104">
        <f t="shared" si="544"/>
        <v>0</v>
      </c>
      <c r="R152" s="104">
        <f t="shared" si="544"/>
        <v>0</v>
      </c>
      <c r="S152" s="104">
        <f t="shared" si="544"/>
        <v>0</v>
      </c>
      <c r="T152" s="104">
        <f t="shared" si="544"/>
        <v>0</v>
      </c>
      <c r="U152" s="104">
        <f t="shared" si="544"/>
        <v>0</v>
      </c>
      <c r="V152" s="104">
        <f t="shared" si="544"/>
        <v>0</v>
      </c>
      <c r="W152" s="104">
        <f t="shared" si="544"/>
        <v>0</v>
      </c>
      <c r="X152" s="104">
        <f t="shared" si="544"/>
        <v>0</v>
      </c>
      <c r="Y152" s="104">
        <f t="shared" si="544"/>
        <v>0</v>
      </c>
      <c r="Z152" s="104">
        <f t="shared" si="544"/>
        <v>0</v>
      </c>
      <c r="AA152" s="104">
        <f t="shared" si="544"/>
        <v>0</v>
      </c>
      <c r="AB152" s="104">
        <f t="shared" si="544"/>
        <v>0</v>
      </c>
      <c r="AC152" s="104">
        <f t="shared" si="544"/>
        <v>0</v>
      </c>
      <c r="AD152" s="104">
        <f t="shared" si="544"/>
        <v>0</v>
      </c>
      <c r="AE152" s="104">
        <f t="shared" si="544"/>
        <v>0</v>
      </c>
      <c r="AF152" s="104">
        <f t="shared" si="544"/>
        <v>0</v>
      </c>
      <c r="AG152" s="104">
        <f t="shared" si="544"/>
        <v>0</v>
      </c>
      <c r="AH152" s="104">
        <f t="shared" si="544"/>
        <v>0</v>
      </c>
      <c r="AI152" s="104">
        <f t="shared" si="544"/>
        <v>0</v>
      </c>
      <c r="AJ152" s="104">
        <f t="shared" si="544"/>
        <v>0</v>
      </c>
      <c r="AK152" s="104">
        <f t="shared" si="544"/>
        <v>0</v>
      </c>
      <c r="AL152" s="104">
        <f t="shared" si="544"/>
        <v>0</v>
      </c>
      <c r="AM152" s="104">
        <f t="shared" si="544"/>
        <v>0</v>
      </c>
      <c r="AN152" s="104">
        <f t="shared" si="544"/>
        <v>0</v>
      </c>
      <c r="AO152" s="104">
        <f t="shared" si="544"/>
        <v>0</v>
      </c>
      <c r="AP152" s="104">
        <f t="shared" si="544"/>
        <v>0</v>
      </c>
      <c r="AQ152" s="104">
        <f t="shared" si="544"/>
        <v>0</v>
      </c>
      <c r="AR152" s="104">
        <f t="shared" si="544"/>
        <v>0</v>
      </c>
      <c r="AS152" s="104">
        <f t="shared" si="544"/>
        <v>0</v>
      </c>
      <c r="AT152" s="104">
        <f t="shared" si="544"/>
        <v>0</v>
      </c>
      <c r="AU152" s="104">
        <f t="shared" ref="AU152:BZ152" si="545">AT152</f>
        <v>0</v>
      </c>
      <c r="AV152" s="104">
        <f t="shared" si="545"/>
        <v>0</v>
      </c>
      <c r="AW152" s="104">
        <f t="shared" si="545"/>
        <v>0</v>
      </c>
      <c r="AX152" s="104">
        <f t="shared" si="545"/>
        <v>0</v>
      </c>
      <c r="AY152" s="104">
        <f t="shared" si="545"/>
        <v>0</v>
      </c>
      <c r="AZ152" s="104">
        <f t="shared" si="545"/>
        <v>0</v>
      </c>
      <c r="BA152" s="104">
        <f t="shared" si="545"/>
        <v>0</v>
      </c>
      <c r="BB152" s="104">
        <f t="shared" si="545"/>
        <v>0</v>
      </c>
      <c r="BC152" s="104">
        <f t="shared" si="545"/>
        <v>0</v>
      </c>
      <c r="BD152" s="104">
        <f t="shared" si="545"/>
        <v>0</v>
      </c>
      <c r="BE152" s="104">
        <f t="shared" si="545"/>
        <v>0</v>
      </c>
      <c r="BF152" s="104">
        <f t="shared" si="545"/>
        <v>0</v>
      </c>
      <c r="BG152" s="104">
        <f t="shared" si="545"/>
        <v>0</v>
      </c>
      <c r="BH152" s="104">
        <f t="shared" si="545"/>
        <v>0</v>
      </c>
      <c r="BI152" s="104">
        <f t="shared" si="545"/>
        <v>0</v>
      </c>
      <c r="BJ152" s="104">
        <f t="shared" si="545"/>
        <v>0</v>
      </c>
      <c r="BK152" s="104">
        <f t="shared" si="545"/>
        <v>0</v>
      </c>
      <c r="BL152" s="104">
        <f t="shared" si="545"/>
        <v>0</v>
      </c>
      <c r="BM152" s="104">
        <f t="shared" si="545"/>
        <v>0</v>
      </c>
      <c r="BN152" s="104">
        <f t="shared" si="545"/>
        <v>0</v>
      </c>
      <c r="BO152" s="104">
        <f t="shared" si="545"/>
        <v>0</v>
      </c>
      <c r="BP152" s="104">
        <f t="shared" si="545"/>
        <v>0</v>
      </c>
      <c r="BQ152" s="104">
        <f t="shared" si="545"/>
        <v>0</v>
      </c>
      <c r="BR152" s="104">
        <f t="shared" si="545"/>
        <v>0</v>
      </c>
      <c r="BS152" s="104">
        <f t="shared" si="545"/>
        <v>0</v>
      </c>
      <c r="BT152" s="104">
        <f t="shared" si="545"/>
        <v>0</v>
      </c>
      <c r="BU152" s="104">
        <f t="shared" si="545"/>
        <v>0</v>
      </c>
      <c r="BV152" s="104">
        <f t="shared" si="545"/>
        <v>0</v>
      </c>
      <c r="BW152" s="104">
        <f t="shared" si="545"/>
        <v>0</v>
      </c>
      <c r="BX152" s="104">
        <f t="shared" si="545"/>
        <v>0</v>
      </c>
      <c r="BY152" s="104">
        <f t="shared" si="545"/>
        <v>0</v>
      </c>
      <c r="BZ152" s="104">
        <f t="shared" si="545"/>
        <v>0</v>
      </c>
      <c r="CA152" s="104">
        <f t="shared" ref="CA152:DF152" si="546">BZ152</f>
        <v>0</v>
      </c>
      <c r="CB152" s="104">
        <f t="shared" si="546"/>
        <v>0</v>
      </c>
      <c r="CC152" s="104">
        <f t="shared" si="546"/>
        <v>0</v>
      </c>
      <c r="CD152" s="104">
        <f t="shared" si="546"/>
        <v>0</v>
      </c>
      <c r="CE152" s="104">
        <f t="shared" si="546"/>
        <v>0</v>
      </c>
      <c r="CF152" s="104">
        <f t="shared" si="546"/>
        <v>0</v>
      </c>
      <c r="CG152" s="104">
        <f t="shared" si="546"/>
        <v>0</v>
      </c>
      <c r="CH152" s="104">
        <f t="shared" si="546"/>
        <v>0</v>
      </c>
      <c r="CI152" s="104">
        <f t="shared" si="546"/>
        <v>0</v>
      </c>
      <c r="CJ152" s="104">
        <f t="shared" si="546"/>
        <v>0</v>
      </c>
      <c r="CK152" s="104">
        <f t="shared" si="546"/>
        <v>0</v>
      </c>
      <c r="CL152" s="104">
        <f t="shared" si="546"/>
        <v>0</v>
      </c>
      <c r="CM152" s="104">
        <f t="shared" si="546"/>
        <v>0</v>
      </c>
      <c r="CN152" s="104">
        <f t="shared" si="546"/>
        <v>0</v>
      </c>
      <c r="CO152" s="104">
        <f t="shared" si="546"/>
        <v>0</v>
      </c>
      <c r="CP152" s="104">
        <f t="shared" si="546"/>
        <v>0</v>
      </c>
      <c r="CQ152" s="104">
        <f t="shared" si="546"/>
        <v>0</v>
      </c>
      <c r="CR152" s="104">
        <f t="shared" si="546"/>
        <v>0</v>
      </c>
      <c r="CS152" s="104">
        <f t="shared" si="546"/>
        <v>0</v>
      </c>
      <c r="CT152" s="104">
        <f t="shared" si="546"/>
        <v>0</v>
      </c>
      <c r="CU152" s="104">
        <f t="shared" si="546"/>
        <v>0</v>
      </c>
      <c r="CV152" s="104">
        <f t="shared" si="546"/>
        <v>0</v>
      </c>
      <c r="CW152" s="104">
        <f t="shared" si="546"/>
        <v>0</v>
      </c>
      <c r="CX152" s="104">
        <f t="shared" si="546"/>
        <v>0</v>
      </c>
      <c r="CY152" s="104">
        <f t="shared" si="546"/>
        <v>0</v>
      </c>
      <c r="CZ152" s="104">
        <f t="shared" si="546"/>
        <v>0</v>
      </c>
      <c r="DA152" s="104">
        <f t="shared" si="546"/>
        <v>0</v>
      </c>
      <c r="DB152" s="104">
        <f t="shared" si="546"/>
        <v>0</v>
      </c>
      <c r="DC152" s="104">
        <f t="shared" si="546"/>
        <v>0</v>
      </c>
      <c r="DD152" s="104">
        <f t="shared" si="546"/>
        <v>0</v>
      </c>
      <c r="DE152" s="104">
        <f t="shared" si="546"/>
        <v>0</v>
      </c>
      <c r="DF152" s="104">
        <f t="shared" si="546"/>
        <v>0</v>
      </c>
      <c r="DG152" s="104">
        <f t="shared" ref="DG152:EL152" si="547">DF152</f>
        <v>0</v>
      </c>
      <c r="DH152" s="104">
        <f t="shared" si="547"/>
        <v>0</v>
      </c>
      <c r="DI152" s="104">
        <f t="shared" si="547"/>
        <v>0</v>
      </c>
      <c r="DJ152" s="104">
        <f t="shared" si="547"/>
        <v>0</v>
      </c>
      <c r="DK152" s="104">
        <f t="shared" si="547"/>
        <v>0</v>
      </c>
      <c r="DL152" s="104">
        <f t="shared" si="547"/>
        <v>0</v>
      </c>
      <c r="DM152" s="104">
        <f t="shared" si="547"/>
        <v>0</v>
      </c>
      <c r="DN152" s="104">
        <f t="shared" si="547"/>
        <v>0</v>
      </c>
      <c r="DO152" s="104">
        <f t="shared" si="547"/>
        <v>0</v>
      </c>
      <c r="DP152" s="104">
        <f t="shared" si="547"/>
        <v>0</v>
      </c>
      <c r="DQ152" s="104">
        <f t="shared" si="547"/>
        <v>0</v>
      </c>
      <c r="DR152" s="104">
        <f t="shared" si="547"/>
        <v>0</v>
      </c>
      <c r="DS152" s="104">
        <f t="shared" si="547"/>
        <v>0</v>
      </c>
      <c r="DT152" s="104">
        <f t="shared" si="547"/>
        <v>0</v>
      </c>
      <c r="DU152" s="104">
        <f t="shared" si="547"/>
        <v>0</v>
      </c>
      <c r="DV152" s="104">
        <f t="shared" si="547"/>
        <v>0</v>
      </c>
      <c r="DW152" s="104">
        <f t="shared" si="547"/>
        <v>0</v>
      </c>
      <c r="DX152" s="104">
        <f t="shared" si="547"/>
        <v>0</v>
      </c>
      <c r="DY152" s="104">
        <f t="shared" si="547"/>
        <v>0</v>
      </c>
      <c r="DZ152" s="104">
        <f t="shared" si="547"/>
        <v>0</v>
      </c>
      <c r="EA152" s="104">
        <f t="shared" si="547"/>
        <v>0</v>
      </c>
      <c r="EB152" s="104">
        <f t="shared" si="547"/>
        <v>0</v>
      </c>
      <c r="EC152" s="104">
        <f t="shared" si="547"/>
        <v>0</v>
      </c>
      <c r="ED152" s="104">
        <f t="shared" si="547"/>
        <v>0</v>
      </c>
      <c r="EE152" s="104">
        <f t="shared" si="547"/>
        <v>0</v>
      </c>
      <c r="EF152" s="104">
        <f t="shared" si="547"/>
        <v>0</v>
      </c>
      <c r="EG152" s="104">
        <f t="shared" si="547"/>
        <v>0</v>
      </c>
      <c r="EH152" s="104">
        <f t="shared" si="547"/>
        <v>0</v>
      </c>
      <c r="EI152" s="104">
        <f t="shared" si="547"/>
        <v>0</v>
      </c>
      <c r="EJ152" s="104">
        <f t="shared" si="547"/>
        <v>0</v>
      </c>
      <c r="EK152" s="104">
        <f t="shared" si="547"/>
        <v>0</v>
      </c>
      <c r="EL152" s="104">
        <f t="shared" si="547"/>
        <v>0</v>
      </c>
      <c r="EM152" s="104">
        <f t="shared" ref="EM152:FR152" si="548">EL152</f>
        <v>0</v>
      </c>
      <c r="EN152" s="104">
        <f t="shared" si="548"/>
        <v>0</v>
      </c>
      <c r="EO152" s="104">
        <f t="shared" si="548"/>
        <v>0</v>
      </c>
      <c r="EP152" s="104">
        <f t="shared" si="548"/>
        <v>0</v>
      </c>
      <c r="EQ152" s="104">
        <f t="shared" si="548"/>
        <v>0</v>
      </c>
      <c r="ER152" s="104">
        <f t="shared" si="548"/>
        <v>0</v>
      </c>
      <c r="ES152" s="104">
        <f t="shared" si="548"/>
        <v>0</v>
      </c>
      <c r="ET152" s="104">
        <f t="shared" si="548"/>
        <v>0</v>
      </c>
      <c r="EU152" s="104">
        <f t="shared" si="548"/>
        <v>0</v>
      </c>
      <c r="EV152" s="104">
        <f t="shared" si="548"/>
        <v>0</v>
      </c>
      <c r="EW152" s="104">
        <f t="shared" si="548"/>
        <v>0</v>
      </c>
      <c r="EX152" s="104">
        <f t="shared" si="548"/>
        <v>0</v>
      </c>
      <c r="EY152" s="104">
        <f t="shared" si="548"/>
        <v>0</v>
      </c>
      <c r="EZ152" s="104">
        <f t="shared" si="548"/>
        <v>0</v>
      </c>
      <c r="FA152" s="104">
        <f t="shared" si="548"/>
        <v>0</v>
      </c>
      <c r="FB152" s="104">
        <f t="shared" si="548"/>
        <v>0</v>
      </c>
      <c r="FC152" s="104">
        <f t="shared" si="548"/>
        <v>0</v>
      </c>
      <c r="FD152" s="104">
        <f t="shared" si="548"/>
        <v>0</v>
      </c>
      <c r="FE152" s="104">
        <f t="shared" si="548"/>
        <v>0</v>
      </c>
      <c r="FF152" s="104">
        <f t="shared" si="548"/>
        <v>0</v>
      </c>
      <c r="FG152" s="104">
        <f t="shared" si="548"/>
        <v>0</v>
      </c>
      <c r="FH152" s="104">
        <f t="shared" si="548"/>
        <v>0</v>
      </c>
      <c r="FI152" s="104">
        <f t="shared" si="548"/>
        <v>0</v>
      </c>
      <c r="FJ152" s="104">
        <f t="shared" si="548"/>
        <v>0</v>
      </c>
      <c r="FK152" s="104">
        <f t="shared" si="548"/>
        <v>0</v>
      </c>
      <c r="FL152" s="104">
        <f t="shared" si="548"/>
        <v>0</v>
      </c>
      <c r="FM152" s="104">
        <f t="shared" si="548"/>
        <v>0</v>
      </c>
      <c r="FN152" s="104">
        <f t="shared" si="548"/>
        <v>0</v>
      </c>
      <c r="FO152" s="104">
        <f t="shared" si="548"/>
        <v>0</v>
      </c>
      <c r="FP152" s="104">
        <f t="shared" si="548"/>
        <v>0</v>
      </c>
      <c r="FQ152" s="104">
        <f t="shared" si="548"/>
        <v>0</v>
      </c>
      <c r="FR152" s="104">
        <f t="shared" si="548"/>
        <v>0</v>
      </c>
      <c r="FS152" s="104">
        <f t="shared" ref="FS152:GC152" si="549">FR152</f>
        <v>0</v>
      </c>
      <c r="FT152" s="104">
        <f t="shared" si="549"/>
        <v>0</v>
      </c>
      <c r="FU152" s="104">
        <f t="shared" si="549"/>
        <v>0</v>
      </c>
      <c r="FV152" s="104">
        <f t="shared" si="549"/>
        <v>0</v>
      </c>
      <c r="FW152" s="104">
        <f t="shared" si="549"/>
        <v>0</v>
      </c>
      <c r="FX152" s="104">
        <f t="shared" si="549"/>
        <v>0</v>
      </c>
      <c r="FY152" s="104">
        <f t="shared" si="549"/>
        <v>0</v>
      </c>
      <c r="FZ152" s="104">
        <f t="shared" si="549"/>
        <v>0</v>
      </c>
      <c r="GA152" s="104">
        <f t="shared" si="549"/>
        <v>0</v>
      </c>
      <c r="GB152" s="104">
        <f t="shared" si="549"/>
        <v>0</v>
      </c>
      <c r="GC152" s="104">
        <f t="shared" si="549"/>
        <v>0</v>
      </c>
    </row>
    <row r="153" spans="1:185">
      <c r="A153" s="80"/>
      <c r="B153" s="80"/>
      <c r="C153" s="80"/>
      <c r="D153" s="80"/>
      <c r="E153" s="82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  <c r="BG153" s="100"/>
      <c r="BH153" s="100"/>
      <c r="BI153" s="100"/>
      <c r="BJ153" s="100"/>
      <c r="BK153" s="100"/>
      <c r="BL153" s="100"/>
      <c r="BM153" s="100"/>
      <c r="BN153" s="100"/>
      <c r="BO153" s="100"/>
      <c r="BP153" s="100"/>
      <c r="BQ153" s="100"/>
      <c r="BR153" s="100"/>
      <c r="BS153" s="100"/>
      <c r="BT153" s="100"/>
      <c r="BU153" s="100"/>
      <c r="BV153" s="100"/>
      <c r="BW153" s="100"/>
      <c r="BX153" s="100"/>
      <c r="BY153" s="100"/>
      <c r="BZ153" s="100"/>
      <c r="CA153" s="100"/>
      <c r="CB153" s="100"/>
      <c r="CC153" s="100"/>
      <c r="CD153" s="100"/>
      <c r="CE153" s="100"/>
      <c r="CF153" s="100"/>
      <c r="CG153" s="100"/>
      <c r="CH153" s="100"/>
      <c r="CI153" s="100"/>
      <c r="CJ153" s="100"/>
      <c r="CK153" s="100"/>
      <c r="CL153" s="100"/>
      <c r="CM153" s="100"/>
      <c r="CN153" s="100"/>
      <c r="CO153" s="100"/>
      <c r="CP153" s="100"/>
      <c r="CQ153" s="100"/>
      <c r="CR153" s="100"/>
      <c r="CS153" s="100"/>
      <c r="CT153" s="100"/>
      <c r="CU153" s="100"/>
      <c r="CV153" s="100"/>
      <c r="CW153" s="100"/>
      <c r="CX153" s="100"/>
      <c r="CY153" s="100"/>
      <c r="CZ153" s="100"/>
      <c r="DA153" s="100"/>
      <c r="DB153" s="100"/>
      <c r="DC153" s="100"/>
      <c r="DD153" s="100"/>
      <c r="DE153" s="100"/>
      <c r="DF153" s="100"/>
      <c r="DG153" s="100"/>
      <c r="DH153" s="100"/>
      <c r="DI153" s="100"/>
      <c r="DJ153" s="100"/>
      <c r="DK153" s="100"/>
      <c r="DL153" s="100"/>
      <c r="DM153" s="100"/>
      <c r="DN153" s="100"/>
      <c r="DO153" s="100"/>
      <c r="DP153" s="100"/>
      <c r="DQ153" s="100"/>
      <c r="DR153" s="100"/>
      <c r="DS153" s="100"/>
      <c r="DT153" s="100"/>
      <c r="DU153" s="100"/>
      <c r="DV153" s="100"/>
      <c r="DW153" s="100"/>
      <c r="DX153" s="100"/>
      <c r="DY153" s="100"/>
      <c r="DZ153" s="100"/>
      <c r="EA153" s="100"/>
      <c r="EB153" s="100"/>
      <c r="EC153" s="100"/>
      <c r="ED153" s="100"/>
      <c r="EE153" s="100"/>
      <c r="EF153" s="100"/>
      <c r="EG153" s="100"/>
      <c r="EH153" s="100"/>
      <c r="EI153" s="100"/>
      <c r="EJ153" s="100"/>
      <c r="EK153" s="100"/>
      <c r="EL153" s="100"/>
      <c r="EM153" s="100"/>
      <c r="EN153" s="100"/>
      <c r="EO153" s="100"/>
      <c r="EP153" s="100"/>
      <c r="EQ153" s="100"/>
      <c r="ER153" s="100"/>
      <c r="ES153" s="100"/>
      <c r="ET153" s="100"/>
      <c r="EU153" s="100"/>
      <c r="EV153" s="100"/>
      <c r="EW153" s="100"/>
      <c r="EX153" s="100"/>
      <c r="EY153" s="100"/>
      <c r="EZ153" s="100"/>
      <c r="FA153" s="100"/>
      <c r="FB153" s="100"/>
      <c r="FC153" s="100"/>
      <c r="FD153" s="100"/>
      <c r="FE153" s="100"/>
      <c r="FF153" s="100"/>
      <c r="FG153" s="100"/>
      <c r="FH153" s="100"/>
      <c r="FI153" s="100"/>
      <c r="FJ153" s="100"/>
      <c r="FK153" s="100"/>
      <c r="FL153" s="100"/>
      <c r="FM153" s="100"/>
      <c r="FN153" s="100"/>
      <c r="FO153" s="100"/>
      <c r="FP153" s="100"/>
      <c r="FQ153" s="100"/>
      <c r="FR153" s="100"/>
      <c r="FS153" s="100"/>
      <c r="FT153" s="100"/>
      <c r="FU153" s="100"/>
      <c r="FV153" s="100"/>
      <c r="FW153" s="100"/>
      <c r="FX153" s="100"/>
      <c r="FY153" s="100"/>
      <c r="FZ153" s="100"/>
      <c r="GA153" s="100"/>
      <c r="GB153" s="100"/>
      <c r="GC153" s="100"/>
    </row>
    <row r="154" spans="1:185">
      <c r="A154" s="80"/>
      <c r="B154" s="10" t="s">
        <v>17</v>
      </c>
      <c r="C154" s="80"/>
      <c r="D154" s="80"/>
      <c r="E154" s="82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  <c r="BG154" s="100"/>
      <c r="BH154" s="100"/>
      <c r="BI154" s="100"/>
      <c r="BJ154" s="100"/>
      <c r="BK154" s="100"/>
      <c r="BL154" s="100"/>
      <c r="BM154" s="100"/>
      <c r="BN154" s="100"/>
      <c r="BO154" s="100"/>
      <c r="BP154" s="100"/>
      <c r="BQ154" s="100"/>
      <c r="BR154" s="100"/>
      <c r="BS154" s="100"/>
      <c r="BT154" s="100"/>
      <c r="BU154" s="100"/>
      <c r="BV154" s="100"/>
      <c r="BW154" s="100"/>
      <c r="BX154" s="100"/>
      <c r="BY154" s="100"/>
      <c r="BZ154" s="100"/>
      <c r="CA154" s="100"/>
      <c r="CB154" s="100"/>
      <c r="CC154" s="100"/>
      <c r="CD154" s="100"/>
      <c r="CE154" s="100"/>
      <c r="CF154" s="100"/>
      <c r="CG154" s="100"/>
      <c r="CH154" s="100"/>
      <c r="CI154" s="100"/>
      <c r="CJ154" s="100"/>
      <c r="CK154" s="100"/>
      <c r="CL154" s="100"/>
      <c r="CM154" s="100"/>
      <c r="CN154" s="100"/>
      <c r="CO154" s="100"/>
      <c r="CP154" s="100"/>
      <c r="CQ154" s="100"/>
      <c r="CR154" s="100"/>
      <c r="CS154" s="100"/>
      <c r="CT154" s="100"/>
      <c r="CU154" s="100"/>
      <c r="CV154" s="100"/>
      <c r="CW154" s="100"/>
      <c r="CX154" s="100"/>
      <c r="CY154" s="100"/>
      <c r="CZ154" s="100"/>
      <c r="DA154" s="100"/>
      <c r="DB154" s="100"/>
      <c r="DC154" s="100"/>
      <c r="DD154" s="100"/>
      <c r="DE154" s="100"/>
      <c r="DF154" s="100"/>
      <c r="DG154" s="100"/>
      <c r="DH154" s="100"/>
      <c r="DI154" s="100"/>
      <c r="DJ154" s="100"/>
      <c r="DK154" s="100"/>
      <c r="DL154" s="100"/>
      <c r="DM154" s="100"/>
      <c r="DN154" s="100"/>
      <c r="DO154" s="100"/>
      <c r="DP154" s="100"/>
      <c r="DQ154" s="100"/>
      <c r="DR154" s="100"/>
      <c r="DS154" s="100"/>
      <c r="DT154" s="100"/>
      <c r="DU154" s="100"/>
      <c r="DV154" s="100"/>
      <c r="DW154" s="100"/>
      <c r="DX154" s="100"/>
      <c r="DY154" s="100"/>
      <c r="DZ154" s="100"/>
      <c r="EA154" s="100"/>
      <c r="EB154" s="100"/>
      <c r="EC154" s="100"/>
      <c r="ED154" s="100"/>
      <c r="EE154" s="100"/>
      <c r="EF154" s="100"/>
      <c r="EG154" s="100"/>
      <c r="EH154" s="100"/>
      <c r="EI154" s="100"/>
      <c r="EJ154" s="100"/>
      <c r="EK154" s="100"/>
      <c r="EL154" s="100"/>
      <c r="EM154" s="100"/>
      <c r="EN154" s="100"/>
      <c r="EO154" s="100"/>
      <c r="EP154" s="100"/>
      <c r="EQ154" s="100"/>
      <c r="ER154" s="100"/>
      <c r="ES154" s="100"/>
      <c r="ET154" s="100"/>
      <c r="EU154" s="100"/>
      <c r="EV154" s="100"/>
      <c r="EW154" s="100"/>
      <c r="EX154" s="100"/>
      <c r="EY154" s="100"/>
      <c r="EZ154" s="100"/>
      <c r="FA154" s="100"/>
      <c r="FB154" s="100"/>
      <c r="FC154" s="100"/>
      <c r="FD154" s="100"/>
      <c r="FE154" s="100"/>
      <c r="FF154" s="100"/>
      <c r="FG154" s="100"/>
      <c r="FH154" s="100"/>
      <c r="FI154" s="100"/>
      <c r="FJ154" s="100"/>
      <c r="FK154" s="100"/>
      <c r="FL154" s="100"/>
      <c r="FM154" s="100"/>
      <c r="FN154" s="100"/>
      <c r="FO154" s="100"/>
      <c r="FP154" s="100"/>
      <c r="FQ154" s="100"/>
      <c r="FR154" s="100"/>
      <c r="FS154" s="100"/>
      <c r="FT154" s="100"/>
      <c r="FU154" s="100"/>
      <c r="FV154" s="100"/>
      <c r="FW154" s="100"/>
      <c r="FX154" s="100"/>
      <c r="FY154" s="100"/>
      <c r="FZ154" s="100"/>
      <c r="GA154" s="100"/>
      <c r="GB154" s="100"/>
      <c r="GC154" s="100"/>
    </row>
    <row r="155" spans="1:185">
      <c r="A155" s="80"/>
      <c r="B155" s="80" t="s">
        <v>174</v>
      </c>
      <c r="C155" s="80" t="s">
        <v>30</v>
      </c>
      <c r="D155" s="80"/>
      <c r="E155" s="82">
        <f t="shared" ref="E155:E158" si="550">SUM(F155:GC155)</f>
        <v>0</v>
      </c>
      <c r="F155" s="100">
        <f>F133*Assumptions!$D$20</f>
        <v>0</v>
      </c>
      <c r="G155" s="100">
        <f>G133*Assumptions!$D$20</f>
        <v>0</v>
      </c>
      <c r="H155" s="100">
        <f>H133*Assumptions!$D$20</f>
        <v>0</v>
      </c>
      <c r="I155" s="100">
        <f>I133*Assumptions!$D$20</f>
        <v>0</v>
      </c>
      <c r="J155" s="100">
        <f>J133*Assumptions!$D$20</f>
        <v>0</v>
      </c>
      <c r="K155" s="100">
        <f>K133*Assumptions!$D$20</f>
        <v>0</v>
      </c>
      <c r="L155" s="100">
        <f>L133*Assumptions!$D$20</f>
        <v>0</v>
      </c>
      <c r="M155" s="100">
        <f>M133*Assumptions!$D$20</f>
        <v>0</v>
      </c>
      <c r="N155" s="100">
        <f>N133*Assumptions!$D$20</f>
        <v>0</v>
      </c>
      <c r="O155" s="100">
        <f>O133*Assumptions!$D$20</f>
        <v>0</v>
      </c>
      <c r="P155" s="100">
        <f>P133*Assumptions!$D$20</f>
        <v>0</v>
      </c>
      <c r="Q155" s="100">
        <f>Q133*Assumptions!$D$20</f>
        <v>0</v>
      </c>
      <c r="R155" s="100">
        <f>R133*Assumptions!$D$20</f>
        <v>0</v>
      </c>
      <c r="S155" s="100">
        <f>S133*Assumptions!$D$20</f>
        <v>0</v>
      </c>
      <c r="T155" s="100">
        <f>T133*Assumptions!$D$20</f>
        <v>0</v>
      </c>
      <c r="U155" s="100">
        <f>U133*Assumptions!$D$20</f>
        <v>0</v>
      </c>
      <c r="V155" s="100">
        <f>V133*Assumptions!$D$20</f>
        <v>0</v>
      </c>
      <c r="W155" s="100">
        <f>W133*Assumptions!$D$20</f>
        <v>0</v>
      </c>
      <c r="X155" s="100">
        <f>X133*Assumptions!$D$20</f>
        <v>0</v>
      </c>
      <c r="Y155" s="100">
        <f>Y133*Assumptions!$D$20</f>
        <v>0</v>
      </c>
      <c r="Z155" s="100">
        <f>Z133*Assumptions!$D$20</f>
        <v>0</v>
      </c>
      <c r="AA155" s="100">
        <f>AA133*Assumptions!$D$20</f>
        <v>0</v>
      </c>
      <c r="AB155" s="100">
        <f>AB133*Assumptions!$D$20</f>
        <v>0</v>
      </c>
      <c r="AC155" s="100">
        <f>AC133*Assumptions!$D$20</f>
        <v>0</v>
      </c>
      <c r="AD155" s="100">
        <f>AD133*Assumptions!$D$20</f>
        <v>0</v>
      </c>
      <c r="AE155" s="100">
        <f>AE133*Assumptions!$D$20</f>
        <v>0</v>
      </c>
      <c r="AF155" s="100">
        <f>AF133*Assumptions!$D$20</f>
        <v>0</v>
      </c>
      <c r="AG155" s="100">
        <f>AG133*Assumptions!$D$20</f>
        <v>0</v>
      </c>
      <c r="AH155" s="100">
        <f>AH133*Assumptions!$D$20</f>
        <v>0</v>
      </c>
      <c r="AI155" s="100">
        <f>AI133*Assumptions!$D$20</f>
        <v>0</v>
      </c>
      <c r="AJ155" s="100">
        <f>AJ133*Assumptions!$D$20</f>
        <v>0</v>
      </c>
      <c r="AK155" s="100">
        <f>AK133*Assumptions!$D$20</f>
        <v>0</v>
      </c>
      <c r="AL155" s="100">
        <f>AL133*Assumptions!$D$20</f>
        <v>0</v>
      </c>
      <c r="AM155" s="100">
        <f>AM133*Assumptions!$D$20</f>
        <v>0</v>
      </c>
      <c r="AN155" s="100">
        <f>AN133*Assumptions!$D$20</f>
        <v>0</v>
      </c>
      <c r="AO155" s="100">
        <f>AO133*Assumptions!$D$20</f>
        <v>0</v>
      </c>
      <c r="AP155" s="100">
        <f>AP133*Assumptions!$D$20</f>
        <v>0</v>
      </c>
      <c r="AQ155" s="100">
        <f>AQ133*Assumptions!$D$20</f>
        <v>0</v>
      </c>
      <c r="AR155" s="100">
        <f>AR133*Assumptions!$D$20</f>
        <v>0</v>
      </c>
      <c r="AS155" s="100">
        <f>AS133*Assumptions!$D$20</f>
        <v>0</v>
      </c>
      <c r="AT155" s="100">
        <f>AT133*Assumptions!$D$20</f>
        <v>0</v>
      </c>
      <c r="AU155" s="100">
        <f>AU133*Assumptions!$D$20</f>
        <v>0</v>
      </c>
      <c r="AV155" s="100">
        <f>AV133*Assumptions!$D$20</f>
        <v>0</v>
      </c>
      <c r="AW155" s="100">
        <f>AW133*Assumptions!$D$20</f>
        <v>0</v>
      </c>
      <c r="AX155" s="100">
        <f>AX133*Assumptions!$D$20</f>
        <v>0</v>
      </c>
      <c r="AY155" s="100">
        <f>AY133*Assumptions!$D$20</f>
        <v>0</v>
      </c>
      <c r="AZ155" s="100">
        <f>AZ133*Assumptions!$D$20</f>
        <v>0</v>
      </c>
      <c r="BA155" s="100">
        <f>BA133*Assumptions!$D$20</f>
        <v>0</v>
      </c>
      <c r="BB155" s="100">
        <f>BB133*Assumptions!$D$20</f>
        <v>0</v>
      </c>
      <c r="BC155" s="100">
        <f>BC133*Assumptions!$D$20</f>
        <v>0</v>
      </c>
      <c r="BD155" s="100">
        <f>BD133*Assumptions!$D$20</f>
        <v>0</v>
      </c>
      <c r="BE155" s="100">
        <f>BE133*Assumptions!$D$20</f>
        <v>0</v>
      </c>
      <c r="BF155" s="100">
        <f>BF133*Assumptions!$D$20</f>
        <v>0</v>
      </c>
      <c r="BG155" s="100">
        <f>BG133*Assumptions!$D$20</f>
        <v>0</v>
      </c>
      <c r="BH155" s="100">
        <f>BH133*Assumptions!$D$20</f>
        <v>0</v>
      </c>
      <c r="BI155" s="100">
        <f>BI133*Assumptions!$D$20</f>
        <v>0</v>
      </c>
      <c r="BJ155" s="100">
        <f>BJ133*Assumptions!$D$20</f>
        <v>0</v>
      </c>
      <c r="BK155" s="100">
        <f>BK133*Assumptions!$D$20</f>
        <v>0</v>
      </c>
      <c r="BL155" s="100">
        <f>BL133*Assumptions!$D$20</f>
        <v>0</v>
      </c>
      <c r="BM155" s="100">
        <f>BM133*Assumptions!$D$20</f>
        <v>0</v>
      </c>
      <c r="BN155" s="100">
        <f>BN133*Assumptions!$D$20</f>
        <v>0</v>
      </c>
      <c r="BO155" s="100">
        <f>BO133*Assumptions!$D$20</f>
        <v>0</v>
      </c>
      <c r="BP155" s="100">
        <f>BP133*Assumptions!$D$20</f>
        <v>0</v>
      </c>
      <c r="BQ155" s="100">
        <f>BQ133*Assumptions!$D$20</f>
        <v>0</v>
      </c>
      <c r="BR155" s="100">
        <f>BR133*Assumptions!$D$20</f>
        <v>0</v>
      </c>
      <c r="BS155" s="100">
        <f>BS133*Assumptions!$D$20</f>
        <v>0</v>
      </c>
      <c r="BT155" s="100">
        <f>BT133*Assumptions!$D$20</f>
        <v>0</v>
      </c>
      <c r="BU155" s="100">
        <f>BU133*Assumptions!$D$20</f>
        <v>0</v>
      </c>
      <c r="BV155" s="100">
        <f>BV133*Assumptions!$D$20</f>
        <v>0</v>
      </c>
      <c r="BW155" s="100">
        <f>BW133*Assumptions!$D$20</f>
        <v>0</v>
      </c>
      <c r="BX155" s="100">
        <f>BX133*Assumptions!$D$20</f>
        <v>0</v>
      </c>
      <c r="BY155" s="100">
        <f>BY133*Assumptions!$D$20</f>
        <v>0</v>
      </c>
      <c r="BZ155" s="100">
        <f>BZ133*Assumptions!$D$20</f>
        <v>0</v>
      </c>
      <c r="CA155" s="100">
        <f>CA133*Assumptions!$D$20</f>
        <v>0</v>
      </c>
      <c r="CB155" s="100">
        <f>CB133*Assumptions!$D$20</f>
        <v>0</v>
      </c>
      <c r="CC155" s="100">
        <f>CC133*Assumptions!$D$20</f>
        <v>0</v>
      </c>
      <c r="CD155" s="100">
        <f>CD133*Assumptions!$D$20</f>
        <v>0</v>
      </c>
      <c r="CE155" s="100">
        <f>CE133*Assumptions!$D$20</f>
        <v>0</v>
      </c>
      <c r="CF155" s="100">
        <f>CF133*Assumptions!$D$20</f>
        <v>0</v>
      </c>
      <c r="CG155" s="100">
        <f>CG133*Assumptions!$D$20</f>
        <v>0</v>
      </c>
      <c r="CH155" s="100">
        <f>CH133*Assumptions!$D$20</f>
        <v>0</v>
      </c>
      <c r="CI155" s="100">
        <f>CI133*Assumptions!$D$20</f>
        <v>0</v>
      </c>
      <c r="CJ155" s="100">
        <f>CJ133*Assumptions!$D$20</f>
        <v>0</v>
      </c>
      <c r="CK155" s="100">
        <f>CK133*Assumptions!$D$20</f>
        <v>0</v>
      </c>
      <c r="CL155" s="100">
        <f>CL133*Assumptions!$D$20</f>
        <v>0</v>
      </c>
      <c r="CM155" s="100">
        <f>CM133*Assumptions!$D$20</f>
        <v>0</v>
      </c>
      <c r="CN155" s="100">
        <f>CN133*Assumptions!$D$20</f>
        <v>0</v>
      </c>
      <c r="CO155" s="100">
        <f>CO133*Assumptions!$D$20</f>
        <v>0</v>
      </c>
      <c r="CP155" s="100">
        <f>CP133*Assumptions!$D$20</f>
        <v>0</v>
      </c>
      <c r="CQ155" s="100">
        <f>CQ133*Assumptions!$D$20</f>
        <v>0</v>
      </c>
      <c r="CR155" s="100">
        <f>CR133*Assumptions!$D$20</f>
        <v>0</v>
      </c>
      <c r="CS155" s="100">
        <f>CS133*Assumptions!$D$20</f>
        <v>0</v>
      </c>
      <c r="CT155" s="100">
        <f>CT133*Assumptions!$D$20</f>
        <v>0</v>
      </c>
      <c r="CU155" s="100">
        <f>CU133*Assumptions!$D$20</f>
        <v>0</v>
      </c>
      <c r="CV155" s="100">
        <f>CV133*Assumptions!$D$20</f>
        <v>0</v>
      </c>
      <c r="CW155" s="100">
        <f>CW133*Assumptions!$D$20</f>
        <v>0</v>
      </c>
      <c r="CX155" s="100">
        <f>CX133*Assumptions!$D$20</f>
        <v>0</v>
      </c>
      <c r="CY155" s="100">
        <f>CY133*Assumptions!$D$20</f>
        <v>0</v>
      </c>
      <c r="CZ155" s="100">
        <f>CZ133*Assumptions!$D$20</f>
        <v>0</v>
      </c>
      <c r="DA155" s="100">
        <f>DA133*Assumptions!$D$20</f>
        <v>0</v>
      </c>
      <c r="DB155" s="100">
        <f>DB133*Assumptions!$D$20</f>
        <v>0</v>
      </c>
      <c r="DC155" s="100">
        <f>DC133*Assumptions!$D$20</f>
        <v>0</v>
      </c>
      <c r="DD155" s="100">
        <f>DD133*Assumptions!$D$20</f>
        <v>0</v>
      </c>
      <c r="DE155" s="100">
        <f>DE133*Assumptions!$D$20</f>
        <v>0</v>
      </c>
      <c r="DF155" s="100">
        <f>DF133*Assumptions!$D$20</f>
        <v>0</v>
      </c>
      <c r="DG155" s="100">
        <f>DG133*Assumptions!$D$20</f>
        <v>0</v>
      </c>
      <c r="DH155" s="100">
        <f>DH133*Assumptions!$D$20</f>
        <v>0</v>
      </c>
      <c r="DI155" s="100">
        <f>DI133*Assumptions!$D$20</f>
        <v>0</v>
      </c>
      <c r="DJ155" s="100">
        <f>DJ133*Assumptions!$D$20</f>
        <v>0</v>
      </c>
      <c r="DK155" s="100">
        <f>DK133*Assumptions!$D$20</f>
        <v>0</v>
      </c>
      <c r="DL155" s="100">
        <f>DL133*Assumptions!$D$20</f>
        <v>0</v>
      </c>
      <c r="DM155" s="100">
        <f>DM133*Assumptions!$D$20</f>
        <v>0</v>
      </c>
      <c r="DN155" s="100">
        <f>DN133*Assumptions!$D$20</f>
        <v>0</v>
      </c>
      <c r="DO155" s="100">
        <f>DO133*Assumptions!$D$20</f>
        <v>0</v>
      </c>
      <c r="DP155" s="100">
        <f>DP133*Assumptions!$D$20</f>
        <v>0</v>
      </c>
      <c r="DQ155" s="100">
        <f>DQ133*Assumptions!$D$20</f>
        <v>0</v>
      </c>
      <c r="DR155" s="100">
        <f>DR133*Assumptions!$D$20</f>
        <v>0</v>
      </c>
      <c r="DS155" s="100">
        <f>DS133*Assumptions!$D$20</f>
        <v>0</v>
      </c>
      <c r="DT155" s="100">
        <f>DT133*Assumptions!$D$20</f>
        <v>0</v>
      </c>
      <c r="DU155" s="100">
        <f>DU133*Assumptions!$D$20</f>
        <v>0</v>
      </c>
      <c r="DV155" s="100">
        <f>DV133*Assumptions!$D$20</f>
        <v>0</v>
      </c>
      <c r="DW155" s="100">
        <f>DW133*Assumptions!$D$20</f>
        <v>0</v>
      </c>
      <c r="DX155" s="100">
        <f>DX133*Assumptions!$D$20</f>
        <v>0</v>
      </c>
      <c r="DY155" s="100">
        <f>DY133*Assumptions!$D$20</f>
        <v>0</v>
      </c>
      <c r="DZ155" s="100">
        <f>DZ133*Assumptions!$D$20</f>
        <v>0</v>
      </c>
      <c r="EA155" s="100">
        <f>EA133*Assumptions!$D$20</f>
        <v>0</v>
      </c>
      <c r="EB155" s="100">
        <f>EB133*Assumptions!$D$20</f>
        <v>0</v>
      </c>
      <c r="EC155" s="100">
        <f>EC133*Assumptions!$D$20</f>
        <v>0</v>
      </c>
      <c r="ED155" s="100">
        <f>ED133*Assumptions!$D$20</f>
        <v>0</v>
      </c>
      <c r="EE155" s="100">
        <f>EE133*Assumptions!$D$20</f>
        <v>0</v>
      </c>
      <c r="EF155" s="100">
        <f>EF133*Assumptions!$D$20</f>
        <v>0</v>
      </c>
      <c r="EG155" s="100">
        <f>EG133*Assumptions!$D$20</f>
        <v>0</v>
      </c>
      <c r="EH155" s="100">
        <f>EH133*Assumptions!$D$20</f>
        <v>0</v>
      </c>
      <c r="EI155" s="100">
        <f>EI133*Assumptions!$D$20</f>
        <v>0</v>
      </c>
      <c r="EJ155" s="100">
        <f>EJ133*Assumptions!$D$20</f>
        <v>0</v>
      </c>
      <c r="EK155" s="100">
        <f>EK133*Assumptions!$D$20</f>
        <v>0</v>
      </c>
      <c r="EL155" s="100">
        <f>EL133*Assumptions!$D$20</f>
        <v>0</v>
      </c>
      <c r="EM155" s="100">
        <f>EM133*Assumptions!$D$20</f>
        <v>0</v>
      </c>
      <c r="EN155" s="100">
        <f>EN133*Assumptions!$D$20</f>
        <v>0</v>
      </c>
      <c r="EO155" s="100">
        <f>EO133*Assumptions!$D$20</f>
        <v>0</v>
      </c>
      <c r="EP155" s="100">
        <f>EP133*Assumptions!$D$20</f>
        <v>0</v>
      </c>
      <c r="EQ155" s="100">
        <f>EQ133*Assumptions!$D$20</f>
        <v>0</v>
      </c>
      <c r="ER155" s="100">
        <f>ER133*Assumptions!$D$20</f>
        <v>0</v>
      </c>
      <c r="ES155" s="100">
        <f>ES133*Assumptions!$D$20</f>
        <v>0</v>
      </c>
      <c r="ET155" s="100">
        <f>ET133*Assumptions!$D$20</f>
        <v>0</v>
      </c>
      <c r="EU155" s="100">
        <f>EU133*Assumptions!$D$20</f>
        <v>0</v>
      </c>
      <c r="EV155" s="100">
        <f>EV133*Assumptions!$D$20</f>
        <v>0</v>
      </c>
      <c r="EW155" s="100">
        <f>EW133*Assumptions!$D$20</f>
        <v>0</v>
      </c>
      <c r="EX155" s="100">
        <f>EX133*Assumptions!$D$20</f>
        <v>0</v>
      </c>
      <c r="EY155" s="100">
        <f>EY133*Assumptions!$D$20</f>
        <v>0</v>
      </c>
      <c r="EZ155" s="100">
        <f>EZ133*Assumptions!$D$20</f>
        <v>0</v>
      </c>
      <c r="FA155" s="100">
        <f>FA133*Assumptions!$D$20</f>
        <v>0</v>
      </c>
      <c r="FB155" s="100">
        <f>FB133*Assumptions!$D$20</f>
        <v>0</v>
      </c>
      <c r="FC155" s="100">
        <f>FC133*Assumptions!$D$20</f>
        <v>0</v>
      </c>
      <c r="FD155" s="100">
        <f>FD133*Assumptions!$D$20</f>
        <v>0</v>
      </c>
      <c r="FE155" s="100">
        <f>FE133*Assumptions!$D$20</f>
        <v>0</v>
      </c>
      <c r="FF155" s="100">
        <f>FF133*Assumptions!$D$20</f>
        <v>0</v>
      </c>
      <c r="FG155" s="100">
        <f>FG133*Assumptions!$D$20</f>
        <v>0</v>
      </c>
      <c r="FH155" s="100">
        <f>FH133*Assumptions!$D$20</f>
        <v>0</v>
      </c>
      <c r="FI155" s="100">
        <f>FI133*Assumptions!$D$20</f>
        <v>0</v>
      </c>
      <c r="FJ155" s="100">
        <f>FJ133*Assumptions!$D$20</f>
        <v>0</v>
      </c>
      <c r="FK155" s="100">
        <f>FK133*Assumptions!$D$20</f>
        <v>0</v>
      </c>
      <c r="FL155" s="100">
        <f>FL133*Assumptions!$D$20</f>
        <v>0</v>
      </c>
      <c r="FM155" s="100">
        <f>FM133*Assumptions!$D$20</f>
        <v>0</v>
      </c>
      <c r="FN155" s="100">
        <f>FN133*Assumptions!$D$20</f>
        <v>0</v>
      </c>
      <c r="FO155" s="100">
        <f>FO133*Assumptions!$D$20</f>
        <v>0</v>
      </c>
      <c r="FP155" s="100">
        <f>FP133*Assumptions!$D$20</f>
        <v>0</v>
      </c>
      <c r="FQ155" s="100">
        <f>FQ133*Assumptions!$D$20</f>
        <v>0</v>
      </c>
      <c r="FR155" s="100">
        <f>FR133*Assumptions!$D$20</f>
        <v>0</v>
      </c>
      <c r="FS155" s="100">
        <f>FS133*Assumptions!$D$20</f>
        <v>0</v>
      </c>
      <c r="FT155" s="100">
        <f>FT133*Assumptions!$D$20</f>
        <v>0</v>
      </c>
      <c r="FU155" s="100">
        <f>FU133*Assumptions!$D$20</f>
        <v>0</v>
      </c>
      <c r="FV155" s="100">
        <f>FV133*Assumptions!$D$20</f>
        <v>0</v>
      </c>
      <c r="FW155" s="100">
        <f>FW133*Assumptions!$D$20</f>
        <v>0</v>
      </c>
      <c r="FX155" s="100">
        <f>FX133*Assumptions!$D$20</f>
        <v>0</v>
      </c>
      <c r="FY155" s="100">
        <f>FY133*Assumptions!$D$20</f>
        <v>0</v>
      </c>
      <c r="FZ155" s="100">
        <f>FZ133*Assumptions!$D$20</f>
        <v>0</v>
      </c>
      <c r="GA155" s="100">
        <f>GA133*Assumptions!$D$20</f>
        <v>0</v>
      </c>
      <c r="GB155" s="100">
        <f>GB133*Assumptions!$D$20</f>
        <v>0</v>
      </c>
      <c r="GC155" s="100">
        <f>GC133*Assumptions!$D$20</f>
        <v>0</v>
      </c>
    </row>
    <row r="156" spans="1:185">
      <c r="A156" s="80"/>
      <c r="B156" s="80" t="s">
        <v>175</v>
      </c>
      <c r="C156" s="80" t="s">
        <v>30</v>
      </c>
      <c r="D156" s="80"/>
      <c r="E156" s="82">
        <f t="shared" si="550"/>
        <v>203715993.59999967</v>
      </c>
      <c r="F156" s="99">
        <f t="shared" ref="F156:BM158" si="551">F144*F149</f>
        <v>0</v>
      </c>
      <c r="G156" s="99">
        <f t="shared" si="551"/>
        <v>0</v>
      </c>
      <c r="H156" s="99">
        <f t="shared" si="551"/>
        <v>0</v>
      </c>
      <c r="I156" s="99">
        <f t="shared" si="551"/>
        <v>0</v>
      </c>
      <c r="J156" s="99">
        <f t="shared" si="551"/>
        <v>0</v>
      </c>
      <c r="K156" s="99">
        <f t="shared" si="551"/>
        <v>0</v>
      </c>
      <c r="L156" s="99">
        <f t="shared" si="551"/>
        <v>0</v>
      </c>
      <c r="M156" s="99">
        <f t="shared" si="551"/>
        <v>1199923.2</v>
      </c>
      <c r="N156" s="99">
        <f t="shared" si="551"/>
        <v>1161215.9999999998</v>
      </c>
      <c r="O156" s="99">
        <f t="shared" si="551"/>
        <v>1199923.2</v>
      </c>
      <c r="P156" s="99">
        <f t="shared" si="551"/>
        <v>1161215.9999999998</v>
      </c>
      <c r="Q156" s="99">
        <f t="shared" si="551"/>
        <v>1199923.2</v>
      </c>
      <c r="R156" s="99">
        <f t="shared" si="551"/>
        <v>1199923.2</v>
      </c>
      <c r="S156" s="99">
        <f t="shared" si="551"/>
        <v>1083801.6000000001</v>
      </c>
      <c r="T156" s="99">
        <f t="shared" si="551"/>
        <v>1199923.2</v>
      </c>
      <c r="U156" s="99">
        <f t="shared" si="551"/>
        <v>1161215.9999999998</v>
      </c>
      <c r="V156" s="99">
        <f t="shared" si="551"/>
        <v>1199923.2</v>
      </c>
      <c r="W156" s="99">
        <f t="shared" si="551"/>
        <v>1161215.9999999998</v>
      </c>
      <c r="X156" s="99">
        <f t="shared" si="551"/>
        <v>1199923.2</v>
      </c>
      <c r="Y156" s="99">
        <f t="shared" si="551"/>
        <v>1199923.2</v>
      </c>
      <c r="Z156" s="99">
        <f t="shared" si="551"/>
        <v>1161215.9999999998</v>
      </c>
      <c r="AA156" s="99">
        <f t="shared" si="551"/>
        <v>1199923.2</v>
      </c>
      <c r="AB156" s="99">
        <f t="shared" si="551"/>
        <v>1161215.9999999998</v>
      </c>
      <c r="AC156" s="99">
        <f t="shared" si="551"/>
        <v>1199923.2</v>
      </c>
      <c r="AD156" s="99">
        <f t="shared" si="551"/>
        <v>1199923.2</v>
      </c>
      <c r="AE156" s="99">
        <f t="shared" si="551"/>
        <v>1083801.6000000001</v>
      </c>
      <c r="AF156" s="99">
        <f t="shared" si="551"/>
        <v>1199923.2</v>
      </c>
      <c r="AG156" s="99">
        <f t="shared" si="551"/>
        <v>1161215.9999999998</v>
      </c>
      <c r="AH156" s="99">
        <f t="shared" si="551"/>
        <v>1199923.2</v>
      </c>
      <c r="AI156" s="99">
        <f t="shared" si="551"/>
        <v>1161215.9999999998</v>
      </c>
      <c r="AJ156" s="99">
        <f t="shared" si="551"/>
        <v>1199923.2</v>
      </c>
      <c r="AK156" s="99">
        <f t="shared" si="551"/>
        <v>1199923.2</v>
      </c>
      <c r="AL156" s="99">
        <f t="shared" si="551"/>
        <v>1161215.9999999998</v>
      </c>
      <c r="AM156" s="99">
        <f t="shared" si="551"/>
        <v>1199923.2</v>
      </c>
      <c r="AN156" s="99">
        <f t="shared" si="551"/>
        <v>1161215.9999999998</v>
      </c>
      <c r="AO156" s="99">
        <f t="shared" si="551"/>
        <v>1199923.2</v>
      </c>
      <c r="AP156" s="99">
        <f t="shared" si="551"/>
        <v>1199923.2</v>
      </c>
      <c r="AQ156" s="99">
        <f t="shared" si="551"/>
        <v>1083801.6000000001</v>
      </c>
      <c r="AR156" s="99">
        <f t="shared" si="551"/>
        <v>1199923.2</v>
      </c>
      <c r="AS156" s="99">
        <f t="shared" si="551"/>
        <v>1161215.9999999998</v>
      </c>
      <c r="AT156" s="99">
        <f t="shared" si="551"/>
        <v>1199923.2</v>
      </c>
      <c r="AU156" s="99">
        <f t="shared" si="551"/>
        <v>1161215.9999999998</v>
      </c>
      <c r="AV156" s="99">
        <f t="shared" si="551"/>
        <v>1199923.2</v>
      </c>
      <c r="AW156" s="99">
        <f t="shared" si="551"/>
        <v>1199923.2</v>
      </c>
      <c r="AX156" s="99">
        <f t="shared" si="551"/>
        <v>1161215.9999999998</v>
      </c>
      <c r="AY156" s="99">
        <f t="shared" si="551"/>
        <v>1199923.2</v>
      </c>
      <c r="AZ156" s="99">
        <f t="shared" si="551"/>
        <v>1161215.9999999998</v>
      </c>
      <c r="BA156" s="99">
        <f t="shared" si="551"/>
        <v>1199923.2</v>
      </c>
      <c r="BB156" s="99">
        <f t="shared" si="551"/>
        <v>1199923.2</v>
      </c>
      <c r="BC156" s="99">
        <f t="shared" si="551"/>
        <v>1083801.6000000001</v>
      </c>
      <c r="BD156" s="99">
        <f t="shared" si="551"/>
        <v>1199923.2</v>
      </c>
      <c r="BE156" s="99">
        <f t="shared" si="551"/>
        <v>1161215.9999999998</v>
      </c>
      <c r="BF156" s="99">
        <f t="shared" si="551"/>
        <v>1199923.2</v>
      </c>
      <c r="BG156" s="99">
        <f t="shared" si="551"/>
        <v>1161215.9999999998</v>
      </c>
      <c r="BH156" s="99">
        <f t="shared" si="551"/>
        <v>1199923.2</v>
      </c>
      <c r="BI156" s="99">
        <f t="shared" si="551"/>
        <v>1199923.2</v>
      </c>
      <c r="BJ156" s="99">
        <f t="shared" si="551"/>
        <v>1161215.9999999998</v>
      </c>
      <c r="BK156" s="99">
        <f t="shared" si="551"/>
        <v>1199923.2</v>
      </c>
      <c r="BL156" s="99">
        <f t="shared" si="551"/>
        <v>1161215.9999999998</v>
      </c>
      <c r="BM156" s="99">
        <f t="shared" si="551"/>
        <v>1199923.2</v>
      </c>
      <c r="BN156" s="99">
        <f t="shared" ref="BN156:DY156" si="552">BN144*BN149</f>
        <v>1199923.2</v>
      </c>
      <c r="BO156" s="99">
        <f t="shared" si="552"/>
        <v>1083801.6000000001</v>
      </c>
      <c r="BP156" s="99">
        <f t="shared" si="552"/>
        <v>1199923.2</v>
      </c>
      <c r="BQ156" s="99">
        <f t="shared" si="552"/>
        <v>1161215.9999999998</v>
      </c>
      <c r="BR156" s="99">
        <f t="shared" si="552"/>
        <v>1199923.2</v>
      </c>
      <c r="BS156" s="99">
        <f t="shared" si="552"/>
        <v>1161215.9999999998</v>
      </c>
      <c r="BT156" s="99">
        <f t="shared" si="552"/>
        <v>1199923.2</v>
      </c>
      <c r="BU156" s="99">
        <f t="shared" si="552"/>
        <v>1199923.2</v>
      </c>
      <c r="BV156" s="99">
        <f t="shared" si="552"/>
        <v>1161215.9999999998</v>
      </c>
      <c r="BW156" s="99">
        <f t="shared" si="552"/>
        <v>1199923.2</v>
      </c>
      <c r="BX156" s="99">
        <f t="shared" si="552"/>
        <v>1161215.9999999998</v>
      </c>
      <c r="BY156" s="99">
        <f t="shared" si="552"/>
        <v>1199923.2</v>
      </c>
      <c r="BZ156" s="99">
        <f t="shared" si="552"/>
        <v>1199923.2</v>
      </c>
      <c r="CA156" s="99">
        <f t="shared" si="552"/>
        <v>1083801.6000000001</v>
      </c>
      <c r="CB156" s="99">
        <f t="shared" si="552"/>
        <v>1199923.2</v>
      </c>
      <c r="CC156" s="99">
        <f t="shared" si="552"/>
        <v>1161215.9999999998</v>
      </c>
      <c r="CD156" s="99">
        <f t="shared" si="552"/>
        <v>1199923.2</v>
      </c>
      <c r="CE156" s="99">
        <f t="shared" si="552"/>
        <v>1161215.9999999998</v>
      </c>
      <c r="CF156" s="99">
        <f t="shared" si="552"/>
        <v>1199923.2</v>
      </c>
      <c r="CG156" s="99">
        <f t="shared" si="552"/>
        <v>1199923.2</v>
      </c>
      <c r="CH156" s="99">
        <f t="shared" si="552"/>
        <v>1161215.9999999998</v>
      </c>
      <c r="CI156" s="99">
        <f t="shared" si="552"/>
        <v>1199923.2</v>
      </c>
      <c r="CJ156" s="99">
        <f t="shared" si="552"/>
        <v>1161215.9999999998</v>
      </c>
      <c r="CK156" s="99">
        <f t="shared" si="552"/>
        <v>1199923.2</v>
      </c>
      <c r="CL156" s="99">
        <f t="shared" si="552"/>
        <v>1199923.2</v>
      </c>
      <c r="CM156" s="99">
        <f t="shared" si="552"/>
        <v>1083801.6000000001</v>
      </c>
      <c r="CN156" s="99">
        <f t="shared" si="552"/>
        <v>1199923.2</v>
      </c>
      <c r="CO156" s="99">
        <f t="shared" si="552"/>
        <v>1161215.9999999998</v>
      </c>
      <c r="CP156" s="99">
        <f t="shared" si="552"/>
        <v>1199923.2</v>
      </c>
      <c r="CQ156" s="99">
        <f t="shared" si="552"/>
        <v>1161215.9999999998</v>
      </c>
      <c r="CR156" s="99">
        <f t="shared" si="552"/>
        <v>1199923.2</v>
      </c>
      <c r="CS156" s="99">
        <f t="shared" si="552"/>
        <v>1199923.2</v>
      </c>
      <c r="CT156" s="99">
        <f t="shared" si="552"/>
        <v>1161215.9999999998</v>
      </c>
      <c r="CU156" s="99">
        <f t="shared" si="552"/>
        <v>1199923.2</v>
      </c>
      <c r="CV156" s="99">
        <f t="shared" si="552"/>
        <v>1161215.9999999998</v>
      </c>
      <c r="CW156" s="99">
        <f t="shared" si="552"/>
        <v>1199923.2</v>
      </c>
      <c r="CX156" s="99">
        <f t="shared" si="552"/>
        <v>1199923.2</v>
      </c>
      <c r="CY156" s="99">
        <f t="shared" si="552"/>
        <v>1083801.6000000001</v>
      </c>
      <c r="CZ156" s="99">
        <f t="shared" si="552"/>
        <v>1199923.2</v>
      </c>
      <c r="DA156" s="99">
        <f t="shared" si="552"/>
        <v>1161215.9999999998</v>
      </c>
      <c r="DB156" s="99">
        <f t="shared" si="552"/>
        <v>1199923.2</v>
      </c>
      <c r="DC156" s="99">
        <f t="shared" si="552"/>
        <v>1161215.9999999998</v>
      </c>
      <c r="DD156" s="99">
        <f t="shared" si="552"/>
        <v>1199923.2</v>
      </c>
      <c r="DE156" s="99">
        <f t="shared" si="552"/>
        <v>1199923.2</v>
      </c>
      <c r="DF156" s="99">
        <f t="shared" si="552"/>
        <v>1161215.9999999998</v>
      </c>
      <c r="DG156" s="99">
        <f t="shared" si="552"/>
        <v>1199923.2</v>
      </c>
      <c r="DH156" s="99">
        <f t="shared" si="552"/>
        <v>1161215.9999999998</v>
      </c>
      <c r="DI156" s="99">
        <f t="shared" si="552"/>
        <v>1199923.2</v>
      </c>
      <c r="DJ156" s="99">
        <f t="shared" si="552"/>
        <v>1199923.2</v>
      </c>
      <c r="DK156" s="99">
        <f t="shared" si="552"/>
        <v>1083801.6000000001</v>
      </c>
      <c r="DL156" s="99">
        <f t="shared" si="552"/>
        <v>1199923.2</v>
      </c>
      <c r="DM156" s="99">
        <f t="shared" si="552"/>
        <v>1161215.9999999998</v>
      </c>
      <c r="DN156" s="99">
        <f t="shared" si="552"/>
        <v>1199923.2</v>
      </c>
      <c r="DO156" s="99">
        <f t="shared" si="552"/>
        <v>1161215.9999999998</v>
      </c>
      <c r="DP156" s="99">
        <f t="shared" si="552"/>
        <v>1199923.2</v>
      </c>
      <c r="DQ156" s="99">
        <f t="shared" si="552"/>
        <v>1199923.2</v>
      </c>
      <c r="DR156" s="99">
        <f t="shared" si="552"/>
        <v>1161215.9999999998</v>
      </c>
      <c r="DS156" s="99">
        <f t="shared" si="552"/>
        <v>1199923.2</v>
      </c>
      <c r="DT156" s="99">
        <f t="shared" si="552"/>
        <v>1161215.9999999998</v>
      </c>
      <c r="DU156" s="99">
        <f t="shared" si="552"/>
        <v>1199923.2</v>
      </c>
      <c r="DV156" s="99">
        <f t="shared" si="552"/>
        <v>1199923.2</v>
      </c>
      <c r="DW156" s="99">
        <f t="shared" si="552"/>
        <v>1083801.6000000001</v>
      </c>
      <c r="DX156" s="99">
        <f t="shared" si="552"/>
        <v>1199923.2</v>
      </c>
      <c r="DY156" s="99">
        <f t="shared" si="552"/>
        <v>1161215.9999999998</v>
      </c>
      <c r="DZ156" s="99">
        <f t="shared" ref="DZ156:GC156" si="553">DZ144*DZ149</f>
        <v>1199923.2</v>
      </c>
      <c r="EA156" s="99">
        <f t="shared" si="553"/>
        <v>1161215.9999999998</v>
      </c>
      <c r="EB156" s="99">
        <f t="shared" si="553"/>
        <v>1199923.2</v>
      </c>
      <c r="EC156" s="99">
        <f t="shared" si="553"/>
        <v>1199923.2</v>
      </c>
      <c r="ED156" s="99">
        <f t="shared" si="553"/>
        <v>1161215.9999999998</v>
      </c>
      <c r="EE156" s="99">
        <f t="shared" si="553"/>
        <v>1199923.2</v>
      </c>
      <c r="EF156" s="99">
        <f t="shared" si="553"/>
        <v>1161215.9999999998</v>
      </c>
      <c r="EG156" s="99">
        <f t="shared" si="553"/>
        <v>1199923.2</v>
      </c>
      <c r="EH156" s="99">
        <f t="shared" si="553"/>
        <v>1199923.2</v>
      </c>
      <c r="EI156" s="99">
        <f t="shared" si="553"/>
        <v>1083801.6000000001</v>
      </c>
      <c r="EJ156" s="99">
        <f t="shared" si="553"/>
        <v>1199923.2</v>
      </c>
      <c r="EK156" s="99">
        <f t="shared" si="553"/>
        <v>1161215.9999999998</v>
      </c>
      <c r="EL156" s="99">
        <f t="shared" si="553"/>
        <v>1199923.2</v>
      </c>
      <c r="EM156" s="99">
        <f t="shared" si="553"/>
        <v>1161215.9999999998</v>
      </c>
      <c r="EN156" s="99">
        <f t="shared" si="553"/>
        <v>1199923.2</v>
      </c>
      <c r="EO156" s="99">
        <f t="shared" si="553"/>
        <v>1199923.2</v>
      </c>
      <c r="EP156" s="99">
        <f t="shared" si="553"/>
        <v>1161215.9999999998</v>
      </c>
      <c r="EQ156" s="99">
        <f t="shared" si="553"/>
        <v>1199923.2</v>
      </c>
      <c r="ER156" s="99">
        <f t="shared" si="553"/>
        <v>1161215.9999999998</v>
      </c>
      <c r="ES156" s="99">
        <f t="shared" si="553"/>
        <v>1199923.2</v>
      </c>
      <c r="ET156" s="99">
        <f t="shared" si="553"/>
        <v>1199923.2</v>
      </c>
      <c r="EU156" s="99">
        <f t="shared" si="553"/>
        <v>1083801.6000000001</v>
      </c>
      <c r="EV156" s="99">
        <f t="shared" si="553"/>
        <v>1199923.2</v>
      </c>
      <c r="EW156" s="99">
        <f t="shared" si="553"/>
        <v>1161215.9999999998</v>
      </c>
      <c r="EX156" s="99">
        <f t="shared" si="553"/>
        <v>1199923.2</v>
      </c>
      <c r="EY156" s="99">
        <f t="shared" si="553"/>
        <v>1161215.9999999998</v>
      </c>
      <c r="EZ156" s="99">
        <f t="shared" si="553"/>
        <v>1199923.2</v>
      </c>
      <c r="FA156" s="99">
        <f t="shared" si="553"/>
        <v>1199923.2</v>
      </c>
      <c r="FB156" s="99">
        <f t="shared" si="553"/>
        <v>1161215.9999999998</v>
      </c>
      <c r="FC156" s="99">
        <f t="shared" si="553"/>
        <v>1199923.2</v>
      </c>
      <c r="FD156" s="99">
        <f t="shared" si="553"/>
        <v>1161215.9999999998</v>
      </c>
      <c r="FE156" s="99">
        <f t="shared" si="553"/>
        <v>1199923.2</v>
      </c>
      <c r="FF156" s="99">
        <f t="shared" si="553"/>
        <v>1199923.2</v>
      </c>
      <c r="FG156" s="99">
        <f t="shared" si="553"/>
        <v>1083801.6000000001</v>
      </c>
      <c r="FH156" s="99">
        <f t="shared" si="553"/>
        <v>1199923.2</v>
      </c>
      <c r="FI156" s="99">
        <f t="shared" si="553"/>
        <v>1161215.9999999998</v>
      </c>
      <c r="FJ156" s="99">
        <f t="shared" si="553"/>
        <v>1199923.2</v>
      </c>
      <c r="FK156" s="99">
        <f t="shared" si="553"/>
        <v>1161215.9999999998</v>
      </c>
      <c r="FL156" s="99">
        <f t="shared" si="553"/>
        <v>1199923.2</v>
      </c>
      <c r="FM156" s="99">
        <f t="shared" si="553"/>
        <v>1199923.2</v>
      </c>
      <c r="FN156" s="99">
        <f t="shared" si="553"/>
        <v>1161215.9999999998</v>
      </c>
      <c r="FO156" s="99">
        <f t="shared" si="553"/>
        <v>1199923.2</v>
      </c>
      <c r="FP156" s="99">
        <f t="shared" si="553"/>
        <v>1161215.9999999998</v>
      </c>
      <c r="FQ156" s="99">
        <f t="shared" si="553"/>
        <v>1199923.2</v>
      </c>
      <c r="FR156" s="99">
        <f t="shared" si="553"/>
        <v>1199923.2</v>
      </c>
      <c r="FS156" s="99">
        <f t="shared" si="553"/>
        <v>1083801.6000000001</v>
      </c>
      <c r="FT156" s="99">
        <f t="shared" si="553"/>
        <v>1199923.2</v>
      </c>
      <c r="FU156" s="99">
        <f t="shared" si="553"/>
        <v>1161215.9999999998</v>
      </c>
      <c r="FV156" s="99">
        <f t="shared" si="553"/>
        <v>1199923.2</v>
      </c>
      <c r="FW156" s="99">
        <f t="shared" si="553"/>
        <v>1161215.9999999998</v>
      </c>
      <c r="FX156" s="99">
        <f t="shared" si="553"/>
        <v>1199923.2</v>
      </c>
      <c r="FY156" s="99">
        <f t="shared" si="553"/>
        <v>1199923.2</v>
      </c>
      <c r="FZ156" s="99">
        <f t="shared" si="553"/>
        <v>1161215.9999999998</v>
      </c>
      <c r="GA156" s="99">
        <f t="shared" si="553"/>
        <v>1199923.2</v>
      </c>
      <c r="GB156" s="99">
        <f t="shared" si="553"/>
        <v>1161215.9999999998</v>
      </c>
      <c r="GC156" s="99">
        <f t="shared" si="553"/>
        <v>1199923.2</v>
      </c>
    </row>
    <row r="157" spans="1:185">
      <c r="A157" s="80"/>
      <c r="B157" s="80" t="s">
        <v>176</v>
      </c>
      <c r="C157" s="80" t="s">
        <v>30</v>
      </c>
      <c r="D157" s="80"/>
      <c r="E157" s="82">
        <f t="shared" si="550"/>
        <v>95491872</v>
      </c>
      <c r="F157" s="99">
        <f t="shared" si="551"/>
        <v>0</v>
      </c>
      <c r="G157" s="99">
        <f t="shared" si="551"/>
        <v>0</v>
      </c>
      <c r="H157" s="99">
        <f t="shared" si="551"/>
        <v>0</v>
      </c>
      <c r="I157" s="99">
        <f t="shared" si="551"/>
        <v>0</v>
      </c>
      <c r="J157" s="99">
        <f t="shared" si="551"/>
        <v>0</v>
      </c>
      <c r="K157" s="99">
        <f t="shared" si="551"/>
        <v>0</v>
      </c>
      <c r="L157" s="99">
        <f t="shared" si="551"/>
        <v>0</v>
      </c>
      <c r="M157" s="99">
        <f t="shared" si="551"/>
        <v>562464</v>
      </c>
      <c r="N157" s="99">
        <f t="shared" si="551"/>
        <v>544320.00000000012</v>
      </c>
      <c r="O157" s="99">
        <f t="shared" si="551"/>
        <v>562464</v>
      </c>
      <c r="P157" s="99">
        <f t="shared" si="551"/>
        <v>544320.00000000012</v>
      </c>
      <c r="Q157" s="99">
        <f t="shared" si="551"/>
        <v>562464</v>
      </c>
      <c r="R157" s="99">
        <f t="shared" si="551"/>
        <v>562464</v>
      </c>
      <c r="S157" s="99">
        <f t="shared" si="551"/>
        <v>508032.00000000006</v>
      </c>
      <c r="T157" s="99">
        <f t="shared" si="551"/>
        <v>562464</v>
      </c>
      <c r="U157" s="99">
        <f t="shared" si="551"/>
        <v>544320.00000000012</v>
      </c>
      <c r="V157" s="99">
        <f t="shared" si="551"/>
        <v>562464</v>
      </c>
      <c r="W157" s="99">
        <f t="shared" si="551"/>
        <v>544320.00000000012</v>
      </c>
      <c r="X157" s="99">
        <f t="shared" si="551"/>
        <v>562464</v>
      </c>
      <c r="Y157" s="99">
        <f t="shared" si="551"/>
        <v>562464</v>
      </c>
      <c r="Z157" s="99">
        <f t="shared" si="551"/>
        <v>544320.00000000012</v>
      </c>
      <c r="AA157" s="99">
        <f t="shared" si="551"/>
        <v>562464</v>
      </c>
      <c r="AB157" s="99">
        <f t="shared" si="551"/>
        <v>544320.00000000012</v>
      </c>
      <c r="AC157" s="99">
        <f t="shared" si="551"/>
        <v>562464</v>
      </c>
      <c r="AD157" s="99">
        <f t="shared" si="551"/>
        <v>562464</v>
      </c>
      <c r="AE157" s="99">
        <f t="shared" si="551"/>
        <v>508032.00000000006</v>
      </c>
      <c r="AF157" s="99">
        <f t="shared" si="551"/>
        <v>562464</v>
      </c>
      <c r="AG157" s="99">
        <f t="shared" si="551"/>
        <v>544320.00000000012</v>
      </c>
      <c r="AH157" s="99">
        <f t="shared" si="551"/>
        <v>562464</v>
      </c>
      <c r="AI157" s="99">
        <f t="shared" si="551"/>
        <v>544320.00000000012</v>
      </c>
      <c r="AJ157" s="99">
        <f t="shared" si="551"/>
        <v>562464</v>
      </c>
      <c r="AK157" s="99">
        <f t="shared" si="551"/>
        <v>562464</v>
      </c>
      <c r="AL157" s="99">
        <f t="shared" si="551"/>
        <v>544320.00000000012</v>
      </c>
      <c r="AM157" s="99">
        <f t="shared" si="551"/>
        <v>562464</v>
      </c>
      <c r="AN157" s="99">
        <f t="shared" si="551"/>
        <v>544320.00000000012</v>
      </c>
      <c r="AO157" s="99">
        <f t="shared" si="551"/>
        <v>562464</v>
      </c>
      <c r="AP157" s="99">
        <f t="shared" si="551"/>
        <v>562464</v>
      </c>
      <c r="AQ157" s="99">
        <f t="shared" si="551"/>
        <v>508032.00000000006</v>
      </c>
      <c r="AR157" s="99">
        <f t="shared" si="551"/>
        <v>562464</v>
      </c>
      <c r="AS157" s="99">
        <f t="shared" si="551"/>
        <v>544320.00000000012</v>
      </c>
      <c r="AT157" s="99">
        <f t="shared" si="551"/>
        <v>562464</v>
      </c>
      <c r="AU157" s="99">
        <f t="shared" si="551"/>
        <v>544320.00000000012</v>
      </c>
      <c r="AV157" s="99">
        <f t="shared" si="551"/>
        <v>562464</v>
      </c>
      <c r="AW157" s="99">
        <f t="shared" si="551"/>
        <v>562464</v>
      </c>
      <c r="AX157" s="99">
        <f t="shared" si="551"/>
        <v>544320.00000000012</v>
      </c>
      <c r="AY157" s="99">
        <f t="shared" si="551"/>
        <v>562464</v>
      </c>
      <c r="AZ157" s="99">
        <f t="shared" si="551"/>
        <v>544320.00000000012</v>
      </c>
      <c r="BA157" s="99">
        <f t="shared" si="551"/>
        <v>562464</v>
      </c>
      <c r="BB157" s="99">
        <f t="shared" si="551"/>
        <v>562464</v>
      </c>
      <c r="BC157" s="99">
        <f t="shared" si="551"/>
        <v>508032.00000000006</v>
      </c>
      <c r="BD157" s="99">
        <f t="shared" si="551"/>
        <v>562464</v>
      </c>
      <c r="BE157" s="99">
        <f t="shared" si="551"/>
        <v>544320.00000000012</v>
      </c>
      <c r="BF157" s="99">
        <f t="shared" si="551"/>
        <v>562464</v>
      </c>
      <c r="BG157" s="99">
        <f t="shared" si="551"/>
        <v>544320.00000000012</v>
      </c>
      <c r="BH157" s="99">
        <f t="shared" si="551"/>
        <v>562464</v>
      </c>
      <c r="BI157" s="99">
        <f t="shared" si="551"/>
        <v>562464</v>
      </c>
      <c r="BJ157" s="99">
        <f t="shared" si="551"/>
        <v>544320.00000000012</v>
      </c>
      <c r="BK157" s="99">
        <f t="shared" si="551"/>
        <v>562464</v>
      </c>
      <c r="BL157" s="99">
        <f t="shared" si="551"/>
        <v>544320.00000000012</v>
      </c>
      <c r="BM157" s="99">
        <f t="shared" si="551"/>
        <v>562464</v>
      </c>
      <c r="BN157" s="99">
        <f t="shared" ref="BN157:DY157" si="554">BN145*BN150</f>
        <v>562464</v>
      </c>
      <c r="BO157" s="99">
        <f t="shared" si="554"/>
        <v>508032.00000000006</v>
      </c>
      <c r="BP157" s="99">
        <f t="shared" si="554"/>
        <v>562464</v>
      </c>
      <c r="BQ157" s="99">
        <f t="shared" si="554"/>
        <v>544320.00000000012</v>
      </c>
      <c r="BR157" s="99">
        <f t="shared" si="554"/>
        <v>562464</v>
      </c>
      <c r="BS157" s="99">
        <f t="shared" si="554"/>
        <v>544320.00000000012</v>
      </c>
      <c r="BT157" s="99">
        <f t="shared" si="554"/>
        <v>562464</v>
      </c>
      <c r="BU157" s="99">
        <f t="shared" si="554"/>
        <v>562464</v>
      </c>
      <c r="BV157" s="99">
        <f t="shared" si="554"/>
        <v>544320.00000000012</v>
      </c>
      <c r="BW157" s="99">
        <f t="shared" si="554"/>
        <v>562464</v>
      </c>
      <c r="BX157" s="99">
        <f t="shared" si="554"/>
        <v>544320.00000000012</v>
      </c>
      <c r="BY157" s="99">
        <f t="shared" si="554"/>
        <v>562464</v>
      </c>
      <c r="BZ157" s="99">
        <f t="shared" si="554"/>
        <v>562464</v>
      </c>
      <c r="CA157" s="99">
        <f t="shared" si="554"/>
        <v>508032.00000000006</v>
      </c>
      <c r="CB157" s="99">
        <f t="shared" si="554"/>
        <v>562464</v>
      </c>
      <c r="CC157" s="99">
        <f t="shared" si="554"/>
        <v>544320.00000000012</v>
      </c>
      <c r="CD157" s="99">
        <f t="shared" si="554"/>
        <v>562464</v>
      </c>
      <c r="CE157" s="99">
        <f t="shared" si="554"/>
        <v>544320.00000000012</v>
      </c>
      <c r="CF157" s="99">
        <f t="shared" si="554"/>
        <v>562464</v>
      </c>
      <c r="CG157" s="99">
        <f t="shared" si="554"/>
        <v>562464</v>
      </c>
      <c r="CH157" s="99">
        <f t="shared" si="554"/>
        <v>544320.00000000012</v>
      </c>
      <c r="CI157" s="99">
        <f t="shared" si="554"/>
        <v>562464</v>
      </c>
      <c r="CJ157" s="99">
        <f t="shared" si="554"/>
        <v>544320.00000000012</v>
      </c>
      <c r="CK157" s="99">
        <f t="shared" si="554"/>
        <v>562464</v>
      </c>
      <c r="CL157" s="99">
        <f t="shared" si="554"/>
        <v>562464</v>
      </c>
      <c r="CM157" s="99">
        <f t="shared" si="554"/>
        <v>508032.00000000006</v>
      </c>
      <c r="CN157" s="99">
        <f t="shared" si="554"/>
        <v>562464</v>
      </c>
      <c r="CO157" s="99">
        <f t="shared" si="554"/>
        <v>544320.00000000012</v>
      </c>
      <c r="CP157" s="99">
        <f t="shared" si="554"/>
        <v>562464</v>
      </c>
      <c r="CQ157" s="99">
        <f t="shared" si="554"/>
        <v>544320.00000000012</v>
      </c>
      <c r="CR157" s="99">
        <f t="shared" si="554"/>
        <v>562464</v>
      </c>
      <c r="CS157" s="99">
        <f t="shared" si="554"/>
        <v>562464</v>
      </c>
      <c r="CT157" s="99">
        <f t="shared" si="554"/>
        <v>544320.00000000012</v>
      </c>
      <c r="CU157" s="99">
        <f t="shared" si="554"/>
        <v>562464</v>
      </c>
      <c r="CV157" s="99">
        <f t="shared" si="554"/>
        <v>544320.00000000012</v>
      </c>
      <c r="CW157" s="99">
        <f t="shared" si="554"/>
        <v>562464</v>
      </c>
      <c r="CX157" s="99">
        <f t="shared" si="554"/>
        <v>562464</v>
      </c>
      <c r="CY157" s="99">
        <f t="shared" si="554"/>
        <v>508032.00000000006</v>
      </c>
      <c r="CZ157" s="99">
        <f t="shared" si="554"/>
        <v>562464</v>
      </c>
      <c r="DA157" s="99">
        <f t="shared" si="554"/>
        <v>544320.00000000012</v>
      </c>
      <c r="DB157" s="99">
        <f t="shared" si="554"/>
        <v>562464</v>
      </c>
      <c r="DC157" s="99">
        <f t="shared" si="554"/>
        <v>544320.00000000012</v>
      </c>
      <c r="DD157" s="99">
        <f t="shared" si="554"/>
        <v>562464</v>
      </c>
      <c r="DE157" s="99">
        <f t="shared" si="554"/>
        <v>562464</v>
      </c>
      <c r="DF157" s="99">
        <f t="shared" si="554"/>
        <v>544320.00000000012</v>
      </c>
      <c r="DG157" s="99">
        <f t="shared" si="554"/>
        <v>562464</v>
      </c>
      <c r="DH157" s="99">
        <f t="shared" si="554"/>
        <v>544320.00000000012</v>
      </c>
      <c r="DI157" s="99">
        <f t="shared" si="554"/>
        <v>562464</v>
      </c>
      <c r="DJ157" s="99">
        <f t="shared" si="554"/>
        <v>562464</v>
      </c>
      <c r="DK157" s="99">
        <f t="shared" si="554"/>
        <v>508032.00000000006</v>
      </c>
      <c r="DL157" s="99">
        <f t="shared" si="554"/>
        <v>562464</v>
      </c>
      <c r="DM157" s="99">
        <f t="shared" si="554"/>
        <v>544320.00000000012</v>
      </c>
      <c r="DN157" s="99">
        <f t="shared" si="554"/>
        <v>562464</v>
      </c>
      <c r="DO157" s="99">
        <f t="shared" si="554"/>
        <v>544320.00000000012</v>
      </c>
      <c r="DP157" s="99">
        <f t="shared" si="554"/>
        <v>562464</v>
      </c>
      <c r="DQ157" s="99">
        <f t="shared" si="554"/>
        <v>562464</v>
      </c>
      <c r="DR157" s="99">
        <f t="shared" si="554"/>
        <v>544320.00000000012</v>
      </c>
      <c r="DS157" s="99">
        <f t="shared" si="554"/>
        <v>562464</v>
      </c>
      <c r="DT157" s="99">
        <f t="shared" si="554"/>
        <v>544320.00000000012</v>
      </c>
      <c r="DU157" s="99">
        <f t="shared" si="554"/>
        <v>562464</v>
      </c>
      <c r="DV157" s="99">
        <f t="shared" si="554"/>
        <v>562464</v>
      </c>
      <c r="DW157" s="99">
        <f t="shared" si="554"/>
        <v>508032.00000000006</v>
      </c>
      <c r="DX157" s="99">
        <f t="shared" si="554"/>
        <v>562464</v>
      </c>
      <c r="DY157" s="99">
        <f t="shared" si="554"/>
        <v>544320.00000000012</v>
      </c>
      <c r="DZ157" s="99">
        <f t="shared" ref="DZ157:GC157" si="555">DZ145*DZ150</f>
        <v>562464</v>
      </c>
      <c r="EA157" s="99">
        <f t="shared" si="555"/>
        <v>544320.00000000012</v>
      </c>
      <c r="EB157" s="99">
        <f t="shared" si="555"/>
        <v>562464</v>
      </c>
      <c r="EC157" s="99">
        <f t="shared" si="555"/>
        <v>562464</v>
      </c>
      <c r="ED157" s="99">
        <f t="shared" si="555"/>
        <v>544320.00000000012</v>
      </c>
      <c r="EE157" s="99">
        <f t="shared" si="555"/>
        <v>562464</v>
      </c>
      <c r="EF157" s="99">
        <f t="shared" si="555"/>
        <v>544320.00000000012</v>
      </c>
      <c r="EG157" s="99">
        <f t="shared" si="555"/>
        <v>562464</v>
      </c>
      <c r="EH157" s="99">
        <f t="shared" si="555"/>
        <v>562464</v>
      </c>
      <c r="EI157" s="99">
        <f t="shared" si="555"/>
        <v>508032.00000000006</v>
      </c>
      <c r="EJ157" s="99">
        <f t="shared" si="555"/>
        <v>562464</v>
      </c>
      <c r="EK157" s="99">
        <f t="shared" si="555"/>
        <v>544320.00000000012</v>
      </c>
      <c r="EL157" s="99">
        <f t="shared" si="555"/>
        <v>562464</v>
      </c>
      <c r="EM157" s="99">
        <f t="shared" si="555"/>
        <v>544320.00000000012</v>
      </c>
      <c r="EN157" s="99">
        <f t="shared" si="555"/>
        <v>562464</v>
      </c>
      <c r="EO157" s="99">
        <f t="shared" si="555"/>
        <v>562464</v>
      </c>
      <c r="EP157" s="99">
        <f t="shared" si="555"/>
        <v>544320.00000000012</v>
      </c>
      <c r="EQ157" s="99">
        <f t="shared" si="555"/>
        <v>562464</v>
      </c>
      <c r="ER157" s="99">
        <f t="shared" si="555"/>
        <v>544320.00000000012</v>
      </c>
      <c r="ES157" s="99">
        <f t="shared" si="555"/>
        <v>562464</v>
      </c>
      <c r="ET157" s="99">
        <f t="shared" si="555"/>
        <v>562464</v>
      </c>
      <c r="EU157" s="99">
        <f t="shared" si="555"/>
        <v>508032.00000000006</v>
      </c>
      <c r="EV157" s="99">
        <f t="shared" si="555"/>
        <v>562464</v>
      </c>
      <c r="EW157" s="99">
        <f t="shared" si="555"/>
        <v>544320.00000000012</v>
      </c>
      <c r="EX157" s="99">
        <f t="shared" si="555"/>
        <v>562464</v>
      </c>
      <c r="EY157" s="99">
        <f t="shared" si="555"/>
        <v>544320.00000000012</v>
      </c>
      <c r="EZ157" s="99">
        <f t="shared" si="555"/>
        <v>562464</v>
      </c>
      <c r="FA157" s="99">
        <f t="shared" si="555"/>
        <v>562464</v>
      </c>
      <c r="FB157" s="99">
        <f t="shared" si="555"/>
        <v>544320.00000000012</v>
      </c>
      <c r="FC157" s="99">
        <f t="shared" si="555"/>
        <v>562464</v>
      </c>
      <c r="FD157" s="99">
        <f t="shared" si="555"/>
        <v>544320.00000000012</v>
      </c>
      <c r="FE157" s="99">
        <f t="shared" si="555"/>
        <v>562464</v>
      </c>
      <c r="FF157" s="99">
        <f t="shared" si="555"/>
        <v>562464</v>
      </c>
      <c r="FG157" s="99">
        <f t="shared" si="555"/>
        <v>508032.00000000006</v>
      </c>
      <c r="FH157" s="99">
        <f t="shared" si="555"/>
        <v>562464</v>
      </c>
      <c r="FI157" s="99">
        <f t="shared" si="555"/>
        <v>544320.00000000012</v>
      </c>
      <c r="FJ157" s="99">
        <f t="shared" si="555"/>
        <v>562464</v>
      </c>
      <c r="FK157" s="99">
        <f t="shared" si="555"/>
        <v>544320.00000000012</v>
      </c>
      <c r="FL157" s="99">
        <f t="shared" si="555"/>
        <v>562464</v>
      </c>
      <c r="FM157" s="99">
        <f t="shared" si="555"/>
        <v>562464</v>
      </c>
      <c r="FN157" s="99">
        <f t="shared" si="555"/>
        <v>544320.00000000012</v>
      </c>
      <c r="FO157" s="99">
        <f t="shared" si="555"/>
        <v>562464</v>
      </c>
      <c r="FP157" s="99">
        <f t="shared" si="555"/>
        <v>544320.00000000012</v>
      </c>
      <c r="FQ157" s="99">
        <f t="shared" si="555"/>
        <v>562464</v>
      </c>
      <c r="FR157" s="99">
        <f t="shared" si="555"/>
        <v>562464</v>
      </c>
      <c r="FS157" s="99">
        <f t="shared" si="555"/>
        <v>508032.00000000006</v>
      </c>
      <c r="FT157" s="99">
        <f t="shared" si="555"/>
        <v>562464</v>
      </c>
      <c r="FU157" s="99">
        <f t="shared" si="555"/>
        <v>544320.00000000012</v>
      </c>
      <c r="FV157" s="99">
        <f t="shared" si="555"/>
        <v>562464</v>
      </c>
      <c r="FW157" s="99">
        <f t="shared" si="555"/>
        <v>544320.00000000012</v>
      </c>
      <c r="FX157" s="99">
        <f t="shared" si="555"/>
        <v>562464</v>
      </c>
      <c r="FY157" s="99">
        <f t="shared" si="555"/>
        <v>562464</v>
      </c>
      <c r="FZ157" s="99">
        <f t="shared" si="555"/>
        <v>544320.00000000012</v>
      </c>
      <c r="GA157" s="99">
        <f t="shared" si="555"/>
        <v>562464</v>
      </c>
      <c r="GB157" s="99">
        <f t="shared" si="555"/>
        <v>544320.00000000012</v>
      </c>
      <c r="GC157" s="99">
        <f t="shared" si="555"/>
        <v>562464</v>
      </c>
    </row>
    <row r="158" spans="1:185">
      <c r="A158" s="80"/>
      <c r="B158" t="s">
        <v>127</v>
      </c>
      <c r="C158" s="80" t="s">
        <v>30</v>
      </c>
      <c r="D158" s="80"/>
      <c r="E158" s="82">
        <f t="shared" si="550"/>
        <v>11370935.259277752</v>
      </c>
      <c r="F158" s="99">
        <f t="shared" ref="F158:M158" si="556">F136*F152</f>
        <v>0</v>
      </c>
      <c r="G158" s="99">
        <f t="shared" si="556"/>
        <v>0</v>
      </c>
      <c r="H158" s="99">
        <f t="shared" si="556"/>
        <v>0</v>
      </c>
      <c r="I158" s="99">
        <f t="shared" si="556"/>
        <v>0</v>
      </c>
      <c r="J158" s="99">
        <f t="shared" si="556"/>
        <v>0</v>
      </c>
      <c r="K158" s="99">
        <f t="shared" si="556"/>
        <v>0</v>
      </c>
      <c r="L158" s="99">
        <f t="shared" si="556"/>
        <v>0</v>
      </c>
      <c r="M158" s="99">
        <f t="shared" si="556"/>
        <v>0</v>
      </c>
      <c r="N158" s="98">
        <f t="shared" si="551"/>
        <v>48970.436086467584</v>
      </c>
      <c r="O158" s="98">
        <f t="shared" si="551"/>
        <v>67470.378608021972</v>
      </c>
      <c r="P158" s="98">
        <f t="shared" si="551"/>
        <v>65293.914781956773</v>
      </c>
      <c r="Q158" s="98">
        <f t="shared" si="551"/>
        <v>67470.378608021972</v>
      </c>
      <c r="R158" s="98">
        <f t="shared" si="551"/>
        <v>67470.378608021972</v>
      </c>
      <c r="S158" s="98">
        <f t="shared" si="551"/>
        <v>60940.987129826302</v>
      </c>
      <c r="T158" s="98">
        <f t="shared" si="551"/>
        <v>67470.378608021972</v>
      </c>
      <c r="U158" s="98">
        <f t="shared" si="551"/>
        <v>65293.914781956773</v>
      </c>
      <c r="V158" s="98">
        <f t="shared" si="551"/>
        <v>67470.378608021972</v>
      </c>
      <c r="W158" s="98">
        <f t="shared" si="551"/>
        <v>65293.914781956773</v>
      </c>
      <c r="X158" s="98">
        <f t="shared" si="551"/>
        <v>67470.378608021972</v>
      </c>
      <c r="Y158" s="98">
        <f t="shared" si="551"/>
        <v>67470.378608021972</v>
      </c>
      <c r="Z158" s="98">
        <f t="shared" si="551"/>
        <v>65293.914781956773</v>
      </c>
      <c r="AA158" s="98">
        <f t="shared" si="551"/>
        <v>67470.378608021972</v>
      </c>
      <c r="AB158" s="98">
        <f t="shared" si="551"/>
        <v>65293.914781956773</v>
      </c>
      <c r="AC158" s="98">
        <f t="shared" si="551"/>
        <v>67470.378608021972</v>
      </c>
      <c r="AD158" s="98">
        <f t="shared" si="551"/>
        <v>67470.378608021972</v>
      </c>
      <c r="AE158" s="98">
        <f t="shared" si="551"/>
        <v>60940.987129826302</v>
      </c>
      <c r="AF158" s="98">
        <f t="shared" si="551"/>
        <v>67470.378608021972</v>
      </c>
      <c r="AG158" s="98">
        <f t="shared" si="551"/>
        <v>65293.914781956773</v>
      </c>
      <c r="AH158" s="98">
        <f t="shared" si="551"/>
        <v>67470.378608021972</v>
      </c>
      <c r="AI158" s="98">
        <f t="shared" si="551"/>
        <v>65293.914781956773</v>
      </c>
      <c r="AJ158" s="98">
        <f t="shared" si="551"/>
        <v>67470.378608021972</v>
      </c>
      <c r="AK158" s="98">
        <f t="shared" si="551"/>
        <v>67470.378608021972</v>
      </c>
      <c r="AL158" s="98">
        <f t="shared" si="551"/>
        <v>65293.914781956773</v>
      </c>
      <c r="AM158" s="98">
        <f t="shared" si="551"/>
        <v>67470.378608021972</v>
      </c>
      <c r="AN158" s="98">
        <f t="shared" si="551"/>
        <v>65293.914781956773</v>
      </c>
      <c r="AO158" s="98">
        <f t="shared" si="551"/>
        <v>67470.378608021972</v>
      </c>
      <c r="AP158" s="98">
        <f t="shared" si="551"/>
        <v>67470.378608021972</v>
      </c>
      <c r="AQ158" s="98">
        <f t="shared" si="551"/>
        <v>60940.987129826302</v>
      </c>
      <c r="AR158" s="98">
        <f t="shared" si="551"/>
        <v>67470.378608021972</v>
      </c>
      <c r="AS158" s="98">
        <f t="shared" si="551"/>
        <v>65293.914781956773</v>
      </c>
      <c r="AT158" s="98">
        <f t="shared" si="551"/>
        <v>67470.378608021972</v>
      </c>
      <c r="AU158" s="98">
        <f t="shared" si="551"/>
        <v>65293.914781956773</v>
      </c>
      <c r="AV158" s="98">
        <f t="shared" si="551"/>
        <v>67470.378608021972</v>
      </c>
      <c r="AW158" s="98">
        <f t="shared" si="551"/>
        <v>67470.378608021972</v>
      </c>
      <c r="AX158" s="98">
        <f t="shared" si="551"/>
        <v>65293.914781956773</v>
      </c>
      <c r="AY158" s="98">
        <f t="shared" si="551"/>
        <v>67470.378608021972</v>
      </c>
      <c r="AZ158" s="98">
        <f t="shared" si="551"/>
        <v>65293.914781956773</v>
      </c>
      <c r="BA158" s="98">
        <f t="shared" si="551"/>
        <v>67470.378608021972</v>
      </c>
      <c r="BB158" s="98">
        <f t="shared" si="551"/>
        <v>67470.378608021972</v>
      </c>
      <c r="BC158" s="98">
        <f t="shared" si="551"/>
        <v>60940.987129826302</v>
      </c>
      <c r="BD158" s="98">
        <f t="shared" si="551"/>
        <v>67470.378608021972</v>
      </c>
      <c r="BE158" s="98">
        <f t="shared" si="551"/>
        <v>65293.914781956773</v>
      </c>
      <c r="BF158" s="98">
        <f t="shared" si="551"/>
        <v>67470.378608021972</v>
      </c>
      <c r="BG158" s="98">
        <f t="shared" si="551"/>
        <v>65293.914781956773</v>
      </c>
      <c r="BH158" s="98">
        <f t="shared" si="551"/>
        <v>67470.378608021972</v>
      </c>
      <c r="BI158" s="98">
        <f t="shared" si="551"/>
        <v>67470.378608021972</v>
      </c>
      <c r="BJ158" s="98">
        <f t="shared" si="551"/>
        <v>65293.914781956773</v>
      </c>
      <c r="BK158" s="98">
        <f t="shared" si="551"/>
        <v>67470.378608021972</v>
      </c>
      <c r="BL158" s="98">
        <f t="shared" si="551"/>
        <v>65293.914781956773</v>
      </c>
      <c r="BM158" s="98">
        <f t="shared" si="551"/>
        <v>67470.378608021972</v>
      </c>
      <c r="BN158" s="98">
        <f t="shared" ref="BN158:DY158" si="557">BN146*BN151</f>
        <v>67470.378608021972</v>
      </c>
      <c r="BO158" s="98">
        <f t="shared" si="557"/>
        <v>60940.987129826302</v>
      </c>
      <c r="BP158" s="98">
        <f t="shared" si="557"/>
        <v>67470.378608021972</v>
      </c>
      <c r="BQ158" s="98">
        <f t="shared" si="557"/>
        <v>65293.914781956773</v>
      </c>
      <c r="BR158" s="98">
        <f t="shared" si="557"/>
        <v>67470.378608021972</v>
      </c>
      <c r="BS158" s="98">
        <f t="shared" si="557"/>
        <v>65293.914781956773</v>
      </c>
      <c r="BT158" s="98">
        <f t="shared" si="557"/>
        <v>67470.378608021972</v>
      </c>
      <c r="BU158" s="98">
        <f t="shared" si="557"/>
        <v>67470.378608021972</v>
      </c>
      <c r="BV158" s="98">
        <f t="shared" si="557"/>
        <v>65293.914781956773</v>
      </c>
      <c r="BW158" s="98">
        <f t="shared" si="557"/>
        <v>67470.378608021972</v>
      </c>
      <c r="BX158" s="98">
        <f t="shared" si="557"/>
        <v>65293.914781956773</v>
      </c>
      <c r="BY158" s="98">
        <f t="shared" si="557"/>
        <v>67470.378608021972</v>
      </c>
      <c r="BZ158" s="98">
        <f t="shared" si="557"/>
        <v>67470.378608021972</v>
      </c>
      <c r="CA158" s="98">
        <f t="shared" si="557"/>
        <v>60940.987129826302</v>
      </c>
      <c r="CB158" s="98">
        <f t="shared" si="557"/>
        <v>67470.378608021972</v>
      </c>
      <c r="CC158" s="98">
        <f t="shared" si="557"/>
        <v>65293.914781956773</v>
      </c>
      <c r="CD158" s="98">
        <f t="shared" si="557"/>
        <v>67470.378608021972</v>
      </c>
      <c r="CE158" s="98">
        <f t="shared" si="557"/>
        <v>65293.914781956773</v>
      </c>
      <c r="CF158" s="98">
        <f t="shared" si="557"/>
        <v>67470.378608021972</v>
      </c>
      <c r="CG158" s="98">
        <f t="shared" si="557"/>
        <v>67470.378608021972</v>
      </c>
      <c r="CH158" s="98">
        <f t="shared" si="557"/>
        <v>65293.914781956773</v>
      </c>
      <c r="CI158" s="98">
        <f t="shared" si="557"/>
        <v>67470.378608021972</v>
      </c>
      <c r="CJ158" s="98">
        <f t="shared" si="557"/>
        <v>65293.914781956773</v>
      </c>
      <c r="CK158" s="98">
        <f t="shared" si="557"/>
        <v>67470.378608021972</v>
      </c>
      <c r="CL158" s="98">
        <f t="shared" si="557"/>
        <v>67470.378608021972</v>
      </c>
      <c r="CM158" s="98">
        <f t="shared" si="557"/>
        <v>60940.987129826302</v>
      </c>
      <c r="CN158" s="98">
        <f t="shared" si="557"/>
        <v>67470.378608021972</v>
      </c>
      <c r="CO158" s="98">
        <f t="shared" si="557"/>
        <v>65293.914781956773</v>
      </c>
      <c r="CP158" s="98">
        <f t="shared" si="557"/>
        <v>67470.378608021972</v>
      </c>
      <c r="CQ158" s="98">
        <f t="shared" si="557"/>
        <v>65293.914781956773</v>
      </c>
      <c r="CR158" s="98">
        <f t="shared" si="557"/>
        <v>67470.378608021972</v>
      </c>
      <c r="CS158" s="98">
        <f t="shared" si="557"/>
        <v>67470.378608021972</v>
      </c>
      <c r="CT158" s="98">
        <f t="shared" si="557"/>
        <v>65293.914781956773</v>
      </c>
      <c r="CU158" s="98">
        <f t="shared" si="557"/>
        <v>67470.378608021972</v>
      </c>
      <c r="CV158" s="98">
        <f t="shared" si="557"/>
        <v>65293.914781956773</v>
      </c>
      <c r="CW158" s="98">
        <f t="shared" si="557"/>
        <v>67470.378608021972</v>
      </c>
      <c r="CX158" s="98">
        <f t="shared" si="557"/>
        <v>67470.378608021972</v>
      </c>
      <c r="CY158" s="98">
        <f t="shared" si="557"/>
        <v>60940.987129826302</v>
      </c>
      <c r="CZ158" s="98">
        <f t="shared" si="557"/>
        <v>67470.378608021972</v>
      </c>
      <c r="DA158" s="98">
        <f t="shared" si="557"/>
        <v>65293.914781956773</v>
      </c>
      <c r="DB158" s="98">
        <f t="shared" si="557"/>
        <v>67470.378608021972</v>
      </c>
      <c r="DC158" s="98">
        <f t="shared" si="557"/>
        <v>65293.914781956773</v>
      </c>
      <c r="DD158" s="98">
        <f t="shared" si="557"/>
        <v>67470.378608021972</v>
      </c>
      <c r="DE158" s="98">
        <f t="shared" si="557"/>
        <v>67470.378608021972</v>
      </c>
      <c r="DF158" s="98">
        <f t="shared" si="557"/>
        <v>65293.914781956773</v>
      </c>
      <c r="DG158" s="98">
        <f t="shared" si="557"/>
        <v>67470.378608021972</v>
      </c>
      <c r="DH158" s="98">
        <f t="shared" si="557"/>
        <v>65293.914781956773</v>
      </c>
      <c r="DI158" s="98">
        <f t="shared" si="557"/>
        <v>67470.378608021972</v>
      </c>
      <c r="DJ158" s="98">
        <f t="shared" si="557"/>
        <v>67470.378608021972</v>
      </c>
      <c r="DK158" s="98">
        <f t="shared" si="557"/>
        <v>60940.987129826302</v>
      </c>
      <c r="DL158" s="98">
        <f t="shared" si="557"/>
        <v>67470.378608021972</v>
      </c>
      <c r="DM158" s="98">
        <f t="shared" si="557"/>
        <v>65293.914781956773</v>
      </c>
      <c r="DN158" s="98">
        <f t="shared" si="557"/>
        <v>67470.378608021972</v>
      </c>
      <c r="DO158" s="98">
        <f t="shared" si="557"/>
        <v>65293.914781956773</v>
      </c>
      <c r="DP158" s="98">
        <f t="shared" si="557"/>
        <v>67470.378608021972</v>
      </c>
      <c r="DQ158" s="98">
        <f t="shared" si="557"/>
        <v>67470.378608021972</v>
      </c>
      <c r="DR158" s="98">
        <f t="shared" si="557"/>
        <v>65293.914781956773</v>
      </c>
      <c r="DS158" s="98">
        <f t="shared" si="557"/>
        <v>67470.378608021972</v>
      </c>
      <c r="DT158" s="98">
        <f t="shared" si="557"/>
        <v>65293.914781956773</v>
      </c>
      <c r="DU158" s="98">
        <f t="shared" si="557"/>
        <v>67470.378608021972</v>
      </c>
      <c r="DV158" s="98">
        <f t="shared" si="557"/>
        <v>67470.378608021972</v>
      </c>
      <c r="DW158" s="98">
        <f t="shared" si="557"/>
        <v>60940.987129826302</v>
      </c>
      <c r="DX158" s="98">
        <f t="shared" si="557"/>
        <v>67470.378608021972</v>
      </c>
      <c r="DY158" s="98">
        <f t="shared" si="557"/>
        <v>65293.914781956773</v>
      </c>
      <c r="DZ158" s="98">
        <f t="shared" ref="DZ158:GC158" si="558">DZ146*DZ151</f>
        <v>67470.378608021972</v>
      </c>
      <c r="EA158" s="98">
        <f t="shared" si="558"/>
        <v>65293.914781956773</v>
      </c>
      <c r="EB158" s="98">
        <f t="shared" si="558"/>
        <v>67470.378608021972</v>
      </c>
      <c r="EC158" s="98">
        <f t="shared" si="558"/>
        <v>67470.378608021972</v>
      </c>
      <c r="ED158" s="98">
        <f t="shared" si="558"/>
        <v>65293.914781956773</v>
      </c>
      <c r="EE158" s="98">
        <f t="shared" si="558"/>
        <v>67470.378608021972</v>
      </c>
      <c r="EF158" s="98">
        <f t="shared" si="558"/>
        <v>65293.914781956773</v>
      </c>
      <c r="EG158" s="98">
        <f t="shared" si="558"/>
        <v>67470.378608021972</v>
      </c>
      <c r="EH158" s="98">
        <f t="shared" si="558"/>
        <v>67470.378608021972</v>
      </c>
      <c r="EI158" s="98">
        <f t="shared" si="558"/>
        <v>60940.987129826302</v>
      </c>
      <c r="EJ158" s="98">
        <f t="shared" si="558"/>
        <v>67470.378608021972</v>
      </c>
      <c r="EK158" s="98">
        <f t="shared" si="558"/>
        <v>65293.914781956773</v>
      </c>
      <c r="EL158" s="98">
        <f t="shared" si="558"/>
        <v>67470.378608021972</v>
      </c>
      <c r="EM158" s="98">
        <f t="shared" si="558"/>
        <v>65293.914781956773</v>
      </c>
      <c r="EN158" s="98">
        <f t="shared" si="558"/>
        <v>67470.378608021972</v>
      </c>
      <c r="EO158" s="98">
        <f t="shared" si="558"/>
        <v>67470.378608021972</v>
      </c>
      <c r="EP158" s="98">
        <f t="shared" si="558"/>
        <v>65293.914781956773</v>
      </c>
      <c r="EQ158" s="98">
        <f t="shared" si="558"/>
        <v>67470.378608021972</v>
      </c>
      <c r="ER158" s="98">
        <f t="shared" si="558"/>
        <v>65293.914781956773</v>
      </c>
      <c r="ES158" s="98">
        <f t="shared" si="558"/>
        <v>67470.378608021972</v>
      </c>
      <c r="ET158" s="98">
        <f t="shared" si="558"/>
        <v>67470.378608021972</v>
      </c>
      <c r="EU158" s="98">
        <f t="shared" si="558"/>
        <v>60940.987129826302</v>
      </c>
      <c r="EV158" s="98">
        <f t="shared" si="558"/>
        <v>67470.378608021972</v>
      </c>
      <c r="EW158" s="98">
        <f t="shared" si="558"/>
        <v>65293.914781956773</v>
      </c>
      <c r="EX158" s="98">
        <f t="shared" si="558"/>
        <v>67470.378608021972</v>
      </c>
      <c r="EY158" s="98">
        <f t="shared" si="558"/>
        <v>65293.914781956773</v>
      </c>
      <c r="EZ158" s="98">
        <f t="shared" si="558"/>
        <v>67470.378608021972</v>
      </c>
      <c r="FA158" s="98">
        <f t="shared" si="558"/>
        <v>67470.378608021972</v>
      </c>
      <c r="FB158" s="98">
        <f t="shared" si="558"/>
        <v>65293.914781956773</v>
      </c>
      <c r="FC158" s="98">
        <f t="shared" si="558"/>
        <v>67470.378608021972</v>
      </c>
      <c r="FD158" s="98">
        <f t="shared" si="558"/>
        <v>65293.914781956773</v>
      </c>
      <c r="FE158" s="98">
        <f t="shared" si="558"/>
        <v>67470.378608021972</v>
      </c>
      <c r="FF158" s="98">
        <f t="shared" si="558"/>
        <v>67470.378608021972</v>
      </c>
      <c r="FG158" s="98">
        <f t="shared" si="558"/>
        <v>60940.987129826302</v>
      </c>
      <c r="FH158" s="98">
        <f t="shared" si="558"/>
        <v>67470.378608021972</v>
      </c>
      <c r="FI158" s="98">
        <f t="shared" si="558"/>
        <v>65293.914781956773</v>
      </c>
      <c r="FJ158" s="98">
        <f t="shared" si="558"/>
        <v>67470.378608021972</v>
      </c>
      <c r="FK158" s="98">
        <f t="shared" si="558"/>
        <v>65293.914781956773</v>
      </c>
      <c r="FL158" s="98">
        <f t="shared" si="558"/>
        <v>67470.378608021972</v>
      </c>
      <c r="FM158" s="98">
        <f t="shared" si="558"/>
        <v>67470.378608021972</v>
      </c>
      <c r="FN158" s="98">
        <f t="shared" si="558"/>
        <v>65293.914781956773</v>
      </c>
      <c r="FO158" s="98">
        <f t="shared" si="558"/>
        <v>67470.378608021972</v>
      </c>
      <c r="FP158" s="98">
        <f t="shared" si="558"/>
        <v>65293.914781956773</v>
      </c>
      <c r="FQ158" s="98">
        <f t="shared" si="558"/>
        <v>67470.378608021972</v>
      </c>
      <c r="FR158" s="98">
        <f t="shared" si="558"/>
        <v>67470.378608021972</v>
      </c>
      <c r="FS158" s="98">
        <f t="shared" si="558"/>
        <v>60940.987129826302</v>
      </c>
      <c r="FT158" s="98">
        <f t="shared" si="558"/>
        <v>67470.378608021972</v>
      </c>
      <c r="FU158" s="98">
        <f t="shared" si="558"/>
        <v>65293.914781956773</v>
      </c>
      <c r="FV158" s="98">
        <f t="shared" si="558"/>
        <v>67470.378608021972</v>
      </c>
      <c r="FW158" s="98">
        <f t="shared" si="558"/>
        <v>65293.914781956773</v>
      </c>
      <c r="FX158" s="98">
        <f t="shared" si="558"/>
        <v>67470.378608021972</v>
      </c>
      <c r="FY158" s="98">
        <f t="shared" si="558"/>
        <v>67470.378608021972</v>
      </c>
      <c r="FZ158" s="98">
        <f t="shared" si="558"/>
        <v>65293.914781956773</v>
      </c>
      <c r="GA158" s="98">
        <f t="shared" si="558"/>
        <v>67470.378608021972</v>
      </c>
      <c r="GB158" s="98">
        <f t="shared" si="558"/>
        <v>65293.914781956773</v>
      </c>
      <c r="GC158" s="98">
        <f t="shared" si="558"/>
        <v>67470.378608021972</v>
      </c>
    </row>
    <row r="159" spans="1:185">
      <c r="A159" s="80"/>
      <c r="B159" s="80"/>
      <c r="C159" s="80"/>
      <c r="D159" s="80"/>
      <c r="E159" s="94"/>
      <c r="F159" s="80"/>
      <c r="G159" s="77"/>
      <c r="H159" s="77"/>
      <c r="I159" s="77"/>
      <c r="J159" s="77"/>
      <c r="K159" s="77"/>
      <c r="L159" s="77"/>
      <c r="M159" s="77"/>
      <c r="N159" s="77"/>
      <c r="O159" s="77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  <c r="CG159" s="80"/>
      <c r="CH159" s="80"/>
      <c r="CI159" s="80"/>
      <c r="CJ159" s="80"/>
      <c r="CK159" s="80"/>
      <c r="CL159" s="80"/>
      <c r="CM159" s="80"/>
      <c r="CN159" s="80"/>
      <c r="CO159" s="80"/>
      <c r="CP159" s="80"/>
      <c r="CQ159" s="80"/>
      <c r="CR159" s="80"/>
      <c r="CS159" s="80"/>
      <c r="CT159" s="80"/>
      <c r="CU159" s="80"/>
      <c r="CV159" s="80"/>
      <c r="CW159" s="80"/>
      <c r="CX159" s="80"/>
      <c r="CY159" s="80"/>
      <c r="CZ159" s="80"/>
      <c r="DA159" s="80"/>
      <c r="DB159" s="80"/>
      <c r="DC159" s="80"/>
      <c r="DD159" s="80"/>
      <c r="DE159" s="80"/>
      <c r="DF159" s="80"/>
      <c r="DG159" s="80"/>
      <c r="DH159" s="80"/>
      <c r="DI159" s="80"/>
      <c r="DJ159" s="80"/>
      <c r="DK159" s="80"/>
      <c r="DL159" s="80"/>
      <c r="DM159" s="80"/>
      <c r="DN159" s="80"/>
      <c r="DO159" s="80"/>
      <c r="DP159" s="80"/>
      <c r="DQ159" s="80"/>
      <c r="DR159" s="80"/>
      <c r="DS159" s="80"/>
      <c r="DT159" s="80"/>
      <c r="DU159" s="80"/>
      <c r="DV159" s="80"/>
      <c r="DW159" s="80"/>
      <c r="DX159" s="80"/>
      <c r="DY159" s="80"/>
      <c r="DZ159" s="80"/>
      <c r="EA159" s="80"/>
      <c r="EB159" s="80"/>
      <c r="EC159" s="80"/>
      <c r="ED159" s="80"/>
      <c r="EE159" s="80"/>
      <c r="EF159" s="80"/>
      <c r="EG159" s="80"/>
      <c r="EH159" s="80"/>
      <c r="EI159" s="80"/>
      <c r="EJ159" s="80"/>
      <c r="EK159" s="80"/>
      <c r="EL159" s="80"/>
      <c r="EM159" s="80"/>
      <c r="EN159" s="80"/>
      <c r="EO159" s="80"/>
      <c r="EP159" s="80"/>
      <c r="EQ159" s="80"/>
      <c r="ER159" s="80"/>
      <c r="ES159" s="80"/>
      <c r="ET159" s="80"/>
      <c r="EU159" s="80"/>
      <c r="EV159" s="80"/>
      <c r="EW159" s="80"/>
      <c r="EX159" s="80"/>
      <c r="EY159" s="80"/>
      <c r="EZ159" s="80"/>
      <c r="FA159" s="80"/>
      <c r="FB159" s="80"/>
      <c r="FC159" s="80"/>
      <c r="FD159" s="80"/>
      <c r="FE159" s="80"/>
      <c r="FF159" s="80"/>
      <c r="FG159" s="80"/>
      <c r="FH159" s="80"/>
      <c r="FI159" s="80"/>
      <c r="FJ159" s="80"/>
      <c r="FK159" s="80"/>
      <c r="FL159" s="80"/>
      <c r="FM159" s="80"/>
      <c r="FN159" s="80"/>
      <c r="FO159" s="80"/>
      <c r="FP159" s="80"/>
      <c r="FQ159" s="80"/>
      <c r="FR159" s="80"/>
      <c r="FS159" s="80"/>
      <c r="FT159" s="80"/>
      <c r="FU159" s="80"/>
      <c r="FV159" s="80"/>
      <c r="FW159" s="80"/>
      <c r="FX159" s="80"/>
      <c r="FY159" s="80"/>
      <c r="FZ159" s="80"/>
      <c r="GA159" s="80"/>
      <c r="GB159" s="80"/>
      <c r="GC159" s="80"/>
    </row>
    <row r="160" spans="1:185">
      <c r="A160" s="80"/>
      <c r="B160" s="10" t="s">
        <v>177</v>
      </c>
      <c r="C160" s="80"/>
      <c r="D160" s="80"/>
      <c r="E160" s="94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  <c r="CG160" s="80"/>
      <c r="CH160" s="80"/>
      <c r="CI160" s="80"/>
      <c r="CJ160" s="80"/>
      <c r="CK160" s="80"/>
      <c r="CL160" s="80"/>
      <c r="CM160" s="80"/>
      <c r="CN160" s="80"/>
      <c r="CO160" s="80"/>
      <c r="CP160" s="80"/>
      <c r="CQ160" s="80"/>
      <c r="CR160" s="80"/>
      <c r="CS160" s="80"/>
      <c r="CT160" s="80"/>
      <c r="CU160" s="80"/>
      <c r="CV160" s="80"/>
      <c r="CW160" s="80"/>
      <c r="CX160" s="80"/>
      <c r="CY160" s="80"/>
      <c r="CZ160" s="80"/>
      <c r="DA160" s="80"/>
      <c r="DB160" s="80"/>
      <c r="DC160" s="80"/>
      <c r="DD160" s="80"/>
      <c r="DE160" s="80"/>
      <c r="DF160" s="80"/>
      <c r="DG160" s="80"/>
      <c r="DH160" s="80"/>
      <c r="DI160" s="80"/>
      <c r="DJ160" s="80"/>
      <c r="DK160" s="80"/>
      <c r="DL160" s="80"/>
      <c r="DM160" s="80"/>
      <c r="DN160" s="80"/>
      <c r="DO160" s="80"/>
      <c r="DP160" s="80"/>
      <c r="DQ160" s="80"/>
      <c r="DR160" s="80"/>
      <c r="DS160" s="80"/>
      <c r="DT160" s="80"/>
      <c r="DU160" s="80"/>
      <c r="DV160" s="80"/>
      <c r="DW160" s="80"/>
      <c r="DX160" s="80"/>
      <c r="DY160" s="80"/>
      <c r="DZ160" s="80"/>
      <c r="EA160" s="80"/>
      <c r="EB160" s="80"/>
      <c r="EC160" s="80"/>
      <c r="ED160" s="80"/>
      <c r="EE160" s="80"/>
      <c r="EF160" s="80"/>
      <c r="EG160" s="80"/>
      <c r="EH160" s="80"/>
      <c r="EI160" s="80"/>
      <c r="EJ160" s="80"/>
      <c r="EK160" s="80"/>
      <c r="EL160" s="80"/>
      <c r="EM160" s="80"/>
      <c r="EN160" s="80"/>
      <c r="EO160" s="80"/>
      <c r="EP160" s="80"/>
      <c r="EQ160" s="80"/>
      <c r="ER160" s="80"/>
      <c r="ES160" s="80"/>
      <c r="ET160" s="80"/>
      <c r="EU160" s="80"/>
      <c r="EV160" s="80"/>
      <c r="EW160" s="80"/>
      <c r="EX160" s="80"/>
      <c r="EY160" s="80"/>
      <c r="EZ160" s="80"/>
      <c r="FA160" s="80"/>
      <c r="FB160" s="80"/>
      <c r="FC160" s="80"/>
      <c r="FD160" s="80"/>
      <c r="FE160" s="80"/>
      <c r="FF160" s="80"/>
      <c r="FG160" s="80"/>
      <c r="FH160" s="80"/>
      <c r="FI160" s="80"/>
      <c r="FJ160" s="80"/>
      <c r="FK160" s="80"/>
      <c r="FL160" s="80"/>
      <c r="FM160" s="80"/>
      <c r="FN160" s="80"/>
      <c r="FO160" s="80"/>
      <c r="FP160" s="80"/>
      <c r="FQ160" s="80"/>
      <c r="FR160" s="80"/>
      <c r="FS160" s="80"/>
      <c r="FT160" s="80"/>
      <c r="FU160" s="80"/>
      <c r="FV160" s="80"/>
      <c r="FW160" s="80"/>
      <c r="FX160" s="80"/>
      <c r="FY160" s="80"/>
      <c r="FZ160" s="80"/>
      <c r="GA160" s="80"/>
      <c r="GB160" s="80"/>
      <c r="GC160" s="80"/>
    </row>
    <row r="161" spans="1:185">
      <c r="A161" s="80"/>
      <c r="B161" s="80" t="s">
        <v>178</v>
      </c>
      <c r="C161" s="80"/>
      <c r="D161" s="80"/>
      <c r="E161" s="94"/>
      <c r="F161" s="173">
        <f>IF(F5&lt;=Assumptions!$E$12, Assumptions!$D$13, IF(F5&lt;=Assumptions!$F$12, Assumptions!$E$13, IF(F5&lt;=Assumptions!$G$12, Assumptions!$F$13, IF(F5&lt;=Assumptions!$H$12, Assumptions!$G$13, Assumptions!$H$13))))</f>
        <v>0.1</v>
      </c>
      <c r="G161" s="173">
        <f>IF(G5&lt;=Assumptions!$E$12, Assumptions!$D$13, IF(G5&lt;=Assumptions!$F$12, Assumptions!$E$13, IF(G5&lt;=Assumptions!$G$12, Assumptions!$F$13, IF(G5&lt;=Assumptions!$H$12, Assumptions!$G$13, Assumptions!$H$13))))</f>
        <v>0.1</v>
      </c>
      <c r="H161" s="173">
        <f>IF(H5&lt;=Assumptions!$E$12, Assumptions!$D$13, IF(H5&lt;=Assumptions!$F$12, Assumptions!$E$13, IF(H5&lt;=Assumptions!$G$12, Assumptions!$F$13, IF(H5&lt;=Assumptions!$H$12, Assumptions!$G$13, Assumptions!$H$13))))</f>
        <v>0.1</v>
      </c>
      <c r="I161" s="173">
        <f>IF(I5&lt;=Assumptions!$E$12, Assumptions!$D$13, IF(I5&lt;=Assumptions!$F$12, Assumptions!$E$13, IF(I5&lt;=Assumptions!$G$12, Assumptions!$F$13, IF(I5&lt;=Assumptions!$H$12, Assumptions!$G$13, Assumptions!$H$13))))</f>
        <v>0.1</v>
      </c>
      <c r="J161" s="173">
        <f>IF(J5&lt;=Assumptions!$E$12, Assumptions!$D$13, IF(J5&lt;=Assumptions!$F$12, Assumptions!$E$13, IF(J5&lt;=Assumptions!$G$12, Assumptions!$F$13, IF(J5&lt;=Assumptions!$H$12, Assumptions!$G$13, Assumptions!$H$13))))</f>
        <v>0.1</v>
      </c>
      <c r="K161" s="173">
        <f>IF(K5&lt;=Assumptions!$E$12, Assumptions!$D$13, IF(K5&lt;=Assumptions!$F$12, Assumptions!$E$13, IF(K5&lt;=Assumptions!$G$12, Assumptions!$F$13, IF(K5&lt;=Assumptions!$H$12, Assumptions!$G$13, Assumptions!$H$13))))</f>
        <v>0.1</v>
      </c>
      <c r="L161" s="173">
        <f>IF(L5&lt;=Assumptions!$E$12, Assumptions!$D$13, IF(L5&lt;=Assumptions!$F$12, Assumptions!$E$13, IF(L5&lt;=Assumptions!$G$12, Assumptions!$F$13, IF(L5&lt;=Assumptions!$H$12, Assumptions!$G$13, Assumptions!$H$13))))</f>
        <v>0.1</v>
      </c>
      <c r="M161" s="173">
        <f>IF(M5&lt;=Assumptions!$E$12, Assumptions!$D$13, IF(M5&lt;=Assumptions!$F$12, Assumptions!$E$13, IF(M5&lt;=Assumptions!$G$12, Assumptions!$F$13, IF(M5&lt;=Assumptions!$H$12, Assumptions!$G$13, Assumptions!$H$13))))</f>
        <v>0.1</v>
      </c>
      <c r="N161" s="173">
        <f>IF(N5&lt;=Assumptions!$E$12, Assumptions!$D$13, IF(N5&lt;=Assumptions!$F$12, Assumptions!$E$13, IF(N5&lt;=Assumptions!$G$12, Assumptions!$F$13, IF(N5&lt;=Assumptions!$H$12, Assumptions!$G$13, Assumptions!$H$13))))</f>
        <v>0.1</v>
      </c>
      <c r="O161" s="173">
        <f>IF(O5&lt;=Assumptions!$E$12, Assumptions!$D$13, IF(O5&lt;=Assumptions!$F$12, Assumptions!$E$13, IF(O5&lt;=Assumptions!$G$12, Assumptions!$F$13, IF(O5&lt;=Assumptions!$H$12, Assumptions!$G$13, Assumptions!$H$13))))</f>
        <v>0.1</v>
      </c>
      <c r="P161" s="173">
        <f>IF(P5&lt;=Assumptions!$E$12, Assumptions!$D$13, IF(P5&lt;=Assumptions!$F$12, Assumptions!$E$13, IF(P5&lt;=Assumptions!$G$12, Assumptions!$F$13, IF(P5&lt;=Assumptions!$H$12, Assumptions!$G$13, Assumptions!$H$13))))</f>
        <v>0.1</v>
      </c>
      <c r="Q161" s="173">
        <f>IF(Q5&lt;=Assumptions!$E$12, Assumptions!$D$13, IF(Q5&lt;=Assumptions!$F$12, Assumptions!$E$13, IF(Q5&lt;=Assumptions!$G$12, Assumptions!$F$13, IF(Q5&lt;=Assumptions!$H$12, Assumptions!$G$13, Assumptions!$H$13))))</f>
        <v>0.1</v>
      </c>
      <c r="R161" s="173">
        <f>IF(R5&lt;=Assumptions!$E$12, Assumptions!$D$13, IF(R5&lt;=Assumptions!$F$12, Assumptions!$E$13, IF(R5&lt;=Assumptions!$G$12, Assumptions!$F$13, IF(R5&lt;=Assumptions!$H$12, Assumptions!$G$13, Assumptions!$H$13))))</f>
        <v>0.1</v>
      </c>
      <c r="S161" s="173">
        <f>IF(S5&lt;=Assumptions!$E$12, Assumptions!$D$13, IF(S5&lt;=Assumptions!$F$12, Assumptions!$E$13, IF(S5&lt;=Assumptions!$G$12, Assumptions!$F$13, IF(S5&lt;=Assumptions!$H$12, Assumptions!$G$13, Assumptions!$H$13))))</f>
        <v>0.1</v>
      </c>
      <c r="T161" s="173">
        <f>IF(T5&lt;=Assumptions!$E$12, Assumptions!$D$13, IF(T5&lt;=Assumptions!$F$12, Assumptions!$E$13, IF(T5&lt;=Assumptions!$G$12, Assumptions!$F$13, IF(T5&lt;=Assumptions!$H$12, Assumptions!$G$13, Assumptions!$H$13))))</f>
        <v>0.1</v>
      </c>
      <c r="U161" s="173">
        <f>IF(U5&lt;=Assumptions!$E$12, Assumptions!$D$13, IF(U5&lt;=Assumptions!$F$12, Assumptions!$E$13, IF(U5&lt;=Assumptions!$G$12, Assumptions!$F$13, IF(U5&lt;=Assumptions!$H$12, Assumptions!$G$13, Assumptions!$H$13))))</f>
        <v>0.1</v>
      </c>
      <c r="V161" s="173">
        <f>IF(V5&lt;=Assumptions!$E$12, Assumptions!$D$13, IF(V5&lt;=Assumptions!$F$12, Assumptions!$E$13, IF(V5&lt;=Assumptions!$G$12, Assumptions!$F$13, IF(V5&lt;=Assumptions!$H$12, Assumptions!$G$13, Assumptions!$H$13))))</f>
        <v>0.1</v>
      </c>
      <c r="W161" s="173">
        <f>IF(W5&lt;=Assumptions!$E$12, Assumptions!$D$13, IF(W5&lt;=Assumptions!$F$12, Assumptions!$E$13, IF(W5&lt;=Assumptions!$G$12, Assumptions!$F$13, IF(W5&lt;=Assumptions!$H$12, Assumptions!$G$13, Assumptions!$H$13))))</f>
        <v>0.1</v>
      </c>
      <c r="X161" s="173">
        <f>IF(X5&lt;=Assumptions!$E$12, Assumptions!$D$13, IF(X5&lt;=Assumptions!$F$12, Assumptions!$E$13, IF(X5&lt;=Assumptions!$G$12, Assumptions!$F$13, IF(X5&lt;=Assumptions!$H$12, Assumptions!$G$13, Assumptions!$H$13))))</f>
        <v>0.1</v>
      </c>
      <c r="Y161" s="173">
        <f>IF(Y5&lt;=Assumptions!$E$12, Assumptions!$D$13, IF(Y5&lt;=Assumptions!$F$12, Assumptions!$E$13, IF(Y5&lt;=Assumptions!$G$12, Assumptions!$F$13, IF(Y5&lt;=Assumptions!$H$12, Assumptions!$G$13, Assumptions!$H$13))))</f>
        <v>0.1</v>
      </c>
      <c r="Z161" s="173">
        <f>IF(Z5&lt;=Assumptions!$E$12, Assumptions!$D$13, IF(Z5&lt;=Assumptions!$F$12, Assumptions!$E$13, IF(Z5&lt;=Assumptions!$G$12, Assumptions!$F$13, IF(Z5&lt;=Assumptions!$H$12, Assumptions!$G$13, Assumptions!$H$13))))</f>
        <v>0.1</v>
      </c>
      <c r="AA161" s="173">
        <f>IF(AA5&lt;=Assumptions!$E$12, Assumptions!$D$13, IF(AA5&lt;=Assumptions!$F$12, Assumptions!$E$13, IF(AA5&lt;=Assumptions!$G$12, Assumptions!$F$13, IF(AA5&lt;=Assumptions!$H$12, Assumptions!$G$13, Assumptions!$H$13))))</f>
        <v>0.1</v>
      </c>
      <c r="AB161" s="173">
        <f>IF(AB5&lt;=Assumptions!$E$12, Assumptions!$D$13, IF(AB5&lt;=Assumptions!$F$12, Assumptions!$E$13, IF(AB5&lt;=Assumptions!$G$12, Assumptions!$F$13, IF(AB5&lt;=Assumptions!$H$12, Assumptions!$G$13, Assumptions!$H$13))))</f>
        <v>0.1</v>
      </c>
      <c r="AC161" s="173">
        <f>IF(AC5&lt;=Assumptions!$E$12, Assumptions!$D$13, IF(AC5&lt;=Assumptions!$F$12, Assumptions!$E$13, IF(AC5&lt;=Assumptions!$G$12, Assumptions!$F$13, IF(AC5&lt;=Assumptions!$H$12, Assumptions!$G$13, Assumptions!$H$13))))</f>
        <v>0.1</v>
      </c>
      <c r="AD161" s="173">
        <f>IF(AD5&lt;=Assumptions!$E$12, Assumptions!$D$13, IF(AD5&lt;=Assumptions!$F$12, Assumptions!$E$13, IF(AD5&lt;=Assumptions!$G$12, Assumptions!$F$13, IF(AD5&lt;=Assumptions!$H$12, Assumptions!$G$13, Assumptions!$H$13))))</f>
        <v>0.1</v>
      </c>
      <c r="AE161" s="173">
        <f>IF(AE5&lt;=Assumptions!$E$12, Assumptions!$D$13, IF(AE5&lt;=Assumptions!$F$12, Assumptions!$E$13, IF(AE5&lt;=Assumptions!$G$12, Assumptions!$F$13, IF(AE5&lt;=Assumptions!$H$12, Assumptions!$G$13, Assumptions!$H$13))))</f>
        <v>0.1</v>
      </c>
      <c r="AF161" s="173">
        <f>IF(AF5&lt;=Assumptions!$E$12, Assumptions!$D$13, IF(AF5&lt;=Assumptions!$F$12, Assumptions!$E$13, IF(AF5&lt;=Assumptions!$G$12, Assumptions!$F$13, IF(AF5&lt;=Assumptions!$H$12, Assumptions!$G$13, Assumptions!$H$13))))</f>
        <v>0.1</v>
      </c>
      <c r="AG161" s="173">
        <f>IF(AG5&lt;=Assumptions!$E$12, Assumptions!$D$13, IF(AG5&lt;=Assumptions!$F$12, Assumptions!$E$13, IF(AG5&lt;=Assumptions!$G$12, Assumptions!$F$13, IF(AG5&lt;=Assumptions!$H$12, Assumptions!$G$13, Assumptions!$H$13))))</f>
        <v>0.1</v>
      </c>
      <c r="AH161" s="173">
        <f>IF(AH5&lt;=Assumptions!$E$12, Assumptions!$D$13, IF(AH5&lt;=Assumptions!$F$12, Assumptions!$E$13, IF(AH5&lt;=Assumptions!$G$12, Assumptions!$F$13, IF(AH5&lt;=Assumptions!$H$12, Assumptions!$G$13, Assumptions!$H$13))))</f>
        <v>0.1</v>
      </c>
      <c r="AI161" s="173">
        <f>IF(AI5&lt;=Assumptions!$E$12, Assumptions!$D$13, IF(AI5&lt;=Assumptions!$F$12, Assumptions!$E$13, IF(AI5&lt;=Assumptions!$G$12, Assumptions!$F$13, IF(AI5&lt;=Assumptions!$H$12, Assumptions!$G$13, Assumptions!$H$13))))</f>
        <v>0.1</v>
      </c>
      <c r="AJ161" s="173">
        <f>IF(AJ5&lt;=Assumptions!$E$12, Assumptions!$D$13, IF(AJ5&lt;=Assumptions!$F$12, Assumptions!$E$13, IF(AJ5&lt;=Assumptions!$G$12, Assumptions!$F$13, IF(AJ5&lt;=Assumptions!$H$12, Assumptions!$G$13, Assumptions!$H$13))))</f>
        <v>0.1</v>
      </c>
      <c r="AK161" s="173">
        <f>IF(AK5&lt;=Assumptions!$E$12, Assumptions!$D$13, IF(AK5&lt;=Assumptions!$F$12, Assumptions!$E$13, IF(AK5&lt;=Assumptions!$G$12, Assumptions!$F$13, IF(AK5&lt;=Assumptions!$H$12, Assumptions!$G$13, Assumptions!$H$13))))</f>
        <v>0.1</v>
      </c>
      <c r="AL161" s="173">
        <f>IF(AL5&lt;=Assumptions!$E$12, Assumptions!$D$13, IF(AL5&lt;=Assumptions!$F$12, Assumptions!$E$13, IF(AL5&lt;=Assumptions!$G$12, Assumptions!$F$13, IF(AL5&lt;=Assumptions!$H$12, Assumptions!$G$13, Assumptions!$H$13))))</f>
        <v>0.1</v>
      </c>
      <c r="AM161" s="173">
        <f>IF(AM5&lt;=Assumptions!$E$12, Assumptions!$D$13, IF(AM5&lt;=Assumptions!$F$12, Assumptions!$E$13, IF(AM5&lt;=Assumptions!$G$12, Assumptions!$F$13, IF(AM5&lt;=Assumptions!$H$12, Assumptions!$G$13, Assumptions!$H$13))))</f>
        <v>0.1</v>
      </c>
      <c r="AN161" s="173">
        <f>IF(AN5&lt;=Assumptions!$E$12, Assumptions!$D$13, IF(AN5&lt;=Assumptions!$F$12, Assumptions!$E$13, IF(AN5&lt;=Assumptions!$G$12, Assumptions!$F$13, IF(AN5&lt;=Assumptions!$H$12, Assumptions!$G$13, Assumptions!$H$13))))</f>
        <v>0.1</v>
      </c>
      <c r="AO161" s="173">
        <f>IF(AO5&lt;=Assumptions!$E$12, Assumptions!$D$13, IF(AO5&lt;=Assumptions!$F$12, Assumptions!$E$13, IF(AO5&lt;=Assumptions!$G$12, Assumptions!$F$13, IF(AO5&lt;=Assumptions!$H$12, Assumptions!$G$13, Assumptions!$H$13))))</f>
        <v>0.1</v>
      </c>
      <c r="AP161" s="173">
        <f>IF(AP5&lt;=Assumptions!$E$12, Assumptions!$D$13, IF(AP5&lt;=Assumptions!$F$12, Assumptions!$E$13, IF(AP5&lt;=Assumptions!$G$12, Assumptions!$F$13, IF(AP5&lt;=Assumptions!$H$12, Assumptions!$G$13, Assumptions!$H$13))))</f>
        <v>0.1</v>
      </c>
      <c r="AQ161" s="173">
        <f>IF(AQ5&lt;=Assumptions!$E$12, Assumptions!$D$13, IF(AQ5&lt;=Assumptions!$F$12, Assumptions!$E$13, IF(AQ5&lt;=Assumptions!$G$12, Assumptions!$F$13, IF(AQ5&lt;=Assumptions!$H$12, Assumptions!$G$13, Assumptions!$H$13))))</f>
        <v>0.1</v>
      </c>
      <c r="AR161" s="173">
        <f>IF(AR5&lt;=Assumptions!$E$12, Assumptions!$D$13, IF(AR5&lt;=Assumptions!$F$12, Assumptions!$E$13, IF(AR5&lt;=Assumptions!$G$12, Assumptions!$F$13, IF(AR5&lt;=Assumptions!$H$12, Assumptions!$G$13, Assumptions!$H$13))))</f>
        <v>0.1</v>
      </c>
      <c r="AS161" s="173">
        <f>IF(AS5&lt;=Assumptions!$E$12, Assumptions!$D$13, IF(AS5&lt;=Assumptions!$F$12, Assumptions!$E$13, IF(AS5&lt;=Assumptions!$G$12, Assumptions!$F$13, IF(AS5&lt;=Assumptions!$H$12, Assumptions!$G$13, Assumptions!$H$13))))</f>
        <v>0.1</v>
      </c>
      <c r="AT161" s="173">
        <f>IF(AT5&lt;=Assumptions!$E$12, Assumptions!$D$13, IF(AT5&lt;=Assumptions!$F$12, Assumptions!$E$13, IF(AT5&lt;=Assumptions!$G$12, Assumptions!$F$13, IF(AT5&lt;=Assumptions!$H$12, Assumptions!$G$13, Assumptions!$H$13))))</f>
        <v>0.1</v>
      </c>
      <c r="AU161" s="173">
        <f>IF(AU5&lt;=Assumptions!$E$12, Assumptions!$D$13, IF(AU5&lt;=Assumptions!$F$12, Assumptions!$E$13, IF(AU5&lt;=Assumptions!$G$12, Assumptions!$F$13, IF(AU5&lt;=Assumptions!$H$12, Assumptions!$G$13, Assumptions!$H$13))))</f>
        <v>0.1</v>
      </c>
      <c r="AV161" s="173">
        <f>IF(AV5&lt;=Assumptions!$E$12, Assumptions!$D$13, IF(AV5&lt;=Assumptions!$F$12, Assumptions!$E$13, IF(AV5&lt;=Assumptions!$G$12, Assumptions!$F$13, IF(AV5&lt;=Assumptions!$H$12, Assumptions!$G$13, Assumptions!$H$13))))</f>
        <v>0.1</v>
      </c>
      <c r="AW161" s="173">
        <f>IF(AW5&lt;=Assumptions!$E$12, Assumptions!$D$13, IF(AW5&lt;=Assumptions!$F$12, Assumptions!$E$13, IF(AW5&lt;=Assumptions!$G$12, Assumptions!$F$13, IF(AW5&lt;=Assumptions!$H$12, Assumptions!$G$13, Assumptions!$H$13))))</f>
        <v>0.1</v>
      </c>
      <c r="AX161" s="173">
        <f>IF(AX5&lt;=Assumptions!$E$12, Assumptions!$D$13, IF(AX5&lt;=Assumptions!$F$12, Assumptions!$E$13, IF(AX5&lt;=Assumptions!$G$12, Assumptions!$F$13, IF(AX5&lt;=Assumptions!$H$12, Assumptions!$G$13, Assumptions!$H$13))))</f>
        <v>0.1</v>
      </c>
      <c r="AY161" s="173">
        <f>IF(AY5&lt;=Assumptions!$E$12, Assumptions!$D$13, IF(AY5&lt;=Assumptions!$F$12, Assumptions!$E$13, IF(AY5&lt;=Assumptions!$G$12, Assumptions!$F$13, IF(AY5&lt;=Assumptions!$H$12, Assumptions!$G$13, Assumptions!$H$13))))</f>
        <v>0.1</v>
      </c>
      <c r="AZ161" s="173">
        <f>IF(AZ5&lt;=Assumptions!$E$12, Assumptions!$D$13, IF(AZ5&lt;=Assumptions!$F$12, Assumptions!$E$13, IF(AZ5&lt;=Assumptions!$G$12, Assumptions!$F$13, IF(AZ5&lt;=Assumptions!$H$12, Assumptions!$G$13, Assumptions!$H$13))))</f>
        <v>0.1</v>
      </c>
      <c r="BA161" s="173">
        <f>IF(BA5&lt;=Assumptions!$E$12, Assumptions!$D$13, IF(BA5&lt;=Assumptions!$F$12, Assumptions!$E$13, IF(BA5&lt;=Assumptions!$G$12, Assumptions!$F$13, IF(BA5&lt;=Assumptions!$H$12, Assumptions!$G$13, Assumptions!$H$13))))</f>
        <v>0.1</v>
      </c>
      <c r="BB161" s="173">
        <f>IF(BB5&lt;=Assumptions!$E$12, Assumptions!$D$13, IF(BB5&lt;=Assumptions!$F$12, Assumptions!$E$13, IF(BB5&lt;=Assumptions!$G$12, Assumptions!$F$13, IF(BB5&lt;=Assumptions!$H$12, Assumptions!$G$13, Assumptions!$H$13))))</f>
        <v>0.1</v>
      </c>
      <c r="BC161" s="173">
        <f>IF(BC5&lt;=Assumptions!$E$12, Assumptions!$D$13, IF(BC5&lt;=Assumptions!$F$12, Assumptions!$E$13, IF(BC5&lt;=Assumptions!$G$12, Assumptions!$F$13, IF(BC5&lt;=Assumptions!$H$12, Assumptions!$G$13, Assumptions!$H$13))))</f>
        <v>0.1</v>
      </c>
      <c r="BD161" s="173">
        <f>IF(BD5&lt;=Assumptions!$E$12, Assumptions!$D$13, IF(BD5&lt;=Assumptions!$F$12, Assumptions!$E$13, IF(BD5&lt;=Assumptions!$G$12, Assumptions!$F$13, IF(BD5&lt;=Assumptions!$H$12, Assumptions!$G$13, Assumptions!$H$13))))</f>
        <v>0.1</v>
      </c>
      <c r="BE161" s="173">
        <f>IF(BE5&lt;=Assumptions!$E$12, Assumptions!$D$13, IF(BE5&lt;=Assumptions!$F$12, Assumptions!$E$13, IF(BE5&lt;=Assumptions!$G$12, Assumptions!$F$13, IF(BE5&lt;=Assumptions!$H$12, Assumptions!$G$13, Assumptions!$H$13))))</f>
        <v>0.1</v>
      </c>
      <c r="BF161" s="173">
        <f>IF(BF5&lt;=Assumptions!$E$12, Assumptions!$D$13, IF(BF5&lt;=Assumptions!$F$12, Assumptions!$E$13, IF(BF5&lt;=Assumptions!$G$12, Assumptions!$F$13, IF(BF5&lt;=Assumptions!$H$12, Assumptions!$G$13, Assumptions!$H$13))))</f>
        <v>0.1</v>
      </c>
      <c r="BG161" s="173">
        <f>IF(BG5&lt;=Assumptions!$E$12, Assumptions!$D$13, IF(BG5&lt;=Assumptions!$F$12, Assumptions!$E$13, IF(BG5&lt;=Assumptions!$G$12, Assumptions!$F$13, IF(BG5&lt;=Assumptions!$H$12, Assumptions!$G$13, Assumptions!$H$13))))</f>
        <v>0.1</v>
      </c>
      <c r="BH161" s="173">
        <f>IF(BH5&lt;=Assumptions!$E$12, Assumptions!$D$13, IF(BH5&lt;=Assumptions!$F$12, Assumptions!$E$13, IF(BH5&lt;=Assumptions!$G$12, Assumptions!$F$13, IF(BH5&lt;=Assumptions!$H$12, Assumptions!$G$13, Assumptions!$H$13))))</f>
        <v>0.1</v>
      </c>
      <c r="BI161" s="173">
        <f>IF(BI5&lt;=Assumptions!$E$12, Assumptions!$D$13, IF(BI5&lt;=Assumptions!$F$12, Assumptions!$E$13, IF(BI5&lt;=Assumptions!$G$12, Assumptions!$F$13, IF(BI5&lt;=Assumptions!$H$12, Assumptions!$G$13, Assumptions!$H$13))))</f>
        <v>0.1</v>
      </c>
      <c r="BJ161" s="173">
        <f>IF(BJ5&lt;=Assumptions!$E$12, Assumptions!$D$13, IF(BJ5&lt;=Assumptions!$F$12, Assumptions!$E$13, IF(BJ5&lt;=Assumptions!$G$12, Assumptions!$F$13, IF(BJ5&lt;=Assumptions!$H$12, Assumptions!$G$13, Assumptions!$H$13))))</f>
        <v>0.1</v>
      </c>
      <c r="BK161" s="173">
        <f>IF(BK5&lt;=Assumptions!$E$12, Assumptions!$D$13, IF(BK5&lt;=Assumptions!$F$12, Assumptions!$E$13, IF(BK5&lt;=Assumptions!$G$12, Assumptions!$F$13, IF(BK5&lt;=Assumptions!$H$12, Assumptions!$G$13, Assumptions!$H$13))))</f>
        <v>0.1</v>
      </c>
      <c r="BL161" s="173">
        <f>IF(BL5&lt;=Assumptions!$E$12, Assumptions!$D$13, IF(BL5&lt;=Assumptions!$F$12, Assumptions!$E$13, IF(BL5&lt;=Assumptions!$G$12, Assumptions!$F$13, IF(BL5&lt;=Assumptions!$H$12, Assumptions!$G$13, Assumptions!$H$13))))</f>
        <v>0.1</v>
      </c>
      <c r="BM161" s="173">
        <f>IF(BM5&lt;=Assumptions!$E$12, Assumptions!$D$13, IF(BM5&lt;=Assumptions!$F$12, Assumptions!$E$13, IF(BM5&lt;=Assumptions!$G$12, Assumptions!$F$13, IF(BM5&lt;=Assumptions!$H$12, Assumptions!$G$13, Assumptions!$H$13))))</f>
        <v>0.1</v>
      </c>
      <c r="BN161" s="173">
        <f>IF(BN5&lt;=Assumptions!$E$12, Assumptions!$D$13, IF(BN5&lt;=Assumptions!$F$12, Assumptions!$E$13, IF(BN5&lt;=Assumptions!$G$12, Assumptions!$F$13, IF(BN5&lt;=Assumptions!$H$12, Assumptions!$G$13, Assumptions!$H$13))))</f>
        <v>0.1</v>
      </c>
      <c r="BO161" s="173">
        <f>IF(BO5&lt;=Assumptions!$E$12, Assumptions!$D$13, IF(BO5&lt;=Assumptions!$F$12, Assumptions!$E$13, IF(BO5&lt;=Assumptions!$G$12, Assumptions!$F$13, IF(BO5&lt;=Assumptions!$H$12, Assumptions!$G$13, Assumptions!$H$13))))</f>
        <v>0.1</v>
      </c>
      <c r="BP161" s="173">
        <f>IF(BP5&lt;=Assumptions!$E$12, Assumptions!$D$13, IF(BP5&lt;=Assumptions!$F$12, Assumptions!$E$13, IF(BP5&lt;=Assumptions!$G$12, Assumptions!$F$13, IF(BP5&lt;=Assumptions!$H$12, Assumptions!$G$13, Assumptions!$H$13))))</f>
        <v>0.1</v>
      </c>
      <c r="BQ161" s="173">
        <f>IF(BQ5&lt;=Assumptions!$E$12, Assumptions!$D$13, IF(BQ5&lt;=Assumptions!$F$12, Assumptions!$E$13, IF(BQ5&lt;=Assumptions!$G$12, Assumptions!$F$13, IF(BQ5&lt;=Assumptions!$H$12, Assumptions!$G$13, Assumptions!$H$13))))</f>
        <v>0.1</v>
      </c>
      <c r="BR161" s="173">
        <f>IF(BR5&lt;=Assumptions!$E$12, Assumptions!$D$13, IF(BR5&lt;=Assumptions!$F$12, Assumptions!$E$13, IF(BR5&lt;=Assumptions!$G$12, Assumptions!$F$13, IF(BR5&lt;=Assumptions!$H$12, Assumptions!$G$13, Assumptions!$H$13))))</f>
        <v>0.1</v>
      </c>
      <c r="BS161" s="173">
        <f>IF(BS5&lt;=Assumptions!$E$12, Assumptions!$D$13, IF(BS5&lt;=Assumptions!$F$12, Assumptions!$E$13, IF(BS5&lt;=Assumptions!$G$12, Assumptions!$F$13, IF(BS5&lt;=Assumptions!$H$12, Assumptions!$G$13, Assumptions!$H$13))))</f>
        <v>0.1</v>
      </c>
      <c r="BT161" s="173">
        <f>IF(BT5&lt;=Assumptions!$E$12, Assumptions!$D$13, IF(BT5&lt;=Assumptions!$F$12, Assumptions!$E$13, IF(BT5&lt;=Assumptions!$G$12, Assumptions!$F$13, IF(BT5&lt;=Assumptions!$H$12, Assumptions!$G$13, Assumptions!$H$13))))</f>
        <v>0.1</v>
      </c>
      <c r="BU161" s="173">
        <f>IF(BU5&lt;=Assumptions!$E$12, Assumptions!$D$13, IF(BU5&lt;=Assumptions!$F$12, Assumptions!$E$13, IF(BU5&lt;=Assumptions!$G$12, Assumptions!$F$13, IF(BU5&lt;=Assumptions!$H$12, Assumptions!$G$13, Assumptions!$H$13))))</f>
        <v>0.1</v>
      </c>
      <c r="BV161" s="173">
        <f>IF(BV5&lt;=Assumptions!$E$12, Assumptions!$D$13, IF(BV5&lt;=Assumptions!$F$12, Assumptions!$E$13, IF(BV5&lt;=Assumptions!$G$12, Assumptions!$F$13, IF(BV5&lt;=Assumptions!$H$12, Assumptions!$G$13, Assumptions!$H$13))))</f>
        <v>0.1</v>
      </c>
      <c r="BW161" s="173">
        <f>IF(BW5&lt;=Assumptions!$E$12, Assumptions!$D$13, IF(BW5&lt;=Assumptions!$F$12, Assumptions!$E$13, IF(BW5&lt;=Assumptions!$G$12, Assumptions!$F$13, IF(BW5&lt;=Assumptions!$H$12, Assumptions!$G$13, Assumptions!$H$13))))</f>
        <v>0.1</v>
      </c>
      <c r="BX161" s="173">
        <f>IF(BX5&lt;=Assumptions!$E$12, Assumptions!$D$13, IF(BX5&lt;=Assumptions!$F$12, Assumptions!$E$13, IF(BX5&lt;=Assumptions!$G$12, Assumptions!$F$13, IF(BX5&lt;=Assumptions!$H$12, Assumptions!$G$13, Assumptions!$H$13))))</f>
        <v>0.1</v>
      </c>
      <c r="BY161" s="173">
        <f>IF(BY5&lt;=Assumptions!$E$12, Assumptions!$D$13, IF(BY5&lt;=Assumptions!$F$12, Assumptions!$E$13, IF(BY5&lt;=Assumptions!$G$12, Assumptions!$F$13, IF(BY5&lt;=Assumptions!$H$12, Assumptions!$G$13, Assumptions!$H$13))))</f>
        <v>0.1</v>
      </c>
      <c r="BZ161" s="173">
        <f>IF(BZ5&lt;=Assumptions!$E$12, Assumptions!$D$13, IF(BZ5&lt;=Assumptions!$F$12, Assumptions!$E$13, IF(BZ5&lt;=Assumptions!$G$12, Assumptions!$F$13, IF(BZ5&lt;=Assumptions!$H$12, Assumptions!$G$13, Assumptions!$H$13))))</f>
        <v>0.1</v>
      </c>
      <c r="CA161" s="173">
        <f>IF(CA5&lt;=Assumptions!$E$12, Assumptions!$D$13, IF(CA5&lt;=Assumptions!$F$12, Assumptions!$E$13, IF(CA5&lt;=Assumptions!$G$12, Assumptions!$F$13, IF(CA5&lt;=Assumptions!$H$12, Assumptions!$G$13, Assumptions!$H$13))))</f>
        <v>0.1</v>
      </c>
      <c r="CB161" s="173">
        <f>IF(CB5&lt;=Assumptions!$E$12, Assumptions!$D$13, IF(CB5&lt;=Assumptions!$F$12, Assumptions!$E$13, IF(CB5&lt;=Assumptions!$G$12, Assumptions!$F$13, IF(CB5&lt;=Assumptions!$H$12, Assumptions!$G$13, Assumptions!$H$13))))</f>
        <v>0.1</v>
      </c>
      <c r="CC161" s="173">
        <f>IF(CC5&lt;=Assumptions!$E$12, Assumptions!$D$13, IF(CC5&lt;=Assumptions!$F$12, Assumptions!$E$13, IF(CC5&lt;=Assumptions!$G$12, Assumptions!$F$13, IF(CC5&lt;=Assumptions!$H$12, Assumptions!$G$13, Assumptions!$H$13))))</f>
        <v>0.1</v>
      </c>
      <c r="CD161" s="173">
        <f>IF(CD5&lt;=Assumptions!$E$12, Assumptions!$D$13, IF(CD5&lt;=Assumptions!$F$12, Assumptions!$E$13, IF(CD5&lt;=Assumptions!$G$12, Assumptions!$F$13, IF(CD5&lt;=Assumptions!$H$12, Assumptions!$G$13, Assumptions!$H$13))))</f>
        <v>0.1</v>
      </c>
      <c r="CE161" s="173">
        <f>IF(CE5&lt;=Assumptions!$E$12, Assumptions!$D$13, IF(CE5&lt;=Assumptions!$F$12, Assumptions!$E$13, IF(CE5&lt;=Assumptions!$G$12, Assumptions!$F$13, IF(CE5&lt;=Assumptions!$H$12, Assumptions!$G$13, Assumptions!$H$13))))</f>
        <v>0.1</v>
      </c>
      <c r="CF161" s="173">
        <f>IF(CF5&lt;=Assumptions!$E$12, Assumptions!$D$13, IF(CF5&lt;=Assumptions!$F$12, Assumptions!$E$13, IF(CF5&lt;=Assumptions!$G$12, Assumptions!$F$13, IF(CF5&lt;=Assumptions!$H$12, Assumptions!$G$13, Assumptions!$H$13))))</f>
        <v>0.1</v>
      </c>
      <c r="CG161" s="173">
        <f>IF(CG5&lt;=Assumptions!$E$12, Assumptions!$D$13, IF(CG5&lt;=Assumptions!$F$12, Assumptions!$E$13, IF(CG5&lt;=Assumptions!$G$12, Assumptions!$F$13, IF(CG5&lt;=Assumptions!$H$12, Assumptions!$G$13, Assumptions!$H$13))))</f>
        <v>0.1</v>
      </c>
      <c r="CH161" s="173">
        <f>IF(CH5&lt;=Assumptions!$E$12, Assumptions!$D$13, IF(CH5&lt;=Assumptions!$F$12, Assumptions!$E$13, IF(CH5&lt;=Assumptions!$G$12, Assumptions!$F$13, IF(CH5&lt;=Assumptions!$H$12, Assumptions!$G$13, Assumptions!$H$13))))</f>
        <v>0.1</v>
      </c>
      <c r="CI161" s="173">
        <f>IF(CI5&lt;=Assumptions!$E$12, Assumptions!$D$13, IF(CI5&lt;=Assumptions!$F$12, Assumptions!$E$13, IF(CI5&lt;=Assumptions!$G$12, Assumptions!$F$13, IF(CI5&lt;=Assumptions!$H$12, Assumptions!$G$13, Assumptions!$H$13))))</f>
        <v>0.1</v>
      </c>
      <c r="CJ161" s="173">
        <f>IF(CJ5&lt;=Assumptions!$E$12, Assumptions!$D$13, IF(CJ5&lt;=Assumptions!$F$12, Assumptions!$E$13, IF(CJ5&lt;=Assumptions!$G$12, Assumptions!$F$13, IF(CJ5&lt;=Assumptions!$H$12, Assumptions!$G$13, Assumptions!$H$13))))</f>
        <v>0.1</v>
      </c>
      <c r="CK161" s="173">
        <f>IF(CK5&lt;=Assumptions!$E$12, Assumptions!$D$13, IF(CK5&lt;=Assumptions!$F$12, Assumptions!$E$13, IF(CK5&lt;=Assumptions!$G$12, Assumptions!$F$13, IF(CK5&lt;=Assumptions!$H$12, Assumptions!$G$13, Assumptions!$H$13))))</f>
        <v>0.1</v>
      </c>
      <c r="CL161" s="173">
        <f>IF(CL5&lt;=Assumptions!$E$12, Assumptions!$D$13, IF(CL5&lt;=Assumptions!$F$12, Assumptions!$E$13, IF(CL5&lt;=Assumptions!$G$12, Assumptions!$F$13, IF(CL5&lt;=Assumptions!$H$12, Assumptions!$G$13, Assumptions!$H$13))))</f>
        <v>0.1</v>
      </c>
      <c r="CM161" s="173">
        <f>IF(CM5&lt;=Assumptions!$E$12, Assumptions!$D$13, IF(CM5&lt;=Assumptions!$F$12, Assumptions!$E$13, IF(CM5&lt;=Assumptions!$G$12, Assumptions!$F$13, IF(CM5&lt;=Assumptions!$H$12, Assumptions!$G$13, Assumptions!$H$13))))</f>
        <v>0.1</v>
      </c>
      <c r="CN161" s="173">
        <f>IF(CN5&lt;=Assumptions!$E$12, Assumptions!$D$13, IF(CN5&lt;=Assumptions!$F$12, Assumptions!$E$13, IF(CN5&lt;=Assumptions!$G$12, Assumptions!$F$13, IF(CN5&lt;=Assumptions!$H$12, Assumptions!$G$13, Assumptions!$H$13))))</f>
        <v>0.1</v>
      </c>
      <c r="CO161" s="173">
        <f>IF(CO5&lt;=Assumptions!$E$12, Assumptions!$D$13, IF(CO5&lt;=Assumptions!$F$12, Assumptions!$E$13, IF(CO5&lt;=Assumptions!$G$12, Assumptions!$F$13, IF(CO5&lt;=Assumptions!$H$12, Assumptions!$G$13, Assumptions!$H$13))))</f>
        <v>0.1</v>
      </c>
      <c r="CP161" s="173">
        <f>IF(CP5&lt;=Assumptions!$E$12, Assumptions!$D$13, IF(CP5&lt;=Assumptions!$F$12, Assumptions!$E$13, IF(CP5&lt;=Assumptions!$G$12, Assumptions!$F$13, IF(CP5&lt;=Assumptions!$H$12, Assumptions!$G$13, Assumptions!$H$13))))</f>
        <v>0.1</v>
      </c>
      <c r="CQ161" s="173">
        <f>IF(CQ5&lt;=Assumptions!$E$12, Assumptions!$D$13, IF(CQ5&lt;=Assumptions!$F$12, Assumptions!$E$13, IF(CQ5&lt;=Assumptions!$G$12, Assumptions!$F$13, IF(CQ5&lt;=Assumptions!$H$12, Assumptions!$G$13, Assumptions!$H$13))))</f>
        <v>0.1</v>
      </c>
      <c r="CR161" s="173">
        <f>IF(CR5&lt;=Assumptions!$E$12, Assumptions!$D$13, IF(CR5&lt;=Assumptions!$F$12, Assumptions!$E$13, IF(CR5&lt;=Assumptions!$G$12, Assumptions!$F$13, IF(CR5&lt;=Assumptions!$H$12, Assumptions!$G$13, Assumptions!$H$13))))</f>
        <v>0.1</v>
      </c>
      <c r="CS161" s="173">
        <f>IF(CS5&lt;=Assumptions!$E$12, Assumptions!$D$13, IF(CS5&lt;=Assumptions!$F$12, Assumptions!$E$13, IF(CS5&lt;=Assumptions!$G$12, Assumptions!$F$13, IF(CS5&lt;=Assumptions!$H$12, Assumptions!$G$13, Assumptions!$H$13))))</f>
        <v>0.1</v>
      </c>
      <c r="CT161" s="173">
        <f>IF(CT5&lt;=Assumptions!$E$12, Assumptions!$D$13, IF(CT5&lt;=Assumptions!$F$12, Assumptions!$E$13, IF(CT5&lt;=Assumptions!$G$12, Assumptions!$F$13, IF(CT5&lt;=Assumptions!$H$12, Assumptions!$G$13, Assumptions!$H$13))))</f>
        <v>0.1</v>
      </c>
      <c r="CU161" s="173">
        <f>IF(CU5&lt;=Assumptions!$E$12, Assumptions!$D$13, IF(CU5&lt;=Assumptions!$F$12, Assumptions!$E$13, IF(CU5&lt;=Assumptions!$G$12, Assumptions!$F$13, IF(CU5&lt;=Assumptions!$H$12, Assumptions!$G$13, Assumptions!$H$13))))</f>
        <v>0.1</v>
      </c>
      <c r="CV161" s="173">
        <f>IF(CV5&lt;=Assumptions!$E$12, Assumptions!$D$13, IF(CV5&lt;=Assumptions!$F$12, Assumptions!$E$13, IF(CV5&lt;=Assumptions!$G$12, Assumptions!$F$13, IF(CV5&lt;=Assumptions!$H$12, Assumptions!$G$13, Assumptions!$H$13))))</f>
        <v>0.1</v>
      </c>
      <c r="CW161" s="173">
        <f>IF(CW5&lt;=Assumptions!$E$12, Assumptions!$D$13, IF(CW5&lt;=Assumptions!$F$12, Assumptions!$E$13, IF(CW5&lt;=Assumptions!$G$12, Assumptions!$F$13, IF(CW5&lt;=Assumptions!$H$12, Assumptions!$G$13, Assumptions!$H$13))))</f>
        <v>0.1</v>
      </c>
      <c r="CX161" s="173">
        <f>IF(CX5&lt;=Assumptions!$E$12, Assumptions!$D$13, IF(CX5&lt;=Assumptions!$F$12, Assumptions!$E$13, IF(CX5&lt;=Assumptions!$G$12, Assumptions!$F$13, IF(CX5&lt;=Assumptions!$H$12, Assumptions!$G$13, Assumptions!$H$13))))</f>
        <v>0.1</v>
      </c>
      <c r="CY161" s="173">
        <f>IF(CY5&lt;=Assumptions!$E$12, Assumptions!$D$13, IF(CY5&lt;=Assumptions!$F$12, Assumptions!$E$13, IF(CY5&lt;=Assumptions!$G$12, Assumptions!$F$13, IF(CY5&lt;=Assumptions!$H$12, Assumptions!$G$13, Assumptions!$H$13))))</f>
        <v>0.1</v>
      </c>
      <c r="CZ161" s="173">
        <f>IF(CZ5&lt;=Assumptions!$E$12, Assumptions!$D$13, IF(CZ5&lt;=Assumptions!$F$12, Assumptions!$E$13, IF(CZ5&lt;=Assumptions!$G$12, Assumptions!$F$13, IF(CZ5&lt;=Assumptions!$H$12, Assumptions!$G$13, Assumptions!$H$13))))</f>
        <v>0.1</v>
      </c>
      <c r="DA161" s="173">
        <f>IF(DA5&lt;=Assumptions!$E$12, Assumptions!$D$13, IF(DA5&lt;=Assumptions!$F$12, Assumptions!$E$13, IF(DA5&lt;=Assumptions!$G$12, Assumptions!$F$13, IF(DA5&lt;=Assumptions!$H$12, Assumptions!$G$13, Assumptions!$H$13))))</f>
        <v>0.1</v>
      </c>
      <c r="DB161" s="173">
        <f>IF(DB5&lt;=Assumptions!$E$12, Assumptions!$D$13, IF(DB5&lt;=Assumptions!$F$12, Assumptions!$E$13, IF(DB5&lt;=Assumptions!$G$12, Assumptions!$F$13, IF(DB5&lt;=Assumptions!$H$12, Assumptions!$G$13, Assumptions!$H$13))))</f>
        <v>0.1</v>
      </c>
      <c r="DC161" s="173">
        <f>IF(DC5&lt;=Assumptions!$E$12, Assumptions!$D$13, IF(DC5&lt;=Assumptions!$F$12, Assumptions!$E$13, IF(DC5&lt;=Assumptions!$G$12, Assumptions!$F$13, IF(DC5&lt;=Assumptions!$H$12, Assumptions!$G$13, Assumptions!$H$13))))</f>
        <v>0.1</v>
      </c>
      <c r="DD161" s="173">
        <f>IF(DD5&lt;=Assumptions!$E$12, Assumptions!$D$13, IF(DD5&lt;=Assumptions!$F$12, Assumptions!$E$13, IF(DD5&lt;=Assumptions!$G$12, Assumptions!$F$13, IF(DD5&lt;=Assumptions!$H$12, Assumptions!$G$13, Assumptions!$H$13))))</f>
        <v>0.1</v>
      </c>
      <c r="DE161" s="173">
        <f>IF(DE5&lt;=Assumptions!$E$12, Assumptions!$D$13, IF(DE5&lt;=Assumptions!$F$12, Assumptions!$E$13, IF(DE5&lt;=Assumptions!$G$12, Assumptions!$F$13, IF(DE5&lt;=Assumptions!$H$12, Assumptions!$G$13, Assumptions!$H$13))))</f>
        <v>0.1</v>
      </c>
      <c r="DF161" s="173">
        <f>IF(DF5&lt;=Assumptions!$E$12, Assumptions!$D$13, IF(DF5&lt;=Assumptions!$F$12, Assumptions!$E$13, IF(DF5&lt;=Assumptions!$G$12, Assumptions!$F$13, IF(DF5&lt;=Assumptions!$H$12, Assumptions!$G$13, Assumptions!$H$13))))</f>
        <v>0.1</v>
      </c>
      <c r="DG161" s="173">
        <f>IF(DG5&lt;=Assumptions!$E$12, Assumptions!$D$13, IF(DG5&lt;=Assumptions!$F$12, Assumptions!$E$13, IF(DG5&lt;=Assumptions!$G$12, Assumptions!$F$13, IF(DG5&lt;=Assumptions!$H$12, Assumptions!$G$13, Assumptions!$H$13))))</f>
        <v>0.1</v>
      </c>
      <c r="DH161" s="173">
        <f>IF(DH5&lt;=Assumptions!$E$12, Assumptions!$D$13, IF(DH5&lt;=Assumptions!$F$12, Assumptions!$E$13, IF(DH5&lt;=Assumptions!$G$12, Assumptions!$F$13, IF(DH5&lt;=Assumptions!$H$12, Assumptions!$G$13, Assumptions!$H$13))))</f>
        <v>0.1</v>
      </c>
      <c r="DI161" s="173">
        <f>IF(DI5&lt;=Assumptions!$E$12, Assumptions!$D$13, IF(DI5&lt;=Assumptions!$F$12, Assumptions!$E$13, IF(DI5&lt;=Assumptions!$G$12, Assumptions!$F$13, IF(DI5&lt;=Assumptions!$H$12, Assumptions!$G$13, Assumptions!$H$13))))</f>
        <v>0.1</v>
      </c>
      <c r="DJ161" s="173">
        <f>IF(DJ5&lt;=Assumptions!$E$12, Assumptions!$D$13, IF(DJ5&lt;=Assumptions!$F$12, Assumptions!$E$13, IF(DJ5&lt;=Assumptions!$G$12, Assumptions!$F$13, IF(DJ5&lt;=Assumptions!$H$12, Assumptions!$G$13, Assumptions!$H$13))))</f>
        <v>0.1</v>
      </c>
      <c r="DK161" s="173">
        <f>IF(DK5&lt;=Assumptions!$E$12, Assumptions!$D$13, IF(DK5&lt;=Assumptions!$F$12, Assumptions!$E$13, IF(DK5&lt;=Assumptions!$G$12, Assumptions!$F$13, IF(DK5&lt;=Assumptions!$H$12, Assumptions!$G$13, Assumptions!$H$13))))</f>
        <v>0.1</v>
      </c>
      <c r="DL161" s="173">
        <f>IF(DL5&lt;=Assumptions!$E$12, Assumptions!$D$13, IF(DL5&lt;=Assumptions!$F$12, Assumptions!$E$13, IF(DL5&lt;=Assumptions!$G$12, Assumptions!$F$13, IF(DL5&lt;=Assumptions!$H$12, Assumptions!$G$13, Assumptions!$H$13))))</f>
        <v>0.1</v>
      </c>
      <c r="DM161" s="173">
        <f>IF(DM5&lt;=Assumptions!$E$12, Assumptions!$D$13, IF(DM5&lt;=Assumptions!$F$12, Assumptions!$E$13, IF(DM5&lt;=Assumptions!$G$12, Assumptions!$F$13, IF(DM5&lt;=Assumptions!$H$12, Assumptions!$G$13, Assumptions!$H$13))))</f>
        <v>0.1</v>
      </c>
      <c r="DN161" s="173">
        <f>IF(DN5&lt;=Assumptions!$E$12, Assumptions!$D$13, IF(DN5&lt;=Assumptions!$F$12, Assumptions!$E$13, IF(DN5&lt;=Assumptions!$G$12, Assumptions!$F$13, IF(DN5&lt;=Assumptions!$H$12, Assumptions!$G$13, Assumptions!$H$13))))</f>
        <v>0.1</v>
      </c>
      <c r="DO161" s="173">
        <f>IF(DO5&lt;=Assumptions!$E$12, Assumptions!$D$13, IF(DO5&lt;=Assumptions!$F$12, Assumptions!$E$13, IF(DO5&lt;=Assumptions!$G$12, Assumptions!$F$13, IF(DO5&lt;=Assumptions!$H$12, Assumptions!$G$13, Assumptions!$H$13))))</f>
        <v>0.1</v>
      </c>
      <c r="DP161" s="173">
        <f>IF(DP5&lt;=Assumptions!$E$12, Assumptions!$D$13, IF(DP5&lt;=Assumptions!$F$12, Assumptions!$E$13, IF(DP5&lt;=Assumptions!$G$12, Assumptions!$F$13, IF(DP5&lt;=Assumptions!$H$12, Assumptions!$G$13, Assumptions!$H$13))))</f>
        <v>0.1</v>
      </c>
      <c r="DQ161" s="173">
        <f>IF(DQ5&lt;=Assumptions!$E$12, Assumptions!$D$13, IF(DQ5&lt;=Assumptions!$F$12, Assumptions!$E$13, IF(DQ5&lt;=Assumptions!$G$12, Assumptions!$F$13, IF(DQ5&lt;=Assumptions!$H$12, Assumptions!$G$13, Assumptions!$H$13))))</f>
        <v>0.1</v>
      </c>
      <c r="DR161" s="173">
        <f>IF(DR5&lt;=Assumptions!$E$12, Assumptions!$D$13, IF(DR5&lt;=Assumptions!$F$12, Assumptions!$E$13, IF(DR5&lt;=Assumptions!$G$12, Assumptions!$F$13, IF(DR5&lt;=Assumptions!$H$12, Assumptions!$G$13, Assumptions!$H$13))))</f>
        <v>0.1</v>
      </c>
      <c r="DS161" s="173">
        <f>IF(DS5&lt;=Assumptions!$E$12, Assumptions!$D$13, IF(DS5&lt;=Assumptions!$F$12, Assumptions!$E$13, IF(DS5&lt;=Assumptions!$G$12, Assumptions!$F$13, IF(DS5&lt;=Assumptions!$H$12, Assumptions!$G$13, Assumptions!$H$13))))</f>
        <v>0.1</v>
      </c>
      <c r="DT161" s="173">
        <f>IF(DT5&lt;=Assumptions!$E$12, Assumptions!$D$13, IF(DT5&lt;=Assumptions!$F$12, Assumptions!$E$13, IF(DT5&lt;=Assumptions!$G$12, Assumptions!$F$13, IF(DT5&lt;=Assumptions!$H$12, Assumptions!$G$13, Assumptions!$H$13))))</f>
        <v>0.1</v>
      </c>
      <c r="DU161" s="173">
        <f>IF(DU5&lt;=Assumptions!$E$12, Assumptions!$D$13, IF(DU5&lt;=Assumptions!$F$12, Assumptions!$E$13, IF(DU5&lt;=Assumptions!$G$12, Assumptions!$F$13, IF(DU5&lt;=Assumptions!$H$12, Assumptions!$G$13, Assumptions!$H$13))))</f>
        <v>0.1</v>
      </c>
      <c r="DV161" s="173">
        <f>IF(DV5&lt;=Assumptions!$E$12, Assumptions!$D$13, IF(DV5&lt;=Assumptions!$F$12, Assumptions!$E$13, IF(DV5&lt;=Assumptions!$G$12, Assumptions!$F$13, IF(DV5&lt;=Assumptions!$H$12, Assumptions!$G$13, Assumptions!$H$13))))</f>
        <v>0.1</v>
      </c>
      <c r="DW161" s="173">
        <f>IF(DW5&lt;=Assumptions!$E$12, Assumptions!$D$13, IF(DW5&lt;=Assumptions!$F$12, Assumptions!$E$13, IF(DW5&lt;=Assumptions!$G$12, Assumptions!$F$13, IF(DW5&lt;=Assumptions!$H$12, Assumptions!$G$13, Assumptions!$H$13))))</f>
        <v>0.1</v>
      </c>
      <c r="DX161" s="173">
        <f>IF(DX5&lt;=Assumptions!$E$12, Assumptions!$D$13, IF(DX5&lt;=Assumptions!$F$12, Assumptions!$E$13, IF(DX5&lt;=Assumptions!$G$12, Assumptions!$F$13, IF(DX5&lt;=Assumptions!$H$12, Assumptions!$G$13, Assumptions!$H$13))))</f>
        <v>0.1</v>
      </c>
      <c r="DY161" s="173">
        <f>IF(DY5&lt;=Assumptions!$E$12, Assumptions!$D$13, IF(DY5&lt;=Assumptions!$F$12, Assumptions!$E$13, IF(DY5&lt;=Assumptions!$G$12, Assumptions!$F$13, IF(DY5&lt;=Assumptions!$H$12, Assumptions!$G$13, Assumptions!$H$13))))</f>
        <v>0.1</v>
      </c>
      <c r="DZ161" s="173">
        <f>IF(DZ5&lt;=Assumptions!$E$12, Assumptions!$D$13, IF(DZ5&lt;=Assumptions!$F$12, Assumptions!$E$13, IF(DZ5&lt;=Assumptions!$G$12, Assumptions!$F$13, IF(DZ5&lt;=Assumptions!$H$12, Assumptions!$G$13, Assumptions!$H$13))))</f>
        <v>0.1</v>
      </c>
      <c r="EA161" s="173">
        <f>IF(EA5&lt;=Assumptions!$E$12, Assumptions!$D$13, IF(EA5&lt;=Assumptions!$F$12, Assumptions!$E$13, IF(EA5&lt;=Assumptions!$G$12, Assumptions!$F$13, IF(EA5&lt;=Assumptions!$H$12, Assumptions!$G$13, Assumptions!$H$13))))</f>
        <v>0.1</v>
      </c>
      <c r="EB161" s="173">
        <f>IF(EB5&lt;=Assumptions!$E$12, Assumptions!$D$13, IF(EB5&lt;=Assumptions!$F$12, Assumptions!$E$13, IF(EB5&lt;=Assumptions!$G$12, Assumptions!$F$13, IF(EB5&lt;=Assumptions!$H$12, Assumptions!$G$13, Assumptions!$H$13))))</f>
        <v>0.1</v>
      </c>
      <c r="EC161" s="173">
        <f>IF(EC5&lt;=Assumptions!$E$12, Assumptions!$D$13, IF(EC5&lt;=Assumptions!$F$12, Assumptions!$E$13, IF(EC5&lt;=Assumptions!$G$12, Assumptions!$F$13, IF(EC5&lt;=Assumptions!$H$12, Assumptions!$G$13, Assumptions!$H$13))))</f>
        <v>0.1</v>
      </c>
      <c r="ED161" s="173">
        <f>IF(ED5&lt;=Assumptions!$E$12, Assumptions!$D$13, IF(ED5&lt;=Assumptions!$F$12, Assumptions!$E$13, IF(ED5&lt;=Assumptions!$G$12, Assumptions!$F$13, IF(ED5&lt;=Assumptions!$H$12, Assumptions!$G$13, Assumptions!$H$13))))</f>
        <v>0.1</v>
      </c>
      <c r="EE161" s="173">
        <f>IF(EE5&lt;=Assumptions!$E$12, Assumptions!$D$13, IF(EE5&lt;=Assumptions!$F$12, Assumptions!$E$13, IF(EE5&lt;=Assumptions!$G$12, Assumptions!$F$13, IF(EE5&lt;=Assumptions!$H$12, Assumptions!$G$13, Assumptions!$H$13))))</f>
        <v>0.1</v>
      </c>
      <c r="EF161" s="173">
        <f>IF(EF5&lt;=Assumptions!$E$12, Assumptions!$D$13, IF(EF5&lt;=Assumptions!$F$12, Assumptions!$E$13, IF(EF5&lt;=Assumptions!$G$12, Assumptions!$F$13, IF(EF5&lt;=Assumptions!$H$12, Assumptions!$G$13, Assumptions!$H$13))))</f>
        <v>0.1</v>
      </c>
      <c r="EG161" s="173">
        <f>IF(EG5&lt;=Assumptions!$E$12, Assumptions!$D$13, IF(EG5&lt;=Assumptions!$F$12, Assumptions!$E$13, IF(EG5&lt;=Assumptions!$G$12, Assumptions!$F$13, IF(EG5&lt;=Assumptions!$H$12, Assumptions!$G$13, Assumptions!$H$13))))</f>
        <v>0.1</v>
      </c>
      <c r="EH161" s="173">
        <f>IF(EH5&lt;=Assumptions!$E$12, Assumptions!$D$13, IF(EH5&lt;=Assumptions!$F$12, Assumptions!$E$13, IF(EH5&lt;=Assumptions!$G$12, Assumptions!$F$13, IF(EH5&lt;=Assumptions!$H$12, Assumptions!$G$13, Assumptions!$H$13))))</f>
        <v>0.1</v>
      </c>
      <c r="EI161" s="173">
        <f>IF(EI5&lt;=Assumptions!$E$12, Assumptions!$D$13, IF(EI5&lt;=Assumptions!$F$12, Assumptions!$E$13, IF(EI5&lt;=Assumptions!$G$12, Assumptions!$F$13, IF(EI5&lt;=Assumptions!$H$12, Assumptions!$G$13, Assumptions!$H$13))))</f>
        <v>0.1</v>
      </c>
      <c r="EJ161" s="173">
        <f>IF(EJ5&lt;=Assumptions!$E$12, Assumptions!$D$13, IF(EJ5&lt;=Assumptions!$F$12, Assumptions!$E$13, IF(EJ5&lt;=Assumptions!$G$12, Assumptions!$F$13, IF(EJ5&lt;=Assumptions!$H$12, Assumptions!$G$13, Assumptions!$H$13))))</f>
        <v>0.1</v>
      </c>
      <c r="EK161" s="173">
        <f>IF(EK5&lt;=Assumptions!$E$12, Assumptions!$D$13, IF(EK5&lt;=Assumptions!$F$12, Assumptions!$E$13, IF(EK5&lt;=Assumptions!$G$12, Assumptions!$F$13, IF(EK5&lt;=Assumptions!$H$12, Assumptions!$G$13, Assumptions!$H$13))))</f>
        <v>0.1</v>
      </c>
      <c r="EL161" s="173">
        <f>IF(EL5&lt;=Assumptions!$E$12, Assumptions!$D$13, IF(EL5&lt;=Assumptions!$F$12, Assumptions!$E$13, IF(EL5&lt;=Assumptions!$G$12, Assumptions!$F$13, IF(EL5&lt;=Assumptions!$H$12, Assumptions!$G$13, Assumptions!$H$13))))</f>
        <v>0.1</v>
      </c>
      <c r="EM161" s="173">
        <f>IF(EM5&lt;=Assumptions!$E$12, Assumptions!$D$13, IF(EM5&lt;=Assumptions!$F$12, Assumptions!$E$13, IF(EM5&lt;=Assumptions!$G$12, Assumptions!$F$13, IF(EM5&lt;=Assumptions!$H$12, Assumptions!$G$13, Assumptions!$H$13))))</f>
        <v>0.1</v>
      </c>
      <c r="EN161" s="173">
        <f>IF(EN5&lt;=Assumptions!$E$12, Assumptions!$D$13, IF(EN5&lt;=Assumptions!$F$12, Assumptions!$E$13, IF(EN5&lt;=Assumptions!$G$12, Assumptions!$F$13, IF(EN5&lt;=Assumptions!$H$12, Assumptions!$G$13, Assumptions!$H$13))))</f>
        <v>0.1</v>
      </c>
      <c r="EO161" s="173">
        <f>IF(EO5&lt;=Assumptions!$E$12, Assumptions!$D$13, IF(EO5&lt;=Assumptions!$F$12, Assumptions!$E$13, IF(EO5&lt;=Assumptions!$G$12, Assumptions!$F$13, IF(EO5&lt;=Assumptions!$H$12, Assumptions!$G$13, Assumptions!$H$13))))</f>
        <v>0.1</v>
      </c>
      <c r="EP161" s="173">
        <f>IF(EP5&lt;=Assumptions!$E$12, Assumptions!$D$13, IF(EP5&lt;=Assumptions!$F$12, Assumptions!$E$13, IF(EP5&lt;=Assumptions!$G$12, Assumptions!$F$13, IF(EP5&lt;=Assumptions!$H$12, Assumptions!$G$13, Assumptions!$H$13))))</f>
        <v>0.1</v>
      </c>
      <c r="EQ161" s="173">
        <f>IF(EQ5&lt;=Assumptions!$E$12, Assumptions!$D$13, IF(EQ5&lt;=Assumptions!$F$12, Assumptions!$E$13, IF(EQ5&lt;=Assumptions!$G$12, Assumptions!$F$13, IF(EQ5&lt;=Assumptions!$H$12, Assumptions!$G$13, Assumptions!$H$13))))</f>
        <v>0.1</v>
      </c>
      <c r="ER161" s="173">
        <f>IF(ER5&lt;=Assumptions!$E$12, Assumptions!$D$13, IF(ER5&lt;=Assumptions!$F$12, Assumptions!$E$13, IF(ER5&lt;=Assumptions!$G$12, Assumptions!$F$13, IF(ER5&lt;=Assumptions!$H$12, Assumptions!$G$13, Assumptions!$H$13))))</f>
        <v>0.1</v>
      </c>
      <c r="ES161" s="173">
        <f>IF(ES5&lt;=Assumptions!$E$12, Assumptions!$D$13, IF(ES5&lt;=Assumptions!$F$12, Assumptions!$E$13, IF(ES5&lt;=Assumptions!$G$12, Assumptions!$F$13, IF(ES5&lt;=Assumptions!$H$12, Assumptions!$G$13, Assumptions!$H$13))))</f>
        <v>0.1</v>
      </c>
      <c r="ET161" s="173">
        <f>IF(ET5&lt;=Assumptions!$E$12, Assumptions!$D$13, IF(ET5&lt;=Assumptions!$F$12, Assumptions!$E$13, IF(ET5&lt;=Assumptions!$G$12, Assumptions!$F$13, IF(ET5&lt;=Assumptions!$H$12, Assumptions!$G$13, Assumptions!$H$13))))</f>
        <v>0.1</v>
      </c>
      <c r="EU161" s="173">
        <f>IF(EU5&lt;=Assumptions!$E$12, Assumptions!$D$13, IF(EU5&lt;=Assumptions!$F$12, Assumptions!$E$13, IF(EU5&lt;=Assumptions!$G$12, Assumptions!$F$13, IF(EU5&lt;=Assumptions!$H$12, Assumptions!$G$13, Assumptions!$H$13))))</f>
        <v>0.1</v>
      </c>
      <c r="EV161" s="173">
        <f>IF(EV5&lt;=Assumptions!$E$12, Assumptions!$D$13, IF(EV5&lt;=Assumptions!$F$12, Assumptions!$E$13, IF(EV5&lt;=Assumptions!$G$12, Assumptions!$F$13, IF(EV5&lt;=Assumptions!$H$12, Assumptions!$G$13, Assumptions!$H$13))))</f>
        <v>0.1</v>
      </c>
      <c r="EW161" s="173">
        <f>IF(EW5&lt;=Assumptions!$E$12, Assumptions!$D$13, IF(EW5&lt;=Assumptions!$F$12, Assumptions!$E$13, IF(EW5&lt;=Assumptions!$G$12, Assumptions!$F$13, IF(EW5&lt;=Assumptions!$H$12, Assumptions!$G$13, Assumptions!$H$13))))</f>
        <v>0.1</v>
      </c>
      <c r="EX161" s="173">
        <f>IF(EX5&lt;=Assumptions!$E$12, Assumptions!$D$13, IF(EX5&lt;=Assumptions!$F$12, Assumptions!$E$13, IF(EX5&lt;=Assumptions!$G$12, Assumptions!$F$13, IF(EX5&lt;=Assumptions!$H$12, Assumptions!$G$13, Assumptions!$H$13))))</f>
        <v>0.1</v>
      </c>
      <c r="EY161" s="173">
        <f>IF(EY5&lt;=Assumptions!$E$12, Assumptions!$D$13, IF(EY5&lt;=Assumptions!$F$12, Assumptions!$E$13, IF(EY5&lt;=Assumptions!$G$12, Assumptions!$F$13, IF(EY5&lt;=Assumptions!$H$12, Assumptions!$G$13, Assumptions!$H$13))))</f>
        <v>0.1</v>
      </c>
      <c r="EZ161" s="173">
        <f>IF(EZ5&lt;=Assumptions!$E$12, Assumptions!$D$13, IF(EZ5&lt;=Assumptions!$F$12, Assumptions!$E$13, IF(EZ5&lt;=Assumptions!$G$12, Assumptions!$F$13, IF(EZ5&lt;=Assumptions!$H$12, Assumptions!$G$13, Assumptions!$H$13))))</f>
        <v>0.1</v>
      </c>
      <c r="FA161" s="173">
        <f>IF(FA5&lt;=Assumptions!$E$12, Assumptions!$D$13, IF(FA5&lt;=Assumptions!$F$12, Assumptions!$E$13, IF(FA5&lt;=Assumptions!$G$12, Assumptions!$F$13, IF(FA5&lt;=Assumptions!$H$12, Assumptions!$G$13, Assumptions!$H$13))))</f>
        <v>0.1</v>
      </c>
      <c r="FB161" s="173">
        <f>IF(FB5&lt;=Assumptions!$E$12, Assumptions!$D$13, IF(FB5&lt;=Assumptions!$F$12, Assumptions!$E$13, IF(FB5&lt;=Assumptions!$G$12, Assumptions!$F$13, IF(FB5&lt;=Assumptions!$H$12, Assumptions!$G$13, Assumptions!$H$13))))</f>
        <v>0.1</v>
      </c>
      <c r="FC161" s="173">
        <f>IF(FC5&lt;=Assumptions!$E$12, Assumptions!$D$13, IF(FC5&lt;=Assumptions!$F$12, Assumptions!$E$13, IF(FC5&lt;=Assumptions!$G$12, Assumptions!$F$13, IF(FC5&lt;=Assumptions!$H$12, Assumptions!$G$13, Assumptions!$H$13))))</f>
        <v>0.1</v>
      </c>
      <c r="FD161" s="173">
        <f>IF(FD5&lt;=Assumptions!$E$12, Assumptions!$D$13, IF(FD5&lt;=Assumptions!$F$12, Assumptions!$E$13, IF(FD5&lt;=Assumptions!$G$12, Assumptions!$F$13, IF(FD5&lt;=Assumptions!$H$12, Assumptions!$G$13, Assumptions!$H$13))))</f>
        <v>0.1</v>
      </c>
      <c r="FE161" s="173">
        <f>IF(FE5&lt;=Assumptions!$E$12, Assumptions!$D$13, IF(FE5&lt;=Assumptions!$F$12, Assumptions!$E$13, IF(FE5&lt;=Assumptions!$G$12, Assumptions!$F$13, IF(FE5&lt;=Assumptions!$H$12, Assumptions!$G$13, Assumptions!$H$13))))</f>
        <v>0.1</v>
      </c>
      <c r="FF161" s="173">
        <f>IF(FF5&lt;=Assumptions!$E$12, Assumptions!$D$13, IF(FF5&lt;=Assumptions!$F$12, Assumptions!$E$13, IF(FF5&lt;=Assumptions!$G$12, Assumptions!$F$13, IF(FF5&lt;=Assumptions!$H$12, Assumptions!$G$13, Assumptions!$H$13))))</f>
        <v>0.1</v>
      </c>
      <c r="FG161" s="173">
        <f>IF(FG5&lt;=Assumptions!$E$12, Assumptions!$D$13, IF(FG5&lt;=Assumptions!$F$12, Assumptions!$E$13, IF(FG5&lt;=Assumptions!$G$12, Assumptions!$F$13, IF(FG5&lt;=Assumptions!$H$12, Assumptions!$G$13, Assumptions!$H$13))))</f>
        <v>0.1</v>
      </c>
      <c r="FH161" s="173">
        <f>IF(FH5&lt;=Assumptions!$E$12, Assumptions!$D$13, IF(FH5&lt;=Assumptions!$F$12, Assumptions!$E$13, IF(FH5&lt;=Assumptions!$G$12, Assumptions!$F$13, IF(FH5&lt;=Assumptions!$H$12, Assumptions!$G$13, Assumptions!$H$13))))</f>
        <v>0.1</v>
      </c>
      <c r="FI161" s="173">
        <f>IF(FI5&lt;=Assumptions!$E$12, Assumptions!$D$13, IF(FI5&lt;=Assumptions!$F$12, Assumptions!$E$13, IF(FI5&lt;=Assumptions!$G$12, Assumptions!$F$13, IF(FI5&lt;=Assumptions!$H$12, Assumptions!$G$13, Assumptions!$H$13))))</f>
        <v>0.1</v>
      </c>
      <c r="FJ161" s="173">
        <f>IF(FJ5&lt;=Assumptions!$E$12, Assumptions!$D$13, IF(FJ5&lt;=Assumptions!$F$12, Assumptions!$E$13, IF(FJ5&lt;=Assumptions!$G$12, Assumptions!$F$13, IF(FJ5&lt;=Assumptions!$H$12, Assumptions!$G$13, Assumptions!$H$13))))</f>
        <v>0.1</v>
      </c>
      <c r="FK161" s="173">
        <f>IF(FK5&lt;=Assumptions!$E$12, Assumptions!$D$13, IF(FK5&lt;=Assumptions!$F$12, Assumptions!$E$13, IF(FK5&lt;=Assumptions!$G$12, Assumptions!$F$13, IF(FK5&lt;=Assumptions!$H$12, Assumptions!$G$13, Assumptions!$H$13))))</f>
        <v>0.1</v>
      </c>
      <c r="FL161" s="173">
        <f>IF(FL5&lt;=Assumptions!$E$12, Assumptions!$D$13, IF(FL5&lt;=Assumptions!$F$12, Assumptions!$E$13, IF(FL5&lt;=Assumptions!$G$12, Assumptions!$F$13, IF(FL5&lt;=Assumptions!$H$12, Assumptions!$G$13, Assumptions!$H$13))))</f>
        <v>0.1</v>
      </c>
      <c r="FM161" s="173">
        <f>IF(FM5&lt;=Assumptions!$E$12, Assumptions!$D$13, IF(FM5&lt;=Assumptions!$F$12, Assumptions!$E$13, IF(FM5&lt;=Assumptions!$G$12, Assumptions!$F$13, IF(FM5&lt;=Assumptions!$H$12, Assumptions!$G$13, Assumptions!$H$13))))</f>
        <v>0.1</v>
      </c>
      <c r="FN161" s="173">
        <f>IF(FN5&lt;=Assumptions!$E$12, Assumptions!$D$13, IF(FN5&lt;=Assumptions!$F$12, Assumptions!$E$13, IF(FN5&lt;=Assumptions!$G$12, Assumptions!$F$13, IF(FN5&lt;=Assumptions!$H$12, Assumptions!$G$13, Assumptions!$H$13))))</f>
        <v>0.1</v>
      </c>
      <c r="FO161" s="173">
        <f>IF(FO5&lt;=Assumptions!$E$12, Assumptions!$D$13, IF(FO5&lt;=Assumptions!$F$12, Assumptions!$E$13, IF(FO5&lt;=Assumptions!$G$12, Assumptions!$F$13, IF(FO5&lt;=Assumptions!$H$12, Assumptions!$G$13, Assumptions!$H$13))))</f>
        <v>0.1</v>
      </c>
      <c r="FP161" s="173">
        <f>IF(FP5&lt;=Assumptions!$E$12, Assumptions!$D$13, IF(FP5&lt;=Assumptions!$F$12, Assumptions!$E$13, IF(FP5&lt;=Assumptions!$G$12, Assumptions!$F$13, IF(FP5&lt;=Assumptions!$H$12, Assumptions!$G$13, Assumptions!$H$13))))</f>
        <v>0.1</v>
      </c>
      <c r="FQ161" s="173">
        <f>IF(FQ5&lt;=Assumptions!$E$12, Assumptions!$D$13, IF(FQ5&lt;=Assumptions!$F$12, Assumptions!$E$13, IF(FQ5&lt;=Assumptions!$G$12, Assumptions!$F$13, IF(FQ5&lt;=Assumptions!$H$12, Assumptions!$G$13, Assumptions!$H$13))))</f>
        <v>0.1</v>
      </c>
      <c r="FR161" s="173">
        <f>IF(FR5&lt;=Assumptions!$E$12, Assumptions!$D$13, IF(FR5&lt;=Assumptions!$F$12, Assumptions!$E$13, IF(FR5&lt;=Assumptions!$G$12, Assumptions!$F$13, IF(FR5&lt;=Assumptions!$H$12, Assumptions!$G$13, Assumptions!$H$13))))</f>
        <v>0.1</v>
      </c>
      <c r="FS161" s="173">
        <f>IF(FS5&lt;=Assumptions!$E$12, Assumptions!$D$13, IF(FS5&lt;=Assumptions!$F$12, Assumptions!$E$13, IF(FS5&lt;=Assumptions!$G$12, Assumptions!$F$13, IF(FS5&lt;=Assumptions!$H$12, Assumptions!$G$13, Assumptions!$H$13))))</f>
        <v>0.1</v>
      </c>
      <c r="FT161" s="173">
        <f>IF(FT5&lt;=Assumptions!$E$12, Assumptions!$D$13, IF(FT5&lt;=Assumptions!$F$12, Assumptions!$E$13, IF(FT5&lt;=Assumptions!$G$12, Assumptions!$F$13, IF(FT5&lt;=Assumptions!$H$12, Assumptions!$G$13, Assumptions!$H$13))))</f>
        <v>0.1</v>
      </c>
      <c r="FU161" s="173">
        <f>IF(FU5&lt;=Assumptions!$E$12, Assumptions!$D$13, IF(FU5&lt;=Assumptions!$F$12, Assumptions!$E$13, IF(FU5&lt;=Assumptions!$G$12, Assumptions!$F$13, IF(FU5&lt;=Assumptions!$H$12, Assumptions!$G$13, Assumptions!$H$13))))</f>
        <v>0.1</v>
      </c>
      <c r="FV161" s="173">
        <f>IF(FV5&lt;=Assumptions!$E$12, Assumptions!$D$13, IF(FV5&lt;=Assumptions!$F$12, Assumptions!$E$13, IF(FV5&lt;=Assumptions!$G$12, Assumptions!$F$13, IF(FV5&lt;=Assumptions!$H$12, Assumptions!$G$13, Assumptions!$H$13))))</f>
        <v>0.1</v>
      </c>
      <c r="FW161" s="173">
        <f>IF(FW5&lt;=Assumptions!$E$12, Assumptions!$D$13, IF(FW5&lt;=Assumptions!$F$12, Assumptions!$E$13, IF(FW5&lt;=Assumptions!$G$12, Assumptions!$F$13, IF(FW5&lt;=Assumptions!$H$12, Assumptions!$G$13, Assumptions!$H$13))))</f>
        <v>0.1</v>
      </c>
      <c r="FX161" s="173">
        <f>IF(FX5&lt;=Assumptions!$E$12, Assumptions!$D$13, IF(FX5&lt;=Assumptions!$F$12, Assumptions!$E$13, IF(FX5&lt;=Assumptions!$G$12, Assumptions!$F$13, IF(FX5&lt;=Assumptions!$H$12, Assumptions!$G$13, Assumptions!$H$13))))</f>
        <v>0.1</v>
      </c>
      <c r="FY161" s="173">
        <f>IF(FY5&lt;=Assumptions!$E$12, Assumptions!$D$13, IF(FY5&lt;=Assumptions!$F$12, Assumptions!$E$13, IF(FY5&lt;=Assumptions!$G$12, Assumptions!$F$13, IF(FY5&lt;=Assumptions!$H$12, Assumptions!$G$13, Assumptions!$H$13))))</f>
        <v>0.1</v>
      </c>
      <c r="FZ161" s="173">
        <f>IF(FZ5&lt;=Assumptions!$E$12, Assumptions!$D$13, IF(FZ5&lt;=Assumptions!$F$12, Assumptions!$E$13, IF(FZ5&lt;=Assumptions!$G$12, Assumptions!$F$13, IF(FZ5&lt;=Assumptions!$H$12, Assumptions!$G$13, Assumptions!$H$13))))</f>
        <v>0.1</v>
      </c>
      <c r="GA161" s="173">
        <f>IF(GA5&lt;=Assumptions!$E$12, Assumptions!$D$13, IF(GA5&lt;=Assumptions!$F$12, Assumptions!$E$13, IF(GA5&lt;=Assumptions!$G$12, Assumptions!$F$13, IF(GA5&lt;=Assumptions!$H$12, Assumptions!$G$13, Assumptions!$H$13))))</f>
        <v>0.1</v>
      </c>
      <c r="GB161" s="173">
        <f>IF(GB5&lt;=Assumptions!$E$12, Assumptions!$D$13, IF(GB5&lt;=Assumptions!$F$12, Assumptions!$E$13, IF(GB5&lt;=Assumptions!$G$12, Assumptions!$F$13, IF(GB5&lt;=Assumptions!$H$12, Assumptions!$G$13, Assumptions!$H$13))))</f>
        <v>0.1</v>
      </c>
      <c r="GC161" s="173">
        <f>IF(GC5&lt;=Assumptions!$E$12, Assumptions!$D$13, IF(GC5&lt;=Assumptions!$F$12, Assumptions!$E$13, IF(GC5&lt;=Assumptions!$G$12, Assumptions!$F$13, IF(GC5&lt;=Assumptions!$H$12, Assumptions!$G$13, Assumptions!$H$13))))</f>
        <v>0.1</v>
      </c>
    </row>
    <row r="162" spans="1:185">
      <c r="A162" s="80"/>
      <c r="B162" s="80" t="s">
        <v>179</v>
      </c>
      <c r="C162" s="80" t="s">
        <v>32</v>
      </c>
      <c r="D162" s="80"/>
      <c r="E162" s="82">
        <f>SUM(F162:GC162)</f>
        <v>42440832</v>
      </c>
      <c r="F162" s="99">
        <f t="shared" ref="F162:K162" si="559">F130*2000*F161</f>
        <v>0</v>
      </c>
      <c r="G162" s="99">
        <f t="shared" si="559"/>
        <v>0</v>
      </c>
      <c r="H162" s="99">
        <f t="shared" si="559"/>
        <v>0</v>
      </c>
      <c r="I162" s="99">
        <f t="shared" si="559"/>
        <v>0</v>
      </c>
      <c r="J162" s="99">
        <f t="shared" si="559"/>
        <v>0</v>
      </c>
      <c r="K162" s="99">
        <f t="shared" si="559"/>
        <v>0</v>
      </c>
      <c r="L162" s="99">
        <v>0</v>
      </c>
      <c r="M162" s="99">
        <f t="shared" ref="M162:AM162" si="560">M130*2000*M161</f>
        <v>249983.99999999997</v>
      </c>
      <c r="N162" s="99">
        <f t="shared" si="560"/>
        <v>241920</v>
      </c>
      <c r="O162" s="99">
        <f t="shared" si="560"/>
        <v>249983.99999999997</v>
      </c>
      <c r="P162" s="99">
        <f t="shared" si="560"/>
        <v>241920</v>
      </c>
      <c r="Q162" s="99">
        <f t="shared" si="560"/>
        <v>249983.99999999997</v>
      </c>
      <c r="R162" s="99">
        <f t="shared" si="560"/>
        <v>249983.99999999997</v>
      </c>
      <c r="S162" s="99">
        <f t="shared" si="560"/>
        <v>225792</v>
      </c>
      <c r="T162" s="99">
        <f t="shared" si="560"/>
        <v>249983.99999999997</v>
      </c>
      <c r="U162" s="99">
        <f t="shared" si="560"/>
        <v>241920</v>
      </c>
      <c r="V162" s="99">
        <f t="shared" si="560"/>
        <v>249983.99999999997</v>
      </c>
      <c r="W162" s="99">
        <f t="shared" si="560"/>
        <v>241920</v>
      </c>
      <c r="X162" s="99">
        <f t="shared" si="560"/>
        <v>249983.99999999997</v>
      </c>
      <c r="Y162" s="99">
        <f t="shared" si="560"/>
        <v>249983.99999999997</v>
      </c>
      <c r="Z162" s="99">
        <f t="shared" si="560"/>
        <v>241920</v>
      </c>
      <c r="AA162" s="99">
        <f t="shared" si="560"/>
        <v>249983.99999999997</v>
      </c>
      <c r="AB162" s="99">
        <f t="shared" si="560"/>
        <v>241920</v>
      </c>
      <c r="AC162" s="99">
        <f t="shared" si="560"/>
        <v>249983.99999999997</v>
      </c>
      <c r="AD162" s="99">
        <f t="shared" si="560"/>
        <v>249983.99999999997</v>
      </c>
      <c r="AE162" s="99">
        <f t="shared" si="560"/>
        <v>225792</v>
      </c>
      <c r="AF162" s="99">
        <f t="shared" si="560"/>
        <v>249983.99999999997</v>
      </c>
      <c r="AG162" s="99">
        <f t="shared" si="560"/>
        <v>241920</v>
      </c>
      <c r="AH162" s="99">
        <f t="shared" si="560"/>
        <v>249983.99999999997</v>
      </c>
      <c r="AI162" s="99">
        <f t="shared" si="560"/>
        <v>241920</v>
      </c>
      <c r="AJ162" s="99">
        <f t="shared" si="560"/>
        <v>249983.99999999997</v>
      </c>
      <c r="AK162" s="99">
        <f t="shared" si="560"/>
        <v>249983.99999999997</v>
      </c>
      <c r="AL162" s="99">
        <f t="shared" si="560"/>
        <v>241920</v>
      </c>
      <c r="AM162" s="99">
        <f t="shared" si="560"/>
        <v>249983.99999999997</v>
      </c>
      <c r="AN162" s="99">
        <f t="shared" ref="AN162:BR162" si="561">AN130*2000*AN161</f>
        <v>241920</v>
      </c>
      <c r="AO162" s="99">
        <f t="shared" si="561"/>
        <v>249983.99999999997</v>
      </c>
      <c r="AP162" s="99">
        <f t="shared" si="561"/>
        <v>249983.99999999997</v>
      </c>
      <c r="AQ162" s="99">
        <f t="shared" si="561"/>
        <v>225792</v>
      </c>
      <c r="AR162" s="99">
        <f t="shared" si="561"/>
        <v>249983.99999999997</v>
      </c>
      <c r="AS162" s="99">
        <f t="shared" si="561"/>
        <v>241920</v>
      </c>
      <c r="AT162" s="99">
        <f t="shared" si="561"/>
        <v>249983.99999999997</v>
      </c>
      <c r="AU162" s="99">
        <f t="shared" si="561"/>
        <v>241920</v>
      </c>
      <c r="AV162" s="99">
        <f t="shared" si="561"/>
        <v>249983.99999999997</v>
      </c>
      <c r="AW162" s="99">
        <f t="shared" si="561"/>
        <v>249983.99999999997</v>
      </c>
      <c r="AX162" s="99">
        <f t="shared" si="561"/>
        <v>241920</v>
      </c>
      <c r="AY162" s="99">
        <f t="shared" si="561"/>
        <v>249983.99999999997</v>
      </c>
      <c r="AZ162" s="99">
        <f t="shared" si="561"/>
        <v>241920</v>
      </c>
      <c r="BA162" s="99">
        <f t="shared" si="561"/>
        <v>249983.99999999997</v>
      </c>
      <c r="BB162" s="99">
        <f t="shared" si="561"/>
        <v>249983.99999999997</v>
      </c>
      <c r="BC162" s="99">
        <f t="shared" si="561"/>
        <v>225792</v>
      </c>
      <c r="BD162" s="99">
        <f t="shared" si="561"/>
        <v>249983.99999999997</v>
      </c>
      <c r="BE162" s="99">
        <f t="shared" si="561"/>
        <v>241920</v>
      </c>
      <c r="BF162" s="99">
        <f t="shared" si="561"/>
        <v>249983.99999999997</v>
      </c>
      <c r="BG162" s="99">
        <f t="shared" si="561"/>
        <v>241920</v>
      </c>
      <c r="BH162" s="99">
        <f t="shared" si="561"/>
        <v>249983.99999999997</v>
      </c>
      <c r="BI162" s="99">
        <f t="shared" si="561"/>
        <v>249983.99999999997</v>
      </c>
      <c r="BJ162" s="99">
        <f t="shared" si="561"/>
        <v>241920</v>
      </c>
      <c r="BK162" s="99">
        <f t="shared" si="561"/>
        <v>249983.99999999997</v>
      </c>
      <c r="BL162" s="99">
        <f t="shared" si="561"/>
        <v>241920</v>
      </c>
      <c r="BM162" s="99">
        <f t="shared" si="561"/>
        <v>249983.99999999997</v>
      </c>
      <c r="BN162" s="99">
        <f t="shared" si="561"/>
        <v>249983.99999999997</v>
      </c>
      <c r="BO162" s="99">
        <f t="shared" si="561"/>
        <v>225792</v>
      </c>
      <c r="BP162" s="99">
        <f t="shared" si="561"/>
        <v>249983.99999999997</v>
      </c>
      <c r="BQ162" s="99">
        <f t="shared" si="561"/>
        <v>241920</v>
      </c>
      <c r="BR162" s="99">
        <f t="shared" si="561"/>
        <v>249983.99999999997</v>
      </c>
      <c r="BS162" s="99">
        <f t="shared" ref="BS162:CX162" si="562">BS130*2000*BS161</f>
        <v>241920</v>
      </c>
      <c r="BT162" s="99">
        <f t="shared" si="562"/>
        <v>249983.99999999997</v>
      </c>
      <c r="BU162" s="99">
        <f t="shared" si="562"/>
        <v>249983.99999999997</v>
      </c>
      <c r="BV162" s="99">
        <f t="shared" si="562"/>
        <v>241920</v>
      </c>
      <c r="BW162" s="99">
        <f t="shared" si="562"/>
        <v>249983.99999999997</v>
      </c>
      <c r="BX162" s="99">
        <f t="shared" si="562"/>
        <v>241920</v>
      </c>
      <c r="BY162" s="99">
        <f t="shared" si="562"/>
        <v>249983.99999999997</v>
      </c>
      <c r="BZ162" s="99">
        <f t="shared" si="562"/>
        <v>249983.99999999997</v>
      </c>
      <c r="CA162" s="99">
        <f t="shared" si="562"/>
        <v>225792</v>
      </c>
      <c r="CB162" s="99">
        <f t="shared" si="562"/>
        <v>249983.99999999997</v>
      </c>
      <c r="CC162" s="99">
        <f t="shared" si="562"/>
        <v>241920</v>
      </c>
      <c r="CD162" s="99">
        <f t="shared" si="562"/>
        <v>249983.99999999997</v>
      </c>
      <c r="CE162" s="99">
        <f t="shared" si="562"/>
        <v>241920</v>
      </c>
      <c r="CF162" s="99">
        <f t="shared" si="562"/>
        <v>249983.99999999997</v>
      </c>
      <c r="CG162" s="99">
        <f t="shared" si="562"/>
        <v>249983.99999999997</v>
      </c>
      <c r="CH162" s="99">
        <f t="shared" si="562"/>
        <v>241920</v>
      </c>
      <c r="CI162" s="99">
        <f t="shared" si="562"/>
        <v>249983.99999999997</v>
      </c>
      <c r="CJ162" s="99">
        <f t="shared" si="562"/>
        <v>241920</v>
      </c>
      <c r="CK162" s="99">
        <f t="shared" si="562"/>
        <v>249983.99999999997</v>
      </c>
      <c r="CL162" s="99">
        <f t="shared" si="562"/>
        <v>249983.99999999997</v>
      </c>
      <c r="CM162" s="99">
        <f t="shared" si="562"/>
        <v>225792</v>
      </c>
      <c r="CN162" s="99">
        <f t="shared" si="562"/>
        <v>249983.99999999997</v>
      </c>
      <c r="CO162" s="99">
        <f t="shared" si="562"/>
        <v>241920</v>
      </c>
      <c r="CP162" s="99">
        <f t="shared" si="562"/>
        <v>249983.99999999997</v>
      </c>
      <c r="CQ162" s="99">
        <f t="shared" si="562"/>
        <v>241920</v>
      </c>
      <c r="CR162" s="99">
        <f t="shared" si="562"/>
        <v>249983.99999999997</v>
      </c>
      <c r="CS162" s="99">
        <f t="shared" si="562"/>
        <v>249983.99999999997</v>
      </c>
      <c r="CT162" s="99">
        <f t="shared" si="562"/>
        <v>241920</v>
      </c>
      <c r="CU162" s="99">
        <f t="shared" si="562"/>
        <v>249983.99999999997</v>
      </c>
      <c r="CV162" s="99">
        <f t="shared" si="562"/>
        <v>241920</v>
      </c>
      <c r="CW162" s="99">
        <f t="shared" si="562"/>
        <v>249983.99999999997</v>
      </c>
      <c r="CX162" s="99">
        <f t="shared" si="562"/>
        <v>249983.99999999997</v>
      </c>
      <c r="CY162" s="99">
        <f t="shared" ref="CY162:ED162" si="563">CY130*2000*CY161</f>
        <v>225792</v>
      </c>
      <c r="CZ162" s="99">
        <f t="shared" si="563"/>
        <v>249983.99999999997</v>
      </c>
      <c r="DA162" s="99">
        <f t="shared" si="563"/>
        <v>241920</v>
      </c>
      <c r="DB162" s="99">
        <f t="shared" si="563"/>
        <v>249983.99999999997</v>
      </c>
      <c r="DC162" s="99">
        <f t="shared" si="563"/>
        <v>241920</v>
      </c>
      <c r="DD162" s="99">
        <f t="shared" si="563"/>
        <v>249983.99999999997</v>
      </c>
      <c r="DE162" s="99">
        <f t="shared" si="563"/>
        <v>249983.99999999997</v>
      </c>
      <c r="DF162" s="99">
        <f t="shared" si="563"/>
        <v>241920</v>
      </c>
      <c r="DG162" s="99">
        <f t="shared" si="563"/>
        <v>249983.99999999997</v>
      </c>
      <c r="DH162" s="99">
        <f t="shared" si="563"/>
        <v>241920</v>
      </c>
      <c r="DI162" s="99">
        <f t="shared" si="563"/>
        <v>249983.99999999997</v>
      </c>
      <c r="DJ162" s="99">
        <f t="shared" si="563"/>
        <v>249983.99999999997</v>
      </c>
      <c r="DK162" s="99">
        <f t="shared" si="563"/>
        <v>225792</v>
      </c>
      <c r="DL162" s="99">
        <f t="shared" si="563"/>
        <v>249983.99999999997</v>
      </c>
      <c r="DM162" s="99">
        <f t="shared" si="563"/>
        <v>241920</v>
      </c>
      <c r="DN162" s="99">
        <f t="shared" si="563"/>
        <v>249983.99999999997</v>
      </c>
      <c r="DO162" s="99">
        <f t="shared" si="563"/>
        <v>241920</v>
      </c>
      <c r="DP162" s="99">
        <f t="shared" si="563"/>
        <v>249983.99999999997</v>
      </c>
      <c r="DQ162" s="99">
        <f t="shared" si="563"/>
        <v>249983.99999999997</v>
      </c>
      <c r="DR162" s="99">
        <f t="shared" si="563"/>
        <v>241920</v>
      </c>
      <c r="DS162" s="99">
        <f t="shared" si="563"/>
        <v>249983.99999999997</v>
      </c>
      <c r="DT162" s="99">
        <f t="shared" si="563"/>
        <v>241920</v>
      </c>
      <c r="DU162" s="99">
        <f t="shared" si="563"/>
        <v>249983.99999999997</v>
      </c>
      <c r="DV162" s="99">
        <f t="shared" si="563"/>
        <v>249983.99999999997</v>
      </c>
      <c r="DW162" s="99">
        <f t="shared" si="563"/>
        <v>225792</v>
      </c>
      <c r="DX162" s="99">
        <f t="shared" si="563"/>
        <v>249983.99999999997</v>
      </c>
      <c r="DY162" s="99">
        <f t="shared" si="563"/>
        <v>241920</v>
      </c>
      <c r="DZ162" s="99">
        <f t="shared" si="563"/>
        <v>249983.99999999997</v>
      </c>
      <c r="EA162" s="99">
        <f t="shared" si="563"/>
        <v>241920</v>
      </c>
      <c r="EB162" s="99">
        <f t="shared" si="563"/>
        <v>249983.99999999997</v>
      </c>
      <c r="EC162" s="99">
        <f t="shared" si="563"/>
        <v>249983.99999999997</v>
      </c>
      <c r="ED162" s="99">
        <f t="shared" si="563"/>
        <v>241920</v>
      </c>
      <c r="EE162" s="99">
        <f t="shared" ref="EE162:FJ162" si="564">EE130*2000*EE161</f>
        <v>249983.99999999997</v>
      </c>
      <c r="EF162" s="99">
        <f t="shared" si="564"/>
        <v>241920</v>
      </c>
      <c r="EG162" s="99">
        <f t="shared" si="564"/>
        <v>249983.99999999997</v>
      </c>
      <c r="EH162" s="99">
        <f t="shared" si="564"/>
        <v>249983.99999999997</v>
      </c>
      <c r="EI162" s="99">
        <f t="shared" si="564"/>
        <v>225792</v>
      </c>
      <c r="EJ162" s="99">
        <f t="shared" si="564"/>
        <v>249983.99999999997</v>
      </c>
      <c r="EK162" s="99">
        <f t="shared" si="564"/>
        <v>241920</v>
      </c>
      <c r="EL162" s="99">
        <f t="shared" si="564"/>
        <v>249983.99999999997</v>
      </c>
      <c r="EM162" s="99">
        <f t="shared" si="564"/>
        <v>241920</v>
      </c>
      <c r="EN162" s="99">
        <f t="shared" si="564"/>
        <v>249983.99999999997</v>
      </c>
      <c r="EO162" s="99">
        <f t="shared" si="564"/>
        <v>249983.99999999997</v>
      </c>
      <c r="EP162" s="99">
        <f t="shared" si="564"/>
        <v>241920</v>
      </c>
      <c r="EQ162" s="99">
        <f t="shared" si="564"/>
        <v>249983.99999999997</v>
      </c>
      <c r="ER162" s="99">
        <f t="shared" si="564"/>
        <v>241920</v>
      </c>
      <c r="ES162" s="99">
        <f t="shared" si="564"/>
        <v>249983.99999999997</v>
      </c>
      <c r="ET162" s="99">
        <f t="shared" si="564"/>
        <v>249983.99999999997</v>
      </c>
      <c r="EU162" s="99">
        <f t="shared" si="564"/>
        <v>225792</v>
      </c>
      <c r="EV162" s="99">
        <f t="shared" si="564"/>
        <v>249983.99999999997</v>
      </c>
      <c r="EW162" s="99">
        <f t="shared" si="564"/>
        <v>241920</v>
      </c>
      <c r="EX162" s="99">
        <f t="shared" si="564"/>
        <v>249983.99999999997</v>
      </c>
      <c r="EY162" s="99">
        <f t="shared" si="564"/>
        <v>241920</v>
      </c>
      <c r="EZ162" s="99">
        <f t="shared" si="564"/>
        <v>249983.99999999997</v>
      </c>
      <c r="FA162" s="99">
        <f t="shared" si="564"/>
        <v>249983.99999999997</v>
      </c>
      <c r="FB162" s="99">
        <f t="shared" si="564"/>
        <v>241920</v>
      </c>
      <c r="FC162" s="99">
        <f t="shared" si="564"/>
        <v>249983.99999999997</v>
      </c>
      <c r="FD162" s="99">
        <f t="shared" si="564"/>
        <v>241920</v>
      </c>
      <c r="FE162" s="99">
        <f t="shared" si="564"/>
        <v>249983.99999999997</v>
      </c>
      <c r="FF162" s="99">
        <f t="shared" si="564"/>
        <v>249983.99999999997</v>
      </c>
      <c r="FG162" s="99">
        <f t="shared" si="564"/>
        <v>225792</v>
      </c>
      <c r="FH162" s="99">
        <f t="shared" si="564"/>
        <v>249983.99999999997</v>
      </c>
      <c r="FI162" s="99">
        <f t="shared" si="564"/>
        <v>241920</v>
      </c>
      <c r="FJ162" s="99">
        <f t="shared" si="564"/>
        <v>249983.99999999997</v>
      </c>
      <c r="FK162" s="99">
        <f t="shared" ref="FK162:GC162" si="565">FK130*2000*FK161</f>
        <v>241920</v>
      </c>
      <c r="FL162" s="99">
        <f t="shared" si="565"/>
        <v>249983.99999999997</v>
      </c>
      <c r="FM162" s="99">
        <f t="shared" si="565"/>
        <v>249983.99999999997</v>
      </c>
      <c r="FN162" s="99">
        <f t="shared" si="565"/>
        <v>241920</v>
      </c>
      <c r="FO162" s="99">
        <f t="shared" si="565"/>
        <v>249983.99999999997</v>
      </c>
      <c r="FP162" s="99">
        <f t="shared" si="565"/>
        <v>241920</v>
      </c>
      <c r="FQ162" s="99">
        <f t="shared" si="565"/>
        <v>249983.99999999997</v>
      </c>
      <c r="FR162" s="99">
        <f t="shared" si="565"/>
        <v>249983.99999999997</v>
      </c>
      <c r="FS162" s="99">
        <f t="shared" si="565"/>
        <v>225792</v>
      </c>
      <c r="FT162" s="99">
        <f t="shared" si="565"/>
        <v>249983.99999999997</v>
      </c>
      <c r="FU162" s="99">
        <f t="shared" si="565"/>
        <v>241920</v>
      </c>
      <c r="FV162" s="99">
        <f t="shared" si="565"/>
        <v>249983.99999999997</v>
      </c>
      <c r="FW162" s="99">
        <f t="shared" si="565"/>
        <v>241920</v>
      </c>
      <c r="FX162" s="99">
        <f t="shared" si="565"/>
        <v>249983.99999999997</v>
      </c>
      <c r="FY162" s="99">
        <f t="shared" si="565"/>
        <v>249983.99999999997</v>
      </c>
      <c r="FZ162" s="99">
        <f t="shared" si="565"/>
        <v>241920</v>
      </c>
      <c r="GA162" s="99">
        <f t="shared" si="565"/>
        <v>249983.99999999997</v>
      </c>
      <c r="GB162" s="99">
        <f t="shared" si="565"/>
        <v>241920</v>
      </c>
      <c r="GC162" s="99">
        <f t="shared" si="565"/>
        <v>249983.99999999997</v>
      </c>
    </row>
    <row r="163" spans="1:18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  <c r="AT163" s="118"/>
      <c r="AU163" s="118"/>
      <c r="AV163" s="118"/>
      <c r="AW163" s="118"/>
      <c r="AX163" s="118"/>
      <c r="AY163" s="118"/>
      <c r="AZ163" s="118"/>
      <c r="BA163" s="118"/>
      <c r="BB163" s="118"/>
      <c r="BC163" s="118"/>
      <c r="BD163" s="118"/>
      <c r="BE163" s="118"/>
      <c r="BF163" s="118"/>
      <c r="BG163" s="118"/>
      <c r="BH163" s="118"/>
      <c r="BI163" s="118"/>
      <c r="BJ163" s="118"/>
      <c r="BK163" s="118"/>
      <c r="BL163" s="118"/>
      <c r="BM163" s="118"/>
      <c r="BN163" s="118"/>
      <c r="BO163" s="118"/>
      <c r="BP163" s="118"/>
      <c r="BQ163" s="118"/>
      <c r="BR163" s="118"/>
      <c r="BS163" s="118"/>
      <c r="BT163" s="118"/>
      <c r="BU163" s="118"/>
      <c r="BV163" s="118"/>
      <c r="BW163" s="118"/>
      <c r="BX163" s="118"/>
      <c r="BY163" s="118"/>
      <c r="BZ163" s="118"/>
      <c r="CA163" s="118"/>
      <c r="CB163" s="118"/>
      <c r="CC163" s="118"/>
      <c r="CD163" s="118"/>
      <c r="CE163" s="118"/>
      <c r="CF163" s="118"/>
      <c r="CG163" s="118"/>
      <c r="CH163" s="118"/>
      <c r="CI163" s="118"/>
      <c r="CJ163" s="118"/>
      <c r="CK163" s="118"/>
      <c r="CL163" s="118"/>
      <c r="CM163" s="118"/>
      <c r="CN163" s="118"/>
      <c r="CO163" s="118"/>
      <c r="CP163" s="118"/>
      <c r="CQ163" s="118"/>
      <c r="CR163" s="118"/>
      <c r="CS163" s="118"/>
      <c r="CT163" s="118"/>
      <c r="CU163" s="118"/>
      <c r="CV163" s="118"/>
      <c r="CW163" s="118"/>
      <c r="CX163" s="118"/>
      <c r="CY163" s="118"/>
      <c r="CZ163" s="118"/>
      <c r="DA163" s="118"/>
      <c r="DB163" s="118"/>
      <c r="DC163" s="118"/>
      <c r="DD163" s="118"/>
      <c r="DE163" s="118"/>
      <c r="DF163" s="118"/>
      <c r="DG163" s="118"/>
      <c r="DH163" s="118"/>
      <c r="DI163" s="118"/>
      <c r="DJ163" s="118"/>
      <c r="DK163" s="118"/>
      <c r="DL163" s="118"/>
      <c r="DM163" s="118"/>
      <c r="DN163" s="118"/>
      <c r="DO163" s="118"/>
      <c r="DP163" s="118"/>
      <c r="DQ163" s="118"/>
      <c r="DR163" s="118"/>
      <c r="DS163" s="118"/>
      <c r="DT163" s="118"/>
      <c r="DU163" s="118"/>
      <c r="DV163" s="118"/>
      <c r="DW163" s="118"/>
      <c r="DX163" s="118"/>
      <c r="DY163" s="118"/>
      <c r="DZ163" s="118"/>
      <c r="EA163" s="118"/>
      <c r="EB163" s="118"/>
      <c r="EC163" s="118"/>
      <c r="ED163" s="118"/>
      <c r="EE163" s="118"/>
      <c r="EF163" s="118"/>
      <c r="EG163" s="118"/>
      <c r="EH163" s="118"/>
      <c r="EI163" s="118"/>
      <c r="EJ163" s="118"/>
      <c r="EK163" s="118"/>
      <c r="EL163" s="118"/>
      <c r="EM163" s="118"/>
      <c r="EN163" s="118"/>
      <c r="EO163" s="118"/>
      <c r="EP163" s="118"/>
      <c r="EQ163" s="118"/>
      <c r="ER163" s="118"/>
      <c r="ES163" s="118"/>
      <c r="ET163" s="118"/>
      <c r="EU163" s="118"/>
      <c r="EV163" s="118"/>
      <c r="EW163" s="118"/>
      <c r="EX163" s="118"/>
      <c r="EY163" s="118"/>
      <c r="EZ163" s="118"/>
      <c r="FA163" s="118"/>
      <c r="FB163" s="118"/>
      <c r="FC163" s="118"/>
      <c r="FD163" s="118"/>
      <c r="FE163" s="118"/>
      <c r="FF163" s="118"/>
      <c r="FG163" s="118"/>
      <c r="FH163" s="118"/>
      <c r="FI163" s="118"/>
      <c r="FJ163" s="118"/>
      <c r="FK163" s="118"/>
      <c r="FL163" s="118"/>
      <c r="FM163" s="118"/>
      <c r="FN163" s="118"/>
      <c r="FO163" s="118"/>
      <c r="FP163" s="118"/>
      <c r="FQ163" s="118"/>
      <c r="FR163" s="118"/>
      <c r="FS163" s="118"/>
      <c r="FT163" s="118"/>
      <c r="FU163" s="118"/>
      <c r="FV163" s="118"/>
      <c r="FW163" s="118"/>
      <c r="FX163" s="118"/>
      <c r="FY163" s="118"/>
      <c r="FZ163" s="118"/>
      <c r="GA163" s="118"/>
      <c r="GB163" s="118"/>
      <c r="GC163" s="118"/>
    </row>
    <row r="164" spans="1:185">
      <c r="A164" s="80"/>
      <c r="B164" s="80"/>
      <c r="C164" s="80"/>
      <c r="D164" s="80"/>
      <c r="E164" s="94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  <c r="CG164" s="80"/>
      <c r="CH164" s="80"/>
      <c r="CI164" s="80"/>
      <c r="CJ164" s="80"/>
      <c r="CK164" s="80"/>
      <c r="CL164" s="80"/>
      <c r="CM164" s="80"/>
      <c r="CN164" s="80"/>
      <c r="CO164" s="80"/>
      <c r="CP164" s="80"/>
      <c r="CQ164" s="80"/>
      <c r="CR164" s="80"/>
      <c r="CS164" s="80"/>
      <c r="CT164" s="80"/>
      <c r="CU164" s="80"/>
      <c r="CV164" s="80"/>
      <c r="CW164" s="80"/>
      <c r="CX164" s="80"/>
      <c r="CY164" s="80"/>
      <c r="CZ164" s="80"/>
      <c r="DA164" s="80"/>
      <c r="DB164" s="80"/>
      <c r="DC164" s="80"/>
      <c r="DD164" s="80"/>
      <c r="DE164" s="80"/>
      <c r="DF164" s="80"/>
      <c r="DG164" s="80"/>
      <c r="DH164" s="80"/>
      <c r="DI164" s="80"/>
      <c r="DJ164" s="80"/>
      <c r="DK164" s="80"/>
      <c r="DL164" s="80"/>
      <c r="DM164" s="80"/>
      <c r="DN164" s="80"/>
      <c r="DO164" s="80"/>
      <c r="DP164" s="80"/>
      <c r="DQ164" s="80"/>
      <c r="DR164" s="80"/>
      <c r="DS164" s="80"/>
      <c r="DT164" s="80"/>
      <c r="DU164" s="80"/>
      <c r="DV164" s="80"/>
      <c r="DW164" s="80"/>
      <c r="DX164" s="80"/>
      <c r="DY164" s="80"/>
      <c r="DZ164" s="80"/>
      <c r="EA164" s="80"/>
      <c r="EB164" s="80"/>
      <c r="EC164" s="80"/>
      <c r="ED164" s="80"/>
      <c r="EE164" s="80"/>
      <c r="EF164" s="80"/>
      <c r="EG164" s="80"/>
      <c r="EH164" s="80"/>
      <c r="EI164" s="80"/>
      <c r="EJ164" s="80"/>
      <c r="EK164" s="80"/>
      <c r="EL164" s="80"/>
      <c r="EM164" s="80"/>
      <c r="EN164" s="80"/>
      <c r="EO164" s="80"/>
      <c r="EP164" s="80"/>
      <c r="EQ164" s="80"/>
      <c r="ER164" s="80"/>
      <c r="ES164" s="80"/>
      <c r="ET164" s="80"/>
      <c r="EU164" s="80"/>
      <c r="EV164" s="80"/>
      <c r="EW164" s="80"/>
      <c r="EX164" s="80"/>
      <c r="EY164" s="80"/>
      <c r="EZ164" s="80"/>
      <c r="FA164" s="80"/>
      <c r="FB164" s="80"/>
      <c r="FC164" s="80"/>
      <c r="FD164" s="80"/>
      <c r="FE164" s="80"/>
      <c r="FF164" s="80"/>
      <c r="FG164" s="80"/>
      <c r="FH164" s="80"/>
      <c r="FI164" s="80"/>
      <c r="FJ164" s="80"/>
      <c r="FK164" s="80"/>
      <c r="FL164" s="80"/>
      <c r="FM164" s="80"/>
      <c r="FN164" s="80"/>
      <c r="FO164" s="80"/>
      <c r="FP164" s="80"/>
      <c r="FQ164" s="80"/>
      <c r="FR164" s="80"/>
      <c r="FS164" s="80"/>
      <c r="FT164" s="80"/>
      <c r="FU164" s="80"/>
      <c r="FV164" s="80"/>
      <c r="FW164" s="80"/>
      <c r="FX164" s="80"/>
      <c r="FY164" s="80"/>
      <c r="FZ164" s="80"/>
      <c r="GA164" s="80"/>
      <c r="GB164" s="80"/>
      <c r="GC164" s="80"/>
    </row>
    <row r="165" spans="1:185">
      <c r="A165" s="80"/>
      <c r="B165" s="80" t="s">
        <v>180</v>
      </c>
      <c r="C165" s="80"/>
      <c r="D165" s="80"/>
      <c r="E165" s="94"/>
      <c r="F165" s="100">
        <f t="shared" ref="F165:AK165" si="566">F144/42</f>
        <v>0</v>
      </c>
      <c r="G165" s="100">
        <f t="shared" si="566"/>
        <v>0</v>
      </c>
      <c r="H165" s="100">
        <f t="shared" si="566"/>
        <v>0</v>
      </c>
      <c r="I165" s="100">
        <f t="shared" si="566"/>
        <v>0</v>
      </c>
      <c r="J165" s="100">
        <f t="shared" si="566"/>
        <v>0</v>
      </c>
      <c r="K165" s="100">
        <f t="shared" si="566"/>
        <v>0</v>
      </c>
      <c r="L165" s="100">
        <f t="shared" si="566"/>
        <v>0</v>
      </c>
      <c r="M165" s="100">
        <f t="shared" si="566"/>
        <v>3571.2</v>
      </c>
      <c r="N165" s="100">
        <f t="shared" si="566"/>
        <v>3455.9999999999991</v>
      </c>
      <c r="O165" s="100">
        <f t="shared" si="566"/>
        <v>3571.2</v>
      </c>
      <c r="P165" s="100">
        <f t="shared" si="566"/>
        <v>3455.9999999999991</v>
      </c>
      <c r="Q165" s="100">
        <f t="shared" si="566"/>
        <v>3571.2</v>
      </c>
      <c r="R165" s="100">
        <f t="shared" si="566"/>
        <v>3571.2</v>
      </c>
      <c r="S165" s="100">
        <f t="shared" si="566"/>
        <v>3225.6000000000004</v>
      </c>
      <c r="T165" s="100">
        <f t="shared" si="566"/>
        <v>3571.2</v>
      </c>
      <c r="U165" s="100">
        <f t="shared" si="566"/>
        <v>3455.9999999999991</v>
      </c>
      <c r="V165" s="100">
        <f t="shared" si="566"/>
        <v>3571.2</v>
      </c>
      <c r="W165" s="100">
        <f t="shared" si="566"/>
        <v>3455.9999999999991</v>
      </c>
      <c r="X165" s="100">
        <f t="shared" si="566"/>
        <v>3571.2</v>
      </c>
      <c r="Y165" s="100">
        <f t="shared" si="566"/>
        <v>3571.2</v>
      </c>
      <c r="Z165" s="100">
        <f t="shared" si="566"/>
        <v>3455.9999999999991</v>
      </c>
      <c r="AA165" s="100">
        <f t="shared" si="566"/>
        <v>3571.2</v>
      </c>
      <c r="AB165" s="100">
        <f t="shared" si="566"/>
        <v>3455.9999999999991</v>
      </c>
      <c r="AC165" s="100">
        <f t="shared" si="566"/>
        <v>3571.2</v>
      </c>
      <c r="AD165" s="100">
        <f t="shared" si="566"/>
        <v>3571.2</v>
      </c>
      <c r="AE165" s="100">
        <f t="shared" si="566"/>
        <v>3225.6000000000004</v>
      </c>
      <c r="AF165" s="100">
        <f t="shared" si="566"/>
        <v>3571.2</v>
      </c>
      <c r="AG165" s="100">
        <f t="shared" si="566"/>
        <v>3455.9999999999991</v>
      </c>
      <c r="AH165" s="100">
        <f t="shared" si="566"/>
        <v>3571.2</v>
      </c>
      <c r="AI165" s="100">
        <f t="shared" si="566"/>
        <v>3455.9999999999991</v>
      </c>
      <c r="AJ165" s="100">
        <f t="shared" si="566"/>
        <v>3571.2</v>
      </c>
      <c r="AK165" s="100">
        <f t="shared" si="566"/>
        <v>3571.2</v>
      </c>
      <c r="AL165" s="100">
        <f t="shared" ref="AL165:BQ165" si="567">AL144/42</f>
        <v>3455.9999999999991</v>
      </c>
      <c r="AM165" s="100">
        <f t="shared" si="567"/>
        <v>3571.2</v>
      </c>
      <c r="AN165" s="100">
        <f t="shared" si="567"/>
        <v>3455.9999999999991</v>
      </c>
      <c r="AO165" s="100">
        <f t="shared" si="567"/>
        <v>3571.2</v>
      </c>
      <c r="AP165" s="100">
        <f t="shared" si="567"/>
        <v>3571.2</v>
      </c>
      <c r="AQ165" s="100">
        <f t="shared" si="567"/>
        <v>3225.6000000000004</v>
      </c>
      <c r="AR165" s="100">
        <f t="shared" si="567"/>
        <v>3571.2</v>
      </c>
      <c r="AS165" s="100">
        <f t="shared" si="567"/>
        <v>3455.9999999999991</v>
      </c>
      <c r="AT165" s="100">
        <f t="shared" si="567"/>
        <v>3571.2</v>
      </c>
      <c r="AU165" s="100">
        <f t="shared" si="567"/>
        <v>3455.9999999999991</v>
      </c>
      <c r="AV165" s="100">
        <f t="shared" si="567"/>
        <v>3571.2</v>
      </c>
      <c r="AW165" s="100">
        <f t="shared" si="567"/>
        <v>3571.2</v>
      </c>
      <c r="AX165" s="100">
        <f t="shared" si="567"/>
        <v>3455.9999999999991</v>
      </c>
      <c r="AY165" s="100">
        <f t="shared" si="567"/>
        <v>3571.2</v>
      </c>
      <c r="AZ165" s="100">
        <f t="shared" si="567"/>
        <v>3455.9999999999991</v>
      </c>
      <c r="BA165" s="100">
        <f t="shared" si="567"/>
        <v>3571.2</v>
      </c>
      <c r="BB165" s="100">
        <f t="shared" si="567"/>
        <v>3571.2</v>
      </c>
      <c r="BC165" s="100">
        <f t="shared" si="567"/>
        <v>3225.6000000000004</v>
      </c>
      <c r="BD165" s="100">
        <f t="shared" si="567"/>
        <v>3571.2</v>
      </c>
      <c r="BE165" s="100">
        <f t="shared" si="567"/>
        <v>3455.9999999999991</v>
      </c>
      <c r="BF165" s="100">
        <f t="shared" si="567"/>
        <v>3571.2</v>
      </c>
      <c r="BG165" s="100">
        <f t="shared" si="567"/>
        <v>3455.9999999999991</v>
      </c>
      <c r="BH165" s="100">
        <f t="shared" si="567"/>
        <v>3571.2</v>
      </c>
      <c r="BI165" s="100">
        <f t="shared" si="567"/>
        <v>3571.2</v>
      </c>
      <c r="BJ165" s="100">
        <f t="shared" si="567"/>
        <v>3455.9999999999991</v>
      </c>
      <c r="BK165" s="100">
        <f t="shared" si="567"/>
        <v>3571.2</v>
      </c>
      <c r="BL165" s="100">
        <f t="shared" si="567"/>
        <v>3455.9999999999991</v>
      </c>
      <c r="BM165" s="100">
        <f t="shared" si="567"/>
        <v>3571.2</v>
      </c>
      <c r="BN165" s="100">
        <f t="shared" si="567"/>
        <v>3571.2</v>
      </c>
      <c r="BO165" s="100">
        <f t="shared" si="567"/>
        <v>3225.6000000000004</v>
      </c>
      <c r="BP165" s="100">
        <f t="shared" si="567"/>
        <v>3571.2</v>
      </c>
      <c r="BQ165" s="100">
        <f t="shared" si="567"/>
        <v>3455.9999999999991</v>
      </c>
      <c r="BR165" s="100">
        <f t="shared" ref="BR165:CW165" si="568">BR144/42</f>
        <v>3571.2</v>
      </c>
      <c r="BS165" s="100">
        <f t="shared" si="568"/>
        <v>3455.9999999999991</v>
      </c>
      <c r="BT165" s="100">
        <f t="shared" si="568"/>
        <v>3571.2</v>
      </c>
      <c r="BU165" s="100">
        <f t="shared" si="568"/>
        <v>3571.2</v>
      </c>
      <c r="BV165" s="100">
        <f t="shared" si="568"/>
        <v>3455.9999999999991</v>
      </c>
      <c r="BW165" s="100">
        <f t="shared" si="568"/>
        <v>3571.2</v>
      </c>
      <c r="BX165" s="100">
        <f t="shared" si="568"/>
        <v>3455.9999999999991</v>
      </c>
      <c r="BY165" s="100">
        <f t="shared" si="568"/>
        <v>3571.2</v>
      </c>
      <c r="BZ165" s="100">
        <f t="shared" si="568"/>
        <v>3571.2</v>
      </c>
      <c r="CA165" s="100">
        <f t="shared" si="568"/>
        <v>3225.6000000000004</v>
      </c>
      <c r="CB165" s="100">
        <f t="shared" si="568"/>
        <v>3571.2</v>
      </c>
      <c r="CC165" s="100">
        <f t="shared" si="568"/>
        <v>3455.9999999999991</v>
      </c>
      <c r="CD165" s="100">
        <f t="shared" si="568"/>
        <v>3571.2</v>
      </c>
      <c r="CE165" s="100">
        <f t="shared" si="568"/>
        <v>3455.9999999999991</v>
      </c>
      <c r="CF165" s="100">
        <f t="shared" si="568"/>
        <v>3571.2</v>
      </c>
      <c r="CG165" s="100">
        <f t="shared" si="568"/>
        <v>3571.2</v>
      </c>
      <c r="CH165" s="100">
        <f t="shared" si="568"/>
        <v>3455.9999999999991</v>
      </c>
      <c r="CI165" s="100">
        <f t="shared" si="568"/>
        <v>3571.2</v>
      </c>
      <c r="CJ165" s="100">
        <f t="shared" si="568"/>
        <v>3455.9999999999991</v>
      </c>
      <c r="CK165" s="100">
        <f t="shared" si="568"/>
        <v>3571.2</v>
      </c>
      <c r="CL165" s="100">
        <f t="shared" si="568"/>
        <v>3571.2</v>
      </c>
      <c r="CM165" s="100">
        <f t="shared" si="568"/>
        <v>3225.6000000000004</v>
      </c>
      <c r="CN165" s="100">
        <f t="shared" si="568"/>
        <v>3571.2</v>
      </c>
      <c r="CO165" s="100">
        <f t="shared" si="568"/>
        <v>3455.9999999999991</v>
      </c>
      <c r="CP165" s="100">
        <f t="shared" si="568"/>
        <v>3571.2</v>
      </c>
      <c r="CQ165" s="100">
        <f t="shared" si="568"/>
        <v>3455.9999999999991</v>
      </c>
      <c r="CR165" s="100">
        <f t="shared" si="568"/>
        <v>3571.2</v>
      </c>
      <c r="CS165" s="100">
        <f t="shared" si="568"/>
        <v>3571.2</v>
      </c>
      <c r="CT165" s="100">
        <f t="shared" si="568"/>
        <v>3455.9999999999991</v>
      </c>
      <c r="CU165" s="100">
        <f t="shared" si="568"/>
        <v>3571.2</v>
      </c>
      <c r="CV165" s="100">
        <f t="shared" si="568"/>
        <v>3455.9999999999991</v>
      </c>
      <c r="CW165" s="100">
        <f t="shared" si="568"/>
        <v>3571.2</v>
      </c>
      <c r="CX165" s="100">
        <f t="shared" ref="CX165:EC165" si="569">CX144/42</f>
        <v>3571.2</v>
      </c>
      <c r="CY165" s="100">
        <f t="shared" si="569"/>
        <v>3225.6000000000004</v>
      </c>
      <c r="CZ165" s="100">
        <f t="shared" si="569"/>
        <v>3571.2</v>
      </c>
      <c r="DA165" s="100">
        <f t="shared" si="569"/>
        <v>3455.9999999999991</v>
      </c>
      <c r="DB165" s="100">
        <f t="shared" si="569"/>
        <v>3571.2</v>
      </c>
      <c r="DC165" s="100">
        <f t="shared" si="569"/>
        <v>3455.9999999999991</v>
      </c>
      <c r="DD165" s="100">
        <f t="shared" si="569"/>
        <v>3571.2</v>
      </c>
      <c r="DE165" s="100">
        <f t="shared" si="569"/>
        <v>3571.2</v>
      </c>
      <c r="DF165" s="100">
        <f t="shared" si="569"/>
        <v>3455.9999999999991</v>
      </c>
      <c r="DG165" s="100">
        <f t="shared" si="569"/>
        <v>3571.2</v>
      </c>
      <c r="DH165" s="100">
        <f t="shared" si="569"/>
        <v>3455.9999999999991</v>
      </c>
      <c r="DI165" s="100">
        <f t="shared" si="569"/>
        <v>3571.2</v>
      </c>
      <c r="DJ165" s="100">
        <f t="shared" si="569"/>
        <v>3571.2</v>
      </c>
      <c r="DK165" s="100">
        <f t="shared" si="569"/>
        <v>3225.6000000000004</v>
      </c>
      <c r="DL165" s="100">
        <f t="shared" si="569"/>
        <v>3571.2</v>
      </c>
      <c r="DM165" s="100">
        <f t="shared" si="569"/>
        <v>3455.9999999999991</v>
      </c>
      <c r="DN165" s="100">
        <f t="shared" si="569"/>
        <v>3571.2</v>
      </c>
      <c r="DO165" s="100">
        <f t="shared" si="569"/>
        <v>3455.9999999999991</v>
      </c>
      <c r="DP165" s="100">
        <f t="shared" si="569"/>
        <v>3571.2</v>
      </c>
      <c r="DQ165" s="100">
        <f t="shared" si="569"/>
        <v>3571.2</v>
      </c>
      <c r="DR165" s="100">
        <f t="shared" si="569"/>
        <v>3455.9999999999991</v>
      </c>
      <c r="DS165" s="100">
        <f t="shared" si="569"/>
        <v>3571.2</v>
      </c>
      <c r="DT165" s="100">
        <f t="shared" si="569"/>
        <v>3455.9999999999991</v>
      </c>
      <c r="DU165" s="100">
        <f t="shared" si="569"/>
        <v>3571.2</v>
      </c>
      <c r="DV165" s="100">
        <f t="shared" si="569"/>
        <v>3571.2</v>
      </c>
      <c r="DW165" s="100">
        <f t="shared" si="569"/>
        <v>3225.6000000000004</v>
      </c>
      <c r="DX165" s="100">
        <f t="shared" si="569"/>
        <v>3571.2</v>
      </c>
      <c r="DY165" s="100">
        <f t="shared" si="569"/>
        <v>3455.9999999999991</v>
      </c>
      <c r="DZ165" s="100">
        <f t="shared" si="569"/>
        <v>3571.2</v>
      </c>
      <c r="EA165" s="100">
        <f t="shared" si="569"/>
        <v>3455.9999999999991</v>
      </c>
      <c r="EB165" s="100">
        <f t="shared" si="569"/>
        <v>3571.2</v>
      </c>
      <c r="EC165" s="100">
        <f t="shared" si="569"/>
        <v>3571.2</v>
      </c>
      <c r="ED165" s="100">
        <f t="shared" ref="ED165:FI165" si="570">ED144/42</f>
        <v>3455.9999999999991</v>
      </c>
      <c r="EE165" s="100">
        <f t="shared" si="570"/>
        <v>3571.2</v>
      </c>
      <c r="EF165" s="100">
        <f t="shared" si="570"/>
        <v>3455.9999999999991</v>
      </c>
      <c r="EG165" s="100">
        <f t="shared" si="570"/>
        <v>3571.2</v>
      </c>
      <c r="EH165" s="100">
        <f t="shared" si="570"/>
        <v>3571.2</v>
      </c>
      <c r="EI165" s="100">
        <f t="shared" si="570"/>
        <v>3225.6000000000004</v>
      </c>
      <c r="EJ165" s="100">
        <f t="shared" si="570"/>
        <v>3571.2</v>
      </c>
      <c r="EK165" s="100">
        <f t="shared" si="570"/>
        <v>3455.9999999999991</v>
      </c>
      <c r="EL165" s="100">
        <f t="shared" si="570"/>
        <v>3571.2</v>
      </c>
      <c r="EM165" s="100">
        <f t="shared" si="570"/>
        <v>3455.9999999999991</v>
      </c>
      <c r="EN165" s="100">
        <f t="shared" si="570"/>
        <v>3571.2</v>
      </c>
      <c r="EO165" s="100">
        <f t="shared" si="570"/>
        <v>3571.2</v>
      </c>
      <c r="EP165" s="100">
        <f t="shared" si="570"/>
        <v>3455.9999999999991</v>
      </c>
      <c r="EQ165" s="100">
        <f t="shared" si="570"/>
        <v>3571.2</v>
      </c>
      <c r="ER165" s="100">
        <f t="shared" si="570"/>
        <v>3455.9999999999991</v>
      </c>
      <c r="ES165" s="100">
        <f t="shared" si="570"/>
        <v>3571.2</v>
      </c>
      <c r="ET165" s="100">
        <f t="shared" si="570"/>
        <v>3571.2</v>
      </c>
      <c r="EU165" s="100">
        <f t="shared" si="570"/>
        <v>3225.6000000000004</v>
      </c>
      <c r="EV165" s="100">
        <f t="shared" si="570"/>
        <v>3571.2</v>
      </c>
      <c r="EW165" s="100">
        <f t="shared" si="570"/>
        <v>3455.9999999999991</v>
      </c>
      <c r="EX165" s="100">
        <f t="shared" si="570"/>
        <v>3571.2</v>
      </c>
      <c r="EY165" s="100">
        <f t="shared" si="570"/>
        <v>3455.9999999999991</v>
      </c>
      <c r="EZ165" s="100">
        <f t="shared" si="570"/>
        <v>3571.2</v>
      </c>
      <c r="FA165" s="100">
        <f t="shared" si="570"/>
        <v>3571.2</v>
      </c>
      <c r="FB165" s="100">
        <f t="shared" si="570"/>
        <v>3455.9999999999991</v>
      </c>
      <c r="FC165" s="100">
        <f t="shared" si="570"/>
        <v>3571.2</v>
      </c>
      <c r="FD165" s="100">
        <f t="shared" si="570"/>
        <v>3455.9999999999991</v>
      </c>
      <c r="FE165" s="100">
        <f t="shared" si="570"/>
        <v>3571.2</v>
      </c>
      <c r="FF165" s="100">
        <f t="shared" si="570"/>
        <v>3571.2</v>
      </c>
      <c r="FG165" s="100">
        <f t="shared" si="570"/>
        <v>3225.6000000000004</v>
      </c>
      <c r="FH165" s="100">
        <f t="shared" si="570"/>
        <v>3571.2</v>
      </c>
      <c r="FI165" s="100">
        <f t="shared" si="570"/>
        <v>3455.9999999999991</v>
      </c>
      <c r="FJ165" s="100">
        <f t="shared" ref="FJ165:GC165" si="571">FJ144/42</f>
        <v>3571.2</v>
      </c>
      <c r="FK165" s="100">
        <f t="shared" si="571"/>
        <v>3455.9999999999991</v>
      </c>
      <c r="FL165" s="100">
        <f t="shared" si="571"/>
        <v>3571.2</v>
      </c>
      <c r="FM165" s="100">
        <f t="shared" si="571"/>
        <v>3571.2</v>
      </c>
      <c r="FN165" s="100">
        <f t="shared" si="571"/>
        <v>3455.9999999999991</v>
      </c>
      <c r="FO165" s="100">
        <f t="shared" si="571"/>
        <v>3571.2</v>
      </c>
      <c r="FP165" s="100">
        <f t="shared" si="571"/>
        <v>3455.9999999999991</v>
      </c>
      <c r="FQ165" s="100">
        <f t="shared" si="571"/>
        <v>3571.2</v>
      </c>
      <c r="FR165" s="100">
        <f t="shared" si="571"/>
        <v>3571.2</v>
      </c>
      <c r="FS165" s="100">
        <f t="shared" si="571"/>
        <v>3225.6000000000004</v>
      </c>
      <c r="FT165" s="100">
        <f t="shared" si="571"/>
        <v>3571.2</v>
      </c>
      <c r="FU165" s="100">
        <f t="shared" si="571"/>
        <v>3455.9999999999991</v>
      </c>
      <c r="FV165" s="100">
        <f t="shared" si="571"/>
        <v>3571.2</v>
      </c>
      <c r="FW165" s="100">
        <f t="shared" si="571"/>
        <v>3455.9999999999991</v>
      </c>
      <c r="FX165" s="100">
        <f t="shared" si="571"/>
        <v>3571.2</v>
      </c>
      <c r="FY165" s="100">
        <f t="shared" si="571"/>
        <v>3571.2</v>
      </c>
      <c r="FZ165" s="100">
        <f t="shared" si="571"/>
        <v>3455.9999999999991</v>
      </c>
      <c r="GA165" s="100">
        <f t="shared" si="571"/>
        <v>3571.2</v>
      </c>
      <c r="GB165" s="100">
        <f t="shared" si="571"/>
        <v>3455.9999999999991</v>
      </c>
      <c r="GC165" s="100">
        <f t="shared" si="571"/>
        <v>3571.2</v>
      </c>
    </row>
    <row r="166" spans="1:185">
      <c r="A166" s="80"/>
      <c r="B166" s="80" t="s">
        <v>181</v>
      </c>
      <c r="C166" s="80"/>
      <c r="D166" s="80"/>
      <c r="E166" s="94"/>
      <c r="F166" s="119">
        <f>IF(F130=0, 0, F165/F130)</f>
        <v>0</v>
      </c>
      <c r="G166" s="119">
        <f t="shared" ref="G166:BR166" si="572">IF(G130=0, 0, G165/G130)</f>
        <v>0</v>
      </c>
      <c r="H166" s="119">
        <f t="shared" si="572"/>
        <v>0</v>
      </c>
      <c r="I166" s="119">
        <f t="shared" si="572"/>
        <v>0</v>
      </c>
      <c r="J166" s="119">
        <f t="shared" si="572"/>
        <v>0</v>
      </c>
      <c r="K166" s="119">
        <f t="shared" si="572"/>
        <v>0</v>
      </c>
      <c r="L166" s="119">
        <f t="shared" si="572"/>
        <v>0</v>
      </c>
      <c r="M166" s="119">
        <f t="shared" si="572"/>
        <v>2.8571428571428572</v>
      </c>
      <c r="N166" s="119">
        <f t="shared" si="572"/>
        <v>2.8571428571428568</v>
      </c>
      <c r="O166" s="119">
        <f t="shared" si="572"/>
        <v>2.8571428571428572</v>
      </c>
      <c r="P166" s="119">
        <f t="shared" si="572"/>
        <v>2.8571428571428568</v>
      </c>
      <c r="Q166" s="119">
        <f t="shared" si="572"/>
        <v>2.8571428571428572</v>
      </c>
      <c r="R166" s="119">
        <f t="shared" si="572"/>
        <v>2.8571428571428572</v>
      </c>
      <c r="S166" s="119">
        <f t="shared" si="572"/>
        <v>2.8571428571428572</v>
      </c>
      <c r="T166" s="119">
        <f t="shared" si="572"/>
        <v>2.8571428571428572</v>
      </c>
      <c r="U166" s="119">
        <f t="shared" si="572"/>
        <v>2.8571428571428568</v>
      </c>
      <c r="V166" s="119">
        <f t="shared" si="572"/>
        <v>2.8571428571428572</v>
      </c>
      <c r="W166" s="119">
        <f t="shared" si="572"/>
        <v>2.8571428571428568</v>
      </c>
      <c r="X166" s="119">
        <f t="shared" si="572"/>
        <v>2.8571428571428572</v>
      </c>
      <c r="Y166" s="119">
        <f t="shared" si="572"/>
        <v>2.8571428571428572</v>
      </c>
      <c r="Z166" s="119">
        <f t="shared" si="572"/>
        <v>2.8571428571428568</v>
      </c>
      <c r="AA166" s="119">
        <f t="shared" si="572"/>
        <v>2.8571428571428572</v>
      </c>
      <c r="AB166" s="119">
        <f t="shared" si="572"/>
        <v>2.8571428571428568</v>
      </c>
      <c r="AC166" s="119">
        <f t="shared" si="572"/>
        <v>2.8571428571428572</v>
      </c>
      <c r="AD166" s="119">
        <f t="shared" si="572"/>
        <v>2.8571428571428572</v>
      </c>
      <c r="AE166" s="119">
        <f t="shared" si="572"/>
        <v>2.8571428571428572</v>
      </c>
      <c r="AF166" s="119">
        <f t="shared" si="572"/>
        <v>2.8571428571428572</v>
      </c>
      <c r="AG166" s="119">
        <f t="shared" si="572"/>
        <v>2.8571428571428568</v>
      </c>
      <c r="AH166" s="119">
        <f t="shared" si="572"/>
        <v>2.8571428571428572</v>
      </c>
      <c r="AI166" s="119">
        <f t="shared" si="572"/>
        <v>2.8571428571428568</v>
      </c>
      <c r="AJ166" s="119">
        <f t="shared" si="572"/>
        <v>2.8571428571428572</v>
      </c>
      <c r="AK166" s="119">
        <f t="shared" si="572"/>
        <v>2.8571428571428572</v>
      </c>
      <c r="AL166" s="119">
        <f t="shared" si="572"/>
        <v>2.8571428571428568</v>
      </c>
      <c r="AM166" s="119">
        <f t="shared" si="572"/>
        <v>2.8571428571428572</v>
      </c>
      <c r="AN166" s="119">
        <f t="shared" si="572"/>
        <v>2.8571428571428568</v>
      </c>
      <c r="AO166" s="119">
        <f t="shared" si="572"/>
        <v>2.8571428571428572</v>
      </c>
      <c r="AP166" s="119">
        <f t="shared" si="572"/>
        <v>2.8571428571428572</v>
      </c>
      <c r="AQ166" s="119">
        <f t="shared" si="572"/>
        <v>2.8571428571428572</v>
      </c>
      <c r="AR166" s="119">
        <f t="shared" si="572"/>
        <v>2.8571428571428572</v>
      </c>
      <c r="AS166" s="119">
        <f t="shared" si="572"/>
        <v>2.8571428571428568</v>
      </c>
      <c r="AT166" s="119">
        <f t="shared" si="572"/>
        <v>2.8571428571428572</v>
      </c>
      <c r="AU166" s="119">
        <f t="shared" si="572"/>
        <v>2.8571428571428568</v>
      </c>
      <c r="AV166" s="119">
        <f t="shared" si="572"/>
        <v>2.8571428571428572</v>
      </c>
      <c r="AW166" s="119">
        <f t="shared" si="572"/>
        <v>2.8571428571428572</v>
      </c>
      <c r="AX166" s="119">
        <f t="shared" si="572"/>
        <v>2.8571428571428568</v>
      </c>
      <c r="AY166" s="119">
        <f t="shared" si="572"/>
        <v>2.8571428571428572</v>
      </c>
      <c r="AZ166" s="119">
        <f t="shared" si="572"/>
        <v>2.8571428571428568</v>
      </c>
      <c r="BA166" s="119">
        <f t="shared" si="572"/>
        <v>2.8571428571428572</v>
      </c>
      <c r="BB166" s="119">
        <f t="shared" si="572"/>
        <v>2.8571428571428572</v>
      </c>
      <c r="BC166" s="119">
        <f t="shared" si="572"/>
        <v>2.8571428571428572</v>
      </c>
      <c r="BD166" s="119">
        <f t="shared" si="572"/>
        <v>2.8571428571428572</v>
      </c>
      <c r="BE166" s="119">
        <f t="shared" si="572"/>
        <v>2.8571428571428568</v>
      </c>
      <c r="BF166" s="119">
        <f t="shared" si="572"/>
        <v>2.8571428571428572</v>
      </c>
      <c r="BG166" s="119">
        <f t="shared" si="572"/>
        <v>2.8571428571428568</v>
      </c>
      <c r="BH166" s="119">
        <f t="shared" si="572"/>
        <v>2.8571428571428572</v>
      </c>
      <c r="BI166" s="119">
        <f t="shared" si="572"/>
        <v>2.8571428571428572</v>
      </c>
      <c r="BJ166" s="119">
        <f t="shared" si="572"/>
        <v>2.8571428571428568</v>
      </c>
      <c r="BK166" s="119">
        <f t="shared" si="572"/>
        <v>2.8571428571428572</v>
      </c>
      <c r="BL166" s="119">
        <f t="shared" si="572"/>
        <v>2.8571428571428568</v>
      </c>
      <c r="BM166" s="119">
        <f t="shared" si="572"/>
        <v>2.8571428571428572</v>
      </c>
      <c r="BN166" s="119">
        <f t="shared" si="572"/>
        <v>2.8571428571428572</v>
      </c>
      <c r="BO166" s="119">
        <f t="shared" si="572"/>
        <v>2.8571428571428572</v>
      </c>
      <c r="BP166" s="119">
        <f t="shared" si="572"/>
        <v>2.8571428571428572</v>
      </c>
      <c r="BQ166" s="119">
        <f t="shared" si="572"/>
        <v>2.8571428571428568</v>
      </c>
      <c r="BR166" s="119">
        <f t="shared" si="572"/>
        <v>2.8571428571428572</v>
      </c>
      <c r="BS166" s="119">
        <f t="shared" ref="BS166:ED166" si="573">IF(BS130=0, 0, BS165/BS130)</f>
        <v>2.8571428571428568</v>
      </c>
      <c r="BT166" s="119">
        <f t="shared" si="573"/>
        <v>2.8571428571428572</v>
      </c>
      <c r="BU166" s="119">
        <f t="shared" si="573"/>
        <v>2.8571428571428572</v>
      </c>
      <c r="BV166" s="119">
        <f t="shared" si="573"/>
        <v>2.8571428571428568</v>
      </c>
      <c r="BW166" s="119">
        <f t="shared" si="573"/>
        <v>2.8571428571428572</v>
      </c>
      <c r="BX166" s="119">
        <f t="shared" si="573"/>
        <v>2.8571428571428568</v>
      </c>
      <c r="BY166" s="119">
        <f t="shared" si="573"/>
        <v>2.8571428571428572</v>
      </c>
      <c r="BZ166" s="119">
        <f t="shared" si="573"/>
        <v>2.8571428571428572</v>
      </c>
      <c r="CA166" s="119">
        <f t="shared" si="573"/>
        <v>2.8571428571428572</v>
      </c>
      <c r="CB166" s="119">
        <f t="shared" si="573"/>
        <v>2.8571428571428572</v>
      </c>
      <c r="CC166" s="119">
        <f t="shared" si="573"/>
        <v>2.8571428571428568</v>
      </c>
      <c r="CD166" s="119">
        <f t="shared" si="573"/>
        <v>2.8571428571428572</v>
      </c>
      <c r="CE166" s="119">
        <f t="shared" si="573"/>
        <v>2.8571428571428568</v>
      </c>
      <c r="CF166" s="119">
        <f t="shared" si="573"/>
        <v>2.8571428571428572</v>
      </c>
      <c r="CG166" s="119">
        <f t="shared" si="573"/>
        <v>2.8571428571428572</v>
      </c>
      <c r="CH166" s="119">
        <f t="shared" si="573"/>
        <v>2.8571428571428568</v>
      </c>
      <c r="CI166" s="119">
        <f t="shared" si="573"/>
        <v>2.8571428571428572</v>
      </c>
      <c r="CJ166" s="119">
        <f t="shared" si="573"/>
        <v>2.8571428571428568</v>
      </c>
      <c r="CK166" s="119">
        <f t="shared" si="573"/>
        <v>2.8571428571428572</v>
      </c>
      <c r="CL166" s="119">
        <f t="shared" si="573"/>
        <v>2.8571428571428572</v>
      </c>
      <c r="CM166" s="119">
        <f t="shared" si="573"/>
        <v>2.8571428571428572</v>
      </c>
      <c r="CN166" s="119">
        <f t="shared" si="573"/>
        <v>2.8571428571428572</v>
      </c>
      <c r="CO166" s="119">
        <f t="shared" si="573"/>
        <v>2.8571428571428568</v>
      </c>
      <c r="CP166" s="119">
        <f t="shared" si="573"/>
        <v>2.8571428571428572</v>
      </c>
      <c r="CQ166" s="119">
        <f t="shared" si="573"/>
        <v>2.8571428571428568</v>
      </c>
      <c r="CR166" s="119">
        <f t="shared" si="573"/>
        <v>2.8571428571428572</v>
      </c>
      <c r="CS166" s="119">
        <f t="shared" si="573"/>
        <v>2.8571428571428572</v>
      </c>
      <c r="CT166" s="119">
        <f t="shared" si="573"/>
        <v>2.8571428571428568</v>
      </c>
      <c r="CU166" s="119">
        <f t="shared" si="573"/>
        <v>2.8571428571428572</v>
      </c>
      <c r="CV166" s="119">
        <f t="shared" si="573"/>
        <v>2.8571428571428568</v>
      </c>
      <c r="CW166" s="119">
        <f t="shared" si="573"/>
        <v>2.8571428571428572</v>
      </c>
      <c r="CX166" s="119">
        <f t="shared" si="573"/>
        <v>2.8571428571428572</v>
      </c>
      <c r="CY166" s="119">
        <f t="shared" si="573"/>
        <v>2.8571428571428572</v>
      </c>
      <c r="CZ166" s="119">
        <f t="shared" si="573"/>
        <v>2.8571428571428572</v>
      </c>
      <c r="DA166" s="119">
        <f t="shared" si="573"/>
        <v>2.8571428571428568</v>
      </c>
      <c r="DB166" s="119">
        <f t="shared" si="573"/>
        <v>2.8571428571428572</v>
      </c>
      <c r="DC166" s="119">
        <f t="shared" si="573"/>
        <v>2.8571428571428568</v>
      </c>
      <c r="DD166" s="119">
        <f t="shared" si="573"/>
        <v>2.8571428571428572</v>
      </c>
      <c r="DE166" s="119">
        <f t="shared" si="573"/>
        <v>2.8571428571428572</v>
      </c>
      <c r="DF166" s="119">
        <f t="shared" si="573"/>
        <v>2.8571428571428568</v>
      </c>
      <c r="DG166" s="119">
        <f t="shared" si="573"/>
        <v>2.8571428571428572</v>
      </c>
      <c r="DH166" s="119">
        <f t="shared" si="573"/>
        <v>2.8571428571428568</v>
      </c>
      <c r="DI166" s="119">
        <f t="shared" si="573"/>
        <v>2.8571428571428572</v>
      </c>
      <c r="DJ166" s="119">
        <f t="shared" si="573"/>
        <v>2.8571428571428572</v>
      </c>
      <c r="DK166" s="119">
        <f t="shared" si="573"/>
        <v>2.8571428571428572</v>
      </c>
      <c r="DL166" s="119">
        <f t="shared" si="573"/>
        <v>2.8571428571428572</v>
      </c>
      <c r="DM166" s="119">
        <f t="shared" si="573"/>
        <v>2.8571428571428568</v>
      </c>
      <c r="DN166" s="119">
        <f t="shared" si="573"/>
        <v>2.8571428571428572</v>
      </c>
      <c r="DO166" s="119">
        <f t="shared" si="573"/>
        <v>2.8571428571428568</v>
      </c>
      <c r="DP166" s="119">
        <f t="shared" si="573"/>
        <v>2.8571428571428572</v>
      </c>
      <c r="DQ166" s="119">
        <f t="shared" si="573"/>
        <v>2.8571428571428572</v>
      </c>
      <c r="DR166" s="119">
        <f t="shared" si="573"/>
        <v>2.8571428571428568</v>
      </c>
      <c r="DS166" s="119">
        <f t="shared" si="573"/>
        <v>2.8571428571428572</v>
      </c>
      <c r="DT166" s="119">
        <f t="shared" si="573"/>
        <v>2.8571428571428568</v>
      </c>
      <c r="DU166" s="119">
        <f t="shared" si="573"/>
        <v>2.8571428571428572</v>
      </c>
      <c r="DV166" s="119">
        <f t="shared" si="573"/>
        <v>2.8571428571428572</v>
      </c>
      <c r="DW166" s="119">
        <f t="shared" si="573"/>
        <v>2.8571428571428572</v>
      </c>
      <c r="DX166" s="119">
        <f t="shared" si="573"/>
        <v>2.8571428571428572</v>
      </c>
      <c r="DY166" s="119">
        <f t="shared" si="573"/>
        <v>2.8571428571428568</v>
      </c>
      <c r="DZ166" s="119">
        <f t="shared" si="573"/>
        <v>2.8571428571428572</v>
      </c>
      <c r="EA166" s="119">
        <f t="shared" si="573"/>
        <v>2.8571428571428568</v>
      </c>
      <c r="EB166" s="119">
        <f t="shared" si="573"/>
        <v>2.8571428571428572</v>
      </c>
      <c r="EC166" s="119">
        <f t="shared" si="573"/>
        <v>2.8571428571428572</v>
      </c>
      <c r="ED166" s="119">
        <f t="shared" si="573"/>
        <v>2.8571428571428568</v>
      </c>
      <c r="EE166" s="119">
        <f t="shared" ref="EE166:GC166" si="574">IF(EE130=0, 0, EE165/EE130)</f>
        <v>2.8571428571428572</v>
      </c>
      <c r="EF166" s="119">
        <f t="shared" si="574"/>
        <v>2.8571428571428568</v>
      </c>
      <c r="EG166" s="119">
        <f t="shared" si="574"/>
        <v>2.8571428571428572</v>
      </c>
      <c r="EH166" s="119">
        <f t="shared" si="574"/>
        <v>2.8571428571428572</v>
      </c>
      <c r="EI166" s="119">
        <f t="shared" si="574"/>
        <v>2.8571428571428572</v>
      </c>
      <c r="EJ166" s="119">
        <f t="shared" si="574"/>
        <v>2.8571428571428572</v>
      </c>
      <c r="EK166" s="119">
        <f t="shared" si="574"/>
        <v>2.8571428571428568</v>
      </c>
      <c r="EL166" s="119">
        <f t="shared" si="574"/>
        <v>2.8571428571428572</v>
      </c>
      <c r="EM166" s="119">
        <f t="shared" si="574"/>
        <v>2.8571428571428568</v>
      </c>
      <c r="EN166" s="119">
        <f t="shared" si="574"/>
        <v>2.8571428571428572</v>
      </c>
      <c r="EO166" s="119">
        <f t="shared" si="574"/>
        <v>2.8571428571428572</v>
      </c>
      <c r="EP166" s="119">
        <f t="shared" si="574"/>
        <v>2.8571428571428568</v>
      </c>
      <c r="EQ166" s="119">
        <f t="shared" si="574"/>
        <v>2.8571428571428572</v>
      </c>
      <c r="ER166" s="119">
        <f t="shared" si="574"/>
        <v>2.8571428571428568</v>
      </c>
      <c r="ES166" s="119">
        <f t="shared" si="574"/>
        <v>2.8571428571428572</v>
      </c>
      <c r="ET166" s="119">
        <f t="shared" si="574"/>
        <v>2.8571428571428572</v>
      </c>
      <c r="EU166" s="119">
        <f t="shared" si="574"/>
        <v>2.8571428571428572</v>
      </c>
      <c r="EV166" s="119">
        <f t="shared" si="574"/>
        <v>2.8571428571428572</v>
      </c>
      <c r="EW166" s="119">
        <f t="shared" si="574"/>
        <v>2.8571428571428568</v>
      </c>
      <c r="EX166" s="119">
        <f t="shared" si="574"/>
        <v>2.8571428571428572</v>
      </c>
      <c r="EY166" s="119">
        <f t="shared" si="574"/>
        <v>2.8571428571428568</v>
      </c>
      <c r="EZ166" s="119">
        <f t="shared" si="574"/>
        <v>2.8571428571428572</v>
      </c>
      <c r="FA166" s="119">
        <f t="shared" si="574"/>
        <v>2.8571428571428572</v>
      </c>
      <c r="FB166" s="119">
        <f t="shared" si="574"/>
        <v>2.8571428571428568</v>
      </c>
      <c r="FC166" s="119">
        <f t="shared" si="574"/>
        <v>2.8571428571428572</v>
      </c>
      <c r="FD166" s="119">
        <f t="shared" si="574"/>
        <v>2.8571428571428568</v>
      </c>
      <c r="FE166" s="119">
        <f t="shared" si="574"/>
        <v>2.8571428571428572</v>
      </c>
      <c r="FF166" s="119">
        <f t="shared" si="574"/>
        <v>2.8571428571428572</v>
      </c>
      <c r="FG166" s="119">
        <f t="shared" si="574"/>
        <v>2.8571428571428572</v>
      </c>
      <c r="FH166" s="119">
        <f t="shared" si="574"/>
        <v>2.8571428571428572</v>
      </c>
      <c r="FI166" s="119">
        <f t="shared" si="574"/>
        <v>2.8571428571428568</v>
      </c>
      <c r="FJ166" s="119">
        <f t="shared" si="574"/>
        <v>2.8571428571428572</v>
      </c>
      <c r="FK166" s="119">
        <f t="shared" si="574"/>
        <v>2.8571428571428568</v>
      </c>
      <c r="FL166" s="119">
        <f t="shared" si="574"/>
        <v>2.8571428571428572</v>
      </c>
      <c r="FM166" s="119">
        <f t="shared" si="574"/>
        <v>2.8571428571428572</v>
      </c>
      <c r="FN166" s="119">
        <f t="shared" si="574"/>
        <v>2.8571428571428568</v>
      </c>
      <c r="FO166" s="119">
        <f t="shared" si="574"/>
        <v>2.8571428571428572</v>
      </c>
      <c r="FP166" s="119">
        <f t="shared" si="574"/>
        <v>2.8571428571428568</v>
      </c>
      <c r="FQ166" s="119">
        <f t="shared" si="574"/>
        <v>2.8571428571428572</v>
      </c>
      <c r="FR166" s="119">
        <f t="shared" si="574"/>
        <v>2.8571428571428572</v>
      </c>
      <c r="FS166" s="119">
        <f t="shared" si="574"/>
        <v>2.8571428571428572</v>
      </c>
      <c r="FT166" s="119">
        <f t="shared" si="574"/>
        <v>2.8571428571428572</v>
      </c>
      <c r="FU166" s="119">
        <f t="shared" si="574"/>
        <v>2.8571428571428568</v>
      </c>
      <c r="FV166" s="119">
        <f t="shared" si="574"/>
        <v>2.8571428571428572</v>
      </c>
      <c r="FW166" s="119">
        <f t="shared" si="574"/>
        <v>2.8571428571428568</v>
      </c>
      <c r="FX166" s="119">
        <f t="shared" si="574"/>
        <v>2.8571428571428572</v>
      </c>
      <c r="FY166" s="119">
        <f t="shared" si="574"/>
        <v>2.8571428571428572</v>
      </c>
      <c r="FZ166" s="119">
        <f>IF(FZ130=0, 0, FZ165/FZ130)</f>
        <v>2.8571428571428568</v>
      </c>
      <c r="GA166" s="119">
        <f t="shared" si="574"/>
        <v>2.8571428571428572</v>
      </c>
      <c r="GB166" s="119">
        <f t="shared" si="574"/>
        <v>2.8571428571428568</v>
      </c>
      <c r="GC166" s="119">
        <f t="shared" si="574"/>
        <v>2.8571428571428572</v>
      </c>
    </row>
    <row r="167" spans="1:185">
      <c r="A167" s="80"/>
      <c r="B167" s="80"/>
      <c r="C167" s="80"/>
      <c r="D167" s="80"/>
      <c r="E167" s="94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  <c r="CS167" s="80"/>
      <c r="CT167" s="80"/>
      <c r="CU167" s="80"/>
      <c r="CV167" s="80"/>
      <c r="CW167" s="80"/>
      <c r="CX167" s="80"/>
      <c r="CY167" s="80"/>
      <c r="CZ167" s="80"/>
      <c r="DA167" s="80"/>
      <c r="DB167" s="80"/>
      <c r="DC167" s="80"/>
      <c r="DD167" s="80"/>
      <c r="DE167" s="80"/>
      <c r="DF167" s="80"/>
      <c r="DG167" s="80"/>
      <c r="DH167" s="80"/>
      <c r="DI167" s="80"/>
      <c r="DJ167" s="80"/>
      <c r="DK167" s="80"/>
      <c r="DL167" s="80"/>
      <c r="DM167" s="80"/>
      <c r="DN167" s="80"/>
      <c r="DO167" s="80"/>
      <c r="DP167" s="80"/>
      <c r="DQ167" s="80"/>
      <c r="DR167" s="80"/>
      <c r="DS167" s="80"/>
      <c r="DT167" s="80"/>
      <c r="DU167" s="80"/>
      <c r="DV167" s="80"/>
      <c r="DW167" s="80"/>
      <c r="DX167" s="80"/>
      <c r="DY167" s="80"/>
      <c r="DZ167" s="80"/>
      <c r="EA167" s="80"/>
      <c r="EB167" s="80"/>
      <c r="EC167" s="80"/>
      <c r="ED167" s="80"/>
      <c r="EE167" s="80"/>
      <c r="EF167" s="80"/>
      <c r="EG167" s="80"/>
      <c r="EH167" s="80"/>
      <c r="EI167" s="80"/>
      <c r="EJ167" s="80"/>
      <c r="EK167" s="80"/>
      <c r="EL167" s="80"/>
      <c r="EM167" s="80"/>
      <c r="EN167" s="80"/>
      <c r="EO167" s="80"/>
      <c r="EP167" s="80"/>
      <c r="EQ167" s="80"/>
      <c r="ER167" s="80"/>
      <c r="ES167" s="80"/>
      <c r="ET167" s="80"/>
      <c r="EU167" s="80"/>
      <c r="EV167" s="80"/>
      <c r="EW167" s="80"/>
      <c r="EX167" s="80"/>
      <c r="EY167" s="80"/>
      <c r="EZ167" s="80"/>
      <c r="FA167" s="80"/>
      <c r="FB167" s="80"/>
      <c r="FC167" s="80"/>
      <c r="FD167" s="80"/>
      <c r="FE167" s="80"/>
      <c r="FF167" s="80"/>
      <c r="FG167" s="80"/>
      <c r="FH167" s="80"/>
      <c r="FI167" s="80"/>
      <c r="FJ167" s="80"/>
      <c r="FK167" s="80"/>
      <c r="FL167" s="80"/>
      <c r="FM167" s="80"/>
      <c r="FN167" s="80"/>
      <c r="FO167" s="80"/>
      <c r="FP167" s="80"/>
      <c r="FQ167" s="80"/>
      <c r="FR167" s="80"/>
      <c r="FS167" s="80"/>
      <c r="FT167" s="80"/>
      <c r="FU167" s="80"/>
      <c r="FV167" s="80"/>
      <c r="FW167" s="80"/>
      <c r="FX167" s="80"/>
      <c r="FY167" s="80"/>
      <c r="FZ167" s="80"/>
      <c r="GA167" s="80"/>
      <c r="GB167" s="80"/>
      <c r="GC167" s="80"/>
    </row>
  </sheetData>
  <printOptions gridLines="1"/>
  <pageMargins left="0.70866141732283472" right="0.70866141732283472" top="0.74803149606299213" bottom="0.74803149606299213" header="0.31496062992125984" footer="0.31496062992125984"/>
  <pageSetup paperSize="119" scale="39" fitToWidth="4" fitToHeight="2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9F10-6F64-4D71-9DCD-C6E062C110F7}">
  <dimension ref="A2:H63"/>
  <sheetViews>
    <sheetView topLeftCell="A37" zoomScaleNormal="100" workbookViewId="0">
      <selection activeCell="X25" sqref="X25"/>
    </sheetView>
  </sheetViews>
  <sheetFormatPr defaultColWidth="8.85546875" defaultRowHeight="15"/>
  <cols>
    <col min="1" max="1" width="9.7109375" customWidth="1"/>
    <col min="2" max="7" width="14.42578125" customWidth="1"/>
    <col min="8" max="8" width="12" customWidth="1"/>
  </cols>
  <sheetData>
    <row r="2" spans="1:8">
      <c r="A2" s="10" t="str">
        <f>ModelDescription!A2</f>
        <v>Economic Forecasting Model</v>
      </c>
    </row>
    <row r="3" spans="1:8">
      <c r="A3" s="10" t="str">
        <f>ModelDescription!C4</f>
        <v>Noble, OK 6 Processor Facility - Series A + Series B</v>
      </c>
    </row>
    <row r="5" spans="1:8" ht="18.75">
      <c r="A5" s="288" t="s">
        <v>182</v>
      </c>
      <c r="B5" s="289"/>
      <c r="C5" s="289"/>
      <c r="D5" s="289"/>
      <c r="E5" s="289"/>
      <c r="F5" s="289"/>
      <c r="G5" s="289"/>
    </row>
    <row r="6" spans="1:8">
      <c r="A6" s="290" t="s">
        <v>183</v>
      </c>
      <c r="B6" s="289"/>
      <c r="C6" s="289"/>
      <c r="D6" s="289"/>
      <c r="E6" s="289"/>
      <c r="F6" s="289"/>
      <c r="G6" s="289"/>
    </row>
    <row r="8" spans="1:8" ht="45">
      <c r="A8" s="286" t="s">
        <v>69</v>
      </c>
      <c r="B8" s="286" t="s">
        <v>184</v>
      </c>
      <c r="C8" s="286" t="s">
        <v>185</v>
      </c>
      <c r="D8" s="286" t="s">
        <v>186</v>
      </c>
      <c r="E8" s="286" t="s">
        <v>187</v>
      </c>
      <c r="F8" s="286" t="s">
        <v>188</v>
      </c>
      <c r="G8" s="286" t="s">
        <v>189</v>
      </c>
      <c r="H8" s="286" t="s">
        <v>190</v>
      </c>
    </row>
    <row r="9" spans="1:8">
      <c r="A9" s="24" t="s">
        <v>191</v>
      </c>
      <c r="B9" s="283">
        <v>680</v>
      </c>
      <c r="C9" s="283">
        <v>850</v>
      </c>
      <c r="D9" s="283">
        <v>1400</v>
      </c>
      <c r="E9" s="284">
        <v>0.308</v>
      </c>
      <c r="F9" s="284">
        <v>0.38600000000000001</v>
      </c>
      <c r="G9" s="284">
        <v>0.63500000000000001</v>
      </c>
      <c r="H9" s="284">
        <v>0.55000000000000004</v>
      </c>
    </row>
    <row r="10" spans="1:8">
      <c r="A10" s="24" t="s">
        <v>192</v>
      </c>
      <c r="B10" s="283">
        <v>620</v>
      </c>
      <c r="C10" s="283">
        <v>780</v>
      </c>
      <c r="D10" s="283">
        <v>1300</v>
      </c>
      <c r="E10" s="284">
        <v>0.28100000000000003</v>
      </c>
      <c r="F10" s="284">
        <v>0.35399999999999998</v>
      </c>
      <c r="G10" s="284">
        <v>0.59</v>
      </c>
      <c r="H10" s="284">
        <v>0.55000000000000004</v>
      </c>
    </row>
    <row r="11" spans="1:8">
      <c r="A11" s="24" t="s">
        <v>193</v>
      </c>
      <c r="B11" s="283">
        <v>700</v>
      </c>
      <c r="C11" s="283">
        <v>860</v>
      </c>
      <c r="D11" s="283">
        <v>1450</v>
      </c>
      <c r="E11" s="284">
        <v>0.318</v>
      </c>
      <c r="F11" s="284">
        <v>0.39</v>
      </c>
      <c r="G11" s="284">
        <v>0.65800000000000003</v>
      </c>
      <c r="H11" s="284">
        <v>0.55000000000000004</v>
      </c>
    </row>
    <row r="12" spans="1:8">
      <c r="A12" s="24" t="s">
        <v>194</v>
      </c>
      <c r="B12" s="283">
        <v>780</v>
      </c>
      <c r="C12" s="283">
        <v>950</v>
      </c>
      <c r="D12" s="283">
        <v>1600</v>
      </c>
      <c r="E12" s="284">
        <v>0.35399999999999998</v>
      </c>
      <c r="F12" s="284">
        <v>0.43099999999999999</v>
      </c>
      <c r="G12" s="284">
        <v>0.72599999999999998</v>
      </c>
      <c r="H12" s="284">
        <v>0.55000000000000004</v>
      </c>
    </row>
    <row r="13" spans="1:8">
      <c r="A13" s="24" t="s">
        <v>195</v>
      </c>
      <c r="B13" s="283">
        <v>850</v>
      </c>
      <c r="C13" s="283">
        <v>1020</v>
      </c>
      <c r="D13" s="283">
        <v>1700</v>
      </c>
      <c r="E13" s="284">
        <v>0.38600000000000001</v>
      </c>
      <c r="F13" s="284">
        <v>0.46300000000000002</v>
      </c>
      <c r="G13" s="284">
        <v>0.77100000000000002</v>
      </c>
      <c r="H13" s="284">
        <v>0.55000000000000004</v>
      </c>
    </row>
    <row r="14" spans="1:8">
      <c r="A14" s="24" t="s">
        <v>196</v>
      </c>
      <c r="B14" s="283">
        <v>950</v>
      </c>
      <c r="C14" s="283">
        <v>1120</v>
      </c>
      <c r="D14" s="283">
        <v>1850</v>
      </c>
      <c r="E14" s="284">
        <v>0.43099999999999999</v>
      </c>
      <c r="F14" s="284">
        <v>0.50800000000000001</v>
      </c>
      <c r="G14" s="284">
        <v>0.83899999999999997</v>
      </c>
      <c r="H14" s="284">
        <v>0.55000000000000004</v>
      </c>
    </row>
    <row r="15" spans="1:8">
      <c r="A15" s="24" t="s">
        <v>197</v>
      </c>
      <c r="B15" s="283">
        <v>1050</v>
      </c>
      <c r="C15" s="283">
        <v>1200</v>
      </c>
      <c r="D15" s="283">
        <v>2000</v>
      </c>
      <c r="E15" s="284">
        <v>0.47599999999999998</v>
      </c>
      <c r="F15" s="284">
        <v>0.54400000000000004</v>
      </c>
      <c r="G15" s="284">
        <v>0.90700000000000003</v>
      </c>
      <c r="H15" s="284">
        <v>0.55000000000000004</v>
      </c>
    </row>
    <row r="16" spans="1:8">
      <c r="A16" s="24" t="s">
        <v>198</v>
      </c>
      <c r="B16" s="283">
        <v>1150</v>
      </c>
      <c r="C16" s="283">
        <v>1280</v>
      </c>
      <c r="D16" s="283">
        <v>2150</v>
      </c>
      <c r="E16" s="284">
        <v>0.52200000000000002</v>
      </c>
      <c r="F16" s="284">
        <v>0.58099999999999996</v>
      </c>
      <c r="G16" s="284">
        <v>0.97499999999999998</v>
      </c>
      <c r="H16" s="284">
        <v>0.55000000000000004</v>
      </c>
    </row>
    <row r="17" spans="1:8">
      <c r="A17" s="24" t="s">
        <v>199</v>
      </c>
      <c r="B17" s="283">
        <v>1250</v>
      </c>
      <c r="C17" s="283">
        <v>1350</v>
      </c>
      <c r="D17" s="283">
        <v>2300</v>
      </c>
      <c r="E17" s="284">
        <v>0.56699999999999995</v>
      </c>
      <c r="F17" s="284">
        <v>0.61199999999999999</v>
      </c>
      <c r="G17" s="284">
        <v>1.0429999999999999</v>
      </c>
      <c r="H17" s="284">
        <v>0.55000000000000004</v>
      </c>
    </row>
    <row r="18" spans="1:8">
      <c r="A18" s="24" t="s">
        <v>200</v>
      </c>
      <c r="B18" s="283">
        <v>1400</v>
      </c>
      <c r="C18" s="283">
        <v>1480</v>
      </c>
      <c r="D18" s="283">
        <v>2450</v>
      </c>
      <c r="E18" s="284">
        <v>0.63500000000000001</v>
      </c>
      <c r="F18" s="284">
        <v>0.67100000000000004</v>
      </c>
      <c r="G18" s="284">
        <v>1.111</v>
      </c>
      <c r="H18" s="284">
        <v>0.55000000000000004</v>
      </c>
    </row>
    <row r="19" spans="1:8">
      <c r="A19" s="24" t="s">
        <v>201</v>
      </c>
      <c r="B19" s="283">
        <v>1550</v>
      </c>
      <c r="C19" s="283">
        <v>1580</v>
      </c>
      <c r="D19" s="283">
        <v>2500</v>
      </c>
      <c r="E19" s="284">
        <v>0.70299999999999996</v>
      </c>
      <c r="F19" s="284">
        <v>0.71699999999999997</v>
      </c>
      <c r="G19" s="284">
        <v>1.1339999999999999</v>
      </c>
      <c r="H19" s="284">
        <v>0.55000000000000004</v>
      </c>
    </row>
    <row r="20" spans="1:8">
      <c r="A20" s="24" t="s">
        <v>202</v>
      </c>
      <c r="B20" s="283">
        <v>1700</v>
      </c>
      <c r="C20" s="283">
        <v>1650</v>
      </c>
      <c r="D20" s="283">
        <v>2220</v>
      </c>
      <c r="E20" s="284">
        <v>0.77100000000000002</v>
      </c>
      <c r="F20" s="284">
        <v>0.748</v>
      </c>
      <c r="G20" s="284">
        <v>1.0069999999999999</v>
      </c>
      <c r="H20" s="284">
        <v>0.55000000000000004</v>
      </c>
    </row>
    <row r="21" spans="1:8">
      <c r="A21" s="24" t="s">
        <v>203</v>
      </c>
      <c r="B21" s="283">
        <v>1500</v>
      </c>
      <c r="C21" s="283">
        <v>1450</v>
      </c>
      <c r="D21" s="283">
        <v>2100</v>
      </c>
      <c r="E21" s="284">
        <v>0.68</v>
      </c>
      <c r="F21" s="284">
        <v>0.65800000000000003</v>
      </c>
      <c r="G21" s="284">
        <v>0.95299999999999996</v>
      </c>
      <c r="H21" s="284">
        <v>0.55000000000000004</v>
      </c>
    </row>
    <row r="22" spans="1:8">
      <c r="A22" s="24" t="s">
        <v>204</v>
      </c>
      <c r="B22" s="283">
        <v>1400</v>
      </c>
      <c r="C22" s="283">
        <v>1380</v>
      </c>
      <c r="D22" s="283">
        <v>2000</v>
      </c>
      <c r="E22" s="284">
        <v>0.63500000000000001</v>
      </c>
      <c r="F22" s="284">
        <v>0.626</v>
      </c>
      <c r="G22" s="284">
        <v>0.90700000000000003</v>
      </c>
      <c r="H22" s="284">
        <v>0.55000000000000004</v>
      </c>
    </row>
    <row r="23" spans="1:8">
      <c r="A23" s="24" t="s">
        <v>205</v>
      </c>
      <c r="B23" s="283">
        <v>1350</v>
      </c>
      <c r="C23" s="283">
        <v>1320</v>
      </c>
      <c r="D23" s="283">
        <v>1950</v>
      </c>
      <c r="E23" s="284">
        <v>0.61199999999999999</v>
      </c>
      <c r="F23" s="284">
        <v>0.59899999999999998</v>
      </c>
      <c r="G23" s="284">
        <v>0.88500000000000001</v>
      </c>
      <c r="H23" s="284">
        <v>0.55000000000000004</v>
      </c>
    </row>
    <row r="24" spans="1:8">
      <c r="A24" s="24" t="s">
        <v>206</v>
      </c>
      <c r="B24" s="283">
        <v>1200</v>
      </c>
      <c r="C24" s="283">
        <v>1220</v>
      </c>
      <c r="D24" s="283">
        <v>1850</v>
      </c>
      <c r="E24" s="284">
        <v>0.54400000000000004</v>
      </c>
      <c r="F24" s="284">
        <v>0.55300000000000005</v>
      </c>
      <c r="G24" s="284">
        <v>0.83899999999999997</v>
      </c>
      <c r="H24" s="284">
        <v>0.55000000000000004</v>
      </c>
    </row>
    <row r="25" spans="1:8">
      <c r="A25" s="24" t="s">
        <v>207</v>
      </c>
      <c r="B25" s="283">
        <v>1220</v>
      </c>
      <c r="C25" s="283">
        <v>1220</v>
      </c>
      <c r="D25" s="283">
        <v>1850</v>
      </c>
      <c r="E25" s="284">
        <v>0.55300000000000005</v>
      </c>
      <c r="F25" s="284">
        <v>0.55300000000000005</v>
      </c>
      <c r="G25" s="284">
        <v>0.83899999999999997</v>
      </c>
      <c r="H25" s="284">
        <v>0.55000000000000004</v>
      </c>
    </row>
    <row r="26" spans="1:8">
      <c r="A26" s="24" t="s">
        <v>208</v>
      </c>
      <c r="B26" s="283">
        <v>1150</v>
      </c>
      <c r="C26" s="283">
        <v>1120</v>
      </c>
      <c r="D26" s="283">
        <v>1800</v>
      </c>
      <c r="E26" s="284">
        <v>0.52200000000000002</v>
      </c>
      <c r="F26" s="284">
        <v>0.50800000000000001</v>
      </c>
      <c r="G26" s="284">
        <v>0.81599999999999995</v>
      </c>
      <c r="H26" s="284">
        <v>0.55000000000000004</v>
      </c>
    </row>
    <row r="27" spans="1:8">
      <c r="A27" s="24" t="s">
        <v>209</v>
      </c>
      <c r="B27" s="283">
        <v>1060</v>
      </c>
      <c r="C27" s="283">
        <v>1190</v>
      </c>
      <c r="D27" s="283">
        <v>1810</v>
      </c>
      <c r="E27" s="284">
        <v>0.48099999999999998</v>
      </c>
      <c r="F27" s="284">
        <v>0.54</v>
      </c>
      <c r="G27" s="284">
        <v>0.82099999999999995</v>
      </c>
      <c r="H27" s="284">
        <v>0.55000000000000004</v>
      </c>
    </row>
    <row r="28" spans="1:8">
      <c r="A28" s="24" t="s">
        <v>210</v>
      </c>
      <c r="B28" s="283">
        <v>1090</v>
      </c>
      <c r="C28" s="283">
        <v>1170</v>
      </c>
      <c r="D28" s="283">
        <v>1820</v>
      </c>
      <c r="E28" s="284">
        <v>0.49399999999999999</v>
      </c>
      <c r="F28" s="284">
        <v>0.53100000000000003</v>
      </c>
      <c r="G28" s="284">
        <v>0.82599999999999996</v>
      </c>
      <c r="H28" s="284">
        <v>0.55000000000000004</v>
      </c>
    </row>
    <row r="29" spans="1:8">
      <c r="A29" s="24" t="s">
        <v>211</v>
      </c>
      <c r="B29" s="283">
        <v>1075</v>
      </c>
      <c r="C29" s="283">
        <v>1150</v>
      </c>
      <c r="D29" s="283">
        <v>1800</v>
      </c>
      <c r="E29" s="284">
        <v>0.48799999999999999</v>
      </c>
      <c r="F29" s="284">
        <v>0.52200000000000002</v>
      </c>
      <c r="G29" s="284">
        <v>0.81599999999999995</v>
      </c>
      <c r="H29" s="284">
        <v>0.55000000000000004</v>
      </c>
    </row>
    <row r="30" spans="1:8">
      <c r="A30" s="24" t="s">
        <v>212</v>
      </c>
      <c r="B30" s="283">
        <v>910</v>
      </c>
      <c r="C30" s="283">
        <v>1169</v>
      </c>
      <c r="D30" s="283">
        <v>1750</v>
      </c>
      <c r="E30" s="284">
        <v>0.41299999999999998</v>
      </c>
      <c r="F30" s="284">
        <v>0.53</v>
      </c>
      <c r="G30" s="284">
        <v>0.79400000000000004</v>
      </c>
      <c r="H30" s="284">
        <v>0.55000000000000004</v>
      </c>
    </row>
    <row r="31" spans="1:8">
      <c r="A31" s="24" t="s">
        <v>213</v>
      </c>
      <c r="B31" s="283">
        <v>925</v>
      </c>
      <c r="C31" s="283">
        <v>1135</v>
      </c>
      <c r="D31" s="283">
        <v>1790</v>
      </c>
      <c r="E31" s="284">
        <v>0.42</v>
      </c>
      <c r="F31" s="284">
        <v>0.51500000000000001</v>
      </c>
      <c r="G31" s="284">
        <v>0.81200000000000006</v>
      </c>
      <c r="H31" s="284">
        <v>0.55000000000000004</v>
      </c>
    </row>
    <row r="34" spans="1:8">
      <c r="A34" s="285" t="s">
        <v>214</v>
      </c>
    </row>
    <row r="35" spans="1:8">
      <c r="A35" t="s">
        <v>215</v>
      </c>
      <c r="E35" s="284">
        <v>0.42</v>
      </c>
      <c r="F35" s="284">
        <v>0.51500000000000001</v>
      </c>
      <c r="G35" s="284">
        <v>0.81200000000000006</v>
      </c>
    </row>
    <row r="36" spans="1:8">
      <c r="A36" t="s">
        <v>216</v>
      </c>
      <c r="E36" s="284">
        <v>0.77100000000000002</v>
      </c>
      <c r="F36" s="284">
        <v>0.748</v>
      </c>
      <c r="G36" s="284">
        <v>1.1339999999999999</v>
      </c>
    </row>
    <row r="37" spans="1:8">
      <c r="A37" t="s">
        <v>217</v>
      </c>
      <c r="E37" s="284">
        <v>0.28100000000000003</v>
      </c>
      <c r="F37" s="284">
        <v>0.35399999999999998</v>
      </c>
      <c r="G37" s="284">
        <v>0.59</v>
      </c>
    </row>
    <row r="38" spans="1:8">
      <c r="A38" t="s">
        <v>218</v>
      </c>
      <c r="E38" s="284">
        <v>0.504</v>
      </c>
      <c r="F38" s="284">
        <v>0.54500000000000004</v>
      </c>
      <c r="G38" s="284">
        <v>0.85699999999999998</v>
      </c>
    </row>
    <row r="43" spans="1:8" ht="30.95" customHeight="1">
      <c r="A43" s="287" t="s">
        <v>26</v>
      </c>
      <c r="B43" s="287" t="s">
        <v>219</v>
      </c>
      <c r="C43" s="287" t="s">
        <v>220</v>
      </c>
      <c r="D43" s="287" t="s">
        <v>221</v>
      </c>
      <c r="E43" s="287" t="s">
        <v>222</v>
      </c>
      <c r="F43" s="287" t="s">
        <v>223</v>
      </c>
      <c r="G43" s="287" t="s">
        <v>224</v>
      </c>
      <c r="H43" s="287" t="s">
        <v>225</v>
      </c>
    </row>
    <row r="44" spans="1:8">
      <c r="A44" s="24" t="s">
        <v>191</v>
      </c>
      <c r="B44" s="4">
        <v>2.1</v>
      </c>
      <c r="C44" s="4">
        <v>2.8</v>
      </c>
      <c r="D44" s="4">
        <v>3.1</v>
      </c>
      <c r="E44" s="4">
        <v>8</v>
      </c>
      <c r="F44" s="4">
        <v>5.5</v>
      </c>
      <c r="G44" s="4">
        <f>H44-F44</f>
        <v>3</v>
      </c>
      <c r="H44" s="4">
        <v>8.5</v>
      </c>
    </row>
    <row r="45" spans="1:8">
      <c r="A45" s="24" t="s">
        <v>192</v>
      </c>
      <c r="B45" s="4">
        <v>2.3250000000000002</v>
      </c>
      <c r="C45" s="4">
        <v>3</v>
      </c>
      <c r="D45" s="4">
        <v>3.3250000000000002</v>
      </c>
      <c r="E45" s="4">
        <v>8</v>
      </c>
      <c r="F45" s="4">
        <v>5.75</v>
      </c>
      <c r="G45" s="4">
        <f t="shared" ref="G45:G63" si="0">H45-F45</f>
        <v>3.125</v>
      </c>
      <c r="H45" s="4">
        <v>8.875</v>
      </c>
    </row>
    <row r="46" spans="1:8">
      <c r="A46" s="24" t="s">
        <v>193</v>
      </c>
      <c r="B46" s="4">
        <v>2.5499999999999998</v>
      </c>
      <c r="C46" s="4">
        <v>3.2</v>
      </c>
      <c r="D46" s="4">
        <v>3.55</v>
      </c>
      <c r="E46" s="4">
        <v>8</v>
      </c>
      <c r="F46" s="4">
        <v>6</v>
      </c>
      <c r="G46" s="4">
        <f t="shared" si="0"/>
        <v>3.25</v>
      </c>
      <c r="H46" s="4">
        <v>9.25</v>
      </c>
    </row>
    <row r="47" spans="1:8">
      <c r="A47" s="24" t="s">
        <v>194</v>
      </c>
      <c r="B47" s="4">
        <v>2.7749999999999999</v>
      </c>
      <c r="C47" s="4">
        <v>3.4</v>
      </c>
      <c r="D47" s="4">
        <v>3.7749999999999999</v>
      </c>
      <c r="E47" s="4">
        <v>8</v>
      </c>
      <c r="F47" s="4">
        <v>6.25</v>
      </c>
      <c r="G47" s="4">
        <f t="shared" si="0"/>
        <v>3.375</v>
      </c>
      <c r="H47" s="4">
        <v>9.625</v>
      </c>
    </row>
    <row r="48" spans="1:8">
      <c r="A48" s="24" t="s">
        <v>195</v>
      </c>
      <c r="B48" s="4">
        <v>3</v>
      </c>
      <c r="C48" s="4">
        <v>3.6</v>
      </c>
      <c r="D48" s="4">
        <v>4</v>
      </c>
      <c r="E48" s="4">
        <v>8</v>
      </c>
      <c r="F48" s="4">
        <v>6.5</v>
      </c>
      <c r="G48" s="4">
        <f t="shared" si="0"/>
        <v>3.5</v>
      </c>
      <c r="H48" s="4">
        <v>10</v>
      </c>
    </row>
    <row r="49" spans="1:8">
      <c r="A49" s="24" t="s">
        <v>196</v>
      </c>
      <c r="B49" s="4">
        <v>3.2250000000000001</v>
      </c>
      <c r="C49" s="4">
        <v>3.9</v>
      </c>
      <c r="D49" s="4">
        <v>4.3</v>
      </c>
      <c r="E49" s="4">
        <v>8</v>
      </c>
      <c r="F49" s="4">
        <v>6.875</v>
      </c>
      <c r="G49" s="4">
        <f t="shared" si="0"/>
        <v>3.75</v>
      </c>
      <c r="H49" s="4">
        <v>10.625</v>
      </c>
    </row>
    <row r="50" spans="1:8">
      <c r="A50" s="24" t="s">
        <v>197</v>
      </c>
      <c r="B50" s="4">
        <v>3.45</v>
      </c>
      <c r="C50" s="4">
        <v>4.2</v>
      </c>
      <c r="D50" s="4">
        <v>4.5999999999999996</v>
      </c>
      <c r="E50" s="4">
        <v>8</v>
      </c>
      <c r="F50" s="4">
        <v>7.25</v>
      </c>
      <c r="G50" s="4">
        <f t="shared" si="0"/>
        <v>4</v>
      </c>
      <c r="H50" s="4">
        <v>11.25</v>
      </c>
    </row>
    <row r="51" spans="1:8">
      <c r="A51" s="24" t="s">
        <v>198</v>
      </c>
      <c r="B51" s="4">
        <v>3.6749999999999998</v>
      </c>
      <c r="C51" s="4">
        <v>4.5</v>
      </c>
      <c r="D51" s="4">
        <v>4.9000000000000004</v>
      </c>
      <c r="E51" s="4">
        <v>8</v>
      </c>
      <c r="F51" s="4">
        <v>7.625</v>
      </c>
      <c r="G51" s="4">
        <f t="shared" si="0"/>
        <v>4.25</v>
      </c>
      <c r="H51" s="4">
        <v>11.875</v>
      </c>
    </row>
    <row r="52" spans="1:8">
      <c r="A52" s="24" t="s">
        <v>199</v>
      </c>
      <c r="B52" s="4">
        <v>3.9</v>
      </c>
      <c r="C52" s="4">
        <v>4.8</v>
      </c>
      <c r="D52" s="4">
        <v>5.2</v>
      </c>
      <c r="E52" s="4">
        <v>8</v>
      </c>
      <c r="F52" s="4">
        <v>8</v>
      </c>
      <c r="G52" s="4">
        <f t="shared" si="0"/>
        <v>4.5</v>
      </c>
      <c r="H52" s="4">
        <v>12.5</v>
      </c>
    </row>
    <row r="53" spans="1:8">
      <c r="A53" s="24" t="s">
        <v>200</v>
      </c>
      <c r="B53" s="4">
        <v>3.8</v>
      </c>
      <c r="C53" s="4">
        <v>4.6749999999999998</v>
      </c>
      <c r="D53" s="4">
        <v>5.0750000000000002</v>
      </c>
      <c r="E53" s="4">
        <v>8</v>
      </c>
      <c r="F53" s="4">
        <v>7.8</v>
      </c>
      <c r="G53" s="4">
        <f t="shared" si="0"/>
        <v>4.3250000000000002</v>
      </c>
      <c r="H53" s="4">
        <v>12.125</v>
      </c>
    </row>
    <row r="54" spans="1:8">
      <c r="A54" s="24" t="s">
        <v>201</v>
      </c>
      <c r="B54" s="4">
        <v>3.7</v>
      </c>
      <c r="C54" s="4">
        <v>4.55</v>
      </c>
      <c r="D54" s="4">
        <v>4.95</v>
      </c>
      <c r="E54" s="4">
        <v>8</v>
      </c>
      <c r="F54" s="4">
        <v>7.6</v>
      </c>
      <c r="G54" s="4">
        <f t="shared" si="0"/>
        <v>4.1500000000000004</v>
      </c>
      <c r="H54" s="4">
        <v>11.75</v>
      </c>
    </row>
    <row r="55" spans="1:8">
      <c r="A55" s="24" t="s">
        <v>202</v>
      </c>
      <c r="B55" s="4">
        <v>3.6</v>
      </c>
      <c r="C55" s="4">
        <v>4.4249999999999998</v>
      </c>
      <c r="D55" s="4">
        <v>4.8250000000000002</v>
      </c>
      <c r="E55" s="4">
        <v>8</v>
      </c>
      <c r="F55" s="4">
        <v>7.4</v>
      </c>
      <c r="G55" s="4">
        <f t="shared" si="0"/>
        <v>3.9749999999999996</v>
      </c>
      <c r="H55" s="4">
        <v>11.375</v>
      </c>
    </row>
    <row r="56" spans="1:8">
      <c r="A56" s="24" t="s">
        <v>203</v>
      </c>
      <c r="B56" s="4">
        <v>3.5</v>
      </c>
      <c r="C56" s="4">
        <v>4.3</v>
      </c>
      <c r="D56" s="4">
        <v>4.7</v>
      </c>
      <c r="E56" s="4">
        <v>8</v>
      </c>
      <c r="F56" s="4">
        <v>7.2</v>
      </c>
      <c r="G56" s="4">
        <f t="shared" si="0"/>
        <v>3.8</v>
      </c>
      <c r="H56" s="4">
        <v>11</v>
      </c>
    </row>
    <row r="57" spans="1:8">
      <c r="A57" s="24" t="s">
        <v>204</v>
      </c>
      <c r="B57" s="4">
        <v>3.4249999999999998</v>
      </c>
      <c r="C57" s="4">
        <v>4.25</v>
      </c>
      <c r="D57" s="4">
        <v>4.6500000000000004</v>
      </c>
      <c r="E57" s="4">
        <v>8</v>
      </c>
      <c r="F57" s="4">
        <v>7.1</v>
      </c>
      <c r="G57" s="4">
        <f t="shared" si="0"/>
        <v>3.6500000000000004</v>
      </c>
      <c r="H57" s="4">
        <v>10.75</v>
      </c>
    </row>
    <row r="58" spans="1:8">
      <c r="A58" s="24" t="s">
        <v>205</v>
      </c>
      <c r="B58" s="4">
        <v>3.35</v>
      </c>
      <c r="C58" s="4">
        <v>4.2</v>
      </c>
      <c r="D58" s="4">
        <v>4.5999999999999996</v>
      </c>
      <c r="E58" s="4">
        <v>8</v>
      </c>
      <c r="F58" s="4">
        <v>7</v>
      </c>
      <c r="G58" s="4">
        <f t="shared" si="0"/>
        <v>3.5</v>
      </c>
      <c r="H58" s="4">
        <v>10.5</v>
      </c>
    </row>
    <row r="59" spans="1:8">
      <c r="A59" s="24" t="s">
        <v>206</v>
      </c>
      <c r="B59" s="4">
        <v>3.2749999999999999</v>
      </c>
      <c r="C59" s="4">
        <v>4.1500000000000004</v>
      </c>
      <c r="D59" s="4">
        <v>4.55</v>
      </c>
      <c r="E59" s="4">
        <v>8</v>
      </c>
      <c r="F59" s="4">
        <v>6.9</v>
      </c>
      <c r="G59" s="4">
        <f t="shared" si="0"/>
        <v>3.3499999999999996</v>
      </c>
      <c r="H59" s="4">
        <v>10.25</v>
      </c>
    </row>
    <row r="60" spans="1:8">
      <c r="A60" s="24" t="s">
        <v>207</v>
      </c>
      <c r="B60" s="4">
        <v>3.2</v>
      </c>
      <c r="C60" s="4">
        <v>4.0999999999999996</v>
      </c>
      <c r="D60" s="4">
        <v>4.5</v>
      </c>
      <c r="E60" s="4">
        <v>8</v>
      </c>
      <c r="F60" s="4">
        <v>6.8</v>
      </c>
      <c r="G60" s="4">
        <f t="shared" si="0"/>
        <v>3.2</v>
      </c>
      <c r="H60" s="4">
        <v>10</v>
      </c>
    </row>
    <row r="61" spans="1:8">
      <c r="A61" s="24" t="s">
        <v>208</v>
      </c>
      <c r="B61" s="4">
        <v>3.2</v>
      </c>
      <c r="C61" s="4">
        <v>4.0999999999999996</v>
      </c>
      <c r="D61" s="4">
        <v>4.5</v>
      </c>
      <c r="E61" s="4">
        <v>8</v>
      </c>
      <c r="F61" s="4">
        <v>6.8</v>
      </c>
      <c r="G61" s="4">
        <f t="shared" si="0"/>
        <v>3.2</v>
      </c>
      <c r="H61" s="4">
        <v>10</v>
      </c>
    </row>
    <row r="62" spans="1:8">
      <c r="A62" s="24" t="s">
        <v>209</v>
      </c>
      <c r="B62" s="4">
        <v>3.2</v>
      </c>
      <c r="C62" s="4">
        <v>4.0999999999999996</v>
      </c>
      <c r="D62" s="4">
        <v>4.5</v>
      </c>
      <c r="E62" s="4">
        <v>8</v>
      </c>
      <c r="F62" s="4">
        <v>6.8</v>
      </c>
      <c r="G62" s="4">
        <f t="shared" si="0"/>
        <v>3.2</v>
      </c>
      <c r="H62" s="4">
        <v>10</v>
      </c>
    </row>
    <row r="63" spans="1:8">
      <c r="A63" s="24" t="s">
        <v>210</v>
      </c>
      <c r="B63" s="4">
        <v>3.2</v>
      </c>
      <c r="C63" s="4">
        <v>4.0999999999999996</v>
      </c>
      <c r="D63" s="4">
        <v>4.5</v>
      </c>
      <c r="E63" s="4">
        <v>8</v>
      </c>
      <c r="F63" s="4">
        <v>6.8</v>
      </c>
      <c r="G63" s="4">
        <f t="shared" si="0"/>
        <v>3.2</v>
      </c>
      <c r="H63" s="4">
        <v>10</v>
      </c>
    </row>
  </sheetData>
  <mergeCells count="2">
    <mergeCell ref="A6:G6"/>
    <mergeCell ref="A5:G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A102"/>
  <sheetViews>
    <sheetView topLeftCell="A62" zoomScale="85" zoomScaleNormal="85" zoomScalePageLayoutView="75" workbookViewId="0">
      <selection activeCell="K18" sqref="K18"/>
    </sheetView>
  </sheetViews>
  <sheetFormatPr defaultColWidth="8.85546875" defaultRowHeight="15"/>
  <cols>
    <col min="1" max="1" width="16.140625" customWidth="1"/>
    <col min="2" max="2" width="54.85546875" bestFit="1" customWidth="1"/>
    <col min="3" max="3" width="15" style="250" bestFit="1" customWidth="1"/>
    <col min="4" max="4" width="14.28515625" customWidth="1"/>
    <col min="5" max="8" width="16" customWidth="1"/>
    <col min="17" max="17" width="28.140625" customWidth="1"/>
    <col min="18" max="21" width="14.42578125" customWidth="1"/>
    <col min="32" max="36" width="17.42578125" customWidth="1"/>
  </cols>
  <sheetData>
    <row r="2" spans="1:36">
      <c r="A2" s="10" t="str">
        <f>ModelDescription!A2</f>
        <v>Economic Forecasting Model</v>
      </c>
    </row>
    <row r="3" spans="1:36">
      <c r="A3" s="10" t="str">
        <f>ModelDescription!C4</f>
        <v>Noble, OK 6 Processor Facility - Series A + Series B</v>
      </c>
    </row>
    <row r="4" spans="1:36">
      <c r="A4" s="10"/>
    </row>
    <row r="5" spans="1:36">
      <c r="A5" s="6" t="s">
        <v>226</v>
      </c>
      <c r="C5" s="146" t="s">
        <v>227</v>
      </c>
      <c r="Q5" s="250"/>
      <c r="R5" s="250"/>
      <c r="S5" s="250"/>
      <c r="T5" s="250"/>
      <c r="U5" s="250"/>
    </row>
    <row r="6" spans="1:36">
      <c r="B6" t="s">
        <v>38</v>
      </c>
      <c r="C6" s="250" t="s">
        <v>228</v>
      </c>
      <c r="D6" s="193">
        <v>0.15</v>
      </c>
      <c r="Q6" s="263" t="s">
        <v>229</v>
      </c>
      <c r="R6" s="264">
        <f>Economics!$H$30</f>
        <v>0.67926385196285688</v>
      </c>
      <c r="S6" s="265">
        <f>Economics!$R$30</f>
        <v>0.78024157272345263</v>
      </c>
      <c r="T6" s="266">
        <f>Economics!$R$29</f>
        <v>14574636.469351664</v>
      </c>
      <c r="U6" s="267">
        <f>Economics!$U$9</f>
        <v>0.64389452515899204</v>
      </c>
      <c r="AF6" s="263" t="s">
        <v>230</v>
      </c>
      <c r="AG6" s="264">
        <f>Economics!$H$30</f>
        <v>0.67926385196285688</v>
      </c>
      <c r="AH6" s="265">
        <f>Economics!$R$30</f>
        <v>0.78024157272345263</v>
      </c>
      <c r="AI6" s="266">
        <f>Economics!$R$29</f>
        <v>14574636.469351664</v>
      </c>
      <c r="AJ6" s="267">
        <f>Economics!$U$9</f>
        <v>0.64389452515899204</v>
      </c>
    </row>
    <row r="7" spans="1:36">
      <c r="B7" t="s">
        <v>231</v>
      </c>
      <c r="C7" s="250" t="s">
        <v>228</v>
      </c>
      <c r="D7" s="194">
        <f>WACC!C18</f>
        <v>0.21</v>
      </c>
      <c r="Q7" s="273">
        <v>0.01</v>
      </c>
      <c r="R7" s="258">
        <f t="dataTable" ref="R7:U27" dt2D="0" dtr="0" r1="D13"/>
        <v>0.92341598978763817</v>
      </c>
      <c r="S7" s="258">
        <v>0.99896010791776124</v>
      </c>
      <c r="T7" s="256">
        <v>20091964.863718297</v>
      </c>
      <c r="U7" s="258">
        <v>0.7668802173386291</v>
      </c>
      <c r="AF7" s="276">
        <f t="shared" ref="AF7:AF13" si="0">AF8-1</f>
        <v>3</v>
      </c>
      <c r="AG7" s="258">
        <f t="dataTable" ref="AG7:AJ27" dt2D="0" dtr="0" r1="D16" ca="1"/>
        <v>-9.361419280412564E-3</v>
      </c>
      <c r="AH7" s="258">
        <v>0.23456284425300145</v>
      </c>
      <c r="AI7" s="256">
        <v>-2954326.6082891789</v>
      </c>
      <c r="AJ7" s="258">
        <v>0.39648018418535369</v>
      </c>
    </row>
    <row r="8" spans="1:36">
      <c r="B8" t="s">
        <v>48</v>
      </c>
      <c r="C8" s="250" t="s">
        <v>228</v>
      </c>
      <c r="D8" s="194">
        <f>WACC!C23</f>
        <v>0.2</v>
      </c>
      <c r="Q8" s="273">
        <f>Q7+0.01</f>
        <v>0.02</v>
      </c>
      <c r="R8" s="258">
        <v>0.89502830519006293</v>
      </c>
      <c r="S8" s="258">
        <v>0.97308507112078901</v>
      </c>
      <c r="T8" s="256">
        <v>19478928.375455331</v>
      </c>
      <c r="U8" s="258">
        <v>0.75321514042978055</v>
      </c>
      <c r="AF8" s="276">
        <f t="shared" si="0"/>
        <v>4</v>
      </c>
      <c r="AG8" s="258">
        <v>0.1329476318202969</v>
      </c>
      <c r="AH8" s="258">
        <v>0.33596432064969761</v>
      </c>
      <c r="AI8" s="256">
        <v>551466.00723899237</v>
      </c>
      <c r="AJ8" s="258">
        <v>0.4701112241588849</v>
      </c>
    </row>
    <row r="9" spans="1:36">
      <c r="B9" t="s">
        <v>232</v>
      </c>
      <c r="C9" s="250" t="s">
        <v>233</v>
      </c>
      <c r="D9" s="195">
        <v>15</v>
      </c>
      <c r="Q9" s="273">
        <f t="shared" ref="Q9:Q27" si="1">Q8+0.01</f>
        <v>0.03</v>
      </c>
      <c r="R9" s="258">
        <v>0.8669831062003206</v>
      </c>
      <c r="S9" s="258">
        <v>0.94762557884128817</v>
      </c>
      <c r="T9" s="256">
        <v>18865891.887192383</v>
      </c>
      <c r="U9" s="258">
        <v>0.73955006352093189</v>
      </c>
      <c r="AF9" s="276">
        <f t="shared" si="0"/>
        <v>5</v>
      </c>
      <c r="AG9" s="258">
        <v>0.26912965244537612</v>
      </c>
      <c r="AH9" s="258">
        <v>0.43898891488033809</v>
      </c>
      <c r="AI9" s="256">
        <v>4057258.6227671672</v>
      </c>
      <c r="AJ9" s="258">
        <v>0.52772949533432212</v>
      </c>
    </row>
    <row r="10" spans="1:36">
      <c r="B10" t="s">
        <v>234</v>
      </c>
      <c r="C10" s="250" t="s">
        <v>228</v>
      </c>
      <c r="D10" s="196">
        <v>0</v>
      </c>
      <c r="Q10" s="273">
        <f t="shared" si="1"/>
        <v>0.04</v>
      </c>
      <c r="R10" s="258">
        <v>0.83926832861298184</v>
      </c>
      <c r="S10" s="258">
        <v>0.92257170672510358</v>
      </c>
      <c r="T10" s="256">
        <v>18252855.398929421</v>
      </c>
      <c r="U10" s="258">
        <v>0.72588498661208334</v>
      </c>
      <c r="AF10" s="276">
        <f t="shared" si="0"/>
        <v>6</v>
      </c>
      <c r="AG10" s="258">
        <v>0.40376260737111402</v>
      </c>
      <c r="AH10" s="258">
        <v>0.54634435828306471</v>
      </c>
      <c r="AI10" s="256">
        <v>7563051.2382953241</v>
      </c>
      <c r="AJ10" s="258">
        <v>0.57404623339588434</v>
      </c>
    </row>
    <row r="11" spans="1:36">
      <c r="D11" s="63"/>
      <c r="Q11" s="273">
        <f t="shared" si="1"/>
        <v>0.05</v>
      </c>
      <c r="R11" s="258">
        <v>0.81187209445401209</v>
      </c>
      <c r="S11" s="258">
        <v>0.89791379237332558</v>
      </c>
      <c r="T11" s="256">
        <v>17639818.910666462</v>
      </c>
      <c r="U11" s="258">
        <v>0.71221990970323479</v>
      </c>
      <c r="AF11" s="276">
        <f t="shared" si="0"/>
        <v>7</v>
      </c>
      <c r="AG11" s="258">
        <v>0.53975325726839918</v>
      </c>
      <c r="AH11" s="258">
        <v>0.65968135136458406</v>
      </c>
      <c r="AI11" s="256">
        <v>11068843.853823505</v>
      </c>
      <c r="AJ11" s="258">
        <v>0.61208957000089848</v>
      </c>
    </row>
    <row r="12" spans="1:36">
      <c r="A12" s="10" t="s">
        <v>177</v>
      </c>
      <c r="D12" s="177" t="s">
        <v>235</v>
      </c>
      <c r="E12" s="146">
        <v>12</v>
      </c>
      <c r="F12" s="146">
        <v>24</v>
      </c>
      <c r="G12" s="146">
        <v>36</v>
      </c>
      <c r="H12" s="146">
        <v>48</v>
      </c>
      <c r="Q12" s="273">
        <f t="shared" si="1"/>
        <v>6.0000000000000005E-2</v>
      </c>
      <c r="R12" s="258">
        <v>0.78478269209644269</v>
      </c>
      <c r="S12" s="258">
        <v>0.87364241829135114</v>
      </c>
      <c r="T12" s="256">
        <v>17026782.422403503</v>
      </c>
      <c r="U12" s="258">
        <v>0.69855483279438613</v>
      </c>
      <c r="AF12" s="276">
        <f t="shared" si="0"/>
        <v>8</v>
      </c>
      <c r="AG12" s="258">
        <v>0.67926385196285688</v>
      </c>
      <c r="AH12" s="258">
        <v>0.78024157272345263</v>
      </c>
      <c r="AI12" s="256">
        <v>14574636.469351664</v>
      </c>
      <c r="AJ12" s="258">
        <v>0.64389452515899204</v>
      </c>
    </row>
    <row r="13" spans="1:36">
      <c r="B13" t="s">
        <v>236</v>
      </c>
      <c r="C13" s="250" t="s">
        <v>237</v>
      </c>
      <c r="D13" s="197">
        <v>0.1</v>
      </c>
      <c r="E13" s="197">
        <f>D13</f>
        <v>0.1</v>
      </c>
      <c r="F13" s="197">
        <f>E13</f>
        <v>0.1</v>
      </c>
      <c r="G13" s="197">
        <f>F13</f>
        <v>0.1</v>
      </c>
      <c r="H13" s="197">
        <f>G13</f>
        <v>0.1</v>
      </c>
      <c r="Q13" s="273">
        <f t="shared" si="1"/>
        <v>7.0000000000000007E-2</v>
      </c>
      <c r="R13" s="258">
        <v>0.75798855613195859</v>
      </c>
      <c r="S13" s="258">
        <v>0.84974839466203189</v>
      </c>
      <c r="T13" s="256">
        <v>16413745.934140543</v>
      </c>
      <c r="U13" s="258">
        <v>0.68488975588553758</v>
      </c>
      <c r="AF13" s="276">
        <f t="shared" si="0"/>
        <v>9</v>
      </c>
      <c r="AG13" s="258">
        <v>0.8241142396758403</v>
      </c>
      <c r="AH13" s="258">
        <v>0.90914482086798909</v>
      </c>
      <c r="AI13" s="256">
        <v>18080429.084879849</v>
      </c>
      <c r="AJ13" s="258">
        <v>0.67087928449686607</v>
      </c>
    </row>
    <row r="14" spans="1:36">
      <c r="A14" s="6" t="s">
        <v>238</v>
      </c>
      <c r="D14" s="2"/>
      <c r="Q14" s="273">
        <f t="shared" si="1"/>
        <v>0.08</v>
      </c>
      <c r="R14" s="258">
        <v>0.73147824688157637</v>
      </c>
      <c r="S14" s="258">
        <v>0.82622274183174427</v>
      </c>
      <c r="T14" s="256">
        <v>15800709.445877586</v>
      </c>
      <c r="U14" s="258">
        <v>0.67122467897668914</v>
      </c>
      <c r="AF14" s="276">
        <v>10</v>
      </c>
      <c r="AG14" s="258">
        <v>0.97599069905023916</v>
      </c>
      <c r="AH14" s="258">
        <v>1.0475363161936344</v>
      </c>
      <c r="AI14" s="256">
        <v>21586221.700408019</v>
      </c>
      <c r="AJ14" s="258">
        <v>0.69406244738797129</v>
      </c>
    </row>
    <row r="15" spans="1:36">
      <c r="A15" s="10"/>
      <c r="D15" s="177" t="s">
        <v>235</v>
      </c>
      <c r="E15" s="146">
        <v>12</v>
      </c>
      <c r="F15" s="146">
        <v>24</v>
      </c>
      <c r="G15" s="146">
        <v>36</v>
      </c>
      <c r="Q15" s="273">
        <f t="shared" si="1"/>
        <v>0.09</v>
      </c>
      <c r="R15" s="258">
        <v>0.70524042941839959</v>
      </c>
      <c r="S15" s="258">
        <v>0.80305667239104328</v>
      </c>
      <c r="T15" s="256">
        <v>15187672.957614625</v>
      </c>
      <c r="U15" s="258">
        <v>0.65755960206784037</v>
      </c>
      <c r="AF15" s="276">
        <f>AF16-1</f>
        <v>11</v>
      </c>
      <c r="AG15" s="258">
        <v>1.1365739751758532</v>
      </c>
      <c r="AH15" s="258">
        <v>1.1966742116323545</v>
      </c>
      <c r="AI15" s="256">
        <v>25092014.315936189</v>
      </c>
      <c r="AJ15" s="258">
        <v>0.71419449972028781</v>
      </c>
    </row>
    <row r="16" spans="1:36">
      <c r="B16" t="s">
        <v>175</v>
      </c>
      <c r="C16" s="250" t="s">
        <v>239</v>
      </c>
      <c r="D16" s="198">
        <v>8</v>
      </c>
      <c r="E16" s="198">
        <f>D16</f>
        <v>8</v>
      </c>
      <c r="F16" s="198">
        <f>E16</f>
        <v>8</v>
      </c>
      <c r="G16" s="198">
        <f>F16</f>
        <v>8</v>
      </c>
      <c r="M16" s="4"/>
      <c r="N16" s="4"/>
      <c r="O16" s="4"/>
      <c r="P16" s="4"/>
      <c r="Q16" s="273">
        <v>0.1</v>
      </c>
      <c r="R16" s="258">
        <v>0.67926385196285688</v>
      </c>
      <c r="S16" s="258">
        <v>0.78024157272345263</v>
      </c>
      <c r="T16" s="256">
        <v>14574636.469351664</v>
      </c>
      <c r="U16" s="258">
        <v>0.64389452515899204</v>
      </c>
      <c r="AF16" s="273">
        <v>12</v>
      </c>
      <c r="AG16" s="258">
        <v>1.3076323828272782</v>
      </c>
      <c r="AH16" s="258">
        <v>1.3579932627236486</v>
      </c>
      <c r="AI16" s="256">
        <v>28597806.931464363</v>
      </c>
      <c r="AJ16" s="258">
        <v>0.73184058264628493</v>
      </c>
    </row>
    <row r="17" spans="1:36">
      <c r="B17" t="s">
        <v>176</v>
      </c>
      <c r="C17" s="250" t="s">
        <v>237</v>
      </c>
      <c r="D17" s="198">
        <v>0.5</v>
      </c>
      <c r="Q17" s="273">
        <f t="shared" si="1"/>
        <v>0.11</v>
      </c>
      <c r="R17" s="258">
        <v>0.65353732349590521</v>
      </c>
      <c r="S17" s="258">
        <v>0.75776898388653602</v>
      </c>
      <c r="T17" s="256">
        <v>13961599.981088707</v>
      </c>
      <c r="U17" s="258">
        <v>0.63022944825014315</v>
      </c>
      <c r="AF17" s="276">
        <f>AF16+1</f>
        <v>13</v>
      </c>
      <c r="AG17" s="258">
        <v>1.4911020057698723</v>
      </c>
      <c r="AH17" s="258">
        <v>1.533163111120325</v>
      </c>
      <c r="AI17" s="256">
        <v>32103599.546992533</v>
      </c>
      <c r="AJ17" s="258">
        <v>0.74743438270500118</v>
      </c>
    </row>
    <row r="18" spans="1:36">
      <c r="B18" t="s">
        <v>127</v>
      </c>
      <c r="C18" s="250" t="s">
        <v>240</v>
      </c>
      <c r="D18" s="198">
        <v>1.5</v>
      </c>
      <c r="Q18" s="273">
        <f t="shared" si="1"/>
        <v>0.12</v>
      </c>
      <c r="R18" s="258">
        <v>0.62804969041793735</v>
      </c>
      <c r="S18" s="258">
        <v>0.73563058167869699</v>
      </c>
      <c r="T18" s="256">
        <v>13348563.492825747</v>
      </c>
      <c r="U18" s="258">
        <v>0.6165643713412946</v>
      </c>
      <c r="AF18" s="276">
        <f t="shared" ref="AF18:AF27" si="2">AF17+1</f>
        <v>14</v>
      </c>
      <c r="AG18" s="258">
        <v>1.6891667584239096</v>
      </c>
      <c r="AH18" s="258">
        <v>1.7241520570709064</v>
      </c>
      <c r="AI18" s="256">
        <v>35609392.162520699</v>
      </c>
      <c r="AJ18" s="258">
        <v>0.76131425259236174</v>
      </c>
    </row>
    <row r="19" spans="1:36">
      <c r="B19" t="s">
        <v>241</v>
      </c>
      <c r="C19" s="250" t="s">
        <v>237</v>
      </c>
      <c r="D19" s="198">
        <v>0</v>
      </c>
      <c r="Q19" s="273">
        <f t="shared" si="1"/>
        <v>0.13</v>
      </c>
      <c r="R19" s="258">
        <v>0.60278981205997439</v>
      </c>
      <c r="S19" s="258">
        <v>0.71381815573283403</v>
      </c>
      <c r="T19" s="256">
        <v>12735527.004562786</v>
      </c>
      <c r="U19" s="258">
        <v>0.60289929443244628</v>
      </c>
      <c r="AF19" s="276">
        <f t="shared" si="2"/>
        <v>15</v>
      </c>
      <c r="AG19" s="258">
        <v>1.9043476763520415</v>
      </c>
      <c r="AH19" s="258">
        <v>1.9333043156249512</v>
      </c>
      <c r="AI19" s="256">
        <v>39115184.778048865</v>
      </c>
      <c r="AJ19" s="258">
        <v>0.77374804215667137</v>
      </c>
    </row>
    <row r="20" spans="1:36">
      <c r="B20" t="s">
        <v>242</v>
      </c>
      <c r="C20" s="250" t="s">
        <v>243</v>
      </c>
      <c r="D20" s="198">
        <v>0</v>
      </c>
      <c r="Q20" s="273">
        <f t="shared" si="1"/>
        <v>0.14000000000000001</v>
      </c>
      <c r="R20" s="258">
        <v>0.57774653482858285</v>
      </c>
      <c r="S20" s="258">
        <v>0.6923235874635838</v>
      </c>
      <c r="T20" s="256">
        <v>12122490.516299825</v>
      </c>
      <c r="U20" s="258">
        <v>0.58923421752359739</v>
      </c>
      <c r="AF20" s="276">
        <f t="shared" si="2"/>
        <v>16</v>
      </c>
      <c r="AG20" s="258">
        <v>2.1396102884928552</v>
      </c>
      <c r="AH20" s="258">
        <v>2.1634385239622738</v>
      </c>
      <c r="AI20" s="256">
        <v>42620977.393577024</v>
      </c>
      <c r="AJ20" s="258">
        <v>0.78495055258759516</v>
      </c>
    </row>
    <row r="21" spans="1:36">
      <c r="Q21" s="273">
        <f t="shared" si="1"/>
        <v>0.15000000000000002</v>
      </c>
      <c r="R21" s="258">
        <v>0.55290866473599287</v>
      </c>
      <c r="S21" s="258">
        <v>0.67113882667846281</v>
      </c>
      <c r="T21" s="256">
        <v>11509454.028036872</v>
      </c>
      <c r="U21" s="258">
        <v>0.57556914061474918</v>
      </c>
      <c r="AF21" s="276">
        <f t="shared" si="2"/>
        <v>17</v>
      </c>
      <c r="AG21" s="258">
        <v>2.398500332963946</v>
      </c>
      <c r="AH21" s="258">
        <v>2.4179769168356438</v>
      </c>
      <c r="AI21" s="256">
        <v>46126770.009105198</v>
      </c>
      <c r="AJ21" s="258">
        <v>0.79509604993414096</v>
      </c>
    </row>
    <row r="22" spans="1:36">
      <c r="A22" s="6" t="s">
        <v>244</v>
      </c>
      <c r="Q22" s="273">
        <f t="shared" si="1"/>
        <v>0.16000000000000003</v>
      </c>
      <c r="R22" s="258">
        <v>0.52826493803114438</v>
      </c>
      <c r="S22" s="258">
        <v>0.65025586664341306</v>
      </c>
      <c r="T22" s="256">
        <v>10896417.539773909</v>
      </c>
      <c r="U22" s="258">
        <v>0.56190406370590029</v>
      </c>
      <c r="AF22" s="276">
        <f t="shared" si="2"/>
        <v>18</v>
      </c>
      <c r="AG22" s="258">
        <v>2.6853213447155282</v>
      </c>
      <c r="AH22" s="258">
        <v>2.7011180624833586</v>
      </c>
      <c r="AI22" s="256">
        <v>49632562.624633379</v>
      </c>
      <c r="AJ22" s="258">
        <v>0.80432739606366932</v>
      </c>
    </row>
    <row r="23" spans="1:36">
      <c r="A23" s="6"/>
      <c r="B23" t="s">
        <v>245</v>
      </c>
      <c r="C23" s="250" t="s">
        <v>246</v>
      </c>
      <c r="D23" s="199">
        <v>15000000</v>
      </c>
      <c r="E23" s="250" t="s">
        <v>15</v>
      </c>
      <c r="Q23" s="273">
        <f t="shared" si="1"/>
        <v>0.17000000000000004</v>
      </c>
      <c r="R23" s="258">
        <v>0.50380398960466688</v>
      </c>
      <c r="S23" s="258">
        <v>0.62966671737024282</v>
      </c>
      <c r="T23" s="256">
        <v>10283381.051510945</v>
      </c>
      <c r="U23" s="258">
        <v>0.54823898679705163</v>
      </c>
      <c r="AF23" s="276">
        <f t="shared" si="2"/>
        <v>19</v>
      </c>
      <c r="AG23" s="258">
        <v>3.0053733148016661</v>
      </c>
      <c r="AH23" s="258">
        <v>3.0180718925101342</v>
      </c>
      <c r="AI23" s="256">
        <v>53138355.240161538</v>
      </c>
      <c r="AJ23" s="258">
        <v>0.8127628178138242</v>
      </c>
    </row>
    <row r="24" spans="1:36">
      <c r="A24" s="6"/>
      <c r="B24" t="s">
        <v>247</v>
      </c>
      <c r="C24" s="250" t="s">
        <v>70</v>
      </c>
      <c r="D24" s="204">
        <v>1</v>
      </c>
      <c r="Q24" s="273">
        <f t="shared" si="1"/>
        <v>0.18000000000000005</v>
      </c>
      <c r="R24" s="258">
        <v>0.47951431878955741</v>
      </c>
      <c r="S24" s="258">
        <v>0.60936337686559594</v>
      </c>
      <c r="T24" s="256">
        <v>9670344.5632479899</v>
      </c>
      <c r="U24" s="258">
        <v>0.53457390988820308</v>
      </c>
      <c r="AF24" s="276">
        <f t="shared" si="2"/>
        <v>20</v>
      </c>
      <c r="AG24" s="258">
        <v>3.3652809407859934</v>
      </c>
      <c r="AH24" s="258">
        <v>3.3753852088192753</v>
      </c>
      <c r="AI24" s="256">
        <v>56644147.855689734</v>
      </c>
      <c r="AJ24" s="258">
        <v>0.82050099760238859</v>
      </c>
    </row>
    <row r="25" spans="1:36">
      <c r="A25" s="6"/>
      <c r="B25" t="s">
        <v>248</v>
      </c>
      <c r="C25" s="250" t="s">
        <v>228</v>
      </c>
      <c r="D25" s="215">
        <v>0.5</v>
      </c>
      <c r="Q25" s="273">
        <f t="shared" si="1"/>
        <v>0.19000000000000006</v>
      </c>
      <c r="R25" s="258">
        <v>0.4553842521177367</v>
      </c>
      <c r="S25" s="258">
        <v>0.58933780004751557</v>
      </c>
      <c r="T25" s="256">
        <v>9057308.074985031</v>
      </c>
      <c r="U25" s="258">
        <v>0.52090883297935442</v>
      </c>
      <c r="AF25" s="276">
        <f t="shared" si="2"/>
        <v>21</v>
      </c>
      <c r="AG25" s="258">
        <v>3.7734552936701302</v>
      </c>
      <c r="AH25" s="258">
        <v>3.7814012520546036</v>
      </c>
      <c r="AI25" s="256">
        <v>60149940.471217871</v>
      </c>
      <c r="AJ25" s="258">
        <v>0.82762495182077156</v>
      </c>
    </row>
    <row r="26" spans="1:36">
      <c r="A26" s="6"/>
      <c r="D26" s="255"/>
      <c r="Q26" s="273">
        <f t="shared" si="1"/>
        <v>0.20000000000000007</v>
      </c>
      <c r="R26" s="258">
        <v>0.431401902518318</v>
      </c>
      <c r="S26" s="258">
        <v>0.56958186499467667</v>
      </c>
      <c r="T26" s="256">
        <v>8444271.5867220666</v>
      </c>
      <c r="U26" s="258">
        <v>0.50724375607050587</v>
      </c>
      <c r="AF26" s="276">
        <f t="shared" si="2"/>
        <v>22</v>
      </c>
      <c r="AG26" s="258">
        <v>4.2407583361181782</v>
      </c>
      <c r="AH26" s="258">
        <v>4.2469225940244488</v>
      </c>
      <c r="AI26" s="256">
        <v>63655733.086746059</v>
      </c>
      <c r="AJ26" s="258">
        <v>0.83420502092849214</v>
      </c>
    </row>
    <row r="27" spans="1:36">
      <c r="A27" s="6"/>
      <c r="Q27" s="273">
        <f t="shared" si="1"/>
        <v>0.21000000000000008</v>
      </c>
      <c r="R27" s="258">
        <v>0.40755512435338059</v>
      </c>
      <c r="S27" s="258">
        <v>0.55008733614288063</v>
      </c>
      <c r="T27" s="256">
        <v>7831235.0984591087</v>
      </c>
      <c r="U27" s="258">
        <v>0.49357867916165732</v>
      </c>
      <c r="AF27" s="276">
        <f t="shared" si="2"/>
        <v>23</v>
      </c>
      <c r="AG27" s="258">
        <v>4.7814837854115853</v>
      </c>
      <c r="AH27" s="258">
        <v>4.7861907239845856</v>
      </c>
      <c r="AI27" s="256">
        <v>67161525.702274218</v>
      </c>
      <c r="AJ27" s="258">
        <v>0.84030119988410312</v>
      </c>
    </row>
    <row r="28" spans="1:36">
      <c r="B28" t="s">
        <v>249</v>
      </c>
      <c r="C28" s="250" t="s">
        <v>246</v>
      </c>
      <c r="D28" s="199">
        <v>110000000</v>
      </c>
      <c r="E28" s="250" t="s">
        <v>250</v>
      </c>
      <c r="R28" s="259"/>
      <c r="S28" s="259"/>
      <c r="T28" s="250"/>
      <c r="U28" s="259"/>
    </row>
    <row r="29" spans="1:36">
      <c r="B29" t="s">
        <v>251</v>
      </c>
      <c r="C29" s="250" t="s">
        <v>70</v>
      </c>
      <c r="D29" s="204">
        <v>7</v>
      </c>
      <c r="Q29" s="268" t="s">
        <v>252</v>
      </c>
      <c r="R29" s="269">
        <f>Economics!$H$30</f>
        <v>0.67926385196285688</v>
      </c>
      <c r="S29" s="270">
        <f>Economics!$R$30</f>
        <v>0.78024157272345263</v>
      </c>
      <c r="T29" s="271">
        <f>Economics!$R$29</f>
        <v>14574636.469351664</v>
      </c>
      <c r="U29" s="272">
        <f>Economics!$U$9</f>
        <v>0.64389452515899204</v>
      </c>
      <c r="AF29" s="263" t="s">
        <v>171</v>
      </c>
      <c r="AG29" s="264">
        <f>Economics!$H$30</f>
        <v>0.67926385196285688</v>
      </c>
      <c r="AH29" s="265">
        <f>Economics!$R$30</f>
        <v>0.78024157272345263</v>
      </c>
      <c r="AI29" s="266">
        <f>Economics!$R$29</f>
        <v>14574636.469351664</v>
      </c>
      <c r="AJ29" s="267">
        <f>Economics!$U$9</f>
        <v>0.64389452515899204</v>
      </c>
    </row>
    <row r="30" spans="1:36">
      <c r="B30" t="s">
        <v>253</v>
      </c>
      <c r="C30" s="250" t="s">
        <v>228</v>
      </c>
      <c r="D30" s="215">
        <f>1/(COUNTIFS(B81:B88, "&gt;0"))</f>
        <v>0.16666666666666666</v>
      </c>
      <c r="Q30" s="274">
        <f t="shared" ref="Q30:Q37" si="3">Q31-0.05</f>
        <v>-0.44999999999999996</v>
      </c>
      <c r="R30" s="258">
        <f t="dataTable" ref="R30:U49" dt2D="0" dtr="0" r1="D66" ca="1"/>
        <v>0.88689688162599567</v>
      </c>
      <c r="S30" s="258">
        <v>0.96569245597162068</v>
      </c>
      <c r="T30" s="256">
        <v>19302614.910071697</v>
      </c>
      <c r="U30" s="258">
        <v>0.73430365006485609</v>
      </c>
      <c r="AF30" s="273">
        <f t="shared" ref="AF30:AF37" si="4">AF31-0.05</f>
        <v>5.0000000000000072E-2</v>
      </c>
      <c r="AG30" s="258">
        <f t="dataTable" ref="AG30:AJ49" dt2D="0" dtr="0" r1="D17" ca="1"/>
        <v>0.21843731894845964</v>
      </c>
      <c r="AH30" s="258">
        <v>0.39995916181613467</v>
      </c>
      <c r="AI30" s="256">
        <v>2742586.391944095</v>
      </c>
      <c r="AJ30" s="258">
        <v>0.50765347400166616</v>
      </c>
    </row>
    <row r="31" spans="1:36">
      <c r="D31" s="192"/>
      <c r="Q31" s="274">
        <f t="shared" si="3"/>
        <v>-0.39999999999999997</v>
      </c>
      <c r="R31" s="258">
        <v>0.86293067109313659</v>
      </c>
      <c r="S31" s="258">
        <v>0.94395545414380977</v>
      </c>
      <c r="T31" s="256">
        <v>18777283.97221392</v>
      </c>
      <c r="U31" s="258">
        <v>0.72425819174198225</v>
      </c>
      <c r="AF31" s="273">
        <f t="shared" si="4"/>
        <v>0.10000000000000007</v>
      </c>
      <c r="AG31" s="258">
        <v>0.26912965244537612</v>
      </c>
      <c r="AH31" s="258">
        <v>0.43898891488033809</v>
      </c>
      <c r="AI31" s="256">
        <v>4057258.6227671672</v>
      </c>
      <c r="AJ31" s="258">
        <v>0.52772949533432212</v>
      </c>
    </row>
    <row r="32" spans="1:36">
      <c r="A32" s="6" t="s">
        <v>254</v>
      </c>
      <c r="Q32" s="274">
        <f t="shared" si="3"/>
        <v>-0.35</v>
      </c>
      <c r="R32" s="258">
        <v>0.83920554750252041</v>
      </c>
      <c r="S32" s="258">
        <v>0.92251499178759855</v>
      </c>
      <c r="T32" s="256">
        <v>18251953.034356136</v>
      </c>
      <c r="U32" s="258">
        <v>0.7142127334191084</v>
      </c>
      <c r="AF32" s="273">
        <f t="shared" si="4"/>
        <v>0.15000000000000008</v>
      </c>
      <c r="AG32" s="258">
        <v>0.31961927660017153</v>
      </c>
      <c r="AH32" s="258">
        <v>0.47863719685869421</v>
      </c>
      <c r="AI32" s="256">
        <v>5371930.8535902286</v>
      </c>
      <c r="AJ32" s="258">
        <v>0.54623241402093503</v>
      </c>
    </row>
    <row r="33" spans="1:36">
      <c r="A33" s="6"/>
      <c r="B33" t="s">
        <v>255</v>
      </c>
      <c r="C33" s="250" t="s">
        <v>70</v>
      </c>
      <c r="D33" s="204">
        <v>8</v>
      </c>
      <c r="Q33" s="274">
        <f t="shared" si="3"/>
        <v>-0.3</v>
      </c>
      <c r="R33" s="258">
        <v>0.81571405453673362</v>
      </c>
      <c r="S33" s="258">
        <v>0.901365010954712</v>
      </c>
      <c r="T33" s="256">
        <v>17726622.096498355</v>
      </c>
      <c r="U33" s="258">
        <v>0.70416727509623467</v>
      </c>
      <c r="AF33" s="273">
        <f t="shared" si="4"/>
        <v>0.20000000000000007</v>
      </c>
      <c r="AG33" s="258">
        <v>0.3700735117462326</v>
      </c>
      <c r="AH33" s="258">
        <v>0.5189990881406894</v>
      </c>
      <c r="AI33" s="256">
        <v>6686603.084413291</v>
      </c>
      <c r="AJ33" s="258">
        <v>0.5633401552850017</v>
      </c>
    </row>
    <row r="34" spans="1:36">
      <c r="A34" s="6"/>
      <c r="B34" t="s">
        <v>256</v>
      </c>
      <c r="C34" s="250" t="s">
        <v>257</v>
      </c>
      <c r="D34" s="204">
        <v>24</v>
      </c>
      <c r="Q34" s="274">
        <f t="shared" si="3"/>
        <v>-0.25</v>
      </c>
      <c r="R34" s="258">
        <v>0.79244882514392634</v>
      </c>
      <c r="S34" s="258">
        <v>0.88049958536370387</v>
      </c>
      <c r="T34" s="256">
        <v>17201291.158640571</v>
      </c>
      <c r="U34" s="258">
        <v>0.69412181677336082</v>
      </c>
      <c r="AF34" s="273">
        <f t="shared" si="4"/>
        <v>0.25000000000000006</v>
      </c>
      <c r="AG34" s="258">
        <v>0.42063791291941754</v>
      </c>
      <c r="AH34" s="258">
        <v>0.56015655538139564</v>
      </c>
      <c r="AI34" s="256">
        <v>8001275.3152363487</v>
      </c>
      <c r="AJ34" s="258">
        <v>0.57920478698598377</v>
      </c>
    </row>
    <row r="35" spans="1:36">
      <c r="A35" s="6"/>
      <c r="B35" t="s">
        <v>157</v>
      </c>
      <c r="C35" s="250" t="s">
        <v>228</v>
      </c>
      <c r="D35" s="215">
        <v>0.84</v>
      </c>
      <c r="Q35" s="274">
        <f t="shared" si="3"/>
        <v>-0.2</v>
      </c>
      <c r="R35" s="258">
        <v>0.76940257226373432</v>
      </c>
      <c r="S35" s="258">
        <v>0.85991291246643331</v>
      </c>
      <c r="T35" s="256">
        <v>16675960.220782792</v>
      </c>
      <c r="U35" s="258">
        <v>0.68407635845048709</v>
      </c>
      <c r="AF35" s="273">
        <f t="shared" si="4"/>
        <v>0.30000000000000004</v>
      </c>
      <c r="AG35" s="258">
        <v>0.47144171931126921</v>
      </c>
      <c r="AH35" s="258">
        <v>0.60218231459180371</v>
      </c>
      <c r="AI35" s="256">
        <v>9315947.5460594222</v>
      </c>
      <c r="AJ35" s="258">
        <v>0.59395705216482231</v>
      </c>
    </row>
    <row r="36" spans="1:36">
      <c r="A36" s="10" t="s">
        <v>258</v>
      </c>
      <c r="Q36" s="274">
        <f t="shared" si="3"/>
        <v>-0.15000000000000002</v>
      </c>
      <c r="R36" s="258">
        <v>0.74656807941626724</v>
      </c>
      <c r="S36" s="258">
        <v>0.83959930540654226</v>
      </c>
      <c r="T36" s="256">
        <v>16150629.282925006</v>
      </c>
      <c r="U36" s="258">
        <v>0.67403090012761324</v>
      </c>
      <c r="AF36" s="273">
        <f t="shared" si="4"/>
        <v>0.35000000000000003</v>
      </c>
      <c r="AG36" s="258">
        <v>0.52260186388030028</v>
      </c>
      <c r="AH36" s="258">
        <v>0.6451427018199607</v>
      </c>
      <c r="AI36" s="256">
        <v>10630619.776882485</v>
      </c>
      <c r="AJ36" s="258">
        <v>0.60770998046856428</v>
      </c>
    </row>
    <row r="37" spans="1:36">
      <c r="B37" t="s">
        <v>259</v>
      </c>
      <c r="C37" s="250" t="s">
        <v>260</v>
      </c>
      <c r="D37" s="198">
        <v>65</v>
      </c>
      <c r="Q37" s="274">
        <f t="shared" si="3"/>
        <v>-0.1</v>
      </c>
      <c r="R37" s="258">
        <v>0.72393819111200663</v>
      </c>
      <c r="S37" s="258">
        <v>0.81955318483037787</v>
      </c>
      <c r="T37" s="256">
        <v>15625298.345067225</v>
      </c>
      <c r="U37" s="258">
        <v>0.6639854418047394</v>
      </c>
      <c r="AF37" s="273">
        <f t="shared" si="4"/>
        <v>0.4</v>
      </c>
      <c r="AG37" s="258">
        <v>0.57422599446892697</v>
      </c>
      <c r="AH37" s="258">
        <v>0.68909984691417048</v>
      </c>
      <c r="AI37" s="256">
        <v>11945292.007705539</v>
      </c>
      <c r="AJ37" s="258">
        <v>0.62056178969192122</v>
      </c>
    </row>
    <row r="38" spans="1:36">
      <c r="B38" t="s">
        <v>261</v>
      </c>
      <c r="C38" s="250" t="s">
        <v>260</v>
      </c>
      <c r="D38" s="198">
        <v>50</v>
      </c>
      <c r="Q38" s="274">
        <f>Q39-0.05</f>
        <v>-0.05</v>
      </c>
      <c r="R38" s="258">
        <v>0.70150580303688637</v>
      </c>
      <c r="S38" s="258">
        <v>0.79976907050851098</v>
      </c>
      <c r="T38" s="256">
        <v>15099967.407209443</v>
      </c>
      <c r="U38" s="258">
        <v>0.65393998348186566</v>
      </c>
      <c r="AF38" s="273">
        <f>AF39-0.05</f>
        <v>0.45</v>
      </c>
      <c r="AG38" s="258">
        <v>0.62641480169396901</v>
      </c>
      <c r="AH38" s="258">
        <v>0.73411334666297767</v>
      </c>
      <c r="AI38" s="256">
        <v>13259964.238528607</v>
      </c>
      <c r="AJ38" s="258">
        <v>0.63259823506691293</v>
      </c>
    </row>
    <row r="39" spans="1:36">
      <c r="B39" t="s">
        <v>262</v>
      </c>
      <c r="C39" s="250" t="s">
        <v>260</v>
      </c>
      <c r="D39" s="198">
        <v>30</v>
      </c>
      <c r="Q39" s="274">
        <v>0</v>
      </c>
      <c r="R39" s="259">
        <v>0.67926385196285688</v>
      </c>
      <c r="S39" s="259">
        <v>0.78024157272345263</v>
      </c>
      <c r="T39" s="256">
        <v>14574636.469351664</v>
      </c>
      <c r="U39" s="259">
        <v>0.64389452515899204</v>
      </c>
      <c r="AF39" s="273">
        <v>0.5</v>
      </c>
      <c r="AG39" s="258">
        <v>0.67926385196285688</v>
      </c>
      <c r="AH39" s="258">
        <v>0.78024157272345263</v>
      </c>
      <c r="AI39" s="256">
        <v>14574636.469351664</v>
      </c>
      <c r="AJ39" s="258">
        <v>0.64389452515899204</v>
      </c>
    </row>
    <row r="40" spans="1:36">
      <c r="B40" t="s">
        <v>263</v>
      </c>
      <c r="C40" s="250" t="s">
        <v>260</v>
      </c>
      <c r="D40" s="198">
        <v>25</v>
      </c>
      <c r="Q40" s="274">
        <f>Q39+0.05</f>
        <v>0.05</v>
      </c>
      <c r="R40" s="258">
        <v>0.65720530532953769</v>
      </c>
      <c r="S40" s="258">
        <v>0.76096538337625486</v>
      </c>
      <c r="T40" s="256">
        <v>14049305.531493882</v>
      </c>
      <c r="U40" s="258">
        <v>0.63384906683611797</v>
      </c>
      <c r="AF40" s="276">
        <f>AF39+0.05</f>
        <v>0.55000000000000004</v>
      </c>
      <c r="AG40" s="258">
        <v>0.73286506208606172</v>
      </c>
      <c r="AH40" s="258">
        <v>0.82754271085253683</v>
      </c>
      <c r="AI40" s="256">
        <v>15889308.70017474</v>
      </c>
      <c r="AJ40" s="258">
        <v>0.65451689486436115</v>
      </c>
    </row>
    <row r="41" spans="1:36">
      <c r="D41" s="148"/>
      <c r="Q41" s="274">
        <f t="shared" ref="Q41:Q49" si="5">Q40+0.05</f>
        <v>0.1</v>
      </c>
      <c r="R41" s="258">
        <v>0.63532315043714971</v>
      </c>
      <c r="S41" s="258">
        <v>0.74193526676146293</v>
      </c>
      <c r="T41" s="256">
        <v>13523974.593636101</v>
      </c>
      <c r="U41" s="258">
        <v>0.62380360851324412</v>
      </c>
      <c r="AF41" s="276">
        <f t="shared" ref="AF41:AF49" si="6">AF40+0.05</f>
        <v>0.60000000000000009</v>
      </c>
      <c r="AG41" s="258">
        <v>0.78730791146451184</v>
      </c>
      <c r="AH41" s="258">
        <v>0.87607560210795588</v>
      </c>
      <c r="AI41" s="256">
        <v>17203980.9309978</v>
      </c>
      <c r="AJ41" s="258">
        <v>0.66452390503357561</v>
      </c>
    </row>
    <row r="42" spans="1:36">
      <c r="A42" s="10" t="s">
        <v>264</v>
      </c>
      <c r="D42" s="3"/>
      <c r="Q42" s="274">
        <f t="shared" si="5"/>
        <v>0.15000000000000002</v>
      </c>
      <c r="R42" s="258">
        <v>0.61361038318463601</v>
      </c>
      <c r="S42" s="258">
        <v>0.72314604995620435</v>
      </c>
      <c r="T42" s="256">
        <v>12998643.655778315</v>
      </c>
      <c r="U42" s="258">
        <v>0.61375815019037028</v>
      </c>
      <c r="AF42" s="276">
        <f t="shared" si="6"/>
        <v>0.65000000000000013</v>
      </c>
      <c r="AG42" s="258">
        <v>0.84268046075958547</v>
      </c>
      <c r="AH42" s="258">
        <v>0.92590043887152107</v>
      </c>
      <c r="AI42" s="256">
        <v>18518653.161820859</v>
      </c>
      <c r="AJ42" s="258">
        <v>0.67396752258951942</v>
      </c>
    </row>
    <row r="43" spans="1:36">
      <c r="B43" t="s">
        <v>265</v>
      </c>
      <c r="C43" s="250" t="s">
        <v>228</v>
      </c>
      <c r="D43" s="193">
        <v>0.1</v>
      </c>
      <c r="Q43" s="274">
        <f t="shared" si="5"/>
        <v>0.2</v>
      </c>
      <c r="R43" s="258">
        <v>0.5920599962795503</v>
      </c>
      <c r="S43" s="258">
        <v>0.70459261276508278</v>
      </c>
      <c r="T43" s="256">
        <v>12473312.71792054</v>
      </c>
      <c r="U43" s="258">
        <v>0.60371269186749654</v>
      </c>
      <c r="AF43" s="276">
        <f t="shared" si="6"/>
        <v>0.70000000000000018</v>
      </c>
      <c r="AG43" s="258">
        <v>0.8990702275117517</v>
      </c>
      <c r="AH43" s="258">
        <v>0.97707935588733341</v>
      </c>
      <c r="AI43" s="256">
        <v>19833325.39264394</v>
      </c>
      <c r="AJ43" s="258">
        <v>0.6828940232089411</v>
      </c>
    </row>
    <row r="44" spans="1:36">
      <c r="Q44" s="274">
        <f t="shared" si="5"/>
        <v>0.25</v>
      </c>
      <c r="R44" s="258">
        <v>0.57066496683784584</v>
      </c>
      <c r="S44" s="258">
        <v>0.68626987715772869</v>
      </c>
      <c r="T44" s="256">
        <v>11947981.780062759</v>
      </c>
      <c r="U44" s="258">
        <v>0.59366723354462303</v>
      </c>
      <c r="AF44" s="276">
        <f t="shared" si="6"/>
        <v>0.75000000000000022</v>
      </c>
      <c r="AG44" s="258">
        <v>0.95656495640737638</v>
      </c>
      <c r="AH44" s="258">
        <v>1.0296769472950444</v>
      </c>
      <c r="AI44" s="256">
        <v>21147997.623466998</v>
      </c>
      <c r="AJ44" s="258">
        <v>0.6913447496677334</v>
      </c>
    </row>
    <row r="45" spans="1:36">
      <c r="A45" s="10" t="s">
        <v>266</v>
      </c>
      <c r="D45" s="2"/>
      <c r="Q45" s="274">
        <f t="shared" si="5"/>
        <v>0.3</v>
      </c>
      <c r="R45" s="258">
        <v>0.54941824328180711</v>
      </c>
      <c r="S45" s="258">
        <v>0.6681727961306041</v>
      </c>
      <c r="T45" s="256">
        <v>11422650.842204979</v>
      </c>
      <c r="U45" s="258">
        <v>0.58362177522174885</v>
      </c>
      <c r="AF45" s="276">
        <f t="shared" si="6"/>
        <v>0.80000000000000027</v>
      </c>
      <c r="AG45" s="258">
        <v>1.0152533129362773</v>
      </c>
      <c r="AH45" s="258">
        <v>1.0837607338304251</v>
      </c>
      <c r="AI45" s="256">
        <v>22462669.854290064</v>
      </c>
      <c r="AJ45" s="258">
        <v>0.69935675207650072</v>
      </c>
    </row>
    <row r="46" spans="1:36">
      <c r="A46" s="10"/>
      <c r="B46" t="s">
        <v>267</v>
      </c>
      <c r="C46" s="250" t="s">
        <v>268</v>
      </c>
      <c r="D46" s="200">
        <f>D47/D34</f>
        <v>2</v>
      </c>
      <c r="Q46" s="274">
        <f t="shared" si="5"/>
        <v>0.35</v>
      </c>
      <c r="R46" s="258">
        <v>0.52831273143289126</v>
      </c>
      <c r="S46" s="258">
        <v>0.65029634191821972</v>
      </c>
      <c r="T46" s="256">
        <v>10897319.904347192</v>
      </c>
      <c r="U46" s="258">
        <v>0.573576316898875</v>
      </c>
      <c r="AF46" s="276">
        <f t="shared" si="6"/>
        <v>0.85000000000000031</v>
      </c>
      <c r="AG46" s="258">
        <v>1.0752255228342023</v>
      </c>
      <c r="AH46" s="258">
        <v>1.1394015992962325</v>
      </c>
      <c r="AI46" s="256">
        <v>23777342.085113145</v>
      </c>
      <c r="AJ46" s="258">
        <v>0.70696333092446495</v>
      </c>
    </row>
    <row r="47" spans="1:36">
      <c r="B47" t="s">
        <v>269</v>
      </c>
      <c r="C47" s="250" t="s">
        <v>270</v>
      </c>
      <c r="D47" s="251">
        <f>2*24</f>
        <v>48</v>
      </c>
      <c r="Q47" s="274">
        <f t="shared" si="5"/>
        <v>0.39999999999999997</v>
      </c>
      <c r="R47" s="258">
        <v>0.50734127968286624</v>
      </c>
      <c r="S47" s="258">
        <v>0.63263549347180237</v>
      </c>
      <c r="T47" s="256">
        <v>10371988.966489408</v>
      </c>
      <c r="U47" s="258">
        <v>0.56353085857600127</v>
      </c>
      <c r="AF47" s="276">
        <f t="shared" si="6"/>
        <v>0.90000000000000036</v>
      </c>
      <c r="AG47" s="258">
        <v>1.1365739751758541</v>
      </c>
      <c r="AH47" s="258">
        <v>1.1966742116323559</v>
      </c>
      <c r="AI47" s="256">
        <v>25092014.3159362</v>
      </c>
      <c r="AJ47" s="258">
        <v>0.71419449972028826</v>
      </c>
    </row>
    <row r="48" spans="1:36">
      <c r="B48" t="s">
        <v>271</v>
      </c>
      <c r="C48" s="250" t="s">
        <v>272</v>
      </c>
      <c r="D48" s="201">
        <v>18</v>
      </c>
      <c r="Q48" s="274">
        <f t="shared" si="5"/>
        <v>0.44999999999999996</v>
      </c>
      <c r="R48" s="258">
        <v>0.48649666311094397</v>
      </c>
      <c r="S48" s="258">
        <v>0.61518522311488688</v>
      </c>
      <c r="T48" s="256">
        <v>9846658.0286316257</v>
      </c>
      <c r="U48" s="258">
        <v>0.55348540025312742</v>
      </c>
      <c r="AF48" s="276">
        <f t="shared" si="6"/>
        <v>0.9500000000000004</v>
      </c>
      <c r="AG48" s="258">
        <v>1.1993938037501199</v>
      </c>
      <c r="AH48" s="258">
        <v>1.2556574411278154</v>
      </c>
      <c r="AI48" s="256">
        <v>26406686.54675927</v>
      </c>
      <c r="AJ48" s="258">
        <v>0.72107738078390293</v>
      </c>
    </row>
    <row r="49" spans="1:52">
      <c r="B49" t="s">
        <v>273</v>
      </c>
      <c r="C49" s="250" t="s">
        <v>272</v>
      </c>
      <c r="D49" s="201">
        <v>0</v>
      </c>
      <c r="Q49" s="274">
        <f t="shared" si="5"/>
        <v>0.49999999999999994</v>
      </c>
      <c r="R49" s="258">
        <v>0.46577156639628514</v>
      </c>
      <c r="S49" s="258">
        <v>0.59794048227531094</v>
      </c>
      <c r="T49" s="256">
        <v>9321327.0907738488</v>
      </c>
      <c r="U49" s="258">
        <v>0.54343994193025391</v>
      </c>
      <c r="AF49" s="276">
        <f t="shared" si="6"/>
        <v>1.0000000000000004</v>
      </c>
      <c r="AG49" s="258">
        <v>1.2637834590544901</v>
      </c>
      <c r="AH49" s="258">
        <v>1.316434786297493</v>
      </c>
      <c r="AI49" s="256">
        <v>27721358.777582314</v>
      </c>
      <c r="AJ49" s="258">
        <v>0.72763654519352217</v>
      </c>
    </row>
    <row r="50" spans="1:52">
      <c r="D50" s="14"/>
      <c r="R50" s="259"/>
      <c r="S50" s="259"/>
      <c r="T50" s="250"/>
      <c r="U50" s="259"/>
    </row>
    <row r="51" spans="1:52">
      <c r="A51" s="10" t="s">
        <v>163</v>
      </c>
      <c r="D51" s="2"/>
      <c r="Q51" s="268" t="s">
        <v>274</v>
      </c>
      <c r="R51" s="269">
        <f>Economics!$H$30</f>
        <v>0.67926385196285688</v>
      </c>
      <c r="S51" s="270">
        <f>Economics!$R$30</f>
        <v>0.78024157272345263</v>
      </c>
      <c r="T51" s="271">
        <f>Economics!$R$29</f>
        <v>14574636.469351664</v>
      </c>
      <c r="U51" s="272">
        <f>Economics!$U$9</f>
        <v>0.64389452515899204</v>
      </c>
      <c r="AF51" s="280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281"/>
      <c r="AR51" s="281"/>
      <c r="AS51" s="281"/>
      <c r="AT51" s="281"/>
      <c r="AU51" s="281"/>
      <c r="AV51" s="281"/>
      <c r="AW51" s="281"/>
      <c r="AX51" s="281"/>
      <c r="AY51" s="281"/>
      <c r="AZ51" s="281"/>
    </row>
    <row r="52" spans="1:52">
      <c r="A52" s="10"/>
      <c r="B52" s="62" t="s">
        <v>275</v>
      </c>
      <c r="C52" s="144"/>
      <c r="D52" s="2"/>
      <c r="Q52" s="275">
        <f t="shared" ref="Q52:Q60" si="7">Q53-0.025</f>
        <v>0.19999999999999987</v>
      </c>
      <c r="R52" s="258">
        <f t="dataTable" ref="R52:U71" dt2D="0" dtr="0" r1="D53" ca="1"/>
        <v>0.35511882623074564</v>
      </c>
      <c r="S52" s="258">
        <v>0.50696055401120255</v>
      </c>
      <c r="T52" s="256">
        <v>6297070.5715768225</v>
      </c>
      <c r="U52" s="258">
        <v>0.55840719734016675</v>
      </c>
      <c r="AF52" s="281"/>
      <c r="AG52" s="282"/>
      <c r="AH52" s="282"/>
      <c r="AI52" s="282"/>
      <c r="AJ52" s="282"/>
      <c r="AK52" s="282"/>
      <c r="AL52" s="282"/>
      <c r="AM52" s="282"/>
      <c r="AN52" s="282"/>
      <c r="AO52" s="282"/>
      <c r="AP52" s="282"/>
      <c r="AQ52" s="282"/>
      <c r="AR52" s="282"/>
      <c r="AS52" s="282"/>
      <c r="AT52" s="282"/>
      <c r="AU52" s="282"/>
      <c r="AV52" s="282"/>
      <c r="AW52" s="282"/>
      <c r="AX52" s="282"/>
      <c r="AY52" s="282"/>
      <c r="AZ52" s="282"/>
    </row>
    <row r="53" spans="1:52">
      <c r="B53" t="s">
        <v>164</v>
      </c>
      <c r="D53" s="194">
        <v>0.45</v>
      </c>
      <c r="Q53" s="275">
        <f t="shared" si="7"/>
        <v>0.22499999999999987</v>
      </c>
      <c r="R53" s="258">
        <v>0.38690939711385641</v>
      </c>
      <c r="S53" s="258">
        <v>0.53262609638469516</v>
      </c>
      <c r="T53" s="256">
        <v>7124827.1613543071</v>
      </c>
      <c r="U53" s="258">
        <v>0.56875963202877311</v>
      </c>
      <c r="AF53" s="281"/>
      <c r="AG53" s="282"/>
      <c r="AH53" s="282"/>
      <c r="AI53" s="282"/>
      <c r="AJ53" s="282"/>
      <c r="AK53" s="282"/>
      <c r="AL53" s="282"/>
      <c r="AM53" s="282"/>
      <c r="AN53" s="282"/>
      <c r="AO53" s="282"/>
      <c r="AP53" s="282"/>
      <c r="AQ53" s="282"/>
      <c r="AR53" s="282"/>
      <c r="AS53" s="282"/>
      <c r="AT53" s="282"/>
      <c r="AU53" s="282"/>
      <c r="AV53" s="282"/>
      <c r="AW53" s="282"/>
      <c r="AX53" s="282"/>
      <c r="AY53" s="282"/>
      <c r="AZ53" s="282"/>
    </row>
    <row r="54" spans="1:52">
      <c r="B54" t="s">
        <v>165</v>
      </c>
      <c r="D54" s="39">
        <f>1-D53-D55</f>
        <v>0.45000000000000007</v>
      </c>
      <c r="Q54" s="275">
        <f t="shared" si="7"/>
        <v>0.24999999999999986</v>
      </c>
      <c r="R54" s="258">
        <v>0.41876164329661236</v>
      </c>
      <c r="S54" s="258">
        <v>0.55861714669505425</v>
      </c>
      <c r="T54" s="256">
        <v>7952583.7511317916</v>
      </c>
      <c r="U54" s="258">
        <v>0.57863779286681027</v>
      </c>
      <c r="AF54" s="281"/>
      <c r="AG54" s="282"/>
      <c r="AH54" s="282"/>
      <c r="AI54" s="282"/>
      <c r="AJ54" s="282"/>
      <c r="AK54" s="282"/>
      <c r="AL54" s="282"/>
      <c r="AM54" s="282"/>
      <c r="AN54" s="282"/>
      <c r="AO54" s="282"/>
      <c r="AP54" s="282"/>
      <c r="AQ54" s="282"/>
      <c r="AR54" s="282"/>
      <c r="AS54" s="282"/>
      <c r="AT54" s="282"/>
      <c r="AU54" s="282"/>
      <c r="AV54" s="282"/>
      <c r="AW54" s="282"/>
      <c r="AX54" s="282"/>
      <c r="AY54" s="282"/>
      <c r="AZ54" s="282"/>
    </row>
    <row r="55" spans="1:52">
      <c r="B55" t="s">
        <v>166</v>
      </c>
      <c r="D55" s="193">
        <v>0.1</v>
      </c>
      <c r="Q55" s="275">
        <f t="shared" si="7"/>
        <v>0.27499999999999986</v>
      </c>
      <c r="R55" s="258">
        <v>0.45070724117611993</v>
      </c>
      <c r="S55" s="258">
        <v>0.58495152790382754</v>
      </c>
      <c r="T55" s="256">
        <v>8780340.3409092724</v>
      </c>
      <c r="U55" s="258">
        <v>0.5880735417218117</v>
      </c>
      <c r="AF55" s="281"/>
      <c r="AG55" s="282"/>
      <c r="AH55" s="282"/>
      <c r="AI55" s="282"/>
      <c r="AJ55" s="282"/>
      <c r="AK55" s="282"/>
      <c r="AL55" s="282"/>
      <c r="AM55" s="282"/>
      <c r="AN55" s="282"/>
      <c r="AO55" s="282"/>
      <c r="AP55" s="282"/>
      <c r="AQ55" s="282"/>
      <c r="AR55" s="282"/>
      <c r="AS55" s="282"/>
      <c r="AT55" s="282"/>
      <c r="AU55" s="282"/>
      <c r="AV55" s="282"/>
      <c r="AW55" s="282"/>
      <c r="AX55" s="282"/>
      <c r="AY55" s="282"/>
      <c r="AZ55" s="282"/>
    </row>
    <row r="56" spans="1:52">
      <c r="D56" s="30"/>
      <c r="P56" t="s">
        <v>276</v>
      </c>
      <c r="Q56" s="275">
        <f t="shared" si="7"/>
        <v>0.29999999999999988</v>
      </c>
      <c r="R56" s="258">
        <v>0.48277592837948435</v>
      </c>
      <c r="S56" s="258">
        <v>0.61164605671108241</v>
      </c>
      <c r="T56" s="256">
        <v>9608096.9306867681</v>
      </c>
      <c r="U56" s="258">
        <v>0.59709594898492724</v>
      </c>
      <c r="AF56" s="281"/>
      <c r="AG56" s="282"/>
      <c r="AH56" s="282"/>
      <c r="AI56" s="282"/>
      <c r="AJ56" s="282"/>
      <c r="AK56" s="282"/>
      <c r="AL56" s="282"/>
      <c r="AM56" s="282"/>
      <c r="AN56" s="282"/>
      <c r="AO56" s="282"/>
      <c r="AP56" s="282"/>
      <c r="AQ56" s="282"/>
      <c r="AR56" s="282"/>
      <c r="AS56" s="282"/>
      <c r="AT56" s="282"/>
      <c r="AU56" s="282"/>
      <c r="AV56" s="282"/>
      <c r="AW56" s="282"/>
      <c r="AX56" s="282"/>
      <c r="AY56" s="282"/>
      <c r="AZ56" s="282"/>
    </row>
    <row r="57" spans="1:52">
      <c r="A57" s="6" t="s">
        <v>277</v>
      </c>
      <c r="D57" s="146" t="s">
        <v>278</v>
      </c>
      <c r="E57" s="146" t="s">
        <v>112</v>
      </c>
      <c r="F57" s="147" t="s">
        <v>279</v>
      </c>
      <c r="G57" s="146" t="s">
        <v>280</v>
      </c>
      <c r="Q57" s="275">
        <f t="shared" si="7"/>
        <v>0.3249999999999999</v>
      </c>
      <c r="R57" s="258">
        <v>0.51499581758775981</v>
      </c>
      <c r="S57" s="258">
        <v>0.63871676944382738</v>
      </c>
      <c r="T57" s="256">
        <v>10435853.520464238</v>
      </c>
      <c r="U57" s="258">
        <v>0.60573159272645982</v>
      </c>
      <c r="AF57" s="281"/>
      <c r="AG57" s="282"/>
      <c r="AH57" s="282"/>
      <c r="AI57" s="282"/>
      <c r="AJ57" s="282"/>
      <c r="AK57" s="282"/>
      <c r="AL57" s="282"/>
      <c r="AM57" s="282"/>
      <c r="AN57" s="282"/>
      <c r="AO57" s="282"/>
      <c r="AP57" s="282"/>
      <c r="AQ57" s="282"/>
      <c r="AR57" s="282"/>
      <c r="AS57" s="282"/>
      <c r="AT57" s="282"/>
      <c r="AU57" s="282"/>
      <c r="AV57" s="282"/>
      <c r="AW57" s="282"/>
      <c r="AX57" s="282"/>
      <c r="AY57" s="282"/>
      <c r="AZ57" s="282"/>
    </row>
    <row r="58" spans="1:52">
      <c r="A58" s="6"/>
      <c r="E58" s="257">
        <v>0.3</v>
      </c>
      <c r="F58" s="1"/>
      <c r="Q58" s="275">
        <f t="shared" si="7"/>
        <v>0.34999999999999992</v>
      </c>
      <c r="R58" s="258">
        <v>0.54739366162537095</v>
      </c>
      <c r="S58" s="258">
        <v>0.66617911299835475</v>
      </c>
      <c r="T58" s="256">
        <v>11263610.110241735</v>
      </c>
      <c r="U58" s="258">
        <v>0.61400482018698366</v>
      </c>
      <c r="AF58" s="281"/>
      <c r="AG58" s="282"/>
      <c r="AH58" s="282"/>
      <c r="AI58" s="282"/>
      <c r="AJ58" s="282"/>
      <c r="AK58" s="282"/>
      <c r="AL58" s="282"/>
      <c r="AM58" s="282"/>
      <c r="AN58" s="282"/>
      <c r="AO58" s="282"/>
      <c r="AP58" s="282"/>
      <c r="AQ58" s="282"/>
      <c r="AR58" s="282"/>
      <c r="AS58" s="282"/>
      <c r="AT58" s="282"/>
      <c r="AU58" s="282"/>
      <c r="AV58" s="282"/>
      <c r="AW58" s="282"/>
      <c r="AX58" s="282"/>
      <c r="AY58" s="282"/>
      <c r="AZ58" s="282"/>
    </row>
    <row r="59" spans="1:52">
      <c r="A59" s="6"/>
      <c r="B59" t="s">
        <v>92</v>
      </c>
      <c r="C59" s="250" t="s">
        <v>281</v>
      </c>
      <c r="D59" s="202">
        <v>96000</v>
      </c>
      <c r="E59" s="16">
        <f t="shared" ref="E59:E65" si="8">D59*E$58</f>
        <v>28800</v>
      </c>
      <c r="F59" s="16">
        <f>(D59+E59)*(1+$D$66)</f>
        <v>124800</v>
      </c>
      <c r="G59" s="16">
        <f>F59/12</f>
        <v>10400</v>
      </c>
      <c r="Q59" s="275">
        <f t="shared" si="7"/>
        <v>0.37499999999999994</v>
      </c>
      <c r="R59" s="258">
        <v>0.57999507932379601</v>
      </c>
      <c r="S59" s="258">
        <v>0.69404810722979704</v>
      </c>
      <c r="T59" s="256">
        <v>12091366.700019214</v>
      </c>
      <c r="U59" s="258">
        <v>0.62193797702271947</v>
      </c>
      <c r="AF59" s="281"/>
      <c r="AG59" s="282"/>
      <c r="AH59" s="282"/>
      <c r="AI59" s="282"/>
      <c r="AJ59" s="282"/>
      <c r="AK59" s="282"/>
      <c r="AL59" s="282"/>
      <c r="AM59" s="282"/>
      <c r="AN59" s="282"/>
      <c r="AO59" s="282"/>
      <c r="AP59" s="282"/>
      <c r="AQ59" s="282"/>
      <c r="AR59" s="282"/>
      <c r="AS59" s="282"/>
      <c r="AT59" s="282"/>
      <c r="AU59" s="282"/>
      <c r="AV59" s="282"/>
      <c r="AW59" s="282"/>
      <c r="AX59" s="282"/>
      <c r="AY59" s="282"/>
      <c r="AZ59" s="282"/>
    </row>
    <row r="60" spans="1:52">
      <c r="A60" s="6"/>
      <c r="B60" t="s">
        <v>93</v>
      </c>
      <c r="C60" s="250" t="s">
        <v>281</v>
      </c>
      <c r="D60" s="202">
        <v>84000</v>
      </c>
      <c r="E60" s="16">
        <f t="shared" si="8"/>
        <v>25200</v>
      </c>
      <c r="F60" s="16">
        <f t="shared" ref="F60:F65" si="9">(D60+E60)*(1+$D$66)</f>
        <v>109200</v>
      </c>
      <c r="G60" s="16">
        <f t="shared" ref="G60:G65" si="10">F60/12</f>
        <v>9100</v>
      </c>
      <c r="Q60" s="275">
        <f t="shared" si="7"/>
        <v>0.39999999999999997</v>
      </c>
      <c r="R60" s="258">
        <v>0.61282474960479605</v>
      </c>
      <c r="S60" s="258">
        <v>0.7223384838913216</v>
      </c>
      <c r="T60" s="256">
        <v>12919123.289796695</v>
      </c>
      <c r="U60" s="258">
        <v>0.62955160885085726</v>
      </c>
      <c r="AF60" s="281"/>
      <c r="AG60" s="282"/>
      <c r="AH60" s="282"/>
      <c r="AI60" s="282"/>
      <c r="AJ60" s="282"/>
      <c r="AK60" s="282"/>
      <c r="AL60" s="282"/>
      <c r="AM60" s="282"/>
      <c r="AN60" s="282"/>
      <c r="AO60" s="282"/>
      <c r="AP60" s="282"/>
      <c r="AQ60" s="282"/>
      <c r="AR60" s="282"/>
      <c r="AS60" s="282"/>
      <c r="AT60" s="282"/>
      <c r="AU60" s="282"/>
      <c r="AV60" s="282"/>
      <c r="AW60" s="282"/>
      <c r="AX60" s="282"/>
      <c r="AY60" s="282"/>
      <c r="AZ60" s="282"/>
    </row>
    <row r="61" spans="1:52">
      <c r="A61" s="6"/>
      <c r="B61" t="s">
        <v>94</v>
      </c>
      <c r="C61" s="250" t="s">
        <v>281</v>
      </c>
      <c r="D61" s="202">
        <v>84000</v>
      </c>
      <c r="E61" s="16">
        <f t="shared" si="8"/>
        <v>25200</v>
      </c>
      <c r="F61" s="16">
        <f t="shared" si="9"/>
        <v>109200</v>
      </c>
      <c r="G61" s="16">
        <f t="shared" si="10"/>
        <v>9100</v>
      </c>
      <c r="Q61" s="275">
        <f>Q62-0.025</f>
        <v>0.42499999999999999</v>
      </c>
      <c r="R61" s="258">
        <v>0.64590657966659015</v>
      </c>
      <c r="S61" s="258">
        <v>0.75106480624638938</v>
      </c>
      <c r="T61" s="256">
        <v>13746879.879574187</v>
      </c>
      <c r="U61" s="258">
        <v>0.63686463892261158</v>
      </c>
      <c r="AF61" s="148"/>
      <c r="AG61" s="282"/>
      <c r="AH61" s="282"/>
      <c r="AI61" s="282"/>
      <c r="AJ61" s="282"/>
      <c r="AK61" s="282"/>
      <c r="AL61" s="282"/>
      <c r="AM61" s="282"/>
      <c r="AN61" s="282"/>
      <c r="AO61" s="282"/>
      <c r="AP61" s="282"/>
      <c r="AQ61" s="282"/>
      <c r="AR61" s="282"/>
      <c r="AS61" s="282"/>
      <c r="AT61" s="282"/>
      <c r="AU61" s="282"/>
      <c r="AV61" s="282"/>
      <c r="AW61" s="282"/>
      <c r="AX61" s="282"/>
      <c r="AY61" s="282"/>
      <c r="AZ61" s="282"/>
    </row>
    <row r="62" spans="1:52">
      <c r="A62" s="6"/>
      <c r="B62" t="s">
        <v>95</v>
      </c>
      <c r="C62" s="250" t="s">
        <v>281</v>
      </c>
      <c r="D62" s="202">
        <v>84000</v>
      </c>
      <c r="E62" s="16">
        <f t="shared" si="8"/>
        <v>25200</v>
      </c>
      <c r="F62" s="16">
        <f t="shared" si="9"/>
        <v>109200</v>
      </c>
      <c r="G62" s="16">
        <f t="shared" si="10"/>
        <v>9100</v>
      </c>
      <c r="Q62" s="274">
        <v>0.45</v>
      </c>
      <c r="R62" s="258">
        <v>0.67926385196285688</v>
      </c>
      <c r="S62" s="258">
        <v>0.78024157272345263</v>
      </c>
      <c r="T62" s="256">
        <v>14574636.469351664</v>
      </c>
      <c r="U62" s="258">
        <v>0.64389452515899204</v>
      </c>
      <c r="AF62" s="281"/>
      <c r="AG62" s="282"/>
      <c r="AH62" s="282"/>
      <c r="AI62" s="282"/>
      <c r="AJ62" s="282"/>
      <c r="AK62" s="282"/>
      <c r="AL62" s="282"/>
      <c r="AM62" s="282"/>
      <c r="AN62" s="282"/>
      <c r="AO62" s="282"/>
      <c r="AP62" s="282"/>
      <c r="AQ62" s="282"/>
      <c r="AR62" s="282"/>
      <c r="AS62" s="282"/>
      <c r="AT62" s="282"/>
      <c r="AU62" s="282"/>
      <c r="AV62" s="282"/>
      <c r="AW62" s="282"/>
      <c r="AX62" s="282"/>
      <c r="AY62" s="282"/>
      <c r="AZ62" s="282"/>
    </row>
    <row r="63" spans="1:52">
      <c r="A63" s="6"/>
      <c r="B63" t="s">
        <v>96</v>
      </c>
      <c r="C63" s="250" t="s">
        <v>281</v>
      </c>
      <c r="D63" s="202">
        <v>60000</v>
      </c>
      <c r="E63" s="16">
        <f t="shared" si="8"/>
        <v>18000</v>
      </c>
      <c r="F63" s="16">
        <f t="shared" si="9"/>
        <v>78000</v>
      </c>
      <c r="G63" s="16">
        <f t="shared" si="10"/>
        <v>6500</v>
      </c>
      <c r="Q63" s="275">
        <f>Q62+0.025</f>
        <v>0.47500000000000003</v>
      </c>
      <c r="R63" s="258">
        <v>0.71291935374437965</v>
      </c>
      <c r="S63" s="258">
        <v>0.80988330739294812</v>
      </c>
      <c r="T63" s="256">
        <v>15402393.059129158</v>
      </c>
      <c r="U63" s="258">
        <v>0.65065739929277722</v>
      </c>
      <c r="AF63" s="281"/>
      <c r="AG63" s="282"/>
      <c r="AH63" s="282"/>
      <c r="AI63" s="282"/>
      <c r="AJ63" s="282"/>
      <c r="AK63" s="282"/>
      <c r="AL63" s="282"/>
      <c r="AM63" s="282"/>
      <c r="AN63" s="282"/>
      <c r="AO63" s="282"/>
      <c r="AP63" s="282"/>
      <c r="AQ63" s="282"/>
      <c r="AR63" s="282"/>
      <c r="AS63" s="282"/>
      <c r="AT63" s="282"/>
      <c r="AU63" s="282"/>
      <c r="AV63" s="282"/>
      <c r="AW63" s="282"/>
      <c r="AX63" s="282"/>
      <c r="AY63" s="282"/>
      <c r="AZ63" s="282"/>
    </row>
    <row r="64" spans="1:52">
      <c r="A64" s="6"/>
      <c r="B64" t="s">
        <v>282</v>
      </c>
      <c r="C64" s="250" t="s">
        <v>283</v>
      </c>
      <c r="D64" s="202">
        <v>60000</v>
      </c>
      <c r="E64" s="16">
        <f t="shared" si="8"/>
        <v>18000</v>
      </c>
      <c r="F64" s="16">
        <f t="shared" si="9"/>
        <v>78000</v>
      </c>
      <c r="G64" s="16">
        <f t="shared" si="10"/>
        <v>6500</v>
      </c>
      <c r="Q64" s="275">
        <f t="shared" ref="Q64:Q71" si="11">Q63+0.025</f>
        <v>0.5</v>
      </c>
      <c r="R64" s="258">
        <v>0.74689549221801421</v>
      </c>
      <c r="S64" s="258">
        <v>0.84000463957876192</v>
      </c>
      <c r="T64" s="256">
        <v>16230149.648906639</v>
      </c>
      <c r="U64" s="258">
        <v>0.65716819045113284</v>
      </c>
      <c r="AF64" s="281"/>
      <c r="AG64" s="282"/>
      <c r="AH64" s="282"/>
      <c r="AI64" s="282"/>
      <c r="AJ64" s="282"/>
      <c r="AK64" s="282"/>
      <c r="AL64" s="282"/>
      <c r="AM64" s="282"/>
      <c r="AN64" s="282"/>
      <c r="AO64" s="282"/>
      <c r="AP64" s="282"/>
      <c r="AQ64" s="282"/>
      <c r="AR64" s="282"/>
      <c r="AS64" s="282"/>
      <c r="AT64" s="282"/>
      <c r="AU64" s="282"/>
      <c r="AV64" s="282"/>
      <c r="AW64" s="282"/>
      <c r="AX64" s="282"/>
      <c r="AY64" s="282"/>
      <c r="AZ64" s="282"/>
    </row>
    <row r="65" spans="1:183">
      <c r="A65" s="6"/>
      <c r="B65" t="s">
        <v>98</v>
      </c>
      <c r="C65" s="250" t="s">
        <v>281</v>
      </c>
      <c r="D65" s="202">
        <v>84000</v>
      </c>
      <c r="E65" s="16">
        <f t="shared" si="8"/>
        <v>25200</v>
      </c>
      <c r="F65" s="16">
        <f t="shared" si="9"/>
        <v>109200</v>
      </c>
      <c r="G65" s="16">
        <f t="shared" si="10"/>
        <v>9100</v>
      </c>
      <c r="Q65" s="275">
        <f t="shared" si="11"/>
        <v>0.52500000000000002</v>
      </c>
      <c r="R65" s="258">
        <v>0.78121439781773372</v>
      </c>
      <c r="S65" s="258">
        <v>0.87062037454111363</v>
      </c>
      <c r="T65" s="256">
        <v>17057906.238684122</v>
      </c>
      <c r="U65" s="258">
        <v>0.66344073517161983</v>
      </c>
      <c r="AF65" s="281"/>
      <c r="AG65" s="282"/>
      <c r="AH65" s="282"/>
      <c r="AI65" s="282"/>
      <c r="AJ65" s="282"/>
      <c r="AK65" s="282"/>
      <c r="AL65" s="282"/>
      <c r="AM65" s="282"/>
      <c r="AN65" s="282"/>
      <c r="AO65" s="282"/>
      <c r="AP65" s="282"/>
      <c r="AQ65" s="282"/>
      <c r="AR65" s="282"/>
      <c r="AS65" s="282"/>
      <c r="AT65" s="282"/>
      <c r="AU65" s="282"/>
      <c r="AV65" s="282"/>
      <c r="AW65" s="282"/>
      <c r="AX65" s="282"/>
      <c r="AY65" s="282"/>
      <c r="AZ65" s="282"/>
    </row>
    <row r="66" spans="1:183">
      <c r="B66" t="s">
        <v>284</v>
      </c>
      <c r="C66" s="250" t="s">
        <v>228</v>
      </c>
      <c r="D66" s="194">
        <v>0</v>
      </c>
      <c r="E66" s="16"/>
      <c r="F66" s="16"/>
      <c r="G66" s="16"/>
      <c r="Q66" s="275">
        <f t="shared" si="11"/>
        <v>0.55000000000000004</v>
      </c>
      <c r="R66" s="258">
        <v>0.81589801764099246</v>
      </c>
      <c r="S66" s="258">
        <v>0.90174555686300262</v>
      </c>
      <c r="T66" s="256">
        <v>17885662.828461617</v>
      </c>
      <c r="U66" s="258">
        <v>0.66948787555790545</v>
      </c>
      <c r="AF66" s="281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</row>
    <row r="67" spans="1:183">
      <c r="A67" s="6" t="s">
        <v>285</v>
      </c>
      <c r="D67" s="30"/>
      <c r="Q67" s="275">
        <f t="shared" si="11"/>
        <v>0.57500000000000007</v>
      </c>
      <c r="R67" s="258">
        <v>0.85096820075344892</v>
      </c>
      <c r="S67" s="258">
        <v>0.93339552792288538</v>
      </c>
      <c r="T67" s="256">
        <v>18713419.418239091</v>
      </c>
      <c r="U67" s="258">
        <v>0.67532154704054514</v>
      </c>
      <c r="AF67" s="281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</row>
    <row r="68" spans="1:183">
      <c r="A68" s="6"/>
      <c r="D68" s="145" t="s">
        <v>286</v>
      </c>
      <c r="Q68" s="275">
        <f t="shared" si="11"/>
        <v>0.60000000000000009</v>
      </c>
      <c r="R68" s="258">
        <v>0.88644677678564476</v>
      </c>
      <c r="S68" s="258">
        <v>0.96558597863048901</v>
      </c>
      <c r="T68" s="256">
        <v>19541176.008016583</v>
      </c>
      <c r="U68" s="258">
        <v>0.68095285700489316</v>
      </c>
      <c r="AF68" s="281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</row>
    <row r="69" spans="1:183">
      <c r="B69" t="s">
        <v>259</v>
      </c>
      <c r="C69" s="250" t="s">
        <v>287</v>
      </c>
      <c r="D69" s="203">
        <v>0.33</v>
      </c>
      <c r="Q69" s="275">
        <f t="shared" si="11"/>
        <v>0.62500000000000011</v>
      </c>
      <c r="R69" s="258">
        <v>0.92235562902137636</v>
      </c>
      <c r="S69" s="258">
        <v>0.99833299843215784</v>
      </c>
      <c r="T69" s="256">
        <v>20368932.597794071</v>
      </c>
      <c r="U69" s="258">
        <v>0.68639215537603826</v>
      </c>
      <c r="AF69" s="281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</row>
    <row r="70" spans="1:183">
      <c r="B70" t="s">
        <v>107</v>
      </c>
      <c r="C70" s="250" t="s">
        <v>287</v>
      </c>
      <c r="D70" s="203">
        <v>2.5</v>
      </c>
      <c r="Q70" s="275">
        <f t="shared" si="11"/>
        <v>0.65000000000000013</v>
      </c>
      <c r="R70" s="258">
        <v>0.9587167629970943</v>
      </c>
      <c r="S70" s="258">
        <v>1.0316531214504976</v>
      </c>
      <c r="T70" s="256">
        <v>21196689.18757154</v>
      </c>
      <c r="U70" s="258">
        <v>0.69164909810455188</v>
      </c>
      <c r="AF70" s="281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</row>
    <row r="71" spans="1:183">
      <c r="B71" t="s">
        <v>108</v>
      </c>
      <c r="C71" s="250" t="s">
        <v>287</v>
      </c>
      <c r="D71" s="203">
        <v>2.5</v>
      </c>
      <c r="Q71" s="275">
        <f t="shared" si="11"/>
        <v>0.67500000000000016</v>
      </c>
      <c r="R71" s="258">
        <v>0.99555237148624709</v>
      </c>
      <c r="S71" s="258">
        <v>1.0655633705051613</v>
      </c>
      <c r="T71" s="256">
        <v>22024445.777349032</v>
      </c>
      <c r="U71" s="258">
        <v>0.6967327043723025</v>
      </c>
      <c r="AF71" s="281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</row>
    <row r="72" spans="1:183">
      <c r="B72" t="s">
        <v>263</v>
      </c>
      <c r="C72" s="250" t="s">
        <v>287</v>
      </c>
      <c r="D72" s="203">
        <v>2.5</v>
      </c>
      <c r="AF72" s="281"/>
      <c r="AG72" s="282"/>
      <c r="AH72" s="282"/>
      <c r="AI72" s="282"/>
      <c r="AJ72" s="282"/>
      <c r="AK72" s="282"/>
      <c r="AL72" s="282"/>
      <c r="AM72" s="282"/>
      <c r="AN72" s="282"/>
      <c r="AO72" s="282"/>
      <c r="AP72" s="282"/>
      <c r="AQ72" s="282"/>
      <c r="AR72" s="282"/>
      <c r="AS72" s="282"/>
      <c r="AT72" s="282"/>
      <c r="AU72" s="282"/>
      <c r="AV72" s="282"/>
      <c r="AW72" s="282"/>
      <c r="AX72" s="282"/>
      <c r="AY72" s="282"/>
      <c r="AZ72" s="282"/>
    </row>
    <row r="73" spans="1:183">
      <c r="D73" s="30"/>
    </row>
    <row r="74" spans="1:183">
      <c r="D74" s="30"/>
    </row>
    <row r="75" spans="1:183">
      <c r="A75" s="6" t="s">
        <v>288</v>
      </c>
      <c r="D75" s="30"/>
    </row>
    <row r="76" spans="1:183">
      <c r="B76" s="21"/>
      <c r="C76" s="8" t="s">
        <v>69</v>
      </c>
      <c r="D76" s="8">
        <v>1</v>
      </c>
      <c r="E76" s="8">
        <v>2</v>
      </c>
      <c r="F76" s="8">
        <v>3</v>
      </c>
      <c r="G76" s="8">
        <v>4</v>
      </c>
      <c r="H76" s="8">
        <v>5</v>
      </c>
      <c r="I76" s="8">
        <v>6</v>
      </c>
      <c r="J76" s="8">
        <v>7</v>
      </c>
      <c r="K76" s="8">
        <v>8</v>
      </c>
      <c r="L76" s="8">
        <v>9</v>
      </c>
      <c r="M76" s="8">
        <v>10</v>
      </c>
      <c r="N76" s="8">
        <v>11</v>
      </c>
      <c r="O76" s="8">
        <v>12</v>
      </c>
      <c r="P76" s="8">
        <v>13</v>
      </c>
      <c r="Q76" s="8">
        <v>14</v>
      </c>
      <c r="R76" s="8">
        <v>15</v>
      </c>
      <c r="S76" s="8">
        <v>16</v>
      </c>
      <c r="T76" s="8">
        <v>17</v>
      </c>
      <c r="U76" s="8">
        <v>18</v>
      </c>
      <c r="V76" s="8">
        <v>19</v>
      </c>
      <c r="W76" s="8">
        <v>20</v>
      </c>
      <c r="X76" s="8">
        <v>21</v>
      </c>
      <c r="Y76" s="8">
        <v>22</v>
      </c>
      <c r="Z76" s="8">
        <v>23</v>
      </c>
      <c r="AA76" s="8">
        <v>24</v>
      </c>
      <c r="AB76" s="8">
        <v>25</v>
      </c>
      <c r="AC76" s="8">
        <v>26</v>
      </c>
      <c r="AD76" s="8">
        <v>27</v>
      </c>
      <c r="AE76" s="8">
        <v>28</v>
      </c>
      <c r="AF76" s="8">
        <v>29</v>
      </c>
      <c r="AG76" s="8">
        <v>30</v>
      </c>
      <c r="AH76" s="8">
        <v>31</v>
      </c>
      <c r="AI76" s="8">
        <v>32</v>
      </c>
      <c r="AJ76" s="8">
        <v>33</v>
      </c>
      <c r="AK76" s="8">
        <v>34</v>
      </c>
      <c r="AL76" s="8">
        <v>35</v>
      </c>
      <c r="AM76" s="8">
        <v>36</v>
      </c>
      <c r="AN76" s="8">
        <v>37</v>
      </c>
      <c r="AO76" s="8">
        <v>38</v>
      </c>
      <c r="AP76" s="8">
        <v>39</v>
      </c>
      <c r="AQ76" s="8">
        <v>40</v>
      </c>
      <c r="AR76" s="8">
        <v>41</v>
      </c>
      <c r="AS76" s="8">
        <v>42</v>
      </c>
      <c r="AT76" s="8">
        <v>43</v>
      </c>
      <c r="AU76" s="8">
        <v>44</v>
      </c>
      <c r="AV76" s="8">
        <v>45</v>
      </c>
      <c r="AW76" s="8">
        <v>46</v>
      </c>
      <c r="AX76" s="8">
        <v>47</v>
      </c>
      <c r="AY76" s="8">
        <v>48</v>
      </c>
      <c r="AZ76" s="8">
        <v>49</v>
      </c>
      <c r="BA76" s="8">
        <v>50</v>
      </c>
      <c r="BB76" s="8">
        <v>51</v>
      </c>
      <c r="BC76" s="8">
        <v>52</v>
      </c>
      <c r="BD76" s="8">
        <v>53</v>
      </c>
      <c r="BE76" s="8">
        <v>54</v>
      </c>
      <c r="BF76" s="8">
        <v>55</v>
      </c>
      <c r="BG76" s="8">
        <v>56</v>
      </c>
      <c r="BH76" s="8">
        <v>57</v>
      </c>
      <c r="BI76" s="8">
        <v>58</v>
      </c>
      <c r="BJ76" s="8">
        <v>59</v>
      </c>
      <c r="BK76" s="8">
        <v>60</v>
      </c>
      <c r="BL76" s="8">
        <v>61</v>
      </c>
      <c r="BM76" s="8">
        <v>62</v>
      </c>
      <c r="BN76" s="8">
        <v>63</v>
      </c>
      <c r="BO76" s="8">
        <v>64</v>
      </c>
      <c r="BP76" s="8">
        <v>65</v>
      </c>
      <c r="BQ76" s="8">
        <v>66</v>
      </c>
      <c r="BR76" s="8">
        <v>67</v>
      </c>
      <c r="BS76" s="8">
        <v>68</v>
      </c>
      <c r="BT76" s="8">
        <v>69</v>
      </c>
      <c r="BU76" s="8">
        <v>70</v>
      </c>
      <c r="BV76" s="8">
        <v>71</v>
      </c>
      <c r="BW76" s="8">
        <v>72</v>
      </c>
      <c r="BX76" s="8">
        <v>73</v>
      </c>
      <c r="BY76" s="8">
        <v>74</v>
      </c>
      <c r="BZ76" s="8">
        <v>75</v>
      </c>
      <c r="CA76" s="8">
        <v>76</v>
      </c>
      <c r="CB76" s="8">
        <v>77</v>
      </c>
      <c r="CC76" s="8">
        <v>78</v>
      </c>
      <c r="CD76" s="8">
        <v>79</v>
      </c>
      <c r="CE76" s="8">
        <v>80</v>
      </c>
      <c r="CF76" s="8">
        <v>81</v>
      </c>
      <c r="CG76" s="8">
        <v>82</v>
      </c>
      <c r="CH76" s="8">
        <v>83</v>
      </c>
      <c r="CI76" s="8">
        <v>84</v>
      </c>
      <c r="CJ76" s="8">
        <v>85</v>
      </c>
      <c r="CK76" s="8">
        <v>86</v>
      </c>
      <c r="CL76" s="8">
        <v>87</v>
      </c>
      <c r="CM76" s="8">
        <v>88</v>
      </c>
      <c r="CN76" s="8">
        <v>89</v>
      </c>
      <c r="CO76" s="8">
        <v>90</v>
      </c>
      <c r="CP76" s="8">
        <v>91</v>
      </c>
      <c r="CQ76" s="8">
        <v>92</v>
      </c>
      <c r="CR76" s="8">
        <v>93</v>
      </c>
      <c r="CS76" s="8">
        <v>94</v>
      </c>
      <c r="CT76" s="8">
        <v>95</v>
      </c>
      <c r="CU76" s="8">
        <v>96</v>
      </c>
      <c r="CV76" s="8">
        <v>97</v>
      </c>
      <c r="CW76" s="8">
        <v>98</v>
      </c>
      <c r="CX76" s="8">
        <v>99</v>
      </c>
      <c r="CY76" s="8">
        <v>100</v>
      </c>
      <c r="CZ76" s="8">
        <v>101</v>
      </c>
      <c r="DA76" s="8">
        <v>102</v>
      </c>
      <c r="DB76" s="8">
        <v>103</v>
      </c>
      <c r="DC76" s="8">
        <v>104</v>
      </c>
      <c r="DD76" s="8">
        <v>105</v>
      </c>
      <c r="DE76" s="8">
        <v>106</v>
      </c>
      <c r="DF76" s="8">
        <v>107</v>
      </c>
      <c r="DG76" s="8">
        <v>108</v>
      </c>
      <c r="DH76" s="8">
        <v>109</v>
      </c>
      <c r="DI76" s="8">
        <v>110</v>
      </c>
      <c r="DJ76" s="8">
        <v>111</v>
      </c>
      <c r="DK76" s="8">
        <v>112</v>
      </c>
      <c r="DL76" s="8">
        <v>113</v>
      </c>
      <c r="DM76" s="8">
        <v>114</v>
      </c>
      <c r="DN76" s="8">
        <v>115</v>
      </c>
      <c r="DO76" s="8">
        <v>116</v>
      </c>
      <c r="DP76" s="8">
        <v>117</v>
      </c>
      <c r="DQ76" s="8">
        <v>118</v>
      </c>
      <c r="DR76" s="8">
        <v>119</v>
      </c>
      <c r="DS76" s="8">
        <v>120</v>
      </c>
      <c r="DT76" s="8">
        <v>121</v>
      </c>
      <c r="DU76" s="8">
        <v>122</v>
      </c>
      <c r="DV76" s="8">
        <v>123</v>
      </c>
      <c r="DW76" s="8">
        <v>124</v>
      </c>
      <c r="DX76" s="8">
        <v>125</v>
      </c>
      <c r="DY76" s="8">
        <v>126</v>
      </c>
      <c r="DZ76" s="8">
        <v>127</v>
      </c>
      <c r="EA76" s="8">
        <v>128</v>
      </c>
      <c r="EB76" s="8">
        <v>129</v>
      </c>
      <c r="EC76" s="8">
        <v>130</v>
      </c>
      <c r="ED76" s="8">
        <v>131</v>
      </c>
      <c r="EE76" s="8">
        <v>132</v>
      </c>
      <c r="EF76" s="8">
        <v>133</v>
      </c>
      <c r="EG76" s="8">
        <v>134</v>
      </c>
      <c r="EH76" s="8">
        <v>135</v>
      </c>
      <c r="EI76" s="8">
        <v>136</v>
      </c>
      <c r="EJ76" s="8">
        <v>137</v>
      </c>
      <c r="EK76" s="8">
        <v>138</v>
      </c>
      <c r="EL76" s="8">
        <v>139</v>
      </c>
      <c r="EM76" s="8">
        <v>140</v>
      </c>
      <c r="EN76" s="8">
        <v>141</v>
      </c>
      <c r="EO76" s="8">
        <v>142</v>
      </c>
      <c r="EP76" s="8">
        <v>143</v>
      </c>
      <c r="EQ76" s="8">
        <v>144</v>
      </c>
      <c r="ER76" s="8">
        <v>145</v>
      </c>
      <c r="ES76" s="8">
        <v>146</v>
      </c>
      <c r="ET76" s="8">
        <v>147</v>
      </c>
      <c r="EU76" s="8">
        <v>148</v>
      </c>
      <c r="EV76" s="8">
        <v>149</v>
      </c>
      <c r="EW76" s="8">
        <v>150</v>
      </c>
      <c r="EX76" s="8">
        <v>151</v>
      </c>
      <c r="EY76" s="8">
        <v>152</v>
      </c>
      <c r="EZ76" s="8">
        <v>153</v>
      </c>
      <c r="FA76" s="8">
        <v>154</v>
      </c>
      <c r="FB76" s="8">
        <v>155</v>
      </c>
      <c r="FC76" s="8">
        <v>156</v>
      </c>
      <c r="FD76" s="8">
        <v>157</v>
      </c>
      <c r="FE76" s="8">
        <v>158</v>
      </c>
      <c r="FF76" s="8">
        <v>159</v>
      </c>
      <c r="FG76" s="8">
        <v>160</v>
      </c>
      <c r="FH76" s="8">
        <v>161</v>
      </c>
      <c r="FI76" s="8">
        <v>162</v>
      </c>
      <c r="FJ76" s="8">
        <v>163</v>
      </c>
      <c r="FK76" s="8">
        <v>164</v>
      </c>
      <c r="FL76" s="8">
        <v>165</v>
      </c>
      <c r="FM76" s="8">
        <v>166</v>
      </c>
      <c r="FN76" s="8">
        <v>167</v>
      </c>
      <c r="FO76" s="8">
        <v>168</v>
      </c>
      <c r="FP76" s="8">
        <v>169</v>
      </c>
      <c r="FQ76" s="8">
        <v>170</v>
      </c>
      <c r="FR76" s="8">
        <v>171</v>
      </c>
      <c r="FS76" s="8">
        <v>172</v>
      </c>
      <c r="FT76" s="8">
        <v>173</v>
      </c>
      <c r="FU76" s="8">
        <v>174</v>
      </c>
      <c r="FV76" s="8">
        <v>175</v>
      </c>
      <c r="FW76" s="8">
        <v>176</v>
      </c>
      <c r="FX76" s="8">
        <v>177</v>
      </c>
      <c r="FY76" s="8">
        <v>178</v>
      </c>
      <c r="FZ76" s="8">
        <v>179</v>
      </c>
      <c r="GA76" s="8">
        <v>180</v>
      </c>
    </row>
    <row r="77" spans="1:183">
      <c r="B77" s="21"/>
      <c r="C77" s="8" t="s">
        <v>26</v>
      </c>
      <c r="D77" s="8">
        <v>2026</v>
      </c>
      <c r="E77" s="8">
        <v>2026</v>
      </c>
      <c r="F77" s="8">
        <v>2026</v>
      </c>
      <c r="G77" s="8">
        <v>2026</v>
      </c>
      <c r="H77" s="8">
        <v>2026</v>
      </c>
      <c r="I77" s="8">
        <v>2026</v>
      </c>
      <c r="J77" s="8">
        <v>2026</v>
      </c>
      <c r="K77" s="8">
        <v>2026</v>
      </c>
      <c r="L77" s="8">
        <v>2026</v>
      </c>
      <c r="M77" s="8">
        <v>2026</v>
      </c>
      <c r="N77" s="8">
        <v>2026</v>
      </c>
      <c r="O77" s="8">
        <v>2026</v>
      </c>
      <c r="P77" s="8">
        <v>2027</v>
      </c>
      <c r="Q77" s="8">
        <v>2027</v>
      </c>
      <c r="R77" s="8">
        <v>2027</v>
      </c>
      <c r="S77" s="8">
        <v>2027</v>
      </c>
      <c r="T77" s="8">
        <v>2027</v>
      </c>
      <c r="U77" s="8">
        <v>2027</v>
      </c>
      <c r="V77" s="8">
        <v>2027</v>
      </c>
      <c r="W77" s="8">
        <v>2027</v>
      </c>
      <c r="X77" s="8">
        <v>2027</v>
      </c>
      <c r="Y77" s="8">
        <v>2027</v>
      </c>
      <c r="Z77" s="8">
        <v>2027</v>
      </c>
      <c r="AA77" s="8">
        <v>2027</v>
      </c>
      <c r="AB77" s="8">
        <v>2028</v>
      </c>
      <c r="AC77" s="8">
        <v>2028</v>
      </c>
      <c r="AD77" s="8">
        <v>2028</v>
      </c>
      <c r="AE77" s="8">
        <v>2028</v>
      </c>
      <c r="AF77" s="8">
        <v>2028</v>
      </c>
      <c r="AG77" s="8">
        <v>2028</v>
      </c>
      <c r="AH77" s="8">
        <v>2028</v>
      </c>
      <c r="AI77" s="8">
        <v>2028</v>
      </c>
      <c r="AJ77" s="8">
        <v>2028</v>
      </c>
      <c r="AK77" s="8">
        <v>2028</v>
      </c>
      <c r="AL77" s="8">
        <v>2028</v>
      </c>
      <c r="AM77" s="8">
        <v>2028</v>
      </c>
      <c r="AN77" s="8">
        <v>2029</v>
      </c>
      <c r="AO77" s="8">
        <v>2029</v>
      </c>
      <c r="AP77" s="8">
        <v>2029</v>
      </c>
      <c r="AQ77" s="8">
        <v>2029</v>
      </c>
      <c r="AR77" s="8">
        <v>2029</v>
      </c>
      <c r="AS77" s="8">
        <v>2029</v>
      </c>
      <c r="AT77" s="8">
        <v>2029</v>
      </c>
      <c r="AU77" s="8">
        <v>2029</v>
      </c>
      <c r="AV77" s="8">
        <v>2029</v>
      </c>
      <c r="AW77" s="8">
        <v>2029</v>
      </c>
      <c r="AX77" s="8">
        <v>2029</v>
      </c>
      <c r="AY77" s="8">
        <v>2029</v>
      </c>
      <c r="AZ77" s="8">
        <v>2030</v>
      </c>
      <c r="BA77" s="8">
        <v>2030</v>
      </c>
      <c r="BB77" s="8">
        <v>2030</v>
      </c>
      <c r="BC77" s="8">
        <v>2030</v>
      </c>
      <c r="BD77" s="8">
        <v>2030</v>
      </c>
      <c r="BE77" s="8">
        <v>2030</v>
      </c>
      <c r="BF77" s="8">
        <v>2030</v>
      </c>
      <c r="BG77" s="8">
        <v>2030</v>
      </c>
      <c r="BH77" s="8">
        <v>2030</v>
      </c>
      <c r="BI77" s="8">
        <v>2030</v>
      </c>
      <c r="BJ77" s="8">
        <v>2030</v>
      </c>
      <c r="BK77" s="8">
        <v>2030</v>
      </c>
      <c r="BL77" s="8">
        <v>2031</v>
      </c>
      <c r="BM77" s="8">
        <v>2031</v>
      </c>
      <c r="BN77" s="8">
        <v>2031</v>
      </c>
      <c r="BO77" s="8">
        <v>2031</v>
      </c>
      <c r="BP77" s="8">
        <v>2031</v>
      </c>
      <c r="BQ77" s="8">
        <v>2031</v>
      </c>
      <c r="BR77" s="8">
        <v>2031</v>
      </c>
      <c r="BS77" s="8">
        <v>2031</v>
      </c>
      <c r="BT77" s="8">
        <v>2031</v>
      </c>
      <c r="BU77" s="8">
        <v>2031</v>
      </c>
      <c r="BV77" s="8">
        <v>2031</v>
      </c>
      <c r="BW77" s="8">
        <v>2031</v>
      </c>
      <c r="BX77" s="8">
        <v>2032</v>
      </c>
      <c r="BY77" s="8">
        <v>2032</v>
      </c>
      <c r="BZ77" s="8">
        <v>2032</v>
      </c>
      <c r="CA77" s="8">
        <v>2032</v>
      </c>
      <c r="CB77" s="8">
        <v>2032</v>
      </c>
      <c r="CC77" s="8">
        <v>2032</v>
      </c>
      <c r="CD77" s="8">
        <v>2032</v>
      </c>
      <c r="CE77" s="8">
        <v>2032</v>
      </c>
      <c r="CF77" s="8">
        <v>2032</v>
      </c>
      <c r="CG77" s="8">
        <v>2032</v>
      </c>
      <c r="CH77" s="8">
        <v>2032</v>
      </c>
      <c r="CI77" s="8">
        <v>2032</v>
      </c>
      <c r="CJ77" s="8">
        <v>2033</v>
      </c>
      <c r="CK77" s="8">
        <v>2033</v>
      </c>
      <c r="CL77" s="8">
        <v>2033</v>
      </c>
      <c r="CM77" s="8">
        <v>2033</v>
      </c>
      <c r="CN77" s="8">
        <v>2033</v>
      </c>
      <c r="CO77" s="8">
        <v>2033</v>
      </c>
      <c r="CP77" s="8">
        <v>2033</v>
      </c>
      <c r="CQ77" s="8">
        <v>2033</v>
      </c>
      <c r="CR77" s="8">
        <v>2033</v>
      </c>
      <c r="CS77" s="8">
        <v>2033</v>
      </c>
      <c r="CT77" s="8">
        <v>2033</v>
      </c>
      <c r="CU77" s="8">
        <v>2033</v>
      </c>
      <c r="CV77" s="8">
        <v>2034</v>
      </c>
      <c r="CW77" s="8">
        <v>2034</v>
      </c>
      <c r="CX77" s="8">
        <v>2034</v>
      </c>
      <c r="CY77" s="8">
        <v>2034</v>
      </c>
      <c r="CZ77" s="8">
        <v>2034</v>
      </c>
      <c r="DA77" s="8">
        <v>2034</v>
      </c>
      <c r="DB77" s="8">
        <v>2034</v>
      </c>
      <c r="DC77" s="8">
        <v>2034</v>
      </c>
      <c r="DD77" s="8">
        <v>2034</v>
      </c>
      <c r="DE77" s="8">
        <v>2034</v>
      </c>
      <c r="DF77" s="8">
        <v>2034</v>
      </c>
      <c r="DG77" s="8">
        <v>2034</v>
      </c>
      <c r="DH77" s="8">
        <v>2035</v>
      </c>
      <c r="DI77" s="8">
        <v>2035</v>
      </c>
      <c r="DJ77" s="8">
        <v>2035</v>
      </c>
      <c r="DK77" s="8">
        <v>2035</v>
      </c>
      <c r="DL77" s="8">
        <v>2035</v>
      </c>
      <c r="DM77" s="8">
        <v>2035</v>
      </c>
      <c r="DN77" s="8">
        <v>2035</v>
      </c>
      <c r="DO77" s="8">
        <v>2035</v>
      </c>
      <c r="DP77" s="8">
        <v>2035</v>
      </c>
      <c r="DQ77" s="8">
        <v>2035</v>
      </c>
      <c r="DR77" s="8">
        <v>2035</v>
      </c>
      <c r="DS77" s="8">
        <v>2035</v>
      </c>
      <c r="DT77" s="8">
        <v>2036</v>
      </c>
      <c r="DU77" s="8">
        <v>2036</v>
      </c>
      <c r="DV77" s="8">
        <v>2036</v>
      </c>
      <c r="DW77" s="8">
        <v>2036</v>
      </c>
      <c r="DX77" s="8">
        <v>2036</v>
      </c>
      <c r="DY77" s="8">
        <v>2036</v>
      </c>
      <c r="DZ77" s="8">
        <v>2036</v>
      </c>
      <c r="EA77" s="8">
        <v>2036</v>
      </c>
      <c r="EB77" s="8">
        <v>2036</v>
      </c>
      <c r="EC77" s="8">
        <v>2036</v>
      </c>
      <c r="ED77" s="8">
        <v>2036</v>
      </c>
      <c r="EE77" s="8">
        <v>2036</v>
      </c>
      <c r="EF77" s="8">
        <v>2037</v>
      </c>
      <c r="EG77" s="8">
        <v>2037</v>
      </c>
      <c r="EH77" s="8">
        <v>2037</v>
      </c>
      <c r="EI77" s="8">
        <v>2037</v>
      </c>
      <c r="EJ77" s="8">
        <v>2037</v>
      </c>
      <c r="EK77" s="8">
        <v>2037</v>
      </c>
      <c r="EL77" s="8">
        <v>2037</v>
      </c>
      <c r="EM77" s="8">
        <v>2037</v>
      </c>
      <c r="EN77" s="8">
        <v>2037</v>
      </c>
      <c r="EO77" s="8">
        <v>2037</v>
      </c>
      <c r="EP77" s="8">
        <v>2037</v>
      </c>
      <c r="EQ77" s="8">
        <v>2037</v>
      </c>
      <c r="ER77" s="8">
        <v>2038</v>
      </c>
      <c r="ES77" s="8">
        <v>2038</v>
      </c>
      <c r="ET77" s="8">
        <v>2038</v>
      </c>
      <c r="EU77" s="8">
        <v>2038</v>
      </c>
      <c r="EV77" s="8">
        <v>2038</v>
      </c>
      <c r="EW77" s="8">
        <v>2038</v>
      </c>
      <c r="EX77" s="8">
        <v>2038</v>
      </c>
      <c r="EY77" s="8">
        <v>2038</v>
      </c>
      <c r="EZ77" s="8">
        <v>2038</v>
      </c>
      <c r="FA77" s="8">
        <v>2038</v>
      </c>
      <c r="FB77" s="8">
        <v>2038</v>
      </c>
      <c r="FC77" s="8">
        <v>2038</v>
      </c>
      <c r="FD77" s="8">
        <v>2039</v>
      </c>
      <c r="FE77" s="8">
        <v>2039</v>
      </c>
      <c r="FF77" s="8">
        <v>2039</v>
      </c>
      <c r="FG77" s="8">
        <v>2039</v>
      </c>
      <c r="FH77" s="8">
        <v>2039</v>
      </c>
      <c r="FI77" s="8">
        <v>2039</v>
      </c>
      <c r="FJ77" s="8">
        <v>2039</v>
      </c>
      <c r="FK77" s="8">
        <v>2039</v>
      </c>
      <c r="FL77" s="8">
        <v>2039</v>
      </c>
      <c r="FM77" s="8">
        <v>2039</v>
      </c>
      <c r="FN77" s="8">
        <v>2039</v>
      </c>
      <c r="FO77" s="8">
        <v>2039</v>
      </c>
      <c r="FP77" s="8">
        <v>2040</v>
      </c>
      <c r="FQ77" s="8">
        <v>2040</v>
      </c>
      <c r="FR77" s="8">
        <v>2040</v>
      </c>
      <c r="FS77" s="8">
        <v>2040</v>
      </c>
      <c r="FT77" s="8">
        <v>2040</v>
      </c>
      <c r="FU77" s="8">
        <v>2040</v>
      </c>
      <c r="FV77" s="8">
        <v>2040</v>
      </c>
      <c r="FW77" s="8">
        <v>2040</v>
      </c>
      <c r="FX77" s="8">
        <v>2040</v>
      </c>
      <c r="FY77" s="8">
        <v>2040</v>
      </c>
      <c r="FZ77" s="8">
        <v>2040</v>
      </c>
      <c r="GA77" s="8">
        <v>2040</v>
      </c>
    </row>
    <row r="78" spans="1:183">
      <c r="C78" s="8" t="s">
        <v>70</v>
      </c>
      <c r="D78" s="8" t="s">
        <v>289</v>
      </c>
      <c r="E78" s="8" t="s">
        <v>290</v>
      </c>
      <c r="F78" s="8" t="s">
        <v>291</v>
      </c>
      <c r="G78" s="8" t="s">
        <v>292</v>
      </c>
      <c r="H78" s="8" t="s">
        <v>293</v>
      </c>
      <c r="I78" s="8" t="s">
        <v>294</v>
      </c>
      <c r="J78" s="8" t="s">
        <v>295</v>
      </c>
      <c r="K78" s="8" t="s">
        <v>296</v>
      </c>
      <c r="L78" s="8" t="s">
        <v>297</v>
      </c>
      <c r="M78" s="8" t="s">
        <v>298</v>
      </c>
      <c r="N78" s="8" t="s">
        <v>299</v>
      </c>
      <c r="O78" s="8" t="s">
        <v>300</v>
      </c>
      <c r="P78" s="8" t="s">
        <v>289</v>
      </c>
      <c r="Q78" s="8" t="s">
        <v>290</v>
      </c>
      <c r="R78" s="8" t="s">
        <v>291</v>
      </c>
      <c r="S78" s="8" t="s">
        <v>292</v>
      </c>
      <c r="T78" s="8" t="s">
        <v>293</v>
      </c>
      <c r="U78" s="8" t="s">
        <v>294</v>
      </c>
      <c r="V78" s="8" t="s">
        <v>295</v>
      </c>
      <c r="W78" s="8" t="s">
        <v>296</v>
      </c>
      <c r="X78" s="8" t="s">
        <v>297</v>
      </c>
      <c r="Y78" s="8" t="s">
        <v>298</v>
      </c>
      <c r="Z78" s="8" t="s">
        <v>299</v>
      </c>
      <c r="AA78" s="8" t="s">
        <v>300</v>
      </c>
      <c r="AB78" s="8" t="s">
        <v>289</v>
      </c>
      <c r="AC78" s="8" t="s">
        <v>290</v>
      </c>
      <c r="AD78" s="8" t="s">
        <v>291</v>
      </c>
      <c r="AE78" s="8" t="s">
        <v>292</v>
      </c>
      <c r="AF78" s="8" t="s">
        <v>293</v>
      </c>
      <c r="AG78" s="8" t="s">
        <v>294</v>
      </c>
      <c r="AH78" s="8" t="s">
        <v>295</v>
      </c>
      <c r="AI78" s="8" t="s">
        <v>296</v>
      </c>
      <c r="AJ78" s="8" t="s">
        <v>297</v>
      </c>
      <c r="AK78" s="8" t="s">
        <v>298</v>
      </c>
      <c r="AL78" s="8" t="s">
        <v>299</v>
      </c>
      <c r="AM78" s="8" t="s">
        <v>300</v>
      </c>
      <c r="AN78" s="8" t="s">
        <v>289</v>
      </c>
      <c r="AO78" s="8" t="s">
        <v>290</v>
      </c>
      <c r="AP78" s="8" t="s">
        <v>291</v>
      </c>
      <c r="AQ78" s="8" t="s">
        <v>292</v>
      </c>
      <c r="AR78" s="8" t="s">
        <v>293</v>
      </c>
      <c r="AS78" s="8" t="s">
        <v>294</v>
      </c>
      <c r="AT78" s="8" t="s">
        <v>295</v>
      </c>
      <c r="AU78" s="8" t="s">
        <v>296</v>
      </c>
      <c r="AV78" s="8" t="s">
        <v>297</v>
      </c>
      <c r="AW78" s="8" t="s">
        <v>298</v>
      </c>
      <c r="AX78" s="8" t="s">
        <v>299</v>
      </c>
      <c r="AY78" s="8" t="s">
        <v>300</v>
      </c>
      <c r="AZ78" s="8" t="s">
        <v>289</v>
      </c>
      <c r="BA78" s="8" t="s">
        <v>290</v>
      </c>
      <c r="BB78" s="8" t="s">
        <v>291</v>
      </c>
      <c r="BC78" s="8" t="s">
        <v>292</v>
      </c>
      <c r="BD78" s="8" t="s">
        <v>293</v>
      </c>
      <c r="BE78" s="8" t="s">
        <v>294</v>
      </c>
      <c r="BF78" s="8" t="s">
        <v>295</v>
      </c>
      <c r="BG78" s="8" t="s">
        <v>296</v>
      </c>
      <c r="BH78" s="8" t="s">
        <v>297</v>
      </c>
      <c r="BI78" s="8" t="s">
        <v>298</v>
      </c>
      <c r="BJ78" s="8" t="s">
        <v>299</v>
      </c>
      <c r="BK78" s="8" t="s">
        <v>300</v>
      </c>
      <c r="BL78" s="8" t="s">
        <v>289</v>
      </c>
      <c r="BM78" s="8" t="s">
        <v>290</v>
      </c>
      <c r="BN78" s="8" t="s">
        <v>291</v>
      </c>
      <c r="BO78" s="8" t="s">
        <v>292</v>
      </c>
      <c r="BP78" s="8" t="s">
        <v>293</v>
      </c>
      <c r="BQ78" s="8" t="s">
        <v>294</v>
      </c>
      <c r="BR78" s="8" t="s">
        <v>295</v>
      </c>
      <c r="BS78" s="8" t="s">
        <v>296</v>
      </c>
      <c r="BT78" s="8" t="s">
        <v>297</v>
      </c>
      <c r="BU78" s="8" t="s">
        <v>298</v>
      </c>
      <c r="BV78" s="8" t="s">
        <v>299</v>
      </c>
      <c r="BW78" s="8" t="s">
        <v>300</v>
      </c>
      <c r="BX78" s="8" t="s">
        <v>289</v>
      </c>
      <c r="BY78" s="8" t="s">
        <v>290</v>
      </c>
      <c r="BZ78" s="8" t="s">
        <v>291</v>
      </c>
      <c r="CA78" s="8" t="s">
        <v>292</v>
      </c>
      <c r="CB78" s="8" t="s">
        <v>293</v>
      </c>
      <c r="CC78" s="8" t="s">
        <v>294</v>
      </c>
      <c r="CD78" s="8" t="s">
        <v>295</v>
      </c>
      <c r="CE78" s="8" t="s">
        <v>296</v>
      </c>
      <c r="CF78" s="8" t="s">
        <v>297</v>
      </c>
      <c r="CG78" s="8" t="s">
        <v>298</v>
      </c>
      <c r="CH78" s="8" t="s">
        <v>299</v>
      </c>
      <c r="CI78" s="8" t="s">
        <v>300</v>
      </c>
      <c r="CJ78" s="8" t="s">
        <v>289</v>
      </c>
      <c r="CK78" s="8" t="s">
        <v>290</v>
      </c>
      <c r="CL78" s="8" t="s">
        <v>291</v>
      </c>
      <c r="CM78" s="8" t="s">
        <v>292</v>
      </c>
      <c r="CN78" s="8" t="s">
        <v>293</v>
      </c>
      <c r="CO78" s="8" t="s">
        <v>294</v>
      </c>
      <c r="CP78" s="8" t="s">
        <v>295</v>
      </c>
      <c r="CQ78" s="8" t="s">
        <v>296</v>
      </c>
      <c r="CR78" s="8" t="s">
        <v>297</v>
      </c>
      <c r="CS78" s="8" t="s">
        <v>298</v>
      </c>
      <c r="CT78" s="8" t="s">
        <v>299</v>
      </c>
      <c r="CU78" s="8" t="s">
        <v>300</v>
      </c>
      <c r="CV78" s="8" t="s">
        <v>289</v>
      </c>
      <c r="CW78" s="8" t="s">
        <v>290</v>
      </c>
      <c r="CX78" s="8" t="s">
        <v>291</v>
      </c>
      <c r="CY78" s="8" t="s">
        <v>292</v>
      </c>
      <c r="CZ78" s="8" t="s">
        <v>293</v>
      </c>
      <c r="DA78" s="8" t="s">
        <v>294</v>
      </c>
      <c r="DB78" s="8" t="s">
        <v>295</v>
      </c>
      <c r="DC78" s="8" t="s">
        <v>296</v>
      </c>
      <c r="DD78" s="8" t="s">
        <v>297</v>
      </c>
      <c r="DE78" s="8" t="s">
        <v>298</v>
      </c>
      <c r="DF78" s="8" t="s">
        <v>299</v>
      </c>
      <c r="DG78" s="8" t="s">
        <v>300</v>
      </c>
      <c r="DH78" s="8" t="s">
        <v>289</v>
      </c>
      <c r="DI78" s="8" t="s">
        <v>290</v>
      </c>
      <c r="DJ78" s="8" t="s">
        <v>291</v>
      </c>
      <c r="DK78" s="8" t="s">
        <v>292</v>
      </c>
      <c r="DL78" s="8" t="s">
        <v>293</v>
      </c>
      <c r="DM78" s="8" t="s">
        <v>294</v>
      </c>
      <c r="DN78" s="8" t="s">
        <v>295</v>
      </c>
      <c r="DO78" s="8" t="s">
        <v>296</v>
      </c>
      <c r="DP78" s="8" t="s">
        <v>297</v>
      </c>
      <c r="DQ78" s="8" t="s">
        <v>298</v>
      </c>
      <c r="DR78" s="8" t="s">
        <v>299</v>
      </c>
      <c r="DS78" s="8" t="s">
        <v>300</v>
      </c>
      <c r="DT78" s="8" t="s">
        <v>289</v>
      </c>
      <c r="DU78" s="8" t="s">
        <v>290</v>
      </c>
      <c r="DV78" s="8" t="s">
        <v>291</v>
      </c>
      <c r="DW78" s="8" t="s">
        <v>292</v>
      </c>
      <c r="DX78" s="8" t="s">
        <v>293</v>
      </c>
      <c r="DY78" s="8" t="s">
        <v>294</v>
      </c>
      <c r="DZ78" s="8" t="s">
        <v>295</v>
      </c>
      <c r="EA78" s="8" t="s">
        <v>296</v>
      </c>
      <c r="EB78" s="8" t="s">
        <v>297</v>
      </c>
      <c r="EC78" s="8" t="s">
        <v>298</v>
      </c>
      <c r="ED78" s="8" t="s">
        <v>299</v>
      </c>
      <c r="EE78" s="8" t="s">
        <v>300</v>
      </c>
      <c r="EF78" s="8" t="s">
        <v>289</v>
      </c>
      <c r="EG78" s="8" t="s">
        <v>290</v>
      </c>
      <c r="EH78" s="8" t="s">
        <v>291</v>
      </c>
      <c r="EI78" s="8" t="s">
        <v>292</v>
      </c>
      <c r="EJ78" s="8" t="s">
        <v>293</v>
      </c>
      <c r="EK78" s="8" t="s">
        <v>294</v>
      </c>
      <c r="EL78" s="8" t="s">
        <v>295</v>
      </c>
      <c r="EM78" s="8" t="s">
        <v>296</v>
      </c>
      <c r="EN78" s="8" t="s">
        <v>297</v>
      </c>
      <c r="EO78" s="8" t="s">
        <v>298</v>
      </c>
      <c r="EP78" s="8" t="s">
        <v>299</v>
      </c>
      <c r="EQ78" s="8" t="s">
        <v>300</v>
      </c>
      <c r="ER78" s="8" t="s">
        <v>289</v>
      </c>
      <c r="ES78" s="8" t="s">
        <v>290</v>
      </c>
      <c r="ET78" s="8" t="s">
        <v>291</v>
      </c>
      <c r="EU78" s="8" t="s">
        <v>292</v>
      </c>
      <c r="EV78" s="8" t="s">
        <v>293</v>
      </c>
      <c r="EW78" s="8" t="s">
        <v>294</v>
      </c>
      <c r="EX78" s="8" t="s">
        <v>295</v>
      </c>
      <c r="EY78" s="8" t="s">
        <v>296</v>
      </c>
      <c r="EZ78" s="8" t="s">
        <v>297</v>
      </c>
      <c r="FA78" s="8" t="s">
        <v>298</v>
      </c>
      <c r="FB78" s="8" t="s">
        <v>299</v>
      </c>
      <c r="FC78" s="8" t="s">
        <v>300</v>
      </c>
      <c r="FD78" s="8" t="s">
        <v>289</v>
      </c>
      <c r="FE78" s="8" t="s">
        <v>290</v>
      </c>
      <c r="FF78" s="8" t="s">
        <v>291</v>
      </c>
      <c r="FG78" s="8" t="s">
        <v>292</v>
      </c>
      <c r="FH78" s="8" t="s">
        <v>293</v>
      </c>
      <c r="FI78" s="8" t="s">
        <v>294</v>
      </c>
      <c r="FJ78" s="8" t="s">
        <v>295</v>
      </c>
      <c r="FK78" s="8" t="s">
        <v>296</v>
      </c>
      <c r="FL78" s="8" t="s">
        <v>297</v>
      </c>
      <c r="FM78" s="8" t="s">
        <v>298</v>
      </c>
      <c r="FN78" s="8" t="s">
        <v>299</v>
      </c>
      <c r="FO78" s="8" t="s">
        <v>300</v>
      </c>
      <c r="FP78" s="8" t="s">
        <v>289</v>
      </c>
      <c r="FQ78" s="8" t="s">
        <v>290</v>
      </c>
      <c r="FR78" s="8" t="s">
        <v>291</v>
      </c>
      <c r="FS78" s="8" t="s">
        <v>292</v>
      </c>
      <c r="FT78" s="8" t="s">
        <v>293</v>
      </c>
      <c r="FU78" s="8" t="s">
        <v>294</v>
      </c>
      <c r="FV78" s="8" t="s">
        <v>295</v>
      </c>
      <c r="FW78" s="8" t="s">
        <v>296</v>
      </c>
      <c r="FX78" s="8" t="s">
        <v>297</v>
      </c>
      <c r="FY78" s="8" t="s">
        <v>298</v>
      </c>
      <c r="FZ78" s="8" t="s">
        <v>299</v>
      </c>
      <c r="GA78" s="8" t="s">
        <v>300</v>
      </c>
    </row>
    <row r="79" spans="1:183">
      <c r="C79" s="8" t="s">
        <v>301</v>
      </c>
      <c r="D79" s="8" t="s">
        <v>302</v>
      </c>
      <c r="E79" s="8" t="s">
        <v>302</v>
      </c>
      <c r="F79" s="8" t="s">
        <v>302</v>
      </c>
      <c r="G79" s="8" t="s">
        <v>303</v>
      </c>
      <c r="H79" s="8" t="s">
        <v>303</v>
      </c>
      <c r="I79" s="8" t="s">
        <v>303</v>
      </c>
      <c r="J79" s="8" t="s">
        <v>304</v>
      </c>
      <c r="K79" s="8" t="s">
        <v>304</v>
      </c>
      <c r="L79" s="8" t="s">
        <v>304</v>
      </c>
      <c r="M79" s="8" t="s">
        <v>305</v>
      </c>
      <c r="N79" s="8" t="s">
        <v>305</v>
      </c>
      <c r="O79" s="8" t="s">
        <v>305</v>
      </c>
      <c r="P79" s="8" t="s">
        <v>302</v>
      </c>
      <c r="Q79" s="8" t="s">
        <v>302</v>
      </c>
      <c r="R79" s="8" t="s">
        <v>302</v>
      </c>
      <c r="S79" s="8" t="s">
        <v>303</v>
      </c>
      <c r="T79" s="8" t="s">
        <v>303</v>
      </c>
      <c r="U79" s="8" t="s">
        <v>303</v>
      </c>
      <c r="V79" s="8" t="s">
        <v>304</v>
      </c>
      <c r="W79" s="8" t="s">
        <v>304</v>
      </c>
      <c r="X79" s="8" t="s">
        <v>304</v>
      </c>
      <c r="Y79" s="8" t="s">
        <v>305</v>
      </c>
      <c r="Z79" s="8" t="s">
        <v>305</v>
      </c>
      <c r="AA79" s="8" t="s">
        <v>305</v>
      </c>
      <c r="AB79" s="8" t="s">
        <v>302</v>
      </c>
      <c r="AC79" s="8" t="s">
        <v>302</v>
      </c>
      <c r="AD79" s="8" t="s">
        <v>302</v>
      </c>
      <c r="AE79" s="8" t="s">
        <v>303</v>
      </c>
      <c r="AF79" s="8" t="s">
        <v>303</v>
      </c>
      <c r="AG79" s="8" t="s">
        <v>303</v>
      </c>
      <c r="AH79" s="8" t="s">
        <v>304</v>
      </c>
      <c r="AI79" s="8" t="s">
        <v>304</v>
      </c>
      <c r="AJ79" s="8" t="s">
        <v>304</v>
      </c>
      <c r="AK79" s="8" t="s">
        <v>305</v>
      </c>
      <c r="AL79" s="8" t="s">
        <v>305</v>
      </c>
      <c r="AM79" s="8" t="s">
        <v>305</v>
      </c>
      <c r="AN79" s="8" t="s">
        <v>302</v>
      </c>
      <c r="AO79" s="8" t="s">
        <v>302</v>
      </c>
      <c r="AP79" s="8" t="s">
        <v>302</v>
      </c>
      <c r="AQ79" s="8" t="s">
        <v>303</v>
      </c>
      <c r="AR79" s="8" t="s">
        <v>303</v>
      </c>
      <c r="AS79" s="8" t="s">
        <v>303</v>
      </c>
      <c r="AT79" s="8" t="s">
        <v>304</v>
      </c>
      <c r="AU79" s="8" t="s">
        <v>304</v>
      </c>
      <c r="AV79" s="8" t="s">
        <v>304</v>
      </c>
      <c r="AW79" s="8" t="s">
        <v>305</v>
      </c>
      <c r="AX79" s="8" t="s">
        <v>305</v>
      </c>
      <c r="AY79" s="8" t="s">
        <v>305</v>
      </c>
      <c r="AZ79" s="8" t="s">
        <v>302</v>
      </c>
      <c r="BA79" s="8" t="s">
        <v>302</v>
      </c>
      <c r="BB79" s="8" t="s">
        <v>302</v>
      </c>
      <c r="BC79" s="8" t="s">
        <v>303</v>
      </c>
      <c r="BD79" s="8" t="s">
        <v>303</v>
      </c>
      <c r="BE79" s="8" t="s">
        <v>303</v>
      </c>
      <c r="BF79" s="8" t="s">
        <v>304</v>
      </c>
      <c r="BG79" s="8" t="s">
        <v>304</v>
      </c>
      <c r="BH79" s="8" t="s">
        <v>304</v>
      </c>
      <c r="BI79" s="8" t="s">
        <v>305</v>
      </c>
      <c r="BJ79" s="8" t="s">
        <v>305</v>
      </c>
      <c r="BK79" s="8" t="s">
        <v>305</v>
      </c>
      <c r="BL79" s="8" t="s">
        <v>302</v>
      </c>
      <c r="BM79" s="8" t="s">
        <v>302</v>
      </c>
      <c r="BN79" s="8" t="s">
        <v>302</v>
      </c>
      <c r="BO79" s="8" t="s">
        <v>303</v>
      </c>
      <c r="BP79" s="8" t="s">
        <v>303</v>
      </c>
      <c r="BQ79" s="8" t="s">
        <v>303</v>
      </c>
      <c r="BR79" s="8" t="s">
        <v>304</v>
      </c>
      <c r="BS79" s="8" t="s">
        <v>304</v>
      </c>
      <c r="BT79" s="8" t="s">
        <v>304</v>
      </c>
      <c r="BU79" s="8" t="s">
        <v>305</v>
      </c>
      <c r="BV79" s="8" t="s">
        <v>305</v>
      </c>
      <c r="BW79" s="8" t="s">
        <v>305</v>
      </c>
      <c r="BX79" s="8" t="s">
        <v>302</v>
      </c>
      <c r="BY79" s="8" t="s">
        <v>302</v>
      </c>
      <c r="BZ79" s="8" t="s">
        <v>302</v>
      </c>
      <c r="CA79" s="8" t="s">
        <v>303</v>
      </c>
      <c r="CB79" s="8" t="s">
        <v>303</v>
      </c>
      <c r="CC79" s="8" t="s">
        <v>303</v>
      </c>
      <c r="CD79" s="8" t="s">
        <v>304</v>
      </c>
      <c r="CE79" s="8" t="s">
        <v>304</v>
      </c>
      <c r="CF79" s="8" t="s">
        <v>304</v>
      </c>
      <c r="CG79" s="8" t="s">
        <v>305</v>
      </c>
      <c r="CH79" s="8" t="s">
        <v>305</v>
      </c>
      <c r="CI79" s="8" t="s">
        <v>305</v>
      </c>
      <c r="CJ79" s="8" t="s">
        <v>302</v>
      </c>
      <c r="CK79" s="8" t="s">
        <v>302</v>
      </c>
      <c r="CL79" s="8" t="s">
        <v>302</v>
      </c>
      <c r="CM79" s="8" t="s">
        <v>303</v>
      </c>
      <c r="CN79" s="8" t="s">
        <v>303</v>
      </c>
      <c r="CO79" s="8" t="s">
        <v>303</v>
      </c>
      <c r="CP79" s="8" t="s">
        <v>304</v>
      </c>
      <c r="CQ79" s="8" t="s">
        <v>304</v>
      </c>
      <c r="CR79" s="8" t="s">
        <v>304</v>
      </c>
      <c r="CS79" s="8" t="s">
        <v>305</v>
      </c>
      <c r="CT79" s="8" t="s">
        <v>305</v>
      </c>
      <c r="CU79" s="8" t="s">
        <v>305</v>
      </c>
      <c r="CV79" s="8" t="s">
        <v>302</v>
      </c>
      <c r="CW79" s="8" t="s">
        <v>302</v>
      </c>
      <c r="CX79" s="8" t="s">
        <v>302</v>
      </c>
      <c r="CY79" s="8" t="s">
        <v>303</v>
      </c>
      <c r="CZ79" s="8" t="s">
        <v>303</v>
      </c>
      <c r="DA79" s="8" t="s">
        <v>303</v>
      </c>
      <c r="DB79" s="8" t="s">
        <v>304</v>
      </c>
      <c r="DC79" s="8" t="s">
        <v>304</v>
      </c>
      <c r="DD79" s="8" t="s">
        <v>304</v>
      </c>
      <c r="DE79" s="8" t="s">
        <v>305</v>
      </c>
      <c r="DF79" s="8" t="s">
        <v>305</v>
      </c>
      <c r="DG79" s="8" t="s">
        <v>305</v>
      </c>
      <c r="DH79" s="8" t="s">
        <v>302</v>
      </c>
      <c r="DI79" s="8" t="s">
        <v>302</v>
      </c>
      <c r="DJ79" s="8" t="s">
        <v>302</v>
      </c>
      <c r="DK79" s="8" t="s">
        <v>303</v>
      </c>
      <c r="DL79" s="8" t="s">
        <v>303</v>
      </c>
      <c r="DM79" s="8" t="s">
        <v>303</v>
      </c>
      <c r="DN79" s="8" t="s">
        <v>304</v>
      </c>
      <c r="DO79" s="8" t="s">
        <v>304</v>
      </c>
      <c r="DP79" s="8" t="s">
        <v>304</v>
      </c>
      <c r="DQ79" s="8" t="s">
        <v>305</v>
      </c>
      <c r="DR79" s="8" t="s">
        <v>305</v>
      </c>
      <c r="DS79" s="8" t="s">
        <v>305</v>
      </c>
      <c r="DT79" s="8" t="s">
        <v>302</v>
      </c>
      <c r="DU79" s="8" t="s">
        <v>302</v>
      </c>
      <c r="DV79" s="8" t="s">
        <v>302</v>
      </c>
      <c r="DW79" s="8" t="s">
        <v>303</v>
      </c>
      <c r="DX79" s="8" t="s">
        <v>303</v>
      </c>
      <c r="DY79" s="8" t="s">
        <v>303</v>
      </c>
      <c r="DZ79" s="8" t="s">
        <v>304</v>
      </c>
      <c r="EA79" s="8" t="s">
        <v>304</v>
      </c>
      <c r="EB79" s="8" t="s">
        <v>304</v>
      </c>
      <c r="EC79" s="8" t="s">
        <v>305</v>
      </c>
      <c r="ED79" s="8" t="s">
        <v>305</v>
      </c>
      <c r="EE79" s="8" t="s">
        <v>305</v>
      </c>
      <c r="EF79" s="8" t="s">
        <v>302</v>
      </c>
      <c r="EG79" s="8" t="s">
        <v>302</v>
      </c>
      <c r="EH79" s="8" t="s">
        <v>302</v>
      </c>
      <c r="EI79" s="8" t="s">
        <v>303</v>
      </c>
      <c r="EJ79" s="8" t="s">
        <v>303</v>
      </c>
      <c r="EK79" s="8" t="s">
        <v>303</v>
      </c>
      <c r="EL79" s="8" t="s">
        <v>304</v>
      </c>
      <c r="EM79" s="8" t="s">
        <v>304</v>
      </c>
      <c r="EN79" s="8" t="s">
        <v>304</v>
      </c>
      <c r="EO79" s="8" t="s">
        <v>305</v>
      </c>
      <c r="EP79" s="8" t="s">
        <v>305</v>
      </c>
      <c r="EQ79" s="8" t="s">
        <v>305</v>
      </c>
      <c r="ER79" s="8" t="s">
        <v>302</v>
      </c>
      <c r="ES79" s="8" t="s">
        <v>302</v>
      </c>
      <c r="ET79" s="8" t="s">
        <v>302</v>
      </c>
      <c r="EU79" s="8" t="s">
        <v>303</v>
      </c>
      <c r="EV79" s="8" t="s">
        <v>303</v>
      </c>
      <c r="EW79" s="8" t="s">
        <v>303</v>
      </c>
      <c r="EX79" s="8" t="s">
        <v>304</v>
      </c>
      <c r="EY79" s="8" t="s">
        <v>304</v>
      </c>
      <c r="EZ79" s="8" t="s">
        <v>304</v>
      </c>
      <c r="FA79" s="8" t="s">
        <v>305</v>
      </c>
      <c r="FB79" s="8" t="s">
        <v>305</v>
      </c>
      <c r="FC79" s="8" t="s">
        <v>305</v>
      </c>
      <c r="FD79" s="8" t="s">
        <v>302</v>
      </c>
      <c r="FE79" s="8" t="s">
        <v>302</v>
      </c>
      <c r="FF79" s="8" t="s">
        <v>302</v>
      </c>
      <c r="FG79" s="8" t="s">
        <v>303</v>
      </c>
      <c r="FH79" s="8" t="s">
        <v>303</v>
      </c>
      <c r="FI79" s="8" t="s">
        <v>303</v>
      </c>
      <c r="FJ79" s="8" t="s">
        <v>304</v>
      </c>
      <c r="FK79" s="8" t="s">
        <v>304</v>
      </c>
      <c r="FL79" s="8" t="s">
        <v>304</v>
      </c>
      <c r="FM79" s="8" t="s">
        <v>305</v>
      </c>
      <c r="FN79" s="8" t="s">
        <v>305</v>
      </c>
      <c r="FO79" s="8" t="s">
        <v>305</v>
      </c>
      <c r="FP79" s="8" t="s">
        <v>302</v>
      </c>
      <c r="FQ79" s="8" t="s">
        <v>302</v>
      </c>
      <c r="FR79" s="8" t="s">
        <v>302</v>
      </c>
      <c r="FS79" s="8" t="s">
        <v>303</v>
      </c>
      <c r="FT79" s="8" t="s">
        <v>303</v>
      </c>
      <c r="FU79" s="8" t="s">
        <v>303</v>
      </c>
      <c r="FV79" s="8" t="s">
        <v>304</v>
      </c>
      <c r="FW79" s="8" t="s">
        <v>304</v>
      </c>
      <c r="FX79" s="8" t="s">
        <v>304</v>
      </c>
      <c r="FY79" s="8" t="s">
        <v>305</v>
      </c>
      <c r="FZ79" s="8" t="s">
        <v>305</v>
      </c>
      <c r="GA79" s="8" t="s">
        <v>305</v>
      </c>
    </row>
    <row r="80" spans="1:183">
      <c r="A80" s="250" t="s">
        <v>306</v>
      </c>
      <c r="B80" s="250" t="s">
        <v>307</v>
      </c>
      <c r="C80" s="8" t="s">
        <v>71</v>
      </c>
      <c r="D80" s="8">
        <v>31</v>
      </c>
      <c r="E80" s="8">
        <v>28</v>
      </c>
      <c r="F80" s="8">
        <v>31</v>
      </c>
      <c r="G80" s="8">
        <v>30</v>
      </c>
      <c r="H80" s="8">
        <v>31</v>
      </c>
      <c r="I80" s="7">
        <v>30</v>
      </c>
      <c r="J80" s="7">
        <v>31</v>
      </c>
      <c r="K80" s="7">
        <v>31</v>
      </c>
      <c r="L80" s="7">
        <v>30</v>
      </c>
      <c r="M80" s="8">
        <v>31</v>
      </c>
      <c r="N80" s="8">
        <v>30</v>
      </c>
      <c r="O80" s="8">
        <v>31</v>
      </c>
      <c r="P80" s="8">
        <v>31</v>
      </c>
      <c r="Q80" s="8">
        <v>28</v>
      </c>
      <c r="R80" s="8">
        <v>31</v>
      </c>
      <c r="S80" s="8">
        <v>30</v>
      </c>
      <c r="T80" s="8">
        <v>31</v>
      </c>
      <c r="U80" s="7">
        <v>30</v>
      </c>
      <c r="V80" s="7">
        <v>31</v>
      </c>
      <c r="W80" s="7">
        <v>31</v>
      </c>
      <c r="X80" s="7">
        <v>30</v>
      </c>
      <c r="Y80" s="8">
        <v>31</v>
      </c>
      <c r="Z80" s="8">
        <v>30</v>
      </c>
      <c r="AA80" s="8">
        <v>31</v>
      </c>
      <c r="AB80" s="8">
        <v>31</v>
      </c>
      <c r="AC80" s="8">
        <v>28</v>
      </c>
      <c r="AD80" s="8">
        <v>31</v>
      </c>
      <c r="AE80" s="8">
        <v>30</v>
      </c>
      <c r="AF80" s="8">
        <v>31</v>
      </c>
      <c r="AG80" s="7">
        <v>30</v>
      </c>
      <c r="AH80" s="7">
        <v>31</v>
      </c>
      <c r="AI80" s="7">
        <v>31</v>
      </c>
      <c r="AJ80" s="7">
        <v>30</v>
      </c>
      <c r="AK80" s="8">
        <v>31</v>
      </c>
      <c r="AL80" s="8">
        <v>30</v>
      </c>
      <c r="AM80" s="8">
        <v>31</v>
      </c>
      <c r="AN80" s="8">
        <v>31</v>
      </c>
      <c r="AO80" s="8">
        <v>28</v>
      </c>
      <c r="AP80" s="8">
        <v>31</v>
      </c>
      <c r="AQ80" s="8">
        <v>30</v>
      </c>
      <c r="AR80" s="8">
        <v>31</v>
      </c>
      <c r="AS80" s="7">
        <v>30</v>
      </c>
      <c r="AT80" s="7">
        <v>31</v>
      </c>
      <c r="AU80" s="7">
        <v>31</v>
      </c>
      <c r="AV80" s="7">
        <v>30</v>
      </c>
      <c r="AW80" s="8">
        <v>31</v>
      </c>
      <c r="AX80" s="8">
        <v>30</v>
      </c>
      <c r="AY80" s="8">
        <v>31</v>
      </c>
      <c r="AZ80" s="8">
        <v>31</v>
      </c>
      <c r="BA80" s="8">
        <v>28</v>
      </c>
      <c r="BB80" s="8">
        <v>31</v>
      </c>
      <c r="BC80" s="8">
        <v>30</v>
      </c>
      <c r="BD80" s="8">
        <v>31</v>
      </c>
      <c r="BE80" s="7">
        <v>30</v>
      </c>
      <c r="BF80" s="7">
        <v>31</v>
      </c>
      <c r="BG80" s="7">
        <v>31</v>
      </c>
      <c r="BH80" s="7">
        <v>30</v>
      </c>
      <c r="BI80" s="8">
        <v>31</v>
      </c>
      <c r="BJ80" s="8">
        <v>30</v>
      </c>
      <c r="BK80" s="8">
        <v>31</v>
      </c>
      <c r="BL80" s="8">
        <v>31</v>
      </c>
      <c r="BM80" s="8">
        <v>28</v>
      </c>
      <c r="BN80" s="8">
        <v>31</v>
      </c>
      <c r="BO80" s="8">
        <v>30</v>
      </c>
      <c r="BP80" s="8">
        <v>31</v>
      </c>
      <c r="BQ80" s="7">
        <v>30</v>
      </c>
      <c r="BR80" s="7">
        <v>31</v>
      </c>
      <c r="BS80" s="7">
        <v>31</v>
      </c>
      <c r="BT80" s="7">
        <v>30</v>
      </c>
      <c r="BU80" s="8">
        <v>31</v>
      </c>
      <c r="BV80" s="8">
        <v>30</v>
      </c>
      <c r="BW80" s="8">
        <v>31</v>
      </c>
      <c r="BX80" s="8">
        <v>31</v>
      </c>
      <c r="BY80" s="8">
        <v>28</v>
      </c>
      <c r="BZ80" s="8">
        <v>31</v>
      </c>
      <c r="CA80" s="8">
        <v>30</v>
      </c>
      <c r="CB80" s="8">
        <v>31</v>
      </c>
      <c r="CC80" s="7">
        <v>30</v>
      </c>
      <c r="CD80" s="7">
        <v>31</v>
      </c>
      <c r="CE80" s="7">
        <v>31</v>
      </c>
      <c r="CF80" s="7">
        <v>30</v>
      </c>
      <c r="CG80" s="8">
        <v>31</v>
      </c>
      <c r="CH80" s="8">
        <v>30</v>
      </c>
      <c r="CI80" s="8">
        <v>31</v>
      </c>
      <c r="CJ80" s="8">
        <v>31</v>
      </c>
      <c r="CK80" s="8">
        <v>28</v>
      </c>
      <c r="CL80" s="8">
        <v>31</v>
      </c>
      <c r="CM80" s="8">
        <v>30</v>
      </c>
      <c r="CN80" s="8">
        <v>31</v>
      </c>
      <c r="CO80" s="7">
        <v>30</v>
      </c>
      <c r="CP80" s="7">
        <v>31</v>
      </c>
      <c r="CQ80" s="7">
        <v>31</v>
      </c>
      <c r="CR80" s="7">
        <v>30</v>
      </c>
      <c r="CS80" s="8">
        <v>31</v>
      </c>
      <c r="CT80" s="8">
        <v>30</v>
      </c>
      <c r="CU80" s="8">
        <v>31</v>
      </c>
      <c r="CV80" s="8">
        <v>31</v>
      </c>
      <c r="CW80" s="8">
        <v>28</v>
      </c>
      <c r="CX80" s="8">
        <v>31</v>
      </c>
      <c r="CY80" s="8">
        <v>30</v>
      </c>
      <c r="CZ80" s="8">
        <v>31</v>
      </c>
      <c r="DA80" s="7">
        <v>30</v>
      </c>
      <c r="DB80" s="7">
        <v>31</v>
      </c>
      <c r="DC80" s="7">
        <v>31</v>
      </c>
      <c r="DD80" s="7">
        <v>30</v>
      </c>
      <c r="DE80" s="8">
        <v>31</v>
      </c>
      <c r="DF80" s="8">
        <v>30</v>
      </c>
      <c r="DG80" s="8">
        <v>31</v>
      </c>
      <c r="DH80" s="8">
        <v>31</v>
      </c>
      <c r="DI80" s="8">
        <v>28</v>
      </c>
      <c r="DJ80" s="8">
        <v>31</v>
      </c>
      <c r="DK80" s="8">
        <v>30</v>
      </c>
      <c r="DL80" s="8">
        <v>31</v>
      </c>
      <c r="DM80" s="7">
        <v>30</v>
      </c>
      <c r="DN80" s="7">
        <v>31</v>
      </c>
      <c r="DO80" s="7">
        <v>31</v>
      </c>
      <c r="DP80" s="7">
        <v>30</v>
      </c>
      <c r="DQ80" s="8">
        <v>31</v>
      </c>
      <c r="DR80" s="8">
        <v>30</v>
      </c>
      <c r="DS80" s="8">
        <v>31</v>
      </c>
      <c r="DT80" s="8">
        <v>31</v>
      </c>
      <c r="DU80" s="8">
        <v>28</v>
      </c>
      <c r="DV80" s="8">
        <v>31</v>
      </c>
      <c r="DW80" s="8">
        <v>30</v>
      </c>
      <c r="DX80" s="8">
        <v>31</v>
      </c>
      <c r="DY80" s="7">
        <v>30</v>
      </c>
      <c r="DZ80" s="7">
        <v>31</v>
      </c>
      <c r="EA80" s="7">
        <v>31</v>
      </c>
      <c r="EB80" s="7">
        <v>30</v>
      </c>
      <c r="EC80" s="8">
        <v>31</v>
      </c>
      <c r="ED80" s="8">
        <v>30</v>
      </c>
      <c r="EE80" s="8">
        <v>31</v>
      </c>
      <c r="EF80" s="8">
        <v>31</v>
      </c>
      <c r="EG80" s="8">
        <v>28</v>
      </c>
      <c r="EH80" s="8">
        <v>31</v>
      </c>
      <c r="EI80" s="8">
        <v>30</v>
      </c>
      <c r="EJ80" s="8">
        <v>31</v>
      </c>
      <c r="EK80" s="7">
        <v>30</v>
      </c>
      <c r="EL80" s="7">
        <v>31</v>
      </c>
      <c r="EM80" s="7">
        <v>31</v>
      </c>
      <c r="EN80" s="7">
        <v>30</v>
      </c>
      <c r="EO80" s="8">
        <v>31</v>
      </c>
      <c r="EP80" s="8">
        <v>30</v>
      </c>
      <c r="EQ80" s="8">
        <v>31</v>
      </c>
      <c r="ER80" s="8">
        <v>31</v>
      </c>
      <c r="ES80" s="8">
        <v>28</v>
      </c>
      <c r="ET80" s="8">
        <v>31</v>
      </c>
      <c r="EU80" s="8">
        <v>30</v>
      </c>
      <c r="EV80" s="8">
        <v>31</v>
      </c>
      <c r="EW80" s="7">
        <v>30</v>
      </c>
      <c r="EX80" s="7">
        <v>31</v>
      </c>
      <c r="EY80" s="7">
        <v>31</v>
      </c>
      <c r="EZ80" s="7">
        <v>30</v>
      </c>
      <c r="FA80" s="8">
        <v>31</v>
      </c>
      <c r="FB80" s="8">
        <v>30</v>
      </c>
      <c r="FC80" s="8">
        <v>31</v>
      </c>
      <c r="FD80" s="8">
        <v>31</v>
      </c>
      <c r="FE80" s="8">
        <v>28</v>
      </c>
      <c r="FF80" s="8">
        <v>31</v>
      </c>
      <c r="FG80" s="8">
        <v>30</v>
      </c>
      <c r="FH80" s="8">
        <v>31</v>
      </c>
      <c r="FI80" s="7">
        <v>30</v>
      </c>
      <c r="FJ80" s="7">
        <v>31</v>
      </c>
      <c r="FK80" s="7">
        <v>31</v>
      </c>
      <c r="FL80" s="7">
        <v>30</v>
      </c>
      <c r="FM80" s="8">
        <v>31</v>
      </c>
      <c r="FN80" s="8">
        <v>30</v>
      </c>
      <c r="FO80" s="8">
        <v>31</v>
      </c>
      <c r="FP80" s="8">
        <v>31</v>
      </c>
      <c r="FQ80" s="8">
        <v>28</v>
      </c>
      <c r="FR80" s="8">
        <v>31</v>
      </c>
      <c r="FS80" s="8">
        <v>30</v>
      </c>
      <c r="FT80" s="8">
        <v>31</v>
      </c>
      <c r="FU80" s="7">
        <v>30</v>
      </c>
      <c r="FV80" s="7">
        <v>31</v>
      </c>
      <c r="FW80" s="7">
        <v>31</v>
      </c>
      <c r="FX80" s="7">
        <v>30</v>
      </c>
      <c r="FY80" s="8">
        <v>31</v>
      </c>
      <c r="FZ80" s="8">
        <v>30</v>
      </c>
      <c r="GA80" s="8">
        <v>31</v>
      </c>
    </row>
    <row r="81" spans="1:183">
      <c r="A81" s="250">
        <v>1</v>
      </c>
      <c r="B81" s="191">
        <f>D24</f>
        <v>1</v>
      </c>
      <c r="C81" s="9"/>
      <c r="D81" s="252">
        <f>IF($B81=D76, 1, IF(C81="", "", IF(C81&lt;12, C81+1, "")))</f>
        <v>1</v>
      </c>
      <c r="E81" s="252">
        <f>IF($B81=Proforma!G$5, 1, IF(D81="", "", IF(D81&lt;12, D81+1, "")))</f>
        <v>2</v>
      </c>
      <c r="F81" s="252">
        <f>IF($B81=Proforma!H$5, 1, IF(E81="", "", IF(E81&lt;12, E81+1, "")))</f>
        <v>3</v>
      </c>
      <c r="G81" s="252">
        <f>IF($B81=Proforma!I$5, 1, IF(F81="", "", IF(F81&lt;12, F81+1, "")))</f>
        <v>4</v>
      </c>
      <c r="H81" s="252">
        <f>IF($B81=Proforma!J$5, 1, IF(G81="", "", IF(G81&lt;12, G81+1, "")))</f>
        <v>5</v>
      </c>
      <c r="I81" s="252">
        <f>IF($B81=Proforma!K$5, 1, IF(H81="", "", IF(H81&lt;12, H81+1, "")))</f>
        <v>6</v>
      </c>
      <c r="J81" s="252">
        <f>IF($B81=Proforma!L$5, 1, IF(I81="", "", IF(I81&lt;12, I81+1, "")))</f>
        <v>7</v>
      </c>
      <c r="K81" s="252">
        <f>IF($B81=Proforma!M$5, 1, IF(J81="", "", IF(J81&lt;12, J81+1, "")))</f>
        <v>8</v>
      </c>
      <c r="L81" s="252">
        <f>IF($B81=Proforma!N$5, 1, IF(K81="", "", IF(K81&lt;12, K81+1, "")))</f>
        <v>9</v>
      </c>
      <c r="M81" s="252">
        <f>IF($B81=Proforma!O$5, 1, IF(L81="", "", IF(L81&lt;12, L81+1, "")))</f>
        <v>10</v>
      </c>
      <c r="N81" s="252">
        <f>IF($B81=Proforma!P$5, 1, IF(M81="", "", IF(M81&lt;12, M81+1, "")))</f>
        <v>11</v>
      </c>
      <c r="O81" s="252">
        <f>IF($B81=Proforma!Q$5, 1, IF(N81="", "", IF(N81&lt;12, N81+1, "")))</f>
        <v>12</v>
      </c>
      <c r="P81" s="252" t="str">
        <f>IF($B81=Proforma!R$5, 1, IF(O81="", "", IF(O81&lt;12, O81+1, "")))</f>
        <v/>
      </c>
      <c r="Q81" s="252" t="str">
        <f>IF($B81=Proforma!S$5, 1, IF(P81="", "", IF(P81&lt;12, P81+1, "")))</f>
        <v/>
      </c>
      <c r="R81" s="252" t="str">
        <f>IF($B81=Proforma!T$5, 1, IF(Q81="", "", IF(Q81&lt;12, Q81+1, "")))</f>
        <v/>
      </c>
      <c r="S81" s="252" t="str">
        <f>IF($B81=Proforma!U$5, 1, IF(R81="", "", IF(R81&lt;12, R81+1, "")))</f>
        <v/>
      </c>
      <c r="T81" s="252" t="str">
        <f>IF($B81=Proforma!V$5, 1, IF(S81="", "", IF(S81&lt;12, S81+1, "")))</f>
        <v/>
      </c>
      <c r="U81" s="252" t="str">
        <f>IF($B81=Proforma!W$5, 1, IF(T81="", "", IF(T81&lt;12, T81+1, "")))</f>
        <v/>
      </c>
      <c r="V81" s="252" t="str">
        <f>IF($B81=Proforma!X$5, 1, IF(U81="", "", IF(U81&lt;12, U81+1, "")))</f>
        <v/>
      </c>
      <c r="W81" s="252" t="str">
        <f>IF($B81=Proforma!Y$5, 1, IF(V81="", "", IF(V81&lt;12, V81+1, "")))</f>
        <v/>
      </c>
      <c r="X81" s="252" t="str">
        <f>IF($B81=Proforma!Z$5, 1, IF(W81="", "", IF(W81&lt;12, W81+1, "")))</f>
        <v/>
      </c>
      <c r="Y81" s="252" t="str">
        <f>IF($B81=Proforma!AA$5, 1, IF(X81="", "", IF(X81&lt;12, X81+1, "")))</f>
        <v/>
      </c>
      <c r="Z81" s="252" t="str">
        <f>IF($B81=Proforma!AB$5, 1, IF(Y81="", "", IF(Y81&lt;12, Y81+1, "")))</f>
        <v/>
      </c>
      <c r="AA81" s="252" t="str">
        <f>IF($B81=Proforma!AC$5, 1, IF(Z81="", "", IF(Z81&lt;12, Z81+1, "")))</f>
        <v/>
      </c>
      <c r="AB81" s="252" t="str">
        <f>IF($B81=Proforma!AD$5, 1, IF(AA81="", "", IF(AA81&lt;12, AA81+1, "")))</f>
        <v/>
      </c>
      <c r="AC81" s="252" t="str">
        <f>IF($B81=Proforma!AE$5, 1, IF(AB81="", "", IF(AB81&lt;12, AB81+1, "")))</f>
        <v/>
      </c>
      <c r="AD81" s="252" t="str">
        <f>IF($B81=Proforma!AF$5, 1, IF(AC81="", "", IF(AC81&lt;12, AC81+1, "")))</f>
        <v/>
      </c>
      <c r="AE81" s="252" t="str">
        <f>IF($B81=Proforma!AG$5, 1, IF(AD81="", "", IF(AD81&lt;12, AD81+1, "")))</f>
        <v/>
      </c>
      <c r="AF81" s="252" t="str">
        <f>IF($B81=Proforma!AH$5, 1, IF(AE81="", "", IF(AE81&lt;12, AE81+1, "")))</f>
        <v/>
      </c>
      <c r="AG81" s="252" t="str">
        <f>IF($B81=Proforma!AI$5, 1, IF(AF81="", "", IF(AF81&lt;12, AF81+1, "")))</f>
        <v/>
      </c>
      <c r="AH81" s="252" t="str">
        <f>IF($B81=Proforma!AJ$5, 1, IF(AG81="", "", IF(AG81&lt;12, AG81+1, "")))</f>
        <v/>
      </c>
      <c r="AI81" s="252" t="str">
        <f>IF($B81=Proforma!AK$5, 1, IF(AH81="", "", IF(AH81&lt;12, AH81+1, "")))</f>
        <v/>
      </c>
      <c r="AJ81" s="252" t="str">
        <f>IF($B81=Proforma!AL$5, 1, IF(AI81="", "", IF(AI81&lt;12, AI81+1, "")))</f>
        <v/>
      </c>
      <c r="AK81" s="252" t="str">
        <f>IF($B81=Proforma!AM$5, 1, IF(AJ81="", "", IF(AJ81&lt;12, AJ81+1, "")))</f>
        <v/>
      </c>
      <c r="AL81" s="252" t="str">
        <f>IF($B81=Proforma!AN$5, 1, IF(AK81="", "", IF(AK81&lt;12, AK81+1, "")))</f>
        <v/>
      </c>
      <c r="AM81" s="252" t="str">
        <f>IF($B81=Proforma!AO$5, 1, IF(AL81="", "", IF(AL81&lt;12, AL81+1, "")))</f>
        <v/>
      </c>
      <c r="AN81" s="252" t="str">
        <f>IF($B81=Proforma!AP$5, 1, IF(AM81="", "", IF(AM81&lt;12, AM81+1, "")))</f>
        <v/>
      </c>
      <c r="AO81" s="252" t="str">
        <f>IF($B81=Proforma!AQ$5, 1, IF(AN81="", "", IF(AN81&lt;12, AN81+1, "")))</f>
        <v/>
      </c>
      <c r="AP81" s="252" t="str">
        <f>IF($B81=Proforma!AR$5, 1, IF(AO81="", "", IF(AO81&lt;12, AO81+1, "")))</f>
        <v/>
      </c>
      <c r="AQ81" s="252" t="str">
        <f>IF($B81=Proforma!AS$5, 1, IF(AP81="", "", IF(AP81&lt;12, AP81+1, "")))</f>
        <v/>
      </c>
      <c r="AR81" s="252" t="str">
        <f>IF($B81=Proforma!AT$5, 1, IF(AQ81="", "", IF(AQ81&lt;12, AQ81+1, "")))</f>
        <v/>
      </c>
      <c r="AS81" s="252" t="str">
        <f>IF($B81=Proforma!AU$5, 1, IF(AR81="", "", IF(AR81&lt;12, AR81+1, "")))</f>
        <v/>
      </c>
      <c r="AT81" s="252" t="str">
        <f>IF($B81=Proforma!AV$5, 1, IF(AS81="", "", IF(AS81&lt;12, AS81+1, "")))</f>
        <v/>
      </c>
      <c r="AU81" s="252" t="str">
        <f>IF($B81=Proforma!AW$5, 1, IF(AT81="", "", IF(AT81&lt;12, AT81+1, "")))</f>
        <v/>
      </c>
      <c r="AV81" s="252" t="str">
        <f>IF($B81=Proforma!AX$5, 1, IF(AU81="", "", IF(AU81&lt;12, AU81+1, "")))</f>
        <v/>
      </c>
      <c r="AW81" s="252" t="str">
        <f>IF($B81=Proforma!AY$5, 1, IF(AV81="", "", IF(AV81&lt;12, AV81+1, "")))</f>
        <v/>
      </c>
      <c r="AX81" s="252" t="str">
        <f>IF($B81=Proforma!AZ$5, 1, IF(AW81="", "", IF(AW81&lt;12, AW81+1, "")))</f>
        <v/>
      </c>
      <c r="AY81" s="252" t="str">
        <f>IF($B81=Proforma!BA$5, 1, IF(AX81="", "", IF(AX81&lt;12, AX81+1, "")))</f>
        <v/>
      </c>
      <c r="AZ81" s="252" t="str">
        <f>IF($B81=Proforma!BB$5, 1, IF(AY81="", "", IF(AY81&lt;12, AY81+1, "")))</f>
        <v/>
      </c>
      <c r="BA81" s="252" t="str">
        <f>IF($B81=Proforma!BC$5, 1, IF(AZ81="", "", IF(AZ81&lt;12, AZ81+1, "")))</f>
        <v/>
      </c>
      <c r="BB81" s="252" t="str">
        <f>IF($B81=Proforma!BD$5, 1, IF(BA81="", "", IF(BA81&lt;12, BA81+1, "")))</f>
        <v/>
      </c>
      <c r="BC81" s="252" t="str">
        <f>IF($B81=Proforma!BE$5, 1, IF(BB81="", "", IF(BB81&lt;12, BB81+1, "")))</f>
        <v/>
      </c>
      <c r="BD81" s="252" t="str">
        <f>IF($B81=Proforma!BF$5, 1, IF(BC81="", "", IF(BC81&lt;12, BC81+1, "")))</f>
        <v/>
      </c>
      <c r="BE81" s="252" t="str">
        <f>IF($B81=Proforma!BG$5, 1, IF(BD81="", "", IF(BD81&lt;12, BD81+1, "")))</f>
        <v/>
      </c>
      <c r="BF81" s="252" t="str">
        <f>IF($B81=Proforma!BH$5, 1, IF(BE81="", "", IF(BE81&lt;12, BE81+1, "")))</f>
        <v/>
      </c>
      <c r="BG81" s="252" t="str">
        <f>IF($B81=Proforma!BI$5, 1, IF(BF81="", "", IF(BF81&lt;12, BF81+1, "")))</f>
        <v/>
      </c>
      <c r="BH81" s="252" t="str">
        <f>IF($B81=Proforma!BJ$5, 1, IF(BG81="", "", IF(BG81&lt;12, BG81+1, "")))</f>
        <v/>
      </c>
      <c r="BI81" s="252" t="str">
        <f>IF($B81=Proforma!BK$5, 1, IF(BH81="", "", IF(BH81&lt;12, BH81+1, "")))</f>
        <v/>
      </c>
      <c r="BJ81" s="252" t="str">
        <f>IF($B81=Proforma!BL$5, 1, IF(BI81="", "", IF(BI81&lt;12, BI81+1, "")))</f>
        <v/>
      </c>
      <c r="BK81" s="252" t="str">
        <f>IF($B81=Proforma!BM$5, 1, IF(BJ81="", "", IF(BJ81&lt;12, BJ81+1, "")))</f>
        <v/>
      </c>
      <c r="BL81" s="252" t="str">
        <f>IF($B81=Proforma!BN$5, 1, IF(BK81="", "", IF(BK81&lt;12, BK81+1, "")))</f>
        <v/>
      </c>
      <c r="BM81" s="252" t="str">
        <f>IF($B81=Proforma!BO$5, 1, IF(BL81="", "", IF(BL81&lt;12, BL81+1, "")))</f>
        <v/>
      </c>
      <c r="BN81" s="252" t="str">
        <f>IF($B81=Proforma!BP$5, 1, IF(BM81="", "", IF(BM81&lt;12, BM81+1, "")))</f>
        <v/>
      </c>
      <c r="BO81" s="252" t="str">
        <f>IF($B81=Proforma!BQ$5, 1, IF(BN81="", "", IF(BN81&lt;12, BN81+1, "")))</f>
        <v/>
      </c>
      <c r="BP81" s="252" t="str">
        <f>IF($B81=Proforma!BR$5, 1, IF(BO81="", "", IF(BO81&lt;12, BO81+1, "")))</f>
        <v/>
      </c>
      <c r="BQ81" s="252" t="str">
        <f>IF($B81=Proforma!BS$5, 1, IF(BP81="", "", IF(BP81&lt;12, BP81+1, "")))</f>
        <v/>
      </c>
      <c r="BR81" s="252" t="str">
        <f>IF($B81=Proforma!BT$5, 1, IF(BQ81="", "", IF(BQ81&lt;12, BQ81+1, "")))</f>
        <v/>
      </c>
      <c r="BS81" s="252" t="str">
        <f>IF($B81=Proforma!BU$5, 1, IF(BR81="", "", IF(BR81&lt;12, BR81+1, "")))</f>
        <v/>
      </c>
      <c r="BT81" s="252" t="str">
        <f>IF($B81=Proforma!BV$5, 1, IF(BS81="", "", IF(BS81&lt;12, BS81+1, "")))</f>
        <v/>
      </c>
      <c r="BU81" s="252" t="str">
        <f>IF($B81=Proforma!BW$5, 1, IF(BT81="", "", IF(BT81&lt;12, BT81+1, "")))</f>
        <v/>
      </c>
      <c r="BV81" s="252" t="str">
        <f>IF($B81=Proforma!BX$5, 1, IF(BU81="", "", IF(BU81&lt;12, BU81+1, "")))</f>
        <v/>
      </c>
      <c r="BW81" s="252" t="str">
        <f>IF($B81=Proforma!BY$5, 1, IF(BV81="", "", IF(BV81&lt;12, BV81+1, "")))</f>
        <v/>
      </c>
      <c r="BX81" s="252" t="str">
        <f>IF($B81=Proforma!BZ$5, 1, IF(BW81="", "", IF(BW81&lt;12, BW81+1, "")))</f>
        <v/>
      </c>
      <c r="BY81" s="252" t="str">
        <f>IF($B81=Proforma!CA$5, 1, IF(BX81="", "", IF(BX81&lt;12, BX81+1, "")))</f>
        <v/>
      </c>
      <c r="BZ81" s="252" t="str">
        <f>IF($B81=Proforma!CB$5, 1, IF(BY81="", "", IF(BY81&lt;12, BY81+1, "")))</f>
        <v/>
      </c>
      <c r="CA81" s="252" t="str">
        <f>IF($B81=Proforma!CC$5, 1, IF(BZ81="", "", IF(BZ81&lt;12, BZ81+1, "")))</f>
        <v/>
      </c>
      <c r="CB81" s="252" t="str">
        <f>IF($B81=Proforma!CD$5, 1, IF(CA81="", "", IF(CA81&lt;12, CA81+1, "")))</f>
        <v/>
      </c>
      <c r="CC81" s="252" t="str">
        <f>IF($B81=Proforma!CE$5, 1, IF(CB81="", "", IF(CB81&lt;12, CB81+1, "")))</f>
        <v/>
      </c>
      <c r="CD81" s="252" t="str">
        <f>IF($B81=Proforma!CF$5, 1, IF(CC81="", "", IF(CC81&lt;12, CC81+1, "")))</f>
        <v/>
      </c>
      <c r="CE81" s="252" t="str">
        <f>IF($B81=Proforma!CG$5, 1, IF(CD81="", "", IF(CD81&lt;12, CD81+1, "")))</f>
        <v/>
      </c>
      <c r="CF81" s="252" t="str">
        <f>IF($B81=Proforma!CH$5, 1, IF(CE81="", "", IF(CE81&lt;12, CE81+1, "")))</f>
        <v/>
      </c>
      <c r="CG81" s="252" t="str">
        <f>IF($B81=Proforma!CI$5, 1, IF(CF81="", "", IF(CF81&lt;12, CF81+1, "")))</f>
        <v/>
      </c>
      <c r="CH81" s="252" t="str">
        <f>IF($B81=Proforma!CJ$5, 1, IF(CG81="", "", IF(CG81&lt;12, CG81+1, "")))</f>
        <v/>
      </c>
      <c r="CI81" s="252" t="str">
        <f>IF($B81=Proforma!CK$5, 1, IF(CH81="", "", IF(CH81&lt;12, CH81+1, "")))</f>
        <v/>
      </c>
      <c r="CJ81" s="252" t="str">
        <f>IF($B81=Proforma!CL$5, 1, IF(CI81="", "", IF(CI81&lt;12, CI81+1, "")))</f>
        <v/>
      </c>
      <c r="CK81" s="252" t="str">
        <f>IF($B81=Proforma!CM$5, 1, IF(CJ81="", "", IF(CJ81&lt;12, CJ81+1, "")))</f>
        <v/>
      </c>
      <c r="CL81" s="252" t="str">
        <f>IF($B81=Proforma!CN$5, 1, IF(CK81="", "", IF(CK81&lt;12, CK81+1, "")))</f>
        <v/>
      </c>
      <c r="CM81" s="252" t="str">
        <f>IF($B81=Proforma!CO$5, 1, IF(CL81="", "", IF(CL81&lt;12, CL81+1, "")))</f>
        <v/>
      </c>
      <c r="CN81" s="252" t="str">
        <f>IF($B81=Proforma!CP$5, 1, IF(CM81="", "", IF(CM81&lt;12, CM81+1, "")))</f>
        <v/>
      </c>
      <c r="CO81" s="252" t="str">
        <f>IF($B81=Proforma!CQ$5, 1, IF(CN81="", "", IF(CN81&lt;12, CN81+1, "")))</f>
        <v/>
      </c>
      <c r="CP81" s="252" t="str">
        <f>IF($B81=Proforma!CR$5, 1, IF(CO81="", "", IF(CO81&lt;12, CO81+1, "")))</f>
        <v/>
      </c>
      <c r="CQ81" s="252" t="str">
        <f>IF($B81=Proforma!CS$5, 1, IF(CP81="", "", IF(CP81&lt;12, CP81+1, "")))</f>
        <v/>
      </c>
      <c r="CR81" s="252" t="str">
        <f>IF($B81=Proforma!CT$5, 1, IF(CQ81="", "", IF(CQ81&lt;12, CQ81+1, "")))</f>
        <v/>
      </c>
      <c r="CS81" s="252" t="str">
        <f>IF($B81=Proforma!CU$5, 1, IF(CR81="", "", IF(CR81&lt;12, CR81+1, "")))</f>
        <v/>
      </c>
      <c r="CT81" s="252" t="str">
        <f>IF($B81=Proforma!CV$5, 1, IF(CS81="", "", IF(CS81&lt;12, CS81+1, "")))</f>
        <v/>
      </c>
      <c r="CU81" s="252" t="str">
        <f>IF($B81=Proforma!CW$5, 1, IF(CT81="", "", IF(CT81&lt;12, CT81+1, "")))</f>
        <v/>
      </c>
      <c r="CV81" s="252" t="str">
        <f>IF($B81=Proforma!CX$5, 1, IF(CU81="", "", IF(CU81&lt;12, CU81+1, "")))</f>
        <v/>
      </c>
      <c r="CW81" s="252" t="str">
        <f>IF($B81=Proforma!CY$5, 1, IF(CV81="", "", IF(CV81&lt;12, CV81+1, "")))</f>
        <v/>
      </c>
      <c r="CX81" s="252" t="str">
        <f>IF($B81=Proforma!CZ$5, 1, IF(CW81="", "", IF(CW81&lt;12, CW81+1, "")))</f>
        <v/>
      </c>
      <c r="CY81" s="252" t="str">
        <f>IF($B81=Proforma!DA$5, 1, IF(CX81="", "", IF(CX81&lt;12, CX81+1, "")))</f>
        <v/>
      </c>
      <c r="CZ81" s="252" t="str">
        <f>IF($B81=Proforma!DB$5, 1, IF(CY81="", "", IF(CY81&lt;12, CY81+1, "")))</f>
        <v/>
      </c>
      <c r="DA81" s="252" t="str">
        <f>IF($B81=Proforma!DC$5, 1, IF(CZ81="", "", IF(CZ81&lt;12, CZ81+1, "")))</f>
        <v/>
      </c>
      <c r="DB81" s="252" t="str">
        <f>IF($B81=Proforma!DD$5, 1, IF(DA81="", "", IF(DA81&lt;12, DA81+1, "")))</f>
        <v/>
      </c>
      <c r="DC81" s="252" t="str">
        <f>IF($B81=Proforma!DE$5, 1, IF(DB81="", "", IF(DB81&lt;12, DB81+1, "")))</f>
        <v/>
      </c>
      <c r="DD81" s="252" t="str">
        <f>IF($B81=Proforma!DF$5, 1, IF(DC81="", "", IF(DC81&lt;12, DC81+1, "")))</f>
        <v/>
      </c>
      <c r="DE81" s="252" t="str">
        <f>IF($B81=Proforma!DG$5, 1, IF(DD81="", "", IF(DD81&lt;12, DD81+1, "")))</f>
        <v/>
      </c>
      <c r="DF81" s="252" t="str">
        <f>IF($B81=Proforma!DH$5, 1, IF(DE81="", "", IF(DE81&lt;12, DE81+1, "")))</f>
        <v/>
      </c>
      <c r="DG81" s="252" t="str">
        <f>IF($B81=Proforma!DI$5, 1, IF(DF81="", "", IF(DF81&lt;12, DF81+1, "")))</f>
        <v/>
      </c>
      <c r="DH81" s="252" t="str">
        <f>IF($B81=Proforma!DJ$5, 1, IF(DG81="", "", IF(DG81&lt;12, DG81+1, "")))</f>
        <v/>
      </c>
      <c r="DI81" s="252" t="str">
        <f>IF($B81=Proforma!DK$5, 1, IF(DH81="", "", IF(DH81&lt;12, DH81+1, "")))</f>
        <v/>
      </c>
      <c r="DJ81" s="252" t="str">
        <f>IF($B81=Proforma!DL$5, 1, IF(DI81="", "", IF(DI81&lt;12, DI81+1, "")))</f>
        <v/>
      </c>
      <c r="DK81" s="252" t="str">
        <f>IF($B81=Proforma!DM$5, 1, IF(DJ81="", "", IF(DJ81&lt;12, DJ81+1, "")))</f>
        <v/>
      </c>
      <c r="DL81" s="252" t="str">
        <f>IF($B81=Proforma!DN$5, 1, IF(DK81="", "", IF(DK81&lt;12, DK81+1, "")))</f>
        <v/>
      </c>
      <c r="DM81" s="252" t="str">
        <f>IF($B81=Proforma!DO$5, 1, IF(DL81="", "", IF(DL81&lt;12, DL81+1, "")))</f>
        <v/>
      </c>
      <c r="DN81" s="252" t="str">
        <f>IF($B81=Proforma!DP$5, 1, IF(DM81="", "", IF(DM81&lt;12, DM81+1, "")))</f>
        <v/>
      </c>
      <c r="DO81" s="252" t="str">
        <f>IF($B81=Proforma!DQ$5, 1, IF(DN81="", "", IF(DN81&lt;12, DN81+1, "")))</f>
        <v/>
      </c>
      <c r="DP81" s="252" t="str">
        <f>IF($B81=Proforma!DR$5, 1, IF(DO81="", "", IF(DO81&lt;12, DO81+1, "")))</f>
        <v/>
      </c>
      <c r="DQ81" s="252" t="str">
        <f>IF($B81=Proforma!DS$5, 1, IF(DP81="", "", IF(DP81&lt;12, DP81+1, "")))</f>
        <v/>
      </c>
      <c r="DR81" s="252" t="str">
        <f>IF($B81=Proforma!DT$5, 1, IF(DQ81="", "", IF(DQ81&lt;12, DQ81+1, "")))</f>
        <v/>
      </c>
      <c r="DS81" s="252" t="str">
        <f>IF($B81=Proforma!DU$5, 1, IF(DR81="", "", IF(DR81&lt;12, DR81+1, "")))</f>
        <v/>
      </c>
      <c r="DT81" s="252" t="str">
        <f>IF($B81=Proforma!DV$5, 1, IF(DS81="", "", IF(DS81&lt;12, DS81+1, "")))</f>
        <v/>
      </c>
      <c r="DU81" s="252" t="str">
        <f>IF($B81=Proforma!DW$5, 1, IF(DT81="", "", IF(DT81&lt;12, DT81+1, "")))</f>
        <v/>
      </c>
      <c r="DV81" s="252" t="str">
        <f>IF($B81=Proforma!DX$5, 1, IF(DU81="", "", IF(DU81&lt;12, DU81+1, "")))</f>
        <v/>
      </c>
      <c r="DW81" s="252" t="str">
        <f>IF($B81=Proforma!DY$5, 1, IF(DV81="", "", IF(DV81&lt;12, DV81+1, "")))</f>
        <v/>
      </c>
      <c r="DX81" s="252" t="str">
        <f>IF($B81=Proforma!DZ$5, 1, IF(DW81="", "", IF(DW81&lt;12, DW81+1, "")))</f>
        <v/>
      </c>
      <c r="DY81" s="252" t="str">
        <f>IF($B81=Proforma!EA$5, 1, IF(DX81="", "", IF(DX81&lt;12, DX81+1, "")))</f>
        <v/>
      </c>
      <c r="DZ81" s="252" t="str">
        <f>IF($B81=Proforma!EB$5, 1, IF(DY81="", "", IF(DY81&lt;12, DY81+1, "")))</f>
        <v/>
      </c>
      <c r="EA81" s="252" t="str">
        <f>IF($B81=Proforma!EC$5, 1, IF(DZ81="", "", IF(DZ81&lt;12, DZ81+1, "")))</f>
        <v/>
      </c>
      <c r="EB81" s="252" t="str">
        <f>IF($B81=Proforma!ED$5, 1, IF(EA81="", "", IF(EA81&lt;12, EA81+1, "")))</f>
        <v/>
      </c>
      <c r="EC81" s="252" t="str">
        <f>IF($B81=Proforma!EE$5, 1, IF(EB81="", "", IF(EB81&lt;12, EB81+1, "")))</f>
        <v/>
      </c>
      <c r="ED81" s="252" t="str">
        <f>IF($B81=Proforma!EF$5, 1, IF(EC81="", "", IF(EC81&lt;12, EC81+1, "")))</f>
        <v/>
      </c>
      <c r="EE81" s="252" t="str">
        <f>IF($B81=Proforma!EG$5, 1, IF(ED81="", "", IF(ED81&lt;12, ED81+1, "")))</f>
        <v/>
      </c>
      <c r="EF81" s="252" t="str">
        <f>IF($B81=Proforma!EH$5, 1, IF(EE81="", "", IF(EE81&lt;12, EE81+1, "")))</f>
        <v/>
      </c>
      <c r="EG81" s="252" t="str">
        <f>IF($B81=Proforma!EI$5, 1, IF(EF81="", "", IF(EF81&lt;12, EF81+1, "")))</f>
        <v/>
      </c>
      <c r="EH81" s="252" t="str">
        <f>IF($B81=Proforma!EJ$5, 1, IF(EG81="", "", IF(EG81&lt;12, EG81+1, "")))</f>
        <v/>
      </c>
      <c r="EI81" s="252" t="str">
        <f>IF($B81=Proforma!EK$5, 1, IF(EH81="", "", IF(EH81&lt;12, EH81+1, "")))</f>
        <v/>
      </c>
      <c r="EJ81" s="252" t="str">
        <f>IF($B81=Proforma!EL$5, 1, IF(EI81="", "", IF(EI81&lt;12, EI81+1, "")))</f>
        <v/>
      </c>
      <c r="EK81" s="252" t="str">
        <f>IF($B81=Proforma!EM$5, 1, IF(EJ81="", "", IF(EJ81&lt;12, EJ81+1, "")))</f>
        <v/>
      </c>
      <c r="EL81" s="252" t="str">
        <f>IF($B81=Proforma!EN$5, 1, IF(EK81="", "", IF(EK81&lt;12, EK81+1, "")))</f>
        <v/>
      </c>
      <c r="EM81" s="252" t="str">
        <f>IF($B81=Proforma!EO$5, 1, IF(EL81="", "", IF(EL81&lt;12, EL81+1, "")))</f>
        <v/>
      </c>
      <c r="EN81" s="252" t="str">
        <f>IF($B81=Proforma!EP$5, 1, IF(EM81="", "", IF(EM81&lt;12, EM81+1, "")))</f>
        <v/>
      </c>
      <c r="EO81" s="252" t="str">
        <f>IF($B81=Proforma!EQ$5, 1, IF(EN81="", "", IF(EN81&lt;12, EN81+1, "")))</f>
        <v/>
      </c>
      <c r="EP81" s="252" t="str">
        <f>IF($B81=Proforma!ER$5, 1, IF(EO81="", "", IF(EO81&lt;12, EO81+1, "")))</f>
        <v/>
      </c>
      <c r="EQ81" s="252" t="str">
        <f>IF($B81=Proforma!ES$5, 1, IF(EP81="", "", IF(EP81&lt;12, EP81+1, "")))</f>
        <v/>
      </c>
      <c r="ER81" s="252" t="str">
        <f>IF($B81=Proforma!ET$5, 1, IF(EQ81="", "", IF(EQ81&lt;12, EQ81+1, "")))</f>
        <v/>
      </c>
      <c r="ES81" s="252" t="str">
        <f>IF($B81=Proforma!EU$5, 1, IF(ER81="", "", IF(ER81&lt;12, ER81+1, "")))</f>
        <v/>
      </c>
      <c r="ET81" s="252" t="str">
        <f>IF($B81=Proforma!EV$5, 1, IF(ES81="", "", IF(ES81&lt;12, ES81+1, "")))</f>
        <v/>
      </c>
      <c r="EU81" s="252" t="str">
        <f>IF($B81=Proforma!EW$5, 1, IF(ET81="", "", IF(ET81&lt;12, ET81+1, "")))</f>
        <v/>
      </c>
      <c r="EV81" s="252" t="str">
        <f>IF($B81=Proforma!EX$5, 1, IF(EU81="", "", IF(EU81&lt;12, EU81+1, "")))</f>
        <v/>
      </c>
      <c r="EW81" s="252" t="str">
        <f>IF($B81=Proforma!EY$5, 1, IF(EV81="", "", IF(EV81&lt;12, EV81+1, "")))</f>
        <v/>
      </c>
      <c r="EX81" s="252" t="str">
        <f>IF($B81=Proforma!EZ$5, 1, IF(EW81="", "", IF(EW81&lt;12, EW81+1, "")))</f>
        <v/>
      </c>
      <c r="EY81" s="252" t="str">
        <f>IF($B81=Proforma!FA$5, 1, IF(EX81="", "", IF(EX81&lt;12, EX81+1, "")))</f>
        <v/>
      </c>
      <c r="EZ81" s="252" t="str">
        <f>IF($B81=Proforma!FB$5, 1, IF(EY81="", "", IF(EY81&lt;12, EY81+1, "")))</f>
        <v/>
      </c>
      <c r="FA81" s="252" t="str">
        <f>IF($B81=Proforma!FC$5, 1, IF(EZ81="", "", IF(EZ81&lt;12, EZ81+1, "")))</f>
        <v/>
      </c>
      <c r="FB81" s="252" t="str">
        <f>IF($B81=Proforma!FD$5, 1, IF(FA81="", "", IF(FA81&lt;12, FA81+1, "")))</f>
        <v/>
      </c>
      <c r="FC81" s="252" t="str">
        <f>IF($B81=Proforma!FE$5, 1, IF(FB81="", "", IF(FB81&lt;12, FB81+1, "")))</f>
        <v/>
      </c>
      <c r="FD81" s="252" t="str">
        <f>IF($B81=Proforma!FF$5, 1, IF(FC81="", "", IF(FC81&lt;12, FC81+1, "")))</f>
        <v/>
      </c>
      <c r="FE81" s="252" t="str">
        <f>IF($B81=Proforma!FG$5, 1, IF(FD81="", "", IF(FD81&lt;12, FD81+1, "")))</f>
        <v/>
      </c>
      <c r="FF81" s="252" t="str">
        <f>IF($B81=Proforma!FH$5, 1, IF(FE81="", "", IF(FE81&lt;12, FE81+1, "")))</f>
        <v/>
      </c>
      <c r="FG81" s="252" t="str">
        <f>IF($B81=Proforma!FI$5, 1, IF(FF81="", "", IF(FF81&lt;12, FF81+1, "")))</f>
        <v/>
      </c>
      <c r="FH81" s="252" t="str">
        <f>IF($B81=Proforma!FJ$5, 1, IF(FG81="", "", IF(FG81&lt;12, FG81+1, "")))</f>
        <v/>
      </c>
      <c r="FI81" s="252" t="str">
        <f>IF($B81=Proforma!FK$5, 1, IF(FH81="", "", IF(FH81&lt;12, FH81+1, "")))</f>
        <v/>
      </c>
      <c r="FJ81" s="252" t="str">
        <f>IF($B81=Proforma!FL$5, 1, IF(FI81="", "", IF(FI81&lt;12, FI81+1, "")))</f>
        <v/>
      </c>
      <c r="FK81" s="252" t="str">
        <f>IF($B81=Proforma!FM$5, 1, IF(FJ81="", "", IF(FJ81&lt;12, FJ81+1, "")))</f>
        <v/>
      </c>
      <c r="FL81" s="252" t="str">
        <f>IF($B81=Proforma!FN$5, 1, IF(FK81="", "", IF(FK81&lt;12, FK81+1, "")))</f>
        <v/>
      </c>
      <c r="FM81" s="252" t="str">
        <f>IF($B81=Proforma!FO$5, 1, IF(FL81="", "", IF(FL81&lt;12, FL81+1, "")))</f>
        <v/>
      </c>
      <c r="FN81" s="252" t="str">
        <f>IF($B81=Proforma!FP$5, 1, IF(FM81="", "", IF(FM81&lt;12, FM81+1, "")))</f>
        <v/>
      </c>
      <c r="FO81" s="252" t="str">
        <f>IF($B81=Proforma!FQ$5, 1, IF(FN81="", "", IF(FN81&lt;12, FN81+1, "")))</f>
        <v/>
      </c>
      <c r="FP81" s="252" t="str">
        <f>IF($B81=Proforma!FR$5, 1, IF(FO81="", "", IF(FO81&lt;12, FO81+1, "")))</f>
        <v/>
      </c>
      <c r="FQ81" s="252" t="str">
        <f>IF($B81=Proforma!FS$5, 1, IF(FP81="", "", IF(FP81&lt;12, FP81+1, "")))</f>
        <v/>
      </c>
      <c r="FR81" s="252" t="str">
        <f>IF($B81=Proforma!FT$5, 1, IF(FQ81="", "", IF(FQ81&lt;12, FQ81+1, "")))</f>
        <v/>
      </c>
      <c r="FS81" s="252" t="str">
        <f>IF($B81=Proforma!FU$5, 1, IF(FR81="", "", IF(FR81&lt;12, FR81+1, "")))</f>
        <v/>
      </c>
      <c r="FT81" s="252" t="str">
        <f>IF($B81=Proforma!FV$5, 1, IF(FS81="", "", IF(FS81&lt;12, FS81+1, "")))</f>
        <v/>
      </c>
      <c r="FU81" s="252" t="str">
        <f>IF($B81=Proforma!FW$5, 1, IF(FT81="", "", IF(FT81&lt;12, FT81+1, "")))</f>
        <v/>
      </c>
      <c r="FV81" s="252" t="str">
        <f>IF($B81=Proforma!FX$5, 1, IF(FU81="", "", IF(FU81&lt;12, FU81+1, "")))</f>
        <v/>
      </c>
      <c r="FW81" s="252" t="str">
        <f>IF($B81=Proforma!FY$5, 1, IF(FV81="", "", IF(FV81&lt;12, FV81+1, "")))</f>
        <v/>
      </c>
      <c r="FX81" s="252" t="str">
        <f>IF($B81=Proforma!FZ$5, 1, IF(FW81="", "", IF(FW81&lt;12, FW81+1, "")))</f>
        <v/>
      </c>
      <c r="FY81" s="252" t="str">
        <f>IF($B81=Proforma!GA$5, 1, IF(FX81="", "", IF(FX81&lt;12, FX81+1, "")))</f>
        <v/>
      </c>
      <c r="FZ81" s="252" t="str">
        <f>IF($B81=Proforma!GB$5, 1, IF(FY81="", "", IF(FY81&lt;12, FY81+1, "")))</f>
        <v/>
      </c>
      <c r="GA81" s="252" t="str">
        <f>IF($B81=Proforma!GC$5, 1, IF(FZ81="", "", IF(FZ81&lt;12, FZ81+1, "")))</f>
        <v/>
      </c>
    </row>
    <row r="82" spans="1:183">
      <c r="A82" s="250">
        <v>2</v>
      </c>
      <c r="B82" s="204">
        <v>10</v>
      </c>
      <c r="C82" s="9"/>
      <c r="D82" s="252" t="str">
        <f>IF(AND(ModelDescription!$D$23=$E$28, $B82=Proforma!F$5), 1, IF(C82="", "", IF(C82&lt;12, C82+1, "")))</f>
        <v/>
      </c>
      <c r="E82" s="252" t="str">
        <f>IF(AND(ModelDescription!$D$23=$E$28, $B82=Proforma!G$5), 1, IF(D82="", "", IF(D82&lt;12, D82+1, "")))</f>
        <v/>
      </c>
      <c r="F82" s="252" t="str">
        <f>IF(AND(ModelDescription!$D$23=$E$28, $B82=Proforma!H$5), 1, IF(E82="", "", IF(E82&lt;12, E82+1, "")))</f>
        <v/>
      </c>
      <c r="G82" s="252" t="str">
        <f>IF(AND(ModelDescription!$D$23=$E$28, $B82=Proforma!I$5), 1, IF(F82="", "", IF(F82&lt;12, F82+1, "")))</f>
        <v/>
      </c>
      <c r="H82" s="252" t="str">
        <f>IF(AND(ModelDescription!$D$23=$E$28, $B82=Proforma!J$5), 1, IF(G82="", "", IF(G82&lt;12, G82+1, "")))</f>
        <v/>
      </c>
      <c r="I82" s="252" t="str">
        <f>IF(AND(ModelDescription!$D$23=$E$28, $B82=Proforma!K$5), 1, IF(H82="", "", IF(H82&lt;12, H82+1, "")))</f>
        <v/>
      </c>
      <c r="J82" s="252" t="str">
        <f>IF(AND(ModelDescription!$D$23=$E$28, $B82=Proforma!L$5), 1, IF(I82="", "", IF(I82&lt;12, I82+1, "")))</f>
        <v/>
      </c>
      <c r="K82" s="252" t="str">
        <f>IF(AND(ModelDescription!$D$23=$E$28, $B82=Proforma!M$5), 1, IF(J82="", "", IF(J82&lt;12, J82+1, "")))</f>
        <v/>
      </c>
      <c r="L82" s="252" t="str">
        <f>IF(AND(ModelDescription!$D$23=$E$28, $B82=Proforma!N$5), 1, IF(K82="", "", IF(K82&lt;12, K82+1, "")))</f>
        <v/>
      </c>
      <c r="M82" s="252" t="str">
        <f>IF(AND(ModelDescription!$D$23=$E$28, $B82=Proforma!O$5), 1, IF(L82="", "", IF(L82&lt;12, L82+1, "")))</f>
        <v/>
      </c>
      <c r="N82" s="252" t="str">
        <f>IF(AND(ModelDescription!$D$23=$E$28, $B82=Proforma!P$5), 1, IF(M82="", "", IF(M82&lt;12, M82+1, "")))</f>
        <v/>
      </c>
      <c r="O82" s="252" t="str">
        <f>IF(AND(ModelDescription!$D$23=$E$28, $B82=Proforma!Q$5), 1, IF(N82="", "", IF(N82&lt;12, N82+1, "")))</f>
        <v/>
      </c>
      <c r="P82" s="252" t="str">
        <f>IF(AND(ModelDescription!$D$23=$E$28, $B82=Proforma!R$5), 1, IF(O82="", "", IF(O82&lt;12, O82+1, "")))</f>
        <v/>
      </c>
      <c r="Q82" s="252" t="str">
        <f>IF(AND(ModelDescription!$D$23=$E$28, $B82=Proforma!S$5), 1, IF(P82="", "", IF(P82&lt;12, P82+1, "")))</f>
        <v/>
      </c>
      <c r="R82" s="252" t="str">
        <f>IF(AND(ModelDescription!$D$23=$E$28, $B82=Proforma!T$5), 1, IF(Q82="", "", IF(Q82&lt;12, Q82+1, "")))</f>
        <v/>
      </c>
      <c r="S82" s="252" t="str">
        <f>IF(AND(ModelDescription!$D$23=$E$28, $B82=Proforma!U$5), 1, IF(R82="", "", IF(R82&lt;12, R82+1, "")))</f>
        <v/>
      </c>
      <c r="T82" s="252" t="str">
        <f>IF(AND(ModelDescription!$D$23=$E$28, $B82=Proforma!V$5), 1, IF(S82="", "", IF(S82&lt;12, S82+1, "")))</f>
        <v/>
      </c>
      <c r="U82" s="252" t="str">
        <f>IF(AND(ModelDescription!$D$23=$E$28, $B82=Proforma!W$5), 1, IF(T82="", "", IF(T82&lt;12, T82+1, "")))</f>
        <v/>
      </c>
      <c r="V82" s="252" t="str">
        <f>IF(AND(ModelDescription!$D$23=$E$28, $B82=Proforma!X$5), 1, IF(U82="", "", IF(U82&lt;12, U82+1, "")))</f>
        <v/>
      </c>
      <c r="W82" s="252" t="str">
        <f>IF(AND(ModelDescription!$D$23=$E$28, $B82=Proforma!Y$5), 1, IF(V82="", "", IF(V82&lt;12, V82+1, "")))</f>
        <v/>
      </c>
      <c r="X82" s="252" t="str">
        <f>IF(AND(ModelDescription!$D$23=$E$28, $B82=Proforma!Z$5), 1, IF(W82="", "", IF(W82&lt;12, W82+1, "")))</f>
        <v/>
      </c>
      <c r="Y82" s="252" t="str">
        <f>IF(AND(ModelDescription!$D$23=$E$28, $B82=Proforma!AA$5), 1, IF(X82="", "", IF(X82&lt;12, X82+1, "")))</f>
        <v/>
      </c>
      <c r="Z82" s="252" t="str">
        <f>IF(AND(ModelDescription!$D$23=$E$28, $B82=Proforma!AB$5), 1, IF(Y82="", "", IF(Y82&lt;12, Y82+1, "")))</f>
        <v/>
      </c>
      <c r="AA82" s="252" t="str">
        <f>IF(AND(ModelDescription!$D$23=$E$28, $B82=Proforma!AC$5), 1, IF(Z82="", "", IF(Z82&lt;12, Z82+1, "")))</f>
        <v/>
      </c>
      <c r="AB82" s="252" t="str">
        <f>IF(AND(ModelDescription!$D$23=$E$28, $B82=Proforma!AD$5), 1, IF(AA82="", "", IF(AA82&lt;12, AA82+1, "")))</f>
        <v/>
      </c>
      <c r="AC82" s="252" t="str">
        <f>IF(AND(ModelDescription!$D$23=$E$28, $B82=Proforma!AE$5), 1, IF(AB82="", "", IF(AB82&lt;12, AB82+1, "")))</f>
        <v/>
      </c>
      <c r="AD82" s="252" t="str">
        <f>IF(AND(ModelDescription!$D$23=$E$28, $B82=Proforma!AF$5), 1, IF(AC82="", "", IF(AC82&lt;12, AC82+1, "")))</f>
        <v/>
      </c>
      <c r="AE82" s="252" t="str">
        <f>IF(AND(ModelDescription!$D$23=$E$28, $B82=Proforma!AG$5), 1, IF(AD82="", "", IF(AD82&lt;12, AD82+1, "")))</f>
        <v/>
      </c>
      <c r="AF82" s="252" t="str">
        <f>IF(AND(ModelDescription!$D$23=$E$28, $B82=Proforma!AH$5), 1, IF(AE82="", "", IF(AE82&lt;12, AE82+1, "")))</f>
        <v/>
      </c>
      <c r="AG82" s="252" t="str">
        <f>IF(AND(ModelDescription!$D$23=$E$28, $B82=Proforma!AI$5), 1, IF(AF82="", "", IF(AF82&lt;12, AF82+1, "")))</f>
        <v/>
      </c>
      <c r="AH82" s="252" t="str">
        <f>IF(AND(ModelDescription!$D$23=$E$28, $B82=Proforma!AJ$5), 1, IF(AG82="", "", IF(AG82&lt;12, AG82+1, "")))</f>
        <v/>
      </c>
      <c r="AI82" s="252" t="str">
        <f>IF(AND(ModelDescription!$D$23=$E$28, $B82=Proforma!AK$5), 1, IF(AH82="", "", IF(AH82&lt;12, AH82+1, "")))</f>
        <v/>
      </c>
      <c r="AJ82" s="252" t="str">
        <f>IF(AND(ModelDescription!$D$23=$E$28, $B82=Proforma!AL$5), 1, IF(AI82="", "", IF(AI82&lt;12, AI82+1, "")))</f>
        <v/>
      </c>
      <c r="AK82" s="252" t="str">
        <f>IF(AND(ModelDescription!$D$23=$E$28, $B82=Proforma!AM$5), 1, IF(AJ82="", "", IF(AJ82&lt;12, AJ82+1, "")))</f>
        <v/>
      </c>
      <c r="AL82" s="252" t="str">
        <f>IF(AND(ModelDescription!$D$23=$E$28, $B82=Proforma!AN$5), 1, IF(AK82="", "", IF(AK82&lt;12, AK82+1, "")))</f>
        <v/>
      </c>
      <c r="AM82" s="252" t="str">
        <f>IF(AND(ModelDescription!$D$23=$E$28, $B82=Proforma!AO$5), 1, IF(AL82="", "", IF(AL82&lt;12, AL82+1, "")))</f>
        <v/>
      </c>
      <c r="AN82" s="252" t="str">
        <f>IF(AND(ModelDescription!$D$23=$E$28, $B82=Proforma!AP$5), 1, IF(AM82="", "", IF(AM82&lt;12, AM82+1, "")))</f>
        <v/>
      </c>
      <c r="AO82" s="252" t="str">
        <f>IF(AND(ModelDescription!$D$23=$E$28, $B82=Proforma!AQ$5), 1, IF(AN82="", "", IF(AN82&lt;12, AN82+1, "")))</f>
        <v/>
      </c>
      <c r="AP82" s="252" t="str">
        <f>IF(AND(ModelDescription!$D$23=$E$28, $B82=Proforma!AR$5), 1, IF(AO82="", "", IF(AO82&lt;12, AO82+1, "")))</f>
        <v/>
      </c>
      <c r="AQ82" s="252" t="str">
        <f>IF(AND(ModelDescription!$D$23=$E$28, $B82=Proforma!AS$5), 1, IF(AP82="", "", IF(AP82&lt;12, AP82+1, "")))</f>
        <v/>
      </c>
      <c r="AR82" s="252" t="str">
        <f>IF(AND(ModelDescription!$D$23=$E$28, $B82=Proforma!AT$5), 1, IF(AQ82="", "", IF(AQ82&lt;12, AQ82+1, "")))</f>
        <v/>
      </c>
      <c r="AS82" s="252" t="str">
        <f>IF(AND(ModelDescription!$D$23=$E$28, $B82=Proforma!AU$5), 1, IF(AR82="", "", IF(AR82&lt;12, AR82+1, "")))</f>
        <v/>
      </c>
      <c r="AT82" s="252" t="str">
        <f>IF(AND(ModelDescription!$D$23=$E$28, $B82=Proforma!AV$5), 1, IF(AS82="", "", IF(AS82&lt;12, AS82+1, "")))</f>
        <v/>
      </c>
      <c r="AU82" s="252" t="str">
        <f>IF(AND(ModelDescription!$D$23=$E$28, $B82=Proforma!AW$5), 1, IF(AT82="", "", IF(AT82&lt;12, AT82+1, "")))</f>
        <v/>
      </c>
      <c r="AV82" s="252" t="str">
        <f>IF(AND(ModelDescription!$D$23=$E$28, $B82=Proforma!AX$5), 1, IF(AU82="", "", IF(AU82&lt;12, AU82+1, "")))</f>
        <v/>
      </c>
      <c r="AW82" s="252" t="str">
        <f>IF(AND(ModelDescription!$D$23=$E$28, $B82=Proforma!AY$5), 1, IF(AV82="", "", IF(AV82&lt;12, AV82+1, "")))</f>
        <v/>
      </c>
      <c r="AX82" s="252" t="str">
        <f>IF(AND(ModelDescription!$D$23=$E$28, $B82=Proforma!AZ$5), 1, IF(AW82="", "", IF(AW82&lt;12, AW82+1, "")))</f>
        <v/>
      </c>
      <c r="AY82" s="252" t="str">
        <f>IF(AND(ModelDescription!$D$23=$E$28, $B82=Proforma!BA$5), 1, IF(AX82="", "", IF(AX82&lt;12, AX82+1, "")))</f>
        <v/>
      </c>
      <c r="AZ82" s="252" t="str">
        <f>IF(AND(ModelDescription!$D$23=$E$28, $B82=Proforma!BB$5), 1, IF(AY82="", "", IF(AY82&lt;12, AY82+1, "")))</f>
        <v/>
      </c>
      <c r="BA82" s="252" t="str">
        <f>IF(AND(ModelDescription!$D$23=$E$28, $B82=Proforma!BC$5), 1, IF(AZ82="", "", IF(AZ82&lt;12, AZ82+1, "")))</f>
        <v/>
      </c>
      <c r="BB82" s="252" t="str">
        <f>IF(AND(ModelDescription!$D$23=$E$28, $B82=Proforma!BD$5), 1, IF(BA82="", "", IF(BA82&lt;12, BA82+1, "")))</f>
        <v/>
      </c>
      <c r="BC82" s="252" t="str">
        <f>IF(AND(ModelDescription!$D$23=$E$28, $B82=Proforma!BE$5), 1, IF(BB82="", "", IF(BB82&lt;12, BB82+1, "")))</f>
        <v/>
      </c>
      <c r="BD82" s="252" t="str">
        <f>IF(AND(ModelDescription!$D$23=$E$28, $B82=Proforma!BF$5), 1, IF(BC82="", "", IF(BC82&lt;12, BC82+1, "")))</f>
        <v/>
      </c>
      <c r="BE82" s="252" t="str">
        <f>IF(AND(ModelDescription!$D$23=$E$28, $B82=Proforma!BG$5), 1, IF(BD82="", "", IF(BD82&lt;12, BD82+1, "")))</f>
        <v/>
      </c>
      <c r="BF82" s="252" t="str">
        <f>IF(AND(ModelDescription!$D$23=$E$28, $B82=Proforma!BH$5), 1, IF(BE82="", "", IF(BE82&lt;12, BE82+1, "")))</f>
        <v/>
      </c>
      <c r="BG82" s="252" t="str">
        <f>IF(AND(ModelDescription!$D$23=$E$28, $B82=Proforma!BI$5), 1, IF(BF82="", "", IF(BF82&lt;12, BF82+1, "")))</f>
        <v/>
      </c>
      <c r="BH82" s="252" t="str">
        <f>IF(AND(ModelDescription!$D$23=$E$28, $B82=Proforma!BJ$5), 1, IF(BG82="", "", IF(BG82&lt;12, BG82+1, "")))</f>
        <v/>
      </c>
      <c r="BI82" s="252" t="str">
        <f>IF(AND(ModelDescription!$D$23=$E$28, $B82=Proforma!BK$5), 1, IF(BH82="", "", IF(BH82&lt;12, BH82+1, "")))</f>
        <v/>
      </c>
      <c r="BJ82" s="252" t="str">
        <f>IF(AND(ModelDescription!$D$23=$E$28, $B82=Proforma!BL$5), 1, IF(BI82="", "", IF(BI82&lt;12, BI82+1, "")))</f>
        <v/>
      </c>
      <c r="BK82" s="252" t="str">
        <f>IF(AND(ModelDescription!$D$23=$E$28, $B82=Proforma!BM$5), 1, IF(BJ82="", "", IF(BJ82&lt;12, BJ82+1, "")))</f>
        <v/>
      </c>
      <c r="BL82" s="252" t="str">
        <f>IF(AND(ModelDescription!$D$23=$E$28, $B82=Proforma!BN$5), 1, IF(BK82="", "", IF(BK82&lt;12, BK82+1, "")))</f>
        <v/>
      </c>
      <c r="BM82" s="252" t="str">
        <f>IF(AND(ModelDescription!$D$23=$E$28, $B82=Proforma!BO$5), 1, IF(BL82="", "", IF(BL82&lt;12, BL82+1, "")))</f>
        <v/>
      </c>
      <c r="BN82" s="252" t="str">
        <f>IF(AND(ModelDescription!$D$23=$E$28, $B82=Proforma!BP$5), 1, IF(BM82="", "", IF(BM82&lt;12, BM82+1, "")))</f>
        <v/>
      </c>
      <c r="BO82" s="252" t="str">
        <f>IF(AND(ModelDescription!$D$23=$E$28, $B82=Proforma!BQ$5), 1, IF(BN82="", "", IF(BN82&lt;12, BN82+1, "")))</f>
        <v/>
      </c>
      <c r="BP82" s="252" t="str">
        <f>IF(AND(ModelDescription!$D$23=$E$28, $B82=Proforma!BR$5), 1, IF(BO82="", "", IF(BO82&lt;12, BO82+1, "")))</f>
        <v/>
      </c>
      <c r="BQ82" s="252" t="str">
        <f>IF(AND(ModelDescription!$D$23=$E$28, $B82=Proforma!BS$5), 1, IF(BP82="", "", IF(BP82&lt;12, BP82+1, "")))</f>
        <v/>
      </c>
      <c r="BR82" s="252" t="str">
        <f>IF(AND(ModelDescription!$D$23=$E$28, $B82=Proforma!BT$5), 1, IF(BQ82="", "", IF(BQ82&lt;12, BQ82+1, "")))</f>
        <v/>
      </c>
      <c r="BS82" s="252" t="str">
        <f>IF(AND(ModelDescription!$D$23=$E$28, $B82=Proforma!BU$5), 1, IF(BR82="", "", IF(BR82&lt;12, BR82+1, "")))</f>
        <v/>
      </c>
      <c r="BT82" s="252" t="str">
        <f>IF(AND(ModelDescription!$D$23=$E$28, $B82=Proforma!BV$5), 1, IF(BS82="", "", IF(BS82&lt;12, BS82+1, "")))</f>
        <v/>
      </c>
      <c r="BU82" s="252" t="str">
        <f>IF(AND(ModelDescription!$D$23=$E$28, $B82=Proforma!BW$5), 1, IF(BT82="", "", IF(BT82&lt;12, BT82+1, "")))</f>
        <v/>
      </c>
      <c r="BV82" s="252" t="str">
        <f>IF(AND(ModelDescription!$D$23=$E$28, $B82=Proforma!BX$5), 1, IF(BU82="", "", IF(BU82&lt;12, BU82+1, "")))</f>
        <v/>
      </c>
      <c r="BW82" s="252" t="str">
        <f>IF(AND(ModelDescription!$D$23=$E$28, $B82=Proforma!BY$5), 1, IF(BV82="", "", IF(BV82&lt;12, BV82+1, "")))</f>
        <v/>
      </c>
      <c r="BX82" s="252" t="str">
        <f>IF(AND(ModelDescription!$D$23=$E$28, $B82=Proforma!BZ$5), 1, IF(BW82="", "", IF(BW82&lt;12, BW82+1, "")))</f>
        <v/>
      </c>
      <c r="BY82" s="252" t="str">
        <f>IF(AND(ModelDescription!$D$23=$E$28, $B82=Proforma!CA$5), 1, IF(BX82="", "", IF(BX82&lt;12, BX82+1, "")))</f>
        <v/>
      </c>
      <c r="BZ82" s="252" t="str">
        <f>IF(AND(ModelDescription!$D$23=$E$28, $B82=Proforma!CB$5), 1, IF(BY82="", "", IF(BY82&lt;12, BY82+1, "")))</f>
        <v/>
      </c>
      <c r="CA82" s="252" t="str">
        <f>IF(AND(ModelDescription!$D$23=$E$28, $B82=Proforma!CC$5), 1, IF(BZ82="", "", IF(BZ82&lt;12, BZ82+1, "")))</f>
        <v/>
      </c>
      <c r="CB82" s="252" t="str">
        <f>IF(AND(ModelDescription!$D$23=$E$28, $B82=Proforma!CD$5), 1, IF(CA82="", "", IF(CA82&lt;12, CA82+1, "")))</f>
        <v/>
      </c>
      <c r="CC82" s="252" t="str">
        <f>IF(AND(ModelDescription!$D$23=$E$28, $B82=Proforma!CE$5), 1, IF(CB82="", "", IF(CB82&lt;12, CB82+1, "")))</f>
        <v/>
      </c>
      <c r="CD82" s="252" t="str">
        <f>IF(AND(ModelDescription!$D$23=$E$28, $B82=Proforma!CF$5), 1, IF(CC82="", "", IF(CC82&lt;12, CC82+1, "")))</f>
        <v/>
      </c>
      <c r="CE82" s="252" t="str">
        <f>IF(AND(ModelDescription!$D$23=$E$28, $B82=Proforma!CG$5), 1, IF(CD82="", "", IF(CD82&lt;12, CD82+1, "")))</f>
        <v/>
      </c>
      <c r="CF82" s="252" t="str">
        <f>IF(AND(ModelDescription!$D$23=$E$28, $B82=Proforma!CH$5), 1, IF(CE82="", "", IF(CE82&lt;12, CE82+1, "")))</f>
        <v/>
      </c>
      <c r="CG82" s="252" t="str">
        <f>IF(AND(ModelDescription!$D$23=$E$28, $B82=Proforma!CI$5), 1, IF(CF82="", "", IF(CF82&lt;12, CF82+1, "")))</f>
        <v/>
      </c>
      <c r="CH82" s="252" t="str">
        <f>IF(AND(ModelDescription!$D$23=$E$28, $B82=Proforma!CJ$5), 1, IF(CG82="", "", IF(CG82&lt;12, CG82+1, "")))</f>
        <v/>
      </c>
      <c r="CI82" s="252" t="str">
        <f>IF(AND(ModelDescription!$D$23=$E$28, $B82=Proforma!CK$5), 1, IF(CH82="", "", IF(CH82&lt;12, CH82+1, "")))</f>
        <v/>
      </c>
      <c r="CJ82" s="252" t="str">
        <f>IF(AND(ModelDescription!$D$23=$E$28, $B82=Proforma!CL$5), 1, IF(CI82="", "", IF(CI82&lt;12, CI82+1, "")))</f>
        <v/>
      </c>
      <c r="CK82" s="252" t="str">
        <f>IF(AND(ModelDescription!$D$23=$E$28, $B82=Proforma!CM$5), 1, IF(CJ82="", "", IF(CJ82&lt;12, CJ82+1, "")))</f>
        <v/>
      </c>
      <c r="CL82" s="252" t="str">
        <f>IF(AND(ModelDescription!$D$23=$E$28, $B82=Proforma!CN$5), 1, IF(CK82="", "", IF(CK82&lt;12, CK82+1, "")))</f>
        <v/>
      </c>
      <c r="CM82" s="252" t="str">
        <f>IF(AND(ModelDescription!$D$23=$E$28, $B82=Proforma!CO$5), 1, IF(CL82="", "", IF(CL82&lt;12, CL82+1, "")))</f>
        <v/>
      </c>
      <c r="CN82" s="252" t="str">
        <f>IF(AND(ModelDescription!$D$23=$E$28, $B82=Proforma!CP$5), 1, IF(CM82="", "", IF(CM82&lt;12, CM82+1, "")))</f>
        <v/>
      </c>
      <c r="CO82" s="252" t="str">
        <f>IF(AND(ModelDescription!$D$23=$E$28, $B82=Proforma!CQ$5), 1, IF(CN82="", "", IF(CN82&lt;12, CN82+1, "")))</f>
        <v/>
      </c>
      <c r="CP82" s="252" t="str">
        <f>IF(AND(ModelDescription!$D$23=$E$28, $B82=Proforma!CR$5), 1, IF(CO82="", "", IF(CO82&lt;12, CO82+1, "")))</f>
        <v/>
      </c>
      <c r="CQ82" s="252" t="str">
        <f>IF(AND(ModelDescription!$D$23=$E$28, $B82=Proforma!CS$5), 1, IF(CP82="", "", IF(CP82&lt;12, CP82+1, "")))</f>
        <v/>
      </c>
      <c r="CR82" s="252" t="str">
        <f>IF(AND(ModelDescription!$D$23=$E$28, $B82=Proforma!CT$5), 1, IF(CQ82="", "", IF(CQ82&lt;12, CQ82+1, "")))</f>
        <v/>
      </c>
      <c r="CS82" s="252" t="str">
        <f>IF(AND(ModelDescription!$D$23=$E$28, $B82=Proforma!CU$5), 1, IF(CR82="", "", IF(CR82&lt;12, CR82+1, "")))</f>
        <v/>
      </c>
      <c r="CT82" s="252" t="str">
        <f>IF(AND(ModelDescription!$D$23=$E$28, $B82=Proforma!CV$5), 1, IF(CS82="", "", IF(CS82&lt;12, CS82+1, "")))</f>
        <v/>
      </c>
      <c r="CU82" s="252" t="str">
        <f>IF(AND(ModelDescription!$D$23=$E$28, $B82=Proforma!CW$5), 1, IF(CT82="", "", IF(CT82&lt;12, CT82+1, "")))</f>
        <v/>
      </c>
      <c r="CV82" s="252" t="str">
        <f>IF(AND(ModelDescription!$D$23=$E$28, $B82=Proforma!CX$5), 1, IF(CU82="", "", IF(CU82&lt;12, CU82+1, "")))</f>
        <v/>
      </c>
      <c r="CW82" s="252" t="str">
        <f>IF(AND(ModelDescription!$D$23=$E$28, $B82=Proforma!CY$5), 1, IF(CV82="", "", IF(CV82&lt;12, CV82+1, "")))</f>
        <v/>
      </c>
      <c r="CX82" s="252" t="str">
        <f>IF(AND(ModelDescription!$D$23=$E$28, $B82=Proforma!CZ$5), 1, IF(CW82="", "", IF(CW82&lt;12, CW82+1, "")))</f>
        <v/>
      </c>
      <c r="CY82" s="252" t="str">
        <f>IF(AND(ModelDescription!$D$23=$E$28, $B82=Proforma!DA$5), 1, IF(CX82="", "", IF(CX82&lt;12, CX82+1, "")))</f>
        <v/>
      </c>
      <c r="CZ82" s="252" t="str">
        <f>IF(AND(ModelDescription!$D$23=$E$28, $B82=Proforma!DB$5), 1, IF(CY82="", "", IF(CY82&lt;12, CY82+1, "")))</f>
        <v/>
      </c>
      <c r="DA82" s="252" t="str">
        <f>IF(AND(ModelDescription!$D$23=$E$28, $B82=Proforma!DC$5), 1, IF(CZ82="", "", IF(CZ82&lt;12, CZ82+1, "")))</f>
        <v/>
      </c>
      <c r="DB82" s="252" t="str">
        <f>IF(AND(ModelDescription!$D$23=$E$28, $B82=Proforma!DD$5), 1, IF(DA82="", "", IF(DA82&lt;12, DA82+1, "")))</f>
        <v/>
      </c>
      <c r="DC82" s="252" t="str">
        <f>IF(AND(ModelDescription!$D$23=$E$28, $B82=Proforma!DE$5), 1, IF(DB82="", "", IF(DB82&lt;12, DB82+1, "")))</f>
        <v/>
      </c>
      <c r="DD82" s="252" t="str">
        <f>IF(AND(ModelDescription!$D$23=$E$28, $B82=Proforma!DF$5), 1, IF(DC82="", "", IF(DC82&lt;12, DC82+1, "")))</f>
        <v/>
      </c>
      <c r="DE82" s="252" t="str">
        <f>IF(AND(ModelDescription!$D$23=$E$28, $B82=Proforma!DG$5), 1, IF(DD82="", "", IF(DD82&lt;12, DD82+1, "")))</f>
        <v/>
      </c>
      <c r="DF82" s="252" t="str">
        <f>IF(AND(ModelDescription!$D$23=$E$28, $B82=Proforma!DH$5), 1, IF(DE82="", "", IF(DE82&lt;12, DE82+1, "")))</f>
        <v/>
      </c>
      <c r="DG82" s="252" t="str">
        <f>IF(AND(ModelDescription!$D$23=$E$28, $B82=Proforma!DI$5), 1, IF(DF82="", "", IF(DF82&lt;12, DF82+1, "")))</f>
        <v/>
      </c>
      <c r="DH82" s="252" t="str">
        <f>IF(AND(ModelDescription!$D$23=$E$28, $B82=Proforma!DJ$5), 1, IF(DG82="", "", IF(DG82&lt;12, DG82+1, "")))</f>
        <v/>
      </c>
      <c r="DI82" s="252" t="str">
        <f>IF(AND(ModelDescription!$D$23=$E$28, $B82=Proforma!DK$5), 1, IF(DH82="", "", IF(DH82&lt;12, DH82+1, "")))</f>
        <v/>
      </c>
      <c r="DJ82" s="252" t="str">
        <f>IF(AND(ModelDescription!$D$23=$E$28, $B82=Proforma!DL$5), 1, IF(DI82="", "", IF(DI82&lt;12, DI82+1, "")))</f>
        <v/>
      </c>
      <c r="DK82" s="252" t="str">
        <f>IF(AND(ModelDescription!$D$23=$E$28, $B82=Proforma!DM$5), 1, IF(DJ82="", "", IF(DJ82&lt;12, DJ82+1, "")))</f>
        <v/>
      </c>
      <c r="DL82" s="252" t="str">
        <f>IF(AND(ModelDescription!$D$23=$E$28, $B82=Proforma!DN$5), 1, IF(DK82="", "", IF(DK82&lt;12, DK82+1, "")))</f>
        <v/>
      </c>
      <c r="DM82" s="252" t="str">
        <f>IF(AND(ModelDescription!$D$23=$E$28, $B82=Proforma!DO$5), 1, IF(DL82="", "", IF(DL82&lt;12, DL82+1, "")))</f>
        <v/>
      </c>
      <c r="DN82" s="252" t="str">
        <f>IF(AND(ModelDescription!$D$23=$E$28, $B82=Proforma!DP$5), 1, IF(DM82="", "", IF(DM82&lt;12, DM82+1, "")))</f>
        <v/>
      </c>
      <c r="DO82" s="252" t="str">
        <f>IF(AND(ModelDescription!$D$23=$E$28, $B82=Proforma!DQ$5), 1, IF(DN82="", "", IF(DN82&lt;12, DN82+1, "")))</f>
        <v/>
      </c>
      <c r="DP82" s="252" t="str">
        <f>IF(AND(ModelDescription!$D$23=$E$28, $B82=Proforma!DR$5), 1, IF(DO82="", "", IF(DO82&lt;12, DO82+1, "")))</f>
        <v/>
      </c>
      <c r="DQ82" s="252" t="str">
        <f>IF(AND(ModelDescription!$D$23=$E$28, $B82=Proforma!DS$5), 1, IF(DP82="", "", IF(DP82&lt;12, DP82+1, "")))</f>
        <v/>
      </c>
      <c r="DR82" s="252" t="str">
        <f>IF(AND(ModelDescription!$D$23=$E$28, $B82=Proforma!DT$5), 1, IF(DQ82="", "", IF(DQ82&lt;12, DQ82+1, "")))</f>
        <v/>
      </c>
      <c r="DS82" s="252" t="str">
        <f>IF(AND(ModelDescription!$D$23=$E$28, $B82=Proforma!DU$5), 1, IF(DR82="", "", IF(DR82&lt;12, DR82+1, "")))</f>
        <v/>
      </c>
      <c r="DT82" s="252" t="str">
        <f>IF(AND(ModelDescription!$D$23=$E$28, $B82=Proforma!DV$5), 1, IF(DS82="", "", IF(DS82&lt;12, DS82+1, "")))</f>
        <v/>
      </c>
      <c r="DU82" s="252" t="str">
        <f>IF(AND(ModelDescription!$D$23=$E$28, $B82=Proforma!DW$5), 1, IF(DT82="", "", IF(DT82&lt;12, DT82+1, "")))</f>
        <v/>
      </c>
      <c r="DV82" s="252" t="str">
        <f>IF(AND(ModelDescription!$D$23=$E$28, $B82=Proforma!DX$5), 1, IF(DU82="", "", IF(DU82&lt;12, DU82+1, "")))</f>
        <v/>
      </c>
      <c r="DW82" s="252" t="str">
        <f>IF(AND(ModelDescription!$D$23=$E$28, $B82=Proforma!DY$5), 1, IF(DV82="", "", IF(DV82&lt;12, DV82+1, "")))</f>
        <v/>
      </c>
      <c r="DX82" s="252" t="str">
        <f>IF(AND(ModelDescription!$D$23=$E$28, $B82=Proforma!DZ$5), 1, IF(DW82="", "", IF(DW82&lt;12, DW82+1, "")))</f>
        <v/>
      </c>
      <c r="DY82" s="252" t="str">
        <f>IF(AND(ModelDescription!$D$23=$E$28, $B82=Proforma!EA$5), 1, IF(DX82="", "", IF(DX82&lt;12, DX82+1, "")))</f>
        <v/>
      </c>
      <c r="DZ82" s="252" t="str">
        <f>IF(AND(ModelDescription!$D$23=$E$28, $B82=Proforma!EB$5), 1, IF(DY82="", "", IF(DY82&lt;12, DY82+1, "")))</f>
        <v/>
      </c>
      <c r="EA82" s="252" t="str">
        <f>IF(AND(ModelDescription!$D$23=$E$28, $B82=Proforma!EC$5), 1, IF(DZ82="", "", IF(DZ82&lt;12, DZ82+1, "")))</f>
        <v/>
      </c>
      <c r="EB82" s="252" t="str">
        <f>IF(AND(ModelDescription!$D$23=$E$28, $B82=Proforma!ED$5), 1, IF(EA82="", "", IF(EA82&lt;12, EA82+1, "")))</f>
        <v/>
      </c>
      <c r="EC82" s="252" t="str">
        <f>IF(AND(ModelDescription!$D$23=$E$28, $B82=Proforma!EE$5), 1, IF(EB82="", "", IF(EB82&lt;12, EB82+1, "")))</f>
        <v/>
      </c>
      <c r="ED82" s="252" t="str">
        <f>IF(AND(ModelDescription!$D$23=$E$28, $B82=Proforma!EF$5), 1, IF(EC82="", "", IF(EC82&lt;12, EC82+1, "")))</f>
        <v/>
      </c>
      <c r="EE82" s="252" t="str">
        <f>IF(AND(ModelDescription!$D$23=$E$28, $B82=Proforma!EG$5), 1, IF(ED82="", "", IF(ED82&lt;12, ED82+1, "")))</f>
        <v/>
      </c>
      <c r="EF82" s="252" t="str">
        <f>IF(AND(ModelDescription!$D$23=$E$28, $B82=Proforma!EH$5), 1, IF(EE82="", "", IF(EE82&lt;12, EE82+1, "")))</f>
        <v/>
      </c>
      <c r="EG82" s="252" t="str">
        <f>IF(AND(ModelDescription!$D$23=$E$28, $B82=Proforma!EI$5), 1, IF(EF82="", "", IF(EF82&lt;12, EF82+1, "")))</f>
        <v/>
      </c>
      <c r="EH82" s="252" t="str">
        <f>IF(AND(ModelDescription!$D$23=$E$28, $B82=Proforma!EJ$5), 1, IF(EG82="", "", IF(EG82&lt;12, EG82+1, "")))</f>
        <v/>
      </c>
      <c r="EI82" s="252" t="str">
        <f>IF(AND(ModelDescription!$D$23=$E$28, $B82=Proforma!EK$5), 1, IF(EH82="", "", IF(EH82&lt;12, EH82+1, "")))</f>
        <v/>
      </c>
      <c r="EJ82" s="252" t="str">
        <f>IF(AND(ModelDescription!$D$23=$E$28, $B82=Proforma!EL$5), 1, IF(EI82="", "", IF(EI82&lt;12, EI82+1, "")))</f>
        <v/>
      </c>
      <c r="EK82" s="252" t="str">
        <f>IF(AND(ModelDescription!$D$23=$E$28, $B82=Proforma!EM$5), 1, IF(EJ82="", "", IF(EJ82&lt;12, EJ82+1, "")))</f>
        <v/>
      </c>
      <c r="EL82" s="252" t="str">
        <f>IF(AND(ModelDescription!$D$23=$E$28, $B82=Proforma!EN$5), 1, IF(EK82="", "", IF(EK82&lt;12, EK82+1, "")))</f>
        <v/>
      </c>
      <c r="EM82" s="252" t="str">
        <f>IF(AND(ModelDescription!$D$23=$E$28, $B82=Proforma!EO$5), 1, IF(EL82="", "", IF(EL82&lt;12, EL82+1, "")))</f>
        <v/>
      </c>
      <c r="EN82" s="252" t="str">
        <f>IF(AND(ModelDescription!$D$23=$E$28, $B82=Proforma!EP$5), 1, IF(EM82="", "", IF(EM82&lt;12, EM82+1, "")))</f>
        <v/>
      </c>
      <c r="EO82" s="252" t="str">
        <f>IF(AND(ModelDescription!$D$23=$E$28, $B82=Proforma!EQ$5), 1, IF(EN82="", "", IF(EN82&lt;12, EN82+1, "")))</f>
        <v/>
      </c>
      <c r="EP82" s="252" t="str">
        <f>IF(AND(ModelDescription!$D$23=$E$28, $B82=Proforma!ER$5), 1, IF(EO82="", "", IF(EO82&lt;12, EO82+1, "")))</f>
        <v/>
      </c>
      <c r="EQ82" s="252" t="str">
        <f>IF(AND(ModelDescription!$D$23=$E$28, $B82=Proforma!ES$5), 1, IF(EP82="", "", IF(EP82&lt;12, EP82+1, "")))</f>
        <v/>
      </c>
      <c r="ER82" s="252" t="str">
        <f>IF(AND(ModelDescription!$D$23=$E$28, $B82=Proforma!ET$5), 1, IF(EQ82="", "", IF(EQ82&lt;12, EQ82+1, "")))</f>
        <v/>
      </c>
      <c r="ES82" s="252" t="str">
        <f>IF(AND(ModelDescription!$D$23=$E$28, $B82=Proforma!EU$5), 1, IF(ER82="", "", IF(ER82&lt;12, ER82+1, "")))</f>
        <v/>
      </c>
      <c r="ET82" s="252" t="str">
        <f>IF(AND(ModelDescription!$D$23=$E$28, $B82=Proforma!EV$5), 1, IF(ES82="", "", IF(ES82&lt;12, ES82+1, "")))</f>
        <v/>
      </c>
      <c r="EU82" s="252" t="str">
        <f>IF(AND(ModelDescription!$D$23=$E$28, $B82=Proforma!EW$5), 1, IF(ET82="", "", IF(ET82&lt;12, ET82+1, "")))</f>
        <v/>
      </c>
      <c r="EV82" s="252" t="str">
        <f>IF(AND(ModelDescription!$D$23=$E$28, $B82=Proforma!EX$5), 1, IF(EU82="", "", IF(EU82&lt;12, EU82+1, "")))</f>
        <v/>
      </c>
      <c r="EW82" s="252" t="str">
        <f>IF(AND(ModelDescription!$D$23=$E$28, $B82=Proforma!EY$5), 1, IF(EV82="", "", IF(EV82&lt;12, EV82+1, "")))</f>
        <v/>
      </c>
      <c r="EX82" s="252" t="str">
        <f>IF(AND(ModelDescription!$D$23=$E$28, $B82=Proforma!EZ$5), 1, IF(EW82="", "", IF(EW82&lt;12, EW82+1, "")))</f>
        <v/>
      </c>
      <c r="EY82" s="252" t="str">
        <f>IF(AND(ModelDescription!$D$23=$E$28, $B82=Proforma!FA$5), 1, IF(EX82="", "", IF(EX82&lt;12, EX82+1, "")))</f>
        <v/>
      </c>
      <c r="EZ82" s="252" t="str">
        <f>IF(AND(ModelDescription!$D$23=$E$28, $B82=Proforma!FB$5), 1, IF(EY82="", "", IF(EY82&lt;12, EY82+1, "")))</f>
        <v/>
      </c>
      <c r="FA82" s="252" t="str">
        <f>IF(AND(ModelDescription!$D$23=$E$28, $B82=Proforma!FC$5), 1, IF(EZ82="", "", IF(EZ82&lt;12, EZ82+1, "")))</f>
        <v/>
      </c>
      <c r="FB82" s="252" t="str">
        <f>IF(AND(ModelDescription!$D$23=$E$28, $B82=Proforma!FD$5), 1, IF(FA82="", "", IF(FA82&lt;12, FA82+1, "")))</f>
        <v/>
      </c>
      <c r="FC82" s="252" t="str">
        <f>IF(AND(ModelDescription!$D$23=$E$28, $B82=Proforma!FE$5), 1, IF(FB82="", "", IF(FB82&lt;12, FB82+1, "")))</f>
        <v/>
      </c>
      <c r="FD82" s="252" t="str">
        <f>IF(AND(ModelDescription!$D$23=$E$28, $B82=Proforma!FF$5), 1, IF(FC82="", "", IF(FC82&lt;12, FC82+1, "")))</f>
        <v/>
      </c>
      <c r="FE82" s="252" t="str">
        <f>IF(AND(ModelDescription!$D$23=$E$28, $B82=Proforma!FG$5), 1, IF(FD82="", "", IF(FD82&lt;12, FD82+1, "")))</f>
        <v/>
      </c>
      <c r="FF82" s="252" t="str">
        <f>IF(AND(ModelDescription!$D$23=$E$28, $B82=Proforma!FH$5), 1, IF(FE82="", "", IF(FE82&lt;12, FE82+1, "")))</f>
        <v/>
      </c>
      <c r="FG82" s="252" t="str">
        <f>IF(AND(ModelDescription!$D$23=$E$28, $B82=Proforma!FI$5), 1, IF(FF82="", "", IF(FF82&lt;12, FF82+1, "")))</f>
        <v/>
      </c>
      <c r="FH82" s="252" t="str">
        <f>IF(AND(ModelDescription!$D$23=$E$28, $B82=Proforma!FJ$5), 1, IF(FG82="", "", IF(FG82&lt;12, FG82+1, "")))</f>
        <v/>
      </c>
      <c r="FI82" s="252" t="str">
        <f>IF(AND(ModelDescription!$D$23=$E$28, $B82=Proforma!FK$5), 1, IF(FH82="", "", IF(FH82&lt;12, FH82+1, "")))</f>
        <v/>
      </c>
      <c r="FJ82" s="252" t="str">
        <f>IF(AND(ModelDescription!$D$23=$E$28, $B82=Proforma!FL$5), 1, IF(FI82="", "", IF(FI82&lt;12, FI82+1, "")))</f>
        <v/>
      </c>
      <c r="FK82" s="252" t="str">
        <f>IF(AND(ModelDescription!$D$23=$E$28, $B82=Proforma!FM$5), 1, IF(FJ82="", "", IF(FJ82&lt;12, FJ82+1, "")))</f>
        <v/>
      </c>
      <c r="FL82" s="252" t="str">
        <f>IF(AND(ModelDescription!$D$23=$E$28, $B82=Proforma!FN$5), 1, IF(FK82="", "", IF(FK82&lt;12, FK82+1, "")))</f>
        <v/>
      </c>
      <c r="FM82" s="252" t="str">
        <f>IF(AND(ModelDescription!$D$23=$E$28, $B82=Proforma!FO$5), 1, IF(FL82="", "", IF(FL82&lt;12, FL82+1, "")))</f>
        <v/>
      </c>
      <c r="FN82" s="252" t="str">
        <f>IF(AND(ModelDescription!$D$23=$E$28, $B82=Proforma!FP$5), 1, IF(FM82="", "", IF(FM82&lt;12, FM82+1, "")))</f>
        <v/>
      </c>
      <c r="FO82" s="252" t="str">
        <f>IF(AND(ModelDescription!$D$23=$E$28, $B82=Proforma!FQ$5), 1, IF(FN82="", "", IF(FN82&lt;12, FN82+1, "")))</f>
        <v/>
      </c>
      <c r="FP82" s="252" t="str">
        <f>IF(AND(ModelDescription!$D$23=$E$28, $B82=Proforma!FR$5), 1, IF(FO82="", "", IF(FO82&lt;12, FO82+1, "")))</f>
        <v/>
      </c>
      <c r="FQ82" s="252" t="str">
        <f>IF(AND(ModelDescription!$D$23=$E$28, $B82=Proforma!FS$5), 1, IF(FP82="", "", IF(FP82&lt;12, FP82+1, "")))</f>
        <v/>
      </c>
      <c r="FR82" s="252" t="str">
        <f>IF(AND(ModelDescription!$D$23=$E$28, $B82=Proforma!FT$5), 1, IF(FQ82="", "", IF(FQ82&lt;12, FQ82+1, "")))</f>
        <v/>
      </c>
      <c r="FS82" s="252" t="str">
        <f>IF(AND(ModelDescription!$D$23=$E$28, $B82=Proforma!FU$5), 1, IF(FR82="", "", IF(FR82&lt;12, FR82+1, "")))</f>
        <v/>
      </c>
      <c r="FT82" s="252" t="str">
        <f>IF(AND(ModelDescription!$D$23=$E$28, $B82=Proforma!FV$5), 1, IF(FS82="", "", IF(FS82&lt;12, FS82+1, "")))</f>
        <v/>
      </c>
      <c r="FU82" s="252" t="str">
        <f>IF(AND(ModelDescription!$D$23=$E$28, $B82=Proforma!FW$5), 1, IF(FT82="", "", IF(FT82&lt;12, FT82+1, "")))</f>
        <v/>
      </c>
      <c r="FV82" s="252" t="str">
        <f>IF(AND(ModelDescription!$D$23=$E$28, $B82=Proforma!FX$5), 1, IF(FU82="", "", IF(FU82&lt;12, FU82+1, "")))</f>
        <v/>
      </c>
      <c r="FW82" s="252" t="str">
        <f>IF(AND(ModelDescription!$D$23=$E$28, $B82=Proforma!FY$5), 1, IF(FV82="", "", IF(FV82&lt;12, FV82+1, "")))</f>
        <v/>
      </c>
      <c r="FX82" s="252" t="str">
        <f>IF(AND(ModelDescription!$D$23=$E$28, $B82=Proforma!FZ$5), 1, IF(FW82="", "", IF(FW82&lt;12, FW82+1, "")))</f>
        <v/>
      </c>
      <c r="FY82" s="252" t="str">
        <f>IF(AND(ModelDescription!$D$23=$E$28, $B82=Proforma!GA$5), 1, IF(FX82="", "", IF(FX82&lt;12, FX82+1, "")))</f>
        <v/>
      </c>
      <c r="FZ82" s="252" t="str">
        <f>IF(AND(ModelDescription!$D$23=$E$28, $B82=Proforma!GB$5), 1, IF(FY82="", "", IF(FY82&lt;12, FY82+1, "")))</f>
        <v/>
      </c>
      <c r="GA82" s="252" t="str">
        <f>IF(AND(ModelDescription!$D$23=$E$28, $B82=Proforma!GC$5), 1, IF(FZ82="", "", IF(FZ82&lt;12, FZ82+1, "")))</f>
        <v/>
      </c>
    </row>
    <row r="83" spans="1:183">
      <c r="A83" s="250">
        <v>3</v>
      </c>
      <c r="B83" s="204">
        <v>11</v>
      </c>
      <c r="C83" s="9"/>
      <c r="D83" s="252" t="str">
        <f>IF(AND(ModelDescription!$D$23=$E$28, $B83=Proforma!F$5), 1, IF(C83="", "", IF(C83&lt;12, C83+1, "")))</f>
        <v/>
      </c>
      <c r="E83" s="252" t="str">
        <f>IF(AND(ModelDescription!$D$23=$E$28, $B83=Proforma!G$5), 1, IF(D83="", "", IF(D83&lt;12, D83+1, "")))</f>
        <v/>
      </c>
      <c r="F83" s="252" t="str">
        <f>IF(AND(ModelDescription!$D$23=$E$28, $B83=Proforma!H$5), 1, IF(E83="", "", IF(E83&lt;12, E83+1, "")))</f>
        <v/>
      </c>
      <c r="G83" s="252" t="str">
        <f>IF(AND(ModelDescription!$D$23=$E$28, $B83=Proforma!I$5), 1, IF(F83="", "", IF(F83&lt;12, F83+1, "")))</f>
        <v/>
      </c>
      <c r="H83" s="252" t="str">
        <f>IF(AND(ModelDescription!$D$23=$E$28, $B83=Proforma!J$5), 1, IF(G83="", "", IF(G83&lt;12, G83+1, "")))</f>
        <v/>
      </c>
      <c r="I83" s="252" t="str">
        <f>IF(AND(ModelDescription!$D$23=$E$28, $B83=Proforma!K$5), 1, IF(H83="", "", IF(H83&lt;12, H83+1, "")))</f>
        <v/>
      </c>
      <c r="J83" s="252" t="str">
        <f>IF(AND(ModelDescription!$D$23=$E$28, $B83=Proforma!L$5), 1, IF(I83="", "", IF(I83&lt;12, I83+1, "")))</f>
        <v/>
      </c>
      <c r="K83" s="252" t="str">
        <f>IF(AND(ModelDescription!$D$23=$E$28, $B83=Proforma!M$5), 1, IF(J83="", "", IF(J83&lt;12, J83+1, "")))</f>
        <v/>
      </c>
      <c r="L83" s="252" t="str">
        <f>IF(AND(ModelDescription!$D$23=$E$28, $B83=Proforma!N$5), 1, IF(K83="", "", IF(K83&lt;12, K83+1, "")))</f>
        <v/>
      </c>
      <c r="M83" s="252" t="str">
        <f>IF(AND(ModelDescription!$D$23=$E$28, $B83=Proforma!O$5), 1, IF(L83="", "", IF(L83&lt;12, L83+1, "")))</f>
        <v/>
      </c>
      <c r="N83" s="252" t="str">
        <f>IF(AND(ModelDescription!$D$23=$E$28, $B83=Proforma!P$5), 1, IF(M83="", "", IF(M83&lt;12, M83+1, "")))</f>
        <v/>
      </c>
      <c r="O83" s="252" t="str">
        <f>IF(AND(ModelDescription!$D$23=$E$28, $B83=Proforma!Q$5), 1, IF(N83="", "", IF(N83&lt;12, N83+1, "")))</f>
        <v/>
      </c>
      <c r="P83" s="252" t="str">
        <f>IF(AND(ModelDescription!$D$23=$E$28, $B83=Proforma!R$5), 1, IF(O83="", "", IF(O83&lt;12, O83+1, "")))</f>
        <v/>
      </c>
      <c r="Q83" s="252" t="str">
        <f>IF(AND(ModelDescription!$D$23=$E$28, $B83=Proforma!S$5), 1, IF(P83="", "", IF(P83&lt;12, P83+1, "")))</f>
        <v/>
      </c>
      <c r="R83" s="252" t="str">
        <f>IF(AND(ModelDescription!$D$23=$E$28, $B83=Proforma!T$5), 1, IF(Q83="", "", IF(Q83&lt;12, Q83+1, "")))</f>
        <v/>
      </c>
      <c r="S83" s="252" t="str">
        <f>IF(AND(ModelDescription!$D$23=$E$28, $B83=Proforma!U$5), 1, IF(R83="", "", IF(R83&lt;12, R83+1, "")))</f>
        <v/>
      </c>
      <c r="T83" s="252" t="str">
        <f>IF(AND(ModelDescription!$D$23=$E$28, $B83=Proforma!V$5), 1, IF(S83="", "", IF(S83&lt;12, S83+1, "")))</f>
        <v/>
      </c>
      <c r="U83" s="252" t="str">
        <f>IF(AND(ModelDescription!$D$23=$E$28, $B83=Proforma!W$5), 1, IF(T83="", "", IF(T83&lt;12, T83+1, "")))</f>
        <v/>
      </c>
      <c r="V83" s="252" t="str">
        <f>IF(AND(ModelDescription!$D$23=$E$28, $B83=Proforma!X$5), 1, IF(U83="", "", IF(U83&lt;12, U83+1, "")))</f>
        <v/>
      </c>
      <c r="W83" s="252" t="str">
        <f>IF(AND(ModelDescription!$D$23=$E$28, $B83=Proforma!Y$5), 1, IF(V83="", "", IF(V83&lt;12, V83+1, "")))</f>
        <v/>
      </c>
      <c r="X83" s="252" t="str">
        <f>IF(AND(ModelDescription!$D$23=$E$28, $B83=Proforma!Z$5), 1, IF(W83="", "", IF(W83&lt;12, W83+1, "")))</f>
        <v/>
      </c>
      <c r="Y83" s="252" t="str">
        <f>IF(AND(ModelDescription!$D$23=$E$28, $B83=Proforma!AA$5), 1, IF(X83="", "", IF(X83&lt;12, X83+1, "")))</f>
        <v/>
      </c>
      <c r="Z83" s="252" t="str">
        <f>IF(AND(ModelDescription!$D$23=$E$28, $B83=Proforma!AB$5), 1, IF(Y83="", "", IF(Y83&lt;12, Y83+1, "")))</f>
        <v/>
      </c>
      <c r="AA83" s="252" t="str">
        <f>IF(AND(ModelDescription!$D$23=$E$28, $B83=Proforma!AC$5), 1, IF(Z83="", "", IF(Z83&lt;12, Z83+1, "")))</f>
        <v/>
      </c>
      <c r="AB83" s="252" t="str">
        <f>IF(AND(ModelDescription!$D$23=$E$28, $B83=Proforma!AD$5), 1, IF(AA83="", "", IF(AA83&lt;12, AA83+1, "")))</f>
        <v/>
      </c>
      <c r="AC83" s="252" t="str">
        <f>IF(AND(ModelDescription!$D$23=$E$28, $B83=Proforma!AE$5), 1, IF(AB83="", "", IF(AB83&lt;12, AB83+1, "")))</f>
        <v/>
      </c>
      <c r="AD83" s="252" t="str">
        <f>IF(AND(ModelDescription!$D$23=$E$28, $B83=Proforma!AF$5), 1, IF(AC83="", "", IF(AC83&lt;12, AC83+1, "")))</f>
        <v/>
      </c>
      <c r="AE83" s="252" t="str">
        <f>IF(AND(ModelDescription!$D$23=$E$28, $B83=Proforma!AG$5), 1, IF(AD83="", "", IF(AD83&lt;12, AD83+1, "")))</f>
        <v/>
      </c>
      <c r="AF83" s="252" t="str">
        <f>IF(AND(ModelDescription!$D$23=$E$28, $B83=Proforma!AH$5), 1, IF(AE83="", "", IF(AE83&lt;12, AE83+1, "")))</f>
        <v/>
      </c>
      <c r="AG83" s="252" t="str">
        <f>IF(AND(ModelDescription!$D$23=$E$28, $B83=Proforma!AI$5), 1, IF(AF83="", "", IF(AF83&lt;12, AF83+1, "")))</f>
        <v/>
      </c>
      <c r="AH83" s="252" t="str">
        <f>IF(AND(ModelDescription!$D$23=$E$28, $B83=Proforma!AJ$5), 1, IF(AG83="", "", IF(AG83&lt;12, AG83+1, "")))</f>
        <v/>
      </c>
      <c r="AI83" s="252" t="str">
        <f>IF(AND(ModelDescription!$D$23=$E$28, $B83=Proforma!AK$5), 1, IF(AH83="", "", IF(AH83&lt;12, AH83+1, "")))</f>
        <v/>
      </c>
      <c r="AJ83" s="252" t="str">
        <f>IF(AND(ModelDescription!$D$23=$E$28, $B83=Proforma!AL$5), 1, IF(AI83="", "", IF(AI83&lt;12, AI83+1, "")))</f>
        <v/>
      </c>
      <c r="AK83" s="252" t="str">
        <f>IF(AND(ModelDescription!$D$23=$E$28, $B83=Proforma!AM$5), 1, IF(AJ83="", "", IF(AJ83&lt;12, AJ83+1, "")))</f>
        <v/>
      </c>
      <c r="AL83" s="252" t="str">
        <f>IF(AND(ModelDescription!$D$23=$E$28, $B83=Proforma!AN$5), 1, IF(AK83="", "", IF(AK83&lt;12, AK83+1, "")))</f>
        <v/>
      </c>
      <c r="AM83" s="252" t="str">
        <f>IF(AND(ModelDescription!$D$23=$E$28, $B83=Proforma!AO$5), 1, IF(AL83="", "", IF(AL83&lt;12, AL83+1, "")))</f>
        <v/>
      </c>
      <c r="AN83" s="252" t="str">
        <f>IF(AND(ModelDescription!$D$23=$E$28, $B83=Proforma!AP$5), 1, IF(AM83="", "", IF(AM83&lt;12, AM83+1, "")))</f>
        <v/>
      </c>
      <c r="AO83" s="252" t="str">
        <f>IF(AND(ModelDescription!$D$23=$E$28, $B83=Proforma!AQ$5), 1, IF(AN83="", "", IF(AN83&lt;12, AN83+1, "")))</f>
        <v/>
      </c>
      <c r="AP83" s="252" t="str">
        <f>IF(AND(ModelDescription!$D$23=$E$28, $B83=Proforma!AR$5), 1, IF(AO83="", "", IF(AO83&lt;12, AO83+1, "")))</f>
        <v/>
      </c>
      <c r="AQ83" s="252" t="str">
        <f>IF(AND(ModelDescription!$D$23=$E$28, $B83=Proforma!AS$5), 1, IF(AP83="", "", IF(AP83&lt;12, AP83+1, "")))</f>
        <v/>
      </c>
      <c r="AR83" s="252" t="str">
        <f>IF(AND(ModelDescription!$D$23=$E$28, $B83=Proforma!AT$5), 1, IF(AQ83="", "", IF(AQ83&lt;12, AQ83+1, "")))</f>
        <v/>
      </c>
      <c r="AS83" s="252" t="str">
        <f>IF(AND(ModelDescription!$D$23=$E$28, $B83=Proforma!AU$5), 1, IF(AR83="", "", IF(AR83&lt;12, AR83+1, "")))</f>
        <v/>
      </c>
      <c r="AT83" s="252" t="str">
        <f>IF(AND(ModelDescription!$D$23=$E$28, $B83=Proforma!AV$5), 1, IF(AS83="", "", IF(AS83&lt;12, AS83+1, "")))</f>
        <v/>
      </c>
      <c r="AU83" s="252" t="str">
        <f>IF(AND(ModelDescription!$D$23=$E$28, $B83=Proforma!AW$5), 1, IF(AT83="", "", IF(AT83&lt;12, AT83+1, "")))</f>
        <v/>
      </c>
      <c r="AV83" s="252" t="str">
        <f>IF(AND(ModelDescription!$D$23=$E$28, $B83=Proforma!AX$5), 1, IF(AU83="", "", IF(AU83&lt;12, AU83+1, "")))</f>
        <v/>
      </c>
      <c r="AW83" s="252" t="str">
        <f>IF(AND(ModelDescription!$D$23=$E$28, $B83=Proforma!AY$5), 1, IF(AV83="", "", IF(AV83&lt;12, AV83+1, "")))</f>
        <v/>
      </c>
      <c r="AX83" s="252" t="str">
        <f>IF(AND(ModelDescription!$D$23=$E$28, $B83=Proforma!AZ$5), 1, IF(AW83="", "", IF(AW83&lt;12, AW83+1, "")))</f>
        <v/>
      </c>
      <c r="AY83" s="252" t="str">
        <f>IF(AND(ModelDescription!$D$23=$E$28, $B83=Proforma!BA$5), 1, IF(AX83="", "", IF(AX83&lt;12, AX83+1, "")))</f>
        <v/>
      </c>
      <c r="AZ83" s="252" t="str">
        <f>IF(AND(ModelDescription!$D$23=$E$28, $B83=Proforma!BB$5), 1, IF(AY83="", "", IF(AY83&lt;12, AY83+1, "")))</f>
        <v/>
      </c>
      <c r="BA83" s="252" t="str">
        <f>IF(AND(ModelDescription!$D$23=$E$28, $B83=Proforma!BC$5), 1, IF(AZ83="", "", IF(AZ83&lt;12, AZ83+1, "")))</f>
        <v/>
      </c>
      <c r="BB83" s="252" t="str">
        <f>IF(AND(ModelDescription!$D$23=$E$28, $B83=Proforma!BD$5), 1, IF(BA83="", "", IF(BA83&lt;12, BA83+1, "")))</f>
        <v/>
      </c>
      <c r="BC83" s="252" t="str">
        <f>IF(AND(ModelDescription!$D$23=$E$28, $B83=Proforma!BE$5), 1, IF(BB83="", "", IF(BB83&lt;12, BB83+1, "")))</f>
        <v/>
      </c>
      <c r="BD83" s="252" t="str">
        <f>IF(AND(ModelDescription!$D$23=$E$28, $B83=Proforma!BF$5), 1, IF(BC83="", "", IF(BC83&lt;12, BC83+1, "")))</f>
        <v/>
      </c>
      <c r="BE83" s="252" t="str">
        <f>IF(AND(ModelDescription!$D$23=$E$28, $B83=Proforma!BG$5), 1, IF(BD83="", "", IF(BD83&lt;12, BD83+1, "")))</f>
        <v/>
      </c>
      <c r="BF83" s="252" t="str">
        <f>IF(AND(ModelDescription!$D$23=$E$28, $B83=Proforma!BH$5), 1, IF(BE83="", "", IF(BE83&lt;12, BE83+1, "")))</f>
        <v/>
      </c>
      <c r="BG83" s="252" t="str">
        <f>IF(AND(ModelDescription!$D$23=$E$28, $B83=Proforma!BI$5), 1, IF(BF83="", "", IF(BF83&lt;12, BF83+1, "")))</f>
        <v/>
      </c>
      <c r="BH83" s="252" t="str">
        <f>IF(AND(ModelDescription!$D$23=$E$28, $B83=Proforma!BJ$5), 1, IF(BG83="", "", IF(BG83&lt;12, BG83+1, "")))</f>
        <v/>
      </c>
      <c r="BI83" s="252" t="str">
        <f>IF(AND(ModelDescription!$D$23=$E$28, $B83=Proforma!BK$5), 1, IF(BH83="", "", IF(BH83&lt;12, BH83+1, "")))</f>
        <v/>
      </c>
      <c r="BJ83" s="252" t="str">
        <f>IF(AND(ModelDescription!$D$23=$E$28, $B83=Proforma!BL$5), 1, IF(BI83="", "", IF(BI83&lt;12, BI83+1, "")))</f>
        <v/>
      </c>
      <c r="BK83" s="252" t="str">
        <f>IF(AND(ModelDescription!$D$23=$E$28, $B83=Proforma!BM$5), 1, IF(BJ83="", "", IF(BJ83&lt;12, BJ83+1, "")))</f>
        <v/>
      </c>
      <c r="BL83" s="252" t="str">
        <f>IF(AND(ModelDescription!$D$23=$E$28, $B83=Proforma!BN$5), 1, IF(BK83="", "", IF(BK83&lt;12, BK83+1, "")))</f>
        <v/>
      </c>
      <c r="BM83" s="252" t="str">
        <f>IF(AND(ModelDescription!$D$23=$E$28, $B83=Proforma!BO$5), 1, IF(BL83="", "", IF(BL83&lt;12, BL83+1, "")))</f>
        <v/>
      </c>
      <c r="BN83" s="252" t="str">
        <f>IF(AND(ModelDescription!$D$23=$E$28, $B83=Proforma!BP$5), 1, IF(BM83="", "", IF(BM83&lt;12, BM83+1, "")))</f>
        <v/>
      </c>
      <c r="BO83" s="252" t="str">
        <f>IF(AND(ModelDescription!$D$23=$E$28, $B83=Proforma!BQ$5), 1, IF(BN83="", "", IF(BN83&lt;12, BN83+1, "")))</f>
        <v/>
      </c>
      <c r="BP83" s="252" t="str">
        <f>IF(AND(ModelDescription!$D$23=$E$28, $B83=Proforma!BR$5), 1, IF(BO83="", "", IF(BO83&lt;12, BO83+1, "")))</f>
        <v/>
      </c>
      <c r="BQ83" s="252" t="str">
        <f>IF(AND(ModelDescription!$D$23=$E$28, $B83=Proforma!BS$5), 1, IF(BP83="", "", IF(BP83&lt;12, BP83+1, "")))</f>
        <v/>
      </c>
      <c r="BR83" s="252" t="str">
        <f>IF(AND(ModelDescription!$D$23=$E$28, $B83=Proforma!BT$5), 1, IF(BQ83="", "", IF(BQ83&lt;12, BQ83+1, "")))</f>
        <v/>
      </c>
      <c r="BS83" s="252" t="str">
        <f>IF(AND(ModelDescription!$D$23=$E$28, $B83=Proforma!BU$5), 1, IF(BR83="", "", IF(BR83&lt;12, BR83+1, "")))</f>
        <v/>
      </c>
      <c r="BT83" s="252" t="str">
        <f>IF(AND(ModelDescription!$D$23=$E$28, $B83=Proforma!BV$5), 1, IF(BS83="", "", IF(BS83&lt;12, BS83+1, "")))</f>
        <v/>
      </c>
      <c r="BU83" s="252" t="str">
        <f>IF(AND(ModelDescription!$D$23=$E$28, $B83=Proforma!BW$5), 1, IF(BT83="", "", IF(BT83&lt;12, BT83+1, "")))</f>
        <v/>
      </c>
      <c r="BV83" s="252" t="str">
        <f>IF(AND(ModelDescription!$D$23=$E$28, $B83=Proforma!BX$5), 1, IF(BU83="", "", IF(BU83&lt;12, BU83+1, "")))</f>
        <v/>
      </c>
      <c r="BW83" s="252" t="str">
        <f>IF(AND(ModelDescription!$D$23=$E$28, $B83=Proforma!BY$5), 1, IF(BV83="", "", IF(BV83&lt;12, BV83+1, "")))</f>
        <v/>
      </c>
      <c r="BX83" s="252" t="str">
        <f>IF(AND(ModelDescription!$D$23=$E$28, $B83=Proforma!BZ$5), 1, IF(BW83="", "", IF(BW83&lt;12, BW83+1, "")))</f>
        <v/>
      </c>
      <c r="BY83" s="252" t="str">
        <f>IF(AND(ModelDescription!$D$23=$E$28, $B83=Proforma!CA$5), 1, IF(BX83="", "", IF(BX83&lt;12, BX83+1, "")))</f>
        <v/>
      </c>
      <c r="BZ83" s="252" t="str">
        <f>IF(AND(ModelDescription!$D$23=$E$28, $B83=Proforma!CB$5), 1, IF(BY83="", "", IF(BY83&lt;12, BY83+1, "")))</f>
        <v/>
      </c>
      <c r="CA83" s="252" t="str">
        <f>IF(AND(ModelDescription!$D$23=$E$28, $B83=Proforma!CC$5), 1, IF(BZ83="", "", IF(BZ83&lt;12, BZ83+1, "")))</f>
        <v/>
      </c>
      <c r="CB83" s="252" t="str">
        <f>IF(AND(ModelDescription!$D$23=$E$28, $B83=Proforma!CD$5), 1, IF(CA83="", "", IF(CA83&lt;12, CA83+1, "")))</f>
        <v/>
      </c>
      <c r="CC83" s="252" t="str">
        <f>IF(AND(ModelDescription!$D$23=$E$28, $B83=Proforma!CE$5), 1, IF(CB83="", "", IF(CB83&lt;12, CB83+1, "")))</f>
        <v/>
      </c>
      <c r="CD83" s="252" t="str">
        <f>IF(AND(ModelDescription!$D$23=$E$28, $B83=Proforma!CF$5), 1, IF(CC83="", "", IF(CC83&lt;12, CC83+1, "")))</f>
        <v/>
      </c>
      <c r="CE83" s="252" t="str">
        <f>IF(AND(ModelDescription!$D$23=$E$28, $B83=Proforma!CG$5), 1, IF(CD83="", "", IF(CD83&lt;12, CD83+1, "")))</f>
        <v/>
      </c>
      <c r="CF83" s="252" t="str">
        <f>IF(AND(ModelDescription!$D$23=$E$28, $B83=Proforma!CH$5), 1, IF(CE83="", "", IF(CE83&lt;12, CE83+1, "")))</f>
        <v/>
      </c>
      <c r="CG83" s="252" t="str">
        <f>IF(AND(ModelDescription!$D$23=$E$28, $B83=Proforma!CI$5), 1, IF(CF83="", "", IF(CF83&lt;12, CF83+1, "")))</f>
        <v/>
      </c>
      <c r="CH83" s="252" t="str">
        <f>IF(AND(ModelDescription!$D$23=$E$28, $B83=Proforma!CJ$5), 1, IF(CG83="", "", IF(CG83&lt;12, CG83+1, "")))</f>
        <v/>
      </c>
      <c r="CI83" s="252" t="str">
        <f>IF(AND(ModelDescription!$D$23=$E$28, $B83=Proforma!CK$5), 1, IF(CH83="", "", IF(CH83&lt;12, CH83+1, "")))</f>
        <v/>
      </c>
      <c r="CJ83" s="252" t="str">
        <f>IF(AND(ModelDescription!$D$23=$E$28, $B83=Proforma!CL$5), 1, IF(CI83="", "", IF(CI83&lt;12, CI83+1, "")))</f>
        <v/>
      </c>
      <c r="CK83" s="252" t="str">
        <f>IF(AND(ModelDescription!$D$23=$E$28, $B83=Proforma!CM$5), 1, IF(CJ83="", "", IF(CJ83&lt;12, CJ83+1, "")))</f>
        <v/>
      </c>
      <c r="CL83" s="252" t="str">
        <f>IF(AND(ModelDescription!$D$23=$E$28, $B83=Proforma!CN$5), 1, IF(CK83="", "", IF(CK83&lt;12, CK83+1, "")))</f>
        <v/>
      </c>
      <c r="CM83" s="252" t="str">
        <f>IF(AND(ModelDescription!$D$23=$E$28, $B83=Proforma!CO$5), 1, IF(CL83="", "", IF(CL83&lt;12, CL83+1, "")))</f>
        <v/>
      </c>
      <c r="CN83" s="252" t="str">
        <f>IF(AND(ModelDescription!$D$23=$E$28, $B83=Proforma!CP$5), 1, IF(CM83="", "", IF(CM83&lt;12, CM83+1, "")))</f>
        <v/>
      </c>
      <c r="CO83" s="252" t="str">
        <f>IF(AND(ModelDescription!$D$23=$E$28, $B83=Proforma!CQ$5), 1, IF(CN83="", "", IF(CN83&lt;12, CN83+1, "")))</f>
        <v/>
      </c>
      <c r="CP83" s="252" t="str">
        <f>IF(AND(ModelDescription!$D$23=$E$28, $B83=Proforma!CR$5), 1, IF(CO83="", "", IF(CO83&lt;12, CO83+1, "")))</f>
        <v/>
      </c>
      <c r="CQ83" s="252" t="str">
        <f>IF(AND(ModelDescription!$D$23=$E$28, $B83=Proforma!CS$5), 1, IF(CP83="", "", IF(CP83&lt;12, CP83+1, "")))</f>
        <v/>
      </c>
      <c r="CR83" s="252" t="str">
        <f>IF(AND(ModelDescription!$D$23=$E$28, $B83=Proforma!CT$5), 1, IF(CQ83="", "", IF(CQ83&lt;12, CQ83+1, "")))</f>
        <v/>
      </c>
      <c r="CS83" s="252" t="str">
        <f>IF(AND(ModelDescription!$D$23=$E$28, $B83=Proforma!CU$5), 1, IF(CR83="", "", IF(CR83&lt;12, CR83+1, "")))</f>
        <v/>
      </c>
      <c r="CT83" s="252" t="str">
        <f>IF(AND(ModelDescription!$D$23=$E$28, $B83=Proforma!CV$5), 1, IF(CS83="", "", IF(CS83&lt;12, CS83+1, "")))</f>
        <v/>
      </c>
      <c r="CU83" s="252" t="str">
        <f>IF(AND(ModelDescription!$D$23=$E$28, $B83=Proforma!CW$5), 1, IF(CT83="", "", IF(CT83&lt;12, CT83+1, "")))</f>
        <v/>
      </c>
      <c r="CV83" s="252" t="str">
        <f>IF(AND(ModelDescription!$D$23=$E$28, $B83=Proforma!CX$5), 1, IF(CU83="", "", IF(CU83&lt;12, CU83+1, "")))</f>
        <v/>
      </c>
      <c r="CW83" s="252" t="str">
        <f>IF(AND(ModelDescription!$D$23=$E$28, $B83=Proforma!CY$5), 1, IF(CV83="", "", IF(CV83&lt;12, CV83+1, "")))</f>
        <v/>
      </c>
      <c r="CX83" s="252" t="str">
        <f>IF(AND(ModelDescription!$D$23=$E$28, $B83=Proforma!CZ$5), 1, IF(CW83="", "", IF(CW83&lt;12, CW83+1, "")))</f>
        <v/>
      </c>
      <c r="CY83" s="252" t="str">
        <f>IF(AND(ModelDescription!$D$23=$E$28, $B83=Proforma!DA$5), 1, IF(CX83="", "", IF(CX83&lt;12, CX83+1, "")))</f>
        <v/>
      </c>
      <c r="CZ83" s="252" t="str">
        <f>IF(AND(ModelDescription!$D$23=$E$28, $B83=Proforma!DB$5), 1, IF(CY83="", "", IF(CY83&lt;12, CY83+1, "")))</f>
        <v/>
      </c>
      <c r="DA83" s="252" t="str">
        <f>IF(AND(ModelDescription!$D$23=$E$28, $B83=Proforma!DC$5), 1, IF(CZ83="", "", IF(CZ83&lt;12, CZ83+1, "")))</f>
        <v/>
      </c>
      <c r="DB83" s="252" t="str">
        <f>IF(AND(ModelDescription!$D$23=$E$28, $B83=Proforma!DD$5), 1, IF(DA83="", "", IF(DA83&lt;12, DA83+1, "")))</f>
        <v/>
      </c>
      <c r="DC83" s="252" t="str">
        <f>IF(AND(ModelDescription!$D$23=$E$28, $B83=Proforma!DE$5), 1, IF(DB83="", "", IF(DB83&lt;12, DB83+1, "")))</f>
        <v/>
      </c>
      <c r="DD83" s="252" t="str">
        <f>IF(AND(ModelDescription!$D$23=$E$28, $B83=Proforma!DF$5), 1, IF(DC83="", "", IF(DC83&lt;12, DC83+1, "")))</f>
        <v/>
      </c>
      <c r="DE83" s="252" t="str">
        <f>IF(AND(ModelDescription!$D$23=$E$28, $B83=Proforma!DG$5), 1, IF(DD83="", "", IF(DD83&lt;12, DD83+1, "")))</f>
        <v/>
      </c>
      <c r="DF83" s="252" t="str">
        <f>IF(AND(ModelDescription!$D$23=$E$28, $B83=Proforma!DH$5), 1, IF(DE83="", "", IF(DE83&lt;12, DE83+1, "")))</f>
        <v/>
      </c>
      <c r="DG83" s="252" t="str">
        <f>IF(AND(ModelDescription!$D$23=$E$28, $B83=Proforma!DI$5), 1, IF(DF83="", "", IF(DF83&lt;12, DF83+1, "")))</f>
        <v/>
      </c>
      <c r="DH83" s="252" t="str">
        <f>IF(AND(ModelDescription!$D$23=$E$28, $B83=Proforma!DJ$5), 1, IF(DG83="", "", IF(DG83&lt;12, DG83+1, "")))</f>
        <v/>
      </c>
      <c r="DI83" s="252" t="str">
        <f>IF(AND(ModelDescription!$D$23=$E$28, $B83=Proforma!DK$5), 1, IF(DH83="", "", IF(DH83&lt;12, DH83+1, "")))</f>
        <v/>
      </c>
      <c r="DJ83" s="252" t="str">
        <f>IF(AND(ModelDescription!$D$23=$E$28, $B83=Proforma!DL$5), 1, IF(DI83="", "", IF(DI83&lt;12, DI83+1, "")))</f>
        <v/>
      </c>
      <c r="DK83" s="252" t="str">
        <f>IF(AND(ModelDescription!$D$23=$E$28, $B83=Proforma!DM$5), 1, IF(DJ83="", "", IF(DJ83&lt;12, DJ83+1, "")))</f>
        <v/>
      </c>
      <c r="DL83" s="252" t="str">
        <f>IF(AND(ModelDescription!$D$23=$E$28, $B83=Proforma!DN$5), 1, IF(DK83="", "", IF(DK83&lt;12, DK83+1, "")))</f>
        <v/>
      </c>
      <c r="DM83" s="252" t="str">
        <f>IF(AND(ModelDescription!$D$23=$E$28, $B83=Proforma!DO$5), 1, IF(DL83="", "", IF(DL83&lt;12, DL83+1, "")))</f>
        <v/>
      </c>
      <c r="DN83" s="252" t="str">
        <f>IF(AND(ModelDescription!$D$23=$E$28, $B83=Proforma!DP$5), 1, IF(DM83="", "", IF(DM83&lt;12, DM83+1, "")))</f>
        <v/>
      </c>
      <c r="DO83" s="252" t="str">
        <f>IF(AND(ModelDescription!$D$23=$E$28, $B83=Proforma!DQ$5), 1, IF(DN83="", "", IF(DN83&lt;12, DN83+1, "")))</f>
        <v/>
      </c>
      <c r="DP83" s="252" t="str">
        <f>IF(AND(ModelDescription!$D$23=$E$28, $B83=Proforma!DR$5), 1, IF(DO83="", "", IF(DO83&lt;12, DO83+1, "")))</f>
        <v/>
      </c>
      <c r="DQ83" s="252" t="str">
        <f>IF(AND(ModelDescription!$D$23=$E$28, $B83=Proforma!DS$5), 1, IF(DP83="", "", IF(DP83&lt;12, DP83+1, "")))</f>
        <v/>
      </c>
      <c r="DR83" s="252" t="str">
        <f>IF(AND(ModelDescription!$D$23=$E$28, $B83=Proforma!DT$5), 1, IF(DQ83="", "", IF(DQ83&lt;12, DQ83+1, "")))</f>
        <v/>
      </c>
      <c r="DS83" s="252" t="str">
        <f>IF(AND(ModelDescription!$D$23=$E$28, $B83=Proforma!DU$5), 1, IF(DR83="", "", IF(DR83&lt;12, DR83+1, "")))</f>
        <v/>
      </c>
      <c r="DT83" s="252" t="str">
        <f>IF(AND(ModelDescription!$D$23=$E$28, $B83=Proforma!DV$5), 1, IF(DS83="", "", IF(DS83&lt;12, DS83+1, "")))</f>
        <v/>
      </c>
      <c r="DU83" s="252" t="str">
        <f>IF(AND(ModelDescription!$D$23=$E$28, $B83=Proforma!DW$5), 1, IF(DT83="", "", IF(DT83&lt;12, DT83+1, "")))</f>
        <v/>
      </c>
      <c r="DV83" s="252" t="str">
        <f>IF(AND(ModelDescription!$D$23=$E$28, $B83=Proforma!DX$5), 1, IF(DU83="", "", IF(DU83&lt;12, DU83+1, "")))</f>
        <v/>
      </c>
      <c r="DW83" s="252" t="str">
        <f>IF(AND(ModelDescription!$D$23=$E$28, $B83=Proforma!DY$5), 1, IF(DV83="", "", IF(DV83&lt;12, DV83+1, "")))</f>
        <v/>
      </c>
      <c r="DX83" s="252" t="str">
        <f>IF(AND(ModelDescription!$D$23=$E$28, $B83=Proforma!DZ$5), 1, IF(DW83="", "", IF(DW83&lt;12, DW83+1, "")))</f>
        <v/>
      </c>
      <c r="DY83" s="252" t="str">
        <f>IF(AND(ModelDescription!$D$23=$E$28, $B83=Proforma!EA$5), 1, IF(DX83="", "", IF(DX83&lt;12, DX83+1, "")))</f>
        <v/>
      </c>
      <c r="DZ83" s="252" t="str">
        <f>IF(AND(ModelDescription!$D$23=$E$28, $B83=Proforma!EB$5), 1, IF(DY83="", "", IF(DY83&lt;12, DY83+1, "")))</f>
        <v/>
      </c>
      <c r="EA83" s="252" t="str">
        <f>IF(AND(ModelDescription!$D$23=$E$28, $B83=Proforma!EC$5), 1, IF(DZ83="", "", IF(DZ83&lt;12, DZ83+1, "")))</f>
        <v/>
      </c>
      <c r="EB83" s="252" t="str">
        <f>IF(AND(ModelDescription!$D$23=$E$28, $B83=Proforma!ED$5), 1, IF(EA83="", "", IF(EA83&lt;12, EA83+1, "")))</f>
        <v/>
      </c>
      <c r="EC83" s="252" t="str">
        <f>IF(AND(ModelDescription!$D$23=$E$28, $B83=Proforma!EE$5), 1, IF(EB83="", "", IF(EB83&lt;12, EB83+1, "")))</f>
        <v/>
      </c>
      <c r="ED83" s="252" t="str">
        <f>IF(AND(ModelDescription!$D$23=$E$28, $B83=Proforma!EF$5), 1, IF(EC83="", "", IF(EC83&lt;12, EC83+1, "")))</f>
        <v/>
      </c>
      <c r="EE83" s="252" t="str">
        <f>IF(AND(ModelDescription!$D$23=$E$28, $B83=Proforma!EG$5), 1, IF(ED83="", "", IF(ED83&lt;12, ED83+1, "")))</f>
        <v/>
      </c>
      <c r="EF83" s="252" t="str">
        <f>IF(AND(ModelDescription!$D$23=$E$28, $B83=Proforma!EH$5), 1, IF(EE83="", "", IF(EE83&lt;12, EE83+1, "")))</f>
        <v/>
      </c>
      <c r="EG83" s="252" t="str">
        <f>IF(AND(ModelDescription!$D$23=$E$28, $B83=Proforma!EI$5), 1, IF(EF83="", "", IF(EF83&lt;12, EF83+1, "")))</f>
        <v/>
      </c>
      <c r="EH83" s="252" t="str">
        <f>IF(AND(ModelDescription!$D$23=$E$28, $B83=Proforma!EJ$5), 1, IF(EG83="", "", IF(EG83&lt;12, EG83+1, "")))</f>
        <v/>
      </c>
      <c r="EI83" s="252" t="str">
        <f>IF(AND(ModelDescription!$D$23=$E$28, $B83=Proforma!EK$5), 1, IF(EH83="", "", IF(EH83&lt;12, EH83+1, "")))</f>
        <v/>
      </c>
      <c r="EJ83" s="252" t="str">
        <f>IF(AND(ModelDescription!$D$23=$E$28, $B83=Proforma!EL$5), 1, IF(EI83="", "", IF(EI83&lt;12, EI83+1, "")))</f>
        <v/>
      </c>
      <c r="EK83" s="252" t="str">
        <f>IF(AND(ModelDescription!$D$23=$E$28, $B83=Proforma!EM$5), 1, IF(EJ83="", "", IF(EJ83&lt;12, EJ83+1, "")))</f>
        <v/>
      </c>
      <c r="EL83" s="252" t="str">
        <f>IF(AND(ModelDescription!$D$23=$E$28, $B83=Proforma!EN$5), 1, IF(EK83="", "", IF(EK83&lt;12, EK83+1, "")))</f>
        <v/>
      </c>
      <c r="EM83" s="252" t="str">
        <f>IF(AND(ModelDescription!$D$23=$E$28, $B83=Proforma!EO$5), 1, IF(EL83="", "", IF(EL83&lt;12, EL83+1, "")))</f>
        <v/>
      </c>
      <c r="EN83" s="252" t="str">
        <f>IF(AND(ModelDescription!$D$23=$E$28, $B83=Proforma!EP$5), 1, IF(EM83="", "", IF(EM83&lt;12, EM83+1, "")))</f>
        <v/>
      </c>
      <c r="EO83" s="252" t="str">
        <f>IF(AND(ModelDescription!$D$23=$E$28, $B83=Proforma!EQ$5), 1, IF(EN83="", "", IF(EN83&lt;12, EN83+1, "")))</f>
        <v/>
      </c>
      <c r="EP83" s="252" t="str">
        <f>IF(AND(ModelDescription!$D$23=$E$28, $B83=Proforma!ER$5), 1, IF(EO83="", "", IF(EO83&lt;12, EO83+1, "")))</f>
        <v/>
      </c>
      <c r="EQ83" s="252" t="str">
        <f>IF(AND(ModelDescription!$D$23=$E$28, $B83=Proforma!ES$5), 1, IF(EP83="", "", IF(EP83&lt;12, EP83+1, "")))</f>
        <v/>
      </c>
      <c r="ER83" s="252" t="str">
        <f>IF(AND(ModelDescription!$D$23=$E$28, $B83=Proforma!ET$5), 1, IF(EQ83="", "", IF(EQ83&lt;12, EQ83+1, "")))</f>
        <v/>
      </c>
      <c r="ES83" s="252" t="str">
        <f>IF(AND(ModelDescription!$D$23=$E$28, $B83=Proforma!EU$5), 1, IF(ER83="", "", IF(ER83&lt;12, ER83+1, "")))</f>
        <v/>
      </c>
      <c r="ET83" s="252" t="str">
        <f>IF(AND(ModelDescription!$D$23=$E$28, $B83=Proforma!EV$5), 1, IF(ES83="", "", IF(ES83&lt;12, ES83+1, "")))</f>
        <v/>
      </c>
      <c r="EU83" s="252" t="str">
        <f>IF(AND(ModelDescription!$D$23=$E$28, $B83=Proforma!EW$5), 1, IF(ET83="", "", IF(ET83&lt;12, ET83+1, "")))</f>
        <v/>
      </c>
      <c r="EV83" s="252" t="str">
        <f>IF(AND(ModelDescription!$D$23=$E$28, $B83=Proforma!EX$5), 1, IF(EU83="", "", IF(EU83&lt;12, EU83+1, "")))</f>
        <v/>
      </c>
      <c r="EW83" s="252" t="str">
        <f>IF(AND(ModelDescription!$D$23=$E$28, $B83=Proforma!EY$5), 1, IF(EV83="", "", IF(EV83&lt;12, EV83+1, "")))</f>
        <v/>
      </c>
      <c r="EX83" s="252" t="str">
        <f>IF(AND(ModelDescription!$D$23=$E$28, $B83=Proforma!EZ$5), 1, IF(EW83="", "", IF(EW83&lt;12, EW83+1, "")))</f>
        <v/>
      </c>
      <c r="EY83" s="252" t="str">
        <f>IF(AND(ModelDescription!$D$23=$E$28, $B83=Proforma!FA$5), 1, IF(EX83="", "", IF(EX83&lt;12, EX83+1, "")))</f>
        <v/>
      </c>
      <c r="EZ83" s="252" t="str">
        <f>IF(AND(ModelDescription!$D$23=$E$28, $B83=Proforma!FB$5), 1, IF(EY83="", "", IF(EY83&lt;12, EY83+1, "")))</f>
        <v/>
      </c>
      <c r="FA83" s="252" t="str">
        <f>IF(AND(ModelDescription!$D$23=$E$28, $B83=Proforma!FC$5), 1, IF(EZ83="", "", IF(EZ83&lt;12, EZ83+1, "")))</f>
        <v/>
      </c>
      <c r="FB83" s="252" t="str">
        <f>IF(AND(ModelDescription!$D$23=$E$28, $B83=Proforma!FD$5), 1, IF(FA83="", "", IF(FA83&lt;12, FA83+1, "")))</f>
        <v/>
      </c>
      <c r="FC83" s="252" t="str">
        <f>IF(AND(ModelDescription!$D$23=$E$28, $B83=Proforma!FE$5), 1, IF(FB83="", "", IF(FB83&lt;12, FB83+1, "")))</f>
        <v/>
      </c>
      <c r="FD83" s="252" t="str">
        <f>IF(AND(ModelDescription!$D$23=$E$28, $B83=Proforma!FF$5), 1, IF(FC83="", "", IF(FC83&lt;12, FC83+1, "")))</f>
        <v/>
      </c>
      <c r="FE83" s="252" t="str">
        <f>IF(AND(ModelDescription!$D$23=$E$28, $B83=Proforma!FG$5), 1, IF(FD83="", "", IF(FD83&lt;12, FD83+1, "")))</f>
        <v/>
      </c>
      <c r="FF83" s="252" t="str">
        <f>IF(AND(ModelDescription!$D$23=$E$28, $B83=Proforma!FH$5), 1, IF(FE83="", "", IF(FE83&lt;12, FE83+1, "")))</f>
        <v/>
      </c>
      <c r="FG83" s="252" t="str">
        <f>IF(AND(ModelDescription!$D$23=$E$28, $B83=Proforma!FI$5), 1, IF(FF83="", "", IF(FF83&lt;12, FF83+1, "")))</f>
        <v/>
      </c>
      <c r="FH83" s="252" t="str">
        <f>IF(AND(ModelDescription!$D$23=$E$28, $B83=Proforma!FJ$5), 1, IF(FG83="", "", IF(FG83&lt;12, FG83+1, "")))</f>
        <v/>
      </c>
      <c r="FI83" s="252" t="str">
        <f>IF(AND(ModelDescription!$D$23=$E$28, $B83=Proforma!FK$5), 1, IF(FH83="", "", IF(FH83&lt;12, FH83+1, "")))</f>
        <v/>
      </c>
      <c r="FJ83" s="252" t="str">
        <f>IF(AND(ModelDescription!$D$23=$E$28, $B83=Proforma!FL$5), 1, IF(FI83="", "", IF(FI83&lt;12, FI83+1, "")))</f>
        <v/>
      </c>
      <c r="FK83" s="252" t="str">
        <f>IF(AND(ModelDescription!$D$23=$E$28, $B83=Proforma!FM$5), 1, IF(FJ83="", "", IF(FJ83&lt;12, FJ83+1, "")))</f>
        <v/>
      </c>
      <c r="FL83" s="252" t="str">
        <f>IF(AND(ModelDescription!$D$23=$E$28, $B83=Proforma!FN$5), 1, IF(FK83="", "", IF(FK83&lt;12, FK83+1, "")))</f>
        <v/>
      </c>
      <c r="FM83" s="252" t="str">
        <f>IF(AND(ModelDescription!$D$23=$E$28, $B83=Proforma!FO$5), 1, IF(FL83="", "", IF(FL83&lt;12, FL83+1, "")))</f>
        <v/>
      </c>
      <c r="FN83" s="252" t="str">
        <f>IF(AND(ModelDescription!$D$23=$E$28, $B83=Proforma!FP$5), 1, IF(FM83="", "", IF(FM83&lt;12, FM83+1, "")))</f>
        <v/>
      </c>
      <c r="FO83" s="252" t="str">
        <f>IF(AND(ModelDescription!$D$23=$E$28, $B83=Proforma!FQ$5), 1, IF(FN83="", "", IF(FN83&lt;12, FN83+1, "")))</f>
        <v/>
      </c>
      <c r="FP83" s="252" t="str">
        <f>IF(AND(ModelDescription!$D$23=$E$28, $B83=Proforma!FR$5), 1, IF(FO83="", "", IF(FO83&lt;12, FO83+1, "")))</f>
        <v/>
      </c>
      <c r="FQ83" s="252" t="str">
        <f>IF(AND(ModelDescription!$D$23=$E$28, $B83=Proforma!FS$5), 1, IF(FP83="", "", IF(FP83&lt;12, FP83+1, "")))</f>
        <v/>
      </c>
      <c r="FR83" s="252" t="str">
        <f>IF(AND(ModelDescription!$D$23=$E$28, $B83=Proforma!FT$5), 1, IF(FQ83="", "", IF(FQ83&lt;12, FQ83+1, "")))</f>
        <v/>
      </c>
      <c r="FS83" s="252" t="str">
        <f>IF(AND(ModelDescription!$D$23=$E$28, $B83=Proforma!FU$5), 1, IF(FR83="", "", IF(FR83&lt;12, FR83+1, "")))</f>
        <v/>
      </c>
      <c r="FT83" s="252" t="str">
        <f>IF(AND(ModelDescription!$D$23=$E$28, $B83=Proforma!FV$5), 1, IF(FS83="", "", IF(FS83&lt;12, FS83+1, "")))</f>
        <v/>
      </c>
      <c r="FU83" s="252" t="str">
        <f>IF(AND(ModelDescription!$D$23=$E$28, $B83=Proforma!FW$5), 1, IF(FT83="", "", IF(FT83&lt;12, FT83+1, "")))</f>
        <v/>
      </c>
      <c r="FV83" s="252" t="str">
        <f>IF(AND(ModelDescription!$D$23=$E$28, $B83=Proforma!FX$5), 1, IF(FU83="", "", IF(FU83&lt;12, FU83+1, "")))</f>
        <v/>
      </c>
      <c r="FW83" s="252" t="str">
        <f>IF(AND(ModelDescription!$D$23=$E$28, $B83=Proforma!FY$5), 1, IF(FV83="", "", IF(FV83&lt;12, FV83+1, "")))</f>
        <v/>
      </c>
      <c r="FX83" s="252" t="str">
        <f>IF(AND(ModelDescription!$D$23=$E$28, $B83=Proforma!FZ$5), 1, IF(FW83="", "", IF(FW83&lt;12, FW83+1, "")))</f>
        <v/>
      </c>
      <c r="FY83" s="252" t="str">
        <f>IF(AND(ModelDescription!$D$23=$E$28, $B83=Proforma!GA$5), 1, IF(FX83="", "", IF(FX83&lt;12, FX83+1, "")))</f>
        <v/>
      </c>
      <c r="FZ83" s="252" t="str">
        <f>IF(AND(ModelDescription!$D$23=$E$28, $B83=Proforma!GB$5), 1, IF(FY83="", "", IF(FY83&lt;12, FY83+1, "")))</f>
        <v/>
      </c>
      <c r="GA83" s="252" t="str">
        <f>IF(AND(ModelDescription!$D$23=$E$28, $B83=Proforma!GC$5), 1, IF(FZ83="", "", IF(FZ83&lt;12, FZ83+1, "")))</f>
        <v/>
      </c>
    </row>
    <row r="84" spans="1:183">
      <c r="A84" s="250">
        <v>4</v>
      </c>
      <c r="B84" s="204">
        <v>12</v>
      </c>
      <c r="C84" s="9"/>
      <c r="D84" s="252" t="str">
        <f>IF(AND(ModelDescription!$D$23=$E$28, $B84=Proforma!F$5), 1, IF(C84="", "", IF(C84&lt;12, C84+1, "")))</f>
        <v/>
      </c>
      <c r="E84" s="252" t="str">
        <f>IF(AND(ModelDescription!$D$23=$E$28, $B84=Proforma!G$5), 1, IF(D84="", "", IF(D84&lt;12, D84+1, "")))</f>
        <v/>
      </c>
      <c r="F84" s="252" t="str">
        <f>IF(AND(ModelDescription!$D$23=$E$28, $B84=Proforma!H$5), 1, IF(E84="", "", IF(E84&lt;12, E84+1, "")))</f>
        <v/>
      </c>
      <c r="G84" s="252" t="str">
        <f>IF(AND(ModelDescription!$D$23=$E$28, $B84=Proforma!I$5), 1, IF(F84="", "", IF(F84&lt;12, F84+1, "")))</f>
        <v/>
      </c>
      <c r="H84" s="252" t="str">
        <f>IF(AND(ModelDescription!$D$23=$E$28, $B84=Proforma!J$5), 1, IF(G84="", "", IF(G84&lt;12, G84+1, "")))</f>
        <v/>
      </c>
      <c r="I84" s="252" t="str">
        <f>IF(AND(ModelDescription!$D$23=$E$28, $B84=Proforma!K$5), 1, IF(H84="", "", IF(H84&lt;12, H84+1, "")))</f>
        <v/>
      </c>
      <c r="J84" s="252" t="str">
        <f>IF(AND(ModelDescription!$D$23=$E$28, $B84=Proforma!L$5), 1, IF(I84="", "", IF(I84&lt;12, I84+1, "")))</f>
        <v/>
      </c>
      <c r="K84" s="252" t="str">
        <f>IF(AND(ModelDescription!$D$23=$E$28, $B84=Proforma!M$5), 1, IF(J84="", "", IF(J84&lt;12, J84+1, "")))</f>
        <v/>
      </c>
      <c r="L84" s="252" t="str">
        <f>IF(AND(ModelDescription!$D$23=$E$28, $B84=Proforma!N$5), 1, IF(K84="", "", IF(K84&lt;12, K84+1, "")))</f>
        <v/>
      </c>
      <c r="M84" s="252" t="str">
        <f>IF(AND(ModelDescription!$D$23=$E$28, $B84=Proforma!O$5), 1, IF(L84="", "", IF(L84&lt;12, L84+1, "")))</f>
        <v/>
      </c>
      <c r="N84" s="252" t="str">
        <f>IF(AND(ModelDescription!$D$23=$E$28, $B84=Proforma!P$5), 1, IF(M84="", "", IF(M84&lt;12, M84+1, "")))</f>
        <v/>
      </c>
      <c r="O84" s="252" t="str">
        <f>IF(AND(ModelDescription!$D$23=$E$28, $B84=Proforma!Q$5), 1, IF(N84="", "", IF(N84&lt;12, N84+1, "")))</f>
        <v/>
      </c>
      <c r="P84" s="252" t="str">
        <f>IF(AND(ModelDescription!$D$23=$E$28, $B84=Proforma!R$5), 1, IF(O84="", "", IF(O84&lt;12, O84+1, "")))</f>
        <v/>
      </c>
      <c r="Q84" s="252" t="str">
        <f>IF(AND(ModelDescription!$D$23=$E$28, $B84=Proforma!S$5), 1, IF(P84="", "", IF(P84&lt;12, P84+1, "")))</f>
        <v/>
      </c>
      <c r="R84" s="252" t="str">
        <f>IF(AND(ModelDescription!$D$23=$E$28, $B84=Proforma!T$5), 1, IF(Q84="", "", IF(Q84&lt;12, Q84+1, "")))</f>
        <v/>
      </c>
      <c r="S84" s="252" t="str">
        <f>IF(AND(ModelDescription!$D$23=$E$28, $B84=Proforma!U$5), 1, IF(R84="", "", IF(R84&lt;12, R84+1, "")))</f>
        <v/>
      </c>
      <c r="T84" s="252" t="str">
        <f>IF(AND(ModelDescription!$D$23=$E$28, $B84=Proforma!V$5), 1, IF(S84="", "", IF(S84&lt;12, S84+1, "")))</f>
        <v/>
      </c>
      <c r="U84" s="252" t="str">
        <f>IF(AND(ModelDescription!$D$23=$E$28, $B84=Proforma!W$5), 1, IF(T84="", "", IF(T84&lt;12, T84+1, "")))</f>
        <v/>
      </c>
      <c r="V84" s="252" t="str">
        <f>IF(AND(ModelDescription!$D$23=$E$28, $B84=Proforma!X$5), 1, IF(U84="", "", IF(U84&lt;12, U84+1, "")))</f>
        <v/>
      </c>
      <c r="W84" s="252" t="str">
        <f>IF(AND(ModelDescription!$D$23=$E$28, $B84=Proforma!Y$5), 1, IF(V84="", "", IF(V84&lt;12, V84+1, "")))</f>
        <v/>
      </c>
      <c r="X84" s="252" t="str">
        <f>IF(AND(ModelDescription!$D$23=$E$28, $B84=Proforma!Z$5), 1, IF(W84="", "", IF(W84&lt;12, W84+1, "")))</f>
        <v/>
      </c>
      <c r="Y84" s="252" t="str">
        <f>IF(AND(ModelDescription!$D$23=$E$28, $B84=Proforma!AA$5), 1, IF(X84="", "", IF(X84&lt;12, X84+1, "")))</f>
        <v/>
      </c>
      <c r="Z84" s="252" t="str">
        <f>IF(AND(ModelDescription!$D$23=$E$28, $B84=Proforma!AB$5), 1, IF(Y84="", "", IF(Y84&lt;12, Y84+1, "")))</f>
        <v/>
      </c>
      <c r="AA84" s="252" t="str">
        <f>IF(AND(ModelDescription!$D$23=$E$28, $B84=Proforma!AC$5), 1, IF(Z84="", "", IF(Z84&lt;12, Z84+1, "")))</f>
        <v/>
      </c>
      <c r="AB84" s="252" t="str">
        <f>IF(AND(ModelDescription!$D$23=$E$28, $B84=Proforma!AD$5), 1, IF(AA84="", "", IF(AA84&lt;12, AA84+1, "")))</f>
        <v/>
      </c>
      <c r="AC84" s="252" t="str">
        <f>IF(AND(ModelDescription!$D$23=$E$28, $B84=Proforma!AE$5), 1, IF(AB84="", "", IF(AB84&lt;12, AB84+1, "")))</f>
        <v/>
      </c>
      <c r="AD84" s="252" t="str">
        <f>IF(AND(ModelDescription!$D$23=$E$28, $B84=Proforma!AF$5), 1, IF(AC84="", "", IF(AC84&lt;12, AC84+1, "")))</f>
        <v/>
      </c>
      <c r="AE84" s="252" t="str">
        <f>IF(AND(ModelDescription!$D$23=$E$28, $B84=Proforma!AG$5), 1, IF(AD84="", "", IF(AD84&lt;12, AD84+1, "")))</f>
        <v/>
      </c>
      <c r="AF84" s="252" t="str">
        <f>IF(AND(ModelDescription!$D$23=$E$28, $B84=Proforma!AH$5), 1, IF(AE84="", "", IF(AE84&lt;12, AE84+1, "")))</f>
        <v/>
      </c>
      <c r="AG84" s="252" t="str">
        <f>IF(AND(ModelDescription!$D$23=$E$28, $B84=Proforma!AI$5), 1, IF(AF84="", "", IF(AF84&lt;12, AF84+1, "")))</f>
        <v/>
      </c>
      <c r="AH84" s="252" t="str">
        <f>IF(AND(ModelDescription!$D$23=$E$28, $B84=Proforma!AJ$5), 1, IF(AG84="", "", IF(AG84&lt;12, AG84+1, "")))</f>
        <v/>
      </c>
      <c r="AI84" s="252" t="str">
        <f>IF(AND(ModelDescription!$D$23=$E$28, $B84=Proforma!AK$5), 1, IF(AH84="", "", IF(AH84&lt;12, AH84+1, "")))</f>
        <v/>
      </c>
      <c r="AJ84" s="252" t="str">
        <f>IF(AND(ModelDescription!$D$23=$E$28, $B84=Proforma!AL$5), 1, IF(AI84="", "", IF(AI84&lt;12, AI84+1, "")))</f>
        <v/>
      </c>
      <c r="AK84" s="252" t="str">
        <f>IF(AND(ModelDescription!$D$23=$E$28, $B84=Proforma!AM$5), 1, IF(AJ84="", "", IF(AJ84&lt;12, AJ84+1, "")))</f>
        <v/>
      </c>
      <c r="AL84" s="252" t="str">
        <f>IF(AND(ModelDescription!$D$23=$E$28, $B84=Proforma!AN$5), 1, IF(AK84="", "", IF(AK84&lt;12, AK84+1, "")))</f>
        <v/>
      </c>
      <c r="AM84" s="252" t="str">
        <f>IF(AND(ModelDescription!$D$23=$E$28, $B84=Proforma!AO$5), 1, IF(AL84="", "", IF(AL84&lt;12, AL84+1, "")))</f>
        <v/>
      </c>
      <c r="AN84" s="252" t="str">
        <f>IF(AND(ModelDescription!$D$23=$E$28, $B84=Proforma!AP$5), 1, IF(AM84="", "", IF(AM84&lt;12, AM84+1, "")))</f>
        <v/>
      </c>
      <c r="AO84" s="252" t="str">
        <f>IF(AND(ModelDescription!$D$23=$E$28, $B84=Proforma!AQ$5), 1, IF(AN84="", "", IF(AN84&lt;12, AN84+1, "")))</f>
        <v/>
      </c>
      <c r="AP84" s="252" t="str">
        <f>IF(AND(ModelDescription!$D$23=$E$28, $B84=Proforma!AR$5), 1, IF(AO84="", "", IF(AO84&lt;12, AO84+1, "")))</f>
        <v/>
      </c>
      <c r="AQ84" s="252" t="str">
        <f>IF(AND(ModelDescription!$D$23=$E$28, $B84=Proforma!AS$5), 1, IF(AP84="", "", IF(AP84&lt;12, AP84+1, "")))</f>
        <v/>
      </c>
      <c r="AR84" s="252" t="str">
        <f>IF(AND(ModelDescription!$D$23=$E$28, $B84=Proforma!AT$5), 1, IF(AQ84="", "", IF(AQ84&lt;12, AQ84+1, "")))</f>
        <v/>
      </c>
      <c r="AS84" s="252" t="str">
        <f>IF(AND(ModelDescription!$D$23=$E$28, $B84=Proforma!AU$5), 1, IF(AR84="", "", IF(AR84&lt;12, AR84+1, "")))</f>
        <v/>
      </c>
      <c r="AT84" s="252" t="str">
        <f>IF(AND(ModelDescription!$D$23=$E$28, $B84=Proforma!AV$5), 1, IF(AS84="", "", IF(AS84&lt;12, AS84+1, "")))</f>
        <v/>
      </c>
      <c r="AU84" s="252" t="str">
        <f>IF(AND(ModelDescription!$D$23=$E$28, $B84=Proforma!AW$5), 1, IF(AT84="", "", IF(AT84&lt;12, AT84+1, "")))</f>
        <v/>
      </c>
      <c r="AV84" s="252" t="str">
        <f>IF(AND(ModelDescription!$D$23=$E$28, $B84=Proforma!AX$5), 1, IF(AU84="", "", IF(AU84&lt;12, AU84+1, "")))</f>
        <v/>
      </c>
      <c r="AW84" s="252" t="str">
        <f>IF(AND(ModelDescription!$D$23=$E$28, $B84=Proforma!AY$5), 1, IF(AV84="", "", IF(AV84&lt;12, AV84+1, "")))</f>
        <v/>
      </c>
      <c r="AX84" s="252" t="str">
        <f>IF(AND(ModelDescription!$D$23=$E$28, $B84=Proforma!AZ$5), 1, IF(AW84="", "", IF(AW84&lt;12, AW84+1, "")))</f>
        <v/>
      </c>
      <c r="AY84" s="252" t="str">
        <f>IF(AND(ModelDescription!$D$23=$E$28, $B84=Proforma!BA$5), 1, IF(AX84="", "", IF(AX84&lt;12, AX84+1, "")))</f>
        <v/>
      </c>
      <c r="AZ84" s="252" t="str">
        <f>IF(AND(ModelDescription!$D$23=$E$28, $B84=Proforma!BB$5), 1, IF(AY84="", "", IF(AY84&lt;12, AY84+1, "")))</f>
        <v/>
      </c>
      <c r="BA84" s="252" t="str">
        <f>IF(AND(ModelDescription!$D$23=$E$28, $B84=Proforma!BC$5), 1, IF(AZ84="", "", IF(AZ84&lt;12, AZ84+1, "")))</f>
        <v/>
      </c>
      <c r="BB84" s="252" t="str">
        <f>IF(AND(ModelDescription!$D$23=$E$28, $B84=Proforma!BD$5), 1, IF(BA84="", "", IF(BA84&lt;12, BA84+1, "")))</f>
        <v/>
      </c>
      <c r="BC84" s="252" t="str">
        <f>IF(AND(ModelDescription!$D$23=$E$28, $B84=Proforma!BE$5), 1, IF(BB84="", "", IF(BB84&lt;12, BB84+1, "")))</f>
        <v/>
      </c>
      <c r="BD84" s="252" t="str">
        <f>IF(AND(ModelDescription!$D$23=$E$28, $B84=Proforma!BF$5), 1, IF(BC84="", "", IF(BC84&lt;12, BC84+1, "")))</f>
        <v/>
      </c>
      <c r="BE84" s="252" t="str">
        <f>IF(AND(ModelDescription!$D$23=$E$28, $B84=Proforma!BG$5), 1, IF(BD84="", "", IF(BD84&lt;12, BD84+1, "")))</f>
        <v/>
      </c>
      <c r="BF84" s="252" t="str">
        <f>IF(AND(ModelDescription!$D$23=$E$28, $B84=Proforma!BH$5), 1, IF(BE84="", "", IF(BE84&lt;12, BE84+1, "")))</f>
        <v/>
      </c>
      <c r="BG84" s="252" t="str">
        <f>IF(AND(ModelDescription!$D$23=$E$28, $B84=Proforma!BI$5), 1, IF(BF84="", "", IF(BF84&lt;12, BF84+1, "")))</f>
        <v/>
      </c>
      <c r="BH84" s="252" t="str">
        <f>IF(AND(ModelDescription!$D$23=$E$28, $B84=Proforma!BJ$5), 1, IF(BG84="", "", IF(BG84&lt;12, BG84+1, "")))</f>
        <v/>
      </c>
      <c r="BI84" s="252" t="str">
        <f>IF(AND(ModelDescription!$D$23=$E$28, $B84=Proforma!BK$5), 1, IF(BH84="", "", IF(BH84&lt;12, BH84+1, "")))</f>
        <v/>
      </c>
      <c r="BJ84" s="252" t="str">
        <f>IF(AND(ModelDescription!$D$23=$E$28, $B84=Proforma!BL$5), 1, IF(BI84="", "", IF(BI84&lt;12, BI84+1, "")))</f>
        <v/>
      </c>
      <c r="BK84" s="252" t="str">
        <f>IF(AND(ModelDescription!$D$23=$E$28, $B84=Proforma!BM$5), 1, IF(BJ84="", "", IF(BJ84&lt;12, BJ84+1, "")))</f>
        <v/>
      </c>
      <c r="BL84" s="252" t="str">
        <f>IF(AND(ModelDescription!$D$23=$E$28, $B84=Proforma!BN$5), 1, IF(BK84="", "", IF(BK84&lt;12, BK84+1, "")))</f>
        <v/>
      </c>
      <c r="BM84" s="252" t="str">
        <f>IF(AND(ModelDescription!$D$23=$E$28, $B84=Proforma!BO$5), 1, IF(BL84="", "", IF(BL84&lt;12, BL84+1, "")))</f>
        <v/>
      </c>
      <c r="BN84" s="252" t="str">
        <f>IF(AND(ModelDescription!$D$23=$E$28, $B84=Proforma!BP$5), 1, IF(BM84="", "", IF(BM84&lt;12, BM84+1, "")))</f>
        <v/>
      </c>
      <c r="BO84" s="252" t="str">
        <f>IF(AND(ModelDescription!$D$23=$E$28, $B84=Proforma!BQ$5), 1, IF(BN84="", "", IF(BN84&lt;12, BN84+1, "")))</f>
        <v/>
      </c>
      <c r="BP84" s="252" t="str">
        <f>IF(AND(ModelDescription!$D$23=$E$28, $B84=Proforma!BR$5), 1, IF(BO84="", "", IF(BO84&lt;12, BO84+1, "")))</f>
        <v/>
      </c>
      <c r="BQ84" s="252" t="str">
        <f>IF(AND(ModelDescription!$D$23=$E$28, $B84=Proforma!BS$5), 1, IF(BP84="", "", IF(BP84&lt;12, BP84+1, "")))</f>
        <v/>
      </c>
      <c r="BR84" s="252" t="str">
        <f>IF(AND(ModelDescription!$D$23=$E$28, $B84=Proforma!BT$5), 1, IF(BQ84="", "", IF(BQ84&lt;12, BQ84+1, "")))</f>
        <v/>
      </c>
      <c r="BS84" s="252" t="str">
        <f>IF(AND(ModelDescription!$D$23=$E$28, $B84=Proforma!BU$5), 1, IF(BR84="", "", IF(BR84&lt;12, BR84+1, "")))</f>
        <v/>
      </c>
      <c r="BT84" s="252" t="str">
        <f>IF(AND(ModelDescription!$D$23=$E$28, $B84=Proforma!BV$5), 1, IF(BS84="", "", IF(BS84&lt;12, BS84+1, "")))</f>
        <v/>
      </c>
      <c r="BU84" s="252" t="str">
        <f>IF(AND(ModelDescription!$D$23=$E$28, $B84=Proforma!BW$5), 1, IF(BT84="", "", IF(BT84&lt;12, BT84+1, "")))</f>
        <v/>
      </c>
      <c r="BV84" s="252" t="str">
        <f>IF(AND(ModelDescription!$D$23=$E$28, $B84=Proforma!BX$5), 1, IF(BU84="", "", IF(BU84&lt;12, BU84+1, "")))</f>
        <v/>
      </c>
      <c r="BW84" s="252" t="str">
        <f>IF(AND(ModelDescription!$D$23=$E$28, $B84=Proforma!BY$5), 1, IF(BV84="", "", IF(BV84&lt;12, BV84+1, "")))</f>
        <v/>
      </c>
      <c r="BX84" s="252" t="str">
        <f>IF(AND(ModelDescription!$D$23=$E$28, $B84=Proforma!BZ$5), 1, IF(BW84="", "", IF(BW84&lt;12, BW84+1, "")))</f>
        <v/>
      </c>
      <c r="BY84" s="252" t="str">
        <f>IF(AND(ModelDescription!$D$23=$E$28, $B84=Proforma!CA$5), 1, IF(BX84="", "", IF(BX84&lt;12, BX84+1, "")))</f>
        <v/>
      </c>
      <c r="BZ84" s="252" t="str">
        <f>IF(AND(ModelDescription!$D$23=$E$28, $B84=Proforma!CB$5), 1, IF(BY84="", "", IF(BY84&lt;12, BY84+1, "")))</f>
        <v/>
      </c>
      <c r="CA84" s="252" t="str">
        <f>IF(AND(ModelDescription!$D$23=$E$28, $B84=Proforma!CC$5), 1, IF(BZ84="", "", IF(BZ84&lt;12, BZ84+1, "")))</f>
        <v/>
      </c>
      <c r="CB84" s="252" t="str">
        <f>IF(AND(ModelDescription!$D$23=$E$28, $B84=Proforma!CD$5), 1, IF(CA84="", "", IF(CA84&lt;12, CA84+1, "")))</f>
        <v/>
      </c>
      <c r="CC84" s="252" t="str">
        <f>IF(AND(ModelDescription!$D$23=$E$28, $B84=Proforma!CE$5), 1, IF(CB84="", "", IF(CB84&lt;12, CB84+1, "")))</f>
        <v/>
      </c>
      <c r="CD84" s="252" t="str">
        <f>IF(AND(ModelDescription!$D$23=$E$28, $B84=Proforma!CF$5), 1, IF(CC84="", "", IF(CC84&lt;12, CC84+1, "")))</f>
        <v/>
      </c>
      <c r="CE84" s="252" t="str">
        <f>IF(AND(ModelDescription!$D$23=$E$28, $B84=Proforma!CG$5), 1, IF(CD84="", "", IF(CD84&lt;12, CD84+1, "")))</f>
        <v/>
      </c>
      <c r="CF84" s="252" t="str">
        <f>IF(AND(ModelDescription!$D$23=$E$28, $B84=Proforma!CH$5), 1, IF(CE84="", "", IF(CE84&lt;12, CE84+1, "")))</f>
        <v/>
      </c>
      <c r="CG84" s="252" t="str">
        <f>IF(AND(ModelDescription!$D$23=$E$28, $B84=Proforma!CI$5), 1, IF(CF84="", "", IF(CF84&lt;12, CF84+1, "")))</f>
        <v/>
      </c>
      <c r="CH84" s="252" t="str">
        <f>IF(AND(ModelDescription!$D$23=$E$28, $B84=Proforma!CJ$5), 1, IF(CG84="", "", IF(CG84&lt;12, CG84+1, "")))</f>
        <v/>
      </c>
      <c r="CI84" s="252" t="str">
        <f>IF(AND(ModelDescription!$D$23=$E$28, $B84=Proforma!CK$5), 1, IF(CH84="", "", IF(CH84&lt;12, CH84+1, "")))</f>
        <v/>
      </c>
      <c r="CJ84" s="252" t="str">
        <f>IF(AND(ModelDescription!$D$23=$E$28, $B84=Proforma!CL$5), 1, IF(CI84="", "", IF(CI84&lt;12, CI84+1, "")))</f>
        <v/>
      </c>
      <c r="CK84" s="252" t="str">
        <f>IF(AND(ModelDescription!$D$23=$E$28, $B84=Proforma!CM$5), 1, IF(CJ84="", "", IF(CJ84&lt;12, CJ84+1, "")))</f>
        <v/>
      </c>
      <c r="CL84" s="252" t="str">
        <f>IF(AND(ModelDescription!$D$23=$E$28, $B84=Proforma!CN$5), 1, IF(CK84="", "", IF(CK84&lt;12, CK84+1, "")))</f>
        <v/>
      </c>
      <c r="CM84" s="252" t="str">
        <f>IF(AND(ModelDescription!$D$23=$E$28, $B84=Proforma!CO$5), 1, IF(CL84="", "", IF(CL84&lt;12, CL84+1, "")))</f>
        <v/>
      </c>
      <c r="CN84" s="252" t="str">
        <f>IF(AND(ModelDescription!$D$23=$E$28, $B84=Proforma!CP$5), 1, IF(CM84="", "", IF(CM84&lt;12, CM84+1, "")))</f>
        <v/>
      </c>
      <c r="CO84" s="252" t="str">
        <f>IF(AND(ModelDescription!$D$23=$E$28, $B84=Proforma!CQ$5), 1, IF(CN84="", "", IF(CN84&lt;12, CN84+1, "")))</f>
        <v/>
      </c>
      <c r="CP84" s="252" t="str">
        <f>IF(AND(ModelDescription!$D$23=$E$28, $B84=Proforma!CR$5), 1, IF(CO84="", "", IF(CO84&lt;12, CO84+1, "")))</f>
        <v/>
      </c>
      <c r="CQ84" s="252" t="str">
        <f>IF(AND(ModelDescription!$D$23=$E$28, $B84=Proforma!CS$5), 1, IF(CP84="", "", IF(CP84&lt;12, CP84+1, "")))</f>
        <v/>
      </c>
      <c r="CR84" s="252" t="str">
        <f>IF(AND(ModelDescription!$D$23=$E$28, $B84=Proforma!CT$5), 1, IF(CQ84="", "", IF(CQ84&lt;12, CQ84+1, "")))</f>
        <v/>
      </c>
      <c r="CS84" s="252" t="str">
        <f>IF(AND(ModelDescription!$D$23=$E$28, $B84=Proforma!CU$5), 1, IF(CR84="", "", IF(CR84&lt;12, CR84+1, "")))</f>
        <v/>
      </c>
      <c r="CT84" s="252" t="str">
        <f>IF(AND(ModelDescription!$D$23=$E$28, $B84=Proforma!CV$5), 1, IF(CS84="", "", IF(CS84&lt;12, CS84+1, "")))</f>
        <v/>
      </c>
      <c r="CU84" s="252" t="str">
        <f>IF(AND(ModelDescription!$D$23=$E$28, $B84=Proforma!CW$5), 1, IF(CT84="", "", IF(CT84&lt;12, CT84+1, "")))</f>
        <v/>
      </c>
      <c r="CV84" s="252" t="str">
        <f>IF(AND(ModelDescription!$D$23=$E$28, $B84=Proforma!CX$5), 1, IF(CU84="", "", IF(CU84&lt;12, CU84+1, "")))</f>
        <v/>
      </c>
      <c r="CW84" s="252" t="str">
        <f>IF(AND(ModelDescription!$D$23=$E$28, $B84=Proforma!CY$5), 1, IF(CV84="", "", IF(CV84&lt;12, CV84+1, "")))</f>
        <v/>
      </c>
      <c r="CX84" s="252" t="str">
        <f>IF(AND(ModelDescription!$D$23=$E$28, $B84=Proforma!CZ$5), 1, IF(CW84="", "", IF(CW84&lt;12, CW84+1, "")))</f>
        <v/>
      </c>
      <c r="CY84" s="252" t="str">
        <f>IF(AND(ModelDescription!$D$23=$E$28, $B84=Proforma!DA$5), 1, IF(CX84="", "", IF(CX84&lt;12, CX84+1, "")))</f>
        <v/>
      </c>
      <c r="CZ84" s="252" t="str">
        <f>IF(AND(ModelDescription!$D$23=$E$28, $B84=Proforma!DB$5), 1, IF(CY84="", "", IF(CY84&lt;12, CY84+1, "")))</f>
        <v/>
      </c>
      <c r="DA84" s="252" t="str">
        <f>IF(AND(ModelDescription!$D$23=$E$28, $B84=Proforma!DC$5), 1, IF(CZ84="", "", IF(CZ84&lt;12, CZ84+1, "")))</f>
        <v/>
      </c>
      <c r="DB84" s="252" t="str">
        <f>IF(AND(ModelDescription!$D$23=$E$28, $B84=Proforma!DD$5), 1, IF(DA84="", "", IF(DA84&lt;12, DA84+1, "")))</f>
        <v/>
      </c>
      <c r="DC84" s="252" t="str">
        <f>IF(AND(ModelDescription!$D$23=$E$28, $B84=Proforma!DE$5), 1, IF(DB84="", "", IF(DB84&lt;12, DB84+1, "")))</f>
        <v/>
      </c>
      <c r="DD84" s="252" t="str">
        <f>IF(AND(ModelDescription!$D$23=$E$28, $B84=Proforma!DF$5), 1, IF(DC84="", "", IF(DC84&lt;12, DC84+1, "")))</f>
        <v/>
      </c>
      <c r="DE84" s="252" t="str">
        <f>IF(AND(ModelDescription!$D$23=$E$28, $B84=Proforma!DG$5), 1, IF(DD84="", "", IF(DD84&lt;12, DD84+1, "")))</f>
        <v/>
      </c>
      <c r="DF84" s="252" t="str">
        <f>IF(AND(ModelDescription!$D$23=$E$28, $B84=Proforma!DH$5), 1, IF(DE84="", "", IF(DE84&lt;12, DE84+1, "")))</f>
        <v/>
      </c>
      <c r="DG84" s="252" t="str">
        <f>IF(AND(ModelDescription!$D$23=$E$28, $B84=Proforma!DI$5), 1, IF(DF84="", "", IF(DF84&lt;12, DF84+1, "")))</f>
        <v/>
      </c>
      <c r="DH84" s="252" t="str">
        <f>IF(AND(ModelDescription!$D$23=$E$28, $B84=Proforma!DJ$5), 1, IF(DG84="", "", IF(DG84&lt;12, DG84+1, "")))</f>
        <v/>
      </c>
      <c r="DI84" s="252" t="str">
        <f>IF(AND(ModelDescription!$D$23=$E$28, $B84=Proforma!DK$5), 1, IF(DH84="", "", IF(DH84&lt;12, DH84+1, "")))</f>
        <v/>
      </c>
      <c r="DJ84" s="252" t="str">
        <f>IF(AND(ModelDescription!$D$23=$E$28, $B84=Proforma!DL$5), 1, IF(DI84="", "", IF(DI84&lt;12, DI84+1, "")))</f>
        <v/>
      </c>
      <c r="DK84" s="252" t="str">
        <f>IF(AND(ModelDescription!$D$23=$E$28, $B84=Proforma!DM$5), 1, IF(DJ84="", "", IF(DJ84&lt;12, DJ84+1, "")))</f>
        <v/>
      </c>
      <c r="DL84" s="252" t="str">
        <f>IF(AND(ModelDescription!$D$23=$E$28, $B84=Proforma!DN$5), 1, IF(DK84="", "", IF(DK84&lt;12, DK84+1, "")))</f>
        <v/>
      </c>
      <c r="DM84" s="252" t="str">
        <f>IF(AND(ModelDescription!$D$23=$E$28, $B84=Proforma!DO$5), 1, IF(DL84="", "", IF(DL84&lt;12, DL84+1, "")))</f>
        <v/>
      </c>
      <c r="DN84" s="252" t="str">
        <f>IF(AND(ModelDescription!$D$23=$E$28, $B84=Proforma!DP$5), 1, IF(DM84="", "", IF(DM84&lt;12, DM84+1, "")))</f>
        <v/>
      </c>
      <c r="DO84" s="252" t="str">
        <f>IF(AND(ModelDescription!$D$23=$E$28, $B84=Proforma!DQ$5), 1, IF(DN84="", "", IF(DN84&lt;12, DN84+1, "")))</f>
        <v/>
      </c>
      <c r="DP84" s="252" t="str">
        <f>IF(AND(ModelDescription!$D$23=$E$28, $B84=Proforma!DR$5), 1, IF(DO84="", "", IF(DO84&lt;12, DO84+1, "")))</f>
        <v/>
      </c>
      <c r="DQ84" s="252" t="str">
        <f>IF(AND(ModelDescription!$D$23=$E$28, $B84=Proforma!DS$5), 1, IF(DP84="", "", IF(DP84&lt;12, DP84+1, "")))</f>
        <v/>
      </c>
      <c r="DR84" s="252" t="str">
        <f>IF(AND(ModelDescription!$D$23=$E$28, $B84=Proforma!DT$5), 1, IF(DQ84="", "", IF(DQ84&lt;12, DQ84+1, "")))</f>
        <v/>
      </c>
      <c r="DS84" s="252" t="str">
        <f>IF(AND(ModelDescription!$D$23=$E$28, $B84=Proforma!DU$5), 1, IF(DR84="", "", IF(DR84&lt;12, DR84+1, "")))</f>
        <v/>
      </c>
      <c r="DT84" s="252" t="str">
        <f>IF(AND(ModelDescription!$D$23=$E$28, $B84=Proforma!DV$5), 1, IF(DS84="", "", IF(DS84&lt;12, DS84+1, "")))</f>
        <v/>
      </c>
      <c r="DU84" s="252" t="str">
        <f>IF(AND(ModelDescription!$D$23=$E$28, $B84=Proforma!DW$5), 1, IF(DT84="", "", IF(DT84&lt;12, DT84+1, "")))</f>
        <v/>
      </c>
      <c r="DV84" s="252" t="str">
        <f>IF(AND(ModelDescription!$D$23=$E$28, $B84=Proforma!DX$5), 1, IF(DU84="", "", IF(DU84&lt;12, DU84+1, "")))</f>
        <v/>
      </c>
      <c r="DW84" s="252" t="str">
        <f>IF(AND(ModelDescription!$D$23=$E$28, $B84=Proforma!DY$5), 1, IF(DV84="", "", IF(DV84&lt;12, DV84+1, "")))</f>
        <v/>
      </c>
      <c r="DX84" s="252" t="str">
        <f>IF(AND(ModelDescription!$D$23=$E$28, $B84=Proforma!DZ$5), 1, IF(DW84="", "", IF(DW84&lt;12, DW84+1, "")))</f>
        <v/>
      </c>
      <c r="DY84" s="252" t="str">
        <f>IF(AND(ModelDescription!$D$23=$E$28, $B84=Proforma!EA$5), 1, IF(DX84="", "", IF(DX84&lt;12, DX84+1, "")))</f>
        <v/>
      </c>
      <c r="DZ84" s="252" t="str">
        <f>IF(AND(ModelDescription!$D$23=$E$28, $B84=Proforma!EB$5), 1, IF(DY84="", "", IF(DY84&lt;12, DY84+1, "")))</f>
        <v/>
      </c>
      <c r="EA84" s="252" t="str">
        <f>IF(AND(ModelDescription!$D$23=$E$28, $B84=Proforma!EC$5), 1, IF(DZ84="", "", IF(DZ84&lt;12, DZ84+1, "")))</f>
        <v/>
      </c>
      <c r="EB84" s="252" t="str">
        <f>IF(AND(ModelDescription!$D$23=$E$28, $B84=Proforma!ED$5), 1, IF(EA84="", "", IF(EA84&lt;12, EA84+1, "")))</f>
        <v/>
      </c>
      <c r="EC84" s="252" t="str">
        <f>IF(AND(ModelDescription!$D$23=$E$28, $B84=Proforma!EE$5), 1, IF(EB84="", "", IF(EB84&lt;12, EB84+1, "")))</f>
        <v/>
      </c>
      <c r="ED84" s="252" t="str">
        <f>IF(AND(ModelDescription!$D$23=$E$28, $B84=Proforma!EF$5), 1, IF(EC84="", "", IF(EC84&lt;12, EC84+1, "")))</f>
        <v/>
      </c>
      <c r="EE84" s="252" t="str">
        <f>IF(AND(ModelDescription!$D$23=$E$28, $B84=Proforma!EG$5), 1, IF(ED84="", "", IF(ED84&lt;12, ED84+1, "")))</f>
        <v/>
      </c>
      <c r="EF84" s="252" t="str">
        <f>IF(AND(ModelDescription!$D$23=$E$28, $B84=Proforma!EH$5), 1, IF(EE84="", "", IF(EE84&lt;12, EE84+1, "")))</f>
        <v/>
      </c>
      <c r="EG84" s="252" t="str">
        <f>IF(AND(ModelDescription!$D$23=$E$28, $B84=Proforma!EI$5), 1, IF(EF84="", "", IF(EF84&lt;12, EF84+1, "")))</f>
        <v/>
      </c>
      <c r="EH84" s="252" t="str">
        <f>IF(AND(ModelDescription!$D$23=$E$28, $B84=Proforma!EJ$5), 1, IF(EG84="", "", IF(EG84&lt;12, EG84+1, "")))</f>
        <v/>
      </c>
      <c r="EI84" s="252" t="str">
        <f>IF(AND(ModelDescription!$D$23=$E$28, $B84=Proforma!EK$5), 1, IF(EH84="", "", IF(EH84&lt;12, EH84+1, "")))</f>
        <v/>
      </c>
      <c r="EJ84" s="252" t="str">
        <f>IF(AND(ModelDescription!$D$23=$E$28, $B84=Proforma!EL$5), 1, IF(EI84="", "", IF(EI84&lt;12, EI84+1, "")))</f>
        <v/>
      </c>
      <c r="EK84" s="252" t="str">
        <f>IF(AND(ModelDescription!$D$23=$E$28, $B84=Proforma!EM$5), 1, IF(EJ84="", "", IF(EJ84&lt;12, EJ84+1, "")))</f>
        <v/>
      </c>
      <c r="EL84" s="252" t="str">
        <f>IF(AND(ModelDescription!$D$23=$E$28, $B84=Proforma!EN$5), 1, IF(EK84="", "", IF(EK84&lt;12, EK84+1, "")))</f>
        <v/>
      </c>
      <c r="EM84" s="252" t="str">
        <f>IF(AND(ModelDescription!$D$23=$E$28, $B84=Proforma!EO$5), 1, IF(EL84="", "", IF(EL84&lt;12, EL84+1, "")))</f>
        <v/>
      </c>
      <c r="EN84" s="252" t="str">
        <f>IF(AND(ModelDescription!$D$23=$E$28, $B84=Proforma!EP$5), 1, IF(EM84="", "", IF(EM84&lt;12, EM84+1, "")))</f>
        <v/>
      </c>
      <c r="EO84" s="252" t="str">
        <f>IF(AND(ModelDescription!$D$23=$E$28, $B84=Proforma!EQ$5), 1, IF(EN84="", "", IF(EN84&lt;12, EN84+1, "")))</f>
        <v/>
      </c>
      <c r="EP84" s="252" t="str">
        <f>IF(AND(ModelDescription!$D$23=$E$28, $B84=Proforma!ER$5), 1, IF(EO84="", "", IF(EO84&lt;12, EO84+1, "")))</f>
        <v/>
      </c>
      <c r="EQ84" s="252" t="str">
        <f>IF(AND(ModelDescription!$D$23=$E$28, $B84=Proforma!ES$5), 1, IF(EP84="", "", IF(EP84&lt;12, EP84+1, "")))</f>
        <v/>
      </c>
      <c r="ER84" s="252" t="str">
        <f>IF(AND(ModelDescription!$D$23=$E$28, $B84=Proforma!ET$5), 1, IF(EQ84="", "", IF(EQ84&lt;12, EQ84+1, "")))</f>
        <v/>
      </c>
      <c r="ES84" s="252" t="str">
        <f>IF(AND(ModelDescription!$D$23=$E$28, $B84=Proforma!EU$5), 1, IF(ER84="", "", IF(ER84&lt;12, ER84+1, "")))</f>
        <v/>
      </c>
      <c r="ET84" s="252" t="str">
        <f>IF(AND(ModelDescription!$D$23=$E$28, $B84=Proforma!EV$5), 1, IF(ES84="", "", IF(ES84&lt;12, ES84+1, "")))</f>
        <v/>
      </c>
      <c r="EU84" s="252" t="str">
        <f>IF(AND(ModelDescription!$D$23=$E$28, $B84=Proforma!EW$5), 1, IF(ET84="", "", IF(ET84&lt;12, ET84+1, "")))</f>
        <v/>
      </c>
      <c r="EV84" s="252" t="str">
        <f>IF(AND(ModelDescription!$D$23=$E$28, $B84=Proforma!EX$5), 1, IF(EU84="", "", IF(EU84&lt;12, EU84+1, "")))</f>
        <v/>
      </c>
      <c r="EW84" s="252" t="str">
        <f>IF(AND(ModelDescription!$D$23=$E$28, $B84=Proforma!EY$5), 1, IF(EV84="", "", IF(EV84&lt;12, EV84+1, "")))</f>
        <v/>
      </c>
      <c r="EX84" s="252" t="str">
        <f>IF(AND(ModelDescription!$D$23=$E$28, $B84=Proforma!EZ$5), 1, IF(EW84="", "", IF(EW84&lt;12, EW84+1, "")))</f>
        <v/>
      </c>
      <c r="EY84" s="252" t="str">
        <f>IF(AND(ModelDescription!$D$23=$E$28, $B84=Proforma!FA$5), 1, IF(EX84="", "", IF(EX84&lt;12, EX84+1, "")))</f>
        <v/>
      </c>
      <c r="EZ84" s="252" t="str">
        <f>IF(AND(ModelDescription!$D$23=$E$28, $B84=Proforma!FB$5), 1, IF(EY84="", "", IF(EY84&lt;12, EY84+1, "")))</f>
        <v/>
      </c>
      <c r="FA84" s="252" t="str">
        <f>IF(AND(ModelDescription!$D$23=$E$28, $B84=Proforma!FC$5), 1, IF(EZ84="", "", IF(EZ84&lt;12, EZ84+1, "")))</f>
        <v/>
      </c>
      <c r="FB84" s="252" t="str">
        <f>IF(AND(ModelDescription!$D$23=$E$28, $B84=Proforma!FD$5), 1, IF(FA84="", "", IF(FA84&lt;12, FA84+1, "")))</f>
        <v/>
      </c>
      <c r="FC84" s="252" t="str">
        <f>IF(AND(ModelDescription!$D$23=$E$28, $B84=Proforma!FE$5), 1, IF(FB84="", "", IF(FB84&lt;12, FB84+1, "")))</f>
        <v/>
      </c>
      <c r="FD84" s="252" t="str">
        <f>IF(AND(ModelDescription!$D$23=$E$28, $B84=Proforma!FF$5), 1, IF(FC84="", "", IF(FC84&lt;12, FC84+1, "")))</f>
        <v/>
      </c>
      <c r="FE84" s="252" t="str">
        <f>IF(AND(ModelDescription!$D$23=$E$28, $B84=Proforma!FG$5), 1, IF(FD84="", "", IF(FD84&lt;12, FD84+1, "")))</f>
        <v/>
      </c>
      <c r="FF84" s="252" t="str">
        <f>IF(AND(ModelDescription!$D$23=$E$28, $B84=Proforma!FH$5), 1, IF(FE84="", "", IF(FE84&lt;12, FE84+1, "")))</f>
        <v/>
      </c>
      <c r="FG84" s="252" t="str">
        <f>IF(AND(ModelDescription!$D$23=$E$28, $B84=Proforma!FI$5), 1, IF(FF84="", "", IF(FF84&lt;12, FF84+1, "")))</f>
        <v/>
      </c>
      <c r="FH84" s="252" t="str">
        <f>IF(AND(ModelDescription!$D$23=$E$28, $B84=Proforma!FJ$5), 1, IF(FG84="", "", IF(FG84&lt;12, FG84+1, "")))</f>
        <v/>
      </c>
      <c r="FI84" s="252" t="str">
        <f>IF(AND(ModelDescription!$D$23=$E$28, $B84=Proforma!FK$5), 1, IF(FH84="", "", IF(FH84&lt;12, FH84+1, "")))</f>
        <v/>
      </c>
      <c r="FJ84" s="252" t="str">
        <f>IF(AND(ModelDescription!$D$23=$E$28, $B84=Proforma!FL$5), 1, IF(FI84="", "", IF(FI84&lt;12, FI84+1, "")))</f>
        <v/>
      </c>
      <c r="FK84" s="252" t="str">
        <f>IF(AND(ModelDescription!$D$23=$E$28, $B84=Proforma!FM$5), 1, IF(FJ84="", "", IF(FJ84&lt;12, FJ84+1, "")))</f>
        <v/>
      </c>
      <c r="FL84" s="252" t="str">
        <f>IF(AND(ModelDescription!$D$23=$E$28, $B84=Proforma!FN$5), 1, IF(FK84="", "", IF(FK84&lt;12, FK84+1, "")))</f>
        <v/>
      </c>
      <c r="FM84" s="252" t="str">
        <f>IF(AND(ModelDescription!$D$23=$E$28, $B84=Proforma!FO$5), 1, IF(FL84="", "", IF(FL84&lt;12, FL84+1, "")))</f>
        <v/>
      </c>
      <c r="FN84" s="252" t="str">
        <f>IF(AND(ModelDescription!$D$23=$E$28, $B84=Proforma!FP$5), 1, IF(FM84="", "", IF(FM84&lt;12, FM84+1, "")))</f>
        <v/>
      </c>
      <c r="FO84" s="252" t="str">
        <f>IF(AND(ModelDescription!$D$23=$E$28, $B84=Proforma!FQ$5), 1, IF(FN84="", "", IF(FN84&lt;12, FN84+1, "")))</f>
        <v/>
      </c>
      <c r="FP84" s="252" t="str">
        <f>IF(AND(ModelDescription!$D$23=$E$28, $B84=Proforma!FR$5), 1, IF(FO84="", "", IF(FO84&lt;12, FO84+1, "")))</f>
        <v/>
      </c>
      <c r="FQ84" s="252" t="str">
        <f>IF(AND(ModelDescription!$D$23=$E$28, $B84=Proforma!FS$5), 1, IF(FP84="", "", IF(FP84&lt;12, FP84+1, "")))</f>
        <v/>
      </c>
      <c r="FR84" s="252" t="str">
        <f>IF(AND(ModelDescription!$D$23=$E$28, $B84=Proforma!FT$5), 1, IF(FQ84="", "", IF(FQ84&lt;12, FQ84+1, "")))</f>
        <v/>
      </c>
      <c r="FS84" s="252" t="str">
        <f>IF(AND(ModelDescription!$D$23=$E$28, $B84=Proforma!FU$5), 1, IF(FR84="", "", IF(FR84&lt;12, FR84+1, "")))</f>
        <v/>
      </c>
      <c r="FT84" s="252" t="str">
        <f>IF(AND(ModelDescription!$D$23=$E$28, $B84=Proforma!FV$5), 1, IF(FS84="", "", IF(FS84&lt;12, FS84+1, "")))</f>
        <v/>
      </c>
      <c r="FU84" s="252" t="str">
        <f>IF(AND(ModelDescription!$D$23=$E$28, $B84=Proforma!FW$5), 1, IF(FT84="", "", IF(FT84&lt;12, FT84+1, "")))</f>
        <v/>
      </c>
      <c r="FV84" s="252" t="str">
        <f>IF(AND(ModelDescription!$D$23=$E$28, $B84=Proforma!FX$5), 1, IF(FU84="", "", IF(FU84&lt;12, FU84+1, "")))</f>
        <v/>
      </c>
      <c r="FW84" s="252" t="str">
        <f>IF(AND(ModelDescription!$D$23=$E$28, $B84=Proforma!FY$5), 1, IF(FV84="", "", IF(FV84&lt;12, FV84+1, "")))</f>
        <v/>
      </c>
      <c r="FX84" s="252" t="str">
        <f>IF(AND(ModelDescription!$D$23=$E$28, $B84=Proforma!FZ$5), 1, IF(FW84="", "", IF(FW84&lt;12, FW84+1, "")))</f>
        <v/>
      </c>
      <c r="FY84" s="252" t="str">
        <f>IF(AND(ModelDescription!$D$23=$E$28, $B84=Proforma!GA$5), 1, IF(FX84="", "", IF(FX84&lt;12, FX84+1, "")))</f>
        <v/>
      </c>
      <c r="FZ84" s="252" t="str">
        <f>IF(AND(ModelDescription!$D$23=$E$28, $B84=Proforma!GB$5), 1, IF(FY84="", "", IF(FY84&lt;12, FY84+1, "")))</f>
        <v/>
      </c>
      <c r="GA84" s="252" t="str">
        <f>IF(AND(ModelDescription!$D$23=$E$28, $B84=Proforma!GC$5), 1, IF(FZ84="", "", IF(FZ84&lt;12, FZ84+1, "")))</f>
        <v/>
      </c>
    </row>
    <row r="85" spans="1:183">
      <c r="A85" s="250">
        <v>5</v>
      </c>
      <c r="B85" s="204">
        <v>13</v>
      </c>
      <c r="C85" s="9"/>
      <c r="D85" s="252" t="str">
        <f>IF(AND(ModelDescription!$D$23=$E$28, $B85=Proforma!F$5), 1, IF(C85="", "", IF(C85&lt;12, C85+1, "")))</f>
        <v/>
      </c>
      <c r="E85" s="252" t="str">
        <f>IF(AND(ModelDescription!$D$23=$E$28, $B85=Proforma!G$5), 1, IF(D85="", "", IF(D85&lt;12, D85+1, "")))</f>
        <v/>
      </c>
      <c r="F85" s="252" t="str">
        <f>IF(AND(ModelDescription!$D$23=$E$28, $B85=Proforma!H$5), 1, IF(E85="", "", IF(E85&lt;12, E85+1, "")))</f>
        <v/>
      </c>
      <c r="G85" s="252" t="str">
        <f>IF(AND(ModelDescription!$D$23=$E$28, $B85=Proforma!I$5), 1, IF(F85="", "", IF(F85&lt;12, F85+1, "")))</f>
        <v/>
      </c>
      <c r="H85" s="252" t="str">
        <f>IF(AND(ModelDescription!$D$23=$E$28, $B85=Proforma!J$5), 1, IF(G85="", "", IF(G85&lt;12, G85+1, "")))</f>
        <v/>
      </c>
      <c r="I85" s="252" t="str">
        <f>IF(AND(ModelDescription!$D$23=$E$28, $B85=Proforma!K$5), 1, IF(H85="", "", IF(H85&lt;12, H85+1, "")))</f>
        <v/>
      </c>
      <c r="J85" s="252" t="str">
        <f>IF(AND(ModelDescription!$D$23=$E$28, $B85=Proforma!L$5), 1, IF(I85="", "", IF(I85&lt;12, I85+1, "")))</f>
        <v/>
      </c>
      <c r="K85" s="252" t="str">
        <f>IF(AND(ModelDescription!$D$23=$E$28, $B85=Proforma!M$5), 1, IF(J85="", "", IF(J85&lt;12, J85+1, "")))</f>
        <v/>
      </c>
      <c r="L85" s="252" t="str">
        <f>IF(AND(ModelDescription!$D$23=$E$28, $B85=Proforma!N$5), 1, IF(K85="", "", IF(K85&lt;12, K85+1, "")))</f>
        <v/>
      </c>
      <c r="M85" s="252" t="str">
        <f>IF(AND(ModelDescription!$D$23=$E$28, $B85=Proforma!O$5), 1, IF(L85="", "", IF(L85&lt;12, L85+1, "")))</f>
        <v/>
      </c>
      <c r="N85" s="252" t="str">
        <f>IF(AND(ModelDescription!$D$23=$E$28, $B85=Proforma!P$5), 1, IF(M85="", "", IF(M85&lt;12, M85+1, "")))</f>
        <v/>
      </c>
      <c r="O85" s="252" t="str">
        <f>IF(AND(ModelDescription!$D$23=$E$28, $B85=Proforma!Q$5), 1, IF(N85="", "", IF(N85&lt;12, N85+1, "")))</f>
        <v/>
      </c>
      <c r="P85" s="252" t="str">
        <f>IF(AND(ModelDescription!$D$23=$E$28, $B85=Proforma!R$5), 1, IF(O85="", "", IF(O85&lt;12, O85+1, "")))</f>
        <v/>
      </c>
      <c r="Q85" s="252" t="str">
        <f>IF(AND(ModelDescription!$D$23=$E$28, $B85=Proforma!S$5), 1, IF(P85="", "", IF(P85&lt;12, P85+1, "")))</f>
        <v/>
      </c>
      <c r="R85" s="252" t="str">
        <f>IF(AND(ModelDescription!$D$23=$E$28, $B85=Proforma!T$5), 1, IF(Q85="", "", IF(Q85&lt;12, Q85+1, "")))</f>
        <v/>
      </c>
      <c r="S85" s="252" t="str">
        <f>IF(AND(ModelDescription!$D$23=$E$28, $B85=Proforma!U$5), 1, IF(R85="", "", IF(R85&lt;12, R85+1, "")))</f>
        <v/>
      </c>
      <c r="T85" s="252" t="str">
        <f>IF(AND(ModelDescription!$D$23=$E$28, $B85=Proforma!V$5), 1, IF(S85="", "", IF(S85&lt;12, S85+1, "")))</f>
        <v/>
      </c>
      <c r="U85" s="252" t="str">
        <f>IF(AND(ModelDescription!$D$23=$E$28, $B85=Proforma!W$5), 1, IF(T85="", "", IF(T85&lt;12, T85+1, "")))</f>
        <v/>
      </c>
      <c r="V85" s="252" t="str">
        <f>IF(AND(ModelDescription!$D$23=$E$28, $B85=Proforma!X$5), 1, IF(U85="", "", IF(U85&lt;12, U85+1, "")))</f>
        <v/>
      </c>
      <c r="W85" s="252" t="str">
        <f>IF(AND(ModelDescription!$D$23=$E$28, $B85=Proforma!Y$5), 1, IF(V85="", "", IF(V85&lt;12, V85+1, "")))</f>
        <v/>
      </c>
      <c r="X85" s="252" t="str">
        <f>IF(AND(ModelDescription!$D$23=$E$28, $B85=Proforma!Z$5), 1, IF(W85="", "", IF(W85&lt;12, W85+1, "")))</f>
        <v/>
      </c>
      <c r="Y85" s="252" t="str">
        <f>IF(AND(ModelDescription!$D$23=$E$28, $B85=Proforma!AA$5), 1, IF(X85="", "", IF(X85&lt;12, X85+1, "")))</f>
        <v/>
      </c>
      <c r="Z85" s="252" t="str">
        <f>IF(AND(ModelDescription!$D$23=$E$28, $B85=Proforma!AB$5), 1, IF(Y85="", "", IF(Y85&lt;12, Y85+1, "")))</f>
        <v/>
      </c>
      <c r="AA85" s="252" t="str">
        <f>IF(AND(ModelDescription!$D$23=$E$28, $B85=Proforma!AC$5), 1, IF(Z85="", "", IF(Z85&lt;12, Z85+1, "")))</f>
        <v/>
      </c>
      <c r="AB85" s="252" t="str">
        <f>IF(AND(ModelDescription!$D$23=$E$28, $B85=Proforma!AD$5), 1, IF(AA85="", "", IF(AA85&lt;12, AA85+1, "")))</f>
        <v/>
      </c>
      <c r="AC85" s="252" t="str">
        <f>IF(AND(ModelDescription!$D$23=$E$28, $B85=Proforma!AE$5), 1, IF(AB85="", "", IF(AB85&lt;12, AB85+1, "")))</f>
        <v/>
      </c>
      <c r="AD85" s="252" t="str">
        <f>IF(AND(ModelDescription!$D$23=$E$28, $B85=Proforma!AF$5), 1, IF(AC85="", "", IF(AC85&lt;12, AC85+1, "")))</f>
        <v/>
      </c>
      <c r="AE85" s="252" t="str">
        <f>IF(AND(ModelDescription!$D$23=$E$28, $B85=Proforma!AG$5), 1, IF(AD85="", "", IF(AD85&lt;12, AD85+1, "")))</f>
        <v/>
      </c>
      <c r="AF85" s="252" t="str">
        <f>IF(AND(ModelDescription!$D$23=$E$28, $B85=Proforma!AH$5), 1, IF(AE85="", "", IF(AE85&lt;12, AE85+1, "")))</f>
        <v/>
      </c>
      <c r="AG85" s="252" t="str">
        <f>IF(AND(ModelDescription!$D$23=$E$28, $B85=Proforma!AI$5), 1, IF(AF85="", "", IF(AF85&lt;12, AF85+1, "")))</f>
        <v/>
      </c>
      <c r="AH85" s="252" t="str">
        <f>IF(AND(ModelDescription!$D$23=$E$28, $B85=Proforma!AJ$5), 1, IF(AG85="", "", IF(AG85&lt;12, AG85+1, "")))</f>
        <v/>
      </c>
      <c r="AI85" s="252" t="str">
        <f>IF(AND(ModelDescription!$D$23=$E$28, $B85=Proforma!AK$5), 1, IF(AH85="", "", IF(AH85&lt;12, AH85+1, "")))</f>
        <v/>
      </c>
      <c r="AJ85" s="252" t="str">
        <f>IF(AND(ModelDescription!$D$23=$E$28, $B85=Proforma!AL$5), 1, IF(AI85="", "", IF(AI85&lt;12, AI85+1, "")))</f>
        <v/>
      </c>
      <c r="AK85" s="252" t="str">
        <f>IF(AND(ModelDescription!$D$23=$E$28, $B85=Proforma!AM$5), 1, IF(AJ85="", "", IF(AJ85&lt;12, AJ85+1, "")))</f>
        <v/>
      </c>
      <c r="AL85" s="252" t="str">
        <f>IF(AND(ModelDescription!$D$23=$E$28, $B85=Proforma!AN$5), 1, IF(AK85="", "", IF(AK85&lt;12, AK85+1, "")))</f>
        <v/>
      </c>
      <c r="AM85" s="252" t="str">
        <f>IF(AND(ModelDescription!$D$23=$E$28, $B85=Proforma!AO$5), 1, IF(AL85="", "", IF(AL85&lt;12, AL85+1, "")))</f>
        <v/>
      </c>
      <c r="AN85" s="252" t="str">
        <f>IF(AND(ModelDescription!$D$23=$E$28, $B85=Proforma!AP$5), 1, IF(AM85="", "", IF(AM85&lt;12, AM85+1, "")))</f>
        <v/>
      </c>
      <c r="AO85" s="252" t="str">
        <f>IF(AND(ModelDescription!$D$23=$E$28, $B85=Proforma!AQ$5), 1, IF(AN85="", "", IF(AN85&lt;12, AN85+1, "")))</f>
        <v/>
      </c>
      <c r="AP85" s="252" t="str">
        <f>IF(AND(ModelDescription!$D$23=$E$28, $B85=Proforma!AR$5), 1, IF(AO85="", "", IF(AO85&lt;12, AO85+1, "")))</f>
        <v/>
      </c>
      <c r="AQ85" s="252" t="str">
        <f>IF(AND(ModelDescription!$D$23=$E$28, $B85=Proforma!AS$5), 1, IF(AP85="", "", IF(AP85&lt;12, AP85+1, "")))</f>
        <v/>
      </c>
      <c r="AR85" s="252" t="str">
        <f>IF(AND(ModelDescription!$D$23=$E$28, $B85=Proforma!AT$5), 1, IF(AQ85="", "", IF(AQ85&lt;12, AQ85+1, "")))</f>
        <v/>
      </c>
      <c r="AS85" s="252" t="str">
        <f>IF(AND(ModelDescription!$D$23=$E$28, $B85=Proforma!AU$5), 1, IF(AR85="", "", IF(AR85&lt;12, AR85+1, "")))</f>
        <v/>
      </c>
      <c r="AT85" s="252" t="str">
        <f>IF(AND(ModelDescription!$D$23=$E$28, $B85=Proforma!AV$5), 1, IF(AS85="", "", IF(AS85&lt;12, AS85+1, "")))</f>
        <v/>
      </c>
      <c r="AU85" s="252" t="str">
        <f>IF(AND(ModelDescription!$D$23=$E$28, $B85=Proforma!AW$5), 1, IF(AT85="", "", IF(AT85&lt;12, AT85+1, "")))</f>
        <v/>
      </c>
      <c r="AV85" s="252" t="str">
        <f>IF(AND(ModelDescription!$D$23=$E$28, $B85=Proforma!AX$5), 1, IF(AU85="", "", IF(AU85&lt;12, AU85+1, "")))</f>
        <v/>
      </c>
      <c r="AW85" s="252" t="str">
        <f>IF(AND(ModelDescription!$D$23=$E$28, $B85=Proforma!AY$5), 1, IF(AV85="", "", IF(AV85&lt;12, AV85+1, "")))</f>
        <v/>
      </c>
      <c r="AX85" s="252" t="str">
        <f>IF(AND(ModelDescription!$D$23=$E$28, $B85=Proforma!AZ$5), 1, IF(AW85="", "", IF(AW85&lt;12, AW85+1, "")))</f>
        <v/>
      </c>
      <c r="AY85" s="252" t="str">
        <f>IF(AND(ModelDescription!$D$23=$E$28, $B85=Proforma!BA$5), 1, IF(AX85="", "", IF(AX85&lt;12, AX85+1, "")))</f>
        <v/>
      </c>
      <c r="AZ85" s="252" t="str">
        <f>IF(AND(ModelDescription!$D$23=$E$28, $B85=Proforma!BB$5), 1, IF(AY85="", "", IF(AY85&lt;12, AY85+1, "")))</f>
        <v/>
      </c>
      <c r="BA85" s="252" t="str">
        <f>IF(AND(ModelDescription!$D$23=$E$28, $B85=Proforma!BC$5), 1, IF(AZ85="", "", IF(AZ85&lt;12, AZ85+1, "")))</f>
        <v/>
      </c>
      <c r="BB85" s="252" t="str">
        <f>IF(AND(ModelDescription!$D$23=$E$28, $B85=Proforma!BD$5), 1, IF(BA85="", "", IF(BA85&lt;12, BA85+1, "")))</f>
        <v/>
      </c>
      <c r="BC85" s="252" t="str">
        <f>IF(AND(ModelDescription!$D$23=$E$28, $B85=Proforma!BE$5), 1, IF(BB85="", "", IF(BB85&lt;12, BB85+1, "")))</f>
        <v/>
      </c>
      <c r="BD85" s="252" t="str">
        <f>IF(AND(ModelDescription!$D$23=$E$28, $B85=Proforma!BF$5), 1, IF(BC85="", "", IF(BC85&lt;12, BC85+1, "")))</f>
        <v/>
      </c>
      <c r="BE85" s="252" t="str">
        <f>IF(AND(ModelDescription!$D$23=$E$28, $B85=Proforma!BG$5), 1, IF(BD85="", "", IF(BD85&lt;12, BD85+1, "")))</f>
        <v/>
      </c>
      <c r="BF85" s="252" t="str">
        <f>IF(AND(ModelDescription!$D$23=$E$28, $B85=Proforma!BH$5), 1, IF(BE85="", "", IF(BE85&lt;12, BE85+1, "")))</f>
        <v/>
      </c>
      <c r="BG85" s="252" t="str">
        <f>IF(AND(ModelDescription!$D$23=$E$28, $B85=Proforma!BI$5), 1, IF(BF85="", "", IF(BF85&lt;12, BF85+1, "")))</f>
        <v/>
      </c>
      <c r="BH85" s="252" t="str">
        <f>IF(AND(ModelDescription!$D$23=$E$28, $B85=Proforma!BJ$5), 1, IF(BG85="", "", IF(BG85&lt;12, BG85+1, "")))</f>
        <v/>
      </c>
      <c r="BI85" s="252" t="str">
        <f>IF(AND(ModelDescription!$D$23=$E$28, $B85=Proforma!BK$5), 1, IF(BH85="", "", IF(BH85&lt;12, BH85+1, "")))</f>
        <v/>
      </c>
      <c r="BJ85" s="252" t="str">
        <f>IF(AND(ModelDescription!$D$23=$E$28, $B85=Proforma!BL$5), 1, IF(BI85="", "", IF(BI85&lt;12, BI85+1, "")))</f>
        <v/>
      </c>
      <c r="BK85" s="252" t="str">
        <f>IF(AND(ModelDescription!$D$23=$E$28, $B85=Proforma!BM$5), 1, IF(BJ85="", "", IF(BJ85&lt;12, BJ85+1, "")))</f>
        <v/>
      </c>
      <c r="BL85" s="252" t="str">
        <f>IF(AND(ModelDescription!$D$23=$E$28, $B85=Proforma!BN$5), 1, IF(BK85="", "", IF(BK85&lt;12, BK85+1, "")))</f>
        <v/>
      </c>
      <c r="BM85" s="252" t="str">
        <f>IF(AND(ModelDescription!$D$23=$E$28, $B85=Proforma!BO$5), 1, IF(BL85="", "", IF(BL85&lt;12, BL85+1, "")))</f>
        <v/>
      </c>
      <c r="BN85" s="252" t="str">
        <f>IF(AND(ModelDescription!$D$23=$E$28, $B85=Proforma!BP$5), 1, IF(BM85="", "", IF(BM85&lt;12, BM85+1, "")))</f>
        <v/>
      </c>
      <c r="BO85" s="252" t="str">
        <f>IF(AND(ModelDescription!$D$23=$E$28, $B85=Proforma!BQ$5), 1, IF(BN85="", "", IF(BN85&lt;12, BN85+1, "")))</f>
        <v/>
      </c>
      <c r="BP85" s="252" t="str">
        <f>IF(AND(ModelDescription!$D$23=$E$28, $B85=Proforma!BR$5), 1, IF(BO85="", "", IF(BO85&lt;12, BO85+1, "")))</f>
        <v/>
      </c>
      <c r="BQ85" s="252" t="str">
        <f>IF(AND(ModelDescription!$D$23=$E$28, $B85=Proforma!BS$5), 1, IF(BP85="", "", IF(BP85&lt;12, BP85+1, "")))</f>
        <v/>
      </c>
      <c r="BR85" s="252" t="str">
        <f>IF(AND(ModelDescription!$D$23=$E$28, $B85=Proforma!BT$5), 1, IF(BQ85="", "", IF(BQ85&lt;12, BQ85+1, "")))</f>
        <v/>
      </c>
      <c r="BS85" s="252" t="str">
        <f>IF(AND(ModelDescription!$D$23=$E$28, $B85=Proforma!BU$5), 1, IF(BR85="", "", IF(BR85&lt;12, BR85+1, "")))</f>
        <v/>
      </c>
      <c r="BT85" s="252" t="str">
        <f>IF(AND(ModelDescription!$D$23=$E$28, $B85=Proforma!BV$5), 1, IF(BS85="", "", IF(BS85&lt;12, BS85+1, "")))</f>
        <v/>
      </c>
      <c r="BU85" s="252" t="str">
        <f>IF(AND(ModelDescription!$D$23=$E$28, $B85=Proforma!BW$5), 1, IF(BT85="", "", IF(BT85&lt;12, BT85+1, "")))</f>
        <v/>
      </c>
      <c r="BV85" s="252" t="str">
        <f>IF(AND(ModelDescription!$D$23=$E$28, $B85=Proforma!BX$5), 1, IF(BU85="", "", IF(BU85&lt;12, BU85+1, "")))</f>
        <v/>
      </c>
      <c r="BW85" s="252" t="str">
        <f>IF(AND(ModelDescription!$D$23=$E$28, $B85=Proforma!BY$5), 1, IF(BV85="", "", IF(BV85&lt;12, BV85+1, "")))</f>
        <v/>
      </c>
      <c r="BX85" s="252" t="str">
        <f>IF(AND(ModelDescription!$D$23=$E$28, $B85=Proforma!BZ$5), 1, IF(BW85="", "", IF(BW85&lt;12, BW85+1, "")))</f>
        <v/>
      </c>
      <c r="BY85" s="252" t="str">
        <f>IF(AND(ModelDescription!$D$23=$E$28, $B85=Proforma!CA$5), 1, IF(BX85="", "", IF(BX85&lt;12, BX85+1, "")))</f>
        <v/>
      </c>
      <c r="BZ85" s="252" t="str">
        <f>IF(AND(ModelDescription!$D$23=$E$28, $B85=Proforma!CB$5), 1, IF(BY85="", "", IF(BY85&lt;12, BY85+1, "")))</f>
        <v/>
      </c>
      <c r="CA85" s="252" t="str">
        <f>IF(AND(ModelDescription!$D$23=$E$28, $B85=Proforma!CC$5), 1, IF(BZ85="", "", IF(BZ85&lt;12, BZ85+1, "")))</f>
        <v/>
      </c>
      <c r="CB85" s="252" t="str">
        <f>IF(AND(ModelDescription!$D$23=$E$28, $B85=Proforma!CD$5), 1, IF(CA85="", "", IF(CA85&lt;12, CA85+1, "")))</f>
        <v/>
      </c>
      <c r="CC85" s="252" t="str">
        <f>IF(AND(ModelDescription!$D$23=$E$28, $B85=Proforma!CE$5), 1, IF(CB85="", "", IF(CB85&lt;12, CB85+1, "")))</f>
        <v/>
      </c>
      <c r="CD85" s="252" t="str">
        <f>IF(AND(ModelDescription!$D$23=$E$28, $B85=Proforma!CF$5), 1, IF(CC85="", "", IF(CC85&lt;12, CC85+1, "")))</f>
        <v/>
      </c>
      <c r="CE85" s="252" t="str">
        <f>IF(AND(ModelDescription!$D$23=$E$28, $B85=Proforma!CG$5), 1, IF(CD85="", "", IF(CD85&lt;12, CD85+1, "")))</f>
        <v/>
      </c>
      <c r="CF85" s="252" t="str">
        <f>IF(AND(ModelDescription!$D$23=$E$28, $B85=Proforma!CH$5), 1, IF(CE85="", "", IF(CE85&lt;12, CE85+1, "")))</f>
        <v/>
      </c>
      <c r="CG85" s="252" t="str">
        <f>IF(AND(ModelDescription!$D$23=$E$28, $B85=Proforma!CI$5), 1, IF(CF85="", "", IF(CF85&lt;12, CF85+1, "")))</f>
        <v/>
      </c>
      <c r="CH85" s="252" t="str">
        <f>IF(AND(ModelDescription!$D$23=$E$28, $B85=Proforma!CJ$5), 1, IF(CG85="", "", IF(CG85&lt;12, CG85+1, "")))</f>
        <v/>
      </c>
      <c r="CI85" s="252" t="str">
        <f>IF(AND(ModelDescription!$D$23=$E$28, $B85=Proforma!CK$5), 1, IF(CH85="", "", IF(CH85&lt;12, CH85+1, "")))</f>
        <v/>
      </c>
      <c r="CJ85" s="252" t="str">
        <f>IF(AND(ModelDescription!$D$23=$E$28, $B85=Proforma!CL$5), 1, IF(CI85="", "", IF(CI85&lt;12, CI85+1, "")))</f>
        <v/>
      </c>
      <c r="CK85" s="252" t="str">
        <f>IF(AND(ModelDescription!$D$23=$E$28, $B85=Proforma!CM$5), 1, IF(CJ85="", "", IF(CJ85&lt;12, CJ85+1, "")))</f>
        <v/>
      </c>
      <c r="CL85" s="252" t="str">
        <f>IF(AND(ModelDescription!$D$23=$E$28, $B85=Proforma!CN$5), 1, IF(CK85="", "", IF(CK85&lt;12, CK85+1, "")))</f>
        <v/>
      </c>
      <c r="CM85" s="252" t="str">
        <f>IF(AND(ModelDescription!$D$23=$E$28, $B85=Proforma!CO$5), 1, IF(CL85="", "", IF(CL85&lt;12, CL85+1, "")))</f>
        <v/>
      </c>
      <c r="CN85" s="252" t="str">
        <f>IF(AND(ModelDescription!$D$23=$E$28, $B85=Proforma!CP$5), 1, IF(CM85="", "", IF(CM85&lt;12, CM85+1, "")))</f>
        <v/>
      </c>
      <c r="CO85" s="252" t="str">
        <f>IF(AND(ModelDescription!$D$23=$E$28, $B85=Proforma!CQ$5), 1, IF(CN85="", "", IF(CN85&lt;12, CN85+1, "")))</f>
        <v/>
      </c>
      <c r="CP85" s="252" t="str">
        <f>IF(AND(ModelDescription!$D$23=$E$28, $B85=Proforma!CR$5), 1, IF(CO85="", "", IF(CO85&lt;12, CO85+1, "")))</f>
        <v/>
      </c>
      <c r="CQ85" s="252" t="str">
        <f>IF(AND(ModelDescription!$D$23=$E$28, $B85=Proforma!CS$5), 1, IF(CP85="", "", IF(CP85&lt;12, CP85+1, "")))</f>
        <v/>
      </c>
      <c r="CR85" s="252" t="str">
        <f>IF(AND(ModelDescription!$D$23=$E$28, $B85=Proforma!CT$5), 1, IF(CQ85="", "", IF(CQ85&lt;12, CQ85+1, "")))</f>
        <v/>
      </c>
      <c r="CS85" s="252" t="str">
        <f>IF(AND(ModelDescription!$D$23=$E$28, $B85=Proforma!CU$5), 1, IF(CR85="", "", IF(CR85&lt;12, CR85+1, "")))</f>
        <v/>
      </c>
      <c r="CT85" s="252" t="str">
        <f>IF(AND(ModelDescription!$D$23=$E$28, $B85=Proforma!CV$5), 1, IF(CS85="", "", IF(CS85&lt;12, CS85+1, "")))</f>
        <v/>
      </c>
      <c r="CU85" s="252" t="str">
        <f>IF(AND(ModelDescription!$D$23=$E$28, $B85=Proforma!CW$5), 1, IF(CT85="", "", IF(CT85&lt;12, CT85+1, "")))</f>
        <v/>
      </c>
      <c r="CV85" s="252" t="str">
        <f>IF(AND(ModelDescription!$D$23=$E$28, $B85=Proforma!CX$5), 1, IF(CU85="", "", IF(CU85&lt;12, CU85+1, "")))</f>
        <v/>
      </c>
      <c r="CW85" s="252" t="str">
        <f>IF(AND(ModelDescription!$D$23=$E$28, $B85=Proforma!CY$5), 1, IF(CV85="", "", IF(CV85&lt;12, CV85+1, "")))</f>
        <v/>
      </c>
      <c r="CX85" s="252" t="str">
        <f>IF(AND(ModelDescription!$D$23=$E$28, $B85=Proforma!CZ$5), 1, IF(CW85="", "", IF(CW85&lt;12, CW85+1, "")))</f>
        <v/>
      </c>
      <c r="CY85" s="252" t="str">
        <f>IF(AND(ModelDescription!$D$23=$E$28, $B85=Proforma!DA$5), 1, IF(CX85="", "", IF(CX85&lt;12, CX85+1, "")))</f>
        <v/>
      </c>
      <c r="CZ85" s="252" t="str">
        <f>IF(AND(ModelDescription!$D$23=$E$28, $B85=Proforma!DB$5), 1, IF(CY85="", "", IF(CY85&lt;12, CY85+1, "")))</f>
        <v/>
      </c>
      <c r="DA85" s="252" t="str">
        <f>IF(AND(ModelDescription!$D$23=$E$28, $B85=Proforma!DC$5), 1, IF(CZ85="", "", IF(CZ85&lt;12, CZ85+1, "")))</f>
        <v/>
      </c>
      <c r="DB85" s="252" t="str">
        <f>IF(AND(ModelDescription!$D$23=$E$28, $B85=Proforma!DD$5), 1, IF(DA85="", "", IF(DA85&lt;12, DA85+1, "")))</f>
        <v/>
      </c>
      <c r="DC85" s="252" t="str">
        <f>IF(AND(ModelDescription!$D$23=$E$28, $B85=Proforma!DE$5), 1, IF(DB85="", "", IF(DB85&lt;12, DB85+1, "")))</f>
        <v/>
      </c>
      <c r="DD85" s="252" t="str">
        <f>IF(AND(ModelDescription!$D$23=$E$28, $B85=Proforma!DF$5), 1, IF(DC85="", "", IF(DC85&lt;12, DC85+1, "")))</f>
        <v/>
      </c>
      <c r="DE85" s="252" t="str">
        <f>IF(AND(ModelDescription!$D$23=$E$28, $B85=Proforma!DG$5), 1, IF(DD85="", "", IF(DD85&lt;12, DD85+1, "")))</f>
        <v/>
      </c>
      <c r="DF85" s="252" t="str">
        <f>IF(AND(ModelDescription!$D$23=$E$28, $B85=Proforma!DH$5), 1, IF(DE85="", "", IF(DE85&lt;12, DE85+1, "")))</f>
        <v/>
      </c>
      <c r="DG85" s="252" t="str">
        <f>IF(AND(ModelDescription!$D$23=$E$28, $B85=Proforma!DI$5), 1, IF(DF85="", "", IF(DF85&lt;12, DF85+1, "")))</f>
        <v/>
      </c>
      <c r="DH85" s="252" t="str">
        <f>IF(AND(ModelDescription!$D$23=$E$28, $B85=Proforma!DJ$5), 1, IF(DG85="", "", IF(DG85&lt;12, DG85+1, "")))</f>
        <v/>
      </c>
      <c r="DI85" s="252" t="str">
        <f>IF(AND(ModelDescription!$D$23=$E$28, $B85=Proforma!DK$5), 1, IF(DH85="", "", IF(DH85&lt;12, DH85+1, "")))</f>
        <v/>
      </c>
      <c r="DJ85" s="252" t="str">
        <f>IF(AND(ModelDescription!$D$23=$E$28, $B85=Proforma!DL$5), 1, IF(DI85="", "", IF(DI85&lt;12, DI85+1, "")))</f>
        <v/>
      </c>
      <c r="DK85" s="252" t="str">
        <f>IF(AND(ModelDescription!$D$23=$E$28, $B85=Proforma!DM$5), 1, IF(DJ85="", "", IF(DJ85&lt;12, DJ85+1, "")))</f>
        <v/>
      </c>
      <c r="DL85" s="252" t="str">
        <f>IF(AND(ModelDescription!$D$23=$E$28, $B85=Proforma!DN$5), 1, IF(DK85="", "", IF(DK85&lt;12, DK85+1, "")))</f>
        <v/>
      </c>
      <c r="DM85" s="252" t="str">
        <f>IF(AND(ModelDescription!$D$23=$E$28, $B85=Proforma!DO$5), 1, IF(DL85="", "", IF(DL85&lt;12, DL85+1, "")))</f>
        <v/>
      </c>
      <c r="DN85" s="252" t="str">
        <f>IF(AND(ModelDescription!$D$23=$E$28, $B85=Proforma!DP$5), 1, IF(DM85="", "", IF(DM85&lt;12, DM85+1, "")))</f>
        <v/>
      </c>
      <c r="DO85" s="252" t="str">
        <f>IF(AND(ModelDescription!$D$23=$E$28, $B85=Proforma!DQ$5), 1, IF(DN85="", "", IF(DN85&lt;12, DN85+1, "")))</f>
        <v/>
      </c>
      <c r="DP85" s="252" t="str">
        <f>IF(AND(ModelDescription!$D$23=$E$28, $B85=Proforma!DR$5), 1, IF(DO85="", "", IF(DO85&lt;12, DO85+1, "")))</f>
        <v/>
      </c>
      <c r="DQ85" s="252" t="str">
        <f>IF(AND(ModelDescription!$D$23=$E$28, $B85=Proforma!DS$5), 1, IF(DP85="", "", IF(DP85&lt;12, DP85+1, "")))</f>
        <v/>
      </c>
      <c r="DR85" s="252" t="str">
        <f>IF(AND(ModelDescription!$D$23=$E$28, $B85=Proforma!DT$5), 1, IF(DQ85="", "", IF(DQ85&lt;12, DQ85+1, "")))</f>
        <v/>
      </c>
      <c r="DS85" s="252" t="str">
        <f>IF(AND(ModelDescription!$D$23=$E$28, $B85=Proforma!DU$5), 1, IF(DR85="", "", IF(DR85&lt;12, DR85+1, "")))</f>
        <v/>
      </c>
      <c r="DT85" s="252" t="str">
        <f>IF(AND(ModelDescription!$D$23=$E$28, $B85=Proforma!DV$5), 1, IF(DS85="", "", IF(DS85&lt;12, DS85+1, "")))</f>
        <v/>
      </c>
      <c r="DU85" s="252" t="str">
        <f>IF(AND(ModelDescription!$D$23=$E$28, $B85=Proforma!DW$5), 1, IF(DT85="", "", IF(DT85&lt;12, DT85+1, "")))</f>
        <v/>
      </c>
      <c r="DV85" s="252" t="str">
        <f>IF(AND(ModelDescription!$D$23=$E$28, $B85=Proforma!DX$5), 1, IF(DU85="", "", IF(DU85&lt;12, DU85+1, "")))</f>
        <v/>
      </c>
      <c r="DW85" s="252" t="str">
        <f>IF(AND(ModelDescription!$D$23=$E$28, $B85=Proforma!DY$5), 1, IF(DV85="", "", IF(DV85&lt;12, DV85+1, "")))</f>
        <v/>
      </c>
      <c r="DX85" s="252" t="str">
        <f>IF(AND(ModelDescription!$D$23=$E$28, $B85=Proforma!DZ$5), 1, IF(DW85="", "", IF(DW85&lt;12, DW85+1, "")))</f>
        <v/>
      </c>
      <c r="DY85" s="252" t="str">
        <f>IF(AND(ModelDescription!$D$23=$E$28, $B85=Proforma!EA$5), 1, IF(DX85="", "", IF(DX85&lt;12, DX85+1, "")))</f>
        <v/>
      </c>
      <c r="DZ85" s="252" t="str">
        <f>IF(AND(ModelDescription!$D$23=$E$28, $B85=Proforma!EB$5), 1, IF(DY85="", "", IF(DY85&lt;12, DY85+1, "")))</f>
        <v/>
      </c>
      <c r="EA85" s="252" t="str">
        <f>IF(AND(ModelDescription!$D$23=$E$28, $B85=Proforma!EC$5), 1, IF(DZ85="", "", IF(DZ85&lt;12, DZ85+1, "")))</f>
        <v/>
      </c>
      <c r="EB85" s="252" t="str">
        <f>IF(AND(ModelDescription!$D$23=$E$28, $B85=Proforma!ED$5), 1, IF(EA85="", "", IF(EA85&lt;12, EA85+1, "")))</f>
        <v/>
      </c>
      <c r="EC85" s="252" t="str">
        <f>IF(AND(ModelDescription!$D$23=$E$28, $B85=Proforma!EE$5), 1, IF(EB85="", "", IF(EB85&lt;12, EB85+1, "")))</f>
        <v/>
      </c>
      <c r="ED85" s="252" t="str">
        <f>IF(AND(ModelDescription!$D$23=$E$28, $B85=Proforma!EF$5), 1, IF(EC85="", "", IF(EC85&lt;12, EC85+1, "")))</f>
        <v/>
      </c>
      <c r="EE85" s="252" t="str">
        <f>IF(AND(ModelDescription!$D$23=$E$28, $B85=Proforma!EG$5), 1, IF(ED85="", "", IF(ED85&lt;12, ED85+1, "")))</f>
        <v/>
      </c>
      <c r="EF85" s="252" t="str">
        <f>IF(AND(ModelDescription!$D$23=$E$28, $B85=Proforma!EH$5), 1, IF(EE85="", "", IF(EE85&lt;12, EE85+1, "")))</f>
        <v/>
      </c>
      <c r="EG85" s="252" t="str">
        <f>IF(AND(ModelDescription!$D$23=$E$28, $B85=Proforma!EI$5), 1, IF(EF85="", "", IF(EF85&lt;12, EF85+1, "")))</f>
        <v/>
      </c>
      <c r="EH85" s="252" t="str">
        <f>IF(AND(ModelDescription!$D$23=$E$28, $B85=Proforma!EJ$5), 1, IF(EG85="", "", IF(EG85&lt;12, EG85+1, "")))</f>
        <v/>
      </c>
      <c r="EI85" s="252" t="str">
        <f>IF(AND(ModelDescription!$D$23=$E$28, $B85=Proforma!EK$5), 1, IF(EH85="", "", IF(EH85&lt;12, EH85+1, "")))</f>
        <v/>
      </c>
      <c r="EJ85" s="252" t="str">
        <f>IF(AND(ModelDescription!$D$23=$E$28, $B85=Proforma!EL$5), 1, IF(EI85="", "", IF(EI85&lt;12, EI85+1, "")))</f>
        <v/>
      </c>
      <c r="EK85" s="252" t="str">
        <f>IF(AND(ModelDescription!$D$23=$E$28, $B85=Proforma!EM$5), 1, IF(EJ85="", "", IF(EJ85&lt;12, EJ85+1, "")))</f>
        <v/>
      </c>
      <c r="EL85" s="252" t="str">
        <f>IF(AND(ModelDescription!$D$23=$E$28, $B85=Proforma!EN$5), 1, IF(EK85="", "", IF(EK85&lt;12, EK85+1, "")))</f>
        <v/>
      </c>
      <c r="EM85" s="252" t="str">
        <f>IF(AND(ModelDescription!$D$23=$E$28, $B85=Proforma!EO$5), 1, IF(EL85="", "", IF(EL85&lt;12, EL85+1, "")))</f>
        <v/>
      </c>
      <c r="EN85" s="252" t="str">
        <f>IF(AND(ModelDescription!$D$23=$E$28, $B85=Proforma!EP$5), 1, IF(EM85="", "", IF(EM85&lt;12, EM85+1, "")))</f>
        <v/>
      </c>
      <c r="EO85" s="252" t="str">
        <f>IF(AND(ModelDescription!$D$23=$E$28, $B85=Proforma!EQ$5), 1, IF(EN85="", "", IF(EN85&lt;12, EN85+1, "")))</f>
        <v/>
      </c>
      <c r="EP85" s="252" t="str">
        <f>IF(AND(ModelDescription!$D$23=$E$28, $B85=Proforma!ER$5), 1, IF(EO85="", "", IF(EO85&lt;12, EO85+1, "")))</f>
        <v/>
      </c>
      <c r="EQ85" s="252" t="str">
        <f>IF(AND(ModelDescription!$D$23=$E$28, $B85=Proforma!ES$5), 1, IF(EP85="", "", IF(EP85&lt;12, EP85+1, "")))</f>
        <v/>
      </c>
      <c r="ER85" s="252" t="str">
        <f>IF(AND(ModelDescription!$D$23=$E$28, $B85=Proforma!ET$5), 1, IF(EQ85="", "", IF(EQ85&lt;12, EQ85+1, "")))</f>
        <v/>
      </c>
      <c r="ES85" s="252" t="str">
        <f>IF(AND(ModelDescription!$D$23=$E$28, $B85=Proforma!EU$5), 1, IF(ER85="", "", IF(ER85&lt;12, ER85+1, "")))</f>
        <v/>
      </c>
      <c r="ET85" s="252" t="str">
        <f>IF(AND(ModelDescription!$D$23=$E$28, $B85=Proforma!EV$5), 1, IF(ES85="", "", IF(ES85&lt;12, ES85+1, "")))</f>
        <v/>
      </c>
      <c r="EU85" s="252" t="str">
        <f>IF(AND(ModelDescription!$D$23=$E$28, $B85=Proforma!EW$5), 1, IF(ET85="", "", IF(ET85&lt;12, ET85+1, "")))</f>
        <v/>
      </c>
      <c r="EV85" s="252" t="str">
        <f>IF(AND(ModelDescription!$D$23=$E$28, $B85=Proforma!EX$5), 1, IF(EU85="", "", IF(EU85&lt;12, EU85+1, "")))</f>
        <v/>
      </c>
      <c r="EW85" s="252" t="str">
        <f>IF(AND(ModelDescription!$D$23=$E$28, $B85=Proforma!EY$5), 1, IF(EV85="", "", IF(EV85&lt;12, EV85+1, "")))</f>
        <v/>
      </c>
      <c r="EX85" s="252" t="str">
        <f>IF(AND(ModelDescription!$D$23=$E$28, $B85=Proforma!EZ$5), 1, IF(EW85="", "", IF(EW85&lt;12, EW85+1, "")))</f>
        <v/>
      </c>
      <c r="EY85" s="252" t="str">
        <f>IF(AND(ModelDescription!$D$23=$E$28, $B85=Proforma!FA$5), 1, IF(EX85="", "", IF(EX85&lt;12, EX85+1, "")))</f>
        <v/>
      </c>
      <c r="EZ85" s="252" t="str">
        <f>IF(AND(ModelDescription!$D$23=$E$28, $B85=Proforma!FB$5), 1, IF(EY85="", "", IF(EY85&lt;12, EY85+1, "")))</f>
        <v/>
      </c>
      <c r="FA85" s="252" t="str">
        <f>IF(AND(ModelDescription!$D$23=$E$28, $B85=Proforma!FC$5), 1, IF(EZ85="", "", IF(EZ85&lt;12, EZ85+1, "")))</f>
        <v/>
      </c>
      <c r="FB85" s="252" t="str">
        <f>IF(AND(ModelDescription!$D$23=$E$28, $B85=Proforma!FD$5), 1, IF(FA85="", "", IF(FA85&lt;12, FA85+1, "")))</f>
        <v/>
      </c>
      <c r="FC85" s="252" t="str">
        <f>IF(AND(ModelDescription!$D$23=$E$28, $B85=Proforma!FE$5), 1, IF(FB85="", "", IF(FB85&lt;12, FB85+1, "")))</f>
        <v/>
      </c>
      <c r="FD85" s="252" t="str">
        <f>IF(AND(ModelDescription!$D$23=$E$28, $B85=Proforma!FF$5), 1, IF(FC85="", "", IF(FC85&lt;12, FC85+1, "")))</f>
        <v/>
      </c>
      <c r="FE85" s="252" t="str">
        <f>IF(AND(ModelDescription!$D$23=$E$28, $B85=Proforma!FG$5), 1, IF(FD85="", "", IF(FD85&lt;12, FD85+1, "")))</f>
        <v/>
      </c>
      <c r="FF85" s="252" t="str">
        <f>IF(AND(ModelDescription!$D$23=$E$28, $B85=Proforma!FH$5), 1, IF(FE85="", "", IF(FE85&lt;12, FE85+1, "")))</f>
        <v/>
      </c>
      <c r="FG85" s="252" t="str">
        <f>IF(AND(ModelDescription!$D$23=$E$28, $B85=Proforma!FI$5), 1, IF(FF85="", "", IF(FF85&lt;12, FF85+1, "")))</f>
        <v/>
      </c>
      <c r="FH85" s="252" t="str">
        <f>IF(AND(ModelDescription!$D$23=$E$28, $B85=Proforma!FJ$5), 1, IF(FG85="", "", IF(FG85&lt;12, FG85+1, "")))</f>
        <v/>
      </c>
      <c r="FI85" s="252" t="str">
        <f>IF(AND(ModelDescription!$D$23=$E$28, $B85=Proforma!FK$5), 1, IF(FH85="", "", IF(FH85&lt;12, FH85+1, "")))</f>
        <v/>
      </c>
      <c r="FJ85" s="252" t="str">
        <f>IF(AND(ModelDescription!$D$23=$E$28, $B85=Proforma!FL$5), 1, IF(FI85="", "", IF(FI85&lt;12, FI85+1, "")))</f>
        <v/>
      </c>
      <c r="FK85" s="252" t="str">
        <f>IF(AND(ModelDescription!$D$23=$E$28, $B85=Proforma!FM$5), 1, IF(FJ85="", "", IF(FJ85&lt;12, FJ85+1, "")))</f>
        <v/>
      </c>
      <c r="FL85" s="252" t="str">
        <f>IF(AND(ModelDescription!$D$23=$E$28, $B85=Proforma!FN$5), 1, IF(FK85="", "", IF(FK85&lt;12, FK85+1, "")))</f>
        <v/>
      </c>
      <c r="FM85" s="252" t="str">
        <f>IF(AND(ModelDescription!$D$23=$E$28, $B85=Proforma!FO$5), 1, IF(FL85="", "", IF(FL85&lt;12, FL85+1, "")))</f>
        <v/>
      </c>
      <c r="FN85" s="252" t="str">
        <f>IF(AND(ModelDescription!$D$23=$E$28, $B85=Proforma!FP$5), 1, IF(FM85="", "", IF(FM85&lt;12, FM85+1, "")))</f>
        <v/>
      </c>
      <c r="FO85" s="252" t="str">
        <f>IF(AND(ModelDescription!$D$23=$E$28, $B85=Proforma!FQ$5), 1, IF(FN85="", "", IF(FN85&lt;12, FN85+1, "")))</f>
        <v/>
      </c>
      <c r="FP85" s="252" t="str">
        <f>IF(AND(ModelDescription!$D$23=$E$28, $B85=Proforma!FR$5), 1, IF(FO85="", "", IF(FO85&lt;12, FO85+1, "")))</f>
        <v/>
      </c>
      <c r="FQ85" s="252" t="str">
        <f>IF(AND(ModelDescription!$D$23=$E$28, $B85=Proforma!FS$5), 1, IF(FP85="", "", IF(FP85&lt;12, FP85+1, "")))</f>
        <v/>
      </c>
      <c r="FR85" s="252" t="str">
        <f>IF(AND(ModelDescription!$D$23=$E$28, $B85=Proforma!FT$5), 1, IF(FQ85="", "", IF(FQ85&lt;12, FQ85+1, "")))</f>
        <v/>
      </c>
      <c r="FS85" s="252" t="str">
        <f>IF(AND(ModelDescription!$D$23=$E$28, $B85=Proforma!FU$5), 1, IF(FR85="", "", IF(FR85&lt;12, FR85+1, "")))</f>
        <v/>
      </c>
      <c r="FT85" s="252" t="str">
        <f>IF(AND(ModelDescription!$D$23=$E$28, $B85=Proforma!FV$5), 1, IF(FS85="", "", IF(FS85&lt;12, FS85+1, "")))</f>
        <v/>
      </c>
      <c r="FU85" s="252" t="str">
        <f>IF(AND(ModelDescription!$D$23=$E$28, $B85=Proforma!FW$5), 1, IF(FT85="", "", IF(FT85&lt;12, FT85+1, "")))</f>
        <v/>
      </c>
      <c r="FV85" s="252" t="str">
        <f>IF(AND(ModelDescription!$D$23=$E$28, $B85=Proforma!FX$5), 1, IF(FU85="", "", IF(FU85&lt;12, FU85+1, "")))</f>
        <v/>
      </c>
      <c r="FW85" s="252" t="str">
        <f>IF(AND(ModelDescription!$D$23=$E$28, $B85=Proforma!FY$5), 1, IF(FV85="", "", IF(FV85&lt;12, FV85+1, "")))</f>
        <v/>
      </c>
      <c r="FX85" s="252" t="str">
        <f>IF(AND(ModelDescription!$D$23=$E$28, $B85=Proforma!FZ$5), 1, IF(FW85="", "", IF(FW85&lt;12, FW85+1, "")))</f>
        <v/>
      </c>
      <c r="FY85" s="252" t="str">
        <f>IF(AND(ModelDescription!$D$23=$E$28, $B85=Proforma!GA$5), 1, IF(FX85="", "", IF(FX85&lt;12, FX85+1, "")))</f>
        <v/>
      </c>
      <c r="FZ85" s="252" t="str">
        <f>IF(AND(ModelDescription!$D$23=$E$28, $B85=Proforma!GB$5), 1, IF(FY85="", "", IF(FY85&lt;12, FY85+1, "")))</f>
        <v/>
      </c>
      <c r="GA85" s="252" t="str">
        <f>IF(AND(ModelDescription!$D$23=$E$28, $B85=Proforma!GC$5), 1, IF(FZ85="", "", IF(FZ85&lt;12, FZ85+1, "")))</f>
        <v/>
      </c>
    </row>
    <row r="86" spans="1:183">
      <c r="A86" s="250">
        <v>6</v>
      </c>
      <c r="B86" s="204">
        <v>14</v>
      </c>
      <c r="C86" s="9"/>
      <c r="D86" s="252" t="str">
        <f>IF(AND(ModelDescription!$D$23=$E$28, $B86=Proforma!F$5), 1, IF(C86="", "", IF(C86&lt;12, C86+1, "")))</f>
        <v/>
      </c>
      <c r="E86" s="252" t="str">
        <f>IF(AND(ModelDescription!$D$23=$E$28, $B86=Proforma!G$5), 1, IF(D86="", "", IF(D86&lt;12, D86+1, "")))</f>
        <v/>
      </c>
      <c r="F86" s="252" t="str">
        <f>IF(AND(ModelDescription!$D$23=$E$28, $B86=Proforma!H$5), 1, IF(E86="", "", IF(E86&lt;12, E86+1, "")))</f>
        <v/>
      </c>
      <c r="G86" s="252" t="str">
        <f>IF(AND(ModelDescription!$D$23=$E$28, $B86=Proforma!I$5), 1, IF(F86="", "", IF(F86&lt;12, F86+1, "")))</f>
        <v/>
      </c>
      <c r="H86" s="252" t="str">
        <f>IF(AND(ModelDescription!$D$23=$E$28, $B86=Proforma!J$5), 1, IF(G86="", "", IF(G86&lt;12, G86+1, "")))</f>
        <v/>
      </c>
      <c r="I86" s="252" t="str">
        <f>IF(AND(ModelDescription!$D$23=$E$28, $B86=Proforma!K$5), 1, IF(H86="", "", IF(H86&lt;12, H86+1, "")))</f>
        <v/>
      </c>
      <c r="J86" s="252" t="str">
        <f>IF(AND(ModelDescription!$D$23=$E$28, $B86=Proforma!L$5), 1, IF(I86="", "", IF(I86&lt;12, I86+1, "")))</f>
        <v/>
      </c>
      <c r="K86" s="252" t="str">
        <f>IF(AND(ModelDescription!$D$23=$E$28, $B86=Proforma!M$5), 1, IF(J86="", "", IF(J86&lt;12, J86+1, "")))</f>
        <v/>
      </c>
      <c r="L86" s="252" t="str">
        <f>IF(AND(ModelDescription!$D$23=$E$28, $B86=Proforma!N$5), 1, IF(K86="", "", IF(K86&lt;12, K86+1, "")))</f>
        <v/>
      </c>
      <c r="M86" s="252" t="str">
        <f>IF(AND(ModelDescription!$D$23=$E$28, $B86=Proforma!O$5), 1, IF(L86="", "", IF(L86&lt;12, L86+1, "")))</f>
        <v/>
      </c>
      <c r="N86" s="252" t="str">
        <f>IF(AND(ModelDescription!$D$23=$E$28, $B86=Proforma!P$5), 1, IF(M86="", "", IF(M86&lt;12, M86+1, "")))</f>
        <v/>
      </c>
      <c r="O86" s="252" t="str">
        <f>IF(AND(ModelDescription!$D$23=$E$28, $B86=Proforma!Q$5), 1, IF(N86="", "", IF(N86&lt;12, N86+1, "")))</f>
        <v/>
      </c>
      <c r="P86" s="252" t="str">
        <f>IF(AND(ModelDescription!$D$23=$E$28, $B86=Proforma!R$5), 1, IF(O86="", "", IF(O86&lt;12, O86+1, "")))</f>
        <v/>
      </c>
      <c r="Q86" s="252" t="str">
        <f>IF(AND(ModelDescription!$D$23=$E$28, $B86=Proforma!S$5), 1, IF(P86="", "", IF(P86&lt;12, P86+1, "")))</f>
        <v/>
      </c>
      <c r="R86" s="252" t="str">
        <f>IF(AND(ModelDescription!$D$23=$E$28, $B86=Proforma!T$5), 1, IF(Q86="", "", IF(Q86&lt;12, Q86+1, "")))</f>
        <v/>
      </c>
      <c r="S86" s="252" t="str">
        <f>IF(AND(ModelDescription!$D$23=$E$28, $B86=Proforma!U$5), 1, IF(R86="", "", IF(R86&lt;12, R86+1, "")))</f>
        <v/>
      </c>
      <c r="T86" s="252" t="str">
        <f>IF(AND(ModelDescription!$D$23=$E$28, $B86=Proforma!V$5), 1, IF(S86="", "", IF(S86&lt;12, S86+1, "")))</f>
        <v/>
      </c>
      <c r="U86" s="252" t="str">
        <f>IF(AND(ModelDescription!$D$23=$E$28, $B86=Proforma!W$5), 1, IF(T86="", "", IF(T86&lt;12, T86+1, "")))</f>
        <v/>
      </c>
      <c r="V86" s="252" t="str">
        <f>IF(AND(ModelDescription!$D$23=$E$28, $B86=Proforma!X$5), 1, IF(U86="", "", IF(U86&lt;12, U86+1, "")))</f>
        <v/>
      </c>
      <c r="W86" s="252" t="str">
        <f>IF(AND(ModelDescription!$D$23=$E$28, $B86=Proforma!Y$5), 1, IF(V86="", "", IF(V86&lt;12, V86+1, "")))</f>
        <v/>
      </c>
      <c r="X86" s="252" t="str">
        <f>IF(AND(ModelDescription!$D$23=$E$28, $B86=Proforma!Z$5), 1, IF(W86="", "", IF(W86&lt;12, W86+1, "")))</f>
        <v/>
      </c>
      <c r="Y86" s="252" t="str">
        <f>IF(AND(ModelDescription!$D$23=$E$28, $B86=Proforma!AA$5), 1, IF(X86="", "", IF(X86&lt;12, X86+1, "")))</f>
        <v/>
      </c>
      <c r="Z86" s="252" t="str">
        <f>IF(AND(ModelDescription!$D$23=$E$28, $B86=Proforma!AB$5), 1, IF(Y86="", "", IF(Y86&lt;12, Y86+1, "")))</f>
        <v/>
      </c>
      <c r="AA86" s="252" t="str">
        <f>IF(AND(ModelDescription!$D$23=$E$28, $B86=Proforma!AC$5), 1, IF(Z86="", "", IF(Z86&lt;12, Z86+1, "")))</f>
        <v/>
      </c>
      <c r="AB86" s="252" t="str">
        <f>IF(AND(ModelDescription!$D$23=$E$28, $B86=Proforma!AD$5), 1, IF(AA86="", "", IF(AA86&lt;12, AA86+1, "")))</f>
        <v/>
      </c>
      <c r="AC86" s="252" t="str">
        <f>IF(AND(ModelDescription!$D$23=$E$28, $B86=Proforma!AE$5), 1, IF(AB86="", "", IF(AB86&lt;12, AB86+1, "")))</f>
        <v/>
      </c>
      <c r="AD86" s="252" t="str">
        <f>IF(AND(ModelDescription!$D$23=$E$28, $B86=Proforma!AF$5), 1, IF(AC86="", "", IF(AC86&lt;12, AC86+1, "")))</f>
        <v/>
      </c>
      <c r="AE86" s="252" t="str">
        <f>IF(AND(ModelDescription!$D$23=$E$28, $B86=Proforma!AG$5), 1, IF(AD86="", "", IF(AD86&lt;12, AD86+1, "")))</f>
        <v/>
      </c>
      <c r="AF86" s="252" t="str">
        <f>IF(AND(ModelDescription!$D$23=$E$28, $B86=Proforma!AH$5), 1, IF(AE86="", "", IF(AE86&lt;12, AE86+1, "")))</f>
        <v/>
      </c>
      <c r="AG86" s="252" t="str">
        <f>IF(AND(ModelDescription!$D$23=$E$28, $B86=Proforma!AI$5), 1, IF(AF86="", "", IF(AF86&lt;12, AF86+1, "")))</f>
        <v/>
      </c>
      <c r="AH86" s="252" t="str">
        <f>IF(AND(ModelDescription!$D$23=$E$28, $B86=Proforma!AJ$5), 1, IF(AG86="", "", IF(AG86&lt;12, AG86+1, "")))</f>
        <v/>
      </c>
      <c r="AI86" s="252" t="str">
        <f>IF(AND(ModelDescription!$D$23=$E$28, $B86=Proforma!AK$5), 1, IF(AH86="", "", IF(AH86&lt;12, AH86+1, "")))</f>
        <v/>
      </c>
      <c r="AJ86" s="252" t="str">
        <f>IF(AND(ModelDescription!$D$23=$E$28, $B86=Proforma!AL$5), 1, IF(AI86="", "", IF(AI86&lt;12, AI86+1, "")))</f>
        <v/>
      </c>
      <c r="AK86" s="252" t="str">
        <f>IF(AND(ModelDescription!$D$23=$E$28, $B86=Proforma!AM$5), 1, IF(AJ86="", "", IF(AJ86&lt;12, AJ86+1, "")))</f>
        <v/>
      </c>
      <c r="AL86" s="252" t="str">
        <f>IF(AND(ModelDescription!$D$23=$E$28, $B86=Proforma!AN$5), 1, IF(AK86="", "", IF(AK86&lt;12, AK86+1, "")))</f>
        <v/>
      </c>
      <c r="AM86" s="252" t="str">
        <f>IF(AND(ModelDescription!$D$23=$E$28, $B86=Proforma!AO$5), 1, IF(AL86="", "", IF(AL86&lt;12, AL86+1, "")))</f>
        <v/>
      </c>
      <c r="AN86" s="252" t="str">
        <f>IF(AND(ModelDescription!$D$23=$E$28, $B86=Proforma!AP$5), 1, IF(AM86="", "", IF(AM86&lt;12, AM86+1, "")))</f>
        <v/>
      </c>
      <c r="AO86" s="252" t="str">
        <f>IF(AND(ModelDescription!$D$23=$E$28, $B86=Proforma!AQ$5), 1, IF(AN86="", "", IF(AN86&lt;12, AN86+1, "")))</f>
        <v/>
      </c>
      <c r="AP86" s="252" t="str">
        <f>IF(AND(ModelDescription!$D$23=$E$28, $B86=Proforma!AR$5), 1, IF(AO86="", "", IF(AO86&lt;12, AO86+1, "")))</f>
        <v/>
      </c>
      <c r="AQ86" s="252" t="str">
        <f>IF(AND(ModelDescription!$D$23=$E$28, $B86=Proforma!AS$5), 1, IF(AP86="", "", IF(AP86&lt;12, AP86+1, "")))</f>
        <v/>
      </c>
      <c r="AR86" s="252" t="str">
        <f>IF(AND(ModelDescription!$D$23=$E$28, $B86=Proforma!AT$5), 1, IF(AQ86="", "", IF(AQ86&lt;12, AQ86+1, "")))</f>
        <v/>
      </c>
      <c r="AS86" s="252" t="str">
        <f>IF(AND(ModelDescription!$D$23=$E$28, $B86=Proforma!AU$5), 1, IF(AR86="", "", IF(AR86&lt;12, AR86+1, "")))</f>
        <v/>
      </c>
      <c r="AT86" s="252" t="str">
        <f>IF(AND(ModelDescription!$D$23=$E$28, $B86=Proforma!AV$5), 1, IF(AS86="", "", IF(AS86&lt;12, AS86+1, "")))</f>
        <v/>
      </c>
      <c r="AU86" s="252" t="str">
        <f>IF(AND(ModelDescription!$D$23=$E$28, $B86=Proforma!AW$5), 1, IF(AT86="", "", IF(AT86&lt;12, AT86+1, "")))</f>
        <v/>
      </c>
      <c r="AV86" s="252" t="str">
        <f>IF(AND(ModelDescription!$D$23=$E$28, $B86=Proforma!AX$5), 1, IF(AU86="", "", IF(AU86&lt;12, AU86+1, "")))</f>
        <v/>
      </c>
      <c r="AW86" s="252" t="str">
        <f>IF(AND(ModelDescription!$D$23=$E$28, $B86=Proforma!AY$5), 1, IF(AV86="", "", IF(AV86&lt;12, AV86+1, "")))</f>
        <v/>
      </c>
      <c r="AX86" s="252" t="str">
        <f>IF(AND(ModelDescription!$D$23=$E$28, $B86=Proforma!AZ$5), 1, IF(AW86="", "", IF(AW86&lt;12, AW86+1, "")))</f>
        <v/>
      </c>
      <c r="AY86" s="252" t="str">
        <f>IF(AND(ModelDescription!$D$23=$E$28, $B86=Proforma!BA$5), 1, IF(AX86="", "", IF(AX86&lt;12, AX86+1, "")))</f>
        <v/>
      </c>
      <c r="AZ86" s="252" t="str">
        <f>IF(AND(ModelDescription!$D$23=$E$28, $B86=Proforma!BB$5), 1, IF(AY86="", "", IF(AY86&lt;12, AY86+1, "")))</f>
        <v/>
      </c>
      <c r="BA86" s="252" t="str">
        <f>IF(AND(ModelDescription!$D$23=$E$28, $B86=Proforma!BC$5), 1, IF(AZ86="", "", IF(AZ86&lt;12, AZ86+1, "")))</f>
        <v/>
      </c>
      <c r="BB86" s="252" t="str">
        <f>IF(AND(ModelDescription!$D$23=$E$28, $B86=Proforma!BD$5), 1, IF(BA86="", "", IF(BA86&lt;12, BA86+1, "")))</f>
        <v/>
      </c>
      <c r="BC86" s="252" t="str">
        <f>IF(AND(ModelDescription!$D$23=$E$28, $B86=Proforma!BE$5), 1, IF(BB86="", "", IF(BB86&lt;12, BB86+1, "")))</f>
        <v/>
      </c>
      <c r="BD86" s="252" t="str">
        <f>IF(AND(ModelDescription!$D$23=$E$28, $B86=Proforma!BF$5), 1, IF(BC86="", "", IF(BC86&lt;12, BC86+1, "")))</f>
        <v/>
      </c>
      <c r="BE86" s="252" t="str">
        <f>IF(AND(ModelDescription!$D$23=$E$28, $B86=Proforma!BG$5), 1, IF(BD86="", "", IF(BD86&lt;12, BD86+1, "")))</f>
        <v/>
      </c>
      <c r="BF86" s="252" t="str">
        <f>IF(AND(ModelDescription!$D$23=$E$28, $B86=Proforma!BH$5), 1, IF(BE86="", "", IF(BE86&lt;12, BE86+1, "")))</f>
        <v/>
      </c>
      <c r="BG86" s="252" t="str">
        <f>IF(AND(ModelDescription!$D$23=$E$28, $B86=Proforma!BI$5), 1, IF(BF86="", "", IF(BF86&lt;12, BF86+1, "")))</f>
        <v/>
      </c>
      <c r="BH86" s="252" t="str">
        <f>IF(AND(ModelDescription!$D$23=$E$28, $B86=Proforma!BJ$5), 1, IF(BG86="", "", IF(BG86&lt;12, BG86+1, "")))</f>
        <v/>
      </c>
      <c r="BI86" s="252" t="str">
        <f>IF(AND(ModelDescription!$D$23=$E$28, $B86=Proforma!BK$5), 1, IF(BH86="", "", IF(BH86&lt;12, BH86+1, "")))</f>
        <v/>
      </c>
      <c r="BJ86" s="252" t="str">
        <f>IF(AND(ModelDescription!$D$23=$E$28, $B86=Proforma!BL$5), 1, IF(BI86="", "", IF(BI86&lt;12, BI86+1, "")))</f>
        <v/>
      </c>
      <c r="BK86" s="252" t="str">
        <f>IF(AND(ModelDescription!$D$23=$E$28, $B86=Proforma!BM$5), 1, IF(BJ86="", "", IF(BJ86&lt;12, BJ86+1, "")))</f>
        <v/>
      </c>
      <c r="BL86" s="252" t="str">
        <f>IF(AND(ModelDescription!$D$23=$E$28, $B86=Proforma!BN$5), 1, IF(BK86="", "", IF(BK86&lt;12, BK86+1, "")))</f>
        <v/>
      </c>
      <c r="BM86" s="252" t="str">
        <f>IF(AND(ModelDescription!$D$23=$E$28, $B86=Proforma!BO$5), 1, IF(BL86="", "", IF(BL86&lt;12, BL86+1, "")))</f>
        <v/>
      </c>
      <c r="BN86" s="252" t="str">
        <f>IF(AND(ModelDescription!$D$23=$E$28, $B86=Proforma!BP$5), 1, IF(BM86="", "", IF(BM86&lt;12, BM86+1, "")))</f>
        <v/>
      </c>
      <c r="BO86" s="252" t="str">
        <f>IF(AND(ModelDescription!$D$23=$E$28, $B86=Proforma!BQ$5), 1, IF(BN86="", "", IF(BN86&lt;12, BN86+1, "")))</f>
        <v/>
      </c>
      <c r="BP86" s="252" t="str">
        <f>IF(AND(ModelDescription!$D$23=$E$28, $B86=Proforma!BR$5), 1, IF(BO86="", "", IF(BO86&lt;12, BO86+1, "")))</f>
        <v/>
      </c>
      <c r="BQ86" s="252" t="str">
        <f>IF(AND(ModelDescription!$D$23=$E$28, $B86=Proforma!BS$5), 1, IF(BP86="", "", IF(BP86&lt;12, BP86+1, "")))</f>
        <v/>
      </c>
      <c r="BR86" s="252" t="str">
        <f>IF(AND(ModelDescription!$D$23=$E$28, $B86=Proforma!BT$5), 1, IF(BQ86="", "", IF(BQ86&lt;12, BQ86+1, "")))</f>
        <v/>
      </c>
      <c r="BS86" s="252" t="str">
        <f>IF(AND(ModelDescription!$D$23=$E$28, $B86=Proforma!BU$5), 1, IF(BR86="", "", IF(BR86&lt;12, BR86+1, "")))</f>
        <v/>
      </c>
      <c r="BT86" s="252" t="str">
        <f>IF(AND(ModelDescription!$D$23=$E$28, $B86=Proforma!BV$5), 1, IF(BS86="", "", IF(BS86&lt;12, BS86+1, "")))</f>
        <v/>
      </c>
      <c r="BU86" s="252" t="str">
        <f>IF(AND(ModelDescription!$D$23=$E$28, $B86=Proforma!BW$5), 1, IF(BT86="", "", IF(BT86&lt;12, BT86+1, "")))</f>
        <v/>
      </c>
      <c r="BV86" s="252" t="str">
        <f>IF(AND(ModelDescription!$D$23=$E$28, $B86=Proforma!BX$5), 1, IF(BU86="", "", IF(BU86&lt;12, BU86+1, "")))</f>
        <v/>
      </c>
      <c r="BW86" s="252" t="str">
        <f>IF(AND(ModelDescription!$D$23=$E$28, $B86=Proforma!BY$5), 1, IF(BV86="", "", IF(BV86&lt;12, BV86+1, "")))</f>
        <v/>
      </c>
      <c r="BX86" s="252" t="str">
        <f>IF(AND(ModelDescription!$D$23=$E$28, $B86=Proforma!BZ$5), 1, IF(BW86="", "", IF(BW86&lt;12, BW86+1, "")))</f>
        <v/>
      </c>
      <c r="BY86" s="252" t="str">
        <f>IF(AND(ModelDescription!$D$23=$E$28, $B86=Proforma!CA$5), 1, IF(BX86="", "", IF(BX86&lt;12, BX86+1, "")))</f>
        <v/>
      </c>
      <c r="BZ86" s="252" t="str">
        <f>IF(AND(ModelDescription!$D$23=$E$28, $B86=Proforma!CB$5), 1, IF(BY86="", "", IF(BY86&lt;12, BY86+1, "")))</f>
        <v/>
      </c>
      <c r="CA86" s="252" t="str">
        <f>IF(AND(ModelDescription!$D$23=$E$28, $B86=Proforma!CC$5), 1, IF(BZ86="", "", IF(BZ86&lt;12, BZ86+1, "")))</f>
        <v/>
      </c>
      <c r="CB86" s="252" t="str">
        <f>IF(AND(ModelDescription!$D$23=$E$28, $B86=Proforma!CD$5), 1, IF(CA86="", "", IF(CA86&lt;12, CA86+1, "")))</f>
        <v/>
      </c>
      <c r="CC86" s="252" t="str">
        <f>IF(AND(ModelDescription!$D$23=$E$28, $B86=Proforma!CE$5), 1, IF(CB86="", "", IF(CB86&lt;12, CB86+1, "")))</f>
        <v/>
      </c>
      <c r="CD86" s="252" t="str">
        <f>IF(AND(ModelDescription!$D$23=$E$28, $B86=Proforma!CF$5), 1, IF(CC86="", "", IF(CC86&lt;12, CC86+1, "")))</f>
        <v/>
      </c>
      <c r="CE86" s="252" t="str">
        <f>IF(AND(ModelDescription!$D$23=$E$28, $B86=Proforma!CG$5), 1, IF(CD86="", "", IF(CD86&lt;12, CD86+1, "")))</f>
        <v/>
      </c>
      <c r="CF86" s="252" t="str">
        <f>IF(AND(ModelDescription!$D$23=$E$28, $B86=Proforma!CH$5), 1, IF(CE86="", "", IF(CE86&lt;12, CE86+1, "")))</f>
        <v/>
      </c>
      <c r="CG86" s="252" t="str">
        <f>IF(AND(ModelDescription!$D$23=$E$28, $B86=Proforma!CI$5), 1, IF(CF86="", "", IF(CF86&lt;12, CF86+1, "")))</f>
        <v/>
      </c>
      <c r="CH86" s="252" t="str">
        <f>IF(AND(ModelDescription!$D$23=$E$28, $B86=Proforma!CJ$5), 1, IF(CG86="", "", IF(CG86&lt;12, CG86+1, "")))</f>
        <v/>
      </c>
      <c r="CI86" s="252" t="str">
        <f>IF(AND(ModelDescription!$D$23=$E$28, $B86=Proforma!CK$5), 1, IF(CH86="", "", IF(CH86&lt;12, CH86+1, "")))</f>
        <v/>
      </c>
      <c r="CJ86" s="252" t="str">
        <f>IF(AND(ModelDescription!$D$23=$E$28, $B86=Proforma!CL$5), 1, IF(CI86="", "", IF(CI86&lt;12, CI86+1, "")))</f>
        <v/>
      </c>
      <c r="CK86" s="252" t="str">
        <f>IF(AND(ModelDescription!$D$23=$E$28, $B86=Proforma!CM$5), 1, IF(CJ86="", "", IF(CJ86&lt;12, CJ86+1, "")))</f>
        <v/>
      </c>
      <c r="CL86" s="252" t="str">
        <f>IF(AND(ModelDescription!$D$23=$E$28, $B86=Proforma!CN$5), 1, IF(CK86="", "", IF(CK86&lt;12, CK86+1, "")))</f>
        <v/>
      </c>
      <c r="CM86" s="252" t="str">
        <f>IF(AND(ModelDescription!$D$23=$E$28, $B86=Proforma!CO$5), 1, IF(CL86="", "", IF(CL86&lt;12, CL86+1, "")))</f>
        <v/>
      </c>
      <c r="CN86" s="252" t="str">
        <f>IF(AND(ModelDescription!$D$23=$E$28, $B86=Proforma!CP$5), 1, IF(CM86="", "", IF(CM86&lt;12, CM86+1, "")))</f>
        <v/>
      </c>
      <c r="CO86" s="252" t="str">
        <f>IF(AND(ModelDescription!$D$23=$E$28, $B86=Proforma!CQ$5), 1, IF(CN86="", "", IF(CN86&lt;12, CN86+1, "")))</f>
        <v/>
      </c>
      <c r="CP86" s="252" t="str">
        <f>IF(AND(ModelDescription!$D$23=$E$28, $B86=Proforma!CR$5), 1, IF(CO86="", "", IF(CO86&lt;12, CO86+1, "")))</f>
        <v/>
      </c>
      <c r="CQ86" s="252" t="str">
        <f>IF(AND(ModelDescription!$D$23=$E$28, $B86=Proforma!CS$5), 1, IF(CP86="", "", IF(CP86&lt;12, CP86+1, "")))</f>
        <v/>
      </c>
      <c r="CR86" s="252" t="str">
        <f>IF(AND(ModelDescription!$D$23=$E$28, $B86=Proforma!CT$5), 1, IF(CQ86="", "", IF(CQ86&lt;12, CQ86+1, "")))</f>
        <v/>
      </c>
      <c r="CS86" s="252" t="str">
        <f>IF(AND(ModelDescription!$D$23=$E$28, $B86=Proforma!CU$5), 1, IF(CR86="", "", IF(CR86&lt;12, CR86+1, "")))</f>
        <v/>
      </c>
      <c r="CT86" s="252" t="str">
        <f>IF(AND(ModelDescription!$D$23=$E$28, $B86=Proforma!CV$5), 1, IF(CS86="", "", IF(CS86&lt;12, CS86+1, "")))</f>
        <v/>
      </c>
      <c r="CU86" s="252" t="str">
        <f>IF(AND(ModelDescription!$D$23=$E$28, $B86=Proforma!CW$5), 1, IF(CT86="", "", IF(CT86&lt;12, CT86+1, "")))</f>
        <v/>
      </c>
      <c r="CV86" s="252" t="str">
        <f>IF(AND(ModelDescription!$D$23=$E$28, $B86=Proforma!CX$5), 1, IF(CU86="", "", IF(CU86&lt;12, CU86+1, "")))</f>
        <v/>
      </c>
      <c r="CW86" s="252" t="str">
        <f>IF(AND(ModelDescription!$D$23=$E$28, $B86=Proforma!CY$5), 1, IF(CV86="", "", IF(CV86&lt;12, CV86+1, "")))</f>
        <v/>
      </c>
      <c r="CX86" s="252" t="str">
        <f>IF(AND(ModelDescription!$D$23=$E$28, $B86=Proforma!CZ$5), 1, IF(CW86="", "", IF(CW86&lt;12, CW86+1, "")))</f>
        <v/>
      </c>
      <c r="CY86" s="252" t="str">
        <f>IF(AND(ModelDescription!$D$23=$E$28, $B86=Proforma!DA$5), 1, IF(CX86="", "", IF(CX86&lt;12, CX86+1, "")))</f>
        <v/>
      </c>
      <c r="CZ86" s="252" t="str">
        <f>IF(AND(ModelDescription!$D$23=$E$28, $B86=Proforma!DB$5), 1, IF(CY86="", "", IF(CY86&lt;12, CY86+1, "")))</f>
        <v/>
      </c>
      <c r="DA86" s="252" t="str">
        <f>IF(AND(ModelDescription!$D$23=$E$28, $B86=Proforma!DC$5), 1, IF(CZ86="", "", IF(CZ86&lt;12, CZ86+1, "")))</f>
        <v/>
      </c>
      <c r="DB86" s="252" t="str">
        <f>IF(AND(ModelDescription!$D$23=$E$28, $B86=Proforma!DD$5), 1, IF(DA86="", "", IF(DA86&lt;12, DA86+1, "")))</f>
        <v/>
      </c>
      <c r="DC86" s="252" t="str">
        <f>IF(AND(ModelDescription!$D$23=$E$28, $B86=Proforma!DE$5), 1, IF(DB86="", "", IF(DB86&lt;12, DB86+1, "")))</f>
        <v/>
      </c>
      <c r="DD86" s="252" t="str">
        <f>IF(AND(ModelDescription!$D$23=$E$28, $B86=Proforma!DF$5), 1, IF(DC86="", "", IF(DC86&lt;12, DC86+1, "")))</f>
        <v/>
      </c>
      <c r="DE86" s="252" t="str">
        <f>IF(AND(ModelDescription!$D$23=$E$28, $B86=Proforma!DG$5), 1, IF(DD86="", "", IF(DD86&lt;12, DD86+1, "")))</f>
        <v/>
      </c>
      <c r="DF86" s="252" t="str">
        <f>IF(AND(ModelDescription!$D$23=$E$28, $B86=Proforma!DH$5), 1, IF(DE86="", "", IF(DE86&lt;12, DE86+1, "")))</f>
        <v/>
      </c>
      <c r="DG86" s="252" t="str">
        <f>IF(AND(ModelDescription!$D$23=$E$28, $B86=Proforma!DI$5), 1, IF(DF86="", "", IF(DF86&lt;12, DF86+1, "")))</f>
        <v/>
      </c>
      <c r="DH86" s="252" t="str">
        <f>IF(AND(ModelDescription!$D$23=$E$28, $B86=Proforma!DJ$5), 1, IF(DG86="", "", IF(DG86&lt;12, DG86+1, "")))</f>
        <v/>
      </c>
      <c r="DI86" s="252" t="str">
        <f>IF(AND(ModelDescription!$D$23=$E$28, $B86=Proforma!DK$5), 1, IF(DH86="", "", IF(DH86&lt;12, DH86+1, "")))</f>
        <v/>
      </c>
      <c r="DJ86" s="252" t="str">
        <f>IF(AND(ModelDescription!$D$23=$E$28, $B86=Proforma!DL$5), 1, IF(DI86="", "", IF(DI86&lt;12, DI86+1, "")))</f>
        <v/>
      </c>
      <c r="DK86" s="252" t="str">
        <f>IF(AND(ModelDescription!$D$23=$E$28, $B86=Proforma!DM$5), 1, IF(DJ86="", "", IF(DJ86&lt;12, DJ86+1, "")))</f>
        <v/>
      </c>
      <c r="DL86" s="252" t="str">
        <f>IF(AND(ModelDescription!$D$23=$E$28, $B86=Proforma!DN$5), 1, IF(DK86="", "", IF(DK86&lt;12, DK86+1, "")))</f>
        <v/>
      </c>
      <c r="DM86" s="252" t="str">
        <f>IF(AND(ModelDescription!$D$23=$E$28, $B86=Proforma!DO$5), 1, IF(DL86="", "", IF(DL86&lt;12, DL86+1, "")))</f>
        <v/>
      </c>
      <c r="DN86" s="252" t="str">
        <f>IF(AND(ModelDescription!$D$23=$E$28, $B86=Proforma!DP$5), 1, IF(DM86="", "", IF(DM86&lt;12, DM86+1, "")))</f>
        <v/>
      </c>
      <c r="DO86" s="252" t="str">
        <f>IF(AND(ModelDescription!$D$23=$E$28, $B86=Proforma!DQ$5), 1, IF(DN86="", "", IF(DN86&lt;12, DN86+1, "")))</f>
        <v/>
      </c>
      <c r="DP86" s="252" t="str">
        <f>IF(AND(ModelDescription!$D$23=$E$28, $B86=Proforma!DR$5), 1, IF(DO86="", "", IF(DO86&lt;12, DO86+1, "")))</f>
        <v/>
      </c>
      <c r="DQ86" s="252" t="str">
        <f>IF(AND(ModelDescription!$D$23=$E$28, $B86=Proforma!DS$5), 1, IF(DP86="", "", IF(DP86&lt;12, DP86+1, "")))</f>
        <v/>
      </c>
      <c r="DR86" s="252" t="str">
        <f>IF(AND(ModelDescription!$D$23=$E$28, $B86=Proforma!DT$5), 1, IF(DQ86="", "", IF(DQ86&lt;12, DQ86+1, "")))</f>
        <v/>
      </c>
      <c r="DS86" s="252" t="str">
        <f>IF(AND(ModelDescription!$D$23=$E$28, $B86=Proforma!DU$5), 1, IF(DR86="", "", IF(DR86&lt;12, DR86+1, "")))</f>
        <v/>
      </c>
      <c r="DT86" s="252" t="str">
        <f>IF(AND(ModelDescription!$D$23=$E$28, $B86=Proforma!DV$5), 1, IF(DS86="", "", IF(DS86&lt;12, DS86+1, "")))</f>
        <v/>
      </c>
      <c r="DU86" s="252" t="str">
        <f>IF(AND(ModelDescription!$D$23=$E$28, $B86=Proforma!DW$5), 1, IF(DT86="", "", IF(DT86&lt;12, DT86+1, "")))</f>
        <v/>
      </c>
      <c r="DV86" s="252" t="str">
        <f>IF(AND(ModelDescription!$D$23=$E$28, $B86=Proforma!DX$5), 1, IF(DU86="", "", IF(DU86&lt;12, DU86+1, "")))</f>
        <v/>
      </c>
      <c r="DW86" s="252" t="str">
        <f>IF(AND(ModelDescription!$D$23=$E$28, $B86=Proforma!DY$5), 1, IF(DV86="", "", IF(DV86&lt;12, DV86+1, "")))</f>
        <v/>
      </c>
      <c r="DX86" s="252" t="str">
        <f>IF(AND(ModelDescription!$D$23=$E$28, $B86=Proforma!DZ$5), 1, IF(DW86="", "", IF(DW86&lt;12, DW86+1, "")))</f>
        <v/>
      </c>
      <c r="DY86" s="252" t="str">
        <f>IF(AND(ModelDescription!$D$23=$E$28, $B86=Proforma!EA$5), 1, IF(DX86="", "", IF(DX86&lt;12, DX86+1, "")))</f>
        <v/>
      </c>
      <c r="DZ86" s="252" t="str">
        <f>IF(AND(ModelDescription!$D$23=$E$28, $B86=Proforma!EB$5), 1, IF(DY86="", "", IF(DY86&lt;12, DY86+1, "")))</f>
        <v/>
      </c>
      <c r="EA86" s="252" t="str">
        <f>IF(AND(ModelDescription!$D$23=$E$28, $B86=Proforma!EC$5), 1, IF(DZ86="", "", IF(DZ86&lt;12, DZ86+1, "")))</f>
        <v/>
      </c>
      <c r="EB86" s="252" t="str">
        <f>IF(AND(ModelDescription!$D$23=$E$28, $B86=Proforma!ED$5), 1, IF(EA86="", "", IF(EA86&lt;12, EA86+1, "")))</f>
        <v/>
      </c>
      <c r="EC86" s="252" t="str">
        <f>IF(AND(ModelDescription!$D$23=$E$28, $B86=Proforma!EE$5), 1, IF(EB86="", "", IF(EB86&lt;12, EB86+1, "")))</f>
        <v/>
      </c>
      <c r="ED86" s="252" t="str">
        <f>IF(AND(ModelDescription!$D$23=$E$28, $B86=Proforma!EF$5), 1, IF(EC86="", "", IF(EC86&lt;12, EC86+1, "")))</f>
        <v/>
      </c>
      <c r="EE86" s="252" t="str">
        <f>IF(AND(ModelDescription!$D$23=$E$28, $B86=Proforma!EG$5), 1, IF(ED86="", "", IF(ED86&lt;12, ED86+1, "")))</f>
        <v/>
      </c>
      <c r="EF86" s="252" t="str">
        <f>IF(AND(ModelDescription!$D$23=$E$28, $B86=Proforma!EH$5), 1, IF(EE86="", "", IF(EE86&lt;12, EE86+1, "")))</f>
        <v/>
      </c>
      <c r="EG86" s="252" t="str">
        <f>IF(AND(ModelDescription!$D$23=$E$28, $B86=Proforma!EI$5), 1, IF(EF86="", "", IF(EF86&lt;12, EF86+1, "")))</f>
        <v/>
      </c>
      <c r="EH86" s="252" t="str">
        <f>IF(AND(ModelDescription!$D$23=$E$28, $B86=Proforma!EJ$5), 1, IF(EG86="", "", IF(EG86&lt;12, EG86+1, "")))</f>
        <v/>
      </c>
      <c r="EI86" s="252" t="str">
        <f>IF(AND(ModelDescription!$D$23=$E$28, $B86=Proforma!EK$5), 1, IF(EH86="", "", IF(EH86&lt;12, EH86+1, "")))</f>
        <v/>
      </c>
      <c r="EJ86" s="252" t="str">
        <f>IF(AND(ModelDescription!$D$23=$E$28, $B86=Proforma!EL$5), 1, IF(EI86="", "", IF(EI86&lt;12, EI86+1, "")))</f>
        <v/>
      </c>
      <c r="EK86" s="252" t="str">
        <f>IF(AND(ModelDescription!$D$23=$E$28, $B86=Proforma!EM$5), 1, IF(EJ86="", "", IF(EJ86&lt;12, EJ86+1, "")))</f>
        <v/>
      </c>
      <c r="EL86" s="252" t="str">
        <f>IF(AND(ModelDescription!$D$23=$E$28, $B86=Proforma!EN$5), 1, IF(EK86="", "", IF(EK86&lt;12, EK86+1, "")))</f>
        <v/>
      </c>
      <c r="EM86" s="252" t="str">
        <f>IF(AND(ModelDescription!$D$23=$E$28, $B86=Proforma!EO$5), 1, IF(EL86="", "", IF(EL86&lt;12, EL86+1, "")))</f>
        <v/>
      </c>
      <c r="EN86" s="252" t="str">
        <f>IF(AND(ModelDescription!$D$23=$E$28, $B86=Proforma!EP$5), 1, IF(EM86="", "", IF(EM86&lt;12, EM86+1, "")))</f>
        <v/>
      </c>
      <c r="EO86" s="252" t="str">
        <f>IF(AND(ModelDescription!$D$23=$E$28, $B86=Proforma!EQ$5), 1, IF(EN86="", "", IF(EN86&lt;12, EN86+1, "")))</f>
        <v/>
      </c>
      <c r="EP86" s="252" t="str">
        <f>IF(AND(ModelDescription!$D$23=$E$28, $B86=Proforma!ER$5), 1, IF(EO86="", "", IF(EO86&lt;12, EO86+1, "")))</f>
        <v/>
      </c>
      <c r="EQ86" s="252" t="str">
        <f>IF(AND(ModelDescription!$D$23=$E$28, $B86=Proforma!ES$5), 1, IF(EP86="", "", IF(EP86&lt;12, EP86+1, "")))</f>
        <v/>
      </c>
      <c r="ER86" s="252" t="str">
        <f>IF(AND(ModelDescription!$D$23=$E$28, $B86=Proforma!ET$5), 1, IF(EQ86="", "", IF(EQ86&lt;12, EQ86+1, "")))</f>
        <v/>
      </c>
      <c r="ES86" s="252" t="str">
        <f>IF(AND(ModelDescription!$D$23=$E$28, $B86=Proforma!EU$5), 1, IF(ER86="", "", IF(ER86&lt;12, ER86+1, "")))</f>
        <v/>
      </c>
      <c r="ET86" s="252" t="str">
        <f>IF(AND(ModelDescription!$D$23=$E$28, $B86=Proforma!EV$5), 1, IF(ES86="", "", IF(ES86&lt;12, ES86+1, "")))</f>
        <v/>
      </c>
      <c r="EU86" s="252" t="str">
        <f>IF(AND(ModelDescription!$D$23=$E$28, $B86=Proforma!EW$5), 1, IF(ET86="", "", IF(ET86&lt;12, ET86+1, "")))</f>
        <v/>
      </c>
      <c r="EV86" s="252" t="str">
        <f>IF(AND(ModelDescription!$D$23=$E$28, $B86=Proforma!EX$5), 1, IF(EU86="", "", IF(EU86&lt;12, EU86+1, "")))</f>
        <v/>
      </c>
      <c r="EW86" s="252" t="str">
        <f>IF(AND(ModelDescription!$D$23=$E$28, $B86=Proforma!EY$5), 1, IF(EV86="", "", IF(EV86&lt;12, EV86+1, "")))</f>
        <v/>
      </c>
      <c r="EX86" s="252" t="str">
        <f>IF(AND(ModelDescription!$D$23=$E$28, $B86=Proforma!EZ$5), 1, IF(EW86="", "", IF(EW86&lt;12, EW86+1, "")))</f>
        <v/>
      </c>
      <c r="EY86" s="252" t="str">
        <f>IF(AND(ModelDescription!$D$23=$E$28, $B86=Proforma!FA$5), 1, IF(EX86="", "", IF(EX86&lt;12, EX86+1, "")))</f>
        <v/>
      </c>
      <c r="EZ86" s="252" t="str">
        <f>IF(AND(ModelDescription!$D$23=$E$28, $B86=Proforma!FB$5), 1, IF(EY86="", "", IF(EY86&lt;12, EY86+1, "")))</f>
        <v/>
      </c>
      <c r="FA86" s="252" t="str">
        <f>IF(AND(ModelDescription!$D$23=$E$28, $B86=Proforma!FC$5), 1, IF(EZ86="", "", IF(EZ86&lt;12, EZ86+1, "")))</f>
        <v/>
      </c>
      <c r="FB86" s="252" t="str">
        <f>IF(AND(ModelDescription!$D$23=$E$28, $B86=Proforma!FD$5), 1, IF(FA86="", "", IF(FA86&lt;12, FA86+1, "")))</f>
        <v/>
      </c>
      <c r="FC86" s="252" t="str">
        <f>IF(AND(ModelDescription!$D$23=$E$28, $B86=Proforma!FE$5), 1, IF(FB86="", "", IF(FB86&lt;12, FB86+1, "")))</f>
        <v/>
      </c>
      <c r="FD86" s="252" t="str">
        <f>IF(AND(ModelDescription!$D$23=$E$28, $B86=Proforma!FF$5), 1, IF(FC86="", "", IF(FC86&lt;12, FC86+1, "")))</f>
        <v/>
      </c>
      <c r="FE86" s="252" t="str">
        <f>IF(AND(ModelDescription!$D$23=$E$28, $B86=Proforma!FG$5), 1, IF(FD86="", "", IF(FD86&lt;12, FD86+1, "")))</f>
        <v/>
      </c>
      <c r="FF86" s="252" t="str">
        <f>IF(AND(ModelDescription!$D$23=$E$28, $B86=Proforma!FH$5), 1, IF(FE86="", "", IF(FE86&lt;12, FE86+1, "")))</f>
        <v/>
      </c>
      <c r="FG86" s="252" t="str">
        <f>IF(AND(ModelDescription!$D$23=$E$28, $B86=Proforma!FI$5), 1, IF(FF86="", "", IF(FF86&lt;12, FF86+1, "")))</f>
        <v/>
      </c>
      <c r="FH86" s="252" t="str">
        <f>IF(AND(ModelDescription!$D$23=$E$28, $B86=Proforma!FJ$5), 1, IF(FG86="", "", IF(FG86&lt;12, FG86+1, "")))</f>
        <v/>
      </c>
      <c r="FI86" s="252" t="str">
        <f>IF(AND(ModelDescription!$D$23=$E$28, $B86=Proforma!FK$5), 1, IF(FH86="", "", IF(FH86&lt;12, FH86+1, "")))</f>
        <v/>
      </c>
      <c r="FJ86" s="252" t="str">
        <f>IF(AND(ModelDescription!$D$23=$E$28, $B86=Proforma!FL$5), 1, IF(FI86="", "", IF(FI86&lt;12, FI86+1, "")))</f>
        <v/>
      </c>
      <c r="FK86" s="252" t="str">
        <f>IF(AND(ModelDescription!$D$23=$E$28, $B86=Proforma!FM$5), 1, IF(FJ86="", "", IF(FJ86&lt;12, FJ86+1, "")))</f>
        <v/>
      </c>
      <c r="FL86" s="252" t="str">
        <f>IF(AND(ModelDescription!$D$23=$E$28, $B86=Proforma!FN$5), 1, IF(FK86="", "", IF(FK86&lt;12, FK86+1, "")))</f>
        <v/>
      </c>
      <c r="FM86" s="252" t="str">
        <f>IF(AND(ModelDescription!$D$23=$E$28, $B86=Proforma!FO$5), 1, IF(FL86="", "", IF(FL86&lt;12, FL86+1, "")))</f>
        <v/>
      </c>
      <c r="FN86" s="252" t="str">
        <f>IF(AND(ModelDescription!$D$23=$E$28, $B86=Proforma!FP$5), 1, IF(FM86="", "", IF(FM86&lt;12, FM86+1, "")))</f>
        <v/>
      </c>
      <c r="FO86" s="252" t="str">
        <f>IF(AND(ModelDescription!$D$23=$E$28, $B86=Proforma!FQ$5), 1, IF(FN86="", "", IF(FN86&lt;12, FN86+1, "")))</f>
        <v/>
      </c>
      <c r="FP86" s="252" t="str">
        <f>IF(AND(ModelDescription!$D$23=$E$28, $B86=Proforma!FR$5), 1, IF(FO86="", "", IF(FO86&lt;12, FO86+1, "")))</f>
        <v/>
      </c>
      <c r="FQ86" s="252" t="str">
        <f>IF(AND(ModelDescription!$D$23=$E$28, $B86=Proforma!FS$5), 1, IF(FP86="", "", IF(FP86&lt;12, FP86+1, "")))</f>
        <v/>
      </c>
      <c r="FR86" s="252" t="str">
        <f>IF(AND(ModelDescription!$D$23=$E$28, $B86=Proforma!FT$5), 1, IF(FQ86="", "", IF(FQ86&lt;12, FQ86+1, "")))</f>
        <v/>
      </c>
      <c r="FS86" s="252" t="str">
        <f>IF(AND(ModelDescription!$D$23=$E$28, $B86=Proforma!FU$5), 1, IF(FR86="", "", IF(FR86&lt;12, FR86+1, "")))</f>
        <v/>
      </c>
      <c r="FT86" s="252" t="str">
        <f>IF(AND(ModelDescription!$D$23=$E$28, $B86=Proforma!FV$5), 1, IF(FS86="", "", IF(FS86&lt;12, FS86+1, "")))</f>
        <v/>
      </c>
      <c r="FU86" s="252" t="str">
        <f>IF(AND(ModelDescription!$D$23=$E$28, $B86=Proforma!FW$5), 1, IF(FT86="", "", IF(FT86&lt;12, FT86+1, "")))</f>
        <v/>
      </c>
      <c r="FV86" s="252" t="str">
        <f>IF(AND(ModelDescription!$D$23=$E$28, $B86=Proforma!FX$5), 1, IF(FU86="", "", IF(FU86&lt;12, FU86+1, "")))</f>
        <v/>
      </c>
      <c r="FW86" s="252" t="str">
        <f>IF(AND(ModelDescription!$D$23=$E$28, $B86=Proforma!FY$5), 1, IF(FV86="", "", IF(FV86&lt;12, FV86+1, "")))</f>
        <v/>
      </c>
      <c r="FX86" s="252" t="str">
        <f>IF(AND(ModelDescription!$D$23=$E$28, $B86=Proforma!FZ$5), 1, IF(FW86="", "", IF(FW86&lt;12, FW86+1, "")))</f>
        <v/>
      </c>
      <c r="FY86" s="252" t="str">
        <f>IF(AND(ModelDescription!$D$23=$E$28, $B86=Proforma!GA$5), 1, IF(FX86="", "", IF(FX86&lt;12, FX86+1, "")))</f>
        <v/>
      </c>
      <c r="FZ86" s="252" t="str">
        <f>IF(AND(ModelDescription!$D$23=$E$28, $B86=Proforma!GB$5), 1, IF(FY86="", "", IF(FY86&lt;12, FY86+1, "")))</f>
        <v/>
      </c>
      <c r="GA86" s="252" t="str">
        <f>IF(AND(ModelDescription!$D$23=$E$28, $B86=Proforma!GC$5), 1, IF(FZ86="", "", IF(FZ86&lt;12, FZ86+1, "")))</f>
        <v/>
      </c>
    </row>
    <row r="87" spans="1:183">
      <c r="A87" s="250">
        <v>7</v>
      </c>
      <c r="B87" s="204"/>
      <c r="C87" s="9"/>
      <c r="D87" s="252" t="str">
        <f>IF(AND(ModelDescription!$D$23=$E$28, $B87=Proforma!F$5), 1, IF(C87="", "", IF(C87&lt;12, C87+1, "")))</f>
        <v/>
      </c>
      <c r="E87" s="252" t="str">
        <f>IF(AND(ModelDescription!$D$23=$E$28, $B87=Proforma!G$5), 1, IF(D87="", "", IF(D87&lt;12, D87+1, "")))</f>
        <v/>
      </c>
      <c r="F87" s="252" t="str">
        <f>IF(AND(ModelDescription!$D$23=$E$28, $B87=Proforma!H$5), 1, IF(E87="", "", IF(E87&lt;12, E87+1, "")))</f>
        <v/>
      </c>
      <c r="G87" s="252" t="str">
        <f>IF(AND(ModelDescription!$D$23=$E$28, $B87=Proforma!I$5), 1, IF(F87="", "", IF(F87&lt;12, F87+1, "")))</f>
        <v/>
      </c>
      <c r="H87" s="252" t="str">
        <f>IF(AND(ModelDescription!$D$23=$E$28, $B87=Proforma!J$5), 1, IF(G87="", "", IF(G87&lt;12, G87+1, "")))</f>
        <v/>
      </c>
      <c r="I87" s="252" t="str">
        <f>IF(AND(ModelDescription!$D$23=$E$28, $B87=Proforma!K$5), 1, IF(H87="", "", IF(H87&lt;12, H87+1, "")))</f>
        <v/>
      </c>
      <c r="J87" s="252" t="str">
        <f>IF(AND(ModelDescription!$D$23=$E$28, $B87=Proforma!L$5), 1, IF(I87="", "", IF(I87&lt;12, I87+1, "")))</f>
        <v/>
      </c>
      <c r="K87" s="252" t="str">
        <f>IF(AND(ModelDescription!$D$23=$E$28, $B87=Proforma!M$5), 1, IF(J87="", "", IF(J87&lt;12, J87+1, "")))</f>
        <v/>
      </c>
      <c r="L87" s="252" t="str">
        <f>IF(AND(ModelDescription!$D$23=$E$28, $B87=Proforma!N$5), 1, IF(K87="", "", IF(K87&lt;12, K87+1, "")))</f>
        <v/>
      </c>
      <c r="M87" s="252" t="str">
        <f>IF(AND(ModelDescription!$D$23=$E$28, $B87=Proforma!O$5), 1, IF(L87="", "", IF(L87&lt;12, L87+1, "")))</f>
        <v/>
      </c>
      <c r="N87" s="252" t="str">
        <f>IF(AND(ModelDescription!$D$23=$E$28, $B87=Proforma!P$5), 1, IF(M87="", "", IF(M87&lt;12, M87+1, "")))</f>
        <v/>
      </c>
      <c r="O87" s="252" t="str">
        <f>IF(AND(ModelDescription!$D$23=$E$28, $B87=Proforma!Q$5), 1, IF(N87="", "", IF(N87&lt;12, N87+1, "")))</f>
        <v/>
      </c>
      <c r="P87" s="252" t="str">
        <f>IF(AND(ModelDescription!$D$23=$E$28, $B87=Proforma!R$5), 1, IF(O87="", "", IF(O87&lt;12, O87+1, "")))</f>
        <v/>
      </c>
      <c r="Q87" s="252" t="str">
        <f>IF(AND(ModelDescription!$D$23=$E$28, $B87=Proforma!S$5), 1, IF(P87="", "", IF(P87&lt;12, P87+1, "")))</f>
        <v/>
      </c>
      <c r="R87" s="252" t="str">
        <f>IF(AND(ModelDescription!$D$23=$E$28, $B87=Proforma!T$5), 1, IF(Q87="", "", IF(Q87&lt;12, Q87+1, "")))</f>
        <v/>
      </c>
      <c r="S87" s="252" t="str">
        <f>IF(AND(ModelDescription!$D$23=$E$28, $B87=Proforma!U$5), 1, IF(R87="", "", IF(R87&lt;12, R87+1, "")))</f>
        <v/>
      </c>
      <c r="T87" s="252" t="str">
        <f>IF(AND(ModelDescription!$D$23=$E$28, $B87=Proforma!V$5), 1, IF(S87="", "", IF(S87&lt;12, S87+1, "")))</f>
        <v/>
      </c>
      <c r="U87" s="252" t="str">
        <f>IF(AND(ModelDescription!$D$23=$E$28, $B87=Proforma!W$5), 1, IF(T87="", "", IF(T87&lt;12, T87+1, "")))</f>
        <v/>
      </c>
      <c r="V87" s="252" t="str">
        <f>IF(AND(ModelDescription!$D$23=$E$28, $B87=Proforma!X$5), 1, IF(U87="", "", IF(U87&lt;12, U87+1, "")))</f>
        <v/>
      </c>
      <c r="W87" s="252" t="str">
        <f>IF(AND(ModelDescription!$D$23=$E$28, $B87=Proforma!Y$5), 1, IF(V87="", "", IF(V87&lt;12, V87+1, "")))</f>
        <v/>
      </c>
      <c r="X87" s="252" t="str">
        <f>IF(AND(ModelDescription!$D$23=$E$28, $B87=Proforma!Z$5), 1, IF(W87="", "", IF(W87&lt;12, W87+1, "")))</f>
        <v/>
      </c>
      <c r="Y87" s="252" t="str">
        <f>IF(AND(ModelDescription!$D$23=$E$28, $B87=Proforma!AA$5), 1, IF(X87="", "", IF(X87&lt;12, X87+1, "")))</f>
        <v/>
      </c>
      <c r="Z87" s="252" t="str">
        <f>IF(AND(ModelDescription!$D$23=$E$28, $B87=Proforma!AB$5), 1, IF(Y87="", "", IF(Y87&lt;12, Y87+1, "")))</f>
        <v/>
      </c>
      <c r="AA87" s="252" t="str">
        <f>IF(AND(ModelDescription!$D$23=$E$28, $B87=Proforma!AC$5), 1, IF(Z87="", "", IF(Z87&lt;12, Z87+1, "")))</f>
        <v/>
      </c>
      <c r="AB87" s="252" t="str">
        <f>IF(AND(ModelDescription!$D$23=$E$28, $B87=Proforma!AD$5), 1, IF(AA87="", "", IF(AA87&lt;12, AA87+1, "")))</f>
        <v/>
      </c>
      <c r="AC87" s="252" t="str">
        <f>IF(AND(ModelDescription!$D$23=$E$28, $B87=Proforma!AE$5), 1, IF(AB87="", "", IF(AB87&lt;12, AB87+1, "")))</f>
        <v/>
      </c>
      <c r="AD87" s="252" t="str">
        <f>IF(AND(ModelDescription!$D$23=$E$28, $B87=Proforma!AF$5), 1, IF(AC87="", "", IF(AC87&lt;12, AC87+1, "")))</f>
        <v/>
      </c>
      <c r="AE87" s="252" t="str">
        <f>IF(AND(ModelDescription!$D$23=$E$28, $B87=Proforma!AG$5), 1, IF(AD87="", "", IF(AD87&lt;12, AD87+1, "")))</f>
        <v/>
      </c>
      <c r="AF87" s="252" t="str">
        <f>IF(AND(ModelDescription!$D$23=$E$28, $B87=Proforma!AH$5), 1, IF(AE87="", "", IF(AE87&lt;12, AE87+1, "")))</f>
        <v/>
      </c>
      <c r="AG87" s="252" t="str">
        <f>IF(AND(ModelDescription!$D$23=$E$28, $B87=Proforma!AI$5), 1, IF(AF87="", "", IF(AF87&lt;12, AF87+1, "")))</f>
        <v/>
      </c>
      <c r="AH87" s="252" t="str">
        <f>IF(AND(ModelDescription!$D$23=$E$28, $B87=Proforma!AJ$5), 1, IF(AG87="", "", IF(AG87&lt;12, AG87+1, "")))</f>
        <v/>
      </c>
      <c r="AI87" s="252" t="str">
        <f>IF(AND(ModelDescription!$D$23=$E$28, $B87=Proforma!AK$5), 1, IF(AH87="", "", IF(AH87&lt;12, AH87+1, "")))</f>
        <v/>
      </c>
      <c r="AJ87" s="252" t="str">
        <f>IF(AND(ModelDescription!$D$23=$E$28, $B87=Proforma!AL$5), 1, IF(AI87="", "", IF(AI87&lt;12, AI87+1, "")))</f>
        <v/>
      </c>
      <c r="AK87" s="252" t="str">
        <f>IF(AND(ModelDescription!$D$23=$E$28, $B87=Proforma!AM$5), 1, IF(AJ87="", "", IF(AJ87&lt;12, AJ87+1, "")))</f>
        <v/>
      </c>
      <c r="AL87" s="252" t="str">
        <f>IF(AND(ModelDescription!$D$23=$E$28, $B87=Proforma!AN$5), 1, IF(AK87="", "", IF(AK87&lt;12, AK87+1, "")))</f>
        <v/>
      </c>
      <c r="AM87" s="252" t="str">
        <f>IF(AND(ModelDescription!$D$23=$E$28, $B87=Proforma!AO$5), 1, IF(AL87="", "", IF(AL87&lt;12, AL87+1, "")))</f>
        <v/>
      </c>
      <c r="AN87" s="252" t="str">
        <f>IF(AND(ModelDescription!$D$23=$E$28, $B87=Proforma!AP$5), 1, IF(AM87="", "", IF(AM87&lt;12, AM87+1, "")))</f>
        <v/>
      </c>
      <c r="AO87" s="252" t="str">
        <f>IF(AND(ModelDescription!$D$23=$E$28, $B87=Proforma!AQ$5), 1, IF(AN87="", "", IF(AN87&lt;12, AN87+1, "")))</f>
        <v/>
      </c>
      <c r="AP87" s="252" t="str">
        <f>IF(AND(ModelDescription!$D$23=$E$28, $B87=Proforma!AR$5), 1, IF(AO87="", "", IF(AO87&lt;12, AO87+1, "")))</f>
        <v/>
      </c>
      <c r="AQ87" s="252" t="str">
        <f>IF(AND(ModelDescription!$D$23=$E$28, $B87=Proforma!AS$5), 1, IF(AP87="", "", IF(AP87&lt;12, AP87+1, "")))</f>
        <v/>
      </c>
      <c r="AR87" s="252" t="str">
        <f>IF(AND(ModelDescription!$D$23=$E$28, $B87=Proforma!AT$5), 1, IF(AQ87="", "", IF(AQ87&lt;12, AQ87+1, "")))</f>
        <v/>
      </c>
      <c r="AS87" s="252" t="str">
        <f>IF(AND(ModelDescription!$D$23=$E$28, $B87=Proforma!AU$5), 1, IF(AR87="", "", IF(AR87&lt;12, AR87+1, "")))</f>
        <v/>
      </c>
      <c r="AT87" s="252" t="str">
        <f>IF(AND(ModelDescription!$D$23=$E$28, $B87=Proforma!AV$5), 1, IF(AS87="", "", IF(AS87&lt;12, AS87+1, "")))</f>
        <v/>
      </c>
      <c r="AU87" s="252" t="str">
        <f>IF(AND(ModelDescription!$D$23=$E$28, $B87=Proforma!AW$5), 1, IF(AT87="", "", IF(AT87&lt;12, AT87+1, "")))</f>
        <v/>
      </c>
      <c r="AV87" s="252" t="str">
        <f>IF(AND(ModelDescription!$D$23=$E$28, $B87=Proforma!AX$5), 1, IF(AU87="", "", IF(AU87&lt;12, AU87+1, "")))</f>
        <v/>
      </c>
      <c r="AW87" s="252" t="str">
        <f>IF(AND(ModelDescription!$D$23=$E$28, $B87=Proforma!AY$5), 1, IF(AV87="", "", IF(AV87&lt;12, AV87+1, "")))</f>
        <v/>
      </c>
      <c r="AX87" s="252" t="str">
        <f>IF(AND(ModelDescription!$D$23=$E$28, $B87=Proforma!AZ$5), 1, IF(AW87="", "", IF(AW87&lt;12, AW87+1, "")))</f>
        <v/>
      </c>
      <c r="AY87" s="252" t="str">
        <f>IF(AND(ModelDescription!$D$23=$E$28, $B87=Proforma!BA$5), 1, IF(AX87="", "", IF(AX87&lt;12, AX87+1, "")))</f>
        <v/>
      </c>
      <c r="AZ87" s="252" t="str">
        <f>IF(AND(ModelDescription!$D$23=$E$28, $B87=Proforma!BB$5), 1, IF(AY87="", "", IF(AY87&lt;12, AY87+1, "")))</f>
        <v/>
      </c>
      <c r="BA87" s="252" t="str">
        <f>IF(AND(ModelDescription!$D$23=$E$28, $B87=Proforma!BC$5), 1, IF(AZ87="", "", IF(AZ87&lt;12, AZ87+1, "")))</f>
        <v/>
      </c>
      <c r="BB87" s="252" t="str">
        <f>IF(AND(ModelDescription!$D$23=$E$28, $B87=Proforma!BD$5), 1, IF(BA87="", "", IF(BA87&lt;12, BA87+1, "")))</f>
        <v/>
      </c>
      <c r="BC87" s="252" t="str">
        <f>IF(AND(ModelDescription!$D$23=$E$28, $B87=Proforma!BE$5), 1, IF(BB87="", "", IF(BB87&lt;12, BB87+1, "")))</f>
        <v/>
      </c>
      <c r="BD87" s="252" t="str">
        <f>IF(AND(ModelDescription!$D$23=$E$28, $B87=Proforma!BF$5), 1, IF(BC87="", "", IF(BC87&lt;12, BC87+1, "")))</f>
        <v/>
      </c>
      <c r="BE87" s="252" t="str">
        <f>IF(AND(ModelDescription!$D$23=$E$28, $B87=Proforma!BG$5), 1, IF(BD87="", "", IF(BD87&lt;12, BD87+1, "")))</f>
        <v/>
      </c>
      <c r="BF87" s="252" t="str">
        <f>IF(AND(ModelDescription!$D$23=$E$28, $B87=Proforma!BH$5), 1, IF(BE87="", "", IF(BE87&lt;12, BE87+1, "")))</f>
        <v/>
      </c>
      <c r="BG87" s="252" t="str">
        <f>IF(AND(ModelDescription!$D$23=$E$28, $B87=Proforma!BI$5), 1, IF(BF87="", "", IF(BF87&lt;12, BF87+1, "")))</f>
        <v/>
      </c>
      <c r="BH87" s="252" t="str">
        <f>IF(AND(ModelDescription!$D$23=$E$28, $B87=Proforma!BJ$5), 1, IF(BG87="", "", IF(BG87&lt;12, BG87+1, "")))</f>
        <v/>
      </c>
      <c r="BI87" s="252" t="str">
        <f>IF(AND(ModelDescription!$D$23=$E$28, $B87=Proforma!BK$5), 1, IF(BH87="", "", IF(BH87&lt;12, BH87+1, "")))</f>
        <v/>
      </c>
      <c r="BJ87" s="252" t="str">
        <f>IF(AND(ModelDescription!$D$23=$E$28, $B87=Proforma!BL$5), 1, IF(BI87="", "", IF(BI87&lt;12, BI87+1, "")))</f>
        <v/>
      </c>
      <c r="BK87" s="252" t="str">
        <f>IF(AND(ModelDescription!$D$23=$E$28, $B87=Proforma!BM$5), 1, IF(BJ87="", "", IF(BJ87&lt;12, BJ87+1, "")))</f>
        <v/>
      </c>
      <c r="BL87" s="252" t="str">
        <f>IF(AND(ModelDescription!$D$23=$E$28, $B87=Proforma!BN$5), 1, IF(BK87="", "", IF(BK87&lt;12, BK87+1, "")))</f>
        <v/>
      </c>
      <c r="BM87" s="252" t="str">
        <f>IF(AND(ModelDescription!$D$23=$E$28, $B87=Proforma!BO$5), 1, IF(BL87="", "", IF(BL87&lt;12, BL87+1, "")))</f>
        <v/>
      </c>
      <c r="BN87" s="252" t="str">
        <f>IF(AND(ModelDescription!$D$23=$E$28, $B87=Proforma!BP$5), 1, IF(BM87="", "", IF(BM87&lt;12, BM87+1, "")))</f>
        <v/>
      </c>
      <c r="BO87" s="252" t="str">
        <f>IF(AND(ModelDescription!$D$23=$E$28, $B87=Proforma!BQ$5), 1, IF(BN87="", "", IF(BN87&lt;12, BN87+1, "")))</f>
        <v/>
      </c>
      <c r="BP87" s="252" t="str">
        <f>IF(AND(ModelDescription!$D$23=$E$28, $B87=Proforma!BR$5), 1, IF(BO87="", "", IF(BO87&lt;12, BO87+1, "")))</f>
        <v/>
      </c>
      <c r="BQ87" s="252" t="str">
        <f>IF(AND(ModelDescription!$D$23=$E$28, $B87=Proforma!BS$5), 1, IF(BP87="", "", IF(BP87&lt;12, BP87+1, "")))</f>
        <v/>
      </c>
      <c r="BR87" s="252" t="str">
        <f>IF(AND(ModelDescription!$D$23=$E$28, $B87=Proforma!BT$5), 1, IF(BQ87="", "", IF(BQ87&lt;12, BQ87+1, "")))</f>
        <v/>
      </c>
      <c r="BS87" s="252" t="str">
        <f>IF(AND(ModelDescription!$D$23=$E$28, $B87=Proforma!BU$5), 1, IF(BR87="", "", IF(BR87&lt;12, BR87+1, "")))</f>
        <v/>
      </c>
      <c r="BT87" s="252" t="str">
        <f>IF(AND(ModelDescription!$D$23=$E$28, $B87=Proforma!BV$5), 1, IF(BS87="", "", IF(BS87&lt;12, BS87+1, "")))</f>
        <v/>
      </c>
      <c r="BU87" s="252" t="str">
        <f>IF(AND(ModelDescription!$D$23=$E$28, $B87=Proforma!BW$5), 1, IF(BT87="", "", IF(BT87&lt;12, BT87+1, "")))</f>
        <v/>
      </c>
      <c r="BV87" s="252" t="str">
        <f>IF(AND(ModelDescription!$D$23=$E$28, $B87=Proforma!BX$5), 1, IF(BU87="", "", IF(BU87&lt;12, BU87+1, "")))</f>
        <v/>
      </c>
      <c r="BW87" s="252" t="str">
        <f>IF(AND(ModelDescription!$D$23=$E$28, $B87=Proforma!BY$5), 1, IF(BV87="", "", IF(BV87&lt;12, BV87+1, "")))</f>
        <v/>
      </c>
      <c r="BX87" s="252" t="str">
        <f>IF(AND(ModelDescription!$D$23=$E$28, $B87=Proforma!BZ$5), 1, IF(BW87="", "", IF(BW87&lt;12, BW87+1, "")))</f>
        <v/>
      </c>
      <c r="BY87" s="252" t="str">
        <f>IF(AND(ModelDescription!$D$23=$E$28, $B87=Proforma!CA$5), 1, IF(BX87="", "", IF(BX87&lt;12, BX87+1, "")))</f>
        <v/>
      </c>
      <c r="BZ87" s="252" t="str">
        <f>IF(AND(ModelDescription!$D$23=$E$28, $B87=Proforma!CB$5), 1, IF(BY87="", "", IF(BY87&lt;12, BY87+1, "")))</f>
        <v/>
      </c>
      <c r="CA87" s="252" t="str">
        <f>IF(AND(ModelDescription!$D$23=$E$28, $B87=Proforma!CC$5), 1, IF(BZ87="", "", IF(BZ87&lt;12, BZ87+1, "")))</f>
        <v/>
      </c>
      <c r="CB87" s="252" t="str">
        <f>IF(AND(ModelDescription!$D$23=$E$28, $B87=Proforma!CD$5), 1, IF(CA87="", "", IF(CA87&lt;12, CA87+1, "")))</f>
        <v/>
      </c>
      <c r="CC87" s="252" t="str">
        <f>IF(AND(ModelDescription!$D$23=$E$28, $B87=Proforma!CE$5), 1, IF(CB87="", "", IF(CB87&lt;12, CB87+1, "")))</f>
        <v/>
      </c>
      <c r="CD87" s="252" t="str">
        <f>IF(AND(ModelDescription!$D$23=$E$28, $B87=Proforma!CF$5), 1, IF(CC87="", "", IF(CC87&lt;12, CC87+1, "")))</f>
        <v/>
      </c>
      <c r="CE87" s="252" t="str">
        <f>IF(AND(ModelDescription!$D$23=$E$28, $B87=Proforma!CG$5), 1, IF(CD87="", "", IF(CD87&lt;12, CD87+1, "")))</f>
        <v/>
      </c>
      <c r="CF87" s="252" t="str">
        <f>IF(AND(ModelDescription!$D$23=$E$28, $B87=Proforma!CH$5), 1, IF(CE87="", "", IF(CE87&lt;12, CE87+1, "")))</f>
        <v/>
      </c>
      <c r="CG87" s="252" t="str">
        <f>IF(AND(ModelDescription!$D$23=$E$28, $B87=Proforma!CI$5), 1, IF(CF87="", "", IF(CF87&lt;12, CF87+1, "")))</f>
        <v/>
      </c>
      <c r="CH87" s="252" t="str">
        <f>IF(AND(ModelDescription!$D$23=$E$28, $B87=Proforma!CJ$5), 1, IF(CG87="", "", IF(CG87&lt;12, CG87+1, "")))</f>
        <v/>
      </c>
      <c r="CI87" s="252" t="str">
        <f>IF(AND(ModelDescription!$D$23=$E$28, $B87=Proforma!CK$5), 1, IF(CH87="", "", IF(CH87&lt;12, CH87+1, "")))</f>
        <v/>
      </c>
      <c r="CJ87" s="252" t="str">
        <f>IF(AND(ModelDescription!$D$23=$E$28, $B87=Proforma!CL$5), 1, IF(CI87="", "", IF(CI87&lt;12, CI87+1, "")))</f>
        <v/>
      </c>
      <c r="CK87" s="252" t="str">
        <f>IF(AND(ModelDescription!$D$23=$E$28, $B87=Proforma!CM$5), 1, IF(CJ87="", "", IF(CJ87&lt;12, CJ87+1, "")))</f>
        <v/>
      </c>
      <c r="CL87" s="252" t="str">
        <f>IF(AND(ModelDescription!$D$23=$E$28, $B87=Proforma!CN$5), 1, IF(CK87="", "", IF(CK87&lt;12, CK87+1, "")))</f>
        <v/>
      </c>
      <c r="CM87" s="252" t="str">
        <f>IF(AND(ModelDescription!$D$23=$E$28, $B87=Proforma!CO$5), 1, IF(CL87="", "", IF(CL87&lt;12, CL87+1, "")))</f>
        <v/>
      </c>
      <c r="CN87" s="252" t="str">
        <f>IF(AND(ModelDescription!$D$23=$E$28, $B87=Proforma!CP$5), 1, IF(CM87="", "", IF(CM87&lt;12, CM87+1, "")))</f>
        <v/>
      </c>
      <c r="CO87" s="252" t="str">
        <f>IF(AND(ModelDescription!$D$23=$E$28, $B87=Proforma!CQ$5), 1, IF(CN87="", "", IF(CN87&lt;12, CN87+1, "")))</f>
        <v/>
      </c>
      <c r="CP87" s="252" t="str">
        <f>IF(AND(ModelDescription!$D$23=$E$28, $B87=Proforma!CR$5), 1, IF(CO87="", "", IF(CO87&lt;12, CO87+1, "")))</f>
        <v/>
      </c>
      <c r="CQ87" s="252" t="str">
        <f>IF(AND(ModelDescription!$D$23=$E$28, $B87=Proforma!CS$5), 1, IF(CP87="", "", IF(CP87&lt;12, CP87+1, "")))</f>
        <v/>
      </c>
      <c r="CR87" s="252" t="str">
        <f>IF(AND(ModelDescription!$D$23=$E$28, $B87=Proforma!CT$5), 1, IF(CQ87="", "", IF(CQ87&lt;12, CQ87+1, "")))</f>
        <v/>
      </c>
      <c r="CS87" s="252" t="str">
        <f>IF(AND(ModelDescription!$D$23=$E$28, $B87=Proforma!CU$5), 1, IF(CR87="", "", IF(CR87&lt;12, CR87+1, "")))</f>
        <v/>
      </c>
      <c r="CT87" s="252" t="str">
        <f>IF(AND(ModelDescription!$D$23=$E$28, $B87=Proforma!CV$5), 1, IF(CS87="", "", IF(CS87&lt;12, CS87+1, "")))</f>
        <v/>
      </c>
      <c r="CU87" s="252" t="str">
        <f>IF(AND(ModelDescription!$D$23=$E$28, $B87=Proforma!CW$5), 1, IF(CT87="", "", IF(CT87&lt;12, CT87+1, "")))</f>
        <v/>
      </c>
      <c r="CV87" s="252" t="str">
        <f>IF(AND(ModelDescription!$D$23=$E$28, $B87=Proforma!CX$5), 1, IF(CU87="", "", IF(CU87&lt;12, CU87+1, "")))</f>
        <v/>
      </c>
      <c r="CW87" s="252" t="str">
        <f>IF(AND(ModelDescription!$D$23=$E$28, $B87=Proforma!CY$5), 1, IF(CV87="", "", IF(CV87&lt;12, CV87+1, "")))</f>
        <v/>
      </c>
      <c r="CX87" s="252" t="str">
        <f>IF(AND(ModelDescription!$D$23=$E$28, $B87=Proforma!CZ$5), 1, IF(CW87="", "", IF(CW87&lt;12, CW87+1, "")))</f>
        <v/>
      </c>
      <c r="CY87" s="252" t="str">
        <f>IF(AND(ModelDescription!$D$23=$E$28, $B87=Proforma!DA$5), 1, IF(CX87="", "", IF(CX87&lt;12, CX87+1, "")))</f>
        <v/>
      </c>
      <c r="CZ87" s="252" t="str">
        <f>IF(AND(ModelDescription!$D$23=$E$28, $B87=Proforma!DB$5), 1, IF(CY87="", "", IF(CY87&lt;12, CY87+1, "")))</f>
        <v/>
      </c>
      <c r="DA87" s="252" t="str">
        <f>IF(AND(ModelDescription!$D$23=$E$28, $B87=Proforma!DC$5), 1, IF(CZ87="", "", IF(CZ87&lt;12, CZ87+1, "")))</f>
        <v/>
      </c>
      <c r="DB87" s="252" t="str">
        <f>IF(AND(ModelDescription!$D$23=$E$28, $B87=Proforma!DD$5), 1, IF(DA87="", "", IF(DA87&lt;12, DA87+1, "")))</f>
        <v/>
      </c>
      <c r="DC87" s="252" t="str">
        <f>IF(AND(ModelDescription!$D$23=$E$28, $B87=Proforma!DE$5), 1, IF(DB87="", "", IF(DB87&lt;12, DB87+1, "")))</f>
        <v/>
      </c>
      <c r="DD87" s="252" t="str">
        <f>IF(AND(ModelDescription!$D$23=$E$28, $B87=Proforma!DF$5), 1, IF(DC87="", "", IF(DC87&lt;12, DC87+1, "")))</f>
        <v/>
      </c>
      <c r="DE87" s="252" t="str">
        <f>IF(AND(ModelDescription!$D$23=$E$28, $B87=Proforma!DG$5), 1, IF(DD87="", "", IF(DD87&lt;12, DD87+1, "")))</f>
        <v/>
      </c>
      <c r="DF87" s="252" t="str">
        <f>IF(AND(ModelDescription!$D$23=$E$28, $B87=Proforma!DH$5), 1, IF(DE87="", "", IF(DE87&lt;12, DE87+1, "")))</f>
        <v/>
      </c>
      <c r="DG87" s="252" t="str">
        <f>IF(AND(ModelDescription!$D$23=$E$28, $B87=Proforma!DI$5), 1, IF(DF87="", "", IF(DF87&lt;12, DF87+1, "")))</f>
        <v/>
      </c>
      <c r="DH87" s="252" t="str">
        <f>IF(AND(ModelDescription!$D$23=$E$28, $B87=Proforma!DJ$5), 1, IF(DG87="", "", IF(DG87&lt;12, DG87+1, "")))</f>
        <v/>
      </c>
      <c r="DI87" s="252" t="str">
        <f>IF(AND(ModelDescription!$D$23=$E$28, $B87=Proforma!DK$5), 1, IF(DH87="", "", IF(DH87&lt;12, DH87+1, "")))</f>
        <v/>
      </c>
      <c r="DJ87" s="252" t="str">
        <f>IF(AND(ModelDescription!$D$23=$E$28, $B87=Proforma!DL$5), 1, IF(DI87="", "", IF(DI87&lt;12, DI87+1, "")))</f>
        <v/>
      </c>
      <c r="DK87" s="252" t="str">
        <f>IF(AND(ModelDescription!$D$23=$E$28, $B87=Proforma!DM$5), 1, IF(DJ87="", "", IF(DJ87&lt;12, DJ87+1, "")))</f>
        <v/>
      </c>
      <c r="DL87" s="252" t="str">
        <f>IF(AND(ModelDescription!$D$23=$E$28, $B87=Proforma!DN$5), 1, IF(DK87="", "", IF(DK87&lt;12, DK87+1, "")))</f>
        <v/>
      </c>
      <c r="DM87" s="252" t="str">
        <f>IF(AND(ModelDescription!$D$23=$E$28, $B87=Proforma!DO$5), 1, IF(DL87="", "", IF(DL87&lt;12, DL87+1, "")))</f>
        <v/>
      </c>
      <c r="DN87" s="252" t="str">
        <f>IF(AND(ModelDescription!$D$23=$E$28, $B87=Proforma!DP$5), 1, IF(DM87="", "", IF(DM87&lt;12, DM87+1, "")))</f>
        <v/>
      </c>
      <c r="DO87" s="252" t="str">
        <f>IF(AND(ModelDescription!$D$23=$E$28, $B87=Proforma!DQ$5), 1, IF(DN87="", "", IF(DN87&lt;12, DN87+1, "")))</f>
        <v/>
      </c>
      <c r="DP87" s="252" t="str">
        <f>IF(AND(ModelDescription!$D$23=$E$28, $B87=Proforma!DR$5), 1, IF(DO87="", "", IF(DO87&lt;12, DO87+1, "")))</f>
        <v/>
      </c>
      <c r="DQ87" s="252" t="str">
        <f>IF(AND(ModelDescription!$D$23=$E$28, $B87=Proforma!DS$5), 1, IF(DP87="", "", IF(DP87&lt;12, DP87+1, "")))</f>
        <v/>
      </c>
      <c r="DR87" s="252" t="str">
        <f>IF(AND(ModelDescription!$D$23=$E$28, $B87=Proforma!DT$5), 1, IF(DQ87="", "", IF(DQ87&lt;12, DQ87+1, "")))</f>
        <v/>
      </c>
      <c r="DS87" s="252" t="str">
        <f>IF(AND(ModelDescription!$D$23=$E$28, $B87=Proforma!DU$5), 1, IF(DR87="", "", IF(DR87&lt;12, DR87+1, "")))</f>
        <v/>
      </c>
      <c r="DT87" s="252" t="str">
        <f>IF(AND(ModelDescription!$D$23=$E$28, $B87=Proforma!DV$5), 1, IF(DS87="", "", IF(DS87&lt;12, DS87+1, "")))</f>
        <v/>
      </c>
      <c r="DU87" s="252" t="str">
        <f>IF(AND(ModelDescription!$D$23=$E$28, $B87=Proforma!DW$5), 1, IF(DT87="", "", IF(DT87&lt;12, DT87+1, "")))</f>
        <v/>
      </c>
      <c r="DV87" s="252" t="str">
        <f>IF(AND(ModelDescription!$D$23=$E$28, $B87=Proforma!DX$5), 1, IF(DU87="", "", IF(DU87&lt;12, DU87+1, "")))</f>
        <v/>
      </c>
      <c r="DW87" s="252" t="str">
        <f>IF(AND(ModelDescription!$D$23=$E$28, $B87=Proforma!DY$5), 1, IF(DV87="", "", IF(DV87&lt;12, DV87+1, "")))</f>
        <v/>
      </c>
      <c r="DX87" s="252" t="str">
        <f>IF(AND(ModelDescription!$D$23=$E$28, $B87=Proforma!DZ$5), 1, IF(DW87="", "", IF(DW87&lt;12, DW87+1, "")))</f>
        <v/>
      </c>
      <c r="DY87" s="252" t="str">
        <f>IF(AND(ModelDescription!$D$23=$E$28, $B87=Proforma!EA$5), 1, IF(DX87="", "", IF(DX87&lt;12, DX87+1, "")))</f>
        <v/>
      </c>
      <c r="DZ87" s="252" t="str">
        <f>IF(AND(ModelDescription!$D$23=$E$28, $B87=Proforma!EB$5), 1, IF(DY87="", "", IF(DY87&lt;12, DY87+1, "")))</f>
        <v/>
      </c>
      <c r="EA87" s="252" t="str">
        <f>IF(AND(ModelDescription!$D$23=$E$28, $B87=Proforma!EC$5), 1, IF(DZ87="", "", IF(DZ87&lt;12, DZ87+1, "")))</f>
        <v/>
      </c>
      <c r="EB87" s="252" t="str">
        <f>IF(AND(ModelDescription!$D$23=$E$28, $B87=Proforma!ED$5), 1, IF(EA87="", "", IF(EA87&lt;12, EA87+1, "")))</f>
        <v/>
      </c>
      <c r="EC87" s="252" t="str">
        <f>IF(AND(ModelDescription!$D$23=$E$28, $B87=Proforma!EE$5), 1, IF(EB87="", "", IF(EB87&lt;12, EB87+1, "")))</f>
        <v/>
      </c>
      <c r="ED87" s="252" t="str">
        <f>IF(AND(ModelDescription!$D$23=$E$28, $B87=Proforma!EF$5), 1, IF(EC87="", "", IF(EC87&lt;12, EC87+1, "")))</f>
        <v/>
      </c>
      <c r="EE87" s="252" t="str">
        <f>IF(AND(ModelDescription!$D$23=$E$28, $B87=Proforma!EG$5), 1, IF(ED87="", "", IF(ED87&lt;12, ED87+1, "")))</f>
        <v/>
      </c>
      <c r="EF87" s="252" t="str">
        <f>IF(AND(ModelDescription!$D$23=$E$28, $B87=Proforma!EH$5), 1, IF(EE87="", "", IF(EE87&lt;12, EE87+1, "")))</f>
        <v/>
      </c>
      <c r="EG87" s="252" t="str">
        <f>IF(AND(ModelDescription!$D$23=$E$28, $B87=Proforma!EI$5), 1, IF(EF87="", "", IF(EF87&lt;12, EF87+1, "")))</f>
        <v/>
      </c>
      <c r="EH87" s="252" t="str">
        <f>IF(AND(ModelDescription!$D$23=$E$28, $B87=Proforma!EJ$5), 1, IF(EG87="", "", IF(EG87&lt;12, EG87+1, "")))</f>
        <v/>
      </c>
      <c r="EI87" s="252" t="str">
        <f>IF(AND(ModelDescription!$D$23=$E$28, $B87=Proforma!EK$5), 1, IF(EH87="", "", IF(EH87&lt;12, EH87+1, "")))</f>
        <v/>
      </c>
      <c r="EJ87" s="252" t="str">
        <f>IF(AND(ModelDescription!$D$23=$E$28, $B87=Proforma!EL$5), 1, IF(EI87="", "", IF(EI87&lt;12, EI87+1, "")))</f>
        <v/>
      </c>
      <c r="EK87" s="252" t="str">
        <f>IF(AND(ModelDescription!$D$23=$E$28, $B87=Proforma!EM$5), 1, IF(EJ87="", "", IF(EJ87&lt;12, EJ87+1, "")))</f>
        <v/>
      </c>
      <c r="EL87" s="252" t="str">
        <f>IF(AND(ModelDescription!$D$23=$E$28, $B87=Proforma!EN$5), 1, IF(EK87="", "", IF(EK87&lt;12, EK87+1, "")))</f>
        <v/>
      </c>
      <c r="EM87" s="252" t="str">
        <f>IF(AND(ModelDescription!$D$23=$E$28, $B87=Proforma!EO$5), 1, IF(EL87="", "", IF(EL87&lt;12, EL87+1, "")))</f>
        <v/>
      </c>
      <c r="EN87" s="252" t="str">
        <f>IF(AND(ModelDescription!$D$23=$E$28, $B87=Proforma!EP$5), 1, IF(EM87="", "", IF(EM87&lt;12, EM87+1, "")))</f>
        <v/>
      </c>
      <c r="EO87" s="252" t="str">
        <f>IF(AND(ModelDescription!$D$23=$E$28, $B87=Proforma!EQ$5), 1, IF(EN87="", "", IF(EN87&lt;12, EN87+1, "")))</f>
        <v/>
      </c>
      <c r="EP87" s="252" t="str">
        <f>IF(AND(ModelDescription!$D$23=$E$28, $B87=Proforma!ER$5), 1, IF(EO87="", "", IF(EO87&lt;12, EO87+1, "")))</f>
        <v/>
      </c>
      <c r="EQ87" s="252" t="str">
        <f>IF(AND(ModelDescription!$D$23=$E$28, $B87=Proforma!ES$5), 1, IF(EP87="", "", IF(EP87&lt;12, EP87+1, "")))</f>
        <v/>
      </c>
      <c r="ER87" s="252" t="str">
        <f>IF(AND(ModelDescription!$D$23=$E$28, $B87=Proforma!ET$5), 1, IF(EQ87="", "", IF(EQ87&lt;12, EQ87+1, "")))</f>
        <v/>
      </c>
      <c r="ES87" s="252" t="str">
        <f>IF(AND(ModelDescription!$D$23=$E$28, $B87=Proforma!EU$5), 1, IF(ER87="", "", IF(ER87&lt;12, ER87+1, "")))</f>
        <v/>
      </c>
      <c r="ET87" s="252" t="str">
        <f>IF(AND(ModelDescription!$D$23=$E$28, $B87=Proforma!EV$5), 1, IF(ES87="", "", IF(ES87&lt;12, ES87+1, "")))</f>
        <v/>
      </c>
      <c r="EU87" s="252" t="str">
        <f>IF(AND(ModelDescription!$D$23=$E$28, $B87=Proforma!EW$5), 1, IF(ET87="", "", IF(ET87&lt;12, ET87+1, "")))</f>
        <v/>
      </c>
      <c r="EV87" s="252" t="str">
        <f>IF(AND(ModelDescription!$D$23=$E$28, $B87=Proforma!EX$5), 1, IF(EU87="", "", IF(EU87&lt;12, EU87+1, "")))</f>
        <v/>
      </c>
      <c r="EW87" s="252" t="str">
        <f>IF(AND(ModelDescription!$D$23=$E$28, $B87=Proforma!EY$5), 1, IF(EV87="", "", IF(EV87&lt;12, EV87+1, "")))</f>
        <v/>
      </c>
      <c r="EX87" s="252" t="str">
        <f>IF(AND(ModelDescription!$D$23=$E$28, $B87=Proforma!EZ$5), 1, IF(EW87="", "", IF(EW87&lt;12, EW87+1, "")))</f>
        <v/>
      </c>
      <c r="EY87" s="252" t="str">
        <f>IF(AND(ModelDescription!$D$23=$E$28, $B87=Proforma!FA$5), 1, IF(EX87="", "", IF(EX87&lt;12, EX87+1, "")))</f>
        <v/>
      </c>
      <c r="EZ87" s="252" t="str">
        <f>IF(AND(ModelDescription!$D$23=$E$28, $B87=Proforma!FB$5), 1, IF(EY87="", "", IF(EY87&lt;12, EY87+1, "")))</f>
        <v/>
      </c>
      <c r="FA87" s="252" t="str">
        <f>IF(AND(ModelDescription!$D$23=$E$28, $B87=Proforma!FC$5), 1, IF(EZ87="", "", IF(EZ87&lt;12, EZ87+1, "")))</f>
        <v/>
      </c>
      <c r="FB87" s="252" t="str">
        <f>IF(AND(ModelDescription!$D$23=$E$28, $B87=Proforma!FD$5), 1, IF(FA87="", "", IF(FA87&lt;12, FA87+1, "")))</f>
        <v/>
      </c>
      <c r="FC87" s="252" t="str">
        <f>IF(AND(ModelDescription!$D$23=$E$28, $B87=Proforma!FE$5), 1, IF(FB87="", "", IF(FB87&lt;12, FB87+1, "")))</f>
        <v/>
      </c>
      <c r="FD87" s="252" t="str">
        <f>IF(AND(ModelDescription!$D$23=$E$28, $B87=Proforma!FF$5), 1, IF(FC87="", "", IF(FC87&lt;12, FC87+1, "")))</f>
        <v/>
      </c>
      <c r="FE87" s="252" t="str">
        <f>IF(AND(ModelDescription!$D$23=$E$28, $B87=Proforma!FG$5), 1, IF(FD87="", "", IF(FD87&lt;12, FD87+1, "")))</f>
        <v/>
      </c>
      <c r="FF87" s="252" t="str">
        <f>IF(AND(ModelDescription!$D$23=$E$28, $B87=Proforma!FH$5), 1, IF(FE87="", "", IF(FE87&lt;12, FE87+1, "")))</f>
        <v/>
      </c>
      <c r="FG87" s="252" t="str">
        <f>IF(AND(ModelDescription!$D$23=$E$28, $B87=Proforma!FI$5), 1, IF(FF87="", "", IF(FF87&lt;12, FF87+1, "")))</f>
        <v/>
      </c>
      <c r="FH87" s="252" t="str">
        <f>IF(AND(ModelDescription!$D$23=$E$28, $B87=Proforma!FJ$5), 1, IF(FG87="", "", IF(FG87&lt;12, FG87+1, "")))</f>
        <v/>
      </c>
      <c r="FI87" s="252" t="str">
        <f>IF(AND(ModelDescription!$D$23=$E$28, $B87=Proforma!FK$5), 1, IF(FH87="", "", IF(FH87&lt;12, FH87+1, "")))</f>
        <v/>
      </c>
      <c r="FJ87" s="252" t="str">
        <f>IF(AND(ModelDescription!$D$23=$E$28, $B87=Proforma!FL$5), 1, IF(FI87="", "", IF(FI87&lt;12, FI87+1, "")))</f>
        <v/>
      </c>
      <c r="FK87" s="252" t="str">
        <f>IF(AND(ModelDescription!$D$23=$E$28, $B87=Proforma!FM$5), 1, IF(FJ87="", "", IF(FJ87&lt;12, FJ87+1, "")))</f>
        <v/>
      </c>
      <c r="FL87" s="252" t="str">
        <f>IF(AND(ModelDescription!$D$23=$E$28, $B87=Proforma!FN$5), 1, IF(FK87="", "", IF(FK87&lt;12, FK87+1, "")))</f>
        <v/>
      </c>
      <c r="FM87" s="252" t="str">
        <f>IF(AND(ModelDescription!$D$23=$E$28, $B87=Proforma!FO$5), 1, IF(FL87="", "", IF(FL87&lt;12, FL87+1, "")))</f>
        <v/>
      </c>
      <c r="FN87" s="252" t="str">
        <f>IF(AND(ModelDescription!$D$23=$E$28, $B87=Proforma!FP$5), 1, IF(FM87="", "", IF(FM87&lt;12, FM87+1, "")))</f>
        <v/>
      </c>
      <c r="FO87" s="252" t="str">
        <f>IF(AND(ModelDescription!$D$23=$E$28, $B87=Proforma!FQ$5), 1, IF(FN87="", "", IF(FN87&lt;12, FN87+1, "")))</f>
        <v/>
      </c>
      <c r="FP87" s="252" t="str">
        <f>IF(AND(ModelDescription!$D$23=$E$28, $B87=Proforma!FR$5), 1, IF(FO87="", "", IF(FO87&lt;12, FO87+1, "")))</f>
        <v/>
      </c>
      <c r="FQ87" s="252" t="str">
        <f>IF(AND(ModelDescription!$D$23=$E$28, $B87=Proforma!FS$5), 1, IF(FP87="", "", IF(FP87&lt;12, FP87+1, "")))</f>
        <v/>
      </c>
      <c r="FR87" s="252" t="str">
        <f>IF(AND(ModelDescription!$D$23=$E$28, $B87=Proforma!FT$5), 1, IF(FQ87="", "", IF(FQ87&lt;12, FQ87+1, "")))</f>
        <v/>
      </c>
      <c r="FS87" s="252" t="str">
        <f>IF(AND(ModelDescription!$D$23=$E$28, $B87=Proforma!FU$5), 1, IF(FR87="", "", IF(FR87&lt;12, FR87+1, "")))</f>
        <v/>
      </c>
      <c r="FT87" s="252" t="str">
        <f>IF(AND(ModelDescription!$D$23=$E$28, $B87=Proforma!FV$5), 1, IF(FS87="", "", IF(FS87&lt;12, FS87+1, "")))</f>
        <v/>
      </c>
      <c r="FU87" s="252" t="str">
        <f>IF(AND(ModelDescription!$D$23=$E$28, $B87=Proforma!FW$5), 1, IF(FT87="", "", IF(FT87&lt;12, FT87+1, "")))</f>
        <v/>
      </c>
      <c r="FV87" s="252" t="str">
        <f>IF(AND(ModelDescription!$D$23=$E$28, $B87=Proforma!FX$5), 1, IF(FU87="", "", IF(FU87&lt;12, FU87+1, "")))</f>
        <v/>
      </c>
      <c r="FW87" s="252" t="str">
        <f>IF(AND(ModelDescription!$D$23=$E$28, $B87=Proforma!FY$5), 1, IF(FV87="", "", IF(FV87&lt;12, FV87+1, "")))</f>
        <v/>
      </c>
      <c r="FX87" s="252" t="str">
        <f>IF(AND(ModelDescription!$D$23=$E$28, $B87=Proforma!FZ$5), 1, IF(FW87="", "", IF(FW87&lt;12, FW87+1, "")))</f>
        <v/>
      </c>
      <c r="FY87" s="252" t="str">
        <f>IF(AND(ModelDescription!$D$23=$E$28, $B87=Proforma!GA$5), 1, IF(FX87="", "", IF(FX87&lt;12, FX87+1, "")))</f>
        <v/>
      </c>
      <c r="FZ87" s="252" t="str">
        <f>IF(AND(ModelDescription!$D$23=$E$28, $B87=Proforma!GB$5), 1, IF(FY87="", "", IF(FY87&lt;12, FY87+1, "")))</f>
        <v/>
      </c>
      <c r="GA87" s="252" t="str">
        <f>IF(AND(ModelDescription!$D$23=$E$28, $B87=Proforma!GC$5), 1, IF(FZ87="", "", IF(FZ87&lt;12, FZ87+1, "")))</f>
        <v/>
      </c>
    </row>
    <row r="88" spans="1:183">
      <c r="A88" s="250">
        <v>8</v>
      </c>
      <c r="B88" s="204"/>
      <c r="C88" s="9"/>
      <c r="D88" s="252" t="str">
        <f>IF(AND(ModelDescription!$D$23=$E$28, $B88=Proforma!F$5), 1, IF(C88="", "", IF(C88&lt;12, C88+1, "")))</f>
        <v/>
      </c>
      <c r="E88" s="252" t="str">
        <f>IF(AND(ModelDescription!$D$23=$E$28, $B88=Proforma!G$5), 1, IF(D88="", "", IF(D88&lt;12, D88+1, "")))</f>
        <v/>
      </c>
      <c r="F88" s="252" t="str">
        <f>IF(AND(ModelDescription!$D$23=$E$28, $B88=Proforma!H$5), 1, IF(E88="", "", IF(E88&lt;12, E88+1, "")))</f>
        <v/>
      </c>
      <c r="G88" s="252" t="str">
        <f>IF(AND(ModelDescription!$D$23=$E$28, $B88=Proforma!I$5), 1, IF(F88="", "", IF(F88&lt;12, F88+1, "")))</f>
        <v/>
      </c>
      <c r="H88" s="252" t="str">
        <f>IF(AND(ModelDescription!$D$23=$E$28, $B88=Proforma!J$5), 1, IF(G88="", "", IF(G88&lt;12, G88+1, "")))</f>
        <v/>
      </c>
      <c r="I88" s="252" t="str">
        <f>IF(AND(ModelDescription!$D$23=$E$28, $B88=Proforma!K$5), 1, IF(H88="", "", IF(H88&lt;12, H88+1, "")))</f>
        <v/>
      </c>
      <c r="J88" s="252" t="str">
        <f>IF(AND(ModelDescription!$D$23=$E$28, $B88=Proforma!L$5), 1, IF(I88="", "", IF(I88&lt;12, I88+1, "")))</f>
        <v/>
      </c>
      <c r="K88" s="252" t="str">
        <f>IF(AND(ModelDescription!$D$23=$E$28, $B88=Proforma!M$5), 1, IF(J88="", "", IF(J88&lt;12, J88+1, "")))</f>
        <v/>
      </c>
      <c r="L88" s="252" t="str">
        <f>IF(AND(ModelDescription!$D$23=$E$28, $B88=Proforma!N$5), 1, IF(K88="", "", IF(K88&lt;12, K88+1, "")))</f>
        <v/>
      </c>
      <c r="M88" s="252" t="str">
        <f>IF(AND(ModelDescription!$D$23=$E$28, $B88=Proforma!O$5), 1, IF(L88="", "", IF(L88&lt;12, L88+1, "")))</f>
        <v/>
      </c>
      <c r="N88" s="252" t="str">
        <f>IF(AND(ModelDescription!$D$23=$E$28, $B88=Proforma!P$5), 1, IF(M88="", "", IF(M88&lt;12, M88+1, "")))</f>
        <v/>
      </c>
      <c r="O88" s="252" t="str">
        <f>IF(AND(ModelDescription!$D$23=$E$28, $B88=Proforma!Q$5), 1, IF(N88="", "", IF(N88&lt;12, N88+1, "")))</f>
        <v/>
      </c>
      <c r="P88" s="252" t="str">
        <f>IF(AND(ModelDescription!$D$23=$E$28, $B88=Proforma!R$5), 1, IF(O88="", "", IF(O88&lt;12, O88+1, "")))</f>
        <v/>
      </c>
      <c r="Q88" s="252" t="str">
        <f>IF(AND(ModelDescription!$D$23=$E$28, $B88=Proforma!S$5), 1, IF(P88="", "", IF(P88&lt;12, P88+1, "")))</f>
        <v/>
      </c>
      <c r="R88" s="252" t="str">
        <f>IF(AND(ModelDescription!$D$23=$E$28, $B88=Proforma!T$5), 1, IF(Q88="", "", IF(Q88&lt;12, Q88+1, "")))</f>
        <v/>
      </c>
      <c r="S88" s="252" t="str">
        <f>IF(AND(ModelDescription!$D$23=$E$28, $B88=Proforma!U$5), 1, IF(R88="", "", IF(R88&lt;12, R88+1, "")))</f>
        <v/>
      </c>
      <c r="T88" s="252" t="str">
        <f>IF(AND(ModelDescription!$D$23=$E$28, $B88=Proforma!V$5), 1, IF(S88="", "", IF(S88&lt;12, S88+1, "")))</f>
        <v/>
      </c>
      <c r="U88" s="252" t="str">
        <f>IF(AND(ModelDescription!$D$23=$E$28, $B88=Proforma!W$5), 1, IF(T88="", "", IF(T88&lt;12, T88+1, "")))</f>
        <v/>
      </c>
      <c r="V88" s="252" t="str">
        <f>IF(AND(ModelDescription!$D$23=$E$28, $B88=Proforma!X$5), 1, IF(U88="", "", IF(U88&lt;12, U88+1, "")))</f>
        <v/>
      </c>
      <c r="W88" s="252" t="str">
        <f>IF(AND(ModelDescription!$D$23=$E$28, $B88=Proforma!Y$5), 1, IF(V88="", "", IF(V88&lt;12, V88+1, "")))</f>
        <v/>
      </c>
      <c r="X88" s="252" t="str">
        <f>IF(AND(ModelDescription!$D$23=$E$28, $B88=Proforma!Z$5), 1, IF(W88="", "", IF(W88&lt;12, W88+1, "")))</f>
        <v/>
      </c>
      <c r="Y88" s="252" t="str">
        <f>IF(AND(ModelDescription!$D$23=$E$28, $B88=Proforma!AA$5), 1, IF(X88="", "", IF(X88&lt;12, X88+1, "")))</f>
        <v/>
      </c>
      <c r="Z88" s="252" t="str">
        <f>IF(AND(ModelDescription!$D$23=$E$28, $B88=Proforma!AB$5), 1, IF(Y88="", "", IF(Y88&lt;12, Y88+1, "")))</f>
        <v/>
      </c>
      <c r="AA88" s="252" t="str">
        <f>IF(AND(ModelDescription!$D$23=$E$28, $B88=Proforma!AC$5), 1, IF(Z88="", "", IF(Z88&lt;12, Z88+1, "")))</f>
        <v/>
      </c>
      <c r="AB88" s="252" t="str">
        <f>IF(AND(ModelDescription!$D$23=$E$28, $B88=Proforma!AD$5), 1, IF(AA88="", "", IF(AA88&lt;12, AA88+1, "")))</f>
        <v/>
      </c>
      <c r="AC88" s="252" t="str">
        <f>IF(AND(ModelDescription!$D$23=$E$28, $B88=Proforma!AE$5), 1, IF(AB88="", "", IF(AB88&lt;12, AB88+1, "")))</f>
        <v/>
      </c>
      <c r="AD88" s="252" t="str">
        <f>IF(AND(ModelDescription!$D$23=$E$28, $B88=Proforma!AF$5), 1, IF(AC88="", "", IF(AC88&lt;12, AC88+1, "")))</f>
        <v/>
      </c>
      <c r="AE88" s="252" t="str">
        <f>IF(AND(ModelDescription!$D$23=$E$28, $B88=Proforma!AG$5), 1, IF(AD88="", "", IF(AD88&lt;12, AD88+1, "")))</f>
        <v/>
      </c>
      <c r="AF88" s="252" t="str">
        <f>IF(AND(ModelDescription!$D$23=$E$28, $B88=Proforma!AH$5), 1, IF(AE88="", "", IF(AE88&lt;12, AE88+1, "")))</f>
        <v/>
      </c>
      <c r="AG88" s="252" t="str">
        <f>IF(AND(ModelDescription!$D$23=$E$28, $B88=Proforma!AI$5), 1, IF(AF88="", "", IF(AF88&lt;12, AF88+1, "")))</f>
        <v/>
      </c>
      <c r="AH88" s="252" t="str">
        <f>IF(AND(ModelDescription!$D$23=$E$28, $B88=Proforma!AJ$5), 1, IF(AG88="", "", IF(AG88&lt;12, AG88+1, "")))</f>
        <v/>
      </c>
      <c r="AI88" s="252" t="str">
        <f>IF(AND(ModelDescription!$D$23=$E$28, $B88=Proforma!AK$5), 1, IF(AH88="", "", IF(AH88&lt;12, AH88+1, "")))</f>
        <v/>
      </c>
      <c r="AJ88" s="252" t="str">
        <f>IF(AND(ModelDescription!$D$23=$E$28, $B88=Proforma!AL$5), 1, IF(AI88="", "", IF(AI88&lt;12, AI88+1, "")))</f>
        <v/>
      </c>
      <c r="AK88" s="252" t="str">
        <f>IF(AND(ModelDescription!$D$23=$E$28, $B88=Proforma!AM$5), 1, IF(AJ88="", "", IF(AJ88&lt;12, AJ88+1, "")))</f>
        <v/>
      </c>
      <c r="AL88" s="252" t="str">
        <f>IF(AND(ModelDescription!$D$23=$E$28, $B88=Proforma!AN$5), 1, IF(AK88="", "", IF(AK88&lt;12, AK88+1, "")))</f>
        <v/>
      </c>
      <c r="AM88" s="252" t="str">
        <f>IF(AND(ModelDescription!$D$23=$E$28, $B88=Proforma!AO$5), 1, IF(AL88="", "", IF(AL88&lt;12, AL88+1, "")))</f>
        <v/>
      </c>
      <c r="AN88" s="252" t="str">
        <f>IF(AND(ModelDescription!$D$23=$E$28, $B88=Proforma!AP$5), 1, IF(AM88="", "", IF(AM88&lt;12, AM88+1, "")))</f>
        <v/>
      </c>
      <c r="AO88" s="252" t="str">
        <f>IF(AND(ModelDescription!$D$23=$E$28, $B88=Proforma!AQ$5), 1, IF(AN88="", "", IF(AN88&lt;12, AN88+1, "")))</f>
        <v/>
      </c>
      <c r="AP88" s="252" t="str">
        <f>IF(AND(ModelDescription!$D$23=$E$28, $B88=Proforma!AR$5), 1, IF(AO88="", "", IF(AO88&lt;12, AO88+1, "")))</f>
        <v/>
      </c>
      <c r="AQ88" s="252" t="str">
        <f>IF(AND(ModelDescription!$D$23=$E$28, $B88=Proforma!AS$5), 1, IF(AP88="", "", IF(AP88&lt;12, AP88+1, "")))</f>
        <v/>
      </c>
      <c r="AR88" s="252" t="str">
        <f>IF(AND(ModelDescription!$D$23=$E$28, $B88=Proforma!AT$5), 1, IF(AQ88="", "", IF(AQ88&lt;12, AQ88+1, "")))</f>
        <v/>
      </c>
      <c r="AS88" s="252" t="str">
        <f>IF(AND(ModelDescription!$D$23=$E$28, $B88=Proforma!AU$5), 1, IF(AR88="", "", IF(AR88&lt;12, AR88+1, "")))</f>
        <v/>
      </c>
      <c r="AT88" s="252" t="str">
        <f>IF(AND(ModelDescription!$D$23=$E$28, $B88=Proforma!AV$5), 1, IF(AS88="", "", IF(AS88&lt;12, AS88+1, "")))</f>
        <v/>
      </c>
      <c r="AU88" s="252" t="str">
        <f>IF(AND(ModelDescription!$D$23=$E$28, $B88=Proforma!AW$5), 1, IF(AT88="", "", IF(AT88&lt;12, AT88+1, "")))</f>
        <v/>
      </c>
      <c r="AV88" s="252" t="str">
        <f>IF(AND(ModelDescription!$D$23=$E$28, $B88=Proforma!AX$5), 1, IF(AU88="", "", IF(AU88&lt;12, AU88+1, "")))</f>
        <v/>
      </c>
      <c r="AW88" s="252" t="str">
        <f>IF(AND(ModelDescription!$D$23=$E$28, $B88=Proforma!AY$5), 1, IF(AV88="", "", IF(AV88&lt;12, AV88+1, "")))</f>
        <v/>
      </c>
      <c r="AX88" s="252" t="str">
        <f>IF(AND(ModelDescription!$D$23=$E$28, $B88=Proforma!AZ$5), 1, IF(AW88="", "", IF(AW88&lt;12, AW88+1, "")))</f>
        <v/>
      </c>
      <c r="AY88" s="252" t="str">
        <f>IF(AND(ModelDescription!$D$23=$E$28, $B88=Proforma!BA$5), 1, IF(AX88="", "", IF(AX88&lt;12, AX88+1, "")))</f>
        <v/>
      </c>
      <c r="AZ88" s="252" t="str">
        <f>IF(AND(ModelDescription!$D$23=$E$28, $B88=Proforma!BB$5), 1, IF(AY88="", "", IF(AY88&lt;12, AY88+1, "")))</f>
        <v/>
      </c>
      <c r="BA88" s="252" t="str">
        <f>IF(AND(ModelDescription!$D$23=$E$28, $B88=Proforma!BC$5), 1, IF(AZ88="", "", IF(AZ88&lt;12, AZ88+1, "")))</f>
        <v/>
      </c>
      <c r="BB88" s="252" t="str">
        <f>IF(AND(ModelDescription!$D$23=$E$28, $B88=Proforma!BD$5), 1, IF(BA88="", "", IF(BA88&lt;12, BA88+1, "")))</f>
        <v/>
      </c>
      <c r="BC88" s="252" t="str">
        <f>IF(AND(ModelDescription!$D$23=$E$28, $B88=Proforma!BE$5), 1, IF(BB88="", "", IF(BB88&lt;12, BB88+1, "")))</f>
        <v/>
      </c>
      <c r="BD88" s="252" t="str">
        <f>IF(AND(ModelDescription!$D$23=$E$28, $B88=Proforma!BF$5), 1, IF(BC88="", "", IF(BC88&lt;12, BC88+1, "")))</f>
        <v/>
      </c>
      <c r="BE88" s="252" t="str">
        <f>IF(AND(ModelDescription!$D$23=$E$28, $B88=Proforma!BG$5), 1, IF(BD88="", "", IF(BD88&lt;12, BD88+1, "")))</f>
        <v/>
      </c>
      <c r="BF88" s="252" t="str">
        <f>IF(AND(ModelDescription!$D$23=$E$28, $B88=Proforma!BH$5), 1, IF(BE88="", "", IF(BE88&lt;12, BE88+1, "")))</f>
        <v/>
      </c>
      <c r="BG88" s="252" t="str">
        <f>IF(AND(ModelDescription!$D$23=$E$28, $B88=Proforma!BI$5), 1, IF(BF88="", "", IF(BF88&lt;12, BF88+1, "")))</f>
        <v/>
      </c>
      <c r="BH88" s="252" t="str">
        <f>IF(AND(ModelDescription!$D$23=$E$28, $B88=Proforma!BJ$5), 1, IF(BG88="", "", IF(BG88&lt;12, BG88+1, "")))</f>
        <v/>
      </c>
      <c r="BI88" s="252" t="str">
        <f>IF(AND(ModelDescription!$D$23=$E$28, $B88=Proforma!BK$5), 1, IF(BH88="", "", IF(BH88&lt;12, BH88+1, "")))</f>
        <v/>
      </c>
      <c r="BJ88" s="252" t="str">
        <f>IF(AND(ModelDescription!$D$23=$E$28, $B88=Proforma!BL$5), 1, IF(BI88="", "", IF(BI88&lt;12, BI88+1, "")))</f>
        <v/>
      </c>
      <c r="BK88" s="252" t="str">
        <f>IF(AND(ModelDescription!$D$23=$E$28, $B88=Proforma!BM$5), 1, IF(BJ88="", "", IF(BJ88&lt;12, BJ88+1, "")))</f>
        <v/>
      </c>
      <c r="BL88" s="252" t="str">
        <f>IF(AND(ModelDescription!$D$23=$E$28, $B88=Proforma!BN$5), 1, IF(BK88="", "", IF(BK88&lt;12, BK88+1, "")))</f>
        <v/>
      </c>
      <c r="BM88" s="252" t="str">
        <f>IF(AND(ModelDescription!$D$23=$E$28, $B88=Proforma!BO$5), 1, IF(BL88="", "", IF(BL88&lt;12, BL88+1, "")))</f>
        <v/>
      </c>
      <c r="BN88" s="252" t="str">
        <f>IF(AND(ModelDescription!$D$23=$E$28, $B88=Proforma!BP$5), 1, IF(BM88="", "", IF(BM88&lt;12, BM88+1, "")))</f>
        <v/>
      </c>
      <c r="BO88" s="252" t="str">
        <f>IF(AND(ModelDescription!$D$23=$E$28, $B88=Proforma!BQ$5), 1, IF(BN88="", "", IF(BN88&lt;12, BN88+1, "")))</f>
        <v/>
      </c>
      <c r="BP88" s="252" t="str">
        <f>IF(AND(ModelDescription!$D$23=$E$28, $B88=Proforma!BR$5), 1, IF(BO88="", "", IF(BO88&lt;12, BO88+1, "")))</f>
        <v/>
      </c>
      <c r="BQ88" s="252" t="str">
        <f>IF(AND(ModelDescription!$D$23=$E$28, $B88=Proforma!BS$5), 1, IF(BP88="", "", IF(BP88&lt;12, BP88+1, "")))</f>
        <v/>
      </c>
      <c r="BR88" s="252" t="str">
        <f>IF(AND(ModelDescription!$D$23=$E$28, $B88=Proforma!BT$5), 1, IF(BQ88="", "", IF(BQ88&lt;12, BQ88+1, "")))</f>
        <v/>
      </c>
      <c r="BS88" s="252" t="str">
        <f>IF(AND(ModelDescription!$D$23=$E$28, $B88=Proforma!BU$5), 1, IF(BR88="", "", IF(BR88&lt;12, BR88+1, "")))</f>
        <v/>
      </c>
      <c r="BT88" s="252" t="str">
        <f>IF(AND(ModelDescription!$D$23=$E$28, $B88=Proforma!BV$5), 1, IF(BS88="", "", IF(BS88&lt;12, BS88+1, "")))</f>
        <v/>
      </c>
      <c r="BU88" s="252" t="str">
        <f>IF(AND(ModelDescription!$D$23=$E$28, $B88=Proforma!BW$5), 1, IF(BT88="", "", IF(BT88&lt;12, BT88+1, "")))</f>
        <v/>
      </c>
      <c r="BV88" s="252" t="str">
        <f>IF(AND(ModelDescription!$D$23=$E$28, $B88=Proforma!BX$5), 1, IF(BU88="", "", IF(BU88&lt;12, BU88+1, "")))</f>
        <v/>
      </c>
      <c r="BW88" s="252" t="str">
        <f>IF(AND(ModelDescription!$D$23=$E$28, $B88=Proforma!BY$5), 1, IF(BV88="", "", IF(BV88&lt;12, BV88+1, "")))</f>
        <v/>
      </c>
      <c r="BX88" s="252" t="str">
        <f>IF(AND(ModelDescription!$D$23=$E$28, $B88=Proforma!BZ$5), 1, IF(BW88="", "", IF(BW88&lt;12, BW88+1, "")))</f>
        <v/>
      </c>
      <c r="BY88" s="252" t="str">
        <f>IF(AND(ModelDescription!$D$23=$E$28, $B88=Proforma!CA$5), 1, IF(BX88="", "", IF(BX88&lt;12, BX88+1, "")))</f>
        <v/>
      </c>
      <c r="BZ88" s="252" t="str">
        <f>IF(AND(ModelDescription!$D$23=$E$28, $B88=Proforma!CB$5), 1, IF(BY88="", "", IF(BY88&lt;12, BY88+1, "")))</f>
        <v/>
      </c>
      <c r="CA88" s="252" t="str">
        <f>IF(AND(ModelDescription!$D$23=$E$28, $B88=Proforma!CC$5), 1, IF(BZ88="", "", IF(BZ88&lt;12, BZ88+1, "")))</f>
        <v/>
      </c>
      <c r="CB88" s="252" t="str">
        <f>IF(AND(ModelDescription!$D$23=$E$28, $B88=Proforma!CD$5), 1, IF(CA88="", "", IF(CA88&lt;12, CA88+1, "")))</f>
        <v/>
      </c>
      <c r="CC88" s="252" t="str">
        <f>IF(AND(ModelDescription!$D$23=$E$28, $B88=Proforma!CE$5), 1, IF(CB88="", "", IF(CB88&lt;12, CB88+1, "")))</f>
        <v/>
      </c>
      <c r="CD88" s="252" t="str">
        <f>IF(AND(ModelDescription!$D$23=$E$28, $B88=Proforma!CF$5), 1, IF(CC88="", "", IF(CC88&lt;12, CC88+1, "")))</f>
        <v/>
      </c>
      <c r="CE88" s="252" t="str">
        <f>IF(AND(ModelDescription!$D$23=$E$28, $B88=Proforma!CG$5), 1, IF(CD88="", "", IF(CD88&lt;12, CD88+1, "")))</f>
        <v/>
      </c>
      <c r="CF88" s="252" t="str">
        <f>IF(AND(ModelDescription!$D$23=$E$28, $B88=Proforma!CH$5), 1, IF(CE88="", "", IF(CE88&lt;12, CE88+1, "")))</f>
        <v/>
      </c>
      <c r="CG88" s="252" t="str">
        <f>IF(AND(ModelDescription!$D$23=$E$28, $B88=Proforma!CI$5), 1, IF(CF88="", "", IF(CF88&lt;12, CF88+1, "")))</f>
        <v/>
      </c>
      <c r="CH88" s="252" t="str">
        <f>IF(AND(ModelDescription!$D$23=$E$28, $B88=Proforma!CJ$5), 1, IF(CG88="", "", IF(CG88&lt;12, CG88+1, "")))</f>
        <v/>
      </c>
      <c r="CI88" s="252" t="str">
        <f>IF(AND(ModelDescription!$D$23=$E$28, $B88=Proforma!CK$5), 1, IF(CH88="", "", IF(CH88&lt;12, CH88+1, "")))</f>
        <v/>
      </c>
      <c r="CJ88" s="252" t="str">
        <f>IF(AND(ModelDescription!$D$23=$E$28, $B88=Proforma!CL$5), 1, IF(CI88="", "", IF(CI88&lt;12, CI88+1, "")))</f>
        <v/>
      </c>
      <c r="CK88" s="252" t="str">
        <f>IF(AND(ModelDescription!$D$23=$E$28, $B88=Proforma!CM$5), 1, IF(CJ88="", "", IF(CJ88&lt;12, CJ88+1, "")))</f>
        <v/>
      </c>
      <c r="CL88" s="252" t="str">
        <f>IF(AND(ModelDescription!$D$23=$E$28, $B88=Proforma!CN$5), 1, IF(CK88="", "", IF(CK88&lt;12, CK88+1, "")))</f>
        <v/>
      </c>
      <c r="CM88" s="252" t="str">
        <f>IF(AND(ModelDescription!$D$23=$E$28, $B88=Proforma!CO$5), 1, IF(CL88="", "", IF(CL88&lt;12, CL88+1, "")))</f>
        <v/>
      </c>
      <c r="CN88" s="252" t="str">
        <f>IF(AND(ModelDescription!$D$23=$E$28, $B88=Proforma!CP$5), 1, IF(CM88="", "", IF(CM88&lt;12, CM88+1, "")))</f>
        <v/>
      </c>
      <c r="CO88" s="252" t="str">
        <f>IF(AND(ModelDescription!$D$23=$E$28, $B88=Proforma!CQ$5), 1, IF(CN88="", "", IF(CN88&lt;12, CN88+1, "")))</f>
        <v/>
      </c>
      <c r="CP88" s="252" t="str">
        <f>IF(AND(ModelDescription!$D$23=$E$28, $B88=Proforma!CR$5), 1, IF(CO88="", "", IF(CO88&lt;12, CO88+1, "")))</f>
        <v/>
      </c>
      <c r="CQ88" s="252" t="str">
        <f>IF(AND(ModelDescription!$D$23=$E$28, $B88=Proforma!CS$5), 1, IF(CP88="", "", IF(CP88&lt;12, CP88+1, "")))</f>
        <v/>
      </c>
      <c r="CR88" s="252" t="str">
        <f>IF(AND(ModelDescription!$D$23=$E$28, $B88=Proforma!CT$5), 1, IF(CQ88="", "", IF(CQ88&lt;12, CQ88+1, "")))</f>
        <v/>
      </c>
      <c r="CS88" s="252" t="str">
        <f>IF(AND(ModelDescription!$D$23=$E$28, $B88=Proforma!CU$5), 1, IF(CR88="", "", IF(CR88&lt;12, CR88+1, "")))</f>
        <v/>
      </c>
      <c r="CT88" s="252" t="str">
        <f>IF(AND(ModelDescription!$D$23=$E$28, $B88=Proforma!CV$5), 1, IF(CS88="", "", IF(CS88&lt;12, CS88+1, "")))</f>
        <v/>
      </c>
      <c r="CU88" s="252" t="str">
        <f>IF(AND(ModelDescription!$D$23=$E$28, $B88=Proforma!CW$5), 1, IF(CT88="", "", IF(CT88&lt;12, CT88+1, "")))</f>
        <v/>
      </c>
      <c r="CV88" s="252" t="str">
        <f>IF(AND(ModelDescription!$D$23=$E$28, $B88=Proforma!CX$5), 1, IF(CU88="", "", IF(CU88&lt;12, CU88+1, "")))</f>
        <v/>
      </c>
      <c r="CW88" s="252" t="str">
        <f>IF(AND(ModelDescription!$D$23=$E$28, $B88=Proforma!CY$5), 1, IF(CV88="", "", IF(CV88&lt;12, CV88+1, "")))</f>
        <v/>
      </c>
      <c r="CX88" s="252" t="str">
        <f>IF(AND(ModelDescription!$D$23=$E$28, $B88=Proforma!CZ$5), 1, IF(CW88="", "", IF(CW88&lt;12, CW88+1, "")))</f>
        <v/>
      </c>
      <c r="CY88" s="252" t="str">
        <f>IF(AND(ModelDescription!$D$23=$E$28, $B88=Proforma!DA$5), 1, IF(CX88="", "", IF(CX88&lt;12, CX88+1, "")))</f>
        <v/>
      </c>
      <c r="CZ88" s="252" t="str">
        <f>IF(AND(ModelDescription!$D$23=$E$28, $B88=Proforma!DB$5), 1, IF(CY88="", "", IF(CY88&lt;12, CY88+1, "")))</f>
        <v/>
      </c>
      <c r="DA88" s="252" t="str">
        <f>IF(AND(ModelDescription!$D$23=$E$28, $B88=Proforma!DC$5), 1, IF(CZ88="", "", IF(CZ88&lt;12, CZ88+1, "")))</f>
        <v/>
      </c>
      <c r="DB88" s="252" t="str">
        <f>IF(AND(ModelDescription!$D$23=$E$28, $B88=Proforma!DD$5), 1, IF(DA88="", "", IF(DA88&lt;12, DA88+1, "")))</f>
        <v/>
      </c>
      <c r="DC88" s="252" t="str">
        <f>IF(AND(ModelDescription!$D$23=$E$28, $B88=Proforma!DE$5), 1, IF(DB88="", "", IF(DB88&lt;12, DB88+1, "")))</f>
        <v/>
      </c>
      <c r="DD88" s="252" t="str">
        <f>IF(AND(ModelDescription!$D$23=$E$28, $B88=Proforma!DF$5), 1, IF(DC88="", "", IF(DC88&lt;12, DC88+1, "")))</f>
        <v/>
      </c>
      <c r="DE88" s="252" t="str">
        <f>IF(AND(ModelDescription!$D$23=$E$28, $B88=Proforma!DG$5), 1, IF(DD88="", "", IF(DD88&lt;12, DD88+1, "")))</f>
        <v/>
      </c>
      <c r="DF88" s="252" t="str">
        <f>IF(AND(ModelDescription!$D$23=$E$28, $B88=Proforma!DH$5), 1, IF(DE88="", "", IF(DE88&lt;12, DE88+1, "")))</f>
        <v/>
      </c>
      <c r="DG88" s="252" t="str">
        <f>IF(AND(ModelDescription!$D$23=$E$28, $B88=Proforma!DI$5), 1, IF(DF88="", "", IF(DF88&lt;12, DF88+1, "")))</f>
        <v/>
      </c>
      <c r="DH88" s="252" t="str">
        <f>IF(AND(ModelDescription!$D$23=$E$28, $B88=Proforma!DJ$5), 1, IF(DG88="", "", IF(DG88&lt;12, DG88+1, "")))</f>
        <v/>
      </c>
      <c r="DI88" s="252" t="str">
        <f>IF(AND(ModelDescription!$D$23=$E$28, $B88=Proforma!DK$5), 1, IF(DH88="", "", IF(DH88&lt;12, DH88+1, "")))</f>
        <v/>
      </c>
      <c r="DJ88" s="252" t="str">
        <f>IF(AND(ModelDescription!$D$23=$E$28, $B88=Proforma!DL$5), 1, IF(DI88="", "", IF(DI88&lt;12, DI88+1, "")))</f>
        <v/>
      </c>
      <c r="DK88" s="252" t="str">
        <f>IF(AND(ModelDescription!$D$23=$E$28, $B88=Proforma!DM$5), 1, IF(DJ88="", "", IF(DJ88&lt;12, DJ88+1, "")))</f>
        <v/>
      </c>
      <c r="DL88" s="252" t="str">
        <f>IF(AND(ModelDescription!$D$23=$E$28, $B88=Proforma!DN$5), 1, IF(DK88="", "", IF(DK88&lt;12, DK88+1, "")))</f>
        <v/>
      </c>
      <c r="DM88" s="252" t="str">
        <f>IF(AND(ModelDescription!$D$23=$E$28, $B88=Proforma!DO$5), 1, IF(DL88="", "", IF(DL88&lt;12, DL88+1, "")))</f>
        <v/>
      </c>
      <c r="DN88" s="252" t="str">
        <f>IF(AND(ModelDescription!$D$23=$E$28, $B88=Proforma!DP$5), 1, IF(DM88="", "", IF(DM88&lt;12, DM88+1, "")))</f>
        <v/>
      </c>
      <c r="DO88" s="252" t="str">
        <f>IF(AND(ModelDescription!$D$23=$E$28, $B88=Proforma!DQ$5), 1, IF(DN88="", "", IF(DN88&lt;12, DN88+1, "")))</f>
        <v/>
      </c>
      <c r="DP88" s="252" t="str">
        <f>IF(AND(ModelDescription!$D$23=$E$28, $B88=Proforma!DR$5), 1, IF(DO88="", "", IF(DO88&lt;12, DO88+1, "")))</f>
        <v/>
      </c>
      <c r="DQ88" s="252" t="str">
        <f>IF(AND(ModelDescription!$D$23=$E$28, $B88=Proforma!DS$5), 1, IF(DP88="", "", IF(DP88&lt;12, DP88+1, "")))</f>
        <v/>
      </c>
      <c r="DR88" s="252" t="str">
        <f>IF(AND(ModelDescription!$D$23=$E$28, $B88=Proforma!DT$5), 1, IF(DQ88="", "", IF(DQ88&lt;12, DQ88+1, "")))</f>
        <v/>
      </c>
      <c r="DS88" s="252" t="str">
        <f>IF(AND(ModelDescription!$D$23=$E$28, $B88=Proforma!DU$5), 1, IF(DR88="", "", IF(DR88&lt;12, DR88+1, "")))</f>
        <v/>
      </c>
      <c r="DT88" s="252" t="str">
        <f>IF(AND(ModelDescription!$D$23=$E$28, $B88=Proforma!DV$5), 1, IF(DS88="", "", IF(DS88&lt;12, DS88+1, "")))</f>
        <v/>
      </c>
      <c r="DU88" s="252" t="str">
        <f>IF(AND(ModelDescription!$D$23=$E$28, $B88=Proforma!DW$5), 1, IF(DT88="", "", IF(DT88&lt;12, DT88+1, "")))</f>
        <v/>
      </c>
      <c r="DV88" s="252" t="str">
        <f>IF(AND(ModelDescription!$D$23=$E$28, $B88=Proforma!DX$5), 1, IF(DU88="", "", IF(DU88&lt;12, DU88+1, "")))</f>
        <v/>
      </c>
      <c r="DW88" s="252" t="str">
        <f>IF(AND(ModelDescription!$D$23=$E$28, $B88=Proforma!DY$5), 1, IF(DV88="", "", IF(DV88&lt;12, DV88+1, "")))</f>
        <v/>
      </c>
      <c r="DX88" s="252" t="str">
        <f>IF(AND(ModelDescription!$D$23=$E$28, $B88=Proforma!DZ$5), 1, IF(DW88="", "", IF(DW88&lt;12, DW88+1, "")))</f>
        <v/>
      </c>
      <c r="DY88" s="252" t="str">
        <f>IF(AND(ModelDescription!$D$23=$E$28, $B88=Proforma!EA$5), 1, IF(DX88="", "", IF(DX88&lt;12, DX88+1, "")))</f>
        <v/>
      </c>
      <c r="DZ88" s="252" t="str">
        <f>IF(AND(ModelDescription!$D$23=$E$28, $B88=Proforma!EB$5), 1, IF(DY88="", "", IF(DY88&lt;12, DY88+1, "")))</f>
        <v/>
      </c>
      <c r="EA88" s="252" t="str">
        <f>IF(AND(ModelDescription!$D$23=$E$28, $B88=Proforma!EC$5), 1, IF(DZ88="", "", IF(DZ88&lt;12, DZ88+1, "")))</f>
        <v/>
      </c>
      <c r="EB88" s="252" t="str">
        <f>IF(AND(ModelDescription!$D$23=$E$28, $B88=Proforma!ED$5), 1, IF(EA88="", "", IF(EA88&lt;12, EA88+1, "")))</f>
        <v/>
      </c>
      <c r="EC88" s="252" t="str">
        <f>IF(AND(ModelDescription!$D$23=$E$28, $B88=Proforma!EE$5), 1, IF(EB88="", "", IF(EB88&lt;12, EB88+1, "")))</f>
        <v/>
      </c>
      <c r="ED88" s="252" t="str">
        <f>IF(AND(ModelDescription!$D$23=$E$28, $B88=Proforma!EF$5), 1, IF(EC88="", "", IF(EC88&lt;12, EC88+1, "")))</f>
        <v/>
      </c>
      <c r="EE88" s="252" t="str">
        <f>IF(AND(ModelDescription!$D$23=$E$28, $B88=Proforma!EG$5), 1, IF(ED88="", "", IF(ED88&lt;12, ED88+1, "")))</f>
        <v/>
      </c>
      <c r="EF88" s="252" t="str">
        <f>IF(AND(ModelDescription!$D$23=$E$28, $B88=Proforma!EH$5), 1, IF(EE88="", "", IF(EE88&lt;12, EE88+1, "")))</f>
        <v/>
      </c>
      <c r="EG88" s="252" t="str">
        <f>IF(AND(ModelDescription!$D$23=$E$28, $B88=Proforma!EI$5), 1, IF(EF88="", "", IF(EF88&lt;12, EF88+1, "")))</f>
        <v/>
      </c>
      <c r="EH88" s="252" t="str">
        <f>IF(AND(ModelDescription!$D$23=$E$28, $B88=Proforma!EJ$5), 1, IF(EG88="", "", IF(EG88&lt;12, EG88+1, "")))</f>
        <v/>
      </c>
      <c r="EI88" s="252" t="str">
        <f>IF(AND(ModelDescription!$D$23=$E$28, $B88=Proforma!EK$5), 1, IF(EH88="", "", IF(EH88&lt;12, EH88+1, "")))</f>
        <v/>
      </c>
      <c r="EJ88" s="252" t="str">
        <f>IF(AND(ModelDescription!$D$23=$E$28, $B88=Proforma!EL$5), 1, IF(EI88="", "", IF(EI88&lt;12, EI88+1, "")))</f>
        <v/>
      </c>
      <c r="EK88" s="252" t="str">
        <f>IF(AND(ModelDescription!$D$23=$E$28, $B88=Proforma!EM$5), 1, IF(EJ88="", "", IF(EJ88&lt;12, EJ88+1, "")))</f>
        <v/>
      </c>
      <c r="EL88" s="252" t="str">
        <f>IF(AND(ModelDescription!$D$23=$E$28, $B88=Proforma!EN$5), 1, IF(EK88="", "", IF(EK88&lt;12, EK88+1, "")))</f>
        <v/>
      </c>
      <c r="EM88" s="252" t="str">
        <f>IF(AND(ModelDescription!$D$23=$E$28, $B88=Proforma!EO$5), 1, IF(EL88="", "", IF(EL88&lt;12, EL88+1, "")))</f>
        <v/>
      </c>
      <c r="EN88" s="252" t="str">
        <f>IF(AND(ModelDescription!$D$23=$E$28, $B88=Proforma!EP$5), 1, IF(EM88="", "", IF(EM88&lt;12, EM88+1, "")))</f>
        <v/>
      </c>
      <c r="EO88" s="252" t="str">
        <f>IF(AND(ModelDescription!$D$23=$E$28, $B88=Proforma!EQ$5), 1, IF(EN88="", "", IF(EN88&lt;12, EN88+1, "")))</f>
        <v/>
      </c>
      <c r="EP88" s="252" t="str">
        <f>IF(AND(ModelDescription!$D$23=$E$28, $B88=Proforma!ER$5), 1, IF(EO88="", "", IF(EO88&lt;12, EO88+1, "")))</f>
        <v/>
      </c>
      <c r="EQ88" s="252" t="str">
        <f>IF(AND(ModelDescription!$D$23=$E$28, $B88=Proforma!ES$5), 1, IF(EP88="", "", IF(EP88&lt;12, EP88+1, "")))</f>
        <v/>
      </c>
      <c r="ER88" s="252" t="str">
        <f>IF(AND(ModelDescription!$D$23=$E$28, $B88=Proforma!ET$5), 1, IF(EQ88="", "", IF(EQ88&lt;12, EQ88+1, "")))</f>
        <v/>
      </c>
      <c r="ES88" s="252" t="str">
        <f>IF(AND(ModelDescription!$D$23=$E$28, $B88=Proforma!EU$5), 1, IF(ER88="", "", IF(ER88&lt;12, ER88+1, "")))</f>
        <v/>
      </c>
      <c r="ET88" s="252" t="str">
        <f>IF(AND(ModelDescription!$D$23=$E$28, $B88=Proforma!EV$5), 1, IF(ES88="", "", IF(ES88&lt;12, ES88+1, "")))</f>
        <v/>
      </c>
      <c r="EU88" s="252" t="str">
        <f>IF(AND(ModelDescription!$D$23=$E$28, $B88=Proforma!EW$5), 1, IF(ET88="", "", IF(ET88&lt;12, ET88+1, "")))</f>
        <v/>
      </c>
      <c r="EV88" s="252" t="str">
        <f>IF(AND(ModelDescription!$D$23=$E$28, $B88=Proforma!EX$5), 1, IF(EU88="", "", IF(EU88&lt;12, EU88+1, "")))</f>
        <v/>
      </c>
      <c r="EW88" s="252" t="str">
        <f>IF(AND(ModelDescription!$D$23=$E$28, $B88=Proforma!EY$5), 1, IF(EV88="", "", IF(EV88&lt;12, EV88+1, "")))</f>
        <v/>
      </c>
      <c r="EX88" s="252" t="str">
        <f>IF(AND(ModelDescription!$D$23=$E$28, $B88=Proforma!EZ$5), 1, IF(EW88="", "", IF(EW88&lt;12, EW88+1, "")))</f>
        <v/>
      </c>
      <c r="EY88" s="252" t="str">
        <f>IF(AND(ModelDescription!$D$23=$E$28, $B88=Proforma!FA$5), 1, IF(EX88="", "", IF(EX88&lt;12, EX88+1, "")))</f>
        <v/>
      </c>
      <c r="EZ88" s="252" t="str">
        <f>IF(AND(ModelDescription!$D$23=$E$28, $B88=Proforma!FB$5), 1, IF(EY88="", "", IF(EY88&lt;12, EY88+1, "")))</f>
        <v/>
      </c>
      <c r="FA88" s="252" t="str">
        <f>IF(AND(ModelDescription!$D$23=$E$28, $B88=Proforma!FC$5), 1, IF(EZ88="", "", IF(EZ88&lt;12, EZ88+1, "")))</f>
        <v/>
      </c>
      <c r="FB88" s="252" t="str">
        <f>IF(AND(ModelDescription!$D$23=$E$28, $B88=Proforma!FD$5), 1, IF(FA88="", "", IF(FA88&lt;12, FA88+1, "")))</f>
        <v/>
      </c>
      <c r="FC88" s="252" t="str">
        <f>IF(AND(ModelDescription!$D$23=$E$28, $B88=Proforma!FE$5), 1, IF(FB88="", "", IF(FB88&lt;12, FB88+1, "")))</f>
        <v/>
      </c>
      <c r="FD88" s="252" t="str">
        <f>IF(AND(ModelDescription!$D$23=$E$28, $B88=Proforma!FF$5), 1, IF(FC88="", "", IF(FC88&lt;12, FC88+1, "")))</f>
        <v/>
      </c>
      <c r="FE88" s="252" t="str">
        <f>IF(AND(ModelDescription!$D$23=$E$28, $B88=Proforma!FG$5), 1, IF(FD88="", "", IF(FD88&lt;12, FD88+1, "")))</f>
        <v/>
      </c>
      <c r="FF88" s="252" t="str">
        <f>IF(AND(ModelDescription!$D$23=$E$28, $B88=Proforma!FH$5), 1, IF(FE88="", "", IF(FE88&lt;12, FE88+1, "")))</f>
        <v/>
      </c>
      <c r="FG88" s="252" t="str">
        <f>IF(AND(ModelDescription!$D$23=$E$28, $B88=Proforma!FI$5), 1, IF(FF88="", "", IF(FF88&lt;12, FF88+1, "")))</f>
        <v/>
      </c>
      <c r="FH88" s="252" t="str">
        <f>IF(AND(ModelDescription!$D$23=$E$28, $B88=Proforma!FJ$5), 1, IF(FG88="", "", IF(FG88&lt;12, FG88+1, "")))</f>
        <v/>
      </c>
      <c r="FI88" s="252" t="str">
        <f>IF(AND(ModelDescription!$D$23=$E$28, $B88=Proforma!FK$5), 1, IF(FH88="", "", IF(FH88&lt;12, FH88+1, "")))</f>
        <v/>
      </c>
      <c r="FJ88" s="252" t="str">
        <f>IF(AND(ModelDescription!$D$23=$E$28, $B88=Proforma!FL$5), 1, IF(FI88="", "", IF(FI88&lt;12, FI88+1, "")))</f>
        <v/>
      </c>
      <c r="FK88" s="252" t="str">
        <f>IF(AND(ModelDescription!$D$23=$E$28, $B88=Proforma!FM$5), 1, IF(FJ88="", "", IF(FJ88&lt;12, FJ88+1, "")))</f>
        <v/>
      </c>
      <c r="FL88" s="252" t="str">
        <f>IF(AND(ModelDescription!$D$23=$E$28, $B88=Proforma!FN$5), 1, IF(FK88="", "", IF(FK88&lt;12, FK88+1, "")))</f>
        <v/>
      </c>
      <c r="FM88" s="252" t="str">
        <f>IF(AND(ModelDescription!$D$23=$E$28, $B88=Proforma!FO$5), 1, IF(FL88="", "", IF(FL88&lt;12, FL88+1, "")))</f>
        <v/>
      </c>
      <c r="FN88" s="252" t="str">
        <f>IF(AND(ModelDescription!$D$23=$E$28, $B88=Proforma!FP$5), 1, IF(FM88="", "", IF(FM88&lt;12, FM88+1, "")))</f>
        <v/>
      </c>
      <c r="FO88" s="252" t="str">
        <f>IF(AND(ModelDescription!$D$23=$E$28, $B88=Proforma!FQ$5), 1, IF(FN88="", "", IF(FN88&lt;12, FN88+1, "")))</f>
        <v/>
      </c>
      <c r="FP88" s="252" t="str">
        <f>IF(AND(ModelDescription!$D$23=$E$28, $B88=Proforma!FR$5), 1, IF(FO88="", "", IF(FO88&lt;12, FO88+1, "")))</f>
        <v/>
      </c>
      <c r="FQ88" s="252" t="str">
        <f>IF(AND(ModelDescription!$D$23=$E$28, $B88=Proforma!FS$5), 1, IF(FP88="", "", IF(FP88&lt;12, FP88+1, "")))</f>
        <v/>
      </c>
      <c r="FR88" s="252" t="str">
        <f>IF(AND(ModelDescription!$D$23=$E$28, $B88=Proforma!FT$5), 1, IF(FQ88="", "", IF(FQ88&lt;12, FQ88+1, "")))</f>
        <v/>
      </c>
      <c r="FS88" s="252" t="str">
        <f>IF(AND(ModelDescription!$D$23=$E$28, $B88=Proforma!FU$5), 1, IF(FR88="", "", IF(FR88&lt;12, FR88+1, "")))</f>
        <v/>
      </c>
      <c r="FT88" s="252" t="str">
        <f>IF(AND(ModelDescription!$D$23=$E$28, $B88=Proforma!FV$5), 1, IF(FS88="", "", IF(FS88&lt;12, FS88+1, "")))</f>
        <v/>
      </c>
      <c r="FU88" s="252" t="str">
        <f>IF(AND(ModelDescription!$D$23=$E$28, $B88=Proforma!FW$5), 1, IF(FT88="", "", IF(FT88&lt;12, FT88+1, "")))</f>
        <v/>
      </c>
      <c r="FV88" s="252" t="str">
        <f>IF(AND(ModelDescription!$D$23=$E$28, $B88=Proforma!FX$5), 1, IF(FU88="", "", IF(FU88&lt;12, FU88+1, "")))</f>
        <v/>
      </c>
      <c r="FW88" s="252" t="str">
        <f>IF(AND(ModelDescription!$D$23=$E$28, $B88=Proforma!FY$5), 1, IF(FV88="", "", IF(FV88&lt;12, FV88+1, "")))</f>
        <v/>
      </c>
      <c r="FX88" s="252" t="str">
        <f>IF(AND(ModelDescription!$D$23=$E$28, $B88=Proforma!FZ$5), 1, IF(FW88="", "", IF(FW88&lt;12, FW88+1, "")))</f>
        <v/>
      </c>
      <c r="FY88" s="252" t="str">
        <f>IF(AND(ModelDescription!$D$23=$E$28, $B88=Proforma!GA$5), 1, IF(FX88="", "", IF(FX88&lt;12, FX88+1, "")))</f>
        <v/>
      </c>
      <c r="FZ88" s="252" t="str">
        <f>IF(AND(ModelDescription!$D$23=$E$28, $B88=Proforma!GB$5), 1, IF(FY88="", "", IF(FY88&lt;12, FY88+1, "")))</f>
        <v/>
      </c>
      <c r="GA88" s="252" t="str">
        <f>IF(AND(ModelDescription!$D$23=$E$28, $B88=Proforma!GC$5), 1, IF(FZ88="", "", IF(FZ88&lt;12, FZ88+1, "")))</f>
        <v/>
      </c>
    </row>
    <row r="91" spans="1:183">
      <c r="I91" s="11"/>
    </row>
    <row r="94" spans="1:183">
      <c r="I94" s="17"/>
    </row>
    <row r="95" spans="1:183">
      <c r="I95" s="17"/>
    </row>
    <row r="96" spans="1:183">
      <c r="I96" s="17"/>
    </row>
    <row r="97" spans="9:9">
      <c r="I97" s="17"/>
    </row>
    <row r="98" spans="9:9">
      <c r="I98" s="17"/>
    </row>
    <row r="99" spans="9:9">
      <c r="I99" s="17"/>
    </row>
    <row r="100" spans="9:9">
      <c r="I100" s="17"/>
    </row>
    <row r="101" spans="9:9">
      <c r="I101" s="17"/>
    </row>
    <row r="102" spans="9:9">
      <c r="I102" s="17"/>
    </row>
  </sheetData>
  <phoneticPr fontId="15" type="noConversion"/>
  <conditionalFormatting sqref="Q7:U27">
    <cfRule type="expression" dxfId="5" priority="8">
      <formula>$Q7=$D$13</formula>
    </cfRule>
  </conditionalFormatting>
  <conditionalFormatting sqref="Q30:U49">
    <cfRule type="expression" dxfId="4" priority="7">
      <formula>$Q30=$D$66</formula>
    </cfRule>
  </conditionalFormatting>
  <conditionalFormatting sqref="Q52:U71">
    <cfRule type="expression" dxfId="3" priority="6">
      <formula>$Q52=$D$53</formula>
    </cfRule>
  </conditionalFormatting>
  <conditionalFormatting sqref="AF7:AJ27">
    <cfRule type="expression" dxfId="2" priority="4">
      <formula>$AF7=$D$16</formula>
    </cfRule>
  </conditionalFormatting>
  <conditionalFormatting sqref="AF30:AJ49">
    <cfRule type="expression" dxfId="1" priority="5">
      <formula>$AF30=$D$17</formula>
    </cfRule>
  </conditionalFormatting>
  <conditionalFormatting sqref="AG51:AZ51">
    <cfRule type="expression" dxfId="0" priority="2">
      <formula>$AF51=$D$17</formula>
    </cfRule>
  </conditionalFormatting>
  <conditionalFormatting sqref="AG52:AZ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74" orientation="portrait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DC22-BA4E-49A8-A7C1-68AB030F3D93}">
  <sheetPr>
    <pageSetUpPr fitToPage="1"/>
  </sheetPr>
  <dimension ref="A2:D23"/>
  <sheetViews>
    <sheetView workbookViewId="0">
      <selection activeCell="C9" sqref="C9"/>
    </sheetView>
  </sheetViews>
  <sheetFormatPr defaultColWidth="8.85546875" defaultRowHeight="15"/>
  <cols>
    <col min="2" max="2" width="34.42578125" bestFit="1" customWidth="1"/>
    <col min="4" max="4" width="17.85546875" bestFit="1" customWidth="1"/>
    <col min="5" max="5" width="4.28515625" customWidth="1"/>
    <col min="6" max="6" width="14" bestFit="1" customWidth="1"/>
    <col min="9" max="9" width="10.85546875" bestFit="1" customWidth="1"/>
    <col min="10" max="10" width="14.28515625" bestFit="1" customWidth="1"/>
    <col min="11" max="11" width="10.42578125" bestFit="1" customWidth="1"/>
  </cols>
  <sheetData>
    <row r="2" spans="1:4">
      <c r="A2" s="10" t="str">
        <f>ModelDescription!A2</f>
        <v>Economic Forecasting Model</v>
      </c>
    </row>
    <row r="3" spans="1:4">
      <c r="A3" s="10" t="str">
        <f>ModelDescription!C4</f>
        <v>Noble, OK 6 Processor Facility - Series A + Series B</v>
      </c>
    </row>
    <row r="5" spans="1:4">
      <c r="A5" s="6" t="s">
        <v>308</v>
      </c>
    </row>
    <row r="6" spans="1:4">
      <c r="B6" t="s">
        <v>309</v>
      </c>
    </row>
    <row r="7" spans="1:4">
      <c r="B7" t="s">
        <v>310</v>
      </c>
      <c r="C7" s="205">
        <v>3.5000000000000003E-2</v>
      </c>
      <c r="D7" t="s">
        <v>311</v>
      </c>
    </row>
    <row r="8" spans="1:4">
      <c r="B8" t="s">
        <v>312</v>
      </c>
      <c r="C8" s="206">
        <v>1</v>
      </c>
      <c r="D8" t="s">
        <v>313</v>
      </c>
    </row>
    <row r="9" spans="1:4">
      <c r="B9" t="s">
        <v>314</v>
      </c>
      <c r="C9" s="205">
        <f>0.2-C7</f>
        <v>0.16500000000000001</v>
      </c>
      <c r="D9" t="s">
        <v>315</v>
      </c>
    </row>
    <row r="11" spans="1:4">
      <c r="A11" s="6" t="s">
        <v>316</v>
      </c>
    </row>
    <row r="12" spans="1:4">
      <c r="B12" t="s">
        <v>317</v>
      </c>
      <c r="C12" s="205">
        <v>0.08</v>
      </c>
      <c r="D12" t="s">
        <v>318</v>
      </c>
    </row>
    <row r="14" spans="1:4">
      <c r="A14" s="6" t="s">
        <v>319</v>
      </c>
    </row>
    <row r="15" spans="1:4">
      <c r="B15" t="s">
        <v>320</v>
      </c>
      <c r="C15" s="194">
        <v>1</v>
      </c>
    </row>
    <row r="16" spans="1:4">
      <c r="B16" t="s">
        <v>321</v>
      </c>
      <c r="C16" s="1">
        <f>1-C15</f>
        <v>0</v>
      </c>
    </row>
    <row r="18" spans="1:4">
      <c r="B18" t="s">
        <v>322</v>
      </c>
      <c r="C18" s="194">
        <f>15%+6%</f>
        <v>0.21</v>
      </c>
      <c r="D18" t="s">
        <v>323</v>
      </c>
    </row>
    <row r="20" spans="1:4">
      <c r="A20" s="6" t="s">
        <v>324</v>
      </c>
    </row>
    <row r="21" spans="1:4">
      <c r="B21" t="s">
        <v>316</v>
      </c>
      <c r="C21">
        <f>C16*(C12*100-(1-C18))</f>
        <v>0</v>
      </c>
    </row>
    <row r="22" spans="1:4">
      <c r="B22" t="s">
        <v>325</v>
      </c>
      <c r="C22">
        <f>C15*(C7*100+C8*C9*100)</f>
        <v>20</v>
      </c>
    </row>
    <row r="23" spans="1:4">
      <c r="B23" s="175" t="s">
        <v>326</v>
      </c>
      <c r="C23" s="176">
        <f>(C21+C22)/100</f>
        <v>0.2</v>
      </c>
    </row>
  </sheetData>
  <pageMargins left="0.7" right="0.7" top="0.75" bottom="0.75" header="0.3" footer="0.3"/>
  <pageSetup paperSize="9" scale="8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EA21-0B1D-4D55-BF30-949B09152F28}">
  <dimension ref="A2:Q158"/>
  <sheetViews>
    <sheetView topLeftCell="A79" workbookViewId="0">
      <selection activeCell="B126" sqref="B126"/>
    </sheetView>
  </sheetViews>
  <sheetFormatPr defaultColWidth="8.85546875" defaultRowHeight="15" customHeight="1"/>
  <cols>
    <col min="2" max="2" width="71.42578125" bestFit="1" customWidth="1"/>
    <col min="3" max="3" width="12.42578125" customWidth="1"/>
    <col min="4" max="5" width="14.42578125" customWidth="1"/>
    <col min="6" max="17" width="12.85546875" customWidth="1"/>
  </cols>
  <sheetData>
    <row r="2" spans="1:17" s="78" customFormat="1" ht="15" customHeight="1">
      <c r="A2" s="10" t="str">
        <f>ModelDescription!A2</f>
        <v>Economic Forecasting Model</v>
      </c>
      <c r="B2" s="46"/>
    </row>
    <row r="3" spans="1:17" s="78" customFormat="1" ht="15" customHeight="1">
      <c r="A3" s="10" t="str">
        <f>ModelDescription!C4</f>
        <v>Noble, OK 6 Processor Facility - Series A + Series B</v>
      </c>
      <c r="B3" s="46"/>
    </row>
    <row r="4" spans="1:17" s="78" customFormat="1" ht="15" customHeight="1">
      <c r="A4" s="216"/>
      <c r="B4" s="46"/>
    </row>
    <row r="5" spans="1:17" ht="15" customHeight="1">
      <c r="A5" s="7"/>
      <c r="B5" s="7" t="s">
        <v>69</v>
      </c>
      <c r="C5" s="7"/>
      <c r="D5" s="7"/>
      <c r="E5" s="7"/>
      <c r="F5" s="8">
        <f>Assumptions!D76</f>
        <v>1</v>
      </c>
      <c r="G5" s="8">
        <f>Assumptions!E76</f>
        <v>2</v>
      </c>
      <c r="H5" s="8">
        <f>Assumptions!F76</f>
        <v>3</v>
      </c>
      <c r="I5" s="8">
        <f>Assumptions!G76</f>
        <v>4</v>
      </c>
      <c r="J5" s="8">
        <f>Assumptions!H76</f>
        <v>5</v>
      </c>
      <c r="K5" s="8">
        <f>Assumptions!I76</f>
        <v>6</v>
      </c>
      <c r="L5" s="8">
        <f>Assumptions!J76</f>
        <v>7</v>
      </c>
      <c r="M5" s="8">
        <f>Assumptions!K76</f>
        <v>8</v>
      </c>
      <c r="N5" s="8">
        <f>Assumptions!L76</f>
        <v>9</v>
      </c>
      <c r="O5" s="8">
        <f>Assumptions!M76</f>
        <v>10</v>
      </c>
      <c r="P5" s="8">
        <f>Assumptions!N76</f>
        <v>11</v>
      </c>
      <c r="Q5" s="8">
        <f>Assumptions!O76</f>
        <v>12</v>
      </c>
    </row>
    <row r="6" spans="1:17" ht="15" customHeight="1">
      <c r="A6" s="7"/>
      <c r="B6" s="7" t="s">
        <v>26</v>
      </c>
      <c r="C6" s="7"/>
      <c r="D6" s="7"/>
      <c r="E6" s="7"/>
      <c r="F6" s="8">
        <f>Assumptions!E77</f>
        <v>2026</v>
      </c>
      <c r="G6" s="8">
        <f>Assumptions!F77</f>
        <v>2026</v>
      </c>
      <c r="H6" s="8">
        <f>Assumptions!G77</f>
        <v>2026</v>
      </c>
      <c r="I6" s="8">
        <f>Assumptions!H77</f>
        <v>2026</v>
      </c>
      <c r="J6" s="8">
        <f>Assumptions!I77</f>
        <v>2026</v>
      </c>
      <c r="K6" s="8">
        <f>Assumptions!J77</f>
        <v>2026</v>
      </c>
      <c r="L6" s="8">
        <f>Assumptions!K77</f>
        <v>2026</v>
      </c>
      <c r="M6" s="8">
        <f>Assumptions!L77</f>
        <v>2026</v>
      </c>
      <c r="N6" s="8">
        <f>Assumptions!M77</f>
        <v>2026</v>
      </c>
      <c r="O6" s="8">
        <f>Assumptions!N77</f>
        <v>2026</v>
      </c>
      <c r="P6" s="8">
        <f>Assumptions!O77</f>
        <v>2026</v>
      </c>
      <c r="Q6" s="8">
        <f>Assumptions!P77</f>
        <v>2027</v>
      </c>
    </row>
    <row r="7" spans="1:17" ht="15" customHeight="1">
      <c r="A7" s="7"/>
      <c r="B7" s="7" t="s">
        <v>70</v>
      </c>
      <c r="C7" s="7"/>
      <c r="D7" s="7"/>
      <c r="E7" s="7"/>
      <c r="F7" s="8" t="str">
        <f>Assumptions!E78</f>
        <v>Feb</v>
      </c>
      <c r="G7" s="8" t="str">
        <f>Assumptions!F78</f>
        <v>Mar</v>
      </c>
      <c r="H7" s="8" t="str">
        <f>Assumptions!G78</f>
        <v>Apr</v>
      </c>
      <c r="I7" s="8" t="str">
        <f>Assumptions!H78</f>
        <v>May</v>
      </c>
      <c r="J7" s="8" t="str">
        <f>Assumptions!I78</f>
        <v>Jun</v>
      </c>
      <c r="K7" s="8" t="str">
        <f>Assumptions!J78</f>
        <v>Jul</v>
      </c>
      <c r="L7" s="8" t="str">
        <f>Assumptions!K78</f>
        <v>Aug</v>
      </c>
      <c r="M7" s="8" t="str">
        <f>Assumptions!L78</f>
        <v>Sep</v>
      </c>
      <c r="N7" s="8" t="str">
        <f>Assumptions!M78</f>
        <v>Oct</v>
      </c>
      <c r="O7" s="8" t="str">
        <f>Assumptions!N78</f>
        <v>Nov</v>
      </c>
      <c r="P7" s="8" t="str">
        <f>Assumptions!O78</f>
        <v>Dec</v>
      </c>
      <c r="Q7" s="8" t="str">
        <f>Assumptions!P78</f>
        <v>Jan</v>
      </c>
    </row>
    <row r="8" spans="1:17" ht="15" customHeight="1">
      <c r="A8" s="7"/>
      <c r="B8" s="7" t="s">
        <v>71</v>
      </c>
      <c r="C8" s="7"/>
      <c r="D8" s="7"/>
      <c r="E8" s="7"/>
      <c r="F8" s="8">
        <f>Assumptions!E80</f>
        <v>28</v>
      </c>
      <c r="G8" s="8">
        <f>Assumptions!F80</f>
        <v>31</v>
      </c>
      <c r="H8" s="8">
        <f>Assumptions!G80</f>
        <v>30</v>
      </c>
      <c r="I8" s="8">
        <f>Assumptions!H80</f>
        <v>31</v>
      </c>
      <c r="J8" s="8">
        <f>Assumptions!I80</f>
        <v>30</v>
      </c>
      <c r="K8" s="8">
        <f>Assumptions!J80</f>
        <v>31</v>
      </c>
      <c r="L8" s="8">
        <f>Assumptions!K80</f>
        <v>31</v>
      </c>
      <c r="M8" s="8">
        <f>Assumptions!L80</f>
        <v>30</v>
      </c>
      <c r="N8" s="8">
        <f>Assumptions!M80</f>
        <v>31</v>
      </c>
      <c r="O8" s="8">
        <f>Assumptions!N80</f>
        <v>30</v>
      </c>
      <c r="P8" s="8">
        <f>Assumptions!O80</f>
        <v>31</v>
      </c>
      <c r="Q8" s="8">
        <f>Assumptions!P80</f>
        <v>31</v>
      </c>
    </row>
    <row r="9" spans="1:17" ht="15" customHeight="1">
      <c r="A9" s="178"/>
      <c r="B9" s="178"/>
      <c r="C9" s="178"/>
      <c r="D9" s="178"/>
      <c r="E9" s="178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</row>
    <row r="10" spans="1:17" s="174" customFormat="1" ht="15" customHeight="1">
      <c r="A10" s="217" t="s">
        <v>327</v>
      </c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</row>
    <row r="11" spans="1:17" ht="15" customHeight="1">
      <c r="A11" s="121"/>
      <c r="B11" s="121" t="s">
        <v>328</v>
      </c>
      <c r="C11" s="121" t="s">
        <v>27</v>
      </c>
      <c r="D11" s="121"/>
      <c r="E11" s="121"/>
      <c r="F11" s="121">
        <v>1</v>
      </c>
      <c r="G11" s="121">
        <v>2</v>
      </c>
      <c r="H11" s="121">
        <v>3</v>
      </c>
      <c r="I11" s="121">
        <v>4</v>
      </c>
      <c r="J11" s="121">
        <v>5</v>
      </c>
      <c r="K11" s="121">
        <v>6</v>
      </c>
      <c r="L11" s="121">
        <v>7</v>
      </c>
      <c r="M11" s="121">
        <v>8</v>
      </c>
      <c r="N11" s="121">
        <v>9</v>
      </c>
      <c r="O11" s="121">
        <v>10</v>
      </c>
      <c r="P11" s="121">
        <v>11</v>
      </c>
      <c r="Q11" s="121">
        <v>12</v>
      </c>
    </row>
    <row r="12" spans="1:17" ht="15" customHeight="1">
      <c r="A12" s="121"/>
      <c r="B12" s="218" t="s">
        <v>82</v>
      </c>
      <c r="C12" s="219">
        <f>C58</f>
        <v>7290597.9999999991</v>
      </c>
      <c r="D12" s="218"/>
      <c r="E12" s="218"/>
      <c r="F12" s="219">
        <f>F58</f>
        <v>4200199.333333333</v>
      </c>
      <c r="G12" s="219">
        <f t="shared" ref="G12:Q12" si="0">G58</f>
        <v>1698949.3333333333</v>
      </c>
      <c r="H12" s="219">
        <f t="shared" si="0"/>
        <v>1391449.3333333333</v>
      </c>
      <c r="I12" s="219">
        <f t="shared" si="0"/>
        <v>0</v>
      </c>
      <c r="J12" s="219">
        <f t="shared" si="0"/>
        <v>0</v>
      </c>
      <c r="K12" s="219">
        <f t="shared" si="0"/>
        <v>0</v>
      </c>
      <c r="L12" s="219">
        <f t="shared" si="0"/>
        <v>0</v>
      </c>
      <c r="M12" s="219">
        <f t="shared" si="0"/>
        <v>0</v>
      </c>
      <c r="N12" s="219">
        <f t="shared" si="0"/>
        <v>0</v>
      </c>
      <c r="O12" s="219">
        <f t="shared" si="0"/>
        <v>0</v>
      </c>
      <c r="P12" s="219">
        <f t="shared" si="0"/>
        <v>0</v>
      </c>
      <c r="Q12" s="219">
        <f t="shared" si="0"/>
        <v>0</v>
      </c>
    </row>
    <row r="13" spans="1:17" ht="15" customHeight="1">
      <c r="A13" s="121"/>
      <c r="B13" s="218" t="s">
        <v>83</v>
      </c>
      <c r="C13" s="219">
        <f>C81</f>
        <v>4697250</v>
      </c>
      <c r="D13" s="218"/>
      <c r="E13" s="218"/>
      <c r="F13" s="219">
        <f>F81</f>
        <v>1703250</v>
      </c>
      <c r="G13" s="219">
        <f t="shared" ref="G13:Q13" si="1">G81</f>
        <v>1309500</v>
      </c>
      <c r="H13" s="219">
        <f t="shared" si="1"/>
        <v>1309500</v>
      </c>
      <c r="I13" s="219">
        <f t="shared" si="1"/>
        <v>375000</v>
      </c>
      <c r="J13" s="219">
        <f t="shared" si="1"/>
        <v>0</v>
      </c>
      <c r="K13" s="219">
        <f t="shared" si="1"/>
        <v>0</v>
      </c>
      <c r="L13" s="219">
        <f t="shared" si="1"/>
        <v>0</v>
      </c>
      <c r="M13" s="219">
        <f t="shared" si="1"/>
        <v>0</v>
      </c>
      <c r="N13" s="219">
        <f t="shared" si="1"/>
        <v>0</v>
      </c>
      <c r="O13" s="219">
        <f t="shared" si="1"/>
        <v>0</v>
      </c>
      <c r="P13" s="219">
        <f t="shared" si="1"/>
        <v>0</v>
      </c>
      <c r="Q13" s="219">
        <f t="shared" si="1"/>
        <v>0</v>
      </c>
    </row>
    <row r="14" spans="1:17" ht="15" customHeight="1">
      <c r="A14" s="121"/>
      <c r="B14" s="218" t="s">
        <v>84</v>
      </c>
      <c r="C14" s="219">
        <f>C112</f>
        <v>494850</v>
      </c>
      <c r="D14" s="218"/>
      <c r="E14" s="218"/>
      <c r="F14" s="219">
        <f>F112</f>
        <v>85450</v>
      </c>
      <c r="G14" s="219">
        <f t="shared" ref="G14:Q14" si="2">G112</f>
        <v>27950</v>
      </c>
      <c r="H14" s="219">
        <f t="shared" si="2"/>
        <v>27950</v>
      </c>
      <c r="I14" s="219">
        <f t="shared" si="2"/>
        <v>27950</v>
      </c>
      <c r="J14" s="219">
        <f t="shared" si="2"/>
        <v>27950</v>
      </c>
      <c r="K14" s="219">
        <f t="shared" si="2"/>
        <v>204016.66666666669</v>
      </c>
      <c r="L14" s="219">
        <f t="shared" si="2"/>
        <v>144616.66666666669</v>
      </c>
      <c r="M14" s="219">
        <f t="shared" si="2"/>
        <v>144616.66666666669</v>
      </c>
      <c r="N14" s="219">
        <f t="shared" si="2"/>
        <v>6000</v>
      </c>
      <c r="O14" s="219">
        <f t="shared" si="2"/>
        <v>6000</v>
      </c>
      <c r="P14" s="219">
        <f t="shared" si="2"/>
        <v>6000</v>
      </c>
      <c r="Q14" s="219">
        <f t="shared" si="2"/>
        <v>6000</v>
      </c>
    </row>
    <row r="15" spans="1:17" ht="15" customHeight="1">
      <c r="A15" s="121"/>
      <c r="B15" s="218" t="s">
        <v>85</v>
      </c>
      <c r="C15" s="219">
        <v>401400</v>
      </c>
      <c r="D15" s="218"/>
      <c r="E15" s="218"/>
      <c r="F15" s="219">
        <f>F126</f>
        <v>364550</v>
      </c>
      <c r="G15" s="219">
        <f t="shared" ref="G15:Q15" si="3">G126</f>
        <v>4550</v>
      </c>
      <c r="H15" s="219">
        <f t="shared" si="3"/>
        <v>4550</v>
      </c>
      <c r="I15" s="219">
        <f t="shared" si="3"/>
        <v>4550</v>
      </c>
      <c r="J15" s="219">
        <f t="shared" si="3"/>
        <v>9550</v>
      </c>
      <c r="K15" s="219">
        <f t="shared" si="3"/>
        <v>4550</v>
      </c>
      <c r="L15" s="219">
        <f t="shared" si="3"/>
        <v>4550</v>
      </c>
      <c r="M15" s="219">
        <f t="shared" si="3"/>
        <v>4550</v>
      </c>
      <c r="N15" s="219">
        <f t="shared" si="3"/>
        <v>0</v>
      </c>
      <c r="O15" s="219">
        <f t="shared" si="3"/>
        <v>0</v>
      </c>
      <c r="P15" s="219">
        <f t="shared" si="3"/>
        <v>0</v>
      </c>
      <c r="Q15" s="219">
        <f t="shared" si="3"/>
        <v>0</v>
      </c>
    </row>
    <row r="16" spans="1:17" ht="15" customHeight="1">
      <c r="A16" s="121"/>
      <c r="B16" s="218" t="s">
        <v>86</v>
      </c>
      <c r="C16" s="219">
        <v>2775368</v>
      </c>
      <c r="D16" s="218"/>
      <c r="E16" s="218"/>
      <c r="F16" s="219">
        <f>F158</f>
        <v>343708.99200000003</v>
      </c>
      <c r="G16" s="219">
        <f t="shared" ref="G16:Q16" si="4">G158</f>
        <v>296839.58400000003</v>
      </c>
      <c r="H16" s="219">
        <f t="shared" si="4"/>
        <v>343708.99200000003</v>
      </c>
      <c r="I16" s="219">
        <f t="shared" si="4"/>
        <v>328085.85600000003</v>
      </c>
      <c r="J16" s="219">
        <f t="shared" si="4"/>
        <v>360942.91200000001</v>
      </c>
      <c r="K16" s="219">
        <f t="shared" si="4"/>
        <v>344536.41600000003</v>
      </c>
      <c r="L16" s="219">
        <f t="shared" si="4"/>
        <v>360942.91200000001</v>
      </c>
      <c r="M16" s="219">
        <f t="shared" si="4"/>
        <v>360942.91200000001</v>
      </c>
      <c r="N16" s="219">
        <f t="shared" si="4"/>
        <v>0</v>
      </c>
      <c r="O16" s="219">
        <f t="shared" si="4"/>
        <v>0</v>
      </c>
      <c r="P16" s="219">
        <f t="shared" si="4"/>
        <v>0</v>
      </c>
      <c r="Q16" s="219">
        <f t="shared" si="4"/>
        <v>0</v>
      </c>
    </row>
    <row r="17" spans="1:17" ht="15" customHeight="1">
      <c r="A17" s="121"/>
      <c r="B17" s="121"/>
      <c r="C17" s="219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</row>
    <row r="18" spans="1:17" ht="15" customHeight="1" thickBot="1">
      <c r="A18" s="121"/>
      <c r="B18" s="220" t="s">
        <v>329</v>
      </c>
      <c r="C18" s="221">
        <f>SUM(F18:Q18)</f>
        <v>15843456.576000001</v>
      </c>
      <c r="D18" s="222"/>
      <c r="E18" s="222"/>
      <c r="F18" s="221">
        <f>F16+F15+F14+F13+F12</f>
        <v>6697158.3253333326</v>
      </c>
      <c r="G18" s="221">
        <f t="shared" ref="G18:Q18" si="5">G16+G15+G14+G13+G12</f>
        <v>3337788.9173333333</v>
      </c>
      <c r="H18" s="221">
        <f t="shared" si="5"/>
        <v>3077158.3253333336</v>
      </c>
      <c r="I18" s="221">
        <f t="shared" si="5"/>
        <v>735585.85600000003</v>
      </c>
      <c r="J18" s="221">
        <f t="shared" si="5"/>
        <v>398442.91200000001</v>
      </c>
      <c r="K18" s="221">
        <f t="shared" si="5"/>
        <v>553103.08266666671</v>
      </c>
      <c r="L18" s="221">
        <f t="shared" si="5"/>
        <v>510109.5786666667</v>
      </c>
      <c r="M18" s="221">
        <f t="shared" si="5"/>
        <v>510109.5786666667</v>
      </c>
      <c r="N18" s="221">
        <f t="shared" si="5"/>
        <v>6000</v>
      </c>
      <c r="O18" s="221">
        <f t="shared" si="5"/>
        <v>6000</v>
      </c>
      <c r="P18" s="221">
        <f t="shared" si="5"/>
        <v>6000</v>
      </c>
      <c r="Q18" s="221">
        <f t="shared" si="5"/>
        <v>6000</v>
      </c>
    </row>
    <row r="19" spans="1:17" ht="15" customHeight="1" thickTop="1" thickBot="1">
      <c r="A19" s="223"/>
      <c r="B19" s="223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</row>
    <row r="20" spans="1:17" s="174" customFormat="1" ht="15" customHeight="1">
      <c r="A20" s="217" t="s">
        <v>82</v>
      </c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</row>
    <row r="21" spans="1:17" ht="15" customHeight="1">
      <c r="A21" s="121" t="s">
        <v>328</v>
      </c>
      <c r="B21" s="121" t="s">
        <v>330</v>
      </c>
      <c r="C21" s="121" t="s">
        <v>331</v>
      </c>
      <c r="D21" s="225" t="s">
        <v>332</v>
      </c>
      <c r="E21" s="225" t="s">
        <v>333</v>
      </c>
      <c r="F21" s="121">
        <v>1</v>
      </c>
      <c r="G21" s="121">
        <v>2</v>
      </c>
      <c r="H21" s="121">
        <v>3</v>
      </c>
      <c r="I21" s="121">
        <v>4</v>
      </c>
      <c r="J21" s="121">
        <v>5</v>
      </c>
      <c r="K21" s="121">
        <v>6</v>
      </c>
      <c r="L21" s="121">
        <v>7</v>
      </c>
      <c r="M21" s="121">
        <v>8</v>
      </c>
      <c r="N21" s="121">
        <v>9</v>
      </c>
      <c r="O21" s="121">
        <v>10</v>
      </c>
      <c r="P21" s="121">
        <v>11</v>
      </c>
      <c r="Q21" s="121">
        <v>12</v>
      </c>
    </row>
    <row r="22" spans="1:17" ht="15" customHeight="1">
      <c r="A22" s="218" t="s">
        <v>82</v>
      </c>
      <c r="B22" s="218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</row>
    <row r="23" spans="1:17" ht="15" customHeight="1">
      <c r="A23" s="218"/>
      <c r="B23" s="218" t="s">
        <v>334</v>
      </c>
      <c r="C23" s="226">
        <v>233125</v>
      </c>
      <c r="D23" s="227">
        <v>3</v>
      </c>
      <c r="E23" s="227">
        <v>1</v>
      </c>
      <c r="F23" s="228">
        <f>IF(AND(F$21&gt;=$E23, F$21&lt;$E23+$D23), $C23/$D23, 0)</f>
        <v>77708.333333333328</v>
      </c>
      <c r="G23" s="228">
        <f t="shared" ref="G23:Q23" si="6">IF(AND(G$21&gt;=$E23, G$21&lt;$E23+$D23), $C23/$D23, 0)</f>
        <v>77708.333333333328</v>
      </c>
      <c r="H23" s="228">
        <f t="shared" si="6"/>
        <v>77708.333333333328</v>
      </c>
      <c r="I23" s="228">
        <f t="shared" si="6"/>
        <v>0</v>
      </c>
      <c r="J23" s="228">
        <f t="shared" si="6"/>
        <v>0</v>
      </c>
      <c r="K23" s="228">
        <f t="shared" si="6"/>
        <v>0</v>
      </c>
      <c r="L23" s="228">
        <f t="shared" si="6"/>
        <v>0</v>
      </c>
      <c r="M23" s="228">
        <f t="shared" si="6"/>
        <v>0</v>
      </c>
      <c r="N23" s="228">
        <f t="shared" si="6"/>
        <v>0</v>
      </c>
      <c r="O23" s="228">
        <f t="shared" si="6"/>
        <v>0</v>
      </c>
      <c r="P23" s="228">
        <f t="shared" si="6"/>
        <v>0</v>
      </c>
      <c r="Q23" s="228">
        <f t="shared" si="6"/>
        <v>0</v>
      </c>
    </row>
    <row r="24" spans="1:17" ht="15" customHeight="1">
      <c r="A24" s="218"/>
      <c r="B24" s="218" t="s">
        <v>335</v>
      </c>
      <c r="C24" s="226">
        <v>609375</v>
      </c>
      <c r="D24" s="227">
        <v>3</v>
      </c>
      <c r="E24" s="227">
        <v>1</v>
      </c>
      <c r="F24" s="228">
        <f t="shared" ref="F24:Q26" si="7">IF(AND(F$21&gt;=$E24, F$21&lt;$E24+$D24), $C24/$D24, 0)</f>
        <v>203125</v>
      </c>
      <c r="G24" s="228">
        <f t="shared" si="7"/>
        <v>203125</v>
      </c>
      <c r="H24" s="228">
        <f t="shared" si="7"/>
        <v>203125</v>
      </c>
      <c r="I24" s="228">
        <f t="shared" si="7"/>
        <v>0</v>
      </c>
      <c r="J24" s="228">
        <f t="shared" si="7"/>
        <v>0</v>
      </c>
      <c r="K24" s="228">
        <f t="shared" si="7"/>
        <v>0</v>
      </c>
      <c r="L24" s="228">
        <f t="shared" si="7"/>
        <v>0</v>
      </c>
      <c r="M24" s="228">
        <f t="shared" si="7"/>
        <v>0</v>
      </c>
      <c r="N24" s="228">
        <f t="shared" si="7"/>
        <v>0</v>
      </c>
      <c r="O24" s="228">
        <f t="shared" si="7"/>
        <v>0</v>
      </c>
      <c r="P24" s="228">
        <f t="shared" si="7"/>
        <v>0</v>
      </c>
      <c r="Q24" s="228">
        <f t="shared" si="7"/>
        <v>0</v>
      </c>
    </row>
    <row r="25" spans="1:17" ht="15" customHeight="1">
      <c r="A25" s="218"/>
      <c r="B25" s="218" t="s">
        <v>336</v>
      </c>
      <c r="C25" s="226">
        <v>516250</v>
      </c>
      <c r="D25" s="227">
        <v>3</v>
      </c>
      <c r="E25" s="227">
        <v>1</v>
      </c>
      <c r="F25" s="228">
        <f t="shared" si="7"/>
        <v>172083.33333333334</v>
      </c>
      <c r="G25" s="228">
        <f t="shared" si="7"/>
        <v>172083.33333333334</v>
      </c>
      <c r="H25" s="228">
        <f t="shared" si="7"/>
        <v>172083.33333333334</v>
      </c>
      <c r="I25" s="228">
        <f t="shared" si="7"/>
        <v>0</v>
      </c>
      <c r="J25" s="228">
        <f t="shared" si="7"/>
        <v>0</v>
      </c>
      <c r="K25" s="228">
        <f t="shared" si="7"/>
        <v>0</v>
      </c>
      <c r="L25" s="228">
        <f t="shared" si="7"/>
        <v>0</v>
      </c>
      <c r="M25" s="228">
        <f t="shared" si="7"/>
        <v>0</v>
      </c>
      <c r="N25" s="228">
        <f t="shared" si="7"/>
        <v>0</v>
      </c>
      <c r="O25" s="228">
        <f t="shared" si="7"/>
        <v>0</v>
      </c>
      <c r="P25" s="228">
        <f t="shared" si="7"/>
        <v>0</v>
      </c>
      <c r="Q25" s="228">
        <f t="shared" si="7"/>
        <v>0</v>
      </c>
    </row>
    <row r="26" spans="1:17" ht="15" customHeight="1">
      <c r="A26" s="218"/>
      <c r="B26" s="218" t="s">
        <v>337</v>
      </c>
      <c r="C26" s="226">
        <v>582500</v>
      </c>
      <c r="D26" s="227">
        <v>3</v>
      </c>
      <c r="E26" s="227">
        <v>1</v>
      </c>
      <c r="F26" s="228">
        <f t="shared" si="7"/>
        <v>194166.66666666666</v>
      </c>
      <c r="G26" s="228">
        <f t="shared" si="7"/>
        <v>194166.66666666666</v>
      </c>
      <c r="H26" s="228">
        <f t="shared" si="7"/>
        <v>194166.66666666666</v>
      </c>
      <c r="I26" s="228">
        <f t="shared" si="7"/>
        <v>0</v>
      </c>
      <c r="J26" s="228">
        <f t="shared" si="7"/>
        <v>0</v>
      </c>
      <c r="K26" s="228">
        <f t="shared" si="7"/>
        <v>0</v>
      </c>
      <c r="L26" s="228">
        <f t="shared" si="7"/>
        <v>0</v>
      </c>
      <c r="M26" s="228">
        <f t="shared" si="7"/>
        <v>0</v>
      </c>
      <c r="N26" s="228">
        <f t="shared" si="7"/>
        <v>0</v>
      </c>
      <c r="O26" s="228">
        <f t="shared" si="7"/>
        <v>0</v>
      </c>
      <c r="P26" s="228">
        <f t="shared" si="7"/>
        <v>0</v>
      </c>
      <c r="Q26" s="228">
        <f t="shared" si="7"/>
        <v>0</v>
      </c>
    </row>
    <row r="27" spans="1:17" ht="15" customHeight="1">
      <c r="A27" s="218" t="s">
        <v>338</v>
      </c>
      <c r="B27" s="218"/>
      <c r="C27" s="226"/>
      <c r="D27" s="227"/>
      <c r="E27" s="227"/>
      <c r="F27" s="228"/>
      <c r="G27" s="228"/>
      <c r="H27" s="228"/>
      <c r="I27" s="229"/>
      <c r="J27" s="229"/>
      <c r="K27" s="229"/>
      <c r="L27" s="229"/>
      <c r="M27" s="229"/>
      <c r="N27" s="229"/>
      <c r="O27" s="229"/>
      <c r="P27" s="229"/>
      <c r="Q27" s="229"/>
    </row>
    <row r="28" spans="1:17" ht="15" customHeight="1">
      <c r="A28" s="218"/>
      <c r="B28" s="218" t="s">
        <v>339</v>
      </c>
      <c r="C28" s="226">
        <v>330000</v>
      </c>
      <c r="D28" s="227">
        <v>2</v>
      </c>
      <c r="E28" s="227">
        <v>1</v>
      </c>
      <c r="F28" s="228">
        <f>IF(AND(F$21&gt;=$E28, F$21&lt;$E28+$D28), $C28/$D28, 0)</f>
        <v>165000</v>
      </c>
      <c r="G28" s="228">
        <f t="shared" ref="G28:Q28" si="8">IF(AND(G$21&gt;=$E28, G$21&lt;$E28+$D28), $C28/$D28, 0)</f>
        <v>165000</v>
      </c>
      <c r="H28" s="228">
        <f t="shared" si="8"/>
        <v>0</v>
      </c>
      <c r="I28" s="228">
        <f t="shared" si="8"/>
        <v>0</v>
      </c>
      <c r="J28" s="228">
        <f t="shared" si="8"/>
        <v>0</v>
      </c>
      <c r="K28" s="228">
        <f t="shared" si="8"/>
        <v>0</v>
      </c>
      <c r="L28" s="228">
        <f t="shared" si="8"/>
        <v>0</v>
      </c>
      <c r="M28" s="228">
        <f t="shared" si="8"/>
        <v>0</v>
      </c>
      <c r="N28" s="228">
        <f t="shared" si="8"/>
        <v>0</v>
      </c>
      <c r="O28" s="228">
        <f t="shared" si="8"/>
        <v>0</v>
      </c>
      <c r="P28" s="228">
        <f t="shared" si="8"/>
        <v>0</v>
      </c>
      <c r="Q28" s="228">
        <f t="shared" si="8"/>
        <v>0</v>
      </c>
    </row>
    <row r="29" spans="1:17" ht="15" customHeight="1">
      <c r="A29" s="218" t="s">
        <v>340</v>
      </c>
      <c r="B29" s="218"/>
      <c r="C29" s="226"/>
      <c r="D29" s="227"/>
      <c r="E29" s="227"/>
      <c r="F29" s="228"/>
      <c r="G29" s="228"/>
      <c r="H29" s="228"/>
      <c r="I29" s="229"/>
      <c r="J29" s="229"/>
      <c r="K29" s="229"/>
      <c r="L29" s="229"/>
      <c r="M29" s="229"/>
      <c r="N29" s="229"/>
      <c r="O29" s="229"/>
      <c r="P29" s="229"/>
      <c r="Q29" s="229"/>
    </row>
    <row r="30" spans="1:17" ht="15" customHeight="1">
      <c r="A30" s="218"/>
      <c r="B30" s="218" t="s">
        <v>341</v>
      </c>
      <c r="C30" s="226">
        <v>160000</v>
      </c>
      <c r="D30" s="227">
        <v>2</v>
      </c>
      <c r="E30" s="227">
        <v>1</v>
      </c>
      <c r="F30" s="228">
        <f>IF(AND(F$21&gt;=$E30, F$21&lt;$E30+$D30), $C30/$D30, 0)</f>
        <v>80000</v>
      </c>
      <c r="G30" s="228">
        <f t="shared" ref="G30:Q31" si="9">IF(AND(G$21&gt;=$E30, G$21&lt;$E30+$D30), $C30/$D30, 0)</f>
        <v>80000</v>
      </c>
      <c r="H30" s="228">
        <f t="shared" si="9"/>
        <v>0</v>
      </c>
      <c r="I30" s="228">
        <f t="shared" si="9"/>
        <v>0</v>
      </c>
      <c r="J30" s="228">
        <f t="shared" si="9"/>
        <v>0</v>
      </c>
      <c r="K30" s="228">
        <f t="shared" si="9"/>
        <v>0</v>
      </c>
      <c r="L30" s="228">
        <f t="shared" si="9"/>
        <v>0</v>
      </c>
      <c r="M30" s="228">
        <f t="shared" si="9"/>
        <v>0</v>
      </c>
      <c r="N30" s="228">
        <f t="shared" si="9"/>
        <v>0</v>
      </c>
      <c r="O30" s="228">
        <f t="shared" si="9"/>
        <v>0</v>
      </c>
      <c r="P30" s="228">
        <f t="shared" si="9"/>
        <v>0</v>
      </c>
      <c r="Q30" s="228">
        <f t="shared" si="9"/>
        <v>0</v>
      </c>
    </row>
    <row r="31" spans="1:17" ht="15" customHeight="1">
      <c r="A31" s="218"/>
      <c r="B31" s="218" t="s">
        <v>342</v>
      </c>
      <c r="C31" s="226">
        <v>125000</v>
      </c>
      <c r="D31" s="227">
        <v>2</v>
      </c>
      <c r="E31" s="227">
        <v>1</v>
      </c>
      <c r="F31" s="228">
        <f>IF(AND(F$21&gt;=$E31, F$21&lt;$E31+$D31), $C31/$D31, 0)</f>
        <v>62500</v>
      </c>
      <c r="G31" s="228">
        <f t="shared" si="9"/>
        <v>62500</v>
      </c>
      <c r="H31" s="228">
        <f t="shared" si="9"/>
        <v>0</v>
      </c>
      <c r="I31" s="228">
        <f t="shared" si="9"/>
        <v>0</v>
      </c>
      <c r="J31" s="228">
        <f t="shared" si="9"/>
        <v>0</v>
      </c>
      <c r="K31" s="228">
        <f t="shared" si="9"/>
        <v>0</v>
      </c>
      <c r="L31" s="228">
        <f t="shared" si="9"/>
        <v>0</v>
      </c>
      <c r="M31" s="228">
        <f t="shared" si="9"/>
        <v>0</v>
      </c>
      <c r="N31" s="228">
        <f t="shared" si="9"/>
        <v>0</v>
      </c>
      <c r="O31" s="228">
        <f t="shared" si="9"/>
        <v>0</v>
      </c>
      <c r="P31" s="228">
        <f t="shared" si="9"/>
        <v>0</v>
      </c>
      <c r="Q31" s="228">
        <f t="shared" si="9"/>
        <v>0</v>
      </c>
    </row>
    <row r="32" spans="1:17" ht="15" customHeight="1">
      <c r="A32" s="218" t="s">
        <v>343</v>
      </c>
      <c r="B32" s="218"/>
      <c r="C32" s="226"/>
      <c r="D32" s="227"/>
      <c r="E32" s="227"/>
      <c r="F32" s="228"/>
      <c r="G32" s="228"/>
      <c r="H32" s="228"/>
      <c r="I32" s="229"/>
      <c r="J32" s="229"/>
      <c r="K32" s="229"/>
      <c r="L32" s="229"/>
      <c r="M32" s="229"/>
      <c r="N32" s="229"/>
      <c r="O32" s="229"/>
      <c r="P32" s="229"/>
      <c r="Q32" s="229"/>
    </row>
    <row r="33" spans="1:17" ht="15" customHeight="1">
      <c r="A33" s="218"/>
      <c r="B33" s="218" t="s">
        <v>344</v>
      </c>
      <c r="C33" s="226">
        <v>478125</v>
      </c>
      <c r="D33" s="227">
        <v>1</v>
      </c>
      <c r="E33" s="227">
        <v>1</v>
      </c>
      <c r="F33" s="228">
        <f>IF(AND(F$21&gt;=$E33, F$21&lt;$E33+$D33), $C33/$D33, 0)</f>
        <v>478125</v>
      </c>
      <c r="G33" s="228">
        <f t="shared" ref="G33:Q33" si="10">IF(AND(G$21&gt;=$E33, G$21&lt;$E33+$D33), $C33/$D33, 0)</f>
        <v>0</v>
      </c>
      <c r="H33" s="228">
        <f t="shared" si="10"/>
        <v>0</v>
      </c>
      <c r="I33" s="228">
        <f t="shared" si="10"/>
        <v>0</v>
      </c>
      <c r="J33" s="228">
        <f t="shared" si="10"/>
        <v>0</v>
      </c>
      <c r="K33" s="228">
        <f t="shared" si="10"/>
        <v>0</v>
      </c>
      <c r="L33" s="228">
        <f t="shared" si="10"/>
        <v>0</v>
      </c>
      <c r="M33" s="228">
        <f t="shared" si="10"/>
        <v>0</v>
      </c>
      <c r="N33" s="228">
        <f t="shared" si="10"/>
        <v>0</v>
      </c>
      <c r="O33" s="228">
        <f t="shared" si="10"/>
        <v>0</v>
      </c>
      <c r="P33" s="228">
        <f t="shared" si="10"/>
        <v>0</v>
      </c>
      <c r="Q33" s="228">
        <f t="shared" si="10"/>
        <v>0</v>
      </c>
    </row>
    <row r="34" spans="1:17" ht="15" customHeight="1">
      <c r="A34" s="218"/>
      <c r="B34" s="218" t="s">
        <v>345</v>
      </c>
      <c r="C34" s="226">
        <v>356250</v>
      </c>
      <c r="D34" s="227">
        <v>1</v>
      </c>
      <c r="E34" s="227">
        <v>1</v>
      </c>
      <c r="F34" s="228">
        <f t="shared" ref="F34:Q50" si="11">IF(AND(F$21&gt;=$E34, F$21&lt;$E34+$D34), $C34/$D34, 0)</f>
        <v>356250</v>
      </c>
      <c r="G34" s="228">
        <f t="shared" si="11"/>
        <v>0</v>
      </c>
      <c r="H34" s="228">
        <f t="shared" si="11"/>
        <v>0</v>
      </c>
      <c r="I34" s="228">
        <f t="shared" si="11"/>
        <v>0</v>
      </c>
      <c r="J34" s="228">
        <f t="shared" si="11"/>
        <v>0</v>
      </c>
      <c r="K34" s="228">
        <f t="shared" si="11"/>
        <v>0</v>
      </c>
      <c r="L34" s="228">
        <f t="shared" si="11"/>
        <v>0</v>
      </c>
      <c r="M34" s="228">
        <f t="shared" si="11"/>
        <v>0</v>
      </c>
      <c r="N34" s="228">
        <f t="shared" si="11"/>
        <v>0</v>
      </c>
      <c r="O34" s="228">
        <f t="shared" si="11"/>
        <v>0</v>
      </c>
      <c r="P34" s="228">
        <f t="shared" si="11"/>
        <v>0</v>
      </c>
      <c r="Q34" s="228">
        <f t="shared" si="11"/>
        <v>0</v>
      </c>
    </row>
    <row r="35" spans="1:17" ht="15" customHeight="1">
      <c r="A35" s="218"/>
      <c r="B35" s="218" t="s">
        <v>346</v>
      </c>
      <c r="C35" s="226">
        <v>197500</v>
      </c>
      <c r="D35" s="227">
        <v>1</v>
      </c>
      <c r="E35" s="227">
        <v>1</v>
      </c>
      <c r="F35" s="228">
        <f t="shared" si="11"/>
        <v>197500</v>
      </c>
      <c r="G35" s="228">
        <f t="shared" si="11"/>
        <v>0</v>
      </c>
      <c r="H35" s="228">
        <f t="shared" si="11"/>
        <v>0</v>
      </c>
      <c r="I35" s="228">
        <f t="shared" si="11"/>
        <v>0</v>
      </c>
      <c r="J35" s="228">
        <f t="shared" si="11"/>
        <v>0</v>
      </c>
      <c r="K35" s="228">
        <f t="shared" si="11"/>
        <v>0</v>
      </c>
      <c r="L35" s="228">
        <f t="shared" si="11"/>
        <v>0</v>
      </c>
      <c r="M35" s="228">
        <f t="shared" si="11"/>
        <v>0</v>
      </c>
      <c r="N35" s="228">
        <f t="shared" si="11"/>
        <v>0</v>
      </c>
      <c r="O35" s="228">
        <f t="shared" si="11"/>
        <v>0</v>
      </c>
      <c r="P35" s="228">
        <f t="shared" si="11"/>
        <v>0</v>
      </c>
      <c r="Q35" s="228">
        <f t="shared" si="11"/>
        <v>0</v>
      </c>
    </row>
    <row r="36" spans="1:17" ht="15" customHeight="1">
      <c r="A36" s="218"/>
      <c r="B36" s="218" t="s">
        <v>347</v>
      </c>
      <c r="C36" s="226">
        <v>112500</v>
      </c>
      <c r="D36" s="227">
        <v>1</v>
      </c>
      <c r="E36" s="227">
        <v>1</v>
      </c>
      <c r="F36" s="228">
        <f t="shared" si="11"/>
        <v>112500</v>
      </c>
      <c r="G36" s="228">
        <f t="shared" si="11"/>
        <v>0</v>
      </c>
      <c r="H36" s="228">
        <f t="shared" si="11"/>
        <v>0</v>
      </c>
      <c r="I36" s="228">
        <f t="shared" si="11"/>
        <v>0</v>
      </c>
      <c r="J36" s="228">
        <f t="shared" si="11"/>
        <v>0</v>
      </c>
      <c r="K36" s="228">
        <f t="shared" si="11"/>
        <v>0</v>
      </c>
      <c r="L36" s="228">
        <f t="shared" si="11"/>
        <v>0</v>
      </c>
      <c r="M36" s="228">
        <f t="shared" si="11"/>
        <v>0</v>
      </c>
      <c r="N36" s="228">
        <f t="shared" si="11"/>
        <v>0</v>
      </c>
      <c r="O36" s="228">
        <f t="shared" si="11"/>
        <v>0</v>
      </c>
      <c r="P36" s="228">
        <f t="shared" si="11"/>
        <v>0</v>
      </c>
      <c r="Q36" s="228">
        <f t="shared" si="11"/>
        <v>0</v>
      </c>
    </row>
    <row r="37" spans="1:17" ht="15" customHeight="1">
      <c r="A37" s="218"/>
      <c r="B37" s="218" t="s">
        <v>348</v>
      </c>
      <c r="C37" s="226">
        <v>335625</v>
      </c>
      <c r="D37" s="227">
        <v>1</v>
      </c>
      <c r="E37" s="227">
        <v>1</v>
      </c>
      <c r="F37" s="228">
        <f t="shared" si="11"/>
        <v>335625</v>
      </c>
      <c r="G37" s="228">
        <f t="shared" si="11"/>
        <v>0</v>
      </c>
      <c r="H37" s="228">
        <f t="shared" si="11"/>
        <v>0</v>
      </c>
      <c r="I37" s="228">
        <f t="shared" si="11"/>
        <v>0</v>
      </c>
      <c r="J37" s="228">
        <f t="shared" si="11"/>
        <v>0</v>
      </c>
      <c r="K37" s="228">
        <f t="shared" si="11"/>
        <v>0</v>
      </c>
      <c r="L37" s="228">
        <f t="shared" si="11"/>
        <v>0</v>
      </c>
      <c r="M37" s="228">
        <f t="shared" si="11"/>
        <v>0</v>
      </c>
      <c r="N37" s="228">
        <f t="shared" si="11"/>
        <v>0</v>
      </c>
      <c r="O37" s="228">
        <f t="shared" si="11"/>
        <v>0</v>
      </c>
      <c r="P37" s="228">
        <f t="shared" si="11"/>
        <v>0</v>
      </c>
      <c r="Q37" s="228">
        <f t="shared" si="11"/>
        <v>0</v>
      </c>
    </row>
    <row r="38" spans="1:17" ht="15" customHeight="1">
      <c r="A38" s="218"/>
      <c r="B38" s="218" t="s">
        <v>349</v>
      </c>
      <c r="C38" s="226">
        <v>170000</v>
      </c>
      <c r="D38" s="227">
        <v>1</v>
      </c>
      <c r="E38" s="227">
        <v>1</v>
      </c>
      <c r="F38" s="228">
        <f t="shared" si="11"/>
        <v>170000</v>
      </c>
      <c r="G38" s="228">
        <f t="shared" si="11"/>
        <v>0</v>
      </c>
      <c r="H38" s="228">
        <f t="shared" si="11"/>
        <v>0</v>
      </c>
      <c r="I38" s="228">
        <f t="shared" si="11"/>
        <v>0</v>
      </c>
      <c r="J38" s="228">
        <f t="shared" si="11"/>
        <v>0</v>
      </c>
      <c r="K38" s="228">
        <f t="shared" si="11"/>
        <v>0</v>
      </c>
      <c r="L38" s="228">
        <f t="shared" si="11"/>
        <v>0</v>
      </c>
      <c r="M38" s="228">
        <f t="shared" si="11"/>
        <v>0</v>
      </c>
      <c r="N38" s="228">
        <f t="shared" si="11"/>
        <v>0</v>
      </c>
      <c r="O38" s="228">
        <f t="shared" si="11"/>
        <v>0</v>
      </c>
      <c r="P38" s="228">
        <f t="shared" si="11"/>
        <v>0</v>
      </c>
      <c r="Q38" s="228">
        <f t="shared" si="11"/>
        <v>0</v>
      </c>
    </row>
    <row r="39" spans="1:17" ht="15" customHeight="1">
      <c r="A39" s="218"/>
      <c r="B39" s="218" t="s">
        <v>350</v>
      </c>
      <c r="C39" s="226">
        <v>172500</v>
      </c>
      <c r="D39" s="227">
        <v>1</v>
      </c>
      <c r="E39" s="227">
        <v>1</v>
      </c>
      <c r="F39" s="228">
        <f t="shared" si="11"/>
        <v>172500</v>
      </c>
      <c r="G39" s="228">
        <f t="shared" si="11"/>
        <v>0</v>
      </c>
      <c r="H39" s="228">
        <f t="shared" si="11"/>
        <v>0</v>
      </c>
      <c r="I39" s="228">
        <f t="shared" si="11"/>
        <v>0</v>
      </c>
      <c r="J39" s="228">
        <f t="shared" si="11"/>
        <v>0</v>
      </c>
      <c r="K39" s="228">
        <f t="shared" si="11"/>
        <v>0</v>
      </c>
      <c r="L39" s="228">
        <f t="shared" si="11"/>
        <v>0</v>
      </c>
      <c r="M39" s="228">
        <f t="shared" si="11"/>
        <v>0</v>
      </c>
      <c r="N39" s="228">
        <f t="shared" si="11"/>
        <v>0</v>
      </c>
      <c r="O39" s="228">
        <f t="shared" si="11"/>
        <v>0</v>
      </c>
      <c r="P39" s="228">
        <f t="shared" si="11"/>
        <v>0</v>
      </c>
      <c r="Q39" s="228">
        <f t="shared" si="11"/>
        <v>0</v>
      </c>
    </row>
    <row r="40" spans="1:17" ht="15" customHeight="1">
      <c r="A40" s="218"/>
      <c r="B40" s="218" t="s">
        <v>351</v>
      </c>
      <c r="C40" s="226">
        <v>168125</v>
      </c>
      <c r="D40" s="227">
        <v>1</v>
      </c>
      <c r="E40" s="227">
        <v>1</v>
      </c>
      <c r="F40" s="228">
        <f t="shared" si="11"/>
        <v>168125</v>
      </c>
      <c r="G40" s="228">
        <f t="shared" si="11"/>
        <v>0</v>
      </c>
      <c r="H40" s="228">
        <f t="shared" si="11"/>
        <v>0</v>
      </c>
      <c r="I40" s="228">
        <f t="shared" si="11"/>
        <v>0</v>
      </c>
      <c r="J40" s="228">
        <f t="shared" si="11"/>
        <v>0</v>
      </c>
      <c r="K40" s="228">
        <f t="shared" si="11"/>
        <v>0</v>
      </c>
      <c r="L40" s="228">
        <f t="shared" si="11"/>
        <v>0</v>
      </c>
      <c r="M40" s="228">
        <f t="shared" si="11"/>
        <v>0</v>
      </c>
      <c r="N40" s="228">
        <f t="shared" si="11"/>
        <v>0</v>
      </c>
      <c r="O40" s="228">
        <f t="shared" si="11"/>
        <v>0</v>
      </c>
      <c r="P40" s="228">
        <f t="shared" si="11"/>
        <v>0</v>
      </c>
      <c r="Q40" s="228">
        <f t="shared" si="11"/>
        <v>0</v>
      </c>
    </row>
    <row r="41" spans="1:17" ht="15" customHeight="1">
      <c r="A41" s="218"/>
      <c r="B41" s="218" t="s">
        <v>352</v>
      </c>
      <c r="C41" s="226">
        <v>203125</v>
      </c>
      <c r="D41" s="227">
        <v>1</v>
      </c>
      <c r="E41" s="227">
        <v>1</v>
      </c>
      <c r="F41" s="228">
        <f t="shared" si="11"/>
        <v>203125</v>
      </c>
      <c r="G41" s="228">
        <f t="shared" si="11"/>
        <v>0</v>
      </c>
      <c r="H41" s="228">
        <f t="shared" si="11"/>
        <v>0</v>
      </c>
      <c r="I41" s="228">
        <f t="shared" si="11"/>
        <v>0</v>
      </c>
      <c r="J41" s="228">
        <f t="shared" si="11"/>
        <v>0</v>
      </c>
      <c r="K41" s="228">
        <f t="shared" si="11"/>
        <v>0</v>
      </c>
      <c r="L41" s="228">
        <f t="shared" si="11"/>
        <v>0</v>
      </c>
      <c r="M41" s="228">
        <f t="shared" si="11"/>
        <v>0</v>
      </c>
      <c r="N41" s="228">
        <f t="shared" si="11"/>
        <v>0</v>
      </c>
      <c r="O41" s="228">
        <f t="shared" si="11"/>
        <v>0</v>
      </c>
      <c r="P41" s="228">
        <f t="shared" si="11"/>
        <v>0</v>
      </c>
      <c r="Q41" s="228">
        <f t="shared" si="11"/>
        <v>0</v>
      </c>
    </row>
    <row r="42" spans="1:17" ht="15" customHeight="1">
      <c r="A42" s="218"/>
      <c r="B42" s="218" t="s">
        <v>353</v>
      </c>
      <c r="C42" s="226">
        <v>397500</v>
      </c>
      <c r="D42" s="227">
        <v>1</v>
      </c>
      <c r="E42" s="227">
        <v>1</v>
      </c>
      <c r="F42" s="228">
        <f t="shared" si="11"/>
        <v>397500</v>
      </c>
      <c r="G42" s="228">
        <f t="shared" si="11"/>
        <v>0</v>
      </c>
      <c r="H42" s="228">
        <f t="shared" si="11"/>
        <v>0</v>
      </c>
      <c r="I42" s="228">
        <f t="shared" si="11"/>
        <v>0</v>
      </c>
      <c r="J42" s="228">
        <f t="shared" si="11"/>
        <v>0</v>
      </c>
      <c r="K42" s="228">
        <f t="shared" si="11"/>
        <v>0</v>
      </c>
      <c r="L42" s="228">
        <f t="shared" si="11"/>
        <v>0</v>
      </c>
      <c r="M42" s="228">
        <f t="shared" si="11"/>
        <v>0</v>
      </c>
      <c r="N42" s="228">
        <f t="shared" si="11"/>
        <v>0</v>
      </c>
      <c r="O42" s="228">
        <f t="shared" si="11"/>
        <v>0</v>
      </c>
      <c r="P42" s="228">
        <f t="shared" si="11"/>
        <v>0</v>
      </c>
      <c r="Q42" s="228">
        <f t="shared" si="11"/>
        <v>0</v>
      </c>
    </row>
    <row r="43" spans="1:17" ht="15" customHeight="1">
      <c r="A43" s="218" t="s">
        <v>354</v>
      </c>
      <c r="B43" s="218"/>
      <c r="C43" s="226"/>
      <c r="D43" s="227"/>
      <c r="E43" s="227"/>
      <c r="F43" s="228"/>
      <c r="G43" s="228"/>
      <c r="H43" s="228"/>
      <c r="I43" s="229"/>
      <c r="J43" s="229"/>
      <c r="K43" s="229"/>
      <c r="L43" s="229"/>
      <c r="M43" s="229"/>
      <c r="N43" s="229"/>
      <c r="O43" s="229"/>
      <c r="P43" s="229"/>
      <c r="Q43" s="229"/>
    </row>
    <row r="44" spans="1:17" ht="15" customHeight="1">
      <c r="A44" s="218"/>
      <c r="B44" s="218" t="s">
        <v>355</v>
      </c>
      <c r="C44" s="226">
        <v>180000</v>
      </c>
      <c r="D44" s="227">
        <v>2</v>
      </c>
      <c r="E44" s="227">
        <v>2</v>
      </c>
      <c r="F44" s="228">
        <f t="shared" si="11"/>
        <v>0</v>
      </c>
      <c r="G44" s="228">
        <f t="shared" si="11"/>
        <v>90000</v>
      </c>
      <c r="H44" s="228">
        <f t="shared" si="11"/>
        <v>90000</v>
      </c>
      <c r="I44" s="228">
        <f t="shared" si="11"/>
        <v>0</v>
      </c>
      <c r="J44" s="228">
        <f t="shared" si="11"/>
        <v>0</v>
      </c>
      <c r="K44" s="228">
        <f t="shared" si="11"/>
        <v>0</v>
      </c>
      <c r="L44" s="228">
        <f t="shared" si="11"/>
        <v>0</v>
      </c>
      <c r="M44" s="228">
        <f t="shared" si="11"/>
        <v>0</v>
      </c>
      <c r="N44" s="228">
        <f t="shared" si="11"/>
        <v>0</v>
      </c>
      <c r="O44" s="228">
        <f t="shared" si="11"/>
        <v>0</v>
      </c>
      <c r="P44" s="228">
        <f t="shared" si="11"/>
        <v>0</v>
      </c>
      <c r="Q44" s="228">
        <f t="shared" si="11"/>
        <v>0</v>
      </c>
    </row>
    <row r="45" spans="1:17" ht="15" customHeight="1">
      <c r="A45" s="218"/>
      <c r="B45" s="218" t="s">
        <v>356</v>
      </c>
      <c r="C45" s="226">
        <v>357500</v>
      </c>
      <c r="D45" s="227">
        <v>3</v>
      </c>
      <c r="E45" s="227">
        <v>1</v>
      </c>
      <c r="F45" s="228">
        <f t="shared" si="11"/>
        <v>119166.66666666667</v>
      </c>
      <c r="G45" s="228">
        <f t="shared" si="11"/>
        <v>119166.66666666667</v>
      </c>
      <c r="H45" s="228">
        <f t="shared" si="11"/>
        <v>119166.66666666667</v>
      </c>
      <c r="I45" s="228">
        <f t="shared" si="11"/>
        <v>0</v>
      </c>
      <c r="J45" s="228">
        <f t="shared" si="11"/>
        <v>0</v>
      </c>
      <c r="K45" s="228">
        <f t="shared" si="11"/>
        <v>0</v>
      </c>
      <c r="L45" s="228">
        <f t="shared" si="11"/>
        <v>0</v>
      </c>
      <c r="M45" s="228">
        <f t="shared" si="11"/>
        <v>0</v>
      </c>
      <c r="N45" s="228">
        <f t="shared" si="11"/>
        <v>0</v>
      </c>
      <c r="O45" s="228">
        <f t="shared" si="11"/>
        <v>0</v>
      </c>
      <c r="P45" s="228">
        <f t="shared" si="11"/>
        <v>0</v>
      </c>
      <c r="Q45" s="228">
        <f t="shared" si="11"/>
        <v>0</v>
      </c>
    </row>
    <row r="46" spans="1:17" ht="15" customHeight="1">
      <c r="A46" s="218"/>
      <c r="B46" s="218" t="s">
        <v>357</v>
      </c>
      <c r="C46" s="226">
        <v>265000</v>
      </c>
      <c r="D46" s="227">
        <v>3</v>
      </c>
      <c r="E46" s="227">
        <v>1</v>
      </c>
      <c r="F46" s="228">
        <f t="shared" si="11"/>
        <v>88333.333333333328</v>
      </c>
      <c r="G46" s="228">
        <f t="shared" si="11"/>
        <v>88333.333333333328</v>
      </c>
      <c r="H46" s="228">
        <f t="shared" si="11"/>
        <v>88333.333333333328</v>
      </c>
      <c r="I46" s="228">
        <f t="shared" si="11"/>
        <v>0</v>
      </c>
      <c r="J46" s="228">
        <f t="shared" si="11"/>
        <v>0</v>
      </c>
      <c r="K46" s="228">
        <f t="shared" si="11"/>
        <v>0</v>
      </c>
      <c r="L46" s="228">
        <f t="shared" si="11"/>
        <v>0</v>
      </c>
      <c r="M46" s="228">
        <f t="shared" si="11"/>
        <v>0</v>
      </c>
      <c r="N46" s="228">
        <f t="shared" si="11"/>
        <v>0</v>
      </c>
      <c r="O46" s="228">
        <f t="shared" si="11"/>
        <v>0</v>
      </c>
      <c r="P46" s="228">
        <f t="shared" si="11"/>
        <v>0</v>
      </c>
      <c r="Q46" s="228">
        <f t="shared" si="11"/>
        <v>0</v>
      </c>
    </row>
    <row r="47" spans="1:17" ht="15" customHeight="1">
      <c r="A47" s="218"/>
      <c r="B47" s="218" t="s">
        <v>358</v>
      </c>
      <c r="C47" s="226">
        <v>262500</v>
      </c>
      <c r="D47" s="227">
        <v>3</v>
      </c>
      <c r="E47" s="227">
        <v>1</v>
      </c>
      <c r="F47" s="228">
        <f t="shared" si="11"/>
        <v>87500</v>
      </c>
      <c r="G47" s="228">
        <f t="shared" si="11"/>
        <v>87500</v>
      </c>
      <c r="H47" s="228">
        <f t="shared" si="11"/>
        <v>87500</v>
      </c>
      <c r="I47" s="228">
        <f t="shared" si="11"/>
        <v>0</v>
      </c>
      <c r="J47" s="228">
        <f t="shared" si="11"/>
        <v>0</v>
      </c>
      <c r="K47" s="228">
        <f t="shared" si="11"/>
        <v>0</v>
      </c>
      <c r="L47" s="228">
        <f t="shared" si="11"/>
        <v>0</v>
      </c>
      <c r="M47" s="228">
        <f t="shared" si="11"/>
        <v>0</v>
      </c>
      <c r="N47" s="228">
        <f t="shared" si="11"/>
        <v>0</v>
      </c>
      <c r="O47" s="228">
        <f t="shared" si="11"/>
        <v>0</v>
      </c>
      <c r="P47" s="228">
        <f t="shared" si="11"/>
        <v>0</v>
      </c>
      <c r="Q47" s="228">
        <f t="shared" si="11"/>
        <v>0</v>
      </c>
    </row>
    <row r="48" spans="1:17" ht="15" customHeight="1">
      <c r="A48" s="218"/>
      <c r="B48" s="218" t="s">
        <v>359</v>
      </c>
      <c r="C48" s="226">
        <v>120000</v>
      </c>
      <c r="D48" s="227">
        <v>3</v>
      </c>
      <c r="E48" s="227">
        <v>1</v>
      </c>
      <c r="F48" s="228">
        <f t="shared" si="11"/>
        <v>40000</v>
      </c>
      <c r="G48" s="228">
        <f t="shared" si="11"/>
        <v>40000</v>
      </c>
      <c r="H48" s="228">
        <f t="shared" si="11"/>
        <v>40000</v>
      </c>
      <c r="I48" s="228">
        <f t="shared" si="11"/>
        <v>0</v>
      </c>
      <c r="J48" s="228">
        <f t="shared" si="11"/>
        <v>0</v>
      </c>
      <c r="K48" s="228">
        <f t="shared" si="11"/>
        <v>0</v>
      </c>
      <c r="L48" s="228">
        <f t="shared" si="11"/>
        <v>0</v>
      </c>
      <c r="M48" s="228">
        <f t="shared" si="11"/>
        <v>0</v>
      </c>
      <c r="N48" s="228">
        <f t="shared" si="11"/>
        <v>0</v>
      </c>
      <c r="O48" s="228">
        <f t="shared" si="11"/>
        <v>0</v>
      </c>
      <c r="P48" s="228">
        <f t="shared" si="11"/>
        <v>0</v>
      </c>
      <c r="Q48" s="228">
        <f t="shared" si="11"/>
        <v>0</v>
      </c>
    </row>
    <row r="49" spans="1:17" ht="15" customHeight="1">
      <c r="A49" s="218" t="s">
        <v>360</v>
      </c>
      <c r="B49" s="218"/>
      <c r="C49" s="226"/>
      <c r="D49" s="227"/>
      <c r="E49" s="227"/>
      <c r="F49" s="228"/>
      <c r="G49" s="228"/>
      <c r="H49" s="228"/>
      <c r="I49" s="229"/>
      <c r="J49" s="229"/>
      <c r="K49" s="229"/>
      <c r="L49" s="229"/>
      <c r="M49" s="229"/>
      <c r="N49" s="229"/>
      <c r="O49" s="229"/>
      <c r="P49" s="229"/>
      <c r="Q49" s="229"/>
    </row>
    <row r="50" spans="1:17" ht="15" customHeight="1">
      <c r="A50" s="218"/>
      <c r="B50" s="218" t="s">
        <v>361</v>
      </c>
      <c r="C50" s="226">
        <v>120000</v>
      </c>
      <c r="D50" s="227">
        <v>3</v>
      </c>
      <c r="E50" s="227">
        <v>1</v>
      </c>
      <c r="F50" s="228">
        <f t="shared" si="11"/>
        <v>40000</v>
      </c>
      <c r="G50" s="228">
        <f t="shared" si="11"/>
        <v>40000</v>
      </c>
      <c r="H50" s="228">
        <f t="shared" si="11"/>
        <v>40000</v>
      </c>
      <c r="I50" s="228">
        <f t="shared" si="11"/>
        <v>0</v>
      </c>
      <c r="J50" s="228">
        <f t="shared" si="11"/>
        <v>0</v>
      </c>
      <c r="K50" s="228">
        <f t="shared" si="11"/>
        <v>0</v>
      </c>
      <c r="L50" s="228">
        <f t="shared" si="11"/>
        <v>0</v>
      </c>
      <c r="M50" s="228">
        <f t="shared" si="11"/>
        <v>0</v>
      </c>
      <c r="N50" s="228">
        <f t="shared" si="11"/>
        <v>0</v>
      </c>
      <c r="O50" s="228">
        <f t="shared" si="11"/>
        <v>0</v>
      </c>
      <c r="P50" s="228">
        <f t="shared" si="11"/>
        <v>0</v>
      </c>
      <c r="Q50" s="228">
        <f t="shared" si="11"/>
        <v>0</v>
      </c>
    </row>
    <row r="51" spans="1:17" ht="15" customHeight="1">
      <c r="A51" s="218"/>
      <c r="B51" s="218" t="s">
        <v>362</v>
      </c>
      <c r="C51" s="226">
        <v>120000</v>
      </c>
      <c r="D51" s="227">
        <v>3</v>
      </c>
      <c r="E51" s="227">
        <v>1</v>
      </c>
      <c r="F51" s="228">
        <f t="shared" ref="F51:Q52" si="12">IF(AND(F$21&gt;=$E51, F$21&lt;$E51+$D51), $C51/$D51, 0)</f>
        <v>40000</v>
      </c>
      <c r="G51" s="228">
        <f t="shared" si="12"/>
        <v>40000</v>
      </c>
      <c r="H51" s="228">
        <f t="shared" si="12"/>
        <v>40000</v>
      </c>
      <c r="I51" s="228">
        <f t="shared" si="12"/>
        <v>0</v>
      </c>
      <c r="J51" s="228">
        <f t="shared" si="12"/>
        <v>0</v>
      </c>
      <c r="K51" s="228">
        <f t="shared" si="12"/>
        <v>0</v>
      </c>
      <c r="L51" s="228">
        <f t="shared" si="12"/>
        <v>0</v>
      </c>
      <c r="M51" s="228">
        <f t="shared" si="12"/>
        <v>0</v>
      </c>
      <c r="N51" s="228">
        <f t="shared" si="12"/>
        <v>0</v>
      </c>
      <c r="O51" s="228">
        <f t="shared" si="12"/>
        <v>0</v>
      </c>
      <c r="P51" s="228">
        <f t="shared" si="12"/>
        <v>0</v>
      </c>
      <c r="Q51" s="228">
        <f t="shared" si="12"/>
        <v>0</v>
      </c>
    </row>
    <row r="52" spans="1:17" ht="15" customHeight="1">
      <c r="A52" s="218"/>
      <c r="B52" s="218" t="s">
        <v>363</v>
      </c>
      <c r="C52" s="226">
        <v>72500</v>
      </c>
      <c r="D52" s="227">
        <v>3</v>
      </c>
      <c r="E52" s="227">
        <v>1</v>
      </c>
      <c r="F52" s="228">
        <f t="shared" si="12"/>
        <v>24166.666666666668</v>
      </c>
      <c r="G52" s="228">
        <f t="shared" si="12"/>
        <v>24166.666666666668</v>
      </c>
      <c r="H52" s="228">
        <f t="shared" si="12"/>
        <v>24166.666666666668</v>
      </c>
      <c r="I52" s="228">
        <f t="shared" si="12"/>
        <v>0</v>
      </c>
      <c r="J52" s="228">
        <f t="shared" si="12"/>
        <v>0</v>
      </c>
      <c r="K52" s="228">
        <f t="shared" si="12"/>
        <v>0</v>
      </c>
      <c r="L52" s="228">
        <f t="shared" si="12"/>
        <v>0</v>
      </c>
      <c r="M52" s="228">
        <f t="shared" si="12"/>
        <v>0</v>
      </c>
      <c r="N52" s="228">
        <f t="shared" si="12"/>
        <v>0</v>
      </c>
      <c r="O52" s="228">
        <f t="shared" si="12"/>
        <v>0</v>
      </c>
      <c r="P52" s="228">
        <f t="shared" si="12"/>
        <v>0</v>
      </c>
      <c r="Q52" s="228">
        <f t="shared" si="12"/>
        <v>0</v>
      </c>
    </row>
    <row r="53" spans="1:17" ht="15" customHeight="1">
      <c r="A53" s="218"/>
      <c r="B53" s="218"/>
      <c r="C53" s="226"/>
      <c r="D53" s="227"/>
      <c r="E53" s="227"/>
      <c r="F53" s="228"/>
      <c r="G53" s="228"/>
      <c r="H53" s="228"/>
      <c r="I53" s="229"/>
      <c r="J53" s="229"/>
      <c r="K53" s="229"/>
      <c r="L53" s="229"/>
      <c r="M53" s="229"/>
      <c r="N53" s="229"/>
      <c r="O53" s="229"/>
      <c r="P53" s="229"/>
      <c r="Q53" s="229"/>
    </row>
    <row r="54" spans="1:17" ht="15" customHeight="1">
      <c r="A54" s="218" t="s">
        <v>364</v>
      </c>
      <c r="B54" s="218"/>
      <c r="C54" s="226">
        <v>475598</v>
      </c>
      <c r="D54" s="227">
        <v>3</v>
      </c>
      <c r="E54" s="227">
        <v>1</v>
      </c>
      <c r="F54" s="228">
        <f t="shared" ref="F54:Q56" si="13">IF(AND(F$21&gt;=$E54, F$21&lt;$E54+$D54), $C54/$D54, 0)</f>
        <v>158532.66666666666</v>
      </c>
      <c r="G54" s="228">
        <f t="shared" si="13"/>
        <v>158532.66666666666</v>
      </c>
      <c r="H54" s="228">
        <f t="shared" si="13"/>
        <v>158532.66666666666</v>
      </c>
      <c r="I54" s="228">
        <f t="shared" si="13"/>
        <v>0</v>
      </c>
      <c r="J54" s="228">
        <f t="shared" si="13"/>
        <v>0</v>
      </c>
      <c r="K54" s="228">
        <f t="shared" si="13"/>
        <v>0</v>
      </c>
      <c r="L54" s="228">
        <f t="shared" si="13"/>
        <v>0</v>
      </c>
      <c r="M54" s="228">
        <f t="shared" si="13"/>
        <v>0</v>
      </c>
      <c r="N54" s="228">
        <f t="shared" si="13"/>
        <v>0</v>
      </c>
      <c r="O54" s="228">
        <f t="shared" si="13"/>
        <v>0</v>
      </c>
      <c r="P54" s="228">
        <f t="shared" si="13"/>
        <v>0</v>
      </c>
      <c r="Q54" s="228">
        <f t="shared" si="13"/>
        <v>0</v>
      </c>
    </row>
    <row r="55" spans="1:17" ht="15" customHeight="1">
      <c r="A55" s="218" t="s">
        <v>365</v>
      </c>
      <c r="B55" s="218"/>
      <c r="C55" s="226">
        <v>100000</v>
      </c>
      <c r="D55" s="227">
        <v>3</v>
      </c>
      <c r="E55" s="227">
        <v>1</v>
      </c>
      <c r="F55" s="228">
        <f t="shared" si="13"/>
        <v>33333.333333333336</v>
      </c>
      <c r="G55" s="228">
        <f t="shared" si="13"/>
        <v>33333.333333333336</v>
      </c>
      <c r="H55" s="228">
        <f t="shared" si="13"/>
        <v>33333.333333333336</v>
      </c>
      <c r="I55" s="228">
        <f t="shared" si="13"/>
        <v>0</v>
      </c>
      <c r="J55" s="228">
        <f t="shared" si="13"/>
        <v>0</v>
      </c>
      <c r="K55" s="228">
        <f t="shared" si="13"/>
        <v>0</v>
      </c>
      <c r="L55" s="228">
        <f t="shared" si="13"/>
        <v>0</v>
      </c>
      <c r="M55" s="228">
        <f t="shared" si="13"/>
        <v>0</v>
      </c>
      <c r="N55" s="228">
        <f t="shared" si="13"/>
        <v>0</v>
      </c>
      <c r="O55" s="228">
        <f t="shared" si="13"/>
        <v>0</v>
      </c>
      <c r="P55" s="228">
        <f t="shared" si="13"/>
        <v>0</v>
      </c>
      <c r="Q55" s="228">
        <f t="shared" si="13"/>
        <v>0</v>
      </c>
    </row>
    <row r="56" spans="1:17" ht="15" customHeight="1">
      <c r="A56" s="218" t="s">
        <v>366</v>
      </c>
      <c r="B56" s="218"/>
      <c r="C56" s="226">
        <v>70000</v>
      </c>
      <c r="D56" s="227">
        <v>3</v>
      </c>
      <c r="E56" s="227">
        <v>1</v>
      </c>
      <c r="F56" s="228">
        <f t="shared" si="13"/>
        <v>23333.333333333332</v>
      </c>
      <c r="G56" s="228">
        <f t="shared" si="13"/>
        <v>23333.333333333332</v>
      </c>
      <c r="H56" s="228">
        <f t="shared" si="13"/>
        <v>23333.333333333332</v>
      </c>
      <c r="I56" s="228">
        <f t="shared" si="13"/>
        <v>0</v>
      </c>
      <c r="J56" s="228">
        <f t="shared" si="13"/>
        <v>0</v>
      </c>
      <c r="K56" s="228">
        <f t="shared" si="13"/>
        <v>0</v>
      </c>
      <c r="L56" s="228">
        <f t="shared" si="13"/>
        <v>0</v>
      </c>
      <c r="M56" s="228">
        <f t="shared" si="13"/>
        <v>0</v>
      </c>
      <c r="N56" s="228">
        <f t="shared" si="13"/>
        <v>0</v>
      </c>
      <c r="O56" s="228">
        <f t="shared" si="13"/>
        <v>0</v>
      </c>
      <c r="P56" s="228">
        <f t="shared" si="13"/>
        <v>0</v>
      </c>
      <c r="Q56" s="228">
        <f t="shared" si="13"/>
        <v>0</v>
      </c>
    </row>
    <row r="57" spans="1:17" ht="15" customHeight="1">
      <c r="A57" s="218"/>
      <c r="B57" s="218"/>
      <c r="C57" s="218"/>
      <c r="D57" s="230"/>
      <c r="E57" s="230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</row>
    <row r="58" spans="1:17" ht="15" customHeight="1" thickBot="1">
      <c r="A58" s="121"/>
      <c r="B58" s="220" t="s">
        <v>367</v>
      </c>
      <c r="C58" s="231">
        <f>SUM(F58:Q58)</f>
        <v>7290597.9999999991</v>
      </c>
      <c r="D58" s="220"/>
      <c r="E58" s="220"/>
      <c r="F58" s="231">
        <f>SUM(F23:F56)</f>
        <v>4200199.333333333</v>
      </c>
      <c r="G58" s="231">
        <f t="shared" ref="G58:Q58" si="14">SUM(G23:G56)</f>
        <v>1698949.3333333333</v>
      </c>
      <c r="H58" s="231">
        <f t="shared" si="14"/>
        <v>1391449.3333333333</v>
      </c>
      <c r="I58" s="231">
        <f t="shared" si="14"/>
        <v>0</v>
      </c>
      <c r="J58" s="231">
        <f t="shared" si="14"/>
        <v>0</v>
      </c>
      <c r="K58" s="231">
        <f t="shared" si="14"/>
        <v>0</v>
      </c>
      <c r="L58" s="231">
        <f t="shared" si="14"/>
        <v>0</v>
      </c>
      <c r="M58" s="231">
        <f t="shared" si="14"/>
        <v>0</v>
      </c>
      <c r="N58" s="231">
        <f t="shared" si="14"/>
        <v>0</v>
      </c>
      <c r="O58" s="231">
        <f t="shared" si="14"/>
        <v>0</v>
      </c>
      <c r="P58" s="231">
        <f t="shared" si="14"/>
        <v>0</v>
      </c>
      <c r="Q58" s="231">
        <f t="shared" si="14"/>
        <v>0</v>
      </c>
    </row>
    <row r="59" spans="1:17" ht="15" customHeight="1" thickTop="1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</row>
    <row r="60" spans="1:17" s="174" customFormat="1" ht="15" customHeight="1">
      <c r="A60" s="217" t="s">
        <v>83</v>
      </c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</row>
    <row r="61" spans="1:17" ht="15" customHeight="1">
      <c r="A61" s="218" t="s">
        <v>368</v>
      </c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</row>
    <row r="62" spans="1:17" ht="15" customHeight="1">
      <c r="A62" s="218"/>
      <c r="B62" s="218" t="s">
        <v>369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</row>
    <row r="63" spans="1:17" ht="15" customHeight="1">
      <c r="A63" s="218"/>
      <c r="B63" s="218" t="s">
        <v>370</v>
      </c>
      <c r="C63" s="232">
        <v>10000</v>
      </c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</row>
    <row r="64" spans="1:17" ht="15" customHeight="1">
      <c r="A64" s="218"/>
      <c r="B64" s="218" t="s">
        <v>371</v>
      </c>
      <c r="C64" s="232">
        <v>150</v>
      </c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</row>
    <row r="65" spans="1:17" ht="15" customHeight="1">
      <c r="A65" s="218"/>
      <c r="B65" s="233" t="s">
        <v>372</v>
      </c>
      <c r="C65" s="234">
        <v>1500000</v>
      </c>
      <c r="D65" s="233">
        <v>4</v>
      </c>
      <c r="E65" s="233">
        <v>1</v>
      </c>
      <c r="F65" s="235">
        <f t="shared" ref="F65:Q65" si="15">IF(AND(F$21&gt;=$E65, F$21&lt;$E65+$D65), $C65/$D65, 0)</f>
        <v>375000</v>
      </c>
      <c r="G65" s="235">
        <f t="shared" si="15"/>
        <v>375000</v>
      </c>
      <c r="H65" s="235">
        <f t="shared" si="15"/>
        <v>375000</v>
      </c>
      <c r="I65" s="235">
        <f t="shared" si="15"/>
        <v>375000</v>
      </c>
      <c r="J65" s="235">
        <f t="shared" si="15"/>
        <v>0</v>
      </c>
      <c r="K65" s="235">
        <f t="shared" si="15"/>
        <v>0</v>
      </c>
      <c r="L65" s="235">
        <f t="shared" si="15"/>
        <v>0</v>
      </c>
      <c r="M65" s="235">
        <f t="shared" si="15"/>
        <v>0</v>
      </c>
      <c r="N65" s="235">
        <f t="shared" si="15"/>
        <v>0</v>
      </c>
      <c r="O65" s="235">
        <f t="shared" si="15"/>
        <v>0</v>
      </c>
      <c r="P65" s="235">
        <f t="shared" si="15"/>
        <v>0</v>
      </c>
      <c r="Q65" s="235">
        <f t="shared" si="15"/>
        <v>0</v>
      </c>
    </row>
    <row r="66" spans="1:17" ht="15" customHeight="1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</row>
    <row r="67" spans="1:17" ht="15" customHeight="1">
      <c r="A67" s="218" t="s">
        <v>373</v>
      </c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</row>
    <row r="68" spans="1:17" ht="15" customHeight="1">
      <c r="A68" s="218"/>
      <c r="B68" s="218" t="s">
        <v>374</v>
      </c>
      <c r="C68" s="226">
        <v>313500</v>
      </c>
      <c r="D68" s="227">
        <v>3</v>
      </c>
      <c r="E68" s="227">
        <v>1</v>
      </c>
      <c r="F68" s="228">
        <f t="shared" ref="F68:Q77" si="16">IF(AND(F$21&gt;=$E68, F$21&lt;$E68+$D68), $C68/$D68, 0)</f>
        <v>104500</v>
      </c>
      <c r="G68" s="228">
        <f t="shared" si="16"/>
        <v>104500</v>
      </c>
      <c r="H68" s="228">
        <f t="shared" si="16"/>
        <v>104500</v>
      </c>
      <c r="I68" s="228">
        <f t="shared" si="16"/>
        <v>0</v>
      </c>
      <c r="J68" s="228">
        <f t="shared" si="16"/>
        <v>0</v>
      </c>
      <c r="K68" s="228">
        <f t="shared" si="16"/>
        <v>0</v>
      </c>
      <c r="L68" s="228">
        <f t="shared" si="16"/>
        <v>0</v>
      </c>
      <c r="M68" s="228">
        <f t="shared" si="16"/>
        <v>0</v>
      </c>
      <c r="N68" s="228">
        <f t="shared" si="16"/>
        <v>0</v>
      </c>
      <c r="O68" s="228">
        <f t="shared" si="16"/>
        <v>0</v>
      </c>
      <c r="P68" s="228">
        <f t="shared" si="16"/>
        <v>0</v>
      </c>
      <c r="Q68" s="228">
        <f t="shared" si="16"/>
        <v>0</v>
      </c>
    </row>
    <row r="69" spans="1:17" ht="15" customHeight="1">
      <c r="A69" s="218"/>
      <c r="B69" s="218" t="s">
        <v>375</v>
      </c>
      <c r="C69" s="226">
        <v>121875</v>
      </c>
      <c r="D69" s="227">
        <v>3</v>
      </c>
      <c r="E69" s="227">
        <v>1</v>
      </c>
      <c r="F69" s="228">
        <f t="shared" si="16"/>
        <v>40625</v>
      </c>
      <c r="G69" s="228">
        <f t="shared" si="16"/>
        <v>40625</v>
      </c>
      <c r="H69" s="228">
        <f t="shared" si="16"/>
        <v>40625</v>
      </c>
      <c r="I69" s="228">
        <f t="shared" si="16"/>
        <v>0</v>
      </c>
      <c r="J69" s="228">
        <f t="shared" si="16"/>
        <v>0</v>
      </c>
      <c r="K69" s="228">
        <f t="shared" si="16"/>
        <v>0</v>
      </c>
      <c r="L69" s="228">
        <f t="shared" si="16"/>
        <v>0</v>
      </c>
      <c r="M69" s="228">
        <f t="shared" si="16"/>
        <v>0</v>
      </c>
      <c r="N69" s="228">
        <f t="shared" si="16"/>
        <v>0</v>
      </c>
      <c r="O69" s="228">
        <f t="shared" si="16"/>
        <v>0</v>
      </c>
      <c r="P69" s="228">
        <f t="shared" si="16"/>
        <v>0</v>
      </c>
      <c r="Q69" s="228">
        <f t="shared" si="16"/>
        <v>0</v>
      </c>
    </row>
    <row r="70" spans="1:17" ht="15" customHeight="1">
      <c r="A70" s="218"/>
      <c r="B70" s="218" t="s">
        <v>376</v>
      </c>
      <c r="C70" s="226">
        <v>393750</v>
      </c>
      <c r="D70" s="227">
        <v>1</v>
      </c>
      <c r="E70" s="227">
        <v>1</v>
      </c>
      <c r="F70" s="228">
        <f t="shared" si="16"/>
        <v>393750</v>
      </c>
      <c r="G70" s="228">
        <f t="shared" si="16"/>
        <v>0</v>
      </c>
      <c r="H70" s="228">
        <f t="shared" si="16"/>
        <v>0</v>
      </c>
      <c r="I70" s="228">
        <f t="shared" si="16"/>
        <v>0</v>
      </c>
      <c r="J70" s="228">
        <f t="shared" si="16"/>
        <v>0</v>
      </c>
      <c r="K70" s="228">
        <f t="shared" si="16"/>
        <v>0</v>
      </c>
      <c r="L70" s="228">
        <f t="shared" si="16"/>
        <v>0</v>
      </c>
      <c r="M70" s="228">
        <f t="shared" si="16"/>
        <v>0</v>
      </c>
      <c r="N70" s="228">
        <f t="shared" si="16"/>
        <v>0</v>
      </c>
      <c r="O70" s="228">
        <f t="shared" si="16"/>
        <v>0</v>
      </c>
      <c r="P70" s="228">
        <f t="shared" si="16"/>
        <v>0</v>
      </c>
      <c r="Q70" s="228">
        <f t="shared" si="16"/>
        <v>0</v>
      </c>
    </row>
    <row r="71" spans="1:17" ht="15" customHeight="1">
      <c r="A71" s="218"/>
      <c r="B71" s="218" t="s">
        <v>377</v>
      </c>
      <c r="C71" s="226">
        <v>737500</v>
      </c>
      <c r="D71" s="227">
        <v>3</v>
      </c>
      <c r="E71" s="227">
        <v>1</v>
      </c>
      <c r="F71" s="228">
        <f t="shared" si="16"/>
        <v>245833.33333333334</v>
      </c>
      <c r="G71" s="228">
        <f t="shared" si="16"/>
        <v>245833.33333333334</v>
      </c>
      <c r="H71" s="228">
        <f t="shared" si="16"/>
        <v>245833.33333333334</v>
      </c>
      <c r="I71" s="228">
        <f t="shared" si="16"/>
        <v>0</v>
      </c>
      <c r="J71" s="228">
        <f t="shared" si="16"/>
        <v>0</v>
      </c>
      <c r="K71" s="228">
        <f t="shared" si="16"/>
        <v>0</v>
      </c>
      <c r="L71" s="228">
        <f t="shared" si="16"/>
        <v>0</v>
      </c>
      <c r="M71" s="228">
        <f t="shared" si="16"/>
        <v>0</v>
      </c>
      <c r="N71" s="228">
        <f t="shared" si="16"/>
        <v>0</v>
      </c>
      <c r="O71" s="228">
        <f t="shared" si="16"/>
        <v>0</v>
      </c>
      <c r="P71" s="228">
        <f t="shared" si="16"/>
        <v>0</v>
      </c>
      <c r="Q71" s="228">
        <f t="shared" si="16"/>
        <v>0</v>
      </c>
    </row>
    <row r="72" spans="1:17" ht="15" customHeight="1">
      <c r="A72" s="218"/>
      <c r="B72" s="218" t="s">
        <v>378</v>
      </c>
      <c r="C72" s="226">
        <v>300000</v>
      </c>
      <c r="D72" s="227">
        <v>3</v>
      </c>
      <c r="E72" s="227">
        <v>1</v>
      </c>
      <c r="F72" s="228">
        <f t="shared" si="16"/>
        <v>100000</v>
      </c>
      <c r="G72" s="228">
        <f t="shared" si="16"/>
        <v>100000</v>
      </c>
      <c r="H72" s="228">
        <f t="shared" si="16"/>
        <v>100000</v>
      </c>
      <c r="I72" s="228">
        <f t="shared" si="16"/>
        <v>0</v>
      </c>
      <c r="J72" s="228">
        <f t="shared" si="16"/>
        <v>0</v>
      </c>
      <c r="K72" s="228">
        <f t="shared" si="16"/>
        <v>0</v>
      </c>
      <c r="L72" s="228">
        <f t="shared" si="16"/>
        <v>0</v>
      </c>
      <c r="M72" s="228">
        <f t="shared" si="16"/>
        <v>0</v>
      </c>
      <c r="N72" s="228">
        <f t="shared" si="16"/>
        <v>0</v>
      </c>
      <c r="O72" s="228">
        <f t="shared" si="16"/>
        <v>0</v>
      </c>
      <c r="P72" s="228">
        <f t="shared" si="16"/>
        <v>0</v>
      </c>
      <c r="Q72" s="228">
        <f t="shared" si="16"/>
        <v>0</v>
      </c>
    </row>
    <row r="73" spans="1:17" ht="15" customHeight="1">
      <c r="A73" s="218"/>
      <c r="B73" s="218" t="s">
        <v>379</v>
      </c>
      <c r="C73" s="226">
        <v>812500</v>
      </c>
      <c r="D73" s="227">
        <v>3</v>
      </c>
      <c r="E73" s="227">
        <v>1</v>
      </c>
      <c r="F73" s="228">
        <f t="shared" si="16"/>
        <v>270833.33333333331</v>
      </c>
      <c r="G73" s="228">
        <f t="shared" si="16"/>
        <v>270833.33333333331</v>
      </c>
      <c r="H73" s="228">
        <f t="shared" si="16"/>
        <v>270833.33333333331</v>
      </c>
      <c r="I73" s="228">
        <f t="shared" si="16"/>
        <v>0</v>
      </c>
      <c r="J73" s="228">
        <f t="shared" si="16"/>
        <v>0</v>
      </c>
      <c r="K73" s="228">
        <f t="shared" si="16"/>
        <v>0</v>
      </c>
      <c r="L73" s="228">
        <f t="shared" si="16"/>
        <v>0</v>
      </c>
      <c r="M73" s="228">
        <f t="shared" si="16"/>
        <v>0</v>
      </c>
      <c r="N73" s="228">
        <f t="shared" si="16"/>
        <v>0</v>
      </c>
      <c r="O73" s="228">
        <f t="shared" si="16"/>
        <v>0</v>
      </c>
      <c r="P73" s="228">
        <f t="shared" si="16"/>
        <v>0</v>
      </c>
      <c r="Q73" s="228">
        <f t="shared" si="16"/>
        <v>0</v>
      </c>
    </row>
    <row r="74" spans="1:17" ht="15" customHeight="1">
      <c r="A74" s="218"/>
      <c r="B74" s="218" t="s">
        <v>380</v>
      </c>
      <c r="C74" s="226">
        <v>293125</v>
      </c>
      <c r="D74" s="227">
        <v>3</v>
      </c>
      <c r="E74" s="227">
        <v>1</v>
      </c>
      <c r="F74" s="228">
        <f t="shared" si="16"/>
        <v>97708.333333333328</v>
      </c>
      <c r="G74" s="228">
        <f t="shared" si="16"/>
        <v>97708.333333333328</v>
      </c>
      <c r="H74" s="228">
        <f t="shared" si="16"/>
        <v>97708.333333333328</v>
      </c>
      <c r="I74" s="228">
        <f t="shared" si="16"/>
        <v>0</v>
      </c>
      <c r="J74" s="228">
        <f t="shared" si="16"/>
        <v>0</v>
      </c>
      <c r="K74" s="228">
        <f t="shared" si="16"/>
        <v>0</v>
      </c>
      <c r="L74" s="228">
        <f t="shared" si="16"/>
        <v>0</v>
      </c>
      <c r="M74" s="228">
        <f t="shared" si="16"/>
        <v>0</v>
      </c>
      <c r="N74" s="228">
        <f t="shared" si="16"/>
        <v>0</v>
      </c>
      <c r="O74" s="228">
        <f t="shared" si="16"/>
        <v>0</v>
      </c>
      <c r="P74" s="228">
        <f t="shared" si="16"/>
        <v>0</v>
      </c>
      <c r="Q74" s="228">
        <f t="shared" si="16"/>
        <v>0</v>
      </c>
    </row>
    <row r="75" spans="1:17" ht="15" customHeight="1">
      <c r="A75" s="218"/>
      <c r="B75" s="218" t="s">
        <v>381</v>
      </c>
      <c r="C75" s="226">
        <v>93750</v>
      </c>
      <c r="D75" s="227">
        <v>3</v>
      </c>
      <c r="E75" s="227">
        <v>1</v>
      </c>
      <c r="F75" s="228">
        <f t="shared" si="16"/>
        <v>31250</v>
      </c>
      <c r="G75" s="228">
        <f t="shared" si="16"/>
        <v>31250</v>
      </c>
      <c r="H75" s="228">
        <f t="shared" si="16"/>
        <v>31250</v>
      </c>
      <c r="I75" s="228">
        <f t="shared" si="16"/>
        <v>0</v>
      </c>
      <c r="J75" s="228">
        <f t="shared" si="16"/>
        <v>0</v>
      </c>
      <c r="K75" s="228">
        <f t="shared" si="16"/>
        <v>0</v>
      </c>
      <c r="L75" s="228">
        <f t="shared" si="16"/>
        <v>0</v>
      </c>
      <c r="M75" s="228">
        <f t="shared" si="16"/>
        <v>0</v>
      </c>
      <c r="N75" s="228">
        <f t="shared" si="16"/>
        <v>0</v>
      </c>
      <c r="O75" s="228">
        <f t="shared" si="16"/>
        <v>0</v>
      </c>
      <c r="P75" s="228">
        <f t="shared" si="16"/>
        <v>0</v>
      </c>
      <c r="Q75" s="228">
        <f t="shared" si="16"/>
        <v>0</v>
      </c>
    </row>
    <row r="76" spans="1:17" ht="15" customHeight="1">
      <c r="A76" s="218"/>
      <c r="B76" s="218" t="s">
        <v>382</v>
      </c>
      <c r="C76" s="226">
        <v>100000</v>
      </c>
      <c r="D76" s="227">
        <v>3</v>
      </c>
      <c r="E76" s="227">
        <v>1</v>
      </c>
      <c r="F76" s="228">
        <f t="shared" si="16"/>
        <v>33333.333333333336</v>
      </c>
      <c r="G76" s="228">
        <f t="shared" si="16"/>
        <v>33333.333333333336</v>
      </c>
      <c r="H76" s="228">
        <f t="shared" si="16"/>
        <v>33333.333333333336</v>
      </c>
      <c r="I76" s="228">
        <f t="shared" si="16"/>
        <v>0</v>
      </c>
      <c r="J76" s="228">
        <f t="shared" si="16"/>
        <v>0</v>
      </c>
      <c r="K76" s="228">
        <f t="shared" si="16"/>
        <v>0</v>
      </c>
      <c r="L76" s="228">
        <f t="shared" si="16"/>
        <v>0</v>
      </c>
      <c r="M76" s="228">
        <f t="shared" si="16"/>
        <v>0</v>
      </c>
      <c r="N76" s="228">
        <f t="shared" si="16"/>
        <v>0</v>
      </c>
      <c r="O76" s="228">
        <f t="shared" si="16"/>
        <v>0</v>
      </c>
      <c r="P76" s="228">
        <f t="shared" si="16"/>
        <v>0</v>
      </c>
      <c r="Q76" s="228">
        <f t="shared" si="16"/>
        <v>0</v>
      </c>
    </row>
    <row r="77" spans="1:17" ht="15" customHeight="1">
      <c r="A77" s="218"/>
      <c r="B77" s="218" t="s">
        <v>383</v>
      </c>
      <c r="C77" s="226">
        <v>31250</v>
      </c>
      <c r="D77" s="227">
        <v>3</v>
      </c>
      <c r="E77" s="227">
        <v>1</v>
      </c>
      <c r="F77" s="228">
        <f t="shared" si="16"/>
        <v>10416.666666666666</v>
      </c>
      <c r="G77" s="228">
        <f t="shared" si="16"/>
        <v>10416.666666666666</v>
      </c>
      <c r="H77" s="228">
        <f t="shared" si="16"/>
        <v>10416.666666666666</v>
      </c>
      <c r="I77" s="228">
        <f t="shared" si="16"/>
        <v>0</v>
      </c>
      <c r="J77" s="228">
        <f t="shared" si="16"/>
        <v>0</v>
      </c>
      <c r="K77" s="228">
        <f t="shared" si="16"/>
        <v>0</v>
      </c>
      <c r="L77" s="228">
        <f t="shared" si="16"/>
        <v>0</v>
      </c>
      <c r="M77" s="228">
        <f t="shared" si="16"/>
        <v>0</v>
      </c>
      <c r="N77" s="228">
        <f t="shared" si="16"/>
        <v>0</v>
      </c>
      <c r="O77" s="228">
        <f t="shared" si="16"/>
        <v>0</v>
      </c>
      <c r="P77" s="228">
        <f t="shared" si="16"/>
        <v>0</v>
      </c>
      <c r="Q77" s="228">
        <f t="shared" si="16"/>
        <v>0</v>
      </c>
    </row>
    <row r="78" spans="1:17" ht="15" customHeight="1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</row>
    <row r="79" spans="1:17" ht="15" customHeight="1">
      <c r="A79" s="218"/>
      <c r="B79" s="233" t="s">
        <v>384</v>
      </c>
      <c r="C79" s="234">
        <f>SUM(C68:C77)</f>
        <v>3197250</v>
      </c>
      <c r="D79" s="233"/>
      <c r="E79" s="233"/>
      <c r="F79" s="236">
        <f>SUM(F68:F77)</f>
        <v>1328250</v>
      </c>
      <c r="G79" s="236">
        <f t="shared" ref="G79:Q79" si="17">SUM(G68:G77)</f>
        <v>934500.00000000012</v>
      </c>
      <c r="H79" s="236">
        <f t="shared" si="17"/>
        <v>934500.00000000012</v>
      </c>
      <c r="I79" s="236">
        <f t="shared" si="17"/>
        <v>0</v>
      </c>
      <c r="J79" s="236">
        <f t="shared" si="17"/>
        <v>0</v>
      </c>
      <c r="K79" s="236">
        <f t="shared" si="17"/>
        <v>0</v>
      </c>
      <c r="L79" s="236">
        <f t="shared" si="17"/>
        <v>0</v>
      </c>
      <c r="M79" s="236">
        <f t="shared" si="17"/>
        <v>0</v>
      </c>
      <c r="N79" s="236">
        <f t="shared" si="17"/>
        <v>0</v>
      </c>
      <c r="O79" s="236">
        <f t="shared" si="17"/>
        <v>0</v>
      </c>
      <c r="P79" s="236">
        <f t="shared" si="17"/>
        <v>0</v>
      </c>
      <c r="Q79" s="236">
        <f t="shared" si="17"/>
        <v>0</v>
      </c>
    </row>
    <row r="80" spans="1:17" ht="15" customHeight="1">
      <c r="A80" s="218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</row>
    <row r="81" spans="1:17" ht="15" customHeight="1" thickBot="1">
      <c r="A81" s="121"/>
      <c r="B81" s="220" t="s">
        <v>385</v>
      </c>
      <c r="C81" s="231">
        <f>SUM(F81:Q81)</f>
        <v>4697250</v>
      </c>
      <c r="D81" s="220"/>
      <c r="E81" s="220"/>
      <c r="F81" s="231">
        <f>SUM(F79,F65)</f>
        <v>1703250</v>
      </c>
      <c r="G81" s="231">
        <f t="shared" ref="G81:Q81" si="18">SUM(G79,G65)</f>
        <v>1309500</v>
      </c>
      <c r="H81" s="231">
        <f t="shared" si="18"/>
        <v>1309500</v>
      </c>
      <c r="I81" s="231">
        <f t="shared" si="18"/>
        <v>375000</v>
      </c>
      <c r="J81" s="231">
        <f t="shared" si="18"/>
        <v>0</v>
      </c>
      <c r="K81" s="231">
        <f t="shared" si="18"/>
        <v>0</v>
      </c>
      <c r="L81" s="231">
        <f t="shared" si="18"/>
        <v>0</v>
      </c>
      <c r="M81" s="231">
        <f t="shared" si="18"/>
        <v>0</v>
      </c>
      <c r="N81" s="231">
        <f t="shared" si="18"/>
        <v>0</v>
      </c>
      <c r="O81" s="231">
        <f t="shared" si="18"/>
        <v>0</v>
      </c>
      <c r="P81" s="231">
        <f t="shared" si="18"/>
        <v>0</v>
      </c>
      <c r="Q81" s="231">
        <f t="shared" si="18"/>
        <v>0</v>
      </c>
    </row>
    <row r="82" spans="1:17" ht="15" customHeight="1" thickTop="1">
      <c r="A82" s="218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</row>
    <row r="83" spans="1:17" s="174" customFormat="1" ht="15" customHeight="1">
      <c r="A83" s="217" t="s">
        <v>84</v>
      </c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</row>
    <row r="84" spans="1:17" ht="15" customHeight="1">
      <c r="A84" s="121" t="s">
        <v>328</v>
      </c>
      <c r="B84" s="121" t="s">
        <v>330</v>
      </c>
      <c r="C84" s="121" t="s">
        <v>331</v>
      </c>
      <c r="D84" s="225" t="s">
        <v>332</v>
      </c>
      <c r="E84" s="225" t="s">
        <v>333</v>
      </c>
      <c r="F84" s="121">
        <v>1</v>
      </c>
      <c r="G84" s="121">
        <v>2</v>
      </c>
      <c r="H84" s="121">
        <v>3</v>
      </c>
      <c r="I84" s="121">
        <v>4</v>
      </c>
      <c r="J84" s="121">
        <v>5</v>
      </c>
      <c r="K84" s="121">
        <v>6</v>
      </c>
      <c r="L84" s="121">
        <v>7</v>
      </c>
      <c r="M84" s="121">
        <v>8</v>
      </c>
      <c r="N84" s="121">
        <v>9</v>
      </c>
      <c r="O84" s="121">
        <v>10</v>
      </c>
      <c r="P84" s="121">
        <v>11</v>
      </c>
      <c r="Q84" s="121">
        <v>12</v>
      </c>
    </row>
    <row r="85" spans="1:17" ht="15" customHeight="1">
      <c r="A85" s="218" t="s">
        <v>386</v>
      </c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</row>
    <row r="86" spans="1:17" ht="15" customHeight="1">
      <c r="A86" s="218"/>
      <c r="B86" s="218" t="s">
        <v>387</v>
      </c>
      <c r="C86" s="226">
        <v>2000</v>
      </c>
      <c r="D86" s="227">
        <v>8</v>
      </c>
      <c r="E86" s="227">
        <v>1</v>
      </c>
      <c r="F86" s="228">
        <f>IF(AND(F$21&gt;=$E86, F$21&lt;$E86+$D86), $C86, 0)</f>
        <v>2000</v>
      </c>
      <c r="G86" s="228">
        <f t="shared" ref="G86:Q91" si="19">IF(AND(G$21&gt;=$E86, G$21&lt;$E86+$D86), $C86, 0)</f>
        <v>2000</v>
      </c>
      <c r="H86" s="228">
        <f t="shared" si="19"/>
        <v>2000</v>
      </c>
      <c r="I86" s="228">
        <f t="shared" si="19"/>
        <v>2000</v>
      </c>
      <c r="J86" s="228">
        <f t="shared" si="19"/>
        <v>2000</v>
      </c>
      <c r="K86" s="228">
        <f t="shared" si="19"/>
        <v>2000</v>
      </c>
      <c r="L86" s="228">
        <f t="shared" si="19"/>
        <v>2000</v>
      </c>
      <c r="M86" s="228">
        <f t="shared" si="19"/>
        <v>2000</v>
      </c>
      <c r="N86" s="228">
        <f t="shared" si="19"/>
        <v>0</v>
      </c>
      <c r="O86" s="228">
        <f t="shared" si="19"/>
        <v>0</v>
      </c>
      <c r="P86" s="228">
        <f t="shared" si="19"/>
        <v>0</v>
      </c>
      <c r="Q86" s="228">
        <f t="shared" si="19"/>
        <v>0</v>
      </c>
    </row>
    <row r="87" spans="1:17" ht="15" customHeight="1">
      <c r="A87" s="218"/>
      <c r="B87" s="218" t="s">
        <v>388</v>
      </c>
      <c r="C87" s="226">
        <v>2500</v>
      </c>
      <c r="D87" s="227">
        <v>8</v>
      </c>
      <c r="E87" s="227">
        <v>1</v>
      </c>
      <c r="F87" s="228">
        <f t="shared" ref="F87:F91" si="20">IF(AND(F$21&gt;=$E87, F$21&lt;$E87+$D87), $C87, 0)</f>
        <v>2500</v>
      </c>
      <c r="G87" s="228">
        <f t="shared" si="19"/>
        <v>2500</v>
      </c>
      <c r="H87" s="228">
        <f t="shared" si="19"/>
        <v>2500</v>
      </c>
      <c r="I87" s="228">
        <f t="shared" si="19"/>
        <v>2500</v>
      </c>
      <c r="J87" s="228">
        <f t="shared" si="19"/>
        <v>2500</v>
      </c>
      <c r="K87" s="228">
        <f t="shared" si="19"/>
        <v>2500</v>
      </c>
      <c r="L87" s="228">
        <f t="shared" si="19"/>
        <v>2500</v>
      </c>
      <c r="M87" s="228">
        <f t="shared" si="19"/>
        <v>2500</v>
      </c>
      <c r="N87" s="228">
        <f t="shared" si="19"/>
        <v>0</v>
      </c>
      <c r="O87" s="228">
        <f t="shared" si="19"/>
        <v>0</v>
      </c>
      <c r="P87" s="228">
        <f t="shared" si="19"/>
        <v>0</v>
      </c>
      <c r="Q87" s="228">
        <f t="shared" si="19"/>
        <v>0</v>
      </c>
    </row>
    <row r="88" spans="1:17" ht="15" customHeight="1">
      <c r="A88" s="218"/>
      <c r="B88" s="218" t="s">
        <v>389</v>
      </c>
      <c r="C88" s="226">
        <v>2000</v>
      </c>
      <c r="D88" s="227">
        <v>8</v>
      </c>
      <c r="E88" s="227">
        <v>1</v>
      </c>
      <c r="F88" s="228">
        <f t="shared" si="20"/>
        <v>2000</v>
      </c>
      <c r="G88" s="228">
        <f t="shared" si="19"/>
        <v>2000</v>
      </c>
      <c r="H88" s="228">
        <f t="shared" si="19"/>
        <v>2000</v>
      </c>
      <c r="I88" s="228">
        <f t="shared" si="19"/>
        <v>2000</v>
      </c>
      <c r="J88" s="228">
        <f t="shared" si="19"/>
        <v>2000</v>
      </c>
      <c r="K88" s="228">
        <f t="shared" si="19"/>
        <v>2000</v>
      </c>
      <c r="L88" s="228">
        <f t="shared" si="19"/>
        <v>2000</v>
      </c>
      <c r="M88" s="228">
        <f t="shared" si="19"/>
        <v>2000</v>
      </c>
      <c r="N88" s="228">
        <f t="shared" si="19"/>
        <v>0</v>
      </c>
      <c r="O88" s="228">
        <f t="shared" si="19"/>
        <v>0</v>
      </c>
      <c r="P88" s="228">
        <f t="shared" si="19"/>
        <v>0</v>
      </c>
      <c r="Q88" s="228">
        <f t="shared" si="19"/>
        <v>0</v>
      </c>
    </row>
    <row r="89" spans="1:17" ht="15" customHeight="1">
      <c r="A89" s="218"/>
      <c r="B89" s="218" t="s">
        <v>390</v>
      </c>
      <c r="C89" s="226">
        <v>250</v>
      </c>
      <c r="D89" s="227">
        <v>8</v>
      </c>
      <c r="E89" s="227">
        <v>1</v>
      </c>
      <c r="F89" s="228">
        <f t="shared" si="20"/>
        <v>250</v>
      </c>
      <c r="G89" s="228">
        <f t="shared" si="19"/>
        <v>250</v>
      </c>
      <c r="H89" s="228">
        <f t="shared" si="19"/>
        <v>250</v>
      </c>
      <c r="I89" s="228">
        <f t="shared" si="19"/>
        <v>250</v>
      </c>
      <c r="J89" s="228">
        <f t="shared" si="19"/>
        <v>250</v>
      </c>
      <c r="K89" s="228">
        <f t="shared" si="19"/>
        <v>250</v>
      </c>
      <c r="L89" s="228">
        <f t="shared" si="19"/>
        <v>250</v>
      </c>
      <c r="M89" s="228">
        <f t="shared" si="19"/>
        <v>250</v>
      </c>
      <c r="N89" s="228">
        <f t="shared" si="19"/>
        <v>0</v>
      </c>
      <c r="O89" s="228">
        <f t="shared" si="19"/>
        <v>0</v>
      </c>
      <c r="P89" s="228">
        <f t="shared" si="19"/>
        <v>0</v>
      </c>
      <c r="Q89" s="228">
        <f t="shared" si="19"/>
        <v>0</v>
      </c>
    </row>
    <row r="90" spans="1:17" ht="15" customHeight="1">
      <c r="A90" s="218"/>
      <c r="B90" s="218" t="s">
        <v>391</v>
      </c>
      <c r="C90" s="226">
        <v>1200</v>
      </c>
      <c r="D90" s="227">
        <v>8</v>
      </c>
      <c r="E90" s="227">
        <v>1</v>
      </c>
      <c r="F90" s="228">
        <f t="shared" si="20"/>
        <v>1200</v>
      </c>
      <c r="G90" s="228">
        <f t="shared" si="19"/>
        <v>1200</v>
      </c>
      <c r="H90" s="228">
        <f t="shared" si="19"/>
        <v>1200</v>
      </c>
      <c r="I90" s="228">
        <f t="shared" si="19"/>
        <v>1200</v>
      </c>
      <c r="J90" s="228">
        <f t="shared" si="19"/>
        <v>1200</v>
      </c>
      <c r="K90" s="228">
        <f t="shared" si="19"/>
        <v>1200</v>
      </c>
      <c r="L90" s="228">
        <f t="shared" si="19"/>
        <v>1200</v>
      </c>
      <c r="M90" s="228">
        <f t="shared" si="19"/>
        <v>1200</v>
      </c>
      <c r="N90" s="228">
        <f t="shared" si="19"/>
        <v>0</v>
      </c>
      <c r="O90" s="228">
        <f t="shared" si="19"/>
        <v>0</v>
      </c>
      <c r="P90" s="228">
        <f t="shared" si="19"/>
        <v>0</v>
      </c>
      <c r="Q90" s="228">
        <f t="shared" si="19"/>
        <v>0</v>
      </c>
    </row>
    <row r="91" spans="1:17" ht="15" customHeight="1">
      <c r="A91" s="218"/>
      <c r="B91" s="218" t="s">
        <v>392</v>
      </c>
      <c r="C91" s="226">
        <v>37500</v>
      </c>
      <c r="D91" s="227">
        <v>1</v>
      </c>
      <c r="E91" s="227">
        <v>1</v>
      </c>
      <c r="F91" s="228">
        <f t="shared" si="20"/>
        <v>37500</v>
      </c>
      <c r="G91" s="228">
        <f t="shared" si="19"/>
        <v>0</v>
      </c>
      <c r="H91" s="228">
        <f t="shared" si="19"/>
        <v>0</v>
      </c>
      <c r="I91" s="228">
        <f t="shared" si="19"/>
        <v>0</v>
      </c>
      <c r="J91" s="228">
        <f t="shared" si="19"/>
        <v>0</v>
      </c>
      <c r="K91" s="228">
        <f t="shared" si="19"/>
        <v>0</v>
      </c>
      <c r="L91" s="228">
        <f t="shared" si="19"/>
        <v>0</v>
      </c>
      <c r="M91" s="228">
        <f t="shared" si="19"/>
        <v>0</v>
      </c>
      <c r="N91" s="228">
        <f t="shared" si="19"/>
        <v>0</v>
      </c>
      <c r="O91" s="228">
        <f t="shared" si="19"/>
        <v>0</v>
      </c>
      <c r="P91" s="228">
        <f t="shared" si="19"/>
        <v>0</v>
      </c>
      <c r="Q91" s="228">
        <f t="shared" si="19"/>
        <v>0</v>
      </c>
    </row>
    <row r="92" spans="1:17" ht="15" customHeight="1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</row>
    <row r="93" spans="1:17" ht="15" customHeight="1">
      <c r="A93" s="218"/>
      <c r="B93" s="233" t="s">
        <v>393</v>
      </c>
      <c r="C93" s="234">
        <f>SUM(C86:C91)</f>
        <v>45450</v>
      </c>
      <c r="D93" s="233"/>
      <c r="E93" s="233"/>
      <c r="F93" s="236">
        <f>SUM(F86:F91)</f>
        <v>45450</v>
      </c>
      <c r="G93" s="236">
        <f t="shared" ref="G93:Q93" si="21">SUM(G86:G91)</f>
        <v>7950</v>
      </c>
      <c r="H93" s="236">
        <f t="shared" si="21"/>
        <v>7950</v>
      </c>
      <c r="I93" s="236">
        <f t="shared" si="21"/>
        <v>7950</v>
      </c>
      <c r="J93" s="236">
        <f t="shared" si="21"/>
        <v>7950</v>
      </c>
      <c r="K93" s="236">
        <f t="shared" si="21"/>
        <v>7950</v>
      </c>
      <c r="L93" s="236">
        <f t="shared" si="21"/>
        <v>7950</v>
      </c>
      <c r="M93" s="236">
        <f t="shared" si="21"/>
        <v>7950</v>
      </c>
      <c r="N93" s="236">
        <f t="shared" si="21"/>
        <v>0</v>
      </c>
      <c r="O93" s="236">
        <f t="shared" si="21"/>
        <v>0</v>
      </c>
      <c r="P93" s="236">
        <f t="shared" si="21"/>
        <v>0</v>
      </c>
      <c r="Q93" s="236">
        <f t="shared" si="21"/>
        <v>0</v>
      </c>
    </row>
    <row r="94" spans="1:17" ht="15" customHeight="1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</row>
    <row r="95" spans="1:17" ht="15" customHeight="1">
      <c r="A95" s="218" t="s">
        <v>394</v>
      </c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</row>
    <row r="96" spans="1:17" ht="15" customHeight="1">
      <c r="A96" s="218"/>
      <c r="B96" s="218" t="s">
        <v>395</v>
      </c>
      <c r="C96" s="226">
        <v>5000</v>
      </c>
      <c r="D96" s="227">
        <v>8</v>
      </c>
      <c r="E96" s="227">
        <v>1</v>
      </c>
      <c r="F96" s="228">
        <f t="shared" ref="F96:Q101" si="22">IF(AND(F$21&gt;=$E96, F$21&lt;$E96+$D96), $C96, 0)</f>
        <v>5000</v>
      </c>
      <c r="G96" s="228">
        <f t="shared" si="22"/>
        <v>5000</v>
      </c>
      <c r="H96" s="228">
        <f t="shared" si="22"/>
        <v>5000</v>
      </c>
      <c r="I96" s="228">
        <f t="shared" si="22"/>
        <v>5000</v>
      </c>
      <c r="J96" s="228">
        <f t="shared" si="22"/>
        <v>5000</v>
      </c>
      <c r="K96" s="228">
        <f t="shared" si="22"/>
        <v>5000</v>
      </c>
      <c r="L96" s="228">
        <f t="shared" si="22"/>
        <v>5000</v>
      </c>
      <c r="M96" s="228">
        <f t="shared" si="22"/>
        <v>5000</v>
      </c>
      <c r="N96" s="228">
        <f t="shared" si="22"/>
        <v>0</v>
      </c>
      <c r="O96" s="228">
        <f t="shared" si="22"/>
        <v>0</v>
      </c>
      <c r="P96" s="228">
        <f t="shared" si="22"/>
        <v>0</v>
      </c>
      <c r="Q96" s="228">
        <f t="shared" si="22"/>
        <v>0</v>
      </c>
    </row>
    <row r="97" spans="1:17" ht="15" customHeight="1">
      <c r="A97" s="218"/>
      <c r="B97" s="218" t="s">
        <v>396</v>
      </c>
      <c r="C97" s="226">
        <v>6000</v>
      </c>
      <c r="D97" s="218">
        <v>12</v>
      </c>
      <c r="E97" s="218">
        <v>1</v>
      </c>
      <c r="F97" s="228">
        <f t="shared" si="22"/>
        <v>6000</v>
      </c>
      <c r="G97" s="228">
        <f t="shared" si="22"/>
        <v>6000</v>
      </c>
      <c r="H97" s="228">
        <f t="shared" si="22"/>
        <v>6000</v>
      </c>
      <c r="I97" s="228">
        <f t="shared" si="22"/>
        <v>6000</v>
      </c>
      <c r="J97" s="228">
        <f t="shared" si="22"/>
        <v>6000</v>
      </c>
      <c r="K97" s="228">
        <f t="shared" si="22"/>
        <v>6000</v>
      </c>
      <c r="L97" s="228">
        <f t="shared" si="22"/>
        <v>6000</v>
      </c>
      <c r="M97" s="228">
        <f t="shared" si="22"/>
        <v>6000</v>
      </c>
      <c r="N97" s="228">
        <f t="shared" si="22"/>
        <v>6000</v>
      </c>
      <c r="O97" s="228">
        <f t="shared" si="22"/>
        <v>6000</v>
      </c>
      <c r="P97" s="228">
        <f t="shared" si="22"/>
        <v>6000</v>
      </c>
      <c r="Q97" s="228">
        <f t="shared" si="22"/>
        <v>6000</v>
      </c>
    </row>
    <row r="98" spans="1:17" ht="15" customHeight="1">
      <c r="A98" s="218"/>
      <c r="B98" s="218" t="s">
        <v>397</v>
      </c>
      <c r="C98" s="226">
        <v>20000</v>
      </c>
      <c r="D98" s="218">
        <v>1</v>
      </c>
      <c r="E98" s="218">
        <v>1</v>
      </c>
      <c r="F98" s="228">
        <f t="shared" si="22"/>
        <v>20000</v>
      </c>
      <c r="G98" s="228">
        <f t="shared" si="22"/>
        <v>0</v>
      </c>
      <c r="H98" s="228">
        <f t="shared" si="22"/>
        <v>0</v>
      </c>
      <c r="I98" s="228">
        <f t="shared" si="22"/>
        <v>0</v>
      </c>
      <c r="J98" s="228">
        <f t="shared" si="22"/>
        <v>0</v>
      </c>
      <c r="K98" s="228">
        <f t="shared" si="22"/>
        <v>0</v>
      </c>
      <c r="L98" s="228">
        <f t="shared" si="22"/>
        <v>0</v>
      </c>
      <c r="M98" s="228">
        <f t="shared" si="22"/>
        <v>0</v>
      </c>
      <c r="N98" s="228">
        <f t="shared" si="22"/>
        <v>0</v>
      </c>
      <c r="O98" s="228">
        <f t="shared" si="22"/>
        <v>0</v>
      </c>
      <c r="P98" s="228">
        <f t="shared" si="22"/>
        <v>0</v>
      </c>
      <c r="Q98" s="228">
        <f t="shared" si="22"/>
        <v>0</v>
      </c>
    </row>
    <row r="99" spans="1:17" ht="15" customHeight="1">
      <c r="A99" s="218"/>
      <c r="B99" s="218" t="s">
        <v>151</v>
      </c>
      <c r="C99" s="226">
        <v>1000</v>
      </c>
      <c r="D99" s="218">
        <v>8</v>
      </c>
      <c r="E99" s="218">
        <v>1</v>
      </c>
      <c r="F99" s="228">
        <f t="shared" si="22"/>
        <v>1000</v>
      </c>
      <c r="G99" s="228">
        <f t="shared" si="22"/>
        <v>1000</v>
      </c>
      <c r="H99" s="228">
        <f t="shared" si="22"/>
        <v>1000</v>
      </c>
      <c r="I99" s="228">
        <f t="shared" si="22"/>
        <v>1000</v>
      </c>
      <c r="J99" s="228">
        <f t="shared" si="22"/>
        <v>1000</v>
      </c>
      <c r="K99" s="228">
        <f t="shared" si="22"/>
        <v>1000</v>
      </c>
      <c r="L99" s="228">
        <f t="shared" si="22"/>
        <v>1000</v>
      </c>
      <c r="M99" s="228">
        <f t="shared" si="22"/>
        <v>1000</v>
      </c>
      <c r="N99" s="228">
        <f t="shared" si="22"/>
        <v>0</v>
      </c>
      <c r="O99" s="228">
        <f t="shared" si="22"/>
        <v>0</v>
      </c>
      <c r="P99" s="228">
        <f t="shared" si="22"/>
        <v>0</v>
      </c>
      <c r="Q99" s="228">
        <f t="shared" si="22"/>
        <v>0</v>
      </c>
    </row>
    <row r="100" spans="1:17" ht="15" customHeight="1">
      <c r="A100" s="218"/>
      <c r="B100" s="218" t="s">
        <v>398</v>
      </c>
      <c r="C100" s="226">
        <v>5000</v>
      </c>
      <c r="D100" s="218">
        <v>8</v>
      </c>
      <c r="E100" s="218">
        <v>1</v>
      </c>
      <c r="F100" s="228">
        <f t="shared" si="22"/>
        <v>5000</v>
      </c>
      <c r="G100" s="228">
        <f t="shared" si="22"/>
        <v>5000</v>
      </c>
      <c r="H100" s="228">
        <f t="shared" si="22"/>
        <v>5000</v>
      </c>
      <c r="I100" s="228">
        <f t="shared" si="22"/>
        <v>5000</v>
      </c>
      <c r="J100" s="228">
        <f t="shared" si="22"/>
        <v>5000</v>
      </c>
      <c r="K100" s="228">
        <f t="shared" si="22"/>
        <v>5000</v>
      </c>
      <c r="L100" s="228">
        <f t="shared" si="22"/>
        <v>5000</v>
      </c>
      <c r="M100" s="228">
        <f t="shared" si="22"/>
        <v>5000</v>
      </c>
      <c r="N100" s="228">
        <f t="shared" si="22"/>
        <v>0</v>
      </c>
      <c r="O100" s="228">
        <f t="shared" si="22"/>
        <v>0</v>
      </c>
      <c r="P100" s="228">
        <f t="shared" si="22"/>
        <v>0</v>
      </c>
      <c r="Q100" s="228">
        <f t="shared" si="22"/>
        <v>0</v>
      </c>
    </row>
    <row r="101" spans="1:17" ht="15" customHeight="1">
      <c r="A101" s="218"/>
      <c r="B101" s="218" t="s">
        <v>399</v>
      </c>
      <c r="C101" s="226">
        <v>3000</v>
      </c>
      <c r="D101" s="218">
        <v>8</v>
      </c>
      <c r="E101" s="218">
        <v>1</v>
      </c>
      <c r="F101" s="228">
        <f t="shared" si="22"/>
        <v>3000</v>
      </c>
      <c r="G101" s="228">
        <f t="shared" si="22"/>
        <v>3000</v>
      </c>
      <c r="H101" s="228">
        <f t="shared" si="22"/>
        <v>3000</v>
      </c>
      <c r="I101" s="228">
        <f t="shared" si="22"/>
        <v>3000</v>
      </c>
      <c r="J101" s="228">
        <f t="shared" si="22"/>
        <v>3000</v>
      </c>
      <c r="K101" s="228">
        <f t="shared" si="22"/>
        <v>3000</v>
      </c>
      <c r="L101" s="228">
        <f t="shared" si="22"/>
        <v>3000</v>
      </c>
      <c r="M101" s="228">
        <f t="shared" si="22"/>
        <v>3000</v>
      </c>
      <c r="N101" s="228">
        <f t="shared" si="22"/>
        <v>0</v>
      </c>
      <c r="O101" s="228">
        <f t="shared" si="22"/>
        <v>0</v>
      </c>
      <c r="P101" s="228">
        <f t="shared" si="22"/>
        <v>0</v>
      </c>
      <c r="Q101" s="228">
        <f t="shared" si="22"/>
        <v>0</v>
      </c>
    </row>
    <row r="102" spans="1:17" ht="15" customHeight="1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</row>
    <row r="103" spans="1:17" ht="15" customHeight="1">
      <c r="A103" s="218"/>
      <c r="B103" s="233" t="s">
        <v>400</v>
      </c>
      <c r="C103" s="234">
        <f>SUM(C96:C101)</f>
        <v>40000</v>
      </c>
      <c r="D103" s="233"/>
      <c r="E103" s="233"/>
      <c r="F103" s="234">
        <f>SUM(F96:F101)</f>
        <v>40000</v>
      </c>
      <c r="G103" s="234">
        <f t="shared" ref="G103:Q103" si="23">SUM(G96:G101)</f>
        <v>20000</v>
      </c>
      <c r="H103" s="234">
        <f t="shared" si="23"/>
        <v>20000</v>
      </c>
      <c r="I103" s="234">
        <f t="shared" si="23"/>
        <v>20000</v>
      </c>
      <c r="J103" s="234">
        <f t="shared" si="23"/>
        <v>20000</v>
      </c>
      <c r="K103" s="234">
        <f t="shared" si="23"/>
        <v>20000</v>
      </c>
      <c r="L103" s="234">
        <f t="shared" si="23"/>
        <v>20000</v>
      </c>
      <c r="M103" s="234">
        <f t="shared" si="23"/>
        <v>20000</v>
      </c>
      <c r="N103" s="234">
        <f t="shared" si="23"/>
        <v>6000</v>
      </c>
      <c r="O103" s="234">
        <f t="shared" si="23"/>
        <v>6000</v>
      </c>
      <c r="P103" s="234">
        <f t="shared" si="23"/>
        <v>6000</v>
      </c>
      <c r="Q103" s="234">
        <f t="shared" si="23"/>
        <v>6000</v>
      </c>
    </row>
    <row r="104" spans="1:17" ht="15" customHeight="1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</row>
    <row r="105" spans="1:17" ht="15" customHeight="1">
      <c r="A105" s="218" t="s">
        <v>401</v>
      </c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</row>
    <row r="106" spans="1:17" ht="15" customHeight="1">
      <c r="A106" s="218"/>
      <c r="B106" s="218" t="s">
        <v>402</v>
      </c>
      <c r="C106" s="226">
        <v>350000</v>
      </c>
      <c r="D106" s="218">
        <v>3</v>
      </c>
      <c r="E106" s="218">
        <v>6</v>
      </c>
      <c r="F106" s="228">
        <f t="shared" ref="F106:Q108" si="24">IF(AND(F$21&gt;=$E106, F$21&lt;$E106+$D106), $C106/$D106, 0)</f>
        <v>0</v>
      </c>
      <c r="G106" s="228">
        <f t="shared" si="24"/>
        <v>0</v>
      </c>
      <c r="H106" s="228">
        <f t="shared" si="24"/>
        <v>0</v>
      </c>
      <c r="I106" s="228">
        <f t="shared" si="24"/>
        <v>0</v>
      </c>
      <c r="J106" s="228">
        <f t="shared" si="24"/>
        <v>0</v>
      </c>
      <c r="K106" s="228">
        <f t="shared" si="24"/>
        <v>116666.66666666667</v>
      </c>
      <c r="L106" s="228">
        <f t="shared" si="24"/>
        <v>116666.66666666667</v>
      </c>
      <c r="M106" s="228">
        <f t="shared" si="24"/>
        <v>116666.66666666667</v>
      </c>
      <c r="N106" s="228">
        <f t="shared" si="24"/>
        <v>0</v>
      </c>
      <c r="O106" s="228">
        <f t="shared" si="24"/>
        <v>0</v>
      </c>
      <c r="P106" s="228">
        <f t="shared" si="24"/>
        <v>0</v>
      </c>
      <c r="Q106" s="228">
        <f t="shared" si="24"/>
        <v>0</v>
      </c>
    </row>
    <row r="107" spans="1:17" ht="15" customHeight="1">
      <c r="A107" s="218"/>
      <c r="B107" s="218" t="s">
        <v>403</v>
      </c>
      <c r="C107" s="226">
        <v>11000</v>
      </c>
      <c r="D107" s="218">
        <v>1</v>
      </c>
      <c r="E107" s="218">
        <v>6</v>
      </c>
      <c r="F107" s="228">
        <f t="shared" si="24"/>
        <v>0</v>
      </c>
      <c r="G107" s="228">
        <f t="shared" si="24"/>
        <v>0</v>
      </c>
      <c r="H107" s="228">
        <f t="shared" si="24"/>
        <v>0</v>
      </c>
      <c r="I107" s="228">
        <f t="shared" si="24"/>
        <v>0</v>
      </c>
      <c r="J107" s="228">
        <f t="shared" si="24"/>
        <v>0</v>
      </c>
      <c r="K107" s="228">
        <f t="shared" si="24"/>
        <v>11000</v>
      </c>
      <c r="L107" s="228">
        <f t="shared" si="24"/>
        <v>0</v>
      </c>
      <c r="M107" s="228">
        <f t="shared" si="24"/>
        <v>0</v>
      </c>
      <c r="N107" s="228">
        <f t="shared" si="24"/>
        <v>0</v>
      </c>
      <c r="O107" s="228">
        <f t="shared" si="24"/>
        <v>0</v>
      </c>
      <c r="P107" s="228">
        <f t="shared" si="24"/>
        <v>0</v>
      </c>
      <c r="Q107" s="228">
        <f t="shared" si="24"/>
        <v>0</v>
      </c>
    </row>
    <row r="108" spans="1:17" ht="15" customHeight="1">
      <c r="A108" s="218"/>
      <c r="B108" s="218" t="s">
        <v>404</v>
      </c>
      <c r="C108" s="226">
        <v>48400</v>
      </c>
      <c r="D108" s="218">
        <v>1</v>
      </c>
      <c r="E108" s="218">
        <v>6</v>
      </c>
      <c r="F108" s="228">
        <f t="shared" si="24"/>
        <v>0</v>
      </c>
      <c r="G108" s="228">
        <f t="shared" si="24"/>
        <v>0</v>
      </c>
      <c r="H108" s="228">
        <f t="shared" si="24"/>
        <v>0</v>
      </c>
      <c r="I108" s="228">
        <f t="shared" si="24"/>
        <v>0</v>
      </c>
      <c r="J108" s="228">
        <f t="shared" si="24"/>
        <v>0</v>
      </c>
      <c r="K108" s="228">
        <f t="shared" si="24"/>
        <v>48400</v>
      </c>
      <c r="L108" s="228">
        <f t="shared" si="24"/>
        <v>0</v>
      </c>
      <c r="M108" s="228">
        <f t="shared" si="24"/>
        <v>0</v>
      </c>
      <c r="N108" s="228">
        <f t="shared" si="24"/>
        <v>0</v>
      </c>
      <c r="O108" s="228">
        <f t="shared" si="24"/>
        <v>0</v>
      </c>
      <c r="P108" s="228">
        <f t="shared" si="24"/>
        <v>0</v>
      </c>
      <c r="Q108" s="228">
        <f t="shared" si="24"/>
        <v>0</v>
      </c>
    </row>
    <row r="109" spans="1:17" ht="15" customHeight="1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</row>
    <row r="110" spans="1:17" ht="15" customHeight="1">
      <c r="A110" s="218"/>
      <c r="B110" s="233" t="s">
        <v>405</v>
      </c>
      <c r="C110" s="234">
        <f>SUM(C106:C108)</f>
        <v>409400</v>
      </c>
      <c r="D110" s="233"/>
      <c r="E110" s="233"/>
      <c r="F110" s="234">
        <f>SUM(F106:F108)</f>
        <v>0</v>
      </c>
      <c r="G110" s="234">
        <f t="shared" ref="G110:Q110" si="25">SUM(G106:G108)</f>
        <v>0</v>
      </c>
      <c r="H110" s="234">
        <f t="shared" si="25"/>
        <v>0</v>
      </c>
      <c r="I110" s="234">
        <f t="shared" si="25"/>
        <v>0</v>
      </c>
      <c r="J110" s="234">
        <f t="shared" si="25"/>
        <v>0</v>
      </c>
      <c r="K110" s="234">
        <f t="shared" si="25"/>
        <v>176066.66666666669</v>
      </c>
      <c r="L110" s="234">
        <f t="shared" si="25"/>
        <v>116666.66666666667</v>
      </c>
      <c r="M110" s="234">
        <f t="shared" si="25"/>
        <v>116666.66666666667</v>
      </c>
      <c r="N110" s="234">
        <f t="shared" si="25"/>
        <v>0</v>
      </c>
      <c r="O110" s="234">
        <f t="shared" si="25"/>
        <v>0</v>
      </c>
      <c r="P110" s="234">
        <f t="shared" si="25"/>
        <v>0</v>
      </c>
      <c r="Q110" s="234">
        <f t="shared" si="25"/>
        <v>0</v>
      </c>
    </row>
    <row r="111" spans="1:17" ht="15" customHeight="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</row>
    <row r="112" spans="1:17" ht="15" customHeight="1" thickBot="1">
      <c r="A112" s="121"/>
      <c r="B112" s="220" t="s">
        <v>406</v>
      </c>
      <c r="C112" s="237">
        <f>SUM(C93+C103+C110)</f>
        <v>494850</v>
      </c>
      <c r="D112" s="220"/>
      <c r="E112" s="220"/>
      <c r="F112" s="237">
        <f>SUM(F93+F103+F110)</f>
        <v>85450</v>
      </c>
      <c r="G112" s="237">
        <f t="shared" ref="G112:Q112" si="26">SUM(G93+G103+G110)</f>
        <v>27950</v>
      </c>
      <c r="H112" s="237">
        <f t="shared" si="26"/>
        <v>27950</v>
      </c>
      <c r="I112" s="237">
        <f t="shared" si="26"/>
        <v>27950</v>
      </c>
      <c r="J112" s="237">
        <f t="shared" si="26"/>
        <v>27950</v>
      </c>
      <c r="K112" s="237">
        <f t="shared" si="26"/>
        <v>204016.66666666669</v>
      </c>
      <c r="L112" s="237">
        <f t="shared" si="26"/>
        <v>144616.66666666669</v>
      </c>
      <c r="M112" s="237">
        <f t="shared" si="26"/>
        <v>144616.66666666669</v>
      </c>
      <c r="N112" s="237">
        <f t="shared" si="26"/>
        <v>6000</v>
      </c>
      <c r="O112" s="237">
        <f t="shared" si="26"/>
        <v>6000</v>
      </c>
      <c r="P112" s="237">
        <f t="shared" si="26"/>
        <v>6000</v>
      </c>
      <c r="Q112" s="237">
        <f t="shared" si="26"/>
        <v>6000</v>
      </c>
    </row>
    <row r="113" spans="1:17" ht="15" customHeight="1" thickTop="1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</row>
    <row r="114" spans="1:17" s="174" customFormat="1" ht="15" customHeight="1">
      <c r="A114" s="217" t="s">
        <v>85</v>
      </c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</row>
    <row r="115" spans="1:17" ht="15" customHeight="1">
      <c r="A115" s="121" t="s">
        <v>328</v>
      </c>
      <c r="B115" s="121" t="s">
        <v>330</v>
      </c>
      <c r="C115" s="121" t="s">
        <v>331</v>
      </c>
      <c r="D115" s="225" t="s">
        <v>332</v>
      </c>
      <c r="E115" s="225" t="s">
        <v>333</v>
      </c>
      <c r="F115" s="121">
        <v>1</v>
      </c>
      <c r="G115" s="121">
        <v>2</v>
      </c>
      <c r="H115" s="121">
        <v>3</v>
      </c>
      <c r="I115" s="121">
        <v>4</v>
      </c>
      <c r="J115" s="121">
        <v>5</v>
      </c>
      <c r="K115" s="121">
        <v>6</v>
      </c>
      <c r="L115" s="121">
        <v>7</v>
      </c>
      <c r="M115" s="121">
        <v>8</v>
      </c>
      <c r="N115" s="218"/>
      <c r="O115" s="218"/>
      <c r="P115" s="218"/>
      <c r="Q115" s="218"/>
    </row>
    <row r="116" spans="1:17" ht="15" customHeight="1">
      <c r="A116" s="218" t="s">
        <v>141</v>
      </c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</row>
    <row r="117" spans="1:17" ht="15" customHeight="1">
      <c r="A117" s="218"/>
      <c r="B117" s="218" t="s">
        <v>407</v>
      </c>
      <c r="C117" s="226">
        <v>1000</v>
      </c>
      <c r="D117" s="227">
        <v>8</v>
      </c>
      <c r="E117" s="227">
        <v>1</v>
      </c>
      <c r="F117" s="228">
        <f t="shared" ref="F117" si="27">IF(AND(F$21&gt;=$E117, F$21&lt;$E117+$D117), $C117, 0)</f>
        <v>1000</v>
      </c>
      <c r="G117" s="219">
        <v>1000</v>
      </c>
      <c r="H117" s="219">
        <v>1000</v>
      </c>
      <c r="I117" s="219">
        <v>1000</v>
      </c>
      <c r="J117" s="219">
        <v>1000</v>
      </c>
      <c r="K117" s="219">
        <v>1000</v>
      </c>
      <c r="L117" s="219">
        <v>1000</v>
      </c>
      <c r="M117" s="219">
        <v>1000</v>
      </c>
      <c r="N117" s="218"/>
      <c r="O117" s="218"/>
      <c r="P117" s="218"/>
      <c r="Q117" s="218"/>
    </row>
    <row r="118" spans="1:17" ht="15" customHeight="1">
      <c r="A118" s="218" t="s">
        <v>408</v>
      </c>
      <c r="B118" s="218"/>
      <c r="C118" s="226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</row>
    <row r="119" spans="1:17" ht="15" customHeight="1">
      <c r="A119" s="218"/>
      <c r="B119" s="218" t="s">
        <v>409</v>
      </c>
      <c r="C119" s="226">
        <v>1000</v>
      </c>
      <c r="D119" s="218">
        <v>8</v>
      </c>
      <c r="E119" s="218">
        <v>1</v>
      </c>
      <c r="F119" s="228">
        <f t="shared" ref="F119" si="28">IF(AND(F$21&gt;=$E119, F$21&lt;$E119+$D119), $C119, 0)</f>
        <v>1000</v>
      </c>
      <c r="G119" s="219">
        <v>1000</v>
      </c>
      <c r="H119" s="219">
        <v>1000</v>
      </c>
      <c r="I119" s="219">
        <v>1000</v>
      </c>
      <c r="J119" s="219">
        <v>1000</v>
      </c>
      <c r="K119" s="219">
        <v>1000</v>
      </c>
      <c r="L119" s="219">
        <v>1000</v>
      </c>
      <c r="M119" s="219">
        <v>1000</v>
      </c>
      <c r="N119" s="218"/>
      <c r="O119" s="218"/>
      <c r="P119" s="218"/>
      <c r="Q119" s="218"/>
    </row>
    <row r="120" spans="1:17" ht="15" customHeight="1">
      <c r="A120" s="218" t="s">
        <v>410</v>
      </c>
      <c r="B120" s="218"/>
      <c r="C120" s="226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</row>
    <row r="121" spans="1:17" ht="15" customHeight="1">
      <c r="A121" s="218"/>
      <c r="B121" s="218" t="s">
        <v>411</v>
      </c>
      <c r="C121" s="226">
        <v>5000</v>
      </c>
      <c r="D121" s="218"/>
      <c r="E121" s="218"/>
      <c r="F121" s="219">
        <v>85000</v>
      </c>
      <c r="G121" s="218"/>
      <c r="H121" s="218"/>
      <c r="I121" s="218"/>
      <c r="J121" s="219">
        <v>5000</v>
      </c>
      <c r="K121" s="218"/>
      <c r="L121" s="218"/>
      <c r="M121" s="218"/>
      <c r="N121" s="218"/>
      <c r="O121" s="218"/>
      <c r="P121" s="218"/>
      <c r="Q121" s="218"/>
    </row>
    <row r="122" spans="1:17" ht="15" customHeight="1">
      <c r="A122" s="218"/>
      <c r="B122" s="218" t="s">
        <v>412</v>
      </c>
      <c r="C122" s="226">
        <v>150</v>
      </c>
      <c r="D122" s="218">
        <v>8</v>
      </c>
      <c r="E122" s="218">
        <v>1</v>
      </c>
      <c r="F122" s="228">
        <f>IF(AND(F$21&gt;=$E122, F$21&lt;$E122+$D122), $C122, 0)*COUNTA($B$131:$B$147)</f>
        <v>2550</v>
      </c>
      <c r="G122" s="228">
        <f t="shared" ref="G122:M122" si="29">IF(AND(G$21&gt;=$E122, G$21&lt;$E122+$D122), $C122, 0)*COUNTA($B$131:$B$147)</f>
        <v>2550</v>
      </c>
      <c r="H122" s="228">
        <f t="shared" si="29"/>
        <v>2550</v>
      </c>
      <c r="I122" s="228">
        <f t="shared" si="29"/>
        <v>2550</v>
      </c>
      <c r="J122" s="228">
        <f t="shared" si="29"/>
        <v>2550</v>
      </c>
      <c r="K122" s="228">
        <f t="shared" si="29"/>
        <v>2550</v>
      </c>
      <c r="L122" s="228">
        <f t="shared" si="29"/>
        <v>2550</v>
      </c>
      <c r="M122" s="228">
        <f t="shared" si="29"/>
        <v>2550</v>
      </c>
      <c r="N122" s="218"/>
      <c r="O122" s="218"/>
      <c r="P122" s="218"/>
      <c r="Q122" s="218"/>
    </row>
    <row r="123" spans="1:17" ht="15" customHeight="1">
      <c r="A123" s="218" t="s">
        <v>413</v>
      </c>
      <c r="B123" s="218"/>
      <c r="C123" s="226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</row>
    <row r="124" spans="1:17" ht="15" customHeight="1">
      <c r="A124" s="218"/>
      <c r="B124" s="218" t="s">
        <v>414</v>
      </c>
      <c r="C124" s="226">
        <v>275000</v>
      </c>
      <c r="D124" s="218">
        <v>1</v>
      </c>
      <c r="E124" s="218">
        <v>1</v>
      </c>
      <c r="F124" s="228">
        <f t="shared" ref="F124" si="30">IF(AND(F$21&gt;=$E124, F$21&lt;$E124+$D124), $C124, 0)</f>
        <v>275000</v>
      </c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</row>
    <row r="125" spans="1:17" ht="15" customHeight="1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</row>
    <row r="126" spans="1:17" ht="15" customHeight="1" thickBot="1">
      <c r="A126" s="218"/>
      <c r="B126" s="220" t="s">
        <v>415</v>
      </c>
      <c r="C126" s="222"/>
      <c r="D126" s="222"/>
      <c r="E126" s="222"/>
      <c r="F126" s="221">
        <f>F117+F119+F121+F122+F124</f>
        <v>364550</v>
      </c>
      <c r="G126" s="221">
        <f t="shared" ref="G126:Q126" si="31">G117+G119+G121+G122+G124</f>
        <v>4550</v>
      </c>
      <c r="H126" s="221">
        <f t="shared" si="31"/>
        <v>4550</v>
      </c>
      <c r="I126" s="221">
        <f t="shared" si="31"/>
        <v>4550</v>
      </c>
      <c r="J126" s="221">
        <f t="shared" si="31"/>
        <v>9550</v>
      </c>
      <c r="K126" s="221">
        <f t="shared" si="31"/>
        <v>4550</v>
      </c>
      <c r="L126" s="221">
        <f t="shared" si="31"/>
        <v>4550</v>
      </c>
      <c r="M126" s="221">
        <f t="shared" si="31"/>
        <v>4550</v>
      </c>
      <c r="N126" s="221">
        <f>N117+N119+N121+N122+N124</f>
        <v>0</v>
      </c>
      <c r="O126" s="221">
        <f t="shared" si="31"/>
        <v>0</v>
      </c>
      <c r="P126" s="221">
        <f t="shared" si="31"/>
        <v>0</v>
      </c>
      <c r="Q126" s="221">
        <f t="shared" si="31"/>
        <v>0</v>
      </c>
    </row>
    <row r="127" spans="1:17" ht="15" customHeight="1" thickTop="1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</row>
    <row r="128" spans="1:17" s="174" customFormat="1" ht="15" customHeight="1">
      <c r="A128" s="217" t="s">
        <v>86</v>
      </c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</row>
    <row r="129" spans="1:17" ht="15" customHeight="1">
      <c r="A129" s="121" t="s">
        <v>328</v>
      </c>
      <c r="B129" s="121" t="s">
        <v>416</v>
      </c>
      <c r="C129" s="121" t="s">
        <v>371</v>
      </c>
      <c r="D129" s="121" t="s">
        <v>417</v>
      </c>
      <c r="E129" s="121" t="s">
        <v>418</v>
      </c>
      <c r="F129" s="121">
        <v>1</v>
      </c>
      <c r="G129" s="121">
        <v>2</v>
      </c>
      <c r="H129" s="121">
        <v>3</v>
      </c>
      <c r="I129" s="121">
        <v>4</v>
      </c>
      <c r="J129" s="121">
        <v>5</v>
      </c>
      <c r="K129" s="121">
        <v>6</v>
      </c>
      <c r="L129" s="121">
        <v>7</v>
      </c>
      <c r="M129" s="121">
        <v>8</v>
      </c>
      <c r="N129" s="121">
        <v>9</v>
      </c>
      <c r="O129" s="121">
        <v>10</v>
      </c>
      <c r="P129" s="121">
        <v>11</v>
      </c>
      <c r="Q129" s="121">
        <v>12</v>
      </c>
    </row>
    <row r="130" spans="1:17" ht="15" customHeight="1">
      <c r="A130" s="218" t="s">
        <v>419</v>
      </c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218"/>
      <c r="O130" s="218"/>
      <c r="P130" s="218"/>
      <c r="Q130" s="218"/>
    </row>
    <row r="131" spans="1:17" ht="15" customHeight="1">
      <c r="A131" s="218"/>
      <c r="B131" s="218" t="s">
        <v>420</v>
      </c>
      <c r="C131">
        <v>300</v>
      </c>
      <c r="D131" s="238">
        <v>0.5</v>
      </c>
      <c r="E131" s="239">
        <v>1</v>
      </c>
      <c r="F131" s="219">
        <f>IF(F$129&gt;=$E131, IF(F$126&lt;&gt;0, $C131*8*$D131*(_xlfn.XLOOKUP(F$129, Assumptions!$D$76:$O$76, Assumptions!$D$80:$O$80)-9), 0), 0)</f>
        <v>26400</v>
      </c>
      <c r="G131" s="219">
        <f>IF(G$129&gt;=$E131, IF(G$126&lt;&gt;0, $C131*8*$D131*(_xlfn.XLOOKUP(G$129, Assumptions!$D$76:$O$76, Assumptions!$D$80:$O$80)-9), 0), 0)</f>
        <v>22800</v>
      </c>
      <c r="H131" s="219">
        <f>IF(H$129&gt;=$E131, IF(H$126&lt;&gt;0, $C131*8*$D131*(_xlfn.XLOOKUP(H$129, Assumptions!$D$76:$O$76, Assumptions!$D$80:$O$80)-9), 0), 0)</f>
        <v>26400</v>
      </c>
      <c r="I131" s="219">
        <f>IF(I$129&gt;=$E131, IF(I$126&lt;&gt;0, $C131*8*$D131*(_xlfn.XLOOKUP(I$129, Assumptions!$D$76:$O$76, Assumptions!$D$80:$O$80)-9), 0), 0)</f>
        <v>25200</v>
      </c>
      <c r="J131" s="219">
        <f>IF(J$129&gt;=$E131, IF(J$126&lt;&gt;0, $C131*8*$D131*(_xlfn.XLOOKUP(J$129, Assumptions!$D$76:$O$76, Assumptions!$D$80:$O$80)-9), 0), 0)</f>
        <v>26400</v>
      </c>
      <c r="K131" s="219">
        <f>IF(K$129&gt;=$E131, IF(K$126&lt;&gt;0, $C131*8*$D131*(_xlfn.XLOOKUP(K$129, Assumptions!$D$76:$O$76, Assumptions!$D$80:$O$80)-9), 0), 0)</f>
        <v>25200</v>
      </c>
      <c r="L131" s="219">
        <f>IF(L$129&gt;=$E131, IF(L$126&lt;&gt;0, $C131*8*$D131*(_xlfn.XLOOKUP(L$129, Assumptions!$D$76:$O$76, Assumptions!$D$80:$O$80)-9), 0), 0)</f>
        <v>26400</v>
      </c>
      <c r="M131" s="219">
        <f>IF(M$129&gt;=$E131, IF(M$126&lt;&gt;0, $C131*8*$D131*(_xlfn.XLOOKUP(M$129, Assumptions!$D$76:$O$76, Assumptions!$D$80:$O$80)-9), 0), 0)</f>
        <v>26400</v>
      </c>
      <c r="N131" s="219">
        <f>IF(N$129&gt;=$E131, IF(N$126&lt;&gt;0, $C131*8*$D131*(_xlfn.XLOOKUP(N$129, Assumptions!$D$76:$O$76, Assumptions!$D$80:$O$80)-9), 0), 0)</f>
        <v>0</v>
      </c>
      <c r="O131" s="219">
        <f>IF(O$129&gt;=$E131, IF(O$126&lt;&gt;0, $C131*8*$D131*(_xlfn.XLOOKUP(O$129, Assumptions!$D$76:$O$76, Assumptions!$D$80:$O$80)-9), 0), 0)</f>
        <v>0</v>
      </c>
      <c r="P131" s="219">
        <f>IF(P$129&gt;=$E131, IF(P$126&lt;&gt;0, $C131*8*$D131*(_xlfn.XLOOKUP(P$129, Assumptions!$D$76:$O$76, Assumptions!$D$80:$O$80)-9), 0), 0)</f>
        <v>0</v>
      </c>
      <c r="Q131" s="219">
        <f>IF(Q$129&gt;=$E131, IF(Q$126&lt;&gt;0, $C131*8*$D131*(_xlfn.XLOOKUP(Q$129, Assumptions!$D$76:$O$76, Assumptions!$D$80:$O$80)-9), 0), 0)</f>
        <v>0</v>
      </c>
    </row>
    <row r="132" spans="1:17" ht="15" customHeight="1">
      <c r="A132" s="218"/>
      <c r="B132" s="218" t="s">
        <v>420</v>
      </c>
      <c r="C132">
        <v>300</v>
      </c>
      <c r="D132" s="238">
        <v>0.5</v>
      </c>
      <c r="E132" s="239">
        <v>1</v>
      </c>
      <c r="F132" s="219">
        <f>IF(F$129&gt;=$E132, IF(F$126&lt;&gt;0, $C132*8*$D132*(_xlfn.XLOOKUP(F$129, Assumptions!$D$76:$O$76, Assumptions!$D$80:$O$80)-9), 0), 0)</f>
        <v>26400</v>
      </c>
      <c r="G132" s="219">
        <f>IF(G$129&gt;=$E132, IF(G$126&lt;&gt;0, $C132*8*$D132*(_xlfn.XLOOKUP(G$129, Assumptions!$D$76:$O$76, Assumptions!$D$80:$O$80)-9), 0), 0)</f>
        <v>22800</v>
      </c>
      <c r="H132" s="219">
        <f>IF(H$129&gt;=$E132, IF(H$126&lt;&gt;0, $C132*8*$D132*(_xlfn.XLOOKUP(H$129, Assumptions!$D$76:$O$76, Assumptions!$D$80:$O$80)-9), 0), 0)</f>
        <v>26400</v>
      </c>
      <c r="I132" s="219">
        <f>IF(I$129&gt;=$E132, IF(I$126&lt;&gt;0, $C132*8*$D132*(_xlfn.XLOOKUP(I$129, Assumptions!$D$76:$O$76, Assumptions!$D$80:$O$80)-9), 0), 0)</f>
        <v>25200</v>
      </c>
      <c r="J132" s="219">
        <f>IF(J$129&gt;=$E132, IF(J$126&lt;&gt;0, $C132*8*$D132*(_xlfn.XLOOKUP(J$129, Assumptions!$D$76:$O$76, Assumptions!$D$80:$O$80)-9), 0), 0)</f>
        <v>26400</v>
      </c>
      <c r="K132" s="219">
        <f>IF(K$129&gt;=$E132, IF(K$126&lt;&gt;0, $C132*8*$D132*(_xlfn.XLOOKUP(K$129, Assumptions!$D$76:$O$76, Assumptions!$D$80:$O$80)-9), 0), 0)</f>
        <v>25200</v>
      </c>
      <c r="L132" s="219">
        <f>IF(L$129&gt;=$E132, IF(L$126&lt;&gt;0, $C132*8*$D132*(_xlfn.XLOOKUP(L$129, Assumptions!$D$76:$O$76, Assumptions!$D$80:$O$80)-9), 0), 0)</f>
        <v>26400</v>
      </c>
      <c r="M132" s="219">
        <f>IF(M$129&gt;=$E132, IF(M$126&lt;&gt;0, $C132*8*$D132*(_xlfn.XLOOKUP(M$129, Assumptions!$D$76:$O$76, Assumptions!$D$80:$O$80)-9), 0), 0)</f>
        <v>26400</v>
      </c>
      <c r="N132" s="219">
        <f>IF(N$129&gt;=$E132, IF(N$126&lt;&gt;0, $C132*8*$D132*(_xlfn.XLOOKUP(N$129, Assumptions!$D$76:$O$76, Assumptions!$D$80:$O$80)-9), 0), 0)</f>
        <v>0</v>
      </c>
      <c r="O132" s="219">
        <f>IF(O$129&gt;=$E132, IF(O$126&lt;&gt;0, $C132*8*$D132*(_xlfn.XLOOKUP(O$129, Assumptions!$D$76:$O$76, Assumptions!$D$80:$O$80)-9), 0), 0)</f>
        <v>0</v>
      </c>
      <c r="P132" s="219">
        <f>IF(P$129&gt;=$E132, IF(P$126&lt;&gt;0, $C132*8*$D132*(_xlfn.XLOOKUP(P$129, Assumptions!$D$76:$O$76, Assumptions!$D$80:$O$80)-9), 0), 0)</f>
        <v>0</v>
      </c>
      <c r="Q132" s="219">
        <f>IF(Q$129&gt;=$E132, IF(Q$126&lt;&gt;0, $C132*8*$D132*(_xlfn.XLOOKUP(Q$129, Assumptions!$D$76:$O$76, Assumptions!$D$80:$O$80)-9), 0), 0)</f>
        <v>0</v>
      </c>
    </row>
    <row r="133" spans="1:17" ht="15" customHeight="1">
      <c r="A133" s="218"/>
      <c r="B133" s="218" t="s">
        <v>421</v>
      </c>
      <c r="C133">
        <v>250</v>
      </c>
      <c r="D133" s="238">
        <v>0.5</v>
      </c>
      <c r="E133" s="239">
        <v>1</v>
      </c>
      <c r="F133" s="219">
        <f>IF(F$129&gt;=$E133, IF(F$126&lt;&gt;0, $C133*8*$D133*(_xlfn.XLOOKUP(F$129, Assumptions!$D$76:$O$76, Assumptions!$D$80:$O$80)-9), 0), 0)</f>
        <v>22000</v>
      </c>
      <c r="G133" s="219">
        <f>IF(G$129&gt;=$E133, IF(G$126&lt;&gt;0, $C133*8*$D133*(_xlfn.XLOOKUP(G$129, Assumptions!$D$76:$O$76, Assumptions!$D$80:$O$80)-9), 0), 0)</f>
        <v>19000</v>
      </c>
      <c r="H133" s="219">
        <f>IF(H$129&gt;=$E133, IF(H$126&lt;&gt;0, $C133*8*$D133*(_xlfn.XLOOKUP(H$129, Assumptions!$D$76:$O$76, Assumptions!$D$80:$O$80)-9), 0), 0)</f>
        <v>22000</v>
      </c>
      <c r="I133" s="219">
        <f>IF(I$129&gt;=$E133, IF(I$126&lt;&gt;0, $C133*8*$D133*(_xlfn.XLOOKUP(I$129, Assumptions!$D$76:$O$76, Assumptions!$D$80:$O$80)-9), 0), 0)</f>
        <v>21000</v>
      </c>
      <c r="J133" s="219">
        <f>IF(J$129&gt;=$E133, IF(J$126&lt;&gt;0, $C133*8*$D133*(_xlfn.XLOOKUP(J$129, Assumptions!$D$76:$O$76, Assumptions!$D$80:$O$80)-9), 0), 0)</f>
        <v>22000</v>
      </c>
      <c r="K133" s="219">
        <f>IF(K$129&gt;=$E133, IF(K$126&lt;&gt;0, $C133*8*$D133*(_xlfn.XLOOKUP(K$129, Assumptions!$D$76:$O$76, Assumptions!$D$80:$O$80)-9), 0), 0)</f>
        <v>21000</v>
      </c>
      <c r="L133" s="219">
        <f>IF(L$129&gt;=$E133, IF(L$126&lt;&gt;0, $C133*8*$D133*(_xlfn.XLOOKUP(L$129, Assumptions!$D$76:$O$76, Assumptions!$D$80:$O$80)-9), 0), 0)</f>
        <v>22000</v>
      </c>
      <c r="M133" s="219">
        <f>IF(M$129&gt;=$E133, IF(M$126&lt;&gt;0, $C133*8*$D133*(_xlfn.XLOOKUP(M$129, Assumptions!$D$76:$O$76, Assumptions!$D$80:$O$80)-9), 0), 0)</f>
        <v>22000</v>
      </c>
      <c r="N133" s="219">
        <f>IF(N$129&gt;=$E133, IF(N$126&lt;&gt;0, $C133*8*$D133*(_xlfn.XLOOKUP(N$129, Assumptions!$D$76:$O$76, Assumptions!$D$80:$O$80)-9), 0), 0)</f>
        <v>0</v>
      </c>
      <c r="O133" s="219">
        <f>IF(O$129&gt;=$E133, IF(O$126&lt;&gt;0, $C133*8*$D133*(_xlfn.XLOOKUP(O$129, Assumptions!$D$76:$O$76, Assumptions!$D$80:$O$80)-9), 0), 0)</f>
        <v>0</v>
      </c>
      <c r="P133" s="219">
        <f>IF(P$129&gt;=$E133, IF(P$126&lt;&gt;0, $C133*8*$D133*(_xlfn.XLOOKUP(P$129, Assumptions!$D$76:$O$76, Assumptions!$D$80:$O$80)-9), 0), 0)</f>
        <v>0</v>
      </c>
      <c r="Q133" s="219">
        <f>IF(Q$129&gt;=$E133, IF(Q$126&lt;&gt;0, $C133*8*$D133*(_xlfn.XLOOKUP(Q$129, Assumptions!$D$76:$O$76, Assumptions!$D$80:$O$80)-9), 0), 0)</f>
        <v>0</v>
      </c>
    </row>
    <row r="134" spans="1:17" ht="15" customHeight="1">
      <c r="A134" s="218"/>
      <c r="B134" s="218" t="s">
        <v>422</v>
      </c>
      <c r="C134">
        <v>180</v>
      </c>
      <c r="D134" s="238">
        <v>0.5</v>
      </c>
      <c r="E134" s="239">
        <v>1</v>
      </c>
      <c r="F134" s="219">
        <f>IF(F$129&gt;=$E134, IF(F$126&lt;&gt;0, $C134*8*$D134*(_xlfn.XLOOKUP(F$129, Assumptions!$D$76:$O$76, Assumptions!$D$80:$O$80)-9), 0), 0)</f>
        <v>15840</v>
      </c>
      <c r="G134" s="219">
        <f>IF(G$129&gt;=$E134, IF(G$126&lt;&gt;0, $C134*8*$D134*(_xlfn.XLOOKUP(G$129, Assumptions!$D$76:$O$76, Assumptions!$D$80:$O$80)-9), 0), 0)</f>
        <v>13680</v>
      </c>
      <c r="H134" s="219">
        <f>IF(H$129&gt;=$E134, IF(H$126&lt;&gt;0, $C134*8*$D134*(_xlfn.XLOOKUP(H$129, Assumptions!$D$76:$O$76, Assumptions!$D$80:$O$80)-9), 0), 0)</f>
        <v>15840</v>
      </c>
      <c r="I134" s="219">
        <f>IF(I$129&gt;=$E134, IF(I$126&lt;&gt;0, $C134*8*$D134*(_xlfn.XLOOKUP(I$129, Assumptions!$D$76:$O$76, Assumptions!$D$80:$O$80)-9), 0), 0)</f>
        <v>15120</v>
      </c>
      <c r="J134" s="219">
        <f>IF(J$129&gt;=$E134, IF(J$126&lt;&gt;0, $C134*8*$D134*(_xlfn.XLOOKUP(J$129, Assumptions!$D$76:$O$76, Assumptions!$D$80:$O$80)-9), 0), 0)</f>
        <v>15840</v>
      </c>
      <c r="K134" s="219">
        <f>IF(K$129&gt;=$E134, IF(K$126&lt;&gt;0, $C134*8*$D134*(_xlfn.XLOOKUP(K$129, Assumptions!$D$76:$O$76, Assumptions!$D$80:$O$80)-9), 0), 0)</f>
        <v>15120</v>
      </c>
      <c r="L134" s="219">
        <f>IF(L$129&gt;=$E134, IF(L$126&lt;&gt;0, $C134*8*$D134*(_xlfn.XLOOKUP(L$129, Assumptions!$D$76:$O$76, Assumptions!$D$80:$O$80)-9), 0), 0)</f>
        <v>15840</v>
      </c>
      <c r="M134" s="219">
        <f>IF(M$129&gt;=$E134, IF(M$126&lt;&gt;0, $C134*8*$D134*(_xlfn.XLOOKUP(M$129, Assumptions!$D$76:$O$76, Assumptions!$D$80:$O$80)-9), 0), 0)</f>
        <v>15840</v>
      </c>
      <c r="N134" s="219">
        <f>IF(N$129&gt;=$E134, IF(N$126&lt;&gt;0, $C134*8*$D134*(_xlfn.XLOOKUP(N$129, Assumptions!$D$76:$O$76, Assumptions!$D$80:$O$80)-9), 0), 0)</f>
        <v>0</v>
      </c>
      <c r="O134" s="219">
        <f>IF(O$129&gt;=$E134, IF(O$126&lt;&gt;0, $C134*8*$D134*(_xlfn.XLOOKUP(O$129, Assumptions!$D$76:$O$76, Assumptions!$D$80:$O$80)-9), 0), 0)</f>
        <v>0</v>
      </c>
      <c r="P134" s="219">
        <f>IF(P$129&gt;=$E134, IF(P$126&lt;&gt;0, $C134*8*$D134*(_xlfn.XLOOKUP(P$129, Assumptions!$D$76:$O$76, Assumptions!$D$80:$O$80)-9), 0), 0)</f>
        <v>0</v>
      </c>
      <c r="Q134" s="219">
        <f>IF(Q$129&gt;=$E134, IF(Q$126&lt;&gt;0, $C134*8*$D134*(_xlfn.XLOOKUP(Q$129, Assumptions!$D$76:$O$76, Assumptions!$D$80:$O$80)-9), 0), 0)</f>
        <v>0</v>
      </c>
    </row>
    <row r="135" spans="1:17" ht="15" customHeight="1">
      <c r="A135" s="121"/>
      <c r="B135" s="218" t="s">
        <v>423</v>
      </c>
      <c r="C135">
        <v>150</v>
      </c>
      <c r="D135" s="238">
        <v>0.5</v>
      </c>
      <c r="E135" s="239">
        <v>1</v>
      </c>
      <c r="F135" s="219">
        <f>IF(F$129&gt;=$E135, IF(F$126&lt;&gt;0, $C135*8*$D135*(_xlfn.XLOOKUP(F$129, Assumptions!$D$76:$O$76, Assumptions!$D$80:$O$80)-9), 0), 0)</f>
        <v>13200</v>
      </c>
      <c r="G135" s="219">
        <f>IF(G$129&gt;=$E135, IF(G$126&lt;&gt;0, $C135*8*$D135*(_xlfn.XLOOKUP(G$129, Assumptions!$D$76:$O$76, Assumptions!$D$80:$O$80)-9), 0), 0)</f>
        <v>11400</v>
      </c>
      <c r="H135" s="219">
        <f>IF(H$129&gt;=$E135, IF(H$126&lt;&gt;0, $C135*8*$D135*(_xlfn.XLOOKUP(H$129, Assumptions!$D$76:$O$76, Assumptions!$D$80:$O$80)-9), 0), 0)</f>
        <v>13200</v>
      </c>
      <c r="I135" s="219">
        <f>IF(I$129&gt;=$E135, IF(I$126&lt;&gt;0, $C135*8*$D135*(_xlfn.XLOOKUP(I$129, Assumptions!$D$76:$O$76, Assumptions!$D$80:$O$80)-9), 0), 0)</f>
        <v>12600</v>
      </c>
      <c r="J135" s="219">
        <f>IF(J$129&gt;=$E135, IF(J$126&lt;&gt;0, $C135*8*$D135*(_xlfn.XLOOKUP(J$129, Assumptions!$D$76:$O$76, Assumptions!$D$80:$O$80)-9), 0), 0)</f>
        <v>13200</v>
      </c>
      <c r="K135" s="219">
        <f>IF(K$129&gt;=$E135, IF(K$126&lt;&gt;0, $C135*8*$D135*(_xlfn.XLOOKUP(K$129, Assumptions!$D$76:$O$76, Assumptions!$D$80:$O$80)-9), 0), 0)</f>
        <v>12600</v>
      </c>
      <c r="L135" s="219">
        <f>IF(L$129&gt;=$E135, IF(L$126&lt;&gt;0, $C135*8*$D135*(_xlfn.XLOOKUP(L$129, Assumptions!$D$76:$O$76, Assumptions!$D$80:$O$80)-9), 0), 0)</f>
        <v>13200</v>
      </c>
      <c r="M135" s="219">
        <f>IF(M$129&gt;=$E135, IF(M$126&lt;&gt;0, $C135*8*$D135*(_xlfn.XLOOKUP(M$129, Assumptions!$D$76:$O$76, Assumptions!$D$80:$O$80)-9), 0), 0)</f>
        <v>13200</v>
      </c>
      <c r="N135" s="219">
        <f>IF(N$129&gt;=$E135, IF(N$126&lt;&gt;0, $C135*8*$D135*(_xlfn.XLOOKUP(N$129, Assumptions!$D$76:$O$76, Assumptions!$D$80:$O$80)-9), 0), 0)</f>
        <v>0</v>
      </c>
      <c r="O135" s="219">
        <f>IF(O$129&gt;=$E135, IF(O$126&lt;&gt;0, $C135*8*$D135*(_xlfn.XLOOKUP(O$129, Assumptions!$D$76:$O$76, Assumptions!$D$80:$O$80)-9), 0), 0)</f>
        <v>0</v>
      </c>
      <c r="P135" s="219">
        <f>IF(P$129&gt;=$E135, IF(P$126&lt;&gt;0, $C135*8*$D135*(_xlfn.XLOOKUP(P$129, Assumptions!$D$76:$O$76, Assumptions!$D$80:$O$80)-9), 0), 0)</f>
        <v>0</v>
      </c>
      <c r="Q135" s="219">
        <f>IF(Q$129&gt;=$E135, IF(Q$126&lt;&gt;0, $C135*8*$D135*(_xlfn.XLOOKUP(Q$129, Assumptions!$D$76:$O$76, Assumptions!$D$80:$O$80)-9), 0), 0)</f>
        <v>0</v>
      </c>
    </row>
    <row r="136" spans="1:17" ht="15" customHeight="1">
      <c r="A136" s="218"/>
      <c r="B136" s="218" t="s">
        <v>424</v>
      </c>
      <c r="C136">
        <v>90</v>
      </c>
      <c r="D136" s="238">
        <v>0.7</v>
      </c>
      <c r="E136" s="239">
        <v>1</v>
      </c>
      <c r="F136" s="219">
        <f>IF(F$129&gt;=$E136, IF(F$126&lt;&gt;0, $C136*8*$D136*(_xlfn.XLOOKUP(F$129, Assumptions!$D$76:$O$76, Assumptions!$D$80:$O$80)-9), 0), 0)</f>
        <v>11087.999999999998</v>
      </c>
      <c r="G136" s="219">
        <f>IF(G$129&gt;=$E136, IF(G$126&lt;&gt;0, $C136*8*$D136*(_xlfn.XLOOKUP(G$129, Assumptions!$D$76:$O$76, Assumptions!$D$80:$O$80)-9), 0), 0)</f>
        <v>9575.9999999999982</v>
      </c>
      <c r="H136" s="219">
        <f>IF(H$129&gt;=$E136, IF(H$126&lt;&gt;0, $C136*8*$D136*(_xlfn.XLOOKUP(H$129, Assumptions!$D$76:$O$76, Assumptions!$D$80:$O$80)-9), 0), 0)</f>
        <v>11087.999999999998</v>
      </c>
      <c r="I136" s="219">
        <f>IF(I$129&gt;=$E136, IF(I$126&lt;&gt;0, $C136*8*$D136*(_xlfn.XLOOKUP(I$129, Assumptions!$D$76:$O$76, Assumptions!$D$80:$O$80)-9), 0), 0)</f>
        <v>10583.999999999998</v>
      </c>
      <c r="J136" s="219">
        <f>IF(J$129&gt;=$E136, IF(J$126&lt;&gt;0, $C136*8*$D136*(_xlfn.XLOOKUP(J$129, Assumptions!$D$76:$O$76, Assumptions!$D$80:$O$80)-9), 0), 0)</f>
        <v>11087.999999999998</v>
      </c>
      <c r="K136" s="219">
        <f>IF(K$129&gt;=$E136, IF(K$126&lt;&gt;0, $C136*8*$D136*(_xlfn.XLOOKUP(K$129, Assumptions!$D$76:$O$76, Assumptions!$D$80:$O$80)-9), 0), 0)</f>
        <v>10583.999999999998</v>
      </c>
      <c r="L136" s="219">
        <f>IF(L$129&gt;=$E136, IF(L$126&lt;&gt;0, $C136*8*$D136*(_xlfn.XLOOKUP(L$129, Assumptions!$D$76:$O$76, Assumptions!$D$80:$O$80)-9), 0), 0)</f>
        <v>11087.999999999998</v>
      </c>
      <c r="M136" s="219">
        <f>IF(M$129&gt;=$E136, IF(M$126&lt;&gt;0, $C136*8*$D136*(_xlfn.XLOOKUP(M$129, Assumptions!$D$76:$O$76, Assumptions!$D$80:$O$80)-9), 0), 0)</f>
        <v>11087.999999999998</v>
      </c>
      <c r="N136" s="219">
        <f>IF(N$129&gt;=$E136, IF(N$126&lt;&gt;0, $C136*8*$D136*(_xlfn.XLOOKUP(N$129, Assumptions!$D$76:$O$76, Assumptions!$D$80:$O$80)-9), 0), 0)</f>
        <v>0</v>
      </c>
      <c r="O136" s="219">
        <f>IF(O$129&gt;=$E136, IF(O$126&lt;&gt;0, $C136*8*$D136*(_xlfn.XLOOKUP(O$129, Assumptions!$D$76:$O$76, Assumptions!$D$80:$O$80)-9), 0), 0)</f>
        <v>0</v>
      </c>
      <c r="P136" s="219">
        <f>IF(P$129&gt;=$E136, IF(P$126&lt;&gt;0, $C136*8*$D136*(_xlfn.XLOOKUP(P$129, Assumptions!$D$76:$O$76, Assumptions!$D$80:$O$80)-9), 0), 0)</f>
        <v>0</v>
      </c>
      <c r="Q136" s="219">
        <f>IF(Q$129&gt;=$E136, IF(Q$126&lt;&gt;0, $C136*8*$D136*(_xlfn.XLOOKUP(Q$129, Assumptions!$D$76:$O$76, Assumptions!$D$80:$O$80)-9), 0), 0)</f>
        <v>0</v>
      </c>
    </row>
    <row r="137" spans="1:17" ht="15" customHeight="1">
      <c r="A137" s="218"/>
      <c r="B137" s="218" t="s">
        <v>425</v>
      </c>
      <c r="C137">
        <v>125</v>
      </c>
      <c r="D137" s="238">
        <v>0.5</v>
      </c>
      <c r="E137" s="239">
        <v>1</v>
      </c>
      <c r="F137" s="219">
        <f>IF(F$129&gt;=$E137, IF(F$126&lt;&gt;0, $C137*8*$D137*(_xlfn.XLOOKUP(F$129, Assumptions!$D$76:$O$76, Assumptions!$D$80:$O$80)-9), 0), 0)</f>
        <v>11000</v>
      </c>
      <c r="G137" s="219">
        <f>IF(G$129&gt;=$E137, IF(G$126&lt;&gt;0, $C137*8*$D137*(_xlfn.XLOOKUP(G$129, Assumptions!$D$76:$O$76, Assumptions!$D$80:$O$80)-9), 0), 0)</f>
        <v>9500</v>
      </c>
      <c r="H137" s="219">
        <f>IF(H$129&gt;=$E137, IF(H$126&lt;&gt;0, $C137*8*$D137*(_xlfn.XLOOKUP(H$129, Assumptions!$D$76:$O$76, Assumptions!$D$80:$O$80)-9), 0), 0)</f>
        <v>11000</v>
      </c>
      <c r="I137" s="219">
        <f>IF(I$129&gt;=$E137, IF(I$126&lt;&gt;0, $C137*8*$D137*(_xlfn.XLOOKUP(I$129, Assumptions!$D$76:$O$76, Assumptions!$D$80:$O$80)-9), 0), 0)</f>
        <v>10500</v>
      </c>
      <c r="J137" s="219">
        <f>IF(J$129&gt;=$E137, IF(J$126&lt;&gt;0, $C137*8*$D137*(_xlfn.XLOOKUP(J$129, Assumptions!$D$76:$O$76, Assumptions!$D$80:$O$80)-9), 0), 0)</f>
        <v>11000</v>
      </c>
      <c r="K137" s="219">
        <f>IF(K$129&gt;=$E137, IF(K$126&lt;&gt;0, $C137*8*$D137*(_xlfn.XLOOKUP(K$129, Assumptions!$D$76:$O$76, Assumptions!$D$80:$O$80)-9), 0), 0)</f>
        <v>10500</v>
      </c>
      <c r="L137" s="219">
        <f>IF(L$129&gt;=$E137, IF(L$126&lt;&gt;0, $C137*8*$D137*(_xlfn.XLOOKUP(L$129, Assumptions!$D$76:$O$76, Assumptions!$D$80:$O$80)-9), 0), 0)</f>
        <v>11000</v>
      </c>
      <c r="M137" s="219">
        <f>IF(M$129&gt;=$E137, IF(M$126&lt;&gt;0, $C137*8*$D137*(_xlfn.XLOOKUP(M$129, Assumptions!$D$76:$O$76, Assumptions!$D$80:$O$80)-9), 0), 0)</f>
        <v>11000</v>
      </c>
      <c r="N137" s="219">
        <f>IF(N$129&gt;=$E137, IF(N$126&lt;&gt;0, $C137*8*$D137*(_xlfn.XLOOKUP(N$129, Assumptions!$D$76:$O$76, Assumptions!$D$80:$O$80)-9), 0), 0)</f>
        <v>0</v>
      </c>
      <c r="O137" s="219">
        <f>IF(O$129&gt;=$E137, IF(O$126&lt;&gt;0, $C137*8*$D137*(_xlfn.XLOOKUP(O$129, Assumptions!$D$76:$O$76, Assumptions!$D$80:$O$80)-9), 0), 0)</f>
        <v>0</v>
      </c>
      <c r="P137" s="219">
        <f>IF(P$129&gt;=$E137, IF(P$126&lt;&gt;0, $C137*8*$D137*(_xlfn.XLOOKUP(P$129, Assumptions!$D$76:$O$76, Assumptions!$D$80:$O$80)-9), 0), 0)</f>
        <v>0</v>
      </c>
      <c r="Q137" s="219">
        <f>IF(Q$129&gt;=$E137, IF(Q$126&lt;&gt;0, $C137*8*$D137*(_xlfn.XLOOKUP(Q$129, Assumptions!$D$76:$O$76, Assumptions!$D$80:$O$80)-9), 0), 0)</f>
        <v>0</v>
      </c>
    </row>
    <row r="138" spans="1:17" ht="15" customHeight="1">
      <c r="A138" s="218"/>
      <c r="B138" s="218" t="s">
        <v>426</v>
      </c>
      <c r="C138">
        <v>170</v>
      </c>
      <c r="D138" s="238">
        <v>0.5</v>
      </c>
      <c r="E138" s="239">
        <v>1</v>
      </c>
      <c r="F138" s="219">
        <f>IF(F$129&gt;=$E138, IF(F$126&lt;&gt;0, $C138*8*$D138*(_xlfn.XLOOKUP(F$129, Assumptions!$D$76:$O$76, Assumptions!$D$80:$O$80)-9), 0), 0)</f>
        <v>14960</v>
      </c>
      <c r="G138" s="219">
        <f>IF(G$129&gt;=$E138, IF(G$126&lt;&gt;0, $C138*8*$D138*(_xlfn.XLOOKUP(G$129, Assumptions!$D$76:$O$76, Assumptions!$D$80:$O$80)-9), 0), 0)</f>
        <v>12920</v>
      </c>
      <c r="H138" s="219">
        <f>IF(H$129&gt;=$E138, IF(H$126&lt;&gt;0, $C138*8*$D138*(_xlfn.XLOOKUP(H$129, Assumptions!$D$76:$O$76, Assumptions!$D$80:$O$80)-9), 0), 0)</f>
        <v>14960</v>
      </c>
      <c r="I138" s="219">
        <f>IF(I$129&gt;=$E138, IF(I$126&lt;&gt;0, $C138*8*$D138*(_xlfn.XLOOKUP(I$129, Assumptions!$D$76:$O$76, Assumptions!$D$80:$O$80)-9), 0), 0)</f>
        <v>14280</v>
      </c>
      <c r="J138" s="219">
        <f>IF(J$129&gt;=$E138, IF(J$126&lt;&gt;0, $C138*8*$D138*(_xlfn.XLOOKUP(J$129, Assumptions!$D$76:$O$76, Assumptions!$D$80:$O$80)-9), 0), 0)</f>
        <v>14960</v>
      </c>
      <c r="K138" s="219">
        <f>IF(K$129&gt;=$E138, IF(K$126&lt;&gt;0, $C138*8*$D138*(_xlfn.XLOOKUP(K$129, Assumptions!$D$76:$O$76, Assumptions!$D$80:$O$80)-9), 0), 0)</f>
        <v>14280</v>
      </c>
      <c r="L138" s="219">
        <f>IF(L$129&gt;=$E138, IF(L$126&lt;&gt;0, $C138*8*$D138*(_xlfn.XLOOKUP(L$129, Assumptions!$D$76:$O$76, Assumptions!$D$80:$O$80)-9), 0), 0)</f>
        <v>14960</v>
      </c>
      <c r="M138" s="219">
        <f>IF(M$129&gt;=$E138, IF(M$126&lt;&gt;0, $C138*8*$D138*(_xlfn.XLOOKUP(M$129, Assumptions!$D$76:$O$76, Assumptions!$D$80:$O$80)-9), 0), 0)</f>
        <v>14960</v>
      </c>
      <c r="N138" s="219">
        <f>IF(N$129&gt;=$E138, IF(N$126&lt;&gt;0, $C138*8*$D138*(_xlfn.XLOOKUP(N$129, Assumptions!$D$76:$O$76, Assumptions!$D$80:$O$80)-9), 0), 0)</f>
        <v>0</v>
      </c>
      <c r="O138" s="219">
        <f>IF(O$129&gt;=$E138, IF(O$126&lt;&gt;0, $C138*8*$D138*(_xlfn.XLOOKUP(O$129, Assumptions!$D$76:$O$76, Assumptions!$D$80:$O$80)-9), 0), 0)</f>
        <v>0</v>
      </c>
      <c r="P138" s="219">
        <f>IF(P$129&gt;=$E138, IF(P$126&lt;&gt;0, $C138*8*$D138*(_xlfn.XLOOKUP(P$129, Assumptions!$D$76:$O$76, Assumptions!$D$80:$O$80)-9), 0), 0)</f>
        <v>0</v>
      </c>
      <c r="Q138" s="219">
        <f>IF(Q$129&gt;=$E138, IF(Q$126&lt;&gt;0, $C138*8*$D138*(_xlfn.XLOOKUP(Q$129, Assumptions!$D$76:$O$76, Assumptions!$D$80:$O$80)-9), 0), 0)</f>
        <v>0</v>
      </c>
    </row>
    <row r="139" spans="1:17" ht="15" customHeight="1">
      <c r="A139" s="218"/>
      <c r="B139" s="218" t="s">
        <v>427</v>
      </c>
      <c r="C139">
        <v>150</v>
      </c>
      <c r="D139" s="238">
        <v>0.7</v>
      </c>
      <c r="E139" s="239">
        <v>1</v>
      </c>
      <c r="F139" s="219">
        <f>IF(F$129&gt;=$E139, IF(F$126&lt;&gt;0, $C139*8*$D139*(_xlfn.XLOOKUP(F$129, Assumptions!$D$76:$O$76, Assumptions!$D$80:$O$80)-9), 0), 0)</f>
        <v>18480</v>
      </c>
      <c r="G139" s="219">
        <f>IF(G$129&gt;=$E139, IF(G$126&lt;&gt;0, $C139*8*$D139*(_xlfn.XLOOKUP(G$129, Assumptions!$D$76:$O$76, Assumptions!$D$80:$O$80)-9), 0), 0)</f>
        <v>15960</v>
      </c>
      <c r="H139" s="219">
        <f>IF(H$129&gt;=$E139, IF(H$126&lt;&gt;0, $C139*8*$D139*(_xlfn.XLOOKUP(H$129, Assumptions!$D$76:$O$76, Assumptions!$D$80:$O$80)-9), 0), 0)</f>
        <v>18480</v>
      </c>
      <c r="I139" s="219">
        <f>IF(I$129&gt;=$E139, IF(I$126&lt;&gt;0, $C139*8*$D139*(_xlfn.XLOOKUP(I$129, Assumptions!$D$76:$O$76, Assumptions!$D$80:$O$80)-9), 0), 0)</f>
        <v>17640</v>
      </c>
      <c r="J139" s="219">
        <f>IF(J$129&gt;=$E139, IF(J$126&lt;&gt;0, $C139*8*$D139*(_xlfn.XLOOKUP(J$129, Assumptions!$D$76:$O$76, Assumptions!$D$80:$O$80)-9), 0), 0)</f>
        <v>18480</v>
      </c>
      <c r="K139" s="219">
        <f>IF(K$129&gt;=$E139, IF(K$126&lt;&gt;0, $C139*8*$D139*(_xlfn.XLOOKUP(K$129, Assumptions!$D$76:$O$76, Assumptions!$D$80:$O$80)-9), 0), 0)</f>
        <v>17640</v>
      </c>
      <c r="L139" s="219">
        <f>IF(L$129&gt;=$E139, IF(L$126&lt;&gt;0, $C139*8*$D139*(_xlfn.XLOOKUP(L$129, Assumptions!$D$76:$O$76, Assumptions!$D$80:$O$80)-9), 0), 0)</f>
        <v>18480</v>
      </c>
      <c r="M139" s="219">
        <f>IF(M$129&gt;=$E139, IF(M$126&lt;&gt;0, $C139*8*$D139*(_xlfn.XLOOKUP(M$129, Assumptions!$D$76:$O$76, Assumptions!$D$80:$O$80)-9), 0), 0)</f>
        <v>18480</v>
      </c>
      <c r="N139" s="219">
        <f>IF(N$129&gt;=$E139, IF(N$126&lt;&gt;0, $C139*8*$D139*(_xlfn.XLOOKUP(N$129, Assumptions!$D$76:$O$76, Assumptions!$D$80:$O$80)-9), 0), 0)</f>
        <v>0</v>
      </c>
      <c r="O139" s="219">
        <f>IF(O$129&gt;=$E139, IF(O$126&lt;&gt;0, $C139*8*$D139*(_xlfn.XLOOKUP(O$129, Assumptions!$D$76:$O$76, Assumptions!$D$80:$O$80)-9), 0), 0)</f>
        <v>0</v>
      </c>
      <c r="P139" s="219">
        <f>IF(P$129&gt;=$E139, IF(P$126&lt;&gt;0, $C139*8*$D139*(_xlfn.XLOOKUP(P$129, Assumptions!$D$76:$O$76, Assumptions!$D$80:$O$80)-9), 0), 0)</f>
        <v>0</v>
      </c>
      <c r="Q139" s="219">
        <f>IF(Q$129&gt;=$E139, IF(Q$126&lt;&gt;0, $C139*8*$D139*(_xlfn.XLOOKUP(Q$129, Assumptions!$D$76:$O$76, Assumptions!$D$80:$O$80)-9), 0), 0)</f>
        <v>0</v>
      </c>
    </row>
    <row r="140" spans="1:17" ht="15" customHeight="1">
      <c r="A140" s="218"/>
      <c r="B140" s="218" t="s">
        <v>428</v>
      </c>
      <c r="C140">
        <v>150</v>
      </c>
      <c r="D140" s="238">
        <v>0.7</v>
      </c>
      <c r="E140" s="239">
        <v>1</v>
      </c>
      <c r="F140" s="219">
        <f>IF(F$129&gt;=$E140, IF(F$126&lt;&gt;0, $C140*8*$D140*(_xlfn.XLOOKUP(F$129, Assumptions!$D$76:$O$76, Assumptions!$D$80:$O$80)-9), 0), 0)</f>
        <v>18480</v>
      </c>
      <c r="G140" s="219">
        <f>IF(G$129&gt;=$E140, IF(G$126&lt;&gt;0, $C140*8*$D140*(_xlfn.XLOOKUP(G$129, Assumptions!$D$76:$O$76, Assumptions!$D$80:$O$80)-9), 0), 0)</f>
        <v>15960</v>
      </c>
      <c r="H140" s="219">
        <f>IF(H$129&gt;=$E140, IF(H$126&lt;&gt;0, $C140*8*$D140*(_xlfn.XLOOKUP(H$129, Assumptions!$D$76:$O$76, Assumptions!$D$80:$O$80)-9), 0), 0)</f>
        <v>18480</v>
      </c>
      <c r="I140" s="219">
        <f>IF(I$129&gt;=$E140, IF(I$126&lt;&gt;0, $C140*8*$D140*(_xlfn.XLOOKUP(I$129, Assumptions!$D$76:$O$76, Assumptions!$D$80:$O$80)-9), 0), 0)</f>
        <v>17640</v>
      </c>
      <c r="J140" s="219">
        <f>IF(J$129&gt;=$E140, IF(J$126&lt;&gt;0, $C140*8*$D140*(_xlfn.XLOOKUP(J$129, Assumptions!$D$76:$O$76, Assumptions!$D$80:$O$80)-9), 0), 0)</f>
        <v>18480</v>
      </c>
      <c r="K140" s="219">
        <f>IF(K$129&gt;=$E140, IF(K$126&lt;&gt;0, $C140*8*$D140*(_xlfn.XLOOKUP(K$129, Assumptions!$D$76:$O$76, Assumptions!$D$80:$O$80)-9), 0), 0)</f>
        <v>17640</v>
      </c>
      <c r="L140" s="219">
        <f>IF(L$129&gt;=$E140, IF(L$126&lt;&gt;0, $C140*8*$D140*(_xlfn.XLOOKUP(L$129, Assumptions!$D$76:$O$76, Assumptions!$D$80:$O$80)-9), 0), 0)</f>
        <v>18480</v>
      </c>
      <c r="M140" s="219">
        <f>IF(M$129&gt;=$E140, IF(M$126&lt;&gt;0, $C140*8*$D140*(_xlfn.XLOOKUP(M$129, Assumptions!$D$76:$O$76, Assumptions!$D$80:$O$80)-9), 0), 0)</f>
        <v>18480</v>
      </c>
      <c r="N140" s="219">
        <f>IF(N$129&gt;=$E140, IF(N$126&lt;&gt;0, $C140*8*$D140*(_xlfn.XLOOKUP(N$129, Assumptions!$D$76:$O$76, Assumptions!$D$80:$O$80)-9), 0), 0)</f>
        <v>0</v>
      </c>
      <c r="O140" s="219">
        <f>IF(O$129&gt;=$E140, IF(O$126&lt;&gt;0, $C140*8*$D140*(_xlfn.XLOOKUP(O$129, Assumptions!$D$76:$O$76, Assumptions!$D$80:$O$80)-9), 0), 0)</f>
        <v>0</v>
      </c>
      <c r="P140" s="219">
        <f>IF(P$129&gt;=$E140, IF(P$126&lt;&gt;0, $C140*8*$D140*(_xlfn.XLOOKUP(P$129, Assumptions!$D$76:$O$76, Assumptions!$D$80:$O$80)-9), 0), 0)</f>
        <v>0</v>
      </c>
      <c r="Q140" s="219">
        <f>IF(Q$129&gt;=$E140, IF(Q$126&lt;&gt;0, $C140*8*$D140*(_xlfn.XLOOKUP(Q$129, Assumptions!$D$76:$O$76, Assumptions!$D$80:$O$80)-9), 0), 0)</f>
        <v>0</v>
      </c>
    </row>
    <row r="141" spans="1:17" ht="15" customHeight="1">
      <c r="A141" s="218"/>
      <c r="B141" s="218" t="s">
        <v>429</v>
      </c>
      <c r="C141">
        <v>200</v>
      </c>
      <c r="D141" s="238">
        <v>0.7</v>
      </c>
      <c r="E141" s="239">
        <v>1</v>
      </c>
      <c r="F141" s="219">
        <f>IF(F$129&gt;=$E141, IF(F$126&lt;&gt;0, $C141*8*$D141*(_xlfn.XLOOKUP(F$129, Assumptions!$D$76:$O$76, Assumptions!$D$80:$O$80)-9), 0), 0)</f>
        <v>24640</v>
      </c>
      <c r="G141" s="219">
        <f>IF(G$129&gt;=$E141, IF(G$126&lt;&gt;0, $C141*8*$D141*(_xlfn.XLOOKUP(G$129, Assumptions!$D$76:$O$76, Assumptions!$D$80:$O$80)-9), 0), 0)</f>
        <v>21280</v>
      </c>
      <c r="H141" s="219">
        <f>IF(H$129&gt;=$E141, IF(H$126&lt;&gt;0, $C141*8*$D141*(_xlfn.XLOOKUP(H$129, Assumptions!$D$76:$O$76, Assumptions!$D$80:$O$80)-9), 0), 0)</f>
        <v>24640</v>
      </c>
      <c r="I141" s="219">
        <f>IF(I$129&gt;=$E141, IF(I$126&lt;&gt;0, $C141*8*$D141*(_xlfn.XLOOKUP(I$129, Assumptions!$D$76:$O$76, Assumptions!$D$80:$O$80)-9), 0), 0)</f>
        <v>23520</v>
      </c>
      <c r="J141" s="219">
        <f>IF(J$129&gt;=$E141, IF(J$126&lt;&gt;0, $C141*8*$D141*(_xlfn.XLOOKUP(J$129, Assumptions!$D$76:$O$76, Assumptions!$D$80:$O$80)-9), 0), 0)</f>
        <v>24640</v>
      </c>
      <c r="K141" s="219">
        <f>IF(K$129&gt;=$E141, IF(K$126&lt;&gt;0, $C141*8*$D141*(_xlfn.XLOOKUP(K$129, Assumptions!$D$76:$O$76, Assumptions!$D$80:$O$80)-9), 0), 0)</f>
        <v>23520</v>
      </c>
      <c r="L141" s="219">
        <f>IF(L$129&gt;=$E141, IF(L$126&lt;&gt;0, $C141*8*$D141*(_xlfn.XLOOKUP(L$129, Assumptions!$D$76:$O$76, Assumptions!$D$80:$O$80)-9), 0), 0)</f>
        <v>24640</v>
      </c>
      <c r="M141" s="219">
        <f>IF(M$129&gt;=$E141, IF(M$126&lt;&gt;0, $C141*8*$D141*(_xlfn.XLOOKUP(M$129, Assumptions!$D$76:$O$76, Assumptions!$D$80:$O$80)-9), 0), 0)</f>
        <v>24640</v>
      </c>
      <c r="N141" s="219">
        <f>IF(N$129&gt;=$E141, IF(N$126&lt;&gt;0, $C141*8*$D141*(_xlfn.XLOOKUP(N$129, Assumptions!$D$76:$O$76, Assumptions!$D$80:$O$80)-9), 0), 0)</f>
        <v>0</v>
      </c>
      <c r="O141" s="219">
        <f>IF(O$129&gt;=$E141, IF(O$126&lt;&gt;0, $C141*8*$D141*(_xlfn.XLOOKUP(O$129, Assumptions!$D$76:$O$76, Assumptions!$D$80:$O$80)-9), 0), 0)</f>
        <v>0</v>
      </c>
      <c r="P141" s="219">
        <f>IF(P$129&gt;=$E141, IF(P$126&lt;&gt;0, $C141*8*$D141*(_xlfn.XLOOKUP(P$129, Assumptions!$D$76:$O$76, Assumptions!$D$80:$O$80)-9), 0), 0)</f>
        <v>0</v>
      </c>
      <c r="Q141" s="219">
        <f>IF(Q$129&gt;=$E141, IF(Q$126&lt;&gt;0, $C141*8*$D141*(_xlfn.XLOOKUP(Q$129, Assumptions!$D$76:$O$76, Assumptions!$D$80:$O$80)-9), 0), 0)</f>
        <v>0</v>
      </c>
    </row>
    <row r="142" spans="1:17" ht="15" customHeight="1">
      <c r="A142" s="218"/>
      <c r="B142" s="218" t="s">
        <v>430</v>
      </c>
      <c r="C142">
        <v>125</v>
      </c>
      <c r="D142" s="238">
        <v>1</v>
      </c>
      <c r="E142" s="239">
        <v>1</v>
      </c>
      <c r="F142" s="219">
        <f>IF(F$129&gt;=$E142, IF(F$126&lt;&gt;0, $C142*8*$D142*(_xlfn.XLOOKUP(F$129, Assumptions!$D$76:$O$76, Assumptions!$D$80:$O$80)-9), 0), 0)</f>
        <v>22000</v>
      </c>
      <c r="G142" s="219">
        <f>IF(G$129&gt;=$E142, IF(G$126&lt;&gt;0, $C142*8*$D142*(_xlfn.XLOOKUP(G$129, Assumptions!$D$76:$O$76, Assumptions!$D$80:$O$80)-9), 0), 0)</f>
        <v>19000</v>
      </c>
      <c r="H142" s="219">
        <f>IF(H$129&gt;=$E142, IF(H$126&lt;&gt;0, $C142*8*$D142*(_xlfn.XLOOKUP(H$129, Assumptions!$D$76:$O$76, Assumptions!$D$80:$O$80)-9), 0), 0)</f>
        <v>22000</v>
      </c>
      <c r="I142" s="219">
        <f>IF(I$129&gt;=$E142, IF(I$126&lt;&gt;0, $C142*8*$D142*(_xlfn.XLOOKUP(I$129, Assumptions!$D$76:$O$76, Assumptions!$D$80:$O$80)-9), 0), 0)</f>
        <v>21000</v>
      </c>
      <c r="J142" s="219">
        <f>IF(J$129&gt;=$E142, IF(J$126&lt;&gt;0, $C142*8*$D142*(_xlfn.XLOOKUP(J$129, Assumptions!$D$76:$O$76, Assumptions!$D$80:$O$80)-9), 0), 0)</f>
        <v>22000</v>
      </c>
      <c r="K142" s="219">
        <f>IF(K$129&gt;=$E142, IF(K$126&lt;&gt;0, $C142*8*$D142*(_xlfn.XLOOKUP(K$129, Assumptions!$D$76:$O$76, Assumptions!$D$80:$O$80)-9), 0), 0)</f>
        <v>21000</v>
      </c>
      <c r="L142" s="219">
        <f>IF(L$129&gt;=$E142, IF(L$126&lt;&gt;0, $C142*8*$D142*(_xlfn.XLOOKUP(L$129, Assumptions!$D$76:$O$76, Assumptions!$D$80:$O$80)-9), 0), 0)</f>
        <v>22000</v>
      </c>
      <c r="M142" s="219">
        <f>IF(M$129&gt;=$E142, IF(M$126&lt;&gt;0, $C142*8*$D142*(_xlfn.XLOOKUP(M$129, Assumptions!$D$76:$O$76, Assumptions!$D$80:$O$80)-9), 0), 0)</f>
        <v>22000</v>
      </c>
      <c r="N142" s="219">
        <f>IF(N$129&gt;=$E142, IF(N$126&lt;&gt;0, $C142*8*$D142*(_xlfn.XLOOKUP(N$129, Assumptions!$D$76:$O$76, Assumptions!$D$80:$O$80)-9), 0), 0)</f>
        <v>0</v>
      </c>
      <c r="O142" s="219">
        <f>IF(O$129&gt;=$E142, IF(O$126&lt;&gt;0, $C142*8*$D142*(_xlfn.XLOOKUP(O$129, Assumptions!$D$76:$O$76, Assumptions!$D$80:$O$80)-9), 0), 0)</f>
        <v>0</v>
      </c>
      <c r="P142" s="219">
        <f>IF(P$129&gt;=$E142, IF(P$126&lt;&gt;0, $C142*8*$D142*(_xlfn.XLOOKUP(P$129, Assumptions!$D$76:$O$76, Assumptions!$D$80:$O$80)-9), 0), 0)</f>
        <v>0</v>
      </c>
      <c r="Q142" s="219">
        <f>IF(Q$129&gt;=$E142, IF(Q$126&lt;&gt;0, $C142*8*$D142*(_xlfn.XLOOKUP(Q$129, Assumptions!$D$76:$O$76, Assumptions!$D$80:$O$80)-9), 0), 0)</f>
        <v>0</v>
      </c>
    </row>
    <row r="143" spans="1:17" ht="15" customHeight="1">
      <c r="A143" s="218"/>
      <c r="B143" s="218" t="s">
        <v>431</v>
      </c>
      <c r="C143">
        <v>80</v>
      </c>
      <c r="D143" s="238">
        <v>1</v>
      </c>
      <c r="E143" s="239">
        <v>1</v>
      </c>
      <c r="F143" s="219">
        <f>IF(F$129&gt;=$E143, IF(F$126&lt;&gt;0, $C143*8*$D143*(_xlfn.XLOOKUP(F$129, Assumptions!$D$76:$O$76, Assumptions!$D$80:$O$80)-9), 0), 0)</f>
        <v>14080</v>
      </c>
      <c r="G143" s="219">
        <f>IF(G$129&gt;=$E143, IF(G$126&lt;&gt;0, $C143*8*$D143*(_xlfn.XLOOKUP(G$129, Assumptions!$D$76:$O$76, Assumptions!$D$80:$O$80)-9), 0), 0)</f>
        <v>12160</v>
      </c>
      <c r="H143" s="219">
        <f>IF(H$129&gt;=$E143, IF(H$126&lt;&gt;0, $C143*8*$D143*(_xlfn.XLOOKUP(H$129, Assumptions!$D$76:$O$76, Assumptions!$D$80:$O$80)-9), 0), 0)</f>
        <v>14080</v>
      </c>
      <c r="I143" s="219">
        <f>IF(I$129&gt;=$E143, IF(I$126&lt;&gt;0, $C143*8*$D143*(_xlfn.XLOOKUP(I$129, Assumptions!$D$76:$O$76, Assumptions!$D$80:$O$80)-9), 0), 0)</f>
        <v>13440</v>
      </c>
      <c r="J143" s="219">
        <f>IF(J$129&gt;=$E143, IF(J$126&lt;&gt;0, $C143*8*$D143*(_xlfn.XLOOKUP(J$129, Assumptions!$D$76:$O$76, Assumptions!$D$80:$O$80)-9), 0), 0)</f>
        <v>14080</v>
      </c>
      <c r="K143" s="219">
        <f>IF(K$129&gt;=$E143, IF(K$126&lt;&gt;0, $C143*8*$D143*(_xlfn.XLOOKUP(K$129, Assumptions!$D$76:$O$76, Assumptions!$D$80:$O$80)-9), 0), 0)</f>
        <v>13440</v>
      </c>
      <c r="L143" s="219">
        <f>IF(L$129&gt;=$E143, IF(L$126&lt;&gt;0, $C143*8*$D143*(_xlfn.XLOOKUP(L$129, Assumptions!$D$76:$O$76, Assumptions!$D$80:$O$80)-9), 0), 0)</f>
        <v>14080</v>
      </c>
      <c r="M143" s="219">
        <f>IF(M$129&gt;=$E143, IF(M$126&lt;&gt;0, $C143*8*$D143*(_xlfn.XLOOKUP(M$129, Assumptions!$D$76:$O$76, Assumptions!$D$80:$O$80)-9), 0), 0)</f>
        <v>14080</v>
      </c>
      <c r="N143" s="219">
        <f>IF(N$129&gt;=$E143, IF(N$126&lt;&gt;0, $C143*8*$D143*(_xlfn.XLOOKUP(N$129, Assumptions!$D$76:$O$76, Assumptions!$D$80:$O$80)-9), 0), 0)</f>
        <v>0</v>
      </c>
      <c r="O143" s="219">
        <f>IF(O$129&gt;=$E143, IF(O$126&lt;&gt;0, $C143*8*$D143*(_xlfn.XLOOKUP(O$129, Assumptions!$D$76:$O$76, Assumptions!$D$80:$O$80)-9), 0), 0)</f>
        <v>0</v>
      </c>
      <c r="P143" s="219">
        <f>IF(P$129&gt;=$E143, IF(P$126&lt;&gt;0, $C143*8*$D143*(_xlfn.XLOOKUP(P$129, Assumptions!$D$76:$O$76, Assumptions!$D$80:$O$80)-9), 0), 0)</f>
        <v>0</v>
      </c>
      <c r="Q143" s="219">
        <f>IF(Q$129&gt;=$E143, IF(Q$126&lt;&gt;0, $C143*8*$D143*(_xlfn.XLOOKUP(Q$129, Assumptions!$D$76:$O$76, Assumptions!$D$80:$O$80)-9), 0), 0)</f>
        <v>0</v>
      </c>
    </row>
    <row r="144" spans="1:17" ht="15" customHeight="1">
      <c r="A144" s="218"/>
      <c r="B144" s="218" t="s">
        <v>432</v>
      </c>
      <c r="C144">
        <v>80</v>
      </c>
      <c r="D144" s="238">
        <v>1</v>
      </c>
      <c r="E144" s="239">
        <v>1</v>
      </c>
      <c r="F144" s="219">
        <f>IF(F$129&gt;=$E144, IF(F$126&lt;&gt;0, $C144*8*$D144*(_xlfn.XLOOKUP(F$129, Assumptions!$D$76:$O$76, Assumptions!$D$80:$O$80)-9), 0), 0)</f>
        <v>14080</v>
      </c>
      <c r="G144" s="219">
        <f>IF(G$129&gt;=$E144, IF(G$126&lt;&gt;0, $C144*8*$D144*(_xlfn.XLOOKUP(G$129, Assumptions!$D$76:$O$76, Assumptions!$D$80:$O$80)-9), 0), 0)</f>
        <v>12160</v>
      </c>
      <c r="H144" s="219">
        <f>IF(H$129&gt;=$E144, IF(H$126&lt;&gt;0, $C144*8*$D144*(_xlfn.XLOOKUP(H$129, Assumptions!$D$76:$O$76, Assumptions!$D$80:$O$80)-9), 0), 0)</f>
        <v>14080</v>
      </c>
      <c r="I144" s="219">
        <f>IF(I$129&gt;=$E144, IF(I$126&lt;&gt;0, $C144*8*$D144*(_xlfn.XLOOKUP(I$129, Assumptions!$D$76:$O$76, Assumptions!$D$80:$O$80)-9), 0), 0)</f>
        <v>13440</v>
      </c>
      <c r="J144" s="219">
        <f>IF(J$129&gt;=$E144, IF(J$126&lt;&gt;0, $C144*8*$D144*(_xlfn.XLOOKUP(J$129, Assumptions!$D$76:$O$76, Assumptions!$D$80:$O$80)-9), 0), 0)</f>
        <v>14080</v>
      </c>
      <c r="K144" s="219">
        <f>IF(K$129&gt;=$E144, IF(K$126&lt;&gt;0, $C144*8*$D144*(_xlfn.XLOOKUP(K$129, Assumptions!$D$76:$O$76, Assumptions!$D$80:$O$80)-9), 0), 0)</f>
        <v>13440</v>
      </c>
      <c r="L144" s="219">
        <f>IF(L$129&gt;=$E144, IF(L$126&lt;&gt;0, $C144*8*$D144*(_xlfn.XLOOKUP(L$129, Assumptions!$D$76:$O$76, Assumptions!$D$80:$O$80)-9), 0), 0)</f>
        <v>14080</v>
      </c>
      <c r="M144" s="219">
        <f>IF(M$129&gt;=$E144, IF(M$126&lt;&gt;0, $C144*8*$D144*(_xlfn.XLOOKUP(M$129, Assumptions!$D$76:$O$76, Assumptions!$D$80:$O$80)-9), 0), 0)</f>
        <v>14080</v>
      </c>
      <c r="N144" s="219">
        <f>IF(N$129&gt;=$E144, IF(N$126&lt;&gt;0, $C144*8*$D144*(_xlfn.XLOOKUP(N$129, Assumptions!$D$76:$O$76, Assumptions!$D$80:$O$80)-9), 0), 0)</f>
        <v>0</v>
      </c>
      <c r="O144" s="219">
        <f>IF(O$129&gt;=$E144, IF(O$126&lt;&gt;0, $C144*8*$D144*(_xlfn.XLOOKUP(O$129, Assumptions!$D$76:$O$76, Assumptions!$D$80:$O$80)-9), 0), 0)</f>
        <v>0</v>
      </c>
      <c r="P144" s="219">
        <f>IF(P$129&gt;=$E144, IF(P$126&lt;&gt;0, $C144*8*$D144*(_xlfn.XLOOKUP(P$129, Assumptions!$D$76:$O$76, Assumptions!$D$80:$O$80)-9), 0), 0)</f>
        <v>0</v>
      </c>
      <c r="Q144" s="219">
        <f>IF(Q$129&gt;=$E144, IF(Q$126&lt;&gt;0, $C144*8*$D144*(_xlfn.XLOOKUP(Q$129, Assumptions!$D$76:$O$76, Assumptions!$D$80:$O$80)-9), 0), 0)</f>
        <v>0</v>
      </c>
    </row>
    <row r="145" spans="1:17" ht="15" customHeight="1">
      <c r="A145" s="218"/>
      <c r="B145" s="218" t="s">
        <v>433</v>
      </c>
      <c r="C145">
        <v>80</v>
      </c>
      <c r="D145" s="238">
        <v>1</v>
      </c>
      <c r="E145" s="239">
        <v>1</v>
      </c>
      <c r="F145" s="219">
        <f>IF(F$129&gt;=$E145, IF(F$126&lt;&gt;0, $C145*8*$D145*(_xlfn.XLOOKUP(F$129, Assumptions!$D$76:$O$76, Assumptions!$D$80:$O$80)-9), 0), 0)</f>
        <v>14080</v>
      </c>
      <c r="G145" s="219">
        <f>IF(G$129&gt;=$E145, IF(G$126&lt;&gt;0, $C145*8*$D145*(_xlfn.XLOOKUP(G$129, Assumptions!$D$76:$O$76, Assumptions!$D$80:$O$80)-9), 0), 0)</f>
        <v>12160</v>
      </c>
      <c r="H145" s="219">
        <f>IF(H$129&gt;=$E145, IF(H$126&lt;&gt;0, $C145*8*$D145*(_xlfn.XLOOKUP(H$129, Assumptions!$D$76:$O$76, Assumptions!$D$80:$O$80)-9), 0), 0)</f>
        <v>14080</v>
      </c>
      <c r="I145" s="219">
        <f>IF(I$129&gt;=$E145, IF(I$126&lt;&gt;0, $C145*8*$D145*(_xlfn.XLOOKUP(I$129, Assumptions!$D$76:$O$76, Assumptions!$D$80:$O$80)-9), 0), 0)</f>
        <v>13440</v>
      </c>
      <c r="J145" s="219">
        <f>IF(J$129&gt;=$E145, IF(J$126&lt;&gt;0, $C145*8*$D145*(_xlfn.XLOOKUP(J$129, Assumptions!$D$76:$O$76, Assumptions!$D$80:$O$80)-9), 0), 0)</f>
        <v>14080</v>
      </c>
      <c r="K145" s="219">
        <f>IF(K$129&gt;=$E145, IF(K$126&lt;&gt;0, $C145*8*$D145*(_xlfn.XLOOKUP(K$129, Assumptions!$D$76:$O$76, Assumptions!$D$80:$O$80)-9), 0), 0)</f>
        <v>13440</v>
      </c>
      <c r="L145" s="219">
        <f>IF(L$129&gt;=$E145, IF(L$126&lt;&gt;0, $C145*8*$D145*(_xlfn.XLOOKUP(L$129, Assumptions!$D$76:$O$76, Assumptions!$D$80:$O$80)-9), 0), 0)</f>
        <v>14080</v>
      </c>
      <c r="M145" s="219">
        <f>IF(M$129&gt;=$E145, IF(M$126&lt;&gt;0, $C145*8*$D145*(_xlfn.XLOOKUP(M$129, Assumptions!$D$76:$O$76, Assumptions!$D$80:$O$80)-9), 0), 0)</f>
        <v>14080</v>
      </c>
      <c r="N145" s="219">
        <f>IF(N$129&gt;=$E145, IF(N$126&lt;&gt;0, $C145*8*$D145*(_xlfn.XLOOKUP(N$129, Assumptions!$D$76:$O$76, Assumptions!$D$80:$O$80)-9), 0), 0)</f>
        <v>0</v>
      </c>
      <c r="O145" s="219">
        <f>IF(O$129&gt;=$E145, IF(O$126&lt;&gt;0, $C145*8*$D145*(_xlfn.XLOOKUP(O$129, Assumptions!$D$76:$O$76, Assumptions!$D$80:$O$80)-9), 0), 0)</f>
        <v>0</v>
      </c>
      <c r="P145" s="219">
        <f>IF(P$129&gt;=$E145, IF(P$126&lt;&gt;0, $C145*8*$D145*(_xlfn.XLOOKUP(P$129, Assumptions!$D$76:$O$76, Assumptions!$D$80:$O$80)-9), 0), 0)</f>
        <v>0</v>
      </c>
      <c r="Q145" s="219">
        <f>IF(Q$129&gt;=$E145, IF(Q$126&lt;&gt;0, $C145*8*$D145*(_xlfn.XLOOKUP(Q$129, Assumptions!$D$76:$O$76, Assumptions!$D$80:$O$80)-9), 0), 0)</f>
        <v>0</v>
      </c>
    </row>
    <row r="146" spans="1:17" ht="15" customHeight="1">
      <c r="A146" s="218"/>
      <c r="B146" s="218" t="s">
        <v>434</v>
      </c>
      <c r="C146">
        <v>80</v>
      </c>
      <c r="D146" s="238">
        <v>1</v>
      </c>
      <c r="E146" s="239">
        <v>1</v>
      </c>
      <c r="F146" s="219">
        <f>IF(F$129&gt;=$E146, IF(F$126&lt;&gt;0, $C146*8*$D146*(_xlfn.XLOOKUP(F$129, Assumptions!$D$76:$O$76, Assumptions!$D$80:$O$80)-9), 0), 0)</f>
        <v>14080</v>
      </c>
      <c r="G146" s="219">
        <f>IF(G$129&gt;=$E146, IF(G$126&lt;&gt;0, $C146*8*$D146*(_xlfn.XLOOKUP(G$129, Assumptions!$D$76:$O$76, Assumptions!$D$80:$O$80)-9), 0), 0)</f>
        <v>12160</v>
      </c>
      <c r="H146" s="219">
        <f>IF(H$129&gt;=$E146, IF(H$126&lt;&gt;0, $C146*8*$D146*(_xlfn.XLOOKUP(H$129, Assumptions!$D$76:$O$76, Assumptions!$D$80:$O$80)-9), 0), 0)</f>
        <v>14080</v>
      </c>
      <c r="I146" s="219">
        <f>IF(I$129&gt;=$E146, IF(I$126&lt;&gt;0, $C146*8*$D146*(_xlfn.XLOOKUP(I$129, Assumptions!$D$76:$O$76, Assumptions!$D$80:$O$80)-9), 0), 0)</f>
        <v>13440</v>
      </c>
      <c r="J146" s="219">
        <f>IF(J$129&gt;=$E146, IF(J$126&lt;&gt;0, $C146*8*$D146*(_xlfn.XLOOKUP(J$129, Assumptions!$D$76:$O$76, Assumptions!$D$80:$O$80)-9), 0), 0)</f>
        <v>14080</v>
      </c>
      <c r="K146" s="219">
        <f>IF(K$129&gt;=$E146, IF(K$126&lt;&gt;0, $C146*8*$D146*(_xlfn.XLOOKUP(K$129, Assumptions!$D$76:$O$76, Assumptions!$D$80:$O$80)-9), 0), 0)</f>
        <v>13440</v>
      </c>
      <c r="L146" s="219">
        <f>IF(L$129&gt;=$E146, IF(L$126&lt;&gt;0, $C146*8*$D146*(_xlfn.XLOOKUP(L$129, Assumptions!$D$76:$O$76, Assumptions!$D$80:$O$80)-9), 0), 0)</f>
        <v>14080</v>
      </c>
      <c r="M146" s="219">
        <f>IF(M$129&gt;=$E146, IF(M$126&lt;&gt;0, $C146*8*$D146*(_xlfn.XLOOKUP(M$129, Assumptions!$D$76:$O$76, Assumptions!$D$80:$O$80)-9), 0), 0)</f>
        <v>14080</v>
      </c>
      <c r="N146" s="219">
        <f>IF(N$129&gt;=$E146, IF(N$126&lt;&gt;0, $C146*8*$D146*(_xlfn.XLOOKUP(N$129, Assumptions!$D$76:$O$76, Assumptions!$D$80:$O$80)-9), 0), 0)</f>
        <v>0</v>
      </c>
      <c r="O146" s="219">
        <f>IF(O$129&gt;=$E146, IF(O$126&lt;&gt;0, $C146*8*$D146*(_xlfn.XLOOKUP(O$129, Assumptions!$D$76:$O$76, Assumptions!$D$80:$O$80)-9), 0), 0)</f>
        <v>0</v>
      </c>
      <c r="P146" s="219">
        <f>IF(P$129&gt;=$E146, IF(P$126&lt;&gt;0, $C146*8*$D146*(_xlfn.XLOOKUP(P$129, Assumptions!$D$76:$O$76, Assumptions!$D$80:$O$80)-9), 0), 0)</f>
        <v>0</v>
      </c>
      <c r="Q146" s="219">
        <f>IF(Q$129&gt;=$E146, IF(Q$126&lt;&gt;0, $C146*8*$D146*(_xlfn.XLOOKUP(Q$129, Assumptions!$D$76:$O$76, Assumptions!$D$80:$O$80)-9), 0), 0)</f>
        <v>0</v>
      </c>
    </row>
    <row r="147" spans="1:17" ht="15" customHeight="1">
      <c r="A147" s="218"/>
      <c r="B147" s="218" t="s">
        <v>435</v>
      </c>
      <c r="C147">
        <v>80</v>
      </c>
      <c r="D147" s="238">
        <v>1</v>
      </c>
      <c r="E147" s="239">
        <v>5</v>
      </c>
      <c r="F147" s="219">
        <f>IF(F$129&gt;=$E147, IF(F$126&lt;&gt;0, $C147*8*$D147*(_xlfn.XLOOKUP(F$129, Assumptions!$D$76:$O$76, Assumptions!$D$80:$O$80)-9), 0), 0)</f>
        <v>0</v>
      </c>
      <c r="G147" s="219">
        <f>IF(G$129&gt;=$E147, IF(G$126&lt;&gt;0, $C147*8*$D147*(_xlfn.XLOOKUP(G$129, Assumptions!$D$76:$O$76, Assumptions!$D$80:$O$80)-9), 0), 0)</f>
        <v>0</v>
      </c>
      <c r="H147" s="219">
        <f>IF(H$129&gt;=$E147, IF(H$126&lt;&gt;0, $C147*8*$D147*(_xlfn.XLOOKUP(H$129, Assumptions!$D$76:$O$76, Assumptions!$D$80:$O$80)-9), 0), 0)</f>
        <v>0</v>
      </c>
      <c r="I147" s="219">
        <f>IF(I$129&gt;=$E147, IF(I$126&lt;&gt;0, $C147*8*$D147*(_xlfn.XLOOKUP(I$129, Assumptions!$D$76:$O$76, Assumptions!$D$80:$O$80)-9), 0), 0)</f>
        <v>0</v>
      </c>
      <c r="J147" s="219">
        <f>IF(J$129&gt;=$E147, IF(J$126&lt;&gt;0, $C147*8*$D147*(_xlfn.XLOOKUP(J$129, Assumptions!$D$76:$O$76, Assumptions!$D$80:$O$80)-9), 0), 0)</f>
        <v>14080</v>
      </c>
      <c r="K147" s="219">
        <f>IF(K$129&gt;=$E147, IF(K$126&lt;&gt;0, $C147*8*$D147*(_xlfn.XLOOKUP(K$129, Assumptions!$D$76:$O$76, Assumptions!$D$80:$O$80)-9), 0), 0)</f>
        <v>13440</v>
      </c>
      <c r="L147" s="219">
        <f>IF(L$129&gt;=$E147, IF(L$126&lt;&gt;0, $C147*8*$D147*(_xlfn.XLOOKUP(L$129, Assumptions!$D$76:$O$76, Assumptions!$D$80:$O$80)-9), 0), 0)</f>
        <v>14080</v>
      </c>
      <c r="M147" s="219">
        <f>IF(M$129&gt;=$E147, IF(M$126&lt;&gt;0, $C147*8*$D147*(_xlfn.XLOOKUP(M$129, Assumptions!$D$76:$O$76, Assumptions!$D$80:$O$80)-9), 0), 0)</f>
        <v>14080</v>
      </c>
      <c r="N147" s="219">
        <f>IF(N$129&gt;=$E147, IF(N$126&lt;&gt;0, $C147*8*$D147*(_xlfn.XLOOKUP(N$129, Assumptions!$D$76:$O$76, Assumptions!$D$80:$O$80)-9), 0), 0)</f>
        <v>0</v>
      </c>
      <c r="O147" s="219">
        <f>IF(O$129&gt;=$E147, IF(O$126&lt;&gt;0, $C147*8*$D147*(_xlfn.XLOOKUP(O$129, Assumptions!$D$76:$O$76, Assumptions!$D$80:$O$80)-9), 0), 0)</f>
        <v>0</v>
      </c>
      <c r="P147" s="219">
        <f>IF(P$129&gt;=$E147, IF(P$126&lt;&gt;0, $C147*8*$D147*(_xlfn.XLOOKUP(P$129, Assumptions!$D$76:$O$76, Assumptions!$D$80:$O$80)-9), 0), 0)</f>
        <v>0</v>
      </c>
      <c r="Q147" s="219">
        <f>IF(Q$129&gt;=$E147, IF(Q$126&lt;&gt;0, $C147*8*$D147*(_xlfn.XLOOKUP(Q$129, Assumptions!$D$76:$O$76, Assumptions!$D$80:$O$80)-9), 0), 0)</f>
        <v>0</v>
      </c>
    </row>
    <row r="148" spans="1:17" ht="15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</row>
    <row r="149" spans="1:17" ht="15" customHeight="1">
      <c r="A149" s="218"/>
      <c r="B149" s="233" t="s">
        <v>436</v>
      </c>
      <c r="C149" s="233"/>
      <c r="D149" s="233"/>
      <c r="E149" s="233"/>
      <c r="F149" s="234">
        <f>SUM(F131:F147)</f>
        <v>280808</v>
      </c>
      <c r="G149" s="234">
        <f t="shared" ref="G149:Q149" si="32">SUM(G131:G147)</f>
        <v>242516</v>
      </c>
      <c r="H149" s="234">
        <f t="shared" si="32"/>
        <v>280808</v>
      </c>
      <c r="I149" s="234">
        <f t="shared" si="32"/>
        <v>268044</v>
      </c>
      <c r="J149" s="234">
        <f t="shared" si="32"/>
        <v>294888</v>
      </c>
      <c r="K149" s="234">
        <f t="shared" si="32"/>
        <v>281484</v>
      </c>
      <c r="L149" s="234">
        <f t="shared" si="32"/>
        <v>294888</v>
      </c>
      <c r="M149" s="234">
        <f t="shared" si="32"/>
        <v>294888</v>
      </c>
      <c r="N149" s="234">
        <f t="shared" si="32"/>
        <v>0</v>
      </c>
      <c r="O149" s="234">
        <f t="shared" si="32"/>
        <v>0</v>
      </c>
      <c r="P149" s="234">
        <f t="shared" si="32"/>
        <v>0</v>
      </c>
      <c r="Q149" s="234">
        <f t="shared" si="32"/>
        <v>0</v>
      </c>
    </row>
    <row r="150" spans="1:17" ht="15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</row>
    <row r="151" spans="1:17" ht="15" customHeight="1">
      <c r="A151" s="218" t="s">
        <v>437</v>
      </c>
      <c r="B151" s="218"/>
      <c r="C151" s="1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</row>
    <row r="152" spans="1:17" ht="15" customHeight="1">
      <c r="A152" s="218"/>
      <c r="B152" s="218" t="s">
        <v>438</v>
      </c>
      <c r="C152" s="1">
        <v>3.4000000000000002E-2</v>
      </c>
      <c r="D152" s="218"/>
      <c r="E152" s="218"/>
      <c r="F152" s="219">
        <f>$C152*F$149</f>
        <v>9547.4720000000016</v>
      </c>
      <c r="G152" s="219">
        <f t="shared" ref="G152:Q154" si="33">$C152*G$149</f>
        <v>8245.5439999999999</v>
      </c>
      <c r="H152" s="219">
        <f t="shared" si="33"/>
        <v>9547.4720000000016</v>
      </c>
      <c r="I152" s="219">
        <f t="shared" si="33"/>
        <v>9113.496000000001</v>
      </c>
      <c r="J152" s="219">
        <f t="shared" si="33"/>
        <v>10026.192000000001</v>
      </c>
      <c r="K152" s="219">
        <f t="shared" si="33"/>
        <v>9570.4560000000001</v>
      </c>
      <c r="L152" s="219">
        <f t="shared" si="33"/>
        <v>10026.192000000001</v>
      </c>
      <c r="M152" s="219">
        <f t="shared" si="33"/>
        <v>10026.192000000001</v>
      </c>
      <c r="N152" s="219">
        <f t="shared" si="33"/>
        <v>0</v>
      </c>
      <c r="O152" s="219">
        <f t="shared" si="33"/>
        <v>0</v>
      </c>
      <c r="P152" s="219">
        <f t="shared" si="33"/>
        <v>0</v>
      </c>
      <c r="Q152" s="219">
        <f t="shared" si="33"/>
        <v>0</v>
      </c>
    </row>
    <row r="153" spans="1:17" ht="15" customHeight="1">
      <c r="A153" s="218"/>
      <c r="B153" s="218" t="s">
        <v>439</v>
      </c>
      <c r="C153" s="1">
        <v>0.05</v>
      </c>
      <c r="D153" s="218"/>
      <c r="E153" s="218"/>
      <c r="F153" s="219">
        <f t="shared" ref="F153:F154" si="34">$C153*F$149</f>
        <v>14040.400000000001</v>
      </c>
      <c r="G153" s="219">
        <f t="shared" si="33"/>
        <v>12125.800000000001</v>
      </c>
      <c r="H153" s="219">
        <f t="shared" si="33"/>
        <v>14040.400000000001</v>
      </c>
      <c r="I153" s="219">
        <f t="shared" si="33"/>
        <v>13402.2</v>
      </c>
      <c r="J153" s="219">
        <f t="shared" si="33"/>
        <v>14744.400000000001</v>
      </c>
      <c r="K153" s="219">
        <f t="shared" si="33"/>
        <v>14074.2</v>
      </c>
      <c r="L153" s="219">
        <f t="shared" si="33"/>
        <v>14744.400000000001</v>
      </c>
      <c r="M153" s="219">
        <f t="shared" si="33"/>
        <v>14744.400000000001</v>
      </c>
      <c r="N153" s="219">
        <f t="shared" si="33"/>
        <v>0</v>
      </c>
      <c r="O153" s="219">
        <f t="shared" si="33"/>
        <v>0</v>
      </c>
      <c r="P153" s="219">
        <f t="shared" si="33"/>
        <v>0</v>
      </c>
      <c r="Q153" s="219">
        <f t="shared" si="33"/>
        <v>0</v>
      </c>
    </row>
    <row r="154" spans="1:17" ht="15" customHeight="1">
      <c r="A154" s="218"/>
      <c r="B154" s="218" t="s">
        <v>440</v>
      </c>
      <c r="C154" s="1">
        <v>0.14000000000000001</v>
      </c>
      <c r="D154" s="218"/>
      <c r="E154" s="218"/>
      <c r="F154" s="219">
        <f t="shared" si="34"/>
        <v>39313.120000000003</v>
      </c>
      <c r="G154" s="219">
        <f t="shared" si="33"/>
        <v>33952.240000000005</v>
      </c>
      <c r="H154" s="219">
        <f t="shared" si="33"/>
        <v>39313.120000000003</v>
      </c>
      <c r="I154" s="219">
        <f t="shared" si="33"/>
        <v>37526.160000000003</v>
      </c>
      <c r="J154" s="219">
        <f t="shared" si="33"/>
        <v>41284.320000000007</v>
      </c>
      <c r="K154" s="219">
        <f t="shared" si="33"/>
        <v>39407.760000000002</v>
      </c>
      <c r="L154" s="219">
        <f t="shared" si="33"/>
        <v>41284.320000000007</v>
      </c>
      <c r="M154" s="219">
        <f t="shared" si="33"/>
        <v>41284.320000000007</v>
      </c>
      <c r="N154" s="219">
        <f t="shared" si="33"/>
        <v>0</v>
      </c>
      <c r="O154" s="219">
        <f t="shared" si="33"/>
        <v>0</v>
      </c>
      <c r="P154" s="219">
        <f t="shared" si="33"/>
        <v>0</v>
      </c>
      <c r="Q154" s="219">
        <f t="shared" si="33"/>
        <v>0</v>
      </c>
    </row>
    <row r="155" spans="1:17" ht="15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</row>
    <row r="156" spans="1:17" ht="15" customHeight="1">
      <c r="A156" s="218"/>
      <c r="B156" s="233" t="s">
        <v>441</v>
      </c>
      <c r="C156" s="233"/>
      <c r="D156" s="233"/>
      <c r="E156" s="233"/>
      <c r="F156" s="234">
        <f>SUM(F152:F154)</f>
        <v>62900.992000000006</v>
      </c>
      <c r="G156" s="234">
        <f t="shared" ref="G156:Q156" si="35">SUM(G152:G154)</f>
        <v>54323.584000000003</v>
      </c>
      <c r="H156" s="234">
        <f t="shared" si="35"/>
        <v>62900.992000000006</v>
      </c>
      <c r="I156" s="234">
        <f t="shared" si="35"/>
        <v>60041.856000000007</v>
      </c>
      <c r="J156" s="234">
        <f t="shared" si="35"/>
        <v>66054.912000000011</v>
      </c>
      <c r="K156" s="234">
        <f t="shared" si="35"/>
        <v>63052.416000000005</v>
      </c>
      <c r="L156" s="234">
        <f t="shared" si="35"/>
        <v>66054.912000000011</v>
      </c>
      <c r="M156" s="234">
        <f t="shared" si="35"/>
        <v>66054.912000000011</v>
      </c>
      <c r="N156" s="234">
        <f t="shared" si="35"/>
        <v>0</v>
      </c>
      <c r="O156" s="234">
        <f t="shared" si="35"/>
        <v>0</v>
      </c>
      <c r="P156" s="234">
        <f t="shared" si="35"/>
        <v>0</v>
      </c>
      <c r="Q156" s="234">
        <f t="shared" si="35"/>
        <v>0</v>
      </c>
    </row>
    <row r="157" spans="1:17" ht="15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</row>
    <row r="158" spans="1:17" ht="15" customHeight="1" thickBot="1">
      <c r="A158" s="218"/>
      <c r="B158" s="220" t="s">
        <v>442</v>
      </c>
      <c r="C158" s="222"/>
      <c r="D158" s="222"/>
      <c r="E158" s="222"/>
      <c r="F158" s="221">
        <f>F156+F149</f>
        <v>343708.99200000003</v>
      </c>
      <c r="G158" s="221">
        <f t="shared" ref="G158:Q158" si="36">G156+G149</f>
        <v>296839.58400000003</v>
      </c>
      <c r="H158" s="221">
        <f t="shared" si="36"/>
        <v>343708.99200000003</v>
      </c>
      <c r="I158" s="221">
        <f t="shared" si="36"/>
        <v>328085.85600000003</v>
      </c>
      <c r="J158" s="221">
        <f t="shared" si="36"/>
        <v>360942.91200000001</v>
      </c>
      <c r="K158" s="221">
        <f t="shared" si="36"/>
        <v>344536.41600000003</v>
      </c>
      <c r="L158" s="221">
        <f t="shared" si="36"/>
        <v>360942.91200000001</v>
      </c>
      <c r="M158" s="221">
        <f t="shared" si="36"/>
        <v>360942.91200000001</v>
      </c>
      <c r="N158" s="221">
        <f t="shared" si="36"/>
        <v>0</v>
      </c>
      <c r="O158" s="221">
        <f t="shared" si="36"/>
        <v>0</v>
      </c>
      <c r="P158" s="221">
        <f t="shared" si="36"/>
        <v>0</v>
      </c>
      <c r="Q158" s="221">
        <f t="shared" si="36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Z43"/>
  <sheetViews>
    <sheetView zoomScaleNormal="100" workbookViewId="0">
      <selection activeCell="C20" sqref="C20"/>
    </sheetView>
  </sheetViews>
  <sheetFormatPr defaultColWidth="12.42578125" defaultRowHeight="15" customHeight="1"/>
  <cols>
    <col min="1" max="1" width="9.140625" style="48" customWidth="1"/>
    <col min="2" max="2" width="52.28515625" style="45" customWidth="1"/>
    <col min="3" max="3" width="25.140625" style="46" bestFit="1" customWidth="1"/>
    <col min="4" max="4" width="14.28515625" style="45" bestFit="1" customWidth="1"/>
    <col min="5" max="5" width="17.140625" style="45" bestFit="1" customWidth="1"/>
    <col min="6" max="13" width="15.140625" style="45" bestFit="1" customWidth="1"/>
    <col min="14" max="14" width="13.42578125" style="45" bestFit="1" customWidth="1"/>
    <col min="15" max="19" width="15.140625" style="45" bestFit="1" customWidth="1"/>
    <col min="20" max="20" width="13.42578125" style="45" bestFit="1" customWidth="1"/>
    <col min="21" max="23" width="15.140625" style="45" bestFit="1" customWidth="1"/>
    <col min="24" max="26" width="13.42578125" style="45" bestFit="1" customWidth="1"/>
    <col min="27" max="16384" width="12.42578125" style="45"/>
  </cols>
  <sheetData>
    <row r="2" spans="1:26" ht="15" customHeight="1">
      <c r="A2" s="10" t="str">
        <f>ModelDescription!A2</f>
        <v>Economic Forecasting Model</v>
      </c>
    </row>
    <row r="3" spans="1:26" ht="15" customHeight="1">
      <c r="A3" s="10" t="str">
        <f>ModelDescription!C4</f>
        <v>Noble, OK 6 Processor Facility - Series A + Series B</v>
      </c>
    </row>
    <row r="5" spans="1:26" ht="15" customHeight="1">
      <c r="A5" s="44" t="s">
        <v>443</v>
      </c>
    </row>
    <row r="6" spans="1:26" ht="15" customHeight="1">
      <c r="A6" s="279">
        <v>1</v>
      </c>
      <c r="B6" s="78" t="s">
        <v>444</v>
      </c>
    </row>
    <row r="7" spans="1:26" ht="15" customHeight="1">
      <c r="A7" s="278">
        <v>2</v>
      </c>
      <c r="B7" s="78" t="s">
        <v>445</v>
      </c>
    </row>
    <row r="8" spans="1:26" ht="15" customHeight="1">
      <c r="A8" s="278">
        <v>3</v>
      </c>
      <c r="B8" s="45" t="s">
        <v>446</v>
      </c>
    </row>
    <row r="9" spans="1:26" ht="15" customHeight="1">
      <c r="A9" s="278">
        <v>4</v>
      </c>
      <c r="B9" s="45" t="s">
        <v>447</v>
      </c>
    </row>
    <row r="10" spans="1:26" ht="15" customHeight="1">
      <c r="A10" s="278">
        <v>5</v>
      </c>
      <c r="B10" s="45" t="s">
        <v>448</v>
      </c>
    </row>
    <row r="11" spans="1:26" ht="15" customHeight="1">
      <c r="A11" s="278">
        <v>6</v>
      </c>
      <c r="B11" s="45" t="s">
        <v>449</v>
      </c>
    </row>
    <row r="12" spans="1:26" ht="15" customHeight="1" thickBot="1">
      <c r="A12" s="278">
        <v>7</v>
      </c>
      <c r="B12" s="45" t="s">
        <v>450</v>
      </c>
      <c r="C12" s="46" t="s">
        <v>25</v>
      </c>
    </row>
    <row r="13" spans="1:26" ht="15" customHeight="1">
      <c r="A13" s="47"/>
      <c r="E13" s="180" t="e">
        <f>_xlfn.XLOOKUP("Series B", Proforma!$F$21:$BM$21, Proforma!$F$5:$BM$5)</f>
        <v>#N/A</v>
      </c>
      <c r="F13" s="181" t="e">
        <f>E13+1</f>
        <v>#N/A</v>
      </c>
      <c r="G13" s="181" t="e">
        <f t="shared" ref="G13:Z13" si="0">F13+1</f>
        <v>#N/A</v>
      </c>
      <c r="H13" s="181" t="e">
        <f t="shared" si="0"/>
        <v>#N/A</v>
      </c>
      <c r="I13" s="181" t="e">
        <f t="shared" si="0"/>
        <v>#N/A</v>
      </c>
      <c r="J13" s="181" t="e">
        <f t="shared" si="0"/>
        <v>#N/A</v>
      </c>
      <c r="K13" s="181" t="e">
        <f t="shared" si="0"/>
        <v>#N/A</v>
      </c>
      <c r="L13" s="181" t="e">
        <f t="shared" si="0"/>
        <v>#N/A</v>
      </c>
      <c r="M13" s="181" t="e">
        <f t="shared" si="0"/>
        <v>#N/A</v>
      </c>
      <c r="N13" s="181" t="e">
        <f t="shared" si="0"/>
        <v>#N/A</v>
      </c>
      <c r="O13" s="181" t="e">
        <f t="shared" si="0"/>
        <v>#N/A</v>
      </c>
      <c r="P13" s="181" t="e">
        <f t="shared" si="0"/>
        <v>#N/A</v>
      </c>
      <c r="Q13" s="181" t="e">
        <f t="shared" si="0"/>
        <v>#N/A</v>
      </c>
      <c r="R13" s="181" t="e">
        <f t="shared" si="0"/>
        <v>#N/A</v>
      </c>
      <c r="S13" s="181" t="e">
        <f t="shared" si="0"/>
        <v>#N/A</v>
      </c>
      <c r="T13" s="181" t="e">
        <f t="shared" si="0"/>
        <v>#N/A</v>
      </c>
      <c r="U13" s="181" t="e">
        <f t="shared" si="0"/>
        <v>#N/A</v>
      </c>
      <c r="V13" s="181" t="e">
        <f t="shared" si="0"/>
        <v>#N/A</v>
      </c>
      <c r="W13" s="181" t="e">
        <f t="shared" si="0"/>
        <v>#N/A</v>
      </c>
      <c r="X13" s="181" t="e">
        <f t="shared" si="0"/>
        <v>#N/A</v>
      </c>
      <c r="Y13" s="181" t="e">
        <f t="shared" si="0"/>
        <v>#N/A</v>
      </c>
      <c r="Z13" s="181" t="e">
        <f t="shared" si="0"/>
        <v>#N/A</v>
      </c>
    </row>
    <row r="14" spans="1:26" ht="15" customHeight="1">
      <c r="A14" s="47"/>
      <c r="D14" s="277"/>
      <c r="E14" s="182" t="e">
        <f>_xlfn.XLOOKUP(E$13, Assumptions!$D$76:$GA$76, Assumptions!$D77:$GA77)</f>
        <v>#N/A</v>
      </c>
      <c r="F14" s="8" t="e">
        <f>_xlfn.XLOOKUP(F$13, Assumptions!$D$76:$GA$76, Assumptions!$D77:$GA77)</f>
        <v>#N/A</v>
      </c>
      <c r="G14" s="8" t="e">
        <f>_xlfn.XLOOKUP(G$13, Assumptions!$D$76:$GA$76, Assumptions!$D77:$GA77)</f>
        <v>#N/A</v>
      </c>
      <c r="H14" s="8" t="e">
        <f>_xlfn.XLOOKUP(H$13, Assumptions!$D$76:$GA$76, Assumptions!$D77:$GA77)</f>
        <v>#N/A</v>
      </c>
      <c r="I14" s="8" t="e">
        <f>_xlfn.XLOOKUP(I$13, Assumptions!$D$76:$GA$76, Assumptions!$D77:$GA77)</f>
        <v>#N/A</v>
      </c>
      <c r="J14" s="8" t="e">
        <f>_xlfn.XLOOKUP(J$13, Assumptions!$D$76:$GA$76, Assumptions!$D77:$GA77)</f>
        <v>#N/A</v>
      </c>
      <c r="K14" s="8" t="e">
        <f>_xlfn.XLOOKUP(K$13, Assumptions!$D$76:$GA$76, Assumptions!$D77:$GA77)</f>
        <v>#N/A</v>
      </c>
      <c r="L14" s="8" t="e">
        <f>_xlfn.XLOOKUP(L$13, Assumptions!$D$76:$GA$76, Assumptions!$D77:$GA77)</f>
        <v>#N/A</v>
      </c>
      <c r="M14" s="8" t="e">
        <f>_xlfn.XLOOKUP(M$13, Assumptions!$D$76:$GA$76, Assumptions!$D77:$GA77)</f>
        <v>#N/A</v>
      </c>
      <c r="N14" s="8" t="e">
        <f>_xlfn.XLOOKUP(N$13, Assumptions!$D$76:$GA$76, Assumptions!$D77:$GA77)</f>
        <v>#N/A</v>
      </c>
      <c r="O14" s="8" t="e">
        <f>_xlfn.XLOOKUP(O$13, Assumptions!$D$76:$GA$76, Assumptions!$D77:$GA77)</f>
        <v>#N/A</v>
      </c>
      <c r="P14" s="8" t="e">
        <f>_xlfn.XLOOKUP(P$13, Assumptions!$D$76:$GA$76, Assumptions!$D77:$GA77)</f>
        <v>#N/A</v>
      </c>
      <c r="Q14" s="8" t="e">
        <f>_xlfn.XLOOKUP(Q$13, Assumptions!$D$76:$GA$76, Assumptions!$D77:$GA77)</f>
        <v>#N/A</v>
      </c>
      <c r="R14" s="8" t="e">
        <f>_xlfn.XLOOKUP(R$13, Assumptions!$D$76:$GA$76, Assumptions!$D77:$GA77)</f>
        <v>#N/A</v>
      </c>
      <c r="S14" s="8" t="e">
        <f>_xlfn.XLOOKUP(S$13, Assumptions!$D$76:$GA$76, Assumptions!$D77:$GA77)</f>
        <v>#N/A</v>
      </c>
      <c r="T14" s="8" t="e">
        <f>_xlfn.XLOOKUP(T$13, Assumptions!$D$76:$GA$76, Assumptions!$D77:$GA77)</f>
        <v>#N/A</v>
      </c>
      <c r="U14" s="8" t="e">
        <f>_xlfn.XLOOKUP(U$13, Assumptions!$D$76:$GA$76, Assumptions!$D77:$GA77)</f>
        <v>#N/A</v>
      </c>
      <c r="V14" s="8" t="e">
        <f>_xlfn.XLOOKUP(V$13, Assumptions!$D$76:$GA$76, Assumptions!$D77:$GA77)</f>
        <v>#N/A</v>
      </c>
      <c r="W14" s="8" t="e">
        <f>_xlfn.XLOOKUP(W$13, Assumptions!$D$76:$GA$76, Assumptions!$D77:$GA77)</f>
        <v>#N/A</v>
      </c>
      <c r="X14" s="8" t="e">
        <f>_xlfn.XLOOKUP(X$13, Assumptions!$D$76:$GA$76, Assumptions!$D77:$GA77)</f>
        <v>#N/A</v>
      </c>
      <c r="Y14" s="8" t="e">
        <f>_xlfn.XLOOKUP(Y$13, Assumptions!$D$76:$GA$76, Assumptions!$D77:$GA77)</f>
        <v>#N/A</v>
      </c>
      <c r="Z14" s="183" t="e">
        <f>_xlfn.XLOOKUP(Z$13, Assumptions!$D$76:$GA$76, Assumptions!$D77:$GA77)</f>
        <v>#N/A</v>
      </c>
    </row>
    <row r="15" spans="1:26" ht="15" customHeight="1" thickBot="1">
      <c r="E15" s="182" t="e">
        <f>_xlfn.XLOOKUP(E$13, Assumptions!$D$76:$GA$76, Assumptions!$D78:$GA78)</f>
        <v>#N/A</v>
      </c>
      <c r="F15" s="8" t="e">
        <f>_xlfn.XLOOKUP(F$13, Assumptions!$D$76:$GA$76, Assumptions!$D78:$GA78)</f>
        <v>#N/A</v>
      </c>
      <c r="G15" s="8" t="e">
        <f>_xlfn.XLOOKUP(G$13, Assumptions!$D$76:$GA$76, Assumptions!$D78:$GA78)</f>
        <v>#N/A</v>
      </c>
      <c r="H15" s="8" t="e">
        <f>_xlfn.XLOOKUP(H$13, Assumptions!$D$76:$GA$76, Assumptions!$D78:$GA78)</f>
        <v>#N/A</v>
      </c>
      <c r="I15" s="8" t="e">
        <f>_xlfn.XLOOKUP(I$13, Assumptions!$D$76:$GA$76, Assumptions!$D78:$GA78)</f>
        <v>#N/A</v>
      </c>
      <c r="J15" s="8" t="e">
        <f>_xlfn.XLOOKUP(J$13, Assumptions!$D$76:$GA$76, Assumptions!$D78:$GA78)</f>
        <v>#N/A</v>
      </c>
      <c r="K15" s="8" t="e">
        <f>_xlfn.XLOOKUP(K$13, Assumptions!$D$76:$GA$76, Assumptions!$D78:$GA78)</f>
        <v>#N/A</v>
      </c>
      <c r="L15" s="8" t="e">
        <f>_xlfn.XLOOKUP(L$13, Assumptions!$D$76:$GA$76, Assumptions!$D78:$GA78)</f>
        <v>#N/A</v>
      </c>
      <c r="M15" s="8" t="e">
        <f>_xlfn.XLOOKUP(M$13, Assumptions!$D$76:$GA$76, Assumptions!$D78:$GA78)</f>
        <v>#N/A</v>
      </c>
      <c r="N15" s="8" t="e">
        <f>_xlfn.XLOOKUP(N$13, Assumptions!$D$76:$GA$76, Assumptions!$D78:$GA78)</f>
        <v>#N/A</v>
      </c>
      <c r="O15" s="8" t="e">
        <f>_xlfn.XLOOKUP(O$13, Assumptions!$D$76:$GA$76, Assumptions!$D78:$GA78)</f>
        <v>#N/A</v>
      </c>
      <c r="P15" s="8" t="e">
        <f>_xlfn.XLOOKUP(P$13, Assumptions!$D$76:$GA$76, Assumptions!$D78:$GA78)</f>
        <v>#N/A</v>
      </c>
      <c r="Q15" s="8" t="e">
        <f>_xlfn.XLOOKUP(Q$13, Assumptions!$D$76:$GA$76, Assumptions!$D78:$GA78)</f>
        <v>#N/A</v>
      </c>
      <c r="R15" s="8" t="e">
        <f>_xlfn.XLOOKUP(R$13, Assumptions!$D$76:$GA$76, Assumptions!$D78:$GA78)</f>
        <v>#N/A</v>
      </c>
      <c r="S15" s="8" t="e">
        <f>_xlfn.XLOOKUP(S$13, Assumptions!$D$76:$GA$76, Assumptions!$D78:$GA78)</f>
        <v>#N/A</v>
      </c>
      <c r="T15" s="8" t="e">
        <f>_xlfn.XLOOKUP(T$13, Assumptions!$D$76:$GA$76, Assumptions!$D78:$GA78)</f>
        <v>#N/A</v>
      </c>
      <c r="U15" s="8" t="e">
        <f>_xlfn.XLOOKUP(U$13, Assumptions!$D$76:$GA$76, Assumptions!$D78:$GA78)</f>
        <v>#N/A</v>
      </c>
      <c r="V15" s="8" t="e">
        <f>_xlfn.XLOOKUP(V$13, Assumptions!$D$76:$GA$76, Assumptions!$D78:$GA78)</f>
        <v>#N/A</v>
      </c>
      <c r="W15" s="8" t="e">
        <f>_xlfn.XLOOKUP(W$13, Assumptions!$D$76:$GA$76, Assumptions!$D78:$GA78)</f>
        <v>#N/A</v>
      </c>
      <c r="X15" s="8" t="e">
        <f>_xlfn.XLOOKUP(X$13, Assumptions!$D$76:$GA$76, Assumptions!$D78:$GA78)</f>
        <v>#N/A</v>
      </c>
      <c r="Y15" s="8" t="e">
        <f>_xlfn.XLOOKUP(Y$13, Assumptions!$D$76:$GA$76, Assumptions!$D78:$GA78)</f>
        <v>#N/A</v>
      </c>
      <c r="Z15" s="183" t="e">
        <f>_xlfn.XLOOKUP(Z$13, Assumptions!$D$76:$GA$76, Assumptions!$D78:$GA78)</f>
        <v>#N/A</v>
      </c>
    </row>
    <row r="16" spans="1:26" ht="15" customHeight="1" thickBot="1">
      <c r="A16" s="49"/>
      <c r="B16" s="50" t="s">
        <v>451</v>
      </c>
      <c r="C16" s="51"/>
      <c r="D16" s="125"/>
      <c r="E16" s="184" t="e">
        <f>_xlfn.XLOOKUP(E$13, Assumptions!$D$76:$GA$76, Assumptions!$D80:$GA80)</f>
        <v>#N/A</v>
      </c>
      <c r="F16" s="185" t="e">
        <f>_xlfn.XLOOKUP(F$13, Assumptions!$D$76:$GA$76, Assumptions!$D80:$GA80)</f>
        <v>#N/A</v>
      </c>
      <c r="G16" s="185" t="e">
        <f>_xlfn.XLOOKUP(G$13, Assumptions!$D$76:$GA$76, Assumptions!$D80:$GA80)</f>
        <v>#N/A</v>
      </c>
      <c r="H16" s="185" t="e">
        <f>_xlfn.XLOOKUP(H$13, Assumptions!$D$76:$GA$76, Assumptions!$D80:$GA80)</f>
        <v>#N/A</v>
      </c>
      <c r="I16" s="185" t="e">
        <f>_xlfn.XLOOKUP(I$13, Assumptions!$D$76:$GA$76, Assumptions!$D80:$GA80)</f>
        <v>#N/A</v>
      </c>
      <c r="J16" s="185" t="e">
        <f>_xlfn.XLOOKUP(J$13, Assumptions!$D$76:$GA$76, Assumptions!$D80:$GA80)</f>
        <v>#N/A</v>
      </c>
      <c r="K16" s="185" t="e">
        <f>_xlfn.XLOOKUP(K$13, Assumptions!$D$76:$GA$76, Assumptions!$D80:$GA80)</f>
        <v>#N/A</v>
      </c>
      <c r="L16" s="185" t="e">
        <f>_xlfn.XLOOKUP(L$13, Assumptions!$D$76:$GA$76, Assumptions!$D80:$GA80)</f>
        <v>#N/A</v>
      </c>
      <c r="M16" s="185" t="e">
        <f>_xlfn.XLOOKUP(M$13, Assumptions!$D$76:$GA$76, Assumptions!$D80:$GA80)</f>
        <v>#N/A</v>
      </c>
      <c r="N16" s="185" t="e">
        <f>_xlfn.XLOOKUP(N$13, Assumptions!$D$76:$GA$76, Assumptions!$D80:$GA80)</f>
        <v>#N/A</v>
      </c>
      <c r="O16" s="185" t="e">
        <f>_xlfn.XLOOKUP(O$13, Assumptions!$D$76:$GA$76, Assumptions!$D80:$GA80)</f>
        <v>#N/A</v>
      </c>
      <c r="P16" s="185" t="e">
        <f>_xlfn.XLOOKUP(P$13, Assumptions!$D$76:$GA$76, Assumptions!$D80:$GA80)</f>
        <v>#N/A</v>
      </c>
      <c r="Q16" s="185" t="e">
        <f>_xlfn.XLOOKUP(Q$13, Assumptions!$D$76:$GA$76, Assumptions!$D80:$GA80)</f>
        <v>#N/A</v>
      </c>
      <c r="R16" s="185" t="e">
        <f>_xlfn.XLOOKUP(R$13, Assumptions!$D$76:$GA$76, Assumptions!$D80:$GA80)</f>
        <v>#N/A</v>
      </c>
      <c r="S16" s="185" t="e">
        <f>_xlfn.XLOOKUP(S$13, Assumptions!$D$76:$GA$76, Assumptions!$D80:$GA80)</f>
        <v>#N/A</v>
      </c>
      <c r="T16" s="185" t="e">
        <f>_xlfn.XLOOKUP(T$13, Assumptions!$D$76:$GA$76, Assumptions!$D80:$GA80)</f>
        <v>#N/A</v>
      </c>
      <c r="U16" s="185" t="e">
        <f>_xlfn.XLOOKUP(U$13, Assumptions!$D$76:$GA$76, Assumptions!$D80:$GA80)</f>
        <v>#N/A</v>
      </c>
      <c r="V16" s="185" t="e">
        <f>_xlfn.XLOOKUP(V$13, Assumptions!$D$76:$GA$76, Assumptions!$D80:$GA80)</f>
        <v>#N/A</v>
      </c>
      <c r="W16" s="185" t="e">
        <f>_xlfn.XLOOKUP(W$13, Assumptions!$D$76:$GA$76, Assumptions!$D80:$GA80)</f>
        <v>#N/A</v>
      </c>
      <c r="X16" s="185" t="e">
        <f>_xlfn.XLOOKUP(X$13, Assumptions!$D$76:$GA$76, Assumptions!$D80:$GA80)</f>
        <v>#N/A</v>
      </c>
      <c r="Y16" s="185" t="e">
        <f>_xlfn.XLOOKUP(Y$13, Assumptions!$D$76:$GA$76, Assumptions!$D80:$GA80)</f>
        <v>#N/A</v>
      </c>
      <c r="Z16" s="186" t="e">
        <f>_xlfn.XLOOKUP(Z$13, Assumptions!$D$76:$GA$76, Assumptions!$D80:$GA80)</f>
        <v>#N/A</v>
      </c>
    </row>
    <row r="17" spans="1:26" ht="15" customHeight="1">
      <c r="A17" s="52" t="s">
        <v>452</v>
      </c>
      <c r="B17" t="s">
        <v>453</v>
      </c>
      <c r="C17" s="53">
        <f>SUM(E17:Z17)</f>
        <v>1975000</v>
      </c>
      <c r="D17" s="141"/>
      <c r="E17" s="240">
        <v>250000</v>
      </c>
      <c r="F17" s="22">
        <v>250000</v>
      </c>
      <c r="G17" s="22">
        <v>300000</v>
      </c>
      <c r="H17" s="22">
        <v>350000</v>
      </c>
      <c r="I17" s="22">
        <v>250000</v>
      </c>
      <c r="J17" s="22">
        <v>275000</v>
      </c>
      <c r="K17" s="22">
        <v>150000</v>
      </c>
      <c r="L17" s="22">
        <v>150000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241"/>
    </row>
    <row r="18" spans="1:26" ht="15" customHeight="1">
      <c r="A18" s="54" t="s">
        <v>454</v>
      </c>
      <c r="B18" t="s">
        <v>455</v>
      </c>
      <c r="C18" s="56">
        <f t="shared" ref="C18:C36" si="1">SUM(E18:Z18)</f>
        <v>608510</v>
      </c>
      <c r="D18" s="140"/>
      <c r="E18" s="240"/>
      <c r="F18" s="22"/>
      <c r="G18" s="22">
        <v>100000</v>
      </c>
      <c r="H18" s="22">
        <v>100000</v>
      </c>
      <c r="I18" s="22">
        <v>83510</v>
      </c>
      <c r="J18" s="22">
        <v>175000</v>
      </c>
      <c r="K18" s="22">
        <v>150000</v>
      </c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241"/>
    </row>
    <row r="19" spans="1:26" ht="15" customHeight="1">
      <c r="A19" s="54" t="s">
        <v>456</v>
      </c>
      <c r="B19" t="s">
        <v>457</v>
      </c>
      <c r="C19" s="56">
        <f t="shared" si="1"/>
        <v>1250000</v>
      </c>
      <c r="D19" s="140"/>
      <c r="E19" s="242"/>
      <c r="F19" s="32"/>
      <c r="G19" s="22">
        <v>250000</v>
      </c>
      <c r="H19" s="3">
        <v>150000</v>
      </c>
      <c r="I19" s="243">
        <v>275000</v>
      </c>
      <c r="J19" s="3">
        <v>150000</v>
      </c>
      <c r="K19" s="3">
        <v>175000</v>
      </c>
      <c r="L19" s="3">
        <v>250000</v>
      </c>
      <c r="M19" s="22"/>
      <c r="N19" s="22"/>
      <c r="O19" s="22"/>
      <c r="P19" s="22"/>
      <c r="Q19" s="22"/>
      <c r="R19" s="22"/>
      <c r="S19" s="22"/>
      <c r="T19" s="22"/>
      <c r="U19" s="3"/>
      <c r="V19" s="3"/>
      <c r="W19" s="3"/>
      <c r="X19" s="3"/>
      <c r="Y19" s="3"/>
      <c r="Z19" s="241"/>
    </row>
    <row r="20" spans="1:26" ht="15" customHeight="1">
      <c r="A20" s="54" t="s">
        <v>458</v>
      </c>
      <c r="B20" t="s">
        <v>459</v>
      </c>
      <c r="C20" s="56">
        <f t="shared" si="1"/>
        <v>1908000</v>
      </c>
      <c r="D20" s="140"/>
      <c r="E20" s="240"/>
      <c r="F20" s="22"/>
      <c r="G20" s="22"/>
      <c r="H20" s="22">
        <v>100000</v>
      </c>
      <c r="I20" s="22">
        <v>100000</v>
      </c>
      <c r="J20" s="22">
        <v>150000</v>
      </c>
      <c r="K20" s="22">
        <v>250000</v>
      </c>
      <c r="L20" s="22">
        <v>300000</v>
      </c>
      <c r="M20" s="22">
        <v>250000</v>
      </c>
      <c r="N20" s="22">
        <v>250000</v>
      </c>
      <c r="O20" s="22">
        <v>208000</v>
      </c>
      <c r="P20" s="22">
        <v>200000</v>
      </c>
      <c r="Q20" s="22">
        <v>100000</v>
      </c>
      <c r="R20" s="3"/>
      <c r="S20" s="3"/>
      <c r="T20" s="3"/>
      <c r="U20" s="3"/>
      <c r="V20" s="3"/>
      <c r="W20" s="3"/>
      <c r="X20" s="3"/>
      <c r="Y20" s="3"/>
      <c r="Z20" s="241"/>
    </row>
    <row r="21" spans="1:26" ht="15" customHeight="1">
      <c r="A21" s="54" t="s">
        <v>460</v>
      </c>
      <c r="B21" t="s">
        <v>374</v>
      </c>
      <c r="C21" s="56">
        <f t="shared" si="1"/>
        <v>4708000</v>
      </c>
      <c r="D21" s="140"/>
      <c r="E21" s="240"/>
      <c r="F21" s="22">
        <v>450000</v>
      </c>
      <c r="G21" s="22">
        <v>350000</v>
      </c>
      <c r="H21" s="22">
        <v>300000</v>
      </c>
      <c r="I21" s="22">
        <v>250000</v>
      </c>
      <c r="J21" s="22">
        <v>250000</v>
      </c>
      <c r="K21" s="22">
        <v>208000</v>
      </c>
      <c r="L21" s="22">
        <v>200000</v>
      </c>
      <c r="M21" s="22">
        <v>350000</v>
      </c>
      <c r="N21" s="22">
        <v>250000</v>
      </c>
      <c r="O21" s="22">
        <v>175000</v>
      </c>
      <c r="P21" s="22">
        <v>200000</v>
      </c>
      <c r="Q21" s="22">
        <v>300000</v>
      </c>
      <c r="R21" s="22">
        <v>300000</v>
      </c>
      <c r="S21" s="22">
        <v>200000</v>
      </c>
      <c r="T21" s="22">
        <v>200000</v>
      </c>
      <c r="U21" s="3">
        <v>150000</v>
      </c>
      <c r="V21" s="3">
        <v>100000</v>
      </c>
      <c r="W21" s="3">
        <v>100000</v>
      </c>
      <c r="X21" s="3">
        <v>125000</v>
      </c>
      <c r="Y21" s="3">
        <v>100000</v>
      </c>
      <c r="Z21" s="241">
        <v>150000</v>
      </c>
    </row>
    <row r="22" spans="1:26" ht="15" customHeight="1">
      <c r="A22" s="54" t="s">
        <v>461</v>
      </c>
      <c r="B22" t="s">
        <v>462</v>
      </c>
      <c r="C22" s="56">
        <f t="shared" si="1"/>
        <v>975000</v>
      </c>
      <c r="D22" s="140"/>
      <c r="E22" s="240"/>
      <c r="F22" s="22">
        <v>250000</v>
      </c>
      <c r="G22" s="22">
        <v>250000</v>
      </c>
      <c r="H22" s="22">
        <v>150000</v>
      </c>
      <c r="I22" s="22">
        <v>100000</v>
      </c>
      <c r="J22" s="22">
        <v>75000</v>
      </c>
      <c r="K22" s="22">
        <v>50000</v>
      </c>
      <c r="L22" s="22">
        <v>50000</v>
      </c>
      <c r="M22" s="22">
        <v>50000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241"/>
    </row>
    <row r="23" spans="1:26" ht="15" customHeight="1">
      <c r="A23" s="54" t="s">
        <v>463</v>
      </c>
      <c r="B23" t="s">
        <v>376</v>
      </c>
      <c r="C23" s="56">
        <f t="shared" si="1"/>
        <v>3150000</v>
      </c>
      <c r="D23" s="140"/>
      <c r="E23" s="240"/>
      <c r="F23" s="22">
        <v>450000</v>
      </c>
      <c r="G23" s="22"/>
      <c r="H23" s="22"/>
      <c r="I23" s="22">
        <v>450000</v>
      </c>
      <c r="J23" s="22"/>
      <c r="K23" s="22"/>
      <c r="L23" s="22">
        <v>450000</v>
      </c>
      <c r="M23" s="22"/>
      <c r="N23" s="3"/>
      <c r="O23" s="22">
        <v>450000</v>
      </c>
      <c r="P23" s="3"/>
      <c r="Q23" s="3"/>
      <c r="R23" s="3">
        <v>450000</v>
      </c>
      <c r="S23" s="3"/>
      <c r="T23" s="3"/>
      <c r="U23" s="3">
        <v>450000</v>
      </c>
      <c r="V23" s="3"/>
      <c r="W23" s="3">
        <v>450000</v>
      </c>
      <c r="X23" s="3"/>
      <c r="Y23" s="3"/>
      <c r="Z23" s="241"/>
    </row>
    <row r="24" spans="1:26" ht="15" customHeight="1">
      <c r="A24" s="54" t="s">
        <v>464</v>
      </c>
      <c r="B24" t="s">
        <v>465</v>
      </c>
      <c r="C24" s="56">
        <f t="shared" si="1"/>
        <v>5900000</v>
      </c>
      <c r="D24" s="140"/>
      <c r="E24" s="242"/>
      <c r="F24" s="32">
        <v>950000</v>
      </c>
      <c r="G24" s="32">
        <v>150000</v>
      </c>
      <c r="H24" s="32">
        <v>550000</v>
      </c>
      <c r="I24" s="32">
        <v>550000</v>
      </c>
      <c r="J24" s="32">
        <v>150000</v>
      </c>
      <c r="K24" s="22">
        <v>150000</v>
      </c>
      <c r="L24" s="22">
        <v>500000</v>
      </c>
      <c r="M24" s="22">
        <v>175000</v>
      </c>
      <c r="N24" s="22">
        <v>150000</v>
      </c>
      <c r="O24" s="22">
        <v>450000</v>
      </c>
      <c r="P24" s="22">
        <v>250000</v>
      </c>
      <c r="Q24" s="22">
        <v>150000</v>
      </c>
      <c r="R24" s="22">
        <v>175000</v>
      </c>
      <c r="S24" s="22">
        <v>450000</v>
      </c>
      <c r="T24" s="22">
        <v>175000</v>
      </c>
      <c r="U24" s="3">
        <v>300000</v>
      </c>
      <c r="V24" s="3">
        <v>175000</v>
      </c>
      <c r="W24" s="3">
        <v>450000</v>
      </c>
      <c r="X24" s="3"/>
      <c r="Y24" s="3"/>
      <c r="Z24" s="241"/>
    </row>
    <row r="25" spans="1:26" ht="15" customHeight="1">
      <c r="A25" s="54" t="s">
        <v>466</v>
      </c>
      <c r="B25" t="s">
        <v>378</v>
      </c>
      <c r="C25" s="56">
        <f t="shared" si="1"/>
        <v>300000</v>
      </c>
      <c r="D25" s="140"/>
      <c r="E25" s="242"/>
      <c r="F25" s="32"/>
      <c r="G25" s="32"/>
      <c r="H25" s="32"/>
      <c r="I25" s="32"/>
      <c r="J25" s="32"/>
      <c r="K25" s="22"/>
      <c r="L25" s="22"/>
      <c r="M25" s="3"/>
      <c r="N25" s="3"/>
      <c r="O25" s="3"/>
      <c r="P25" s="3"/>
      <c r="Q25" s="3"/>
      <c r="R25" s="3"/>
      <c r="S25" s="3"/>
      <c r="T25" s="3"/>
      <c r="U25" s="3"/>
      <c r="V25" s="3"/>
      <c r="W25" s="3">
        <v>150000</v>
      </c>
      <c r="X25" s="3"/>
      <c r="Y25" s="3"/>
      <c r="Z25" s="241">
        <v>150000</v>
      </c>
    </row>
    <row r="26" spans="1:26" ht="15" customHeight="1">
      <c r="A26" s="54" t="s">
        <v>467</v>
      </c>
      <c r="B26" t="s">
        <v>468</v>
      </c>
      <c r="C26" s="56">
        <f t="shared" si="1"/>
        <v>6500000</v>
      </c>
      <c r="D26" s="140"/>
      <c r="E26" s="242"/>
      <c r="F26" s="32">
        <v>3250000</v>
      </c>
      <c r="G26" s="32">
        <v>150000</v>
      </c>
      <c r="H26" s="32">
        <v>250000</v>
      </c>
      <c r="I26" s="32">
        <v>75000</v>
      </c>
      <c r="J26" s="32">
        <v>100000</v>
      </c>
      <c r="K26" s="22">
        <v>50000</v>
      </c>
      <c r="L26" s="22">
        <v>550000</v>
      </c>
      <c r="M26" s="22">
        <v>50000</v>
      </c>
      <c r="N26" s="22">
        <v>75000</v>
      </c>
      <c r="O26" s="22">
        <v>350000</v>
      </c>
      <c r="P26" s="22">
        <v>150000</v>
      </c>
      <c r="Q26" s="22">
        <v>250000</v>
      </c>
      <c r="R26" s="22">
        <v>350000</v>
      </c>
      <c r="S26" s="22">
        <v>100000</v>
      </c>
      <c r="T26" s="22">
        <v>50000</v>
      </c>
      <c r="U26" s="3">
        <v>100000</v>
      </c>
      <c r="V26" s="3">
        <v>200000</v>
      </c>
      <c r="W26" s="3">
        <v>150000</v>
      </c>
      <c r="X26" s="3">
        <v>100000</v>
      </c>
      <c r="Y26" s="3">
        <v>150000</v>
      </c>
      <c r="Z26" s="241"/>
    </row>
    <row r="27" spans="1:26" ht="15" customHeight="1">
      <c r="A27" s="54" t="s">
        <v>469</v>
      </c>
      <c r="B27" t="s">
        <v>380</v>
      </c>
      <c r="C27" s="56">
        <f t="shared" si="1"/>
        <v>2345000</v>
      </c>
      <c r="D27" s="140"/>
      <c r="E27" s="240"/>
      <c r="F27" s="22">
        <v>350000</v>
      </c>
      <c r="G27" s="22">
        <v>30000</v>
      </c>
      <c r="H27" s="22">
        <v>25000</v>
      </c>
      <c r="I27" s="22">
        <v>15000</v>
      </c>
      <c r="J27" s="22">
        <v>350000</v>
      </c>
      <c r="K27" s="22">
        <v>30000</v>
      </c>
      <c r="L27" s="22">
        <v>25000</v>
      </c>
      <c r="M27" s="22">
        <v>350000</v>
      </c>
      <c r="N27" s="22">
        <v>30000</v>
      </c>
      <c r="O27" s="22">
        <v>25000</v>
      </c>
      <c r="P27" s="3">
        <v>350000</v>
      </c>
      <c r="Q27" s="22">
        <v>30000</v>
      </c>
      <c r="R27" s="22">
        <v>25000</v>
      </c>
      <c r="S27" s="3">
        <v>250000</v>
      </c>
      <c r="T27" s="22">
        <v>30000</v>
      </c>
      <c r="U27" s="3">
        <v>25000</v>
      </c>
      <c r="V27" s="3">
        <v>350000</v>
      </c>
      <c r="W27" s="3">
        <v>30000</v>
      </c>
      <c r="X27" s="3">
        <v>25000</v>
      </c>
      <c r="Y27" s="3"/>
      <c r="Z27" s="241"/>
    </row>
    <row r="28" spans="1:26" ht="15" customHeight="1">
      <c r="A28" s="54" t="s">
        <v>470</v>
      </c>
      <c r="B28" t="s">
        <v>381</v>
      </c>
      <c r="C28" s="56">
        <f t="shared" si="1"/>
        <v>750000</v>
      </c>
      <c r="D28" s="140"/>
      <c r="E28" s="240"/>
      <c r="F28" s="22"/>
      <c r="G28" s="22">
        <v>250000</v>
      </c>
      <c r="H28" s="22"/>
      <c r="I28" s="22"/>
      <c r="J28" s="22"/>
      <c r="K28" s="22">
        <v>250000</v>
      </c>
      <c r="L28" s="22"/>
      <c r="M28" s="3"/>
      <c r="N28" s="3"/>
      <c r="O28" s="22">
        <v>250000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241"/>
    </row>
    <row r="29" spans="1:26" ht="15" customHeight="1">
      <c r="A29" s="54" t="s">
        <v>471</v>
      </c>
      <c r="B29" t="s">
        <v>472</v>
      </c>
      <c r="C29" s="56">
        <f t="shared" si="1"/>
        <v>1480000</v>
      </c>
      <c r="D29" s="140"/>
      <c r="E29" s="240"/>
      <c r="F29" s="22"/>
      <c r="G29" s="22"/>
      <c r="H29" s="22">
        <v>675000</v>
      </c>
      <c r="I29" s="22">
        <v>65000</v>
      </c>
      <c r="J29" s="22"/>
      <c r="K29" s="22"/>
      <c r="L29" s="22"/>
      <c r="M29" s="3"/>
      <c r="N29" s="3"/>
      <c r="O29" s="3"/>
      <c r="P29" s="3"/>
      <c r="Q29" s="3"/>
      <c r="R29" s="3"/>
      <c r="S29" s="3">
        <v>675000</v>
      </c>
      <c r="T29" s="3">
        <v>65000</v>
      </c>
      <c r="U29" s="3"/>
      <c r="V29" s="3"/>
      <c r="W29" s="3"/>
      <c r="X29" s="3"/>
      <c r="Y29" s="3"/>
      <c r="Z29" s="241"/>
    </row>
    <row r="30" spans="1:26" ht="15" customHeight="1">
      <c r="A30" s="54" t="s">
        <v>473</v>
      </c>
      <c r="B30" t="s">
        <v>474</v>
      </c>
      <c r="C30" s="56">
        <f t="shared" si="1"/>
        <v>1200000</v>
      </c>
      <c r="D30" s="140"/>
      <c r="E30" s="240"/>
      <c r="F30" s="22"/>
      <c r="G30" s="22">
        <v>600000</v>
      </c>
      <c r="H30" s="22"/>
      <c r="I30" s="22"/>
      <c r="J30" s="22"/>
      <c r="K30" s="22"/>
      <c r="L30" s="22"/>
      <c r="M30" s="3"/>
      <c r="N30" s="3"/>
      <c r="O30" s="3"/>
      <c r="P30" s="3"/>
      <c r="Q30" s="3"/>
      <c r="R30" s="3">
        <v>600000</v>
      </c>
      <c r="S30" s="3"/>
      <c r="T30" s="3"/>
      <c r="U30" s="3"/>
      <c r="V30" s="3"/>
      <c r="W30" s="3"/>
      <c r="X30" s="3"/>
      <c r="Y30" s="3"/>
      <c r="Z30" s="241"/>
    </row>
    <row r="31" spans="1:26" ht="15" customHeight="1">
      <c r="A31" s="54" t="s">
        <v>475</v>
      </c>
      <c r="B31" t="s">
        <v>382</v>
      </c>
      <c r="C31" s="56">
        <f t="shared" si="1"/>
        <v>800000</v>
      </c>
      <c r="D31" s="140"/>
      <c r="E31" s="240"/>
      <c r="F31" s="22"/>
      <c r="G31" s="22">
        <v>350000</v>
      </c>
      <c r="H31" s="22"/>
      <c r="I31" s="22"/>
      <c r="J31" s="22"/>
      <c r="K31" s="22"/>
      <c r="L31" s="22"/>
      <c r="M31" s="3"/>
      <c r="N31" s="3"/>
      <c r="O31" s="3"/>
      <c r="P31" s="3"/>
      <c r="Q31" s="3">
        <v>350000</v>
      </c>
      <c r="R31" s="3"/>
      <c r="S31" s="3"/>
      <c r="T31" s="3"/>
      <c r="U31" s="3"/>
      <c r="V31" s="3">
        <v>100000</v>
      </c>
      <c r="W31" s="3"/>
      <c r="X31" s="3"/>
      <c r="Y31" s="3"/>
      <c r="Z31" s="241"/>
    </row>
    <row r="32" spans="1:26" ht="15" customHeight="1">
      <c r="A32" s="54" t="s">
        <v>476</v>
      </c>
      <c r="B32" t="s">
        <v>477</v>
      </c>
      <c r="C32" s="56">
        <f t="shared" si="1"/>
        <v>250000</v>
      </c>
      <c r="D32" s="140"/>
      <c r="E32" s="240"/>
      <c r="F32" s="22">
        <v>250000</v>
      </c>
      <c r="G32" s="22"/>
      <c r="H32" s="22"/>
      <c r="I32" s="22"/>
      <c r="J32" s="22"/>
      <c r="K32" s="22"/>
      <c r="L32" s="22"/>
      <c r="M32" s="2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241"/>
    </row>
    <row r="33" spans="1:26" ht="15" customHeight="1">
      <c r="A33" s="54"/>
      <c r="B33" t="s">
        <v>478</v>
      </c>
      <c r="C33" s="56">
        <f t="shared" si="1"/>
        <v>2050000</v>
      </c>
      <c r="D33" s="140"/>
      <c r="E33" s="240"/>
      <c r="F33" s="22">
        <v>1800000</v>
      </c>
      <c r="G33" s="22"/>
      <c r="H33" s="22"/>
      <c r="I33" s="22"/>
      <c r="J33" s="22"/>
      <c r="K33" s="22"/>
      <c r="L33" s="22"/>
      <c r="M33" s="22">
        <v>250000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241"/>
    </row>
    <row r="34" spans="1:26" ht="15" customHeight="1">
      <c r="A34" s="54"/>
      <c r="B34" t="s">
        <v>479</v>
      </c>
      <c r="C34" s="56">
        <f t="shared" si="1"/>
        <v>2100000</v>
      </c>
      <c r="D34" s="140"/>
      <c r="E34" s="240"/>
      <c r="F34" s="22"/>
      <c r="G34" s="22">
        <v>350000</v>
      </c>
      <c r="H34" s="22"/>
      <c r="I34" s="22">
        <v>400000</v>
      </c>
      <c r="J34" s="22"/>
      <c r="K34" s="22">
        <v>450000</v>
      </c>
      <c r="L34" s="22"/>
      <c r="M34" s="22"/>
      <c r="N34" s="22"/>
      <c r="O34" s="22"/>
      <c r="P34" s="22"/>
      <c r="Q34" s="22">
        <v>450000</v>
      </c>
      <c r="R34" s="22"/>
      <c r="S34" s="22"/>
      <c r="T34" s="22"/>
      <c r="U34" s="22"/>
      <c r="V34" s="32">
        <v>450000</v>
      </c>
      <c r="W34" s="22"/>
      <c r="X34" s="22"/>
      <c r="Y34" s="22"/>
      <c r="Z34" s="244"/>
    </row>
    <row r="35" spans="1:26" ht="15" customHeight="1">
      <c r="A35" s="54"/>
      <c r="B35" t="s">
        <v>480</v>
      </c>
      <c r="C35" s="56">
        <f t="shared" si="1"/>
        <v>120000</v>
      </c>
      <c r="D35" s="140"/>
      <c r="E35" s="240">
        <v>65000</v>
      </c>
      <c r="F35" s="22"/>
      <c r="G35" s="22">
        <v>35000</v>
      </c>
      <c r="H35" s="22"/>
      <c r="I35" s="22">
        <v>20000</v>
      </c>
      <c r="J35" s="22"/>
      <c r="K35" s="22"/>
      <c r="L35" s="2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241"/>
    </row>
    <row r="36" spans="1:26" ht="15" customHeight="1">
      <c r="A36" s="54"/>
      <c r="B36" t="s">
        <v>481</v>
      </c>
      <c r="C36" s="56">
        <f t="shared" si="1"/>
        <v>65000</v>
      </c>
      <c r="D36" s="140"/>
      <c r="E36" s="240">
        <v>65000</v>
      </c>
      <c r="F36" s="22"/>
      <c r="G36" s="22"/>
      <c r="H36" s="22"/>
      <c r="I36" s="22"/>
      <c r="J36" s="22"/>
      <c r="K36" s="22"/>
      <c r="L36" s="2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241"/>
    </row>
    <row r="37" spans="1:26" ht="15" customHeight="1">
      <c r="A37" s="54"/>
      <c r="B37" s="55"/>
      <c r="C37" s="56"/>
      <c r="D37" s="140"/>
      <c r="E37" s="126"/>
      <c r="F37" s="95"/>
      <c r="G37" s="95"/>
      <c r="H37" s="95"/>
      <c r="I37" s="95"/>
      <c r="J37" s="95"/>
      <c r="K37" s="95"/>
      <c r="L37" s="95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39"/>
    </row>
    <row r="38" spans="1:26" ht="15" customHeight="1">
      <c r="A38" s="54"/>
      <c r="B38" s="55"/>
      <c r="C38" s="56"/>
      <c r="D38" s="140"/>
      <c r="E38" s="126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101"/>
      <c r="W38" s="95"/>
      <c r="X38" s="95"/>
      <c r="Y38" s="95"/>
      <c r="Z38" s="127"/>
    </row>
    <row r="39" spans="1:26" ht="15" customHeight="1">
      <c r="A39" s="54"/>
      <c r="B39" s="55"/>
      <c r="C39" s="57"/>
      <c r="D39" s="142"/>
      <c r="E39" s="128"/>
      <c r="Z39" s="129"/>
    </row>
    <row r="40" spans="1:26" ht="15" customHeight="1">
      <c r="A40" s="54"/>
      <c r="B40" s="58" t="s">
        <v>482</v>
      </c>
      <c r="C40" s="56">
        <f>SUM(C17:C36)</f>
        <v>38434510</v>
      </c>
      <c r="D40" s="140"/>
      <c r="E40" s="130">
        <f>SUM(E17:E36)</f>
        <v>380000</v>
      </c>
      <c r="F40" s="131">
        <f t="shared" ref="F40:Z40" si="2">SUM(F17:F36)</f>
        <v>8000000</v>
      </c>
      <c r="G40" s="131">
        <f t="shared" si="2"/>
        <v>3165000</v>
      </c>
      <c r="H40" s="131">
        <f t="shared" si="2"/>
        <v>2650000</v>
      </c>
      <c r="I40" s="131">
        <f t="shared" si="2"/>
        <v>2633510</v>
      </c>
      <c r="J40" s="131">
        <f t="shared" si="2"/>
        <v>1675000</v>
      </c>
      <c r="K40" s="131">
        <f t="shared" si="2"/>
        <v>1913000</v>
      </c>
      <c r="L40" s="131">
        <f t="shared" si="2"/>
        <v>2475000</v>
      </c>
      <c r="M40" s="131">
        <f t="shared" si="2"/>
        <v>1475000</v>
      </c>
      <c r="N40" s="131">
        <f t="shared" si="2"/>
        <v>755000</v>
      </c>
      <c r="O40" s="131">
        <f t="shared" si="2"/>
        <v>1908000</v>
      </c>
      <c r="P40" s="131">
        <f t="shared" si="2"/>
        <v>1150000</v>
      </c>
      <c r="Q40" s="131">
        <f t="shared" si="2"/>
        <v>1630000</v>
      </c>
      <c r="R40" s="131">
        <f t="shared" si="2"/>
        <v>1900000</v>
      </c>
      <c r="S40" s="131">
        <f t="shared" si="2"/>
        <v>1675000</v>
      </c>
      <c r="T40" s="131">
        <f t="shared" si="2"/>
        <v>520000</v>
      </c>
      <c r="U40" s="131">
        <f t="shared" si="2"/>
        <v>1025000</v>
      </c>
      <c r="V40" s="131">
        <f t="shared" si="2"/>
        <v>1375000</v>
      </c>
      <c r="W40" s="131">
        <f t="shared" si="2"/>
        <v>1330000</v>
      </c>
      <c r="X40" s="131">
        <f t="shared" si="2"/>
        <v>250000</v>
      </c>
      <c r="Y40" s="131">
        <f t="shared" si="2"/>
        <v>250000</v>
      </c>
      <c r="Z40" s="132">
        <f t="shared" si="2"/>
        <v>300000</v>
      </c>
    </row>
    <row r="41" spans="1:26" ht="15" customHeight="1">
      <c r="A41" s="54"/>
      <c r="B41" s="55" t="s">
        <v>483</v>
      </c>
      <c r="C41" s="56">
        <f>C40*0</f>
        <v>0</v>
      </c>
      <c r="D41" s="140"/>
      <c r="E41" s="133">
        <f t="shared" ref="E41:Z41" si="3">E40*0</f>
        <v>0</v>
      </c>
      <c r="F41" s="134">
        <f t="shared" si="3"/>
        <v>0</v>
      </c>
      <c r="G41" s="134">
        <f t="shared" si="3"/>
        <v>0</v>
      </c>
      <c r="H41" s="134">
        <f t="shared" si="3"/>
        <v>0</v>
      </c>
      <c r="I41" s="134">
        <f t="shared" si="3"/>
        <v>0</v>
      </c>
      <c r="J41" s="134">
        <f t="shared" si="3"/>
        <v>0</v>
      </c>
      <c r="K41" s="134">
        <f t="shared" si="3"/>
        <v>0</v>
      </c>
      <c r="L41" s="134">
        <f t="shared" si="3"/>
        <v>0</v>
      </c>
      <c r="M41" s="134">
        <f t="shared" si="3"/>
        <v>0</v>
      </c>
      <c r="N41" s="134">
        <f t="shared" si="3"/>
        <v>0</v>
      </c>
      <c r="O41" s="134">
        <f t="shared" si="3"/>
        <v>0</v>
      </c>
      <c r="P41" s="134">
        <f t="shared" si="3"/>
        <v>0</v>
      </c>
      <c r="Q41" s="134">
        <f t="shared" si="3"/>
        <v>0</v>
      </c>
      <c r="R41" s="134">
        <f t="shared" si="3"/>
        <v>0</v>
      </c>
      <c r="S41" s="134">
        <f t="shared" si="3"/>
        <v>0</v>
      </c>
      <c r="T41" s="134">
        <f t="shared" si="3"/>
        <v>0</v>
      </c>
      <c r="U41" s="134">
        <f t="shared" si="3"/>
        <v>0</v>
      </c>
      <c r="V41" s="134">
        <f t="shared" si="3"/>
        <v>0</v>
      </c>
      <c r="W41" s="134">
        <f t="shared" si="3"/>
        <v>0</v>
      </c>
      <c r="X41" s="134">
        <f t="shared" si="3"/>
        <v>0</v>
      </c>
      <c r="Y41" s="134">
        <f t="shared" si="3"/>
        <v>0</v>
      </c>
      <c r="Z41" s="135">
        <f t="shared" si="3"/>
        <v>0</v>
      </c>
    </row>
    <row r="42" spans="1:26" ht="15" customHeight="1">
      <c r="A42" s="54"/>
      <c r="B42" s="55" t="s">
        <v>484</v>
      </c>
      <c r="C42" s="57">
        <f>0*(C40+C41)</f>
        <v>0</v>
      </c>
      <c r="D42" s="142"/>
      <c r="E42" s="133">
        <f t="shared" ref="E42:Z42" si="4">0*(E40+E41)</f>
        <v>0</v>
      </c>
      <c r="F42" s="134">
        <f t="shared" si="4"/>
        <v>0</v>
      </c>
      <c r="G42" s="134">
        <f t="shared" si="4"/>
        <v>0</v>
      </c>
      <c r="H42" s="134">
        <f t="shared" si="4"/>
        <v>0</v>
      </c>
      <c r="I42" s="134">
        <f t="shared" si="4"/>
        <v>0</v>
      </c>
      <c r="J42" s="134">
        <f t="shared" si="4"/>
        <v>0</v>
      </c>
      <c r="K42" s="134">
        <f t="shared" si="4"/>
        <v>0</v>
      </c>
      <c r="L42" s="134">
        <f t="shared" si="4"/>
        <v>0</v>
      </c>
      <c r="M42" s="134">
        <f t="shared" si="4"/>
        <v>0</v>
      </c>
      <c r="N42" s="134">
        <f t="shared" si="4"/>
        <v>0</v>
      </c>
      <c r="O42" s="134">
        <f t="shared" si="4"/>
        <v>0</v>
      </c>
      <c r="P42" s="134">
        <f t="shared" si="4"/>
        <v>0</v>
      </c>
      <c r="Q42" s="134">
        <f t="shared" si="4"/>
        <v>0</v>
      </c>
      <c r="R42" s="134">
        <f t="shared" si="4"/>
        <v>0</v>
      </c>
      <c r="S42" s="134">
        <f t="shared" si="4"/>
        <v>0</v>
      </c>
      <c r="T42" s="134">
        <f t="shared" si="4"/>
        <v>0</v>
      </c>
      <c r="U42" s="134">
        <f t="shared" si="4"/>
        <v>0</v>
      </c>
      <c r="V42" s="134">
        <f t="shared" si="4"/>
        <v>0</v>
      </c>
      <c r="W42" s="134">
        <f t="shared" si="4"/>
        <v>0</v>
      </c>
      <c r="X42" s="134">
        <f t="shared" si="4"/>
        <v>0</v>
      </c>
      <c r="Y42" s="134">
        <f t="shared" si="4"/>
        <v>0</v>
      </c>
      <c r="Z42" s="135">
        <f t="shared" si="4"/>
        <v>0</v>
      </c>
    </row>
    <row r="43" spans="1:26" ht="15" customHeight="1" thickBot="1">
      <c r="A43" s="59"/>
      <c r="B43" s="60"/>
      <c r="C43" s="61">
        <f>SUM(C40:C42)</f>
        <v>38434510</v>
      </c>
      <c r="D43" s="143"/>
      <c r="E43" s="136">
        <f t="shared" ref="E43:Z43" si="5">SUM(E40:E42)</f>
        <v>380000</v>
      </c>
      <c r="F43" s="137">
        <f t="shared" si="5"/>
        <v>8000000</v>
      </c>
      <c r="G43" s="137">
        <f t="shared" si="5"/>
        <v>3165000</v>
      </c>
      <c r="H43" s="137">
        <f t="shared" si="5"/>
        <v>2650000</v>
      </c>
      <c r="I43" s="137">
        <f t="shared" si="5"/>
        <v>2633510</v>
      </c>
      <c r="J43" s="137">
        <f t="shared" si="5"/>
        <v>1675000</v>
      </c>
      <c r="K43" s="137">
        <f t="shared" si="5"/>
        <v>1913000</v>
      </c>
      <c r="L43" s="137">
        <f t="shared" si="5"/>
        <v>2475000</v>
      </c>
      <c r="M43" s="137">
        <f t="shared" si="5"/>
        <v>1475000</v>
      </c>
      <c r="N43" s="137">
        <f t="shared" si="5"/>
        <v>755000</v>
      </c>
      <c r="O43" s="137">
        <f t="shared" si="5"/>
        <v>1908000</v>
      </c>
      <c r="P43" s="137">
        <f t="shared" si="5"/>
        <v>1150000</v>
      </c>
      <c r="Q43" s="137">
        <f t="shared" si="5"/>
        <v>1630000</v>
      </c>
      <c r="R43" s="137">
        <f t="shared" si="5"/>
        <v>1900000</v>
      </c>
      <c r="S43" s="137">
        <f t="shared" si="5"/>
        <v>1675000</v>
      </c>
      <c r="T43" s="137">
        <f t="shared" si="5"/>
        <v>520000</v>
      </c>
      <c r="U43" s="137">
        <f t="shared" si="5"/>
        <v>1025000</v>
      </c>
      <c r="V43" s="137">
        <f t="shared" si="5"/>
        <v>1375000</v>
      </c>
      <c r="W43" s="137">
        <f t="shared" si="5"/>
        <v>1330000</v>
      </c>
      <c r="X43" s="137">
        <f t="shared" si="5"/>
        <v>250000</v>
      </c>
      <c r="Y43" s="137">
        <f t="shared" si="5"/>
        <v>250000</v>
      </c>
      <c r="Z43" s="138">
        <f t="shared" si="5"/>
        <v>300000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45"/>
  <sheetViews>
    <sheetView workbookViewId="0">
      <selection activeCell="E38" sqref="E38"/>
    </sheetView>
  </sheetViews>
  <sheetFormatPr defaultColWidth="8.85546875" defaultRowHeight="15"/>
  <cols>
    <col min="1" max="1" width="20.42578125" customWidth="1"/>
    <col min="2" max="2" width="50.85546875" bestFit="1" customWidth="1"/>
    <col min="3" max="4" width="10.28515625" bestFit="1" customWidth="1"/>
    <col min="5" max="5" width="12" bestFit="1" customWidth="1"/>
  </cols>
  <sheetData>
    <row r="2" spans="1:5">
      <c r="A2" s="10" t="str">
        <f>ModelDescription!A2</f>
        <v>Economic Forecasting Model</v>
      </c>
    </row>
    <row r="3" spans="1:5">
      <c r="A3" s="10" t="str">
        <f>ModelDescription!C4</f>
        <v>Noble, OK 6 Processor Facility - Series A + Series B</v>
      </c>
    </row>
    <row r="5" spans="1:5" ht="15" customHeight="1">
      <c r="B5" s="210" t="s">
        <v>485</v>
      </c>
      <c r="C5" s="210" t="s">
        <v>486</v>
      </c>
      <c r="D5" s="210" t="s">
        <v>487</v>
      </c>
      <c r="E5" s="210" t="s">
        <v>488</v>
      </c>
    </row>
    <row r="6" spans="1:5">
      <c r="B6" s="209" t="s">
        <v>489</v>
      </c>
      <c r="C6" s="245"/>
      <c r="D6" s="245"/>
    </row>
    <row r="7" spans="1:5">
      <c r="B7" s="10" t="s">
        <v>490</v>
      </c>
      <c r="C7" s="261">
        <f>C8*2000</f>
        <v>96000</v>
      </c>
      <c r="D7" s="261">
        <f>D8*2000</f>
        <v>96000</v>
      </c>
    </row>
    <row r="8" spans="1:5">
      <c r="B8" s="10" t="s">
        <v>491</v>
      </c>
      <c r="C8" s="261">
        <f>Assumptions!D47</f>
        <v>48</v>
      </c>
      <c r="D8" s="261">
        <f>C8</f>
        <v>48</v>
      </c>
    </row>
    <row r="9" spans="1:5">
      <c r="B9" s="10" t="s">
        <v>492</v>
      </c>
      <c r="C9" s="261">
        <f>C8*30</f>
        <v>1440</v>
      </c>
      <c r="D9" s="261">
        <f>D8*30</f>
        <v>1440</v>
      </c>
    </row>
    <row r="10" spans="1:5">
      <c r="B10" s="187"/>
      <c r="C10" s="188"/>
      <c r="D10" s="188"/>
    </row>
    <row r="11" spans="1:5">
      <c r="C11" s="189"/>
      <c r="D11" s="189"/>
    </row>
    <row r="12" spans="1:5">
      <c r="A12" s="10" t="s">
        <v>493</v>
      </c>
      <c r="B12" s="80" t="s">
        <v>118</v>
      </c>
      <c r="C12" s="207">
        <v>3500</v>
      </c>
      <c r="D12" s="262">
        <f>C12*(1+Assumptions!$D$43)</f>
        <v>3850.0000000000005</v>
      </c>
      <c r="E12" s="4">
        <f>D12/D$9</f>
        <v>2.6736111111111116</v>
      </c>
    </row>
    <row r="13" spans="1:5">
      <c r="A13" s="10"/>
      <c r="B13" s="80" t="s">
        <v>119</v>
      </c>
      <c r="C13" s="207">
        <v>8000</v>
      </c>
      <c r="D13" s="262">
        <f>C13*(1+Assumptions!$D$43)</f>
        <v>8800</v>
      </c>
      <c r="E13" s="4">
        <f>D13/D$9</f>
        <v>6.1111111111111107</v>
      </c>
    </row>
    <row r="14" spans="1:5">
      <c r="A14" s="10"/>
      <c r="B14" t="s">
        <v>120</v>
      </c>
      <c r="C14" s="207">
        <v>0</v>
      </c>
      <c r="D14" s="262">
        <f>C14*(1+Assumptions!$D$43)</f>
        <v>0</v>
      </c>
      <c r="E14" s="4">
        <f>D14/D$9</f>
        <v>0</v>
      </c>
    </row>
    <row r="15" spans="1:5">
      <c r="A15" s="10"/>
      <c r="B15" s="80" t="s">
        <v>121</v>
      </c>
      <c r="C15" s="207">
        <v>200</v>
      </c>
      <c r="D15" s="262">
        <f>C15*(1+Assumptions!$D$43)</f>
        <v>220.00000000000003</v>
      </c>
      <c r="E15" s="4">
        <f>D15/D$9</f>
        <v>0.15277777777777779</v>
      </c>
    </row>
    <row r="16" spans="1:5">
      <c r="A16" s="10"/>
      <c r="B16" t="s">
        <v>130</v>
      </c>
      <c r="C16" s="207">
        <v>1200</v>
      </c>
      <c r="D16" s="262">
        <f>C16*(1+Assumptions!$D$43)</f>
        <v>1320</v>
      </c>
      <c r="E16" s="4">
        <v>0</v>
      </c>
    </row>
    <row r="17" spans="1:5">
      <c r="A17" s="10" t="s">
        <v>494</v>
      </c>
      <c r="B17" s="80" t="s">
        <v>122</v>
      </c>
      <c r="C17" s="207">
        <v>400</v>
      </c>
      <c r="D17" s="262">
        <f>C17*(1+Assumptions!$D$43)</f>
        <v>440.00000000000006</v>
      </c>
      <c r="E17" s="4">
        <f t="shared" ref="E17:E20" si="0">D17/D$9</f>
        <v>0.30555555555555558</v>
      </c>
    </row>
    <row r="18" spans="1:5">
      <c r="A18" s="10"/>
      <c r="B18" s="80" t="s">
        <v>150</v>
      </c>
      <c r="C18" s="207">
        <v>1000</v>
      </c>
      <c r="D18" s="262">
        <f>C18*(1+Assumptions!$D$43)</f>
        <v>1100</v>
      </c>
      <c r="E18" s="4">
        <f t="shared" si="0"/>
        <v>0.76388888888888884</v>
      </c>
    </row>
    <row r="19" spans="1:5">
      <c r="A19" s="10"/>
      <c r="B19" s="80" t="s">
        <v>151</v>
      </c>
      <c r="C19" s="207">
        <v>1600</v>
      </c>
      <c r="D19" s="262">
        <f>C19*(1+Assumptions!$D$43)</f>
        <v>1760.0000000000002</v>
      </c>
      <c r="E19" s="4">
        <f t="shared" si="0"/>
        <v>1.2222222222222223</v>
      </c>
    </row>
    <row r="20" spans="1:5">
      <c r="A20" s="10"/>
      <c r="B20" s="80" t="s">
        <v>152</v>
      </c>
      <c r="C20" s="207">
        <v>500</v>
      </c>
      <c r="D20" s="262">
        <f>C20*(1+Assumptions!$D$43)</f>
        <v>550</v>
      </c>
      <c r="E20" s="4">
        <f t="shared" si="0"/>
        <v>0.38194444444444442</v>
      </c>
    </row>
    <row r="21" spans="1:5">
      <c r="A21" s="10" t="s">
        <v>495</v>
      </c>
      <c r="B21" s="80" t="s">
        <v>123</v>
      </c>
      <c r="C21" s="207">
        <v>10498.86</v>
      </c>
      <c r="D21" s="262">
        <f>C21*(1+Assumptions!$D$43)</f>
        <v>11548.746000000001</v>
      </c>
      <c r="E21" s="4">
        <f t="shared" ref="E21:E26" si="1">D21/D$9</f>
        <v>8.0199625000000001</v>
      </c>
    </row>
    <row r="22" spans="1:5">
      <c r="A22" s="10"/>
      <c r="B22" s="80" t="s">
        <v>124</v>
      </c>
      <c r="C22" s="207">
        <v>3500</v>
      </c>
      <c r="D22" s="262">
        <f>C22*(1+Assumptions!$D$43)</f>
        <v>3850.0000000000005</v>
      </c>
      <c r="E22" s="4">
        <f t="shared" si="1"/>
        <v>2.6736111111111116</v>
      </c>
    </row>
    <row r="23" spans="1:5">
      <c r="A23" s="10"/>
      <c r="B23" s="80" t="s">
        <v>133</v>
      </c>
      <c r="C23" s="207">
        <v>900</v>
      </c>
      <c r="D23" s="262">
        <f>C23*(1+Assumptions!$D$43)</f>
        <v>990.00000000000011</v>
      </c>
      <c r="E23" s="4">
        <f t="shared" si="1"/>
        <v>0.68750000000000011</v>
      </c>
    </row>
    <row r="24" spans="1:5">
      <c r="A24" s="10"/>
      <c r="B24" s="80" t="s">
        <v>125</v>
      </c>
      <c r="C24" s="207">
        <v>450</v>
      </c>
      <c r="D24" s="262">
        <f>C24*(1+Assumptions!$D$43)</f>
        <v>495.00000000000006</v>
      </c>
      <c r="E24" s="4">
        <f t="shared" si="1"/>
        <v>0.34375000000000006</v>
      </c>
    </row>
    <row r="25" spans="1:5">
      <c r="A25" s="10"/>
      <c r="B25" s="80" t="s">
        <v>134</v>
      </c>
      <c r="C25" s="207">
        <v>3000</v>
      </c>
      <c r="D25" s="262">
        <f>C25*(1+Assumptions!$D$43)</f>
        <v>3300.0000000000005</v>
      </c>
      <c r="E25" s="4">
        <f t="shared" si="1"/>
        <v>2.291666666666667</v>
      </c>
    </row>
    <row r="26" spans="1:5">
      <c r="A26" s="10"/>
      <c r="B26" s="80" t="s">
        <v>126</v>
      </c>
      <c r="C26" s="207">
        <v>4875</v>
      </c>
      <c r="D26" s="262">
        <f>C26*(1+Assumptions!$D$43)</f>
        <v>5362.5</v>
      </c>
      <c r="E26" s="4">
        <f t="shared" si="1"/>
        <v>3.7239583333333335</v>
      </c>
    </row>
    <row r="27" spans="1:5">
      <c r="A27" s="10" t="s">
        <v>496</v>
      </c>
      <c r="B27" s="80" t="s">
        <v>135</v>
      </c>
      <c r="C27" s="208">
        <v>5000</v>
      </c>
      <c r="D27" s="262">
        <f>C27*(1+Assumptions!$D$43)</f>
        <v>5500</v>
      </c>
      <c r="E27" s="4">
        <f t="shared" ref="E27:E31" si="2">D27/D$9</f>
        <v>3.8194444444444446</v>
      </c>
    </row>
    <row r="28" spans="1:5">
      <c r="A28" s="10"/>
      <c r="B28" s="80" t="s">
        <v>136</v>
      </c>
      <c r="C28" s="207">
        <v>3000</v>
      </c>
      <c r="D28" s="262">
        <f>C28*(1+Assumptions!$D$43)</f>
        <v>3300.0000000000005</v>
      </c>
      <c r="E28" s="4">
        <f t="shared" si="2"/>
        <v>2.291666666666667</v>
      </c>
    </row>
    <row r="29" spans="1:5">
      <c r="A29" s="10"/>
      <c r="B29" s="80" t="s">
        <v>137</v>
      </c>
      <c r="C29" s="207">
        <v>16616</v>
      </c>
      <c r="D29" s="262">
        <f>C29*(1+Assumptions!$D$43)</f>
        <v>18277.600000000002</v>
      </c>
      <c r="E29" s="4">
        <f t="shared" si="2"/>
        <v>12.692777777777779</v>
      </c>
    </row>
    <row r="30" spans="1:5">
      <c r="A30" s="10"/>
      <c r="B30" s="80" t="s">
        <v>138</v>
      </c>
      <c r="C30" s="207">
        <v>2000</v>
      </c>
      <c r="D30" s="262">
        <f>C30*(1+Assumptions!$D$43)</f>
        <v>2200</v>
      </c>
      <c r="E30" s="4">
        <f t="shared" si="2"/>
        <v>1.5277777777777777</v>
      </c>
    </row>
    <row r="31" spans="1:5">
      <c r="A31" s="10"/>
      <c r="B31" s="80" t="s">
        <v>139</v>
      </c>
      <c r="C31" s="207">
        <v>750</v>
      </c>
      <c r="D31" s="262">
        <f>C31*(1+Assumptions!$D$43)</f>
        <v>825.00000000000011</v>
      </c>
      <c r="E31" s="4">
        <f t="shared" si="2"/>
        <v>0.57291666666666674</v>
      </c>
    </row>
    <row r="32" spans="1:5">
      <c r="A32" s="10" t="s">
        <v>497</v>
      </c>
      <c r="B32" s="80" t="s">
        <v>140</v>
      </c>
      <c r="C32" s="208">
        <v>3000</v>
      </c>
      <c r="D32" s="262">
        <f>C32*(1+Assumptions!$D$43)</f>
        <v>3300.0000000000005</v>
      </c>
      <c r="E32" s="4">
        <f t="shared" ref="E32:E35" si="3">D32/D$9</f>
        <v>2.291666666666667</v>
      </c>
    </row>
    <row r="33" spans="1:5">
      <c r="A33" s="10"/>
      <c r="B33" s="80" t="s">
        <v>141</v>
      </c>
      <c r="C33" s="208">
        <v>4000</v>
      </c>
      <c r="D33" s="262">
        <f>C33*(1+Assumptions!$D$43)</f>
        <v>4400</v>
      </c>
      <c r="E33" s="4">
        <f t="shared" si="3"/>
        <v>3.0555555555555554</v>
      </c>
    </row>
    <row r="34" spans="1:5">
      <c r="A34" s="10"/>
      <c r="B34" s="80" t="s">
        <v>142</v>
      </c>
      <c r="C34" s="207">
        <v>250</v>
      </c>
      <c r="D34" s="262">
        <f>C34*(1+Assumptions!$D$43)</f>
        <v>275</v>
      </c>
      <c r="E34" s="4">
        <f t="shared" si="3"/>
        <v>0.19097222222222221</v>
      </c>
    </row>
    <row r="35" spans="1:5">
      <c r="A35" s="10"/>
      <c r="B35" s="80" t="s">
        <v>143</v>
      </c>
      <c r="C35" s="208">
        <v>1500</v>
      </c>
      <c r="D35" s="262">
        <f>C35*(1+Assumptions!$D$43)</f>
        <v>1650.0000000000002</v>
      </c>
      <c r="E35" s="4">
        <f t="shared" si="3"/>
        <v>1.1458333333333335</v>
      </c>
    </row>
    <row r="36" spans="1:5">
      <c r="A36" s="10" t="s">
        <v>498</v>
      </c>
      <c r="B36" s="80" t="s">
        <v>144</v>
      </c>
      <c r="C36" s="207">
        <v>3000</v>
      </c>
      <c r="D36" s="262">
        <f>C36*(1+Assumptions!$D$43)</f>
        <v>3300.0000000000005</v>
      </c>
      <c r="E36" s="4">
        <f t="shared" ref="E36:E38" si="4">D36/D$9</f>
        <v>2.291666666666667</v>
      </c>
    </row>
    <row r="37" spans="1:5">
      <c r="A37" s="10"/>
      <c r="B37" s="80" t="s">
        <v>145</v>
      </c>
      <c r="C37" s="207">
        <v>600</v>
      </c>
      <c r="D37" s="262">
        <f>C37*(1+Assumptions!$D$43)</f>
        <v>660</v>
      </c>
      <c r="E37" s="4">
        <f t="shared" si="4"/>
        <v>0.45833333333333331</v>
      </c>
    </row>
    <row r="38" spans="1:5">
      <c r="A38" s="10"/>
      <c r="B38" t="s">
        <v>146</v>
      </c>
      <c r="C38" s="207">
        <v>200</v>
      </c>
      <c r="D38" s="262">
        <f>C38*(1+Assumptions!$D$43)</f>
        <v>220.00000000000003</v>
      </c>
      <c r="E38" s="4">
        <f t="shared" si="4"/>
        <v>0.15277777777777779</v>
      </c>
    </row>
    <row r="39" spans="1:5">
      <c r="A39" s="10" t="s">
        <v>499</v>
      </c>
      <c r="B39" s="80" t="s">
        <v>147</v>
      </c>
      <c r="C39" s="207">
        <v>600</v>
      </c>
      <c r="D39" s="262">
        <f>C39*(1+Assumptions!$D$43)</f>
        <v>660</v>
      </c>
      <c r="E39" s="4">
        <f t="shared" ref="E39:E41" si="5">D39/D$9</f>
        <v>0.45833333333333331</v>
      </c>
    </row>
    <row r="40" spans="1:5">
      <c r="A40" s="10"/>
      <c r="B40" s="80" t="s">
        <v>148</v>
      </c>
      <c r="C40" s="207">
        <v>650</v>
      </c>
      <c r="D40" s="262">
        <f>C40*(1+Assumptions!$D$43)</f>
        <v>715.00000000000011</v>
      </c>
      <c r="E40" s="4">
        <f t="shared" si="5"/>
        <v>0.49652777777777785</v>
      </c>
    </row>
    <row r="41" spans="1:5">
      <c r="A41" s="10"/>
      <c r="B41" s="80" t="s">
        <v>149</v>
      </c>
      <c r="C41" s="207">
        <v>500</v>
      </c>
      <c r="D41" s="262">
        <f>C41*(1+Assumptions!$D$43)</f>
        <v>550</v>
      </c>
      <c r="E41" s="4">
        <f t="shared" si="5"/>
        <v>0.38194444444444442</v>
      </c>
    </row>
    <row r="42" spans="1:5">
      <c r="A42" s="10" t="s">
        <v>500</v>
      </c>
      <c r="B42" s="80" t="s">
        <v>127</v>
      </c>
      <c r="C42" s="207">
        <v>700</v>
      </c>
      <c r="D42" s="262">
        <f>C42*(1+Assumptions!$D$43)</f>
        <v>770.00000000000011</v>
      </c>
      <c r="E42" s="4">
        <f t="shared" ref="E42:E44" si="6">D42/D$9</f>
        <v>0.53472222222222232</v>
      </c>
    </row>
    <row r="43" spans="1:5">
      <c r="A43" s="10"/>
      <c r="B43" s="80" t="s">
        <v>128</v>
      </c>
      <c r="C43" s="207">
        <v>1400</v>
      </c>
      <c r="D43" s="262">
        <f>C43*(1+Assumptions!$D$43)</f>
        <v>1540.0000000000002</v>
      </c>
      <c r="E43" s="4">
        <f t="shared" si="6"/>
        <v>1.0694444444444446</v>
      </c>
    </row>
    <row r="44" spans="1:5">
      <c r="A44" s="10"/>
      <c r="B44" s="80" t="s">
        <v>129</v>
      </c>
      <c r="C44" s="207">
        <v>600</v>
      </c>
      <c r="D44" s="262">
        <f>C44*(1+Assumptions!$D$43)</f>
        <v>660</v>
      </c>
      <c r="E44" s="4">
        <f t="shared" si="6"/>
        <v>0.45833333333333331</v>
      </c>
    </row>
    <row r="45" spans="1:5">
      <c r="B45" s="246"/>
      <c r="C45" s="247"/>
      <c r="D45" s="24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C90"/>
  <sheetViews>
    <sheetView zoomScaleNormal="100" zoomScalePageLayoutView="75" workbookViewId="0">
      <pane xSplit="4" ySplit="8" topLeftCell="E9" activePane="bottomRight" state="frozen"/>
      <selection pane="bottomRight" activeCell="E3" sqref="E3"/>
      <selection pane="bottomLeft" activeCell="A7" sqref="A7"/>
      <selection pane="topRight" activeCell="E1" sqref="E1"/>
    </sheetView>
  </sheetViews>
  <sheetFormatPr defaultColWidth="8.85546875" defaultRowHeight="15"/>
  <cols>
    <col min="1" max="1" width="5.140625" customWidth="1"/>
    <col min="2" max="2" width="29.7109375" bestFit="1" customWidth="1"/>
    <col min="3" max="3" width="5.28515625" bestFit="1" customWidth="1"/>
    <col min="4" max="4" width="4.28515625" customWidth="1"/>
    <col min="5" max="5" width="15" style="24" bestFit="1" customWidth="1"/>
    <col min="6" max="6" width="14.42578125" bestFit="1" customWidth="1"/>
    <col min="7" max="7" width="17" bestFit="1" customWidth="1"/>
    <col min="8" max="9" width="14.42578125" bestFit="1" customWidth="1"/>
    <col min="10" max="14" width="14" bestFit="1" customWidth="1"/>
    <col min="15" max="15" width="12.85546875" bestFit="1" customWidth="1"/>
    <col min="16" max="39" width="14" bestFit="1" customWidth="1"/>
    <col min="40" max="65" width="15.85546875" bestFit="1" customWidth="1"/>
    <col min="66" max="153" width="12.42578125" bestFit="1" customWidth="1"/>
    <col min="154" max="185" width="13.28515625" bestFit="1" customWidth="1"/>
  </cols>
  <sheetData>
    <row r="1" spans="1:185">
      <c r="E1"/>
    </row>
    <row r="2" spans="1:185">
      <c r="A2" s="10" t="str">
        <f>ModelDescription!A2</f>
        <v>Economic Forecasting Model</v>
      </c>
      <c r="E2"/>
    </row>
    <row r="3" spans="1:185">
      <c r="A3" s="10" t="str">
        <f>ModelDescription!C4</f>
        <v>Noble, OK 6 Processor Facility - Series A + Series B</v>
      </c>
      <c r="E3"/>
    </row>
    <row r="4" spans="1:185">
      <c r="A4" s="10"/>
      <c r="E4"/>
    </row>
    <row r="5" spans="1:185">
      <c r="A5" s="7"/>
      <c r="B5" s="7" t="s">
        <v>69</v>
      </c>
      <c r="C5" s="7"/>
      <c r="D5" s="7"/>
      <c r="E5" s="7"/>
      <c r="F5" s="8">
        <f>Assumptions!D76</f>
        <v>1</v>
      </c>
      <c r="G5" s="8">
        <f>Assumptions!E76</f>
        <v>2</v>
      </c>
      <c r="H5" s="8">
        <f>Assumptions!F76</f>
        <v>3</v>
      </c>
      <c r="I5" s="8">
        <f>Assumptions!G76</f>
        <v>4</v>
      </c>
      <c r="J5" s="8">
        <f>Assumptions!H76</f>
        <v>5</v>
      </c>
      <c r="K5" s="8">
        <f>Assumptions!I76</f>
        <v>6</v>
      </c>
      <c r="L5" s="8">
        <f>Assumptions!J76</f>
        <v>7</v>
      </c>
      <c r="M5" s="8">
        <f>Assumptions!K76</f>
        <v>8</v>
      </c>
      <c r="N5" s="8">
        <f>Assumptions!L76</f>
        <v>9</v>
      </c>
      <c r="O5" s="8">
        <f>Assumptions!M76</f>
        <v>10</v>
      </c>
      <c r="P5" s="8">
        <f>Assumptions!N76</f>
        <v>11</v>
      </c>
      <c r="Q5" s="8">
        <f>Assumptions!O76</f>
        <v>12</v>
      </c>
      <c r="R5" s="8">
        <f>Assumptions!P76</f>
        <v>13</v>
      </c>
      <c r="S5" s="8">
        <f>Assumptions!Q76</f>
        <v>14</v>
      </c>
      <c r="T5" s="8">
        <f>Assumptions!R76</f>
        <v>15</v>
      </c>
      <c r="U5" s="8">
        <f>Assumptions!S76</f>
        <v>16</v>
      </c>
      <c r="V5" s="8">
        <f>Assumptions!T76</f>
        <v>17</v>
      </c>
      <c r="W5" s="8">
        <f>Assumptions!U76</f>
        <v>18</v>
      </c>
      <c r="X5" s="8">
        <f>Assumptions!V76</f>
        <v>19</v>
      </c>
      <c r="Y5" s="8">
        <f>Assumptions!W76</f>
        <v>20</v>
      </c>
      <c r="Z5" s="8">
        <f>Assumptions!X76</f>
        <v>21</v>
      </c>
      <c r="AA5" s="8">
        <f>Assumptions!Y76</f>
        <v>22</v>
      </c>
      <c r="AB5" s="8">
        <f>Assumptions!Z76</f>
        <v>23</v>
      </c>
      <c r="AC5" s="8">
        <f>Assumptions!AA76</f>
        <v>24</v>
      </c>
      <c r="AD5" s="8">
        <f>Assumptions!AB76</f>
        <v>25</v>
      </c>
      <c r="AE5" s="8">
        <f>Assumptions!AC76</f>
        <v>26</v>
      </c>
      <c r="AF5" s="8">
        <f>Assumptions!AD76</f>
        <v>27</v>
      </c>
      <c r="AG5" s="8">
        <f>Assumptions!AE76</f>
        <v>28</v>
      </c>
      <c r="AH5" s="8">
        <f>Assumptions!AF76</f>
        <v>29</v>
      </c>
      <c r="AI5" s="8">
        <f>Assumptions!AG76</f>
        <v>30</v>
      </c>
      <c r="AJ5" s="8">
        <f>Assumptions!AH76</f>
        <v>31</v>
      </c>
      <c r="AK5" s="8">
        <f>Assumptions!AI76</f>
        <v>32</v>
      </c>
      <c r="AL5" s="8">
        <f>Assumptions!AJ76</f>
        <v>33</v>
      </c>
      <c r="AM5" s="8">
        <f>Assumptions!AK76</f>
        <v>34</v>
      </c>
      <c r="AN5" s="8">
        <f>Assumptions!AL76</f>
        <v>35</v>
      </c>
      <c r="AO5" s="8">
        <f>Assumptions!AM76</f>
        <v>36</v>
      </c>
      <c r="AP5" s="8">
        <f>Assumptions!AN76</f>
        <v>37</v>
      </c>
      <c r="AQ5" s="8">
        <f>Assumptions!AO76</f>
        <v>38</v>
      </c>
      <c r="AR5" s="8">
        <f>Assumptions!AP76</f>
        <v>39</v>
      </c>
      <c r="AS5" s="8">
        <f>Assumptions!AQ76</f>
        <v>40</v>
      </c>
      <c r="AT5" s="8">
        <f>Assumptions!AR76</f>
        <v>41</v>
      </c>
      <c r="AU5" s="8">
        <f>Assumptions!AS76</f>
        <v>42</v>
      </c>
      <c r="AV5" s="8">
        <f>Assumptions!AT76</f>
        <v>43</v>
      </c>
      <c r="AW5" s="8">
        <f>Assumptions!AU76</f>
        <v>44</v>
      </c>
      <c r="AX5" s="8">
        <f>Assumptions!AV76</f>
        <v>45</v>
      </c>
      <c r="AY5" s="8">
        <f>Assumptions!AW76</f>
        <v>46</v>
      </c>
      <c r="AZ5" s="8">
        <f>Assumptions!AX76</f>
        <v>47</v>
      </c>
      <c r="BA5" s="8">
        <f>Assumptions!AY76</f>
        <v>48</v>
      </c>
      <c r="BB5" s="8">
        <f>Assumptions!AZ76</f>
        <v>49</v>
      </c>
      <c r="BC5" s="8">
        <f>Assumptions!BA76</f>
        <v>50</v>
      </c>
      <c r="BD5" s="8">
        <f>Assumptions!BB76</f>
        <v>51</v>
      </c>
      <c r="BE5" s="8">
        <f>Assumptions!BC76</f>
        <v>52</v>
      </c>
      <c r="BF5" s="8">
        <f>Assumptions!BD76</f>
        <v>53</v>
      </c>
      <c r="BG5" s="8">
        <f>Assumptions!BE76</f>
        <v>54</v>
      </c>
      <c r="BH5" s="8">
        <f>Assumptions!BF76</f>
        <v>55</v>
      </c>
      <c r="BI5" s="8">
        <f>Assumptions!BG76</f>
        <v>56</v>
      </c>
      <c r="BJ5" s="8">
        <f>Assumptions!BH76</f>
        <v>57</v>
      </c>
      <c r="BK5" s="8">
        <f>Assumptions!BI76</f>
        <v>58</v>
      </c>
      <c r="BL5" s="8">
        <f>Assumptions!BJ76</f>
        <v>59</v>
      </c>
      <c r="BM5" s="8">
        <f>Assumptions!BK76</f>
        <v>60</v>
      </c>
      <c r="BN5" s="8">
        <f>Assumptions!BL76</f>
        <v>61</v>
      </c>
      <c r="BO5" s="8">
        <f>Assumptions!BM76</f>
        <v>62</v>
      </c>
      <c r="BP5" s="8">
        <f>Assumptions!BN76</f>
        <v>63</v>
      </c>
      <c r="BQ5" s="8">
        <f>Assumptions!BO76</f>
        <v>64</v>
      </c>
      <c r="BR5" s="8">
        <f>Assumptions!BP76</f>
        <v>65</v>
      </c>
      <c r="BS5" s="8">
        <f>Assumptions!BQ76</f>
        <v>66</v>
      </c>
      <c r="BT5" s="8">
        <f>Assumptions!BR76</f>
        <v>67</v>
      </c>
      <c r="BU5" s="8">
        <f>Assumptions!BS76</f>
        <v>68</v>
      </c>
      <c r="BV5" s="8">
        <f>Assumptions!BT76</f>
        <v>69</v>
      </c>
      <c r="BW5" s="8">
        <f>Assumptions!BU76</f>
        <v>70</v>
      </c>
      <c r="BX5" s="8">
        <f>Assumptions!BV76</f>
        <v>71</v>
      </c>
      <c r="BY5" s="8">
        <f>Assumptions!BW76</f>
        <v>72</v>
      </c>
      <c r="BZ5" s="8">
        <f>Assumptions!BX76</f>
        <v>73</v>
      </c>
      <c r="CA5" s="8">
        <f>Assumptions!BY76</f>
        <v>74</v>
      </c>
      <c r="CB5" s="8">
        <f>Assumptions!BZ76</f>
        <v>75</v>
      </c>
      <c r="CC5" s="8">
        <f>Assumptions!CA76</f>
        <v>76</v>
      </c>
      <c r="CD5" s="8">
        <f>Assumptions!CB76</f>
        <v>77</v>
      </c>
      <c r="CE5" s="8">
        <f>Assumptions!CC76</f>
        <v>78</v>
      </c>
      <c r="CF5" s="8">
        <f>Assumptions!CD76</f>
        <v>79</v>
      </c>
      <c r="CG5" s="8">
        <f>Assumptions!CE76</f>
        <v>80</v>
      </c>
      <c r="CH5" s="8">
        <f>Assumptions!CF76</f>
        <v>81</v>
      </c>
      <c r="CI5" s="8">
        <f>Assumptions!CG76</f>
        <v>82</v>
      </c>
      <c r="CJ5" s="8">
        <f>Assumptions!CH76</f>
        <v>83</v>
      </c>
      <c r="CK5" s="8">
        <f>Assumptions!CI76</f>
        <v>84</v>
      </c>
      <c r="CL5" s="8">
        <f>Assumptions!CJ76</f>
        <v>85</v>
      </c>
      <c r="CM5" s="8">
        <f>Assumptions!CK76</f>
        <v>86</v>
      </c>
      <c r="CN5" s="8">
        <f>Assumptions!CL76</f>
        <v>87</v>
      </c>
      <c r="CO5" s="8">
        <f>Assumptions!CM76</f>
        <v>88</v>
      </c>
      <c r="CP5" s="8">
        <f>Assumptions!CN76</f>
        <v>89</v>
      </c>
      <c r="CQ5" s="8">
        <f>Assumptions!CO76</f>
        <v>90</v>
      </c>
      <c r="CR5" s="8">
        <f>Assumptions!CP76</f>
        <v>91</v>
      </c>
      <c r="CS5" s="8">
        <f>Assumptions!CQ76</f>
        <v>92</v>
      </c>
      <c r="CT5" s="8">
        <f>Assumptions!CR76</f>
        <v>93</v>
      </c>
      <c r="CU5" s="8">
        <f>Assumptions!CS76</f>
        <v>94</v>
      </c>
      <c r="CV5" s="8">
        <f>Assumptions!CT76</f>
        <v>95</v>
      </c>
      <c r="CW5" s="8">
        <f>Assumptions!CU76</f>
        <v>96</v>
      </c>
      <c r="CX5" s="8">
        <f>Assumptions!CV76</f>
        <v>97</v>
      </c>
      <c r="CY5" s="8">
        <f>Assumptions!CW76</f>
        <v>98</v>
      </c>
      <c r="CZ5" s="8">
        <f>Assumptions!CX76</f>
        <v>99</v>
      </c>
      <c r="DA5" s="8">
        <f>Assumptions!CY76</f>
        <v>100</v>
      </c>
      <c r="DB5" s="8">
        <f>Assumptions!CZ76</f>
        <v>101</v>
      </c>
      <c r="DC5" s="8">
        <f>Assumptions!DA76</f>
        <v>102</v>
      </c>
      <c r="DD5" s="8">
        <f>Assumptions!DB76</f>
        <v>103</v>
      </c>
      <c r="DE5" s="8">
        <f>Assumptions!DC76</f>
        <v>104</v>
      </c>
      <c r="DF5" s="8">
        <f>Assumptions!DD76</f>
        <v>105</v>
      </c>
      <c r="DG5" s="8">
        <f>Assumptions!DE76</f>
        <v>106</v>
      </c>
      <c r="DH5" s="8">
        <f>Assumptions!DF76</f>
        <v>107</v>
      </c>
      <c r="DI5" s="8">
        <f>Assumptions!DG76</f>
        <v>108</v>
      </c>
      <c r="DJ5" s="8">
        <f>Assumptions!DH76</f>
        <v>109</v>
      </c>
      <c r="DK5" s="8">
        <f>Assumptions!DI76</f>
        <v>110</v>
      </c>
      <c r="DL5" s="8">
        <f>Assumptions!DJ76</f>
        <v>111</v>
      </c>
      <c r="DM5" s="8">
        <f>Assumptions!DK76</f>
        <v>112</v>
      </c>
      <c r="DN5" s="8">
        <f>Assumptions!DL76</f>
        <v>113</v>
      </c>
      <c r="DO5" s="8">
        <f>Assumptions!DM76</f>
        <v>114</v>
      </c>
      <c r="DP5" s="8">
        <f>Assumptions!DN76</f>
        <v>115</v>
      </c>
      <c r="DQ5" s="8">
        <f>Assumptions!DO76</f>
        <v>116</v>
      </c>
      <c r="DR5" s="8">
        <f>Assumptions!DP76</f>
        <v>117</v>
      </c>
      <c r="DS5" s="8">
        <f>Assumptions!DQ76</f>
        <v>118</v>
      </c>
      <c r="DT5" s="8">
        <f>Assumptions!DR76</f>
        <v>119</v>
      </c>
      <c r="DU5" s="8">
        <f>Assumptions!DS76</f>
        <v>120</v>
      </c>
      <c r="DV5" s="8">
        <f>Assumptions!DT76</f>
        <v>121</v>
      </c>
      <c r="DW5" s="8">
        <f>Assumptions!DU76</f>
        <v>122</v>
      </c>
      <c r="DX5" s="8">
        <f>Assumptions!DV76</f>
        <v>123</v>
      </c>
      <c r="DY5" s="8">
        <f>Assumptions!DW76</f>
        <v>124</v>
      </c>
      <c r="DZ5" s="8">
        <f>Assumptions!DX76</f>
        <v>125</v>
      </c>
      <c r="EA5" s="8">
        <f>Assumptions!DY76</f>
        <v>126</v>
      </c>
      <c r="EB5" s="8">
        <f>Assumptions!DZ76</f>
        <v>127</v>
      </c>
      <c r="EC5" s="8">
        <f>Assumptions!EA76</f>
        <v>128</v>
      </c>
      <c r="ED5" s="8">
        <f>Assumptions!EB76</f>
        <v>129</v>
      </c>
      <c r="EE5" s="8">
        <f>Assumptions!EC76</f>
        <v>130</v>
      </c>
      <c r="EF5" s="8">
        <f>Assumptions!ED76</f>
        <v>131</v>
      </c>
      <c r="EG5" s="8">
        <f>Assumptions!EE76</f>
        <v>132</v>
      </c>
      <c r="EH5" s="8">
        <f>Assumptions!EF76</f>
        <v>133</v>
      </c>
      <c r="EI5" s="8">
        <f>Assumptions!EG76</f>
        <v>134</v>
      </c>
      <c r="EJ5" s="8">
        <f>Assumptions!EH76</f>
        <v>135</v>
      </c>
      <c r="EK5" s="8">
        <f>Assumptions!EI76</f>
        <v>136</v>
      </c>
      <c r="EL5" s="8">
        <f>Assumptions!EJ76</f>
        <v>137</v>
      </c>
      <c r="EM5" s="8">
        <f>Assumptions!EK76</f>
        <v>138</v>
      </c>
      <c r="EN5" s="8">
        <f>Assumptions!EL76</f>
        <v>139</v>
      </c>
      <c r="EO5" s="8">
        <f>Assumptions!EM76</f>
        <v>140</v>
      </c>
      <c r="EP5" s="8">
        <f>Assumptions!EN76</f>
        <v>141</v>
      </c>
      <c r="EQ5" s="8">
        <f>Assumptions!EO76</f>
        <v>142</v>
      </c>
      <c r="ER5" s="8">
        <f>Assumptions!EP76</f>
        <v>143</v>
      </c>
      <c r="ES5" s="8">
        <f>Assumptions!EQ76</f>
        <v>144</v>
      </c>
      <c r="ET5" s="8">
        <f>Assumptions!ER76</f>
        <v>145</v>
      </c>
      <c r="EU5" s="8">
        <f>Assumptions!ES76</f>
        <v>146</v>
      </c>
      <c r="EV5" s="8">
        <f>Assumptions!ET76</f>
        <v>147</v>
      </c>
      <c r="EW5" s="8">
        <f>Assumptions!EU76</f>
        <v>148</v>
      </c>
      <c r="EX5" s="8">
        <f>Assumptions!EV76</f>
        <v>149</v>
      </c>
      <c r="EY5" s="8">
        <f>Assumptions!EW76</f>
        <v>150</v>
      </c>
      <c r="EZ5" s="8">
        <f>Assumptions!EX76</f>
        <v>151</v>
      </c>
      <c r="FA5" s="8">
        <f>Assumptions!EY76</f>
        <v>152</v>
      </c>
      <c r="FB5" s="8">
        <f>Assumptions!EZ76</f>
        <v>153</v>
      </c>
      <c r="FC5" s="8">
        <f>Assumptions!FA76</f>
        <v>154</v>
      </c>
      <c r="FD5" s="8">
        <f>Assumptions!FB76</f>
        <v>155</v>
      </c>
      <c r="FE5" s="8">
        <f>Assumptions!FC76</f>
        <v>156</v>
      </c>
      <c r="FF5" s="8">
        <f>Assumptions!FD76</f>
        <v>157</v>
      </c>
      <c r="FG5" s="8">
        <f>Assumptions!FE76</f>
        <v>158</v>
      </c>
      <c r="FH5" s="8">
        <f>Assumptions!FF76</f>
        <v>159</v>
      </c>
      <c r="FI5" s="8">
        <f>Assumptions!FG76</f>
        <v>160</v>
      </c>
      <c r="FJ5" s="8">
        <f>Assumptions!FH76</f>
        <v>161</v>
      </c>
      <c r="FK5" s="8">
        <f>Assumptions!FI76</f>
        <v>162</v>
      </c>
      <c r="FL5" s="8">
        <f>Assumptions!FJ76</f>
        <v>163</v>
      </c>
      <c r="FM5" s="8">
        <f>Assumptions!FK76</f>
        <v>164</v>
      </c>
      <c r="FN5" s="8">
        <f>Assumptions!FL76</f>
        <v>165</v>
      </c>
      <c r="FO5" s="8">
        <f>Assumptions!FM76</f>
        <v>166</v>
      </c>
      <c r="FP5" s="8">
        <f>Assumptions!FN76</f>
        <v>167</v>
      </c>
      <c r="FQ5" s="8">
        <f>Assumptions!FO76</f>
        <v>168</v>
      </c>
      <c r="FR5" s="8">
        <f>Assumptions!FP76</f>
        <v>169</v>
      </c>
      <c r="FS5" s="8">
        <f>Assumptions!FQ76</f>
        <v>170</v>
      </c>
      <c r="FT5" s="8">
        <f>Assumptions!FR76</f>
        <v>171</v>
      </c>
      <c r="FU5" s="8">
        <f>Assumptions!FS76</f>
        <v>172</v>
      </c>
      <c r="FV5" s="8">
        <f>Assumptions!FT76</f>
        <v>173</v>
      </c>
      <c r="FW5" s="8">
        <f>Assumptions!FU76</f>
        <v>174</v>
      </c>
      <c r="FX5" s="8">
        <f>Assumptions!FV76</f>
        <v>175</v>
      </c>
      <c r="FY5" s="8">
        <f>Assumptions!FW76</f>
        <v>176</v>
      </c>
      <c r="FZ5" s="8">
        <f>Assumptions!FX76</f>
        <v>177</v>
      </c>
      <c r="GA5" s="8">
        <f>Assumptions!FY76</f>
        <v>178</v>
      </c>
      <c r="GB5" s="8">
        <f>Assumptions!FZ76</f>
        <v>179</v>
      </c>
      <c r="GC5" s="8">
        <f>Assumptions!GA76</f>
        <v>180</v>
      </c>
    </row>
    <row r="6" spans="1:185">
      <c r="A6" s="7"/>
      <c r="B6" s="7" t="s">
        <v>26</v>
      </c>
      <c r="C6" s="7"/>
      <c r="D6" s="7"/>
      <c r="E6" s="7"/>
      <c r="F6" s="8">
        <f>Assumptions!D77</f>
        <v>2026</v>
      </c>
      <c r="G6" s="8">
        <f>Assumptions!E77</f>
        <v>2026</v>
      </c>
      <c r="H6" s="8">
        <f>Assumptions!F77</f>
        <v>2026</v>
      </c>
      <c r="I6" s="8">
        <f>Assumptions!G77</f>
        <v>2026</v>
      </c>
      <c r="J6" s="8">
        <f>Assumptions!H77</f>
        <v>2026</v>
      </c>
      <c r="K6" s="8">
        <f>Assumptions!I77</f>
        <v>2026</v>
      </c>
      <c r="L6" s="8">
        <f>Assumptions!J77</f>
        <v>2026</v>
      </c>
      <c r="M6" s="8">
        <f>Assumptions!K77</f>
        <v>2026</v>
      </c>
      <c r="N6" s="8">
        <f>Assumptions!L77</f>
        <v>2026</v>
      </c>
      <c r="O6" s="8">
        <f>Assumptions!M77</f>
        <v>2026</v>
      </c>
      <c r="P6" s="8">
        <f>Assumptions!N77</f>
        <v>2026</v>
      </c>
      <c r="Q6" s="8">
        <f>Assumptions!O77</f>
        <v>2026</v>
      </c>
      <c r="R6" s="8">
        <f>Assumptions!P77</f>
        <v>2027</v>
      </c>
      <c r="S6" s="8">
        <f>Assumptions!Q77</f>
        <v>2027</v>
      </c>
      <c r="T6" s="8">
        <f>Assumptions!R77</f>
        <v>2027</v>
      </c>
      <c r="U6" s="8">
        <f>Assumptions!S77</f>
        <v>2027</v>
      </c>
      <c r="V6" s="8">
        <f>Assumptions!T77</f>
        <v>2027</v>
      </c>
      <c r="W6" s="8">
        <f>Assumptions!U77</f>
        <v>2027</v>
      </c>
      <c r="X6" s="8">
        <f>Assumptions!V77</f>
        <v>2027</v>
      </c>
      <c r="Y6" s="8">
        <f>Assumptions!W77</f>
        <v>2027</v>
      </c>
      <c r="Z6" s="8">
        <f>Assumptions!X77</f>
        <v>2027</v>
      </c>
      <c r="AA6" s="8">
        <f>Assumptions!Y77</f>
        <v>2027</v>
      </c>
      <c r="AB6" s="8">
        <f>Assumptions!Z77</f>
        <v>2027</v>
      </c>
      <c r="AC6" s="8">
        <f>Assumptions!AA77</f>
        <v>2027</v>
      </c>
      <c r="AD6" s="8">
        <f>Assumptions!AB77</f>
        <v>2028</v>
      </c>
      <c r="AE6" s="8">
        <f>Assumptions!AC77</f>
        <v>2028</v>
      </c>
      <c r="AF6" s="8">
        <f>Assumptions!AD77</f>
        <v>2028</v>
      </c>
      <c r="AG6" s="8">
        <f>Assumptions!AE77</f>
        <v>2028</v>
      </c>
      <c r="AH6" s="8">
        <f>Assumptions!AF77</f>
        <v>2028</v>
      </c>
      <c r="AI6" s="8">
        <f>Assumptions!AG77</f>
        <v>2028</v>
      </c>
      <c r="AJ6" s="8">
        <f>Assumptions!AH77</f>
        <v>2028</v>
      </c>
      <c r="AK6" s="8">
        <f>Assumptions!AI77</f>
        <v>2028</v>
      </c>
      <c r="AL6" s="8">
        <f>Assumptions!AJ77</f>
        <v>2028</v>
      </c>
      <c r="AM6" s="8">
        <f>Assumptions!AK77</f>
        <v>2028</v>
      </c>
      <c r="AN6" s="8">
        <f>Assumptions!AL77</f>
        <v>2028</v>
      </c>
      <c r="AO6" s="8">
        <f>Assumptions!AM77</f>
        <v>2028</v>
      </c>
      <c r="AP6" s="8">
        <f>Assumptions!AN77</f>
        <v>2029</v>
      </c>
      <c r="AQ6" s="8">
        <f>Assumptions!AO77</f>
        <v>2029</v>
      </c>
      <c r="AR6" s="8">
        <f>Assumptions!AP77</f>
        <v>2029</v>
      </c>
      <c r="AS6" s="8">
        <f>Assumptions!AQ77</f>
        <v>2029</v>
      </c>
      <c r="AT6" s="8">
        <f>Assumptions!AR77</f>
        <v>2029</v>
      </c>
      <c r="AU6" s="8">
        <f>Assumptions!AS77</f>
        <v>2029</v>
      </c>
      <c r="AV6" s="8">
        <f>Assumptions!AT77</f>
        <v>2029</v>
      </c>
      <c r="AW6" s="8">
        <f>Assumptions!AU77</f>
        <v>2029</v>
      </c>
      <c r="AX6" s="8">
        <f>Assumptions!AV77</f>
        <v>2029</v>
      </c>
      <c r="AY6" s="8">
        <f>Assumptions!AW77</f>
        <v>2029</v>
      </c>
      <c r="AZ6" s="8">
        <f>Assumptions!AX77</f>
        <v>2029</v>
      </c>
      <c r="BA6" s="8">
        <f>Assumptions!AY77</f>
        <v>2029</v>
      </c>
      <c r="BB6" s="8">
        <f>Assumptions!AZ77</f>
        <v>2030</v>
      </c>
      <c r="BC6" s="8">
        <f>Assumptions!BA77</f>
        <v>2030</v>
      </c>
      <c r="BD6" s="8">
        <f>Assumptions!BB77</f>
        <v>2030</v>
      </c>
      <c r="BE6" s="8">
        <f>Assumptions!BC77</f>
        <v>2030</v>
      </c>
      <c r="BF6" s="8">
        <f>Assumptions!BD77</f>
        <v>2030</v>
      </c>
      <c r="BG6" s="8">
        <f>Assumptions!BE77</f>
        <v>2030</v>
      </c>
      <c r="BH6" s="8">
        <f>Assumptions!BF77</f>
        <v>2030</v>
      </c>
      <c r="BI6" s="8">
        <f>Assumptions!BG77</f>
        <v>2030</v>
      </c>
      <c r="BJ6" s="8">
        <f>Assumptions!BH77</f>
        <v>2030</v>
      </c>
      <c r="BK6" s="8">
        <f>Assumptions!BI77</f>
        <v>2030</v>
      </c>
      <c r="BL6" s="8">
        <f>Assumptions!BJ77</f>
        <v>2030</v>
      </c>
      <c r="BM6" s="8">
        <f>Assumptions!BK77</f>
        <v>2030</v>
      </c>
      <c r="BN6" s="8">
        <f>Assumptions!BL77</f>
        <v>2031</v>
      </c>
      <c r="BO6" s="8">
        <f>Assumptions!BM77</f>
        <v>2031</v>
      </c>
      <c r="BP6" s="8">
        <f>Assumptions!BN77</f>
        <v>2031</v>
      </c>
      <c r="BQ6" s="8">
        <f>Assumptions!BO77</f>
        <v>2031</v>
      </c>
      <c r="BR6" s="8">
        <f>Assumptions!BP77</f>
        <v>2031</v>
      </c>
      <c r="BS6" s="8">
        <f>Assumptions!BQ77</f>
        <v>2031</v>
      </c>
      <c r="BT6" s="8">
        <f>Assumptions!BR77</f>
        <v>2031</v>
      </c>
      <c r="BU6" s="8">
        <f>Assumptions!BS77</f>
        <v>2031</v>
      </c>
      <c r="BV6" s="8">
        <f>Assumptions!BT77</f>
        <v>2031</v>
      </c>
      <c r="BW6" s="8">
        <f>Assumptions!BU77</f>
        <v>2031</v>
      </c>
      <c r="BX6" s="8">
        <f>Assumptions!BV77</f>
        <v>2031</v>
      </c>
      <c r="BY6" s="8">
        <f>Assumptions!BW77</f>
        <v>2031</v>
      </c>
      <c r="BZ6" s="8">
        <f>Assumptions!BX77</f>
        <v>2032</v>
      </c>
      <c r="CA6" s="8">
        <f>Assumptions!BY77</f>
        <v>2032</v>
      </c>
      <c r="CB6" s="8">
        <f>Assumptions!BZ77</f>
        <v>2032</v>
      </c>
      <c r="CC6" s="8">
        <f>Assumptions!CA77</f>
        <v>2032</v>
      </c>
      <c r="CD6" s="8">
        <f>Assumptions!CB77</f>
        <v>2032</v>
      </c>
      <c r="CE6" s="8">
        <f>Assumptions!CC77</f>
        <v>2032</v>
      </c>
      <c r="CF6" s="8">
        <f>Assumptions!CD77</f>
        <v>2032</v>
      </c>
      <c r="CG6" s="8">
        <f>Assumptions!CE77</f>
        <v>2032</v>
      </c>
      <c r="CH6" s="8">
        <f>Assumptions!CF77</f>
        <v>2032</v>
      </c>
      <c r="CI6" s="8">
        <f>Assumptions!CG77</f>
        <v>2032</v>
      </c>
      <c r="CJ6" s="8">
        <f>Assumptions!CH77</f>
        <v>2032</v>
      </c>
      <c r="CK6" s="8">
        <f>Assumptions!CI77</f>
        <v>2032</v>
      </c>
      <c r="CL6" s="8">
        <f>Assumptions!CJ77</f>
        <v>2033</v>
      </c>
      <c r="CM6" s="8">
        <f>Assumptions!CK77</f>
        <v>2033</v>
      </c>
      <c r="CN6" s="8">
        <f>Assumptions!CL77</f>
        <v>2033</v>
      </c>
      <c r="CO6" s="8">
        <f>Assumptions!CM77</f>
        <v>2033</v>
      </c>
      <c r="CP6" s="8">
        <f>Assumptions!CN77</f>
        <v>2033</v>
      </c>
      <c r="CQ6" s="8">
        <f>Assumptions!CO77</f>
        <v>2033</v>
      </c>
      <c r="CR6" s="8">
        <f>Assumptions!CP77</f>
        <v>2033</v>
      </c>
      <c r="CS6" s="8">
        <f>Assumptions!CQ77</f>
        <v>2033</v>
      </c>
      <c r="CT6" s="8">
        <f>Assumptions!CR77</f>
        <v>2033</v>
      </c>
      <c r="CU6" s="8">
        <f>Assumptions!CS77</f>
        <v>2033</v>
      </c>
      <c r="CV6" s="8">
        <f>Assumptions!CT77</f>
        <v>2033</v>
      </c>
      <c r="CW6" s="8">
        <f>Assumptions!CU77</f>
        <v>2033</v>
      </c>
      <c r="CX6" s="8">
        <f>Assumptions!CV77</f>
        <v>2034</v>
      </c>
      <c r="CY6" s="8">
        <f>Assumptions!CW77</f>
        <v>2034</v>
      </c>
      <c r="CZ6" s="8">
        <f>Assumptions!CX77</f>
        <v>2034</v>
      </c>
      <c r="DA6" s="8">
        <f>Assumptions!CY77</f>
        <v>2034</v>
      </c>
      <c r="DB6" s="8">
        <f>Assumptions!CZ77</f>
        <v>2034</v>
      </c>
      <c r="DC6" s="8">
        <f>Assumptions!DA77</f>
        <v>2034</v>
      </c>
      <c r="DD6" s="8">
        <f>Assumptions!DB77</f>
        <v>2034</v>
      </c>
      <c r="DE6" s="8">
        <f>Assumptions!DC77</f>
        <v>2034</v>
      </c>
      <c r="DF6" s="8">
        <f>Assumptions!DD77</f>
        <v>2034</v>
      </c>
      <c r="DG6" s="8">
        <f>Assumptions!DE77</f>
        <v>2034</v>
      </c>
      <c r="DH6" s="8">
        <f>Assumptions!DF77</f>
        <v>2034</v>
      </c>
      <c r="DI6" s="8">
        <f>Assumptions!DG77</f>
        <v>2034</v>
      </c>
      <c r="DJ6" s="8">
        <f>Assumptions!DH77</f>
        <v>2035</v>
      </c>
      <c r="DK6" s="8">
        <f>Assumptions!DI77</f>
        <v>2035</v>
      </c>
      <c r="DL6" s="8">
        <f>Assumptions!DJ77</f>
        <v>2035</v>
      </c>
      <c r="DM6" s="8">
        <f>Assumptions!DK77</f>
        <v>2035</v>
      </c>
      <c r="DN6" s="8">
        <f>Assumptions!DL77</f>
        <v>2035</v>
      </c>
      <c r="DO6" s="8">
        <f>Assumptions!DM77</f>
        <v>2035</v>
      </c>
      <c r="DP6" s="8">
        <f>Assumptions!DN77</f>
        <v>2035</v>
      </c>
      <c r="DQ6" s="8">
        <f>Assumptions!DO77</f>
        <v>2035</v>
      </c>
      <c r="DR6" s="8">
        <f>Assumptions!DP77</f>
        <v>2035</v>
      </c>
      <c r="DS6" s="8">
        <f>Assumptions!DQ77</f>
        <v>2035</v>
      </c>
      <c r="DT6" s="8">
        <f>Assumptions!DR77</f>
        <v>2035</v>
      </c>
      <c r="DU6" s="8">
        <f>Assumptions!DS77</f>
        <v>2035</v>
      </c>
      <c r="DV6" s="8">
        <f>Assumptions!DT77</f>
        <v>2036</v>
      </c>
      <c r="DW6" s="8">
        <f>Assumptions!DU77</f>
        <v>2036</v>
      </c>
      <c r="DX6" s="8">
        <f>Assumptions!DV77</f>
        <v>2036</v>
      </c>
      <c r="DY6" s="8">
        <f>Assumptions!DW77</f>
        <v>2036</v>
      </c>
      <c r="DZ6" s="8">
        <f>Assumptions!DX77</f>
        <v>2036</v>
      </c>
      <c r="EA6" s="8">
        <f>Assumptions!DY77</f>
        <v>2036</v>
      </c>
      <c r="EB6" s="8">
        <f>Assumptions!DZ77</f>
        <v>2036</v>
      </c>
      <c r="EC6" s="8">
        <f>Assumptions!EA77</f>
        <v>2036</v>
      </c>
      <c r="ED6" s="8">
        <f>Assumptions!EB77</f>
        <v>2036</v>
      </c>
      <c r="EE6" s="8">
        <f>Assumptions!EC77</f>
        <v>2036</v>
      </c>
      <c r="EF6" s="8">
        <f>Assumptions!ED77</f>
        <v>2036</v>
      </c>
      <c r="EG6" s="8">
        <f>Assumptions!EE77</f>
        <v>2036</v>
      </c>
      <c r="EH6" s="8">
        <f>Assumptions!EF77</f>
        <v>2037</v>
      </c>
      <c r="EI6" s="8">
        <f>Assumptions!EG77</f>
        <v>2037</v>
      </c>
      <c r="EJ6" s="8">
        <f>Assumptions!EH77</f>
        <v>2037</v>
      </c>
      <c r="EK6" s="8">
        <f>Assumptions!EI77</f>
        <v>2037</v>
      </c>
      <c r="EL6" s="8">
        <f>Assumptions!EJ77</f>
        <v>2037</v>
      </c>
      <c r="EM6" s="8">
        <f>Assumptions!EK77</f>
        <v>2037</v>
      </c>
      <c r="EN6" s="8">
        <f>Assumptions!EL77</f>
        <v>2037</v>
      </c>
      <c r="EO6" s="8">
        <f>Assumptions!EM77</f>
        <v>2037</v>
      </c>
      <c r="EP6" s="8">
        <f>Assumptions!EN77</f>
        <v>2037</v>
      </c>
      <c r="EQ6" s="8">
        <f>Assumptions!EO77</f>
        <v>2037</v>
      </c>
      <c r="ER6" s="8">
        <f>Assumptions!EP77</f>
        <v>2037</v>
      </c>
      <c r="ES6" s="8">
        <f>Assumptions!EQ77</f>
        <v>2037</v>
      </c>
      <c r="ET6" s="8">
        <f>Assumptions!ER77</f>
        <v>2038</v>
      </c>
      <c r="EU6" s="8">
        <f>Assumptions!ES77</f>
        <v>2038</v>
      </c>
      <c r="EV6" s="8">
        <f>Assumptions!ET77</f>
        <v>2038</v>
      </c>
      <c r="EW6" s="8">
        <f>Assumptions!EU77</f>
        <v>2038</v>
      </c>
      <c r="EX6" s="8">
        <f>Assumptions!EV77</f>
        <v>2038</v>
      </c>
      <c r="EY6" s="8">
        <f>Assumptions!EW77</f>
        <v>2038</v>
      </c>
      <c r="EZ6" s="8">
        <f>Assumptions!EX77</f>
        <v>2038</v>
      </c>
      <c r="FA6" s="8">
        <f>Assumptions!EY77</f>
        <v>2038</v>
      </c>
      <c r="FB6" s="8">
        <f>Assumptions!EZ77</f>
        <v>2038</v>
      </c>
      <c r="FC6" s="8">
        <f>Assumptions!FA77</f>
        <v>2038</v>
      </c>
      <c r="FD6" s="8">
        <f>Assumptions!FB77</f>
        <v>2038</v>
      </c>
      <c r="FE6" s="8">
        <f>Assumptions!FC77</f>
        <v>2038</v>
      </c>
      <c r="FF6" s="8">
        <f>Assumptions!FD77</f>
        <v>2039</v>
      </c>
      <c r="FG6" s="8">
        <f>Assumptions!FE77</f>
        <v>2039</v>
      </c>
      <c r="FH6" s="8">
        <f>Assumptions!FF77</f>
        <v>2039</v>
      </c>
      <c r="FI6" s="8">
        <f>Assumptions!FG77</f>
        <v>2039</v>
      </c>
      <c r="FJ6" s="8">
        <f>Assumptions!FH77</f>
        <v>2039</v>
      </c>
      <c r="FK6" s="8">
        <f>Assumptions!FI77</f>
        <v>2039</v>
      </c>
      <c r="FL6" s="8">
        <f>Assumptions!FJ77</f>
        <v>2039</v>
      </c>
      <c r="FM6" s="8">
        <f>Assumptions!FK77</f>
        <v>2039</v>
      </c>
      <c r="FN6" s="8">
        <f>Assumptions!FL77</f>
        <v>2039</v>
      </c>
      <c r="FO6" s="8">
        <f>Assumptions!FM77</f>
        <v>2039</v>
      </c>
      <c r="FP6" s="8">
        <f>Assumptions!FN77</f>
        <v>2039</v>
      </c>
      <c r="FQ6" s="8">
        <f>Assumptions!FO77</f>
        <v>2039</v>
      </c>
      <c r="FR6" s="8">
        <f>Assumptions!FP77</f>
        <v>2040</v>
      </c>
      <c r="FS6" s="8">
        <f>Assumptions!FQ77</f>
        <v>2040</v>
      </c>
      <c r="FT6" s="8">
        <f>Assumptions!FR77</f>
        <v>2040</v>
      </c>
      <c r="FU6" s="8">
        <f>Assumptions!FS77</f>
        <v>2040</v>
      </c>
      <c r="FV6" s="8">
        <f>Assumptions!FT77</f>
        <v>2040</v>
      </c>
      <c r="FW6" s="8">
        <f>Assumptions!FU77</f>
        <v>2040</v>
      </c>
      <c r="FX6" s="8">
        <f>Assumptions!FV77</f>
        <v>2040</v>
      </c>
      <c r="FY6" s="8">
        <f>Assumptions!FW77</f>
        <v>2040</v>
      </c>
      <c r="FZ6" s="8">
        <f>Assumptions!FX77</f>
        <v>2040</v>
      </c>
      <c r="GA6" s="8">
        <f>Assumptions!FY77</f>
        <v>2040</v>
      </c>
      <c r="GB6" s="8">
        <f>Assumptions!FZ77</f>
        <v>2040</v>
      </c>
      <c r="GC6" s="8">
        <f>Assumptions!GA77</f>
        <v>2040</v>
      </c>
    </row>
    <row r="7" spans="1:185">
      <c r="A7" s="7"/>
      <c r="B7" s="7" t="s">
        <v>70</v>
      </c>
      <c r="C7" s="7"/>
      <c r="D7" s="7"/>
      <c r="E7" s="7"/>
      <c r="F7" s="8" t="str">
        <f>Assumptions!D78</f>
        <v>Jan</v>
      </c>
      <c r="G7" s="8" t="str">
        <f>Assumptions!E78</f>
        <v>Feb</v>
      </c>
      <c r="H7" s="8" t="str">
        <f>Assumptions!F78</f>
        <v>Mar</v>
      </c>
      <c r="I7" s="8" t="str">
        <f>Assumptions!G78</f>
        <v>Apr</v>
      </c>
      <c r="J7" s="8" t="str">
        <f>Assumptions!H78</f>
        <v>May</v>
      </c>
      <c r="K7" s="8" t="str">
        <f>Assumptions!I78</f>
        <v>Jun</v>
      </c>
      <c r="L7" s="8" t="str">
        <f>Assumptions!J78</f>
        <v>Jul</v>
      </c>
      <c r="M7" s="8" t="str">
        <f>Assumptions!K78</f>
        <v>Aug</v>
      </c>
      <c r="N7" s="8" t="str">
        <f>Assumptions!L78</f>
        <v>Sep</v>
      </c>
      <c r="O7" s="8" t="str">
        <f>Assumptions!M78</f>
        <v>Oct</v>
      </c>
      <c r="P7" s="8" t="str">
        <f>Assumptions!N78</f>
        <v>Nov</v>
      </c>
      <c r="Q7" s="8" t="str">
        <f>Assumptions!O78</f>
        <v>Dec</v>
      </c>
      <c r="R7" s="8" t="str">
        <f>Assumptions!P78</f>
        <v>Jan</v>
      </c>
      <c r="S7" s="8" t="str">
        <f>Assumptions!Q78</f>
        <v>Feb</v>
      </c>
      <c r="T7" s="8" t="str">
        <f>Assumptions!R78</f>
        <v>Mar</v>
      </c>
      <c r="U7" s="8" t="str">
        <f>Assumptions!S78</f>
        <v>Apr</v>
      </c>
      <c r="V7" s="8" t="str">
        <f>Assumptions!T78</f>
        <v>May</v>
      </c>
      <c r="W7" s="8" t="str">
        <f>Assumptions!U78</f>
        <v>Jun</v>
      </c>
      <c r="X7" s="8" t="str">
        <f>Assumptions!V78</f>
        <v>Jul</v>
      </c>
      <c r="Y7" s="8" t="str">
        <f>Assumptions!W78</f>
        <v>Aug</v>
      </c>
      <c r="Z7" s="8" t="str">
        <f>Assumptions!X78</f>
        <v>Sep</v>
      </c>
      <c r="AA7" s="8" t="str">
        <f>Assumptions!Y78</f>
        <v>Oct</v>
      </c>
      <c r="AB7" s="8" t="str">
        <f>Assumptions!Z78</f>
        <v>Nov</v>
      </c>
      <c r="AC7" s="8" t="str">
        <f>Assumptions!AA78</f>
        <v>Dec</v>
      </c>
      <c r="AD7" s="8" t="str">
        <f>Assumptions!AB78</f>
        <v>Jan</v>
      </c>
      <c r="AE7" s="8" t="str">
        <f>Assumptions!AC78</f>
        <v>Feb</v>
      </c>
      <c r="AF7" s="8" t="str">
        <f>Assumptions!AD78</f>
        <v>Mar</v>
      </c>
      <c r="AG7" s="8" t="str">
        <f>Assumptions!AE78</f>
        <v>Apr</v>
      </c>
      <c r="AH7" s="8" t="str">
        <f>Assumptions!AF78</f>
        <v>May</v>
      </c>
      <c r="AI7" s="8" t="str">
        <f>Assumptions!AG78</f>
        <v>Jun</v>
      </c>
      <c r="AJ7" s="8" t="str">
        <f>Assumptions!AH78</f>
        <v>Jul</v>
      </c>
      <c r="AK7" s="8" t="str">
        <f>Assumptions!AI78</f>
        <v>Aug</v>
      </c>
      <c r="AL7" s="8" t="str">
        <f>Assumptions!AJ78</f>
        <v>Sep</v>
      </c>
      <c r="AM7" s="8" t="str">
        <f>Assumptions!AK78</f>
        <v>Oct</v>
      </c>
      <c r="AN7" s="8" t="str">
        <f>Assumptions!AL78</f>
        <v>Nov</v>
      </c>
      <c r="AO7" s="8" t="str">
        <f>Assumptions!AM78</f>
        <v>Dec</v>
      </c>
      <c r="AP7" s="8" t="str">
        <f>Assumptions!AN78</f>
        <v>Jan</v>
      </c>
      <c r="AQ7" s="8" t="str">
        <f>Assumptions!AO78</f>
        <v>Feb</v>
      </c>
      <c r="AR7" s="8" t="str">
        <f>Assumptions!AP78</f>
        <v>Mar</v>
      </c>
      <c r="AS7" s="8" t="str">
        <f>Assumptions!AQ78</f>
        <v>Apr</v>
      </c>
      <c r="AT7" s="8" t="str">
        <f>Assumptions!AR78</f>
        <v>May</v>
      </c>
      <c r="AU7" s="8" t="str">
        <f>Assumptions!AS78</f>
        <v>Jun</v>
      </c>
      <c r="AV7" s="8" t="str">
        <f>Assumptions!AT78</f>
        <v>Jul</v>
      </c>
      <c r="AW7" s="8" t="str">
        <f>Assumptions!AU78</f>
        <v>Aug</v>
      </c>
      <c r="AX7" s="8" t="str">
        <f>Assumptions!AV78</f>
        <v>Sep</v>
      </c>
      <c r="AY7" s="8" t="str">
        <f>Assumptions!AW78</f>
        <v>Oct</v>
      </c>
      <c r="AZ7" s="8" t="str">
        <f>Assumptions!AX78</f>
        <v>Nov</v>
      </c>
      <c r="BA7" s="8" t="str">
        <f>Assumptions!AY78</f>
        <v>Dec</v>
      </c>
      <c r="BB7" s="8" t="str">
        <f>Assumptions!AZ78</f>
        <v>Jan</v>
      </c>
      <c r="BC7" s="8" t="str">
        <f>Assumptions!BA78</f>
        <v>Feb</v>
      </c>
      <c r="BD7" s="8" t="str">
        <f>Assumptions!BB78</f>
        <v>Mar</v>
      </c>
      <c r="BE7" s="8" t="str">
        <f>Assumptions!BC78</f>
        <v>Apr</v>
      </c>
      <c r="BF7" s="8" t="str">
        <f>Assumptions!BD78</f>
        <v>May</v>
      </c>
      <c r="BG7" s="8" t="str">
        <f>Assumptions!BE78</f>
        <v>Jun</v>
      </c>
      <c r="BH7" s="8" t="str">
        <f>Assumptions!BF78</f>
        <v>Jul</v>
      </c>
      <c r="BI7" s="8" t="str">
        <f>Assumptions!BG78</f>
        <v>Aug</v>
      </c>
      <c r="BJ7" s="8" t="str">
        <f>Assumptions!BH78</f>
        <v>Sep</v>
      </c>
      <c r="BK7" s="8" t="str">
        <f>Assumptions!BI78</f>
        <v>Oct</v>
      </c>
      <c r="BL7" s="8" t="str">
        <f>Assumptions!BJ78</f>
        <v>Nov</v>
      </c>
      <c r="BM7" s="8" t="str">
        <f>Assumptions!BK78</f>
        <v>Dec</v>
      </c>
      <c r="BN7" s="8" t="str">
        <f>Assumptions!BL78</f>
        <v>Jan</v>
      </c>
      <c r="BO7" s="8" t="str">
        <f>Assumptions!BM78</f>
        <v>Feb</v>
      </c>
      <c r="BP7" s="8" t="str">
        <f>Assumptions!BN78</f>
        <v>Mar</v>
      </c>
      <c r="BQ7" s="8" t="str">
        <f>Assumptions!BO78</f>
        <v>Apr</v>
      </c>
      <c r="BR7" s="8" t="str">
        <f>Assumptions!BP78</f>
        <v>May</v>
      </c>
      <c r="BS7" s="8" t="str">
        <f>Assumptions!BQ78</f>
        <v>Jun</v>
      </c>
      <c r="BT7" s="8" t="str">
        <f>Assumptions!BR78</f>
        <v>Jul</v>
      </c>
      <c r="BU7" s="8" t="str">
        <f>Assumptions!BS78</f>
        <v>Aug</v>
      </c>
      <c r="BV7" s="8" t="str">
        <f>Assumptions!BT78</f>
        <v>Sep</v>
      </c>
      <c r="BW7" s="8" t="str">
        <f>Assumptions!BU78</f>
        <v>Oct</v>
      </c>
      <c r="BX7" s="8" t="str">
        <f>Assumptions!BV78</f>
        <v>Nov</v>
      </c>
      <c r="BY7" s="8" t="str">
        <f>Assumptions!BW78</f>
        <v>Dec</v>
      </c>
      <c r="BZ7" s="8" t="str">
        <f>Assumptions!BX78</f>
        <v>Jan</v>
      </c>
      <c r="CA7" s="8" t="str">
        <f>Assumptions!BY78</f>
        <v>Feb</v>
      </c>
      <c r="CB7" s="8" t="str">
        <f>Assumptions!BZ78</f>
        <v>Mar</v>
      </c>
      <c r="CC7" s="8" t="str">
        <f>Assumptions!CA78</f>
        <v>Apr</v>
      </c>
      <c r="CD7" s="8" t="str">
        <f>Assumptions!CB78</f>
        <v>May</v>
      </c>
      <c r="CE7" s="8" t="str">
        <f>Assumptions!CC78</f>
        <v>Jun</v>
      </c>
      <c r="CF7" s="8" t="str">
        <f>Assumptions!CD78</f>
        <v>Jul</v>
      </c>
      <c r="CG7" s="8" t="str">
        <f>Assumptions!CE78</f>
        <v>Aug</v>
      </c>
      <c r="CH7" s="8" t="str">
        <f>Assumptions!CF78</f>
        <v>Sep</v>
      </c>
      <c r="CI7" s="8" t="str">
        <f>Assumptions!CG78</f>
        <v>Oct</v>
      </c>
      <c r="CJ7" s="8" t="str">
        <f>Assumptions!CH78</f>
        <v>Nov</v>
      </c>
      <c r="CK7" s="8" t="str">
        <f>Assumptions!CI78</f>
        <v>Dec</v>
      </c>
      <c r="CL7" s="8" t="str">
        <f>Assumptions!CJ78</f>
        <v>Jan</v>
      </c>
      <c r="CM7" s="8" t="str">
        <f>Assumptions!CK78</f>
        <v>Feb</v>
      </c>
      <c r="CN7" s="8" t="str">
        <f>Assumptions!CL78</f>
        <v>Mar</v>
      </c>
      <c r="CO7" s="8" t="str">
        <f>Assumptions!CM78</f>
        <v>Apr</v>
      </c>
      <c r="CP7" s="8" t="str">
        <f>Assumptions!CN78</f>
        <v>May</v>
      </c>
      <c r="CQ7" s="8" t="str">
        <f>Assumptions!CO78</f>
        <v>Jun</v>
      </c>
      <c r="CR7" s="8" t="str">
        <f>Assumptions!CP78</f>
        <v>Jul</v>
      </c>
      <c r="CS7" s="8" t="str">
        <f>Assumptions!CQ78</f>
        <v>Aug</v>
      </c>
      <c r="CT7" s="8" t="str">
        <f>Assumptions!CR78</f>
        <v>Sep</v>
      </c>
      <c r="CU7" s="8" t="str">
        <f>Assumptions!CS78</f>
        <v>Oct</v>
      </c>
      <c r="CV7" s="8" t="str">
        <f>Assumptions!CT78</f>
        <v>Nov</v>
      </c>
      <c r="CW7" s="8" t="str">
        <f>Assumptions!CU78</f>
        <v>Dec</v>
      </c>
      <c r="CX7" s="8" t="str">
        <f>Assumptions!CV78</f>
        <v>Jan</v>
      </c>
      <c r="CY7" s="8" t="str">
        <f>Assumptions!CW78</f>
        <v>Feb</v>
      </c>
      <c r="CZ7" s="8" t="str">
        <f>Assumptions!CX78</f>
        <v>Mar</v>
      </c>
      <c r="DA7" s="8" t="str">
        <f>Assumptions!CY78</f>
        <v>Apr</v>
      </c>
      <c r="DB7" s="8" t="str">
        <f>Assumptions!CZ78</f>
        <v>May</v>
      </c>
      <c r="DC7" s="8" t="str">
        <f>Assumptions!DA78</f>
        <v>Jun</v>
      </c>
      <c r="DD7" s="8" t="str">
        <f>Assumptions!DB78</f>
        <v>Jul</v>
      </c>
      <c r="DE7" s="8" t="str">
        <f>Assumptions!DC78</f>
        <v>Aug</v>
      </c>
      <c r="DF7" s="8" t="str">
        <f>Assumptions!DD78</f>
        <v>Sep</v>
      </c>
      <c r="DG7" s="8" t="str">
        <f>Assumptions!DE78</f>
        <v>Oct</v>
      </c>
      <c r="DH7" s="8" t="str">
        <f>Assumptions!DF78</f>
        <v>Nov</v>
      </c>
      <c r="DI7" s="8" t="str">
        <f>Assumptions!DG78</f>
        <v>Dec</v>
      </c>
      <c r="DJ7" s="8" t="str">
        <f>Assumptions!DH78</f>
        <v>Jan</v>
      </c>
      <c r="DK7" s="8" t="str">
        <f>Assumptions!DI78</f>
        <v>Feb</v>
      </c>
      <c r="DL7" s="8" t="str">
        <f>Assumptions!DJ78</f>
        <v>Mar</v>
      </c>
      <c r="DM7" s="8" t="str">
        <f>Assumptions!DK78</f>
        <v>Apr</v>
      </c>
      <c r="DN7" s="8" t="str">
        <f>Assumptions!DL78</f>
        <v>May</v>
      </c>
      <c r="DO7" s="8" t="str">
        <f>Assumptions!DM78</f>
        <v>Jun</v>
      </c>
      <c r="DP7" s="8" t="str">
        <f>Assumptions!DN78</f>
        <v>Jul</v>
      </c>
      <c r="DQ7" s="8" t="str">
        <f>Assumptions!DO78</f>
        <v>Aug</v>
      </c>
      <c r="DR7" s="8" t="str">
        <f>Assumptions!DP78</f>
        <v>Sep</v>
      </c>
      <c r="DS7" s="8" t="str">
        <f>Assumptions!DQ78</f>
        <v>Oct</v>
      </c>
      <c r="DT7" s="8" t="str">
        <f>Assumptions!DR78</f>
        <v>Nov</v>
      </c>
      <c r="DU7" s="8" t="str">
        <f>Assumptions!DS78</f>
        <v>Dec</v>
      </c>
      <c r="DV7" s="8" t="str">
        <f>Assumptions!DT78</f>
        <v>Jan</v>
      </c>
      <c r="DW7" s="8" t="str">
        <f>Assumptions!DU78</f>
        <v>Feb</v>
      </c>
      <c r="DX7" s="8" t="str">
        <f>Assumptions!DV78</f>
        <v>Mar</v>
      </c>
      <c r="DY7" s="8" t="str">
        <f>Assumptions!DW78</f>
        <v>Apr</v>
      </c>
      <c r="DZ7" s="8" t="str">
        <f>Assumptions!DX78</f>
        <v>May</v>
      </c>
      <c r="EA7" s="8" t="str">
        <f>Assumptions!DY78</f>
        <v>Jun</v>
      </c>
      <c r="EB7" s="8" t="str">
        <f>Assumptions!DZ78</f>
        <v>Jul</v>
      </c>
      <c r="EC7" s="8" t="str">
        <f>Assumptions!EA78</f>
        <v>Aug</v>
      </c>
      <c r="ED7" s="8" t="str">
        <f>Assumptions!EB78</f>
        <v>Sep</v>
      </c>
      <c r="EE7" s="8" t="str">
        <f>Assumptions!EC78</f>
        <v>Oct</v>
      </c>
      <c r="EF7" s="8" t="str">
        <f>Assumptions!ED78</f>
        <v>Nov</v>
      </c>
      <c r="EG7" s="8" t="str">
        <f>Assumptions!EE78</f>
        <v>Dec</v>
      </c>
      <c r="EH7" s="8" t="str">
        <f>Assumptions!EF78</f>
        <v>Jan</v>
      </c>
      <c r="EI7" s="8" t="str">
        <f>Assumptions!EG78</f>
        <v>Feb</v>
      </c>
      <c r="EJ7" s="8" t="str">
        <f>Assumptions!EH78</f>
        <v>Mar</v>
      </c>
      <c r="EK7" s="8" t="str">
        <f>Assumptions!EI78</f>
        <v>Apr</v>
      </c>
      <c r="EL7" s="8" t="str">
        <f>Assumptions!EJ78</f>
        <v>May</v>
      </c>
      <c r="EM7" s="8" t="str">
        <f>Assumptions!EK78</f>
        <v>Jun</v>
      </c>
      <c r="EN7" s="8" t="str">
        <f>Assumptions!EL78</f>
        <v>Jul</v>
      </c>
      <c r="EO7" s="8" t="str">
        <f>Assumptions!EM78</f>
        <v>Aug</v>
      </c>
      <c r="EP7" s="8" t="str">
        <f>Assumptions!EN78</f>
        <v>Sep</v>
      </c>
      <c r="EQ7" s="8" t="str">
        <f>Assumptions!EO78</f>
        <v>Oct</v>
      </c>
      <c r="ER7" s="8" t="str">
        <f>Assumptions!EP78</f>
        <v>Nov</v>
      </c>
      <c r="ES7" s="8" t="str">
        <f>Assumptions!EQ78</f>
        <v>Dec</v>
      </c>
      <c r="ET7" s="8" t="str">
        <f>Assumptions!ER78</f>
        <v>Jan</v>
      </c>
      <c r="EU7" s="8" t="str">
        <f>Assumptions!ES78</f>
        <v>Feb</v>
      </c>
      <c r="EV7" s="8" t="str">
        <f>Assumptions!ET78</f>
        <v>Mar</v>
      </c>
      <c r="EW7" s="8" t="str">
        <f>Assumptions!EU78</f>
        <v>Apr</v>
      </c>
      <c r="EX7" s="8" t="str">
        <f>Assumptions!EV78</f>
        <v>May</v>
      </c>
      <c r="EY7" s="8" t="str">
        <f>Assumptions!EW78</f>
        <v>Jun</v>
      </c>
      <c r="EZ7" s="8" t="str">
        <f>Assumptions!EX78</f>
        <v>Jul</v>
      </c>
      <c r="FA7" s="8" t="str">
        <f>Assumptions!EY78</f>
        <v>Aug</v>
      </c>
      <c r="FB7" s="8" t="str">
        <f>Assumptions!EZ78</f>
        <v>Sep</v>
      </c>
      <c r="FC7" s="8" t="str">
        <f>Assumptions!FA78</f>
        <v>Oct</v>
      </c>
      <c r="FD7" s="8" t="str">
        <f>Assumptions!FB78</f>
        <v>Nov</v>
      </c>
      <c r="FE7" s="8" t="str">
        <f>Assumptions!FC78</f>
        <v>Dec</v>
      </c>
      <c r="FF7" s="8" t="str">
        <f>Assumptions!FD78</f>
        <v>Jan</v>
      </c>
      <c r="FG7" s="8" t="str">
        <f>Assumptions!FE78</f>
        <v>Feb</v>
      </c>
      <c r="FH7" s="8" t="str">
        <f>Assumptions!FF78</f>
        <v>Mar</v>
      </c>
      <c r="FI7" s="8" t="str">
        <f>Assumptions!FG78</f>
        <v>Apr</v>
      </c>
      <c r="FJ7" s="8" t="str">
        <f>Assumptions!FH78</f>
        <v>May</v>
      </c>
      <c r="FK7" s="8" t="str">
        <f>Assumptions!FI78</f>
        <v>Jun</v>
      </c>
      <c r="FL7" s="8" t="str">
        <f>Assumptions!FJ78</f>
        <v>Jul</v>
      </c>
      <c r="FM7" s="8" t="str">
        <f>Assumptions!FK78</f>
        <v>Aug</v>
      </c>
      <c r="FN7" s="8" t="str">
        <f>Assumptions!FL78</f>
        <v>Sep</v>
      </c>
      <c r="FO7" s="8" t="str">
        <f>Assumptions!FM78</f>
        <v>Oct</v>
      </c>
      <c r="FP7" s="8" t="str">
        <f>Assumptions!FN78</f>
        <v>Nov</v>
      </c>
      <c r="FQ7" s="8" t="str">
        <f>Assumptions!FO78</f>
        <v>Dec</v>
      </c>
      <c r="FR7" s="8" t="str">
        <f>Assumptions!FP78</f>
        <v>Jan</v>
      </c>
      <c r="FS7" s="8" t="str">
        <f>Assumptions!FQ78</f>
        <v>Feb</v>
      </c>
      <c r="FT7" s="8" t="str">
        <f>Assumptions!FR78</f>
        <v>Mar</v>
      </c>
      <c r="FU7" s="8" t="str">
        <f>Assumptions!FS78</f>
        <v>Apr</v>
      </c>
      <c r="FV7" s="8" t="str">
        <f>Assumptions!FT78</f>
        <v>May</v>
      </c>
      <c r="FW7" s="8" t="str">
        <f>Assumptions!FU78</f>
        <v>Jun</v>
      </c>
      <c r="FX7" s="8" t="str">
        <f>Assumptions!FV78</f>
        <v>Jul</v>
      </c>
      <c r="FY7" s="8" t="str">
        <f>Assumptions!FW78</f>
        <v>Aug</v>
      </c>
      <c r="FZ7" s="8" t="str">
        <f>Assumptions!FX78</f>
        <v>Sep</v>
      </c>
      <c r="GA7" s="8" t="str">
        <f>Assumptions!FY78</f>
        <v>Oct</v>
      </c>
      <c r="GB7" s="8" t="str">
        <f>Assumptions!FZ78</f>
        <v>Nov</v>
      </c>
      <c r="GC7" s="8" t="str">
        <f>Assumptions!GA78</f>
        <v>Dec</v>
      </c>
    </row>
    <row r="8" spans="1:185">
      <c r="A8" s="7"/>
      <c r="B8" s="7" t="s">
        <v>71</v>
      </c>
      <c r="C8" s="7"/>
      <c r="D8" s="7"/>
      <c r="E8" s="7"/>
      <c r="F8" s="8">
        <f>Assumptions!D80</f>
        <v>31</v>
      </c>
      <c r="G8" s="8">
        <f>Assumptions!E80</f>
        <v>28</v>
      </c>
      <c r="H8" s="8">
        <f>Assumptions!F80</f>
        <v>31</v>
      </c>
      <c r="I8" s="8">
        <f>Assumptions!G80</f>
        <v>30</v>
      </c>
      <c r="J8" s="8">
        <f>Assumptions!H80</f>
        <v>31</v>
      </c>
      <c r="K8" s="8">
        <f>Assumptions!I80</f>
        <v>30</v>
      </c>
      <c r="L8" s="8">
        <f>Assumptions!J80</f>
        <v>31</v>
      </c>
      <c r="M8" s="8">
        <f>Assumptions!K80</f>
        <v>31</v>
      </c>
      <c r="N8" s="8">
        <f>Assumptions!L80</f>
        <v>30</v>
      </c>
      <c r="O8" s="8">
        <f>Assumptions!M80</f>
        <v>31</v>
      </c>
      <c r="P8" s="8">
        <f>Assumptions!N80</f>
        <v>30</v>
      </c>
      <c r="Q8" s="8">
        <f>Assumptions!O80</f>
        <v>31</v>
      </c>
      <c r="R8" s="8">
        <f>Assumptions!P80</f>
        <v>31</v>
      </c>
      <c r="S8" s="8">
        <f>Assumptions!Q80</f>
        <v>28</v>
      </c>
      <c r="T8" s="8">
        <f>Assumptions!R80</f>
        <v>31</v>
      </c>
      <c r="U8" s="8">
        <f>Assumptions!S80</f>
        <v>30</v>
      </c>
      <c r="V8" s="8">
        <f>Assumptions!T80</f>
        <v>31</v>
      </c>
      <c r="W8" s="8">
        <f>Assumptions!U80</f>
        <v>30</v>
      </c>
      <c r="X8" s="8">
        <f>Assumptions!V80</f>
        <v>31</v>
      </c>
      <c r="Y8" s="8">
        <f>Assumptions!W80</f>
        <v>31</v>
      </c>
      <c r="Z8" s="8">
        <f>Assumptions!X80</f>
        <v>30</v>
      </c>
      <c r="AA8" s="8">
        <f>Assumptions!Y80</f>
        <v>31</v>
      </c>
      <c r="AB8" s="8">
        <f>Assumptions!Z80</f>
        <v>30</v>
      </c>
      <c r="AC8" s="8">
        <f>Assumptions!AA80</f>
        <v>31</v>
      </c>
      <c r="AD8" s="8">
        <f>Assumptions!AB80</f>
        <v>31</v>
      </c>
      <c r="AE8" s="8">
        <f>Assumptions!AC80</f>
        <v>28</v>
      </c>
      <c r="AF8" s="8">
        <f>Assumptions!AD80</f>
        <v>31</v>
      </c>
      <c r="AG8" s="8">
        <f>Assumptions!AE80</f>
        <v>30</v>
      </c>
      <c r="AH8" s="8">
        <f>Assumptions!AF80</f>
        <v>31</v>
      </c>
      <c r="AI8" s="8">
        <f>Assumptions!AG80</f>
        <v>30</v>
      </c>
      <c r="AJ8" s="8">
        <f>Assumptions!AH80</f>
        <v>31</v>
      </c>
      <c r="AK8" s="8">
        <f>Assumptions!AI80</f>
        <v>31</v>
      </c>
      <c r="AL8" s="8">
        <f>Assumptions!AJ80</f>
        <v>30</v>
      </c>
      <c r="AM8" s="8">
        <f>Assumptions!AK80</f>
        <v>31</v>
      </c>
      <c r="AN8" s="8">
        <f>Assumptions!AL80</f>
        <v>30</v>
      </c>
      <c r="AO8" s="8">
        <f>Assumptions!AM80</f>
        <v>31</v>
      </c>
      <c r="AP8" s="8">
        <f>Assumptions!AN80</f>
        <v>31</v>
      </c>
      <c r="AQ8" s="8">
        <f>Assumptions!AO80</f>
        <v>28</v>
      </c>
      <c r="AR8" s="8">
        <f>Assumptions!AP80</f>
        <v>31</v>
      </c>
      <c r="AS8" s="8">
        <f>Assumptions!AQ80</f>
        <v>30</v>
      </c>
      <c r="AT8" s="8">
        <f>Assumptions!AR80</f>
        <v>31</v>
      </c>
      <c r="AU8" s="8">
        <f>Assumptions!AS80</f>
        <v>30</v>
      </c>
      <c r="AV8" s="8">
        <f>Assumptions!AT80</f>
        <v>31</v>
      </c>
      <c r="AW8" s="8">
        <f>Assumptions!AU80</f>
        <v>31</v>
      </c>
      <c r="AX8" s="8">
        <f>Assumptions!AV80</f>
        <v>30</v>
      </c>
      <c r="AY8" s="8">
        <f>Assumptions!AW80</f>
        <v>31</v>
      </c>
      <c r="AZ8" s="8">
        <f>Assumptions!AX80</f>
        <v>30</v>
      </c>
      <c r="BA8" s="8">
        <f>Assumptions!AY80</f>
        <v>31</v>
      </c>
      <c r="BB8" s="8">
        <f>Assumptions!AZ80</f>
        <v>31</v>
      </c>
      <c r="BC8" s="8">
        <f>Assumptions!BA80</f>
        <v>28</v>
      </c>
      <c r="BD8" s="8">
        <f>Assumptions!BB80</f>
        <v>31</v>
      </c>
      <c r="BE8" s="8">
        <f>Assumptions!BC80</f>
        <v>30</v>
      </c>
      <c r="BF8" s="8">
        <f>Assumptions!BD80</f>
        <v>31</v>
      </c>
      <c r="BG8" s="8">
        <f>Assumptions!BE80</f>
        <v>30</v>
      </c>
      <c r="BH8" s="8">
        <f>Assumptions!BF80</f>
        <v>31</v>
      </c>
      <c r="BI8" s="8">
        <f>Assumptions!BG80</f>
        <v>31</v>
      </c>
      <c r="BJ8" s="8">
        <f>Assumptions!BH80</f>
        <v>30</v>
      </c>
      <c r="BK8" s="8">
        <f>Assumptions!BI80</f>
        <v>31</v>
      </c>
      <c r="BL8" s="8">
        <f>Assumptions!BJ80</f>
        <v>30</v>
      </c>
      <c r="BM8" s="8">
        <f>Assumptions!BK80</f>
        <v>31</v>
      </c>
      <c r="BN8" s="8">
        <f>Assumptions!BL80</f>
        <v>31</v>
      </c>
      <c r="BO8" s="8">
        <f>Assumptions!BM80</f>
        <v>28</v>
      </c>
      <c r="BP8" s="8">
        <f>Assumptions!BN80</f>
        <v>31</v>
      </c>
      <c r="BQ8" s="8">
        <f>Assumptions!BO80</f>
        <v>30</v>
      </c>
      <c r="BR8" s="8">
        <f>Assumptions!BP80</f>
        <v>31</v>
      </c>
      <c r="BS8" s="8">
        <f>Assumptions!BQ80</f>
        <v>30</v>
      </c>
      <c r="BT8" s="8">
        <f>Assumptions!BR80</f>
        <v>31</v>
      </c>
      <c r="BU8" s="8">
        <f>Assumptions!BS80</f>
        <v>31</v>
      </c>
      <c r="BV8" s="8">
        <f>Assumptions!BT80</f>
        <v>30</v>
      </c>
      <c r="BW8" s="8">
        <f>Assumptions!BU80</f>
        <v>31</v>
      </c>
      <c r="BX8" s="8">
        <f>Assumptions!BV80</f>
        <v>30</v>
      </c>
      <c r="BY8" s="8">
        <f>Assumptions!BW80</f>
        <v>31</v>
      </c>
      <c r="BZ8" s="8">
        <f>Assumptions!BX80</f>
        <v>31</v>
      </c>
      <c r="CA8" s="8">
        <f>Assumptions!BY80</f>
        <v>28</v>
      </c>
      <c r="CB8" s="8">
        <f>Assumptions!BZ80</f>
        <v>31</v>
      </c>
      <c r="CC8" s="8">
        <f>Assumptions!CA80</f>
        <v>30</v>
      </c>
      <c r="CD8" s="8">
        <f>Assumptions!CB80</f>
        <v>31</v>
      </c>
      <c r="CE8" s="8">
        <f>Assumptions!CC80</f>
        <v>30</v>
      </c>
      <c r="CF8" s="8">
        <f>Assumptions!CD80</f>
        <v>31</v>
      </c>
      <c r="CG8" s="8">
        <f>Assumptions!CE80</f>
        <v>31</v>
      </c>
      <c r="CH8" s="8">
        <f>Assumptions!CF80</f>
        <v>30</v>
      </c>
      <c r="CI8" s="8">
        <f>Assumptions!CG80</f>
        <v>31</v>
      </c>
      <c r="CJ8" s="8">
        <f>Assumptions!CH80</f>
        <v>30</v>
      </c>
      <c r="CK8" s="8">
        <f>Assumptions!CI80</f>
        <v>31</v>
      </c>
      <c r="CL8" s="8">
        <f>Assumptions!CJ80</f>
        <v>31</v>
      </c>
      <c r="CM8" s="8">
        <f>Assumptions!CK80</f>
        <v>28</v>
      </c>
      <c r="CN8" s="8">
        <f>Assumptions!CL80</f>
        <v>31</v>
      </c>
      <c r="CO8" s="8">
        <f>Assumptions!CM80</f>
        <v>30</v>
      </c>
      <c r="CP8" s="8">
        <f>Assumptions!CN80</f>
        <v>31</v>
      </c>
      <c r="CQ8" s="8">
        <f>Assumptions!CO80</f>
        <v>30</v>
      </c>
      <c r="CR8" s="8">
        <f>Assumptions!CP80</f>
        <v>31</v>
      </c>
      <c r="CS8" s="8">
        <f>Assumptions!CQ80</f>
        <v>31</v>
      </c>
      <c r="CT8" s="8">
        <f>Assumptions!CR80</f>
        <v>30</v>
      </c>
      <c r="CU8" s="8">
        <f>Assumptions!CS80</f>
        <v>31</v>
      </c>
      <c r="CV8" s="8">
        <f>Assumptions!CT80</f>
        <v>30</v>
      </c>
      <c r="CW8" s="8">
        <f>Assumptions!CU80</f>
        <v>31</v>
      </c>
      <c r="CX8" s="8">
        <f>Assumptions!CV80</f>
        <v>31</v>
      </c>
      <c r="CY8" s="8">
        <f>Assumptions!CW80</f>
        <v>28</v>
      </c>
      <c r="CZ8" s="8">
        <f>Assumptions!CX80</f>
        <v>31</v>
      </c>
      <c r="DA8" s="8">
        <f>Assumptions!CY80</f>
        <v>30</v>
      </c>
      <c r="DB8" s="8">
        <f>Assumptions!CZ80</f>
        <v>31</v>
      </c>
      <c r="DC8" s="8">
        <f>Assumptions!DA80</f>
        <v>30</v>
      </c>
      <c r="DD8" s="8">
        <f>Assumptions!DB80</f>
        <v>31</v>
      </c>
      <c r="DE8" s="8">
        <f>Assumptions!DC80</f>
        <v>31</v>
      </c>
      <c r="DF8" s="8">
        <f>Assumptions!DD80</f>
        <v>30</v>
      </c>
      <c r="DG8" s="8">
        <f>Assumptions!DE80</f>
        <v>31</v>
      </c>
      <c r="DH8" s="8">
        <f>Assumptions!DF80</f>
        <v>30</v>
      </c>
      <c r="DI8" s="8">
        <f>Assumptions!DG80</f>
        <v>31</v>
      </c>
      <c r="DJ8" s="8">
        <f>Assumptions!DH80</f>
        <v>31</v>
      </c>
      <c r="DK8" s="8">
        <f>Assumptions!DI80</f>
        <v>28</v>
      </c>
      <c r="DL8" s="8">
        <f>Assumptions!DJ80</f>
        <v>31</v>
      </c>
      <c r="DM8" s="8">
        <f>Assumptions!DK80</f>
        <v>30</v>
      </c>
      <c r="DN8" s="8">
        <f>Assumptions!DL80</f>
        <v>31</v>
      </c>
      <c r="DO8" s="8">
        <f>Assumptions!DM80</f>
        <v>30</v>
      </c>
      <c r="DP8" s="8">
        <f>Assumptions!DN80</f>
        <v>31</v>
      </c>
      <c r="DQ8" s="8">
        <f>Assumptions!DO80</f>
        <v>31</v>
      </c>
      <c r="DR8" s="8">
        <f>Assumptions!DP80</f>
        <v>30</v>
      </c>
      <c r="DS8" s="8">
        <f>Assumptions!DQ80</f>
        <v>31</v>
      </c>
      <c r="DT8" s="8">
        <f>Assumptions!DR80</f>
        <v>30</v>
      </c>
      <c r="DU8" s="8">
        <f>Assumptions!DS80</f>
        <v>31</v>
      </c>
      <c r="DV8" s="8">
        <f>Assumptions!DT80</f>
        <v>31</v>
      </c>
      <c r="DW8" s="8">
        <f>Assumptions!DU80</f>
        <v>28</v>
      </c>
      <c r="DX8" s="8">
        <f>Assumptions!DV80</f>
        <v>31</v>
      </c>
      <c r="DY8" s="8">
        <f>Assumptions!DW80</f>
        <v>30</v>
      </c>
      <c r="DZ8" s="8">
        <f>Assumptions!DX80</f>
        <v>31</v>
      </c>
      <c r="EA8" s="8">
        <f>Assumptions!DY80</f>
        <v>30</v>
      </c>
      <c r="EB8" s="8">
        <f>Assumptions!DZ80</f>
        <v>31</v>
      </c>
      <c r="EC8" s="8">
        <f>Assumptions!EA80</f>
        <v>31</v>
      </c>
      <c r="ED8" s="8">
        <f>Assumptions!EB80</f>
        <v>30</v>
      </c>
      <c r="EE8" s="8">
        <f>Assumptions!EC80</f>
        <v>31</v>
      </c>
      <c r="EF8" s="8">
        <f>Assumptions!ED80</f>
        <v>30</v>
      </c>
      <c r="EG8" s="8">
        <f>Assumptions!EE80</f>
        <v>31</v>
      </c>
      <c r="EH8" s="8">
        <f>Assumptions!EF80</f>
        <v>31</v>
      </c>
      <c r="EI8" s="8">
        <f>Assumptions!EG80</f>
        <v>28</v>
      </c>
      <c r="EJ8" s="8">
        <f>Assumptions!EH80</f>
        <v>31</v>
      </c>
      <c r="EK8" s="8">
        <f>Assumptions!EI80</f>
        <v>30</v>
      </c>
      <c r="EL8" s="8">
        <f>Assumptions!EJ80</f>
        <v>31</v>
      </c>
      <c r="EM8" s="8">
        <f>Assumptions!EK80</f>
        <v>30</v>
      </c>
      <c r="EN8" s="8">
        <f>Assumptions!EL80</f>
        <v>31</v>
      </c>
      <c r="EO8" s="8">
        <f>Assumptions!EM80</f>
        <v>31</v>
      </c>
      <c r="EP8" s="8">
        <f>Assumptions!EN80</f>
        <v>30</v>
      </c>
      <c r="EQ8" s="8">
        <f>Assumptions!EO80</f>
        <v>31</v>
      </c>
      <c r="ER8" s="8">
        <f>Assumptions!EP80</f>
        <v>30</v>
      </c>
      <c r="ES8" s="8">
        <f>Assumptions!EQ80</f>
        <v>31</v>
      </c>
      <c r="ET8" s="8">
        <f>Assumptions!ER80</f>
        <v>31</v>
      </c>
      <c r="EU8" s="8">
        <f>Assumptions!ES80</f>
        <v>28</v>
      </c>
      <c r="EV8" s="8">
        <f>Assumptions!ET80</f>
        <v>31</v>
      </c>
      <c r="EW8" s="8">
        <f>Assumptions!EU80</f>
        <v>30</v>
      </c>
      <c r="EX8" s="8">
        <f>Assumptions!EV80</f>
        <v>31</v>
      </c>
      <c r="EY8" s="8">
        <f>Assumptions!EW80</f>
        <v>30</v>
      </c>
      <c r="EZ8" s="8">
        <f>Assumptions!EX80</f>
        <v>31</v>
      </c>
      <c r="FA8" s="8">
        <f>Assumptions!EY80</f>
        <v>31</v>
      </c>
      <c r="FB8" s="8">
        <f>Assumptions!EZ80</f>
        <v>30</v>
      </c>
      <c r="FC8" s="8">
        <f>Assumptions!FA80</f>
        <v>31</v>
      </c>
      <c r="FD8" s="8">
        <f>Assumptions!FB80</f>
        <v>30</v>
      </c>
      <c r="FE8" s="8">
        <f>Assumptions!FC80</f>
        <v>31</v>
      </c>
      <c r="FF8" s="8">
        <f>Assumptions!FD80</f>
        <v>31</v>
      </c>
      <c r="FG8" s="8">
        <f>Assumptions!FE80</f>
        <v>28</v>
      </c>
      <c r="FH8" s="8">
        <f>Assumptions!FF80</f>
        <v>31</v>
      </c>
      <c r="FI8" s="8">
        <f>Assumptions!FG80</f>
        <v>30</v>
      </c>
      <c r="FJ8" s="8">
        <f>Assumptions!FH80</f>
        <v>31</v>
      </c>
      <c r="FK8" s="8">
        <f>Assumptions!FI80</f>
        <v>30</v>
      </c>
      <c r="FL8" s="8">
        <f>Assumptions!FJ80</f>
        <v>31</v>
      </c>
      <c r="FM8" s="8">
        <f>Assumptions!FK80</f>
        <v>31</v>
      </c>
      <c r="FN8" s="8">
        <f>Assumptions!FL80</f>
        <v>30</v>
      </c>
      <c r="FO8" s="8">
        <f>Assumptions!FM80</f>
        <v>31</v>
      </c>
      <c r="FP8" s="8">
        <f>Assumptions!FN80</f>
        <v>30</v>
      </c>
      <c r="FQ8" s="8">
        <f>Assumptions!FO80</f>
        <v>31</v>
      </c>
      <c r="FR8" s="8">
        <f>Assumptions!FP80</f>
        <v>31</v>
      </c>
      <c r="FS8" s="8">
        <f>Assumptions!FQ80</f>
        <v>28</v>
      </c>
      <c r="FT8" s="8">
        <f>Assumptions!FR80</f>
        <v>31</v>
      </c>
      <c r="FU8" s="8">
        <f>Assumptions!FS80</f>
        <v>30</v>
      </c>
      <c r="FV8" s="8">
        <f>Assumptions!FT80</f>
        <v>31</v>
      </c>
      <c r="FW8" s="8">
        <f>Assumptions!FU80</f>
        <v>30</v>
      </c>
      <c r="FX8" s="8">
        <f>Assumptions!FV80</f>
        <v>31</v>
      </c>
      <c r="FY8" s="8">
        <f>Assumptions!FW80</f>
        <v>31</v>
      </c>
      <c r="FZ8" s="8">
        <f>Assumptions!FX80</f>
        <v>30</v>
      </c>
      <c r="GA8" s="8">
        <f>Assumptions!FY80</f>
        <v>31</v>
      </c>
      <c r="GB8" s="8">
        <f>Assumptions!FZ80</f>
        <v>30</v>
      </c>
      <c r="GC8" s="8">
        <f>Assumptions!GA80</f>
        <v>31</v>
      </c>
    </row>
    <row r="9" spans="1:185">
      <c r="B9" t="s">
        <v>17</v>
      </c>
      <c r="C9" t="s">
        <v>30</v>
      </c>
      <c r="E9" s="25">
        <f t="shared" ref="E9:E16" si="0">SUM(F9:BM9)</f>
        <v>95127827.894139692</v>
      </c>
      <c r="F9" s="11">
        <f t="shared" ref="F9:O12" si="1">SUMPRODUCT((F$22:F$99)*($C$22:$C$99=$C9))</f>
        <v>0</v>
      </c>
      <c r="G9" s="11">
        <f t="shared" si="1"/>
        <v>0</v>
      </c>
      <c r="H9" s="11">
        <f t="shared" si="1"/>
        <v>0</v>
      </c>
      <c r="I9" s="11">
        <f t="shared" si="1"/>
        <v>0</v>
      </c>
      <c r="J9" s="11">
        <f t="shared" si="1"/>
        <v>0</v>
      </c>
      <c r="K9" s="11">
        <f t="shared" si="1"/>
        <v>0</v>
      </c>
      <c r="L9" s="11">
        <f t="shared" si="1"/>
        <v>0</v>
      </c>
      <c r="M9" s="11">
        <f t="shared" si="1"/>
        <v>1762387.2</v>
      </c>
      <c r="N9" s="11">
        <f t="shared" si="1"/>
        <v>1754506.4360864675</v>
      </c>
      <c r="O9" s="11">
        <f t="shared" si="1"/>
        <v>1829857.5786080218</v>
      </c>
      <c r="P9" s="11">
        <f t="shared" ref="P9:Y12" si="2">SUMPRODUCT((P$22:P$99)*($C$22:$C$99=$C9))</f>
        <v>1770829.9147819567</v>
      </c>
      <c r="Q9" s="11">
        <f t="shared" si="2"/>
        <v>1829857.5786080218</v>
      </c>
      <c r="R9" s="11">
        <f t="shared" si="2"/>
        <v>1829857.5786080218</v>
      </c>
      <c r="S9" s="11">
        <f t="shared" si="2"/>
        <v>1652774.5871298264</v>
      </c>
      <c r="T9" s="11">
        <f t="shared" si="2"/>
        <v>1829857.5786080218</v>
      </c>
      <c r="U9" s="11">
        <f t="shared" si="2"/>
        <v>1770829.9147819567</v>
      </c>
      <c r="V9" s="11">
        <f t="shared" si="2"/>
        <v>1829857.5786080218</v>
      </c>
      <c r="W9" s="11">
        <f t="shared" si="2"/>
        <v>1770829.9147819567</v>
      </c>
      <c r="X9" s="11">
        <f t="shared" si="2"/>
        <v>1829857.5786080218</v>
      </c>
      <c r="Y9" s="11">
        <f t="shared" si="2"/>
        <v>1829857.5786080218</v>
      </c>
      <c r="Z9" s="11">
        <f t="shared" ref="Z9:AI12" si="3">SUMPRODUCT((Z$22:Z$99)*($C$22:$C$99=$C9))</f>
        <v>1770829.9147819567</v>
      </c>
      <c r="AA9" s="11">
        <f t="shared" si="3"/>
        <v>1829857.5786080218</v>
      </c>
      <c r="AB9" s="11">
        <f t="shared" si="3"/>
        <v>1770829.9147819567</v>
      </c>
      <c r="AC9" s="11">
        <f t="shared" si="3"/>
        <v>1829857.5786080218</v>
      </c>
      <c r="AD9" s="11">
        <f t="shared" si="3"/>
        <v>1829857.5786080218</v>
      </c>
      <c r="AE9" s="11">
        <f t="shared" si="3"/>
        <v>1652774.5871298264</v>
      </c>
      <c r="AF9" s="11">
        <f t="shared" si="3"/>
        <v>1829857.5786080218</v>
      </c>
      <c r="AG9" s="11">
        <f t="shared" si="3"/>
        <v>1770829.9147819567</v>
      </c>
      <c r="AH9" s="11">
        <f t="shared" si="3"/>
        <v>1829857.5786080218</v>
      </c>
      <c r="AI9" s="11">
        <f t="shared" si="3"/>
        <v>1770829.9147819567</v>
      </c>
      <c r="AJ9" s="11">
        <f t="shared" ref="AJ9:AS12" si="4">SUMPRODUCT((AJ$22:AJ$99)*($C$22:$C$99=$C9))</f>
        <v>1829857.5786080218</v>
      </c>
      <c r="AK9" s="11">
        <f t="shared" si="4"/>
        <v>1829857.5786080218</v>
      </c>
      <c r="AL9" s="11">
        <f t="shared" si="4"/>
        <v>1770829.9147819567</v>
      </c>
      <c r="AM9" s="11">
        <f t="shared" si="4"/>
        <v>1829857.5786080218</v>
      </c>
      <c r="AN9" s="11">
        <f t="shared" si="4"/>
        <v>1770829.9147819567</v>
      </c>
      <c r="AO9" s="11">
        <f t="shared" si="4"/>
        <v>1829857.5786080218</v>
      </c>
      <c r="AP9" s="11">
        <f t="shared" si="4"/>
        <v>1829857.5786080218</v>
      </c>
      <c r="AQ9" s="11">
        <f t="shared" si="4"/>
        <v>1652774.5871298264</v>
      </c>
      <c r="AR9" s="11">
        <f t="shared" si="4"/>
        <v>1829857.5786080218</v>
      </c>
      <c r="AS9" s="11">
        <f t="shared" si="4"/>
        <v>1770829.9147819567</v>
      </c>
      <c r="AT9" s="11">
        <f t="shared" ref="AT9:BC12" si="5">SUMPRODUCT((AT$22:AT$99)*($C$22:$C$99=$C9))</f>
        <v>1829857.5786080218</v>
      </c>
      <c r="AU9" s="11">
        <f t="shared" si="5"/>
        <v>1770829.9147819567</v>
      </c>
      <c r="AV9" s="11">
        <f t="shared" si="5"/>
        <v>1829857.5786080218</v>
      </c>
      <c r="AW9" s="11">
        <f t="shared" si="5"/>
        <v>1829857.5786080218</v>
      </c>
      <c r="AX9" s="11">
        <f t="shared" si="5"/>
        <v>1770829.9147819567</v>
      </c>
      <c r="AY9" s="11">
        <f t="shared" si="5"/>
        <v>1829857.5786080218</v>
      </c>
      <c r="AZ9" s="11">
        <f t="shared" si="5"/>
        <v>1770829.9147819567</v>
      </c>
      <c r="BA9" s="11">
        <f t="shared" si="5"/>
        <v>1829857.5786080218</v>
      </c>
      <c r="BB9" s="11">
        <f t="shared" si="5"/>
        <v>1829857.5786080218</v>
      </c>
      <c r="BC9" s="11">
        <f t="shared" si="5"/>
        <v>1652774.5871298264</v>
      </c>
      <c r="BD9" s="11">
        <f t="shared" ref="BD9:BS12" si="6">SUMPRODUCT((BD$22:BD$99)*($C$22:$C$99=$C9))</f>
        <v>1829857.5786080218</v>
      </c>
      <c r="BE9" s="11">
        <f t="shared" si="6"/>
        <v>1770829.9147819567</v>
      </c>
      <c r="BF9" s="11">
        <f t="shared" si="6"/>
        <v>1829857.5786080218</v>
      </c>
      <c r="BG9" s="11">
        <f t="shared" si="6"/>
        <v>1770829.9147819567</v>
      </c>
      <c r="BH9" s="11">
        <f t="shared" si="6"/>
        <v>1829857.5786080218</v>
      </c>
      <c r="BI9" s="11">
        <f t="shared" si="6"/>
        <v>1829857.5786080218</v>
      </c>
      <c r="BJ9" s="11">
        <f t="shared" si="6"/>
        <v>1770829.9147819567</v>
      </c>
      <c r="BK9" s="11">
        <f t="shared" si="6"/>
        <v>1829857.5786080218</v>
      </c>
      <c r="BL9" s="11">
        <f t="shared" si="6"/>
        <v>1770829.9147819567</v>
      </c>
      <c r="BM9" s="11">
        <f t="shared" si="6"/>
        <v>1829857.5786080218</v>
      </c>
      <c r="BN9" s="11">
        <f t="shared" si="6"/>
        <v>1829857.5786080218</v>
      </c>
      <c r="BO9" s="11">
        <f t="shared" si="6"/>
        <v>1652774.5871298264</v>
      </c>
      <c r="BP9" s="11">
        <f t="shared" si="6"/>
        <v>1829857.5786080218</v>
      </c>
      <c r="BQ9" s="11">
        <f t="shared" si="6"/>
        <v>1770829.9147819567</v>
      </c>
      <c r="BR9" s="11">
        <f t="shared" si="6"/>
        <v>1829857.5786080218</v>
      </c>
      <c r="BS9" s="11">
        <f t="shared" si="6"/>
        <v>1770829.9147819567</v>
      </c>
      <c r="BT9" s="11">
        <f t="shared" ref="BT9:EE12" si="7">SUMPRODUCT((BT$22:BT$99)*($C$22:$C$99=$C9))</f>
        <v>1829857.5786080218</v>
      </c>
      <c r="BU9" s="11">
        <f t="shared" si="7"/>
        <v>1829857.5786080218</v>
      </c>
      <c r="BV9" s="11">
        <f t="shared" si="7"/>
        <v>1770829.9147819567</v>
      </c>
      <c r="BW9" s="11">
        <f t="shared" si="7"/>
        <v>1829857.5786080218</v>
      </c>
      <c r="BX9" s="11">
        <f t="shared" si="7"/>
        <v>1770829.9147819567</v>
      </c>
      <c r="BY9" s="11">
        <f t="shared" si="7"/>
        <v>1829857.5786080218</v>
      </c>
      <c r="BZ9" s="11">
        <f t="shared" si="7"/>
        <v>1829857.5786080218</v>
      </c>
      <c r="CA9" s="11">
        <f t="shared" si="7"/>
        <v>1652774.5871298264</v>
      </c>
      <c r="CB9" s="11">
        <f t="shared" si="7"/>
        <v>1829857.5786080218</v>
      </c>
      <c r="CC9" s="11">
        <f t="shared" si="7"/>
        <v>1770829.9147819567</v>
      </c>
      <c r="CD9" s="11">
        <f t="shared" si="7"/>
        <v>1829857.5786080218</v>
      </c>
      <c r="CE9" s="11">
        <f t="shared" si="7"/>
        <v>1770829.9147819567</v>
      </c>
      <c r="CF9" s="11">
        <f t="shared" si="7"/>
        <v>1829857.5786080218</v>
      </c>
      <c r="CG9" s="11">
        <f t="shared" si="7"/>
        <v>1829857.5786080218</v>
      </c>
      <c r="CH9" s="11">
        <f t="shared" si="7"/>
        <v>1770829.9147819567</v>
      </c>
      <c r="CI9" s="11">
        <f t="shared" si="7"/>
        <v>1829857.5786080218</v>
      </c>
      <c r="CJ9" s="11">
        <f t="shared" si="7"/>
        <v>1770829.9147819567</v>
      </c>
      <c r="CK9" s="11">
        <f t="shared" si="7"/>
        <v>1829857.5786080218</v>
      </c>
      <c r="CL9" s="11">
        <f t="shared" si="7"/>
        <v>1829857.5786080218</v>
      </c>
      <c r="CM9" s="11">
        <f t="shared" si="7"/>
        <v>1652774.5871298264</v>
      </c>
      <c r="CN9" s="11">
        <f t="shared" si="7"/>
        <v>1829857.5786080218</v>
      </c>
      <c r="CO9" s="11">
        <f t="shared" si="7"/>
        <v>1770829.9147819567</v>
      </c>
      <c r="CP9" s="11">
        <f t="shared" si="7"/>
        <v>1829857.5786080218</v>
      </c>
      <c r="CQ9" s="11">
        <f t="shared" si="7"/>
        <v>1770829.9147819567</v>
      </c>
      <c r="CR9" s="11">
        <f t="shared" si="7"/>
        <v>1829857.5786080218</v>
      </c>
      <c r="CS9" s="11">
        <f t="shared" si="7"/>
        <v>1829857.5786080218</v>
      </c>
      <c r="CT9" s="11">
        <f t="shared" si="7"/>
        <v>1770829.9147819567</v>
      </c>
      <c r="CU9" s="11">
        <f t="shared" si="7"/>
        <v>1829857.5786080218</v>
      </c>
      <c r="CV9" s="11">
        <f t="shared" si="7"/>
        <v>1770829.9147819567</v>
      </c>
      <c r="CW9" s="11">
        <f t="shared" si="7"/>
        <v>1829857.5786080218</v>
      </c>
      <c r="CX9" s="11">
        <f t="shared" si="7"/>
        <v>1829857.5786080218</v>
      </c>
      <c r="CY9" s="11">
        <f t="shared" si="7"/>
        <v>1652774.5871298264</v>
      </c>
      <c r="CZ9" s="11">
        <f t="shared" si="7"/>
        <v>1829857.5786080218</v>
      </c>
      <c r="DA9" s="11">
        <f t="shared" si="7"/>
        <v>1770829.9147819567</v>
      </c>
      <c r="DB9" s="11">
        <f t="shared" si="7"/>
        <v>1829857.5786080218</v>
      </c>
      <c r="DC9" s="11">
        <f t="shared" si="7"/>
        <v>1770829.9147819567</v>
      </c>
      <c r="DD9" s="11">
        <f t="shared" si="7"/>
        <v>1829857.5786080218</v>
      </c>
      <c r="DE9" s="11">
        <f t="shared" si="7"/>
        <v>1829857.5786080218</v>
      </c>
      <c r="DF9" s="11">
        <f t="shared" si="7"/>
        <v>1770829.9147819567</v>
      </c>
      <c r="DG9" s="11">
        <f t="shared" si="7"/>
        <v>1829857.5786080218</v>
      </c>
      <c r="DH9" s="11">
        <f t="shared" si="7"/>
        <v>1770829.9147819567</v>
      </c>
      <c r="DI9" s="11">
        <f t="shared" si="7"/>
        <v>1829857.5786080218</v>
      </c>
      <c r="DJ9" s="11">
        <f t="shared" si="7"/>
        <v>1829857.5786080218</v>
      </c>
      <c r="DK9" s="11">
        <f t="shared" si="7"/>
        <v>1652774.5871298264</v>
      </c>
      <c r="DL9" s="11">
        <f t="shared" si="7"/>
        <v>1829857.5786080218</v>
      </c>
      <c r="DM9" s="11">
        <f t="shared" si="7"/>
        <v>1770829.9147819567</v>
      </c>
      <c r="DN9" s="11">
        <f t="shared" si="7"/>
        <v>1829857.5786080218</v>
      </c>
      <c r="DO9" s="11">
        <f t="shared" si="7"/>
        <v>1770829.9147819567</v>
      </c>
      <c r="DP9" s="11">
        <f t="shared" si="7"/>
        <v>1829857.5786080218</v>
      </c>
      <c r="DQ9" s="11">
        <f t="shared" si="7"/>
        <v>1829857.5786080218</v>
      </c>
      <c r="DR9" s="11">
        <f t="shared" si="7"/>
        <v>1770829.9147819567</v>
      </c>
      <c r="DS9" s="11">
        <f t="shared" si="7"/>
        <v>1829857.5786080218</v>
      </c>
      <c r="DT9" s="11">
        <f t="shared" si="7"/>
        <v>1770829.9147819567</v>
      </c>
      <c r="DU9" s="11">
        <f t="shared" si="7"/>
        <v>1829857.5786080218</v>
      </c>
      <c r="DV9" s="11">
        <f t="shared" si="7"/>
        <v>1829857.5786080218</v>
      </c>
      <c r="DW9" s="11">
        <f t="shared" si="7"/>
        <v>1652774.5871298264</v>
      </c>
      <c r="DX9" s="11">
        <f t="shared" si="7"/>
        <v>1829857.5786080218</v>
      </c>
      <c r="DY9" s="11">
        <f t="shared" si="7"/>
        <v>1770829.9147819567</v>
      </c>
      <c r="DZ9" s="11">
        <f t="shared" si="7"/>
        <v>1829857.5786080218</v>
      </c>
      <c r="EA9" s="11">
        <f t="shared" si="7"/>
        <v>1770829.9147819567</v>
      </c>
      <c r="EB9" s="11">
        <f t="shared" si="7"/>
        <v>1829857.5786080218</v>
      </c>
      <c r="EC9" s="11">
        <f t="shared" si="7"/>
        <v>1829857.5786080218</v>
      </c>
      <c r="ED9" s="11">
        <f t="shared" si="7"/>
        <v>1770829.9147819567</v>
      </c>
      <c r="EE9" s="11">
        <f t="shared" si="7"/>
        <v>1829857.5786080218</v>
      </c>
      <c r="EF9" s="11">
        <f t="shared" ref="EF9:FW12" si="8">SUMPRODUCT((EF$22:EF$99)*($C$22:$C$99=$C9))</f>
        <v>1770829.9147819567</v>
      </c>
      <c r="EG9" s="11">
        <f t="shared" si="8"/>
        <v>1829857.5786080218</v>
      </c>
      <c r="EH9" s="11">
        <f t="shared" si="8"/>
        <v>1829857.5786080218</v>
      </c>
      <c r="EI9" s="11">
        <f t="shared" si="8"/>
        <v>1652774.5871298264</v>
      </c>
      <c r="EJ9" s="11">
        <f t="shared" si="8"/>
        <v>1829857.5786080218</v>
      </c>
      <c r="EK9" s="11">
        <f t="shared" si="8"/>
        <v>1770829.9147819567</v>
      </c>
      <c r="EL9" s="11">
        <f t="shared" si="8"/>
        <v>1829857.5786080218</v>
      </c>
      <c r="EM9" s="11">
        <f t="shared" si="8"/>
        <v>1770829.9147819567</v>
      </c>
      <c r="EN9" s="11">
        <f t="shared" si="8"/>
        <v>1829857.5786080218</v>
      </c>
      <c r="EO9" s="11">
        <f t="shared" si="8"/>
        <v>1829857.5786080218</v>
      </c>
      <c r="EP9" s="11">
        <f t="shared" si="8"/>
        <v>1770829.9147819567</v>
      </c>
      <c r="EQ9" s="11">
        <f t="shared" si="8"/>
        <v>1829857.5786080218</v>
      </c>
      <c r="ER9" s="11">
        <f t="shared" si="8"/>
        <v>1770829.9147819567</v>
      </c>
      <c r="ES9" s="11">
        <f t="shared" si="8"/>
        <v>1829857.5786080218</v>
      </c>
      <c r="ET9" s="11">
        <f t="shared" si="8"/>
        <v>1829857.5786080218</v>
      </c>
      <c r="EU9" s="11">
        <f t="shared" si="8"/>
        <v>1652774.5871298264</v>
      </c>
      <c r="EV9" s="11">
        <f t="shared" si="8"/>
        <v>1829857.5786080218</v>
      </c>
      <c r="EW9" s="11">
        <f t="shared" si="8"/>
        <v>1770829.9147819567</v>
      </c>
      <c r="EX9" s="11">
        <f t="shared" si="8"/>
        <v>1829857.5786080218</v>
      </c>
      <c r="EY9" s="11">
        <f t="shared" si="8"/>
        <v>1770829.9147819567</v>
      </c>
      <c r="EZ9" s="11">
        <f t="shared" si="8"/>
        <v>1829857.5786080218</v>
      </c>
      <c r="FA9" s="11">
        <f t="shared" si="8"/>
        <v>1829857.5786080218</v>
      </c>
      <c r="FB9" s="11">
        <f t="shared" si="8"/>
        <v>1770829.9147819567</v>
      </c>
      <c r="FC9" s="11">
        <f t="shared" si="8"/>
        <v>1829857.5786080218</v>
      </c>
      <c r="FD9" s="11">
        <f t="shared" si="8"/>
        <v>1770829.9147819567</v>
      </c>
      <c r="FE9" s="11">
        <f t="shared" si="8"/>
        <v>1829857.5786080218</v>
      </c>
      <c r="FF9" s="11">
        <f t="shared" si="8"/>
        <v>1829857.5786080218</v>
      </c>
      <c r="FG9" s="11">
        <f t="shared" si="8"/>
        <v>1652774.5871298264</v>
      </c>
      <c r="FH9" s="11">
        <f t="shared" si="8"/>
        <v>1829857.5786080218</v>
      </c>
      <c r="FI9" s="11">
        <f t="shared" si="8"/>
        <v>1770829.9147819567</v>
      </c>
      <c r="FJ9" s="11">
        <f t="shared" si="8"/>
        <v>1829857.5786080218</v>
      </c>
      <c r="FK9" s="11">
        <f t="shared" si="8"/>
        <v>1770829.9147819567</v>
      </c>
      <c r="FL9" s="11">
        <f t="shared" si="8"/>
        <v>1829857.5786080218</v>
      </c>
      <c r="FM9" s="11">
        <f t="shared" si="8"/>
        <v>1829857.5786080218</v>
      </c>
      <c r="FN9" s="11">
        <f t="shared" si="8"/>
        <v>1770829.9147819567</v>
      </c>
      <c r="FO9" s="11">
        <f t="shared" si="8"/>
        <v>1829857.5786080218</v>
      </c>
      <c r="FP9" s="11">
        <f t="shared" si="8"/>
        <v>1770829.9147819567</v>
      </c>
      <c r="FQ9" s="11">
        <f t="shared" si="8"/>
        <v>1829857.5786080218</v>
      </c>
      <c r="FR9" s="11">
        <f t="shared" si="8"/>
        <v>1829857.5786080218</v>
      </c>
      <c r="FS9" s="11">
        <f t="shared" si="8"/>
        <v>1652774.5871298264</v>
      </c>
      <c r="FT9" s="11">
        <f t="shared" si="8"/>
        <v>1829857.5786080218</v>
      </c>
      <c r="FU9" s="11">
        <f t="shared" si="8"/>
        <v>1770829.9147819567</v>
      </c>
      <c r="FV9" s="11">
        <f t="shared" si="8"/>
        <v>1829857.5786080218</v>
      </c>
      <c r="FW9" s="11">
        <f t="shared" si="8"/>
        <v>1770829.9147819567</v>
      </c>
      <c r="FX9" s="11">
        <f t="shared" ref="FX9:GC12" si="9">SUMPRODUCT((FX$22:FX$99)*($C$22:$C$99=$C9))</f>
        <v>1829857.5786080218</v>
      </c>
      <c r="FY9" s="11">
        <f t="shared" si="9"/>
        <v>1829857.5786080218</v>
      </c>
      <c r="FZ9" s="11">
        <f t="shared" si="9"/>
        <v>1770829.9147819567</v>
      </c>
      <c r="GA9" s="11">
        <f t="shared" si="9"/>
        <v>1829857.5786080218</v>
      </c>
      <c r="GB9" s="11">
        <f t="shared" si="9"/>
        <v>1770829.9147819567</v>
      </c>
      <c r="GC9" s="11">
        <f t="shared" si="9"/>
        <v>1829857.5786080218</v>
      </c>
    </row>
    <row r="10" spans="1:185">
      <c r="B10" t="s">
        <v>501</v>
      </c>
      <c r="C10" t="s">
        <v>61</v>
      </c>
      <c r="E10" s="25">
        <f t="shared" si="0"/>
        <v>15000000</v>
      </c>
      <c r="F10" s="11">
        <f t="shared" si="1"/>
        <v>15000000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2"/>
        <v>0</v>
      </c>
      <c r="Q10" s="11">
        <f t="shared" si="2"/>
        <v>0</v>
      </c>
      <c r="R10" s="11">
        <f t="shared" si="2"/>
        <v>0</v>
      </c>
      <c r="S10" s="11">
        <f t="shared" si="2"/>
        <v>0</v>
      </c>
      <c r="T10" s="11">
        <f t="shared" si="2"/>
        <v>0</v>
      </c>
      <c r="U10" s="11">
        <f t="shared" si="2"/>
        <v>0</v>
      </c>
      <c r="V10" s="11">
        <f t="shared" si="2"/>
        <v>0</v>
      </c>
      <c r="W10" s="11">
        <f t="shared" si="2"/>
        <v>0</v>
      </c>
      <c r="X10" s="11">
        <f t="shared" si="2"/>
        <v>0</v>
      </c>
      <c r="Y10" s="11">
        <f t="shared" si="2"/>
        <v>0</v>
      </c>
      <c r="Z10" s="11">
        <f t="shared" si="3"/>
        <v>0</v>
      </c>
      <c r="AA10" s="11">
        <f t="shared" si="3"/>
        <v>0</v>
      </c>
      <c r="AB10" s="11">
        <f t="shared" si="3"/>
        <v>0</v>
      </c>
      <c r="AC10" s="11">
        <f t="shared" si="3"/>
        <v>0</v>
      </c>
      <c r="AD10" s="11">
        <f t="shared" si="3"/>
        <v>0</v>
      </c>
      <c r="AE10" s="11">
        <f t="shared" si="3"/>
        <v>0</v>
      </c>
      <c r="AF10" s="11">
        <f t="shared" si="3"/>
        <v>0</v>
      </c>
      <c r="AG10" s="11">
        <f t="shared" si="3"/>
        <v>0</v>
      </c>
      <c r="AH10" s="11">
        <f t="shared" si="3"/>
        <v>0</v>
      </c>
      <c r="AI10" s="11">
        <f t="shared" si="3"/>
        <v>0</v>
      </c>
      <c r="AJ10" s="11">
        <f t="shared" si="4"/>
        <v>0</v>
      </c>
      <c r="AK10" s="11">
        <f t="shared" si="4"/>
        <v>0</v>
      </c>
      <c r="AL10" s="11">
        <f t="shared" si="4"/>
        <v>0</v>
      </c>
      <c r="AM10" s="11">
        <f t="shared" si="4"/>
        <v>0</v>
      </c>
      <c r="AN10" s="11">
        <f t="shared" si="4"/>
        <v>0</v>
      </c>
      <c r="AO10" s="11">
        <f t="shared" si="4"/>
        <v>0</v>
      </c>
      <c r="AP10" s="11">
        <f t="shared" si="4"/>
        <v>0</v>
      </c>
      <c r="AQ10" s="11">
        <f t="shared" si="4"/>
        <v>0</v>
      </c>
      <c r="AR10" s="11">
        <f t="shared" si="4"/>
        <v>0</v>
      </c>
      <c r="AS10" s="11">
        <f t="shared" si="4"/>
        <v>0</v>
      </c>
      <c r="AT10" s="11">
        <f t="shared" si="5"/>
        <v>0</v>
      </c>
      <c r="AU10" s="11">
        <f t="shared" si="5"/>
        <v>0</v>
      </c>
      <c r="AV10" s="11">
        <f t="shared" si="5"/>
        <v>0</v>
      </c>
      <c r="AW10" s="11">
        <f t="shared" si="5"/>
        <v>0</v>
      </c>
      <c r="AX10" s="11">
        <f t="shared" si="5"/>
        <v>0</v>
      </c>
      <c r="AY10" s="11">
        <f t="shared" si="5"/>
        <v>0</v>
      </c>
      <c r="AZ10" s="11">
        <f t="shared" si="5"/>
        <v>0</v>
      </c>
      <c r="BA10" s="11">
        <f t="shared" si="5"/>
        <v>0</v>
      </c>
      <c r="BB10" s="11">
        <f t="shared" si="5"/>
        <v>0</v>
      </c>
      <c r="BC10" s="11">
        <f t="shared" si="5"/>
        <v>0</v>
      </c>
      <c r="BD10" s="11">
        <f t="shared" si="6"/>
        <v>0</v>
      </c>
      <c r="BE10" s="11">
        <f t="shared" si="6"/>
        <v>0</v>
      </c>
      <c r="BF10" s="11">
        <f t="shared" si="6"/>
        <v>0</v>
      </c>
      <c r="BG10" s="11">
        <f t="shared" si="6"/>
        <v>0</v>
      </c>
      <c r="BH10" s="11">
        <f t="shared" si="6"/>
        <v>0</v>
      </c>
      <c r="BI10" s="11">
        <f t="shared" si="6"/>
        <v>0</v>
      </c>
      <c r="BJ10" s="11">
        <f t="shared" si="6"/>
        <v>0</v>
      </c>
      <c r="BK10" s="11">
        <f t="shared" si="6"/>
        <v>0</v>
      </c>
      <c r="BL10" s="11">
        <f t="shared" si="6"/>
        <v>0</v>
      </c>
      <c r="BM10" s="11">
        <f t="shared" si="6"/>
        <v>0</v>
      </c>
      <c r="BN10" s="11">
        <f t="shared" ref="BN10:DY12" si="10">SUMPRODUCT((BN$22:BN$99)*($C$22:$C$99=$C10))</f>
        <v>0</v>
      </c>
      <c r="BO10" s="11">
        <f t="shared" si="10"/>
        <v>0</v>
      </c>
      <c r="BP10" s="11">
        <f t="shared" si="10"/>
        <v>0</v>
      </c>
      <c r="BQ10" s="11">
        <f t="shared" si="10"/>
        <v>0</v>
      </c>
      <c r="BR10" s="11">
        <f t="shared" si="10"/>
        <v>0</v>
      </c>
      <c r="BS10" s="11">
        <f t="shared" si="10"/>
        <v>0</v>
      </c>
      <c r="BT10" s="11">
        <f t="shared" si="10"/>
        <v>0</v>
      </c>
      <c r="BU10" s="11">
        <f t="shared" si="10"/>
        <v>0</v>
      </c>
      <c r="BV10" s="11">
        <f t="shared" si="10"/>
        <v>0</v>
      </c>
      <c r="BW10" s="11">
        <f t="shared" si="10"/>
        <v>0</v>
      </c>
      <c r="BX10" s="11">
        <f t="shared" si="10"/>
        <v>0</v>
      </c>
      <c r="BY10" s="11">
        <f t="shared" si="10"/>
        <v>0</v>
      </c>
      <c r="BZ10" s="11">
        <f t="shared" si="10"/>
        <v>0</v>
      </c>
      <c r="CA10" s="11">
        <f t="shared" si="10"/>
        <v>0</v>
      </c>
      <c r="CB10" s="11">
        <f t="shared" si="10"/>
        <v>0</v>
      </c>
      <c r="CC10" s="11">
        <f t="shared" si="10"/>
        <v>0</v>
      </c>
      <c r="CD10" s="11">
        <f t="shared" si="10"/>
        <v>0</v>
      </c>
      <c r="CE10" s="11">
        <f t="shared" si="10"/>
        <v>0</v>
      </c>
      <c r="CF10" s="11">
        <f t="shared" si="10"/>
        <v>0</v>
      </c>
      <c r="CG10" s="11">
        <f t="shared" si="10"/>
        <v>0</v>
      </c>
      <c r="CH10" s="11">
        <f t="shared" si="10"/>
        <v>0</v>
      </c>
      <c r="CI10" s="11">
        <f t="shared" si="10"/>
        <v>0</v>
      </c>
      <c r="CJ10" s="11">
        <f t="shared" si="10"/>
        <v>0</v>
      </c>
      <c r="CK10" s="11">
        <f t="shared" si="10"/>
        <v>0</v>
      </c>
      <c r="CL10" s="11">
        <f t="shared" si="10"/>
        <v>0</v>
      </c>
      <c r="CM10" s="11">
        <f t="shared" si="10"/>
        <v>0</v>
      </c>
      <c r="CN10" s="11">
        <f t="shared" si="10"/>
        <v>0</v>
      </c>
      <c r="CO10" s="11">
        <f t="shared" si="10"/>
        <v>0</v>
      </c>
      <c r="CP10" s="11">
        <f t="shared" si="10"/>
        <v>0</v>
      </c>
      <c r="CQ10" s="11">
        <f t="shared" si="10"/>
        <v>0</v>
      </c>
      <c r="CR10" s="11">
        <f t="shared" si="10"/>
        <v>0</v>
      </c>
      <c r="CS10" s="11">
        <f t="shared" si="10"/>
        <v>0</v>
      </c>
      <c r="CT10" s="11">
        <f t="shared" si="10"/>
        <v>0</v>
      </c>
      <c r="CU10" s="11">
        <f t="shared" si="10"/>
        <v>0</v>
      </c>
      <c r="CV10" s="11">
        <f t="shared" si="10"/>
        <v>0</v>
      </c>
      <c r="CW10" s="11">
        <f t="shared" si="10"/>
        <v>0</v>
      </c>
      <c r="CX10" s="11">
        <f t="shared" si="10"/>
        <v>0</v>
      </c>
      <c r="CY10" s="11">
        <f t="shared" si="10"/>
        <v>0</v>
      </c>
      <c r="CZ10" s="11">
        <f t="shared" si="10"/>
        <v>0</v>
      </c>
      <c r="DA10" s="11">
        <f t="shared" si="10"/>
        <v>0</v>
      </c>
      <c r="DB10" s="11">
        <f t="shared" si="10"/>
        <v>0</v>
      </c>
      <c r="DC10" s="11">
        <f t="shared" si="10"/>
        <v>0</v>
      </c>
      <c r="DD10" s="11">
        <f t="shared" si="10"/>
        <v>0</v>
      </c>
      <c r="DE10" s="11">
        <f t="shared" si="10"/>
        <v>0</v>
      </c>
      <c r="DF10" s="11">
        <f t="shared" si="10"/>
        <v>0</v>
      </c>
      <c r="DG10" s="11">
        <f t="shared" si="10"/>
        <v>0</v>
      </c>
      <c r="DH10" s="11">
        <f t="shared" si="10"/>
        <v>0</v>
      </c>
      <c r="DI10" s="11">
        <f t="shared" si="10"/>
        <v>0</v>
      </c>
      <c r="DJ10" s="11">
        <f t="shared" si="10"/>
        <v>0</v>
      </c>
      <c r="DK10" s="11">
        <f t="shared" si="10"/>
        <v>0</v>
      </c>
      <c r="DL10" s="11">
        <f t="shared" si="10"/>
        <v>0</v>
      </c>
      <c r="DM10" s="11">
        <f t="shared" si="10"/>
        <v>0</v>
      </c>
      <c r="DN10" s="11">
        <f t="shared" si="10"/>
        <v>0</v>
      </c>
      <c r="DO10" s="11">
        <f t="shared" si="10"/>
        <v>0</v>
      </c>
      <c r="DP10" s="11">
        <f t="shared" si="10"/>
        <v>0</v>
      </c>
      <c r="DQ10" s="11">
        <f t="shared" si="10"/>
        <v>0</v>
      </c>
      <c r="DR10" s="11">
        <f t="shared" si="10"/>
        <v>0</v>
      </c>
      <c r="DS10" s="11">
        <f t="shared" si="10"/>
        <v>0</v>
      </c>
      <c r="DT10" s="11">
        <f t="shared" si="10"/>
        <v>0</v>
      </c>
      <c r="DU10" s="11">
        <f t="shared" si="10"/>
        <v>0</v>
      </c>
      <c r="DV10" s="11">
        <f t="shared" si="10"/>
        <v>0</v>
      </c>
      <c r="DW10" s="11">
        <f t="shared" si="10"/>
        <v>0</v>
      </c>
      <c r="DX10" s="11">
        <f t="shared" si="10"/>
        <v>0</v>
      </c>
      <c r="DY10" s="11">
        <f t="shared" si="10"/>
        <v>0</v>
      </c>
      <c r="DZ10" s="11">
        <f t="shared" si="7"/>
        <v>0</v>
      </c>
      <c r="EA10" s="11">
        <f t="shared" si="7"/>
        <v>0</v>
      </c>
      <c r="EB10" s="11">
        <f t="shared" si="7"/>
        <v>0</v>
      </c>
      <c r="EC10" s="11">
        <f t="shared" si="7"/>
        <v>0</v>
      </c>
      <c r="ED10" s="11">
        <f t="shared" si="7"/>
        <v>0</v>
      </c>
      <c r="EE10" s="11">
        <f t="shared" si="7"/>
        <v>0</v>
      </c>
      <c r="EF10" s="11">
        <f t="shared" si="8"/>
        <v>0</v>
      </c>
      <c r="EG10" s="11">
        <f t="shared" si="8"/>
        <v>0</v>
      </c>
      <c r="EH10" s="11">
        <f t="shared" si="8"/>
        <v>0</v>
      </c>
      <c r="EI10" s="11">
        <f t="shared" si="8"/>
        <v>0</v>
      </c>
      <c r="EJ10" s="11">
        <f t="shared" si="8"/>
        <v>0</v>
      </c>
      <c r="EK10" s="11">
        <f t="shared" si="8"/>
        <v>0</v>
      </c>
      <c r="EL10" s="11">
        <f t="shared" si="8"/>
        <v>0</v>
      </c>
      <c r="EM10" s="11">
        <f t="shared" si="8"/>
        <v>0</v>
      </c>
      <c r="EN10" s="11">
        <f t="shared" si="8"/>
        <v>0</v>
      </c>
      <c r="EO10" s="11">
        <f t="shared" si="8"/>
        <v>0</v>
      </c>
      <c r="EP10" s="11">
        <f t="shared" si="8"/>
        <v>0</v>
      </c>
      <c r="EQ10" s="11">
        <f t="shared" si="8"/>
        <v>0</v>
      </c>
      <c r="ER10" s="11">
        <f t="shared" si="8"/>
        <v>0</v>
      </c>
      <c r="ES10" s="11">
        <f t="shared" si="8"/>
        <v>0</v>
      </c>
      <c r="ET10" s="11">
        <f t="shared" si="8"/>
        <v>0</v>
      </c>
      <c r="EU10" s="11">
        <f t="shared" si="8"/>
        <v>0</v>
      </c>
      <c r="EV10" s="11">
        <f t="shared" si="8"/>
        <v>0</v>
      </c>
      <c r="EW10" s="11">
        <f t="shared" si="8"/>
        <v>0</v>
      </c>
      <c r="EX10" s="11">
        <f t="shared" si="8"/>
        <v>0</v>
      </c>
      <c r="EY10" s="11">
        <f t="shared" si="8"/>
        <v>0</v>
      </c>
      <c r="EZ10" s="11">
        <f t="shared" si="8"/>
        <v>0</v>
      </c>
      <c r="FA10" s="11">
        <f t="shared" si="8"/>
        <v>0</v>
      </c>
      <c r="FB10" s="11">
        <f t="shared" si="8"/>
        <v>0</v>
      </c>
      <c r="FC10" s="11">
        <f t="shared" si="8"/>
        <v>0</v>
      </c>
      <c r="FD10" s="11">
        <f t="shared" si="8"/>
        <v>0</v>
      </c>
      <c r="FE10" s="11">
        <f t="shared" si="8"/>
        <v>0</v>
      </c>
      <c r="FF10" s="11">
        <f t="shared" si="8"/>
        <v>0</v>
      </c>
      <c r="FG10" s="11">
        <f t="shared" si="8"/>
        <v>0</v>
      </c>
      <c r="FH10" s="11">
        <f t="shared" si="8"/>
        <v>0</v>
      </c>
      <c r="FI10" s="11">
        <f t="shared" si="8"/>
        <v>0</v>
      </c>
      <c r="FJ10" s="11">
        <f t="shared" si="8"/>
        <v>0</v>
      </c>
      <c r="FK10" s="11">
        <f t="shared" si="8"/>
        <v>0</v>
      </c>
      <c r="FL10" s="11">
        <f t="shared" si="8"/>
        <v>0</v>
      </c>
      <c r="FM10" s="11">
        <f t="shared" si="8"/>
        <v>0</v>
      </c>
      <c r="FN10" s="11">
        <f t="shared" si="8"/>
        <v>0</v>
      </c>
      <c r="FO10" s="11">
        <f t="shared" si="8"/>
        <v>0</v>
      </c>
      <c r="FP10" s="11">
        <f t="shared" si="8"/>
        <v>0</v>
      </c>
      <c r="FQ10" s="11">
        <f t="shared" si="8"/>
        <v>0</v>
      </c>
      <c r="FR10" s="11">
        <f t="shared" si="8"/>
        <v>0</v>
      </c>
      <c r="FS10" s="11">
        <f t="shared" si="8"/>
        <v>0</v>
      </c>
      <c r="FT10" s="11">
        <f t="shared" si="8"/>
        <v>0</v>
      </c>
      <c r="FU10" s="11">
        <f t="shared" si="8"/>
        <v>0</v>
      </c>
      <c r="FV10" s="11">
        <f t="shared" si="8"/>
        <v>0</v>
      </c>
      <c r="FW10" s="11">
        <f t="shared" si="8"/>
        <v>0</v>
      </c>
      <c r="FX10" s="11">
        <f t="shared" si="9"/>
        <v>0</v>
      </c>
      <c r="FY10" s="11">
        <f t="shared" si="9"/>
        <v>0</v>
      </c>
      <c r="FZ10" s="11">
        <f t="shared" si="9"/>
        <v>0</v>
      </c>
      <c r="GA10" s="11">
        <f t="shared" si="9"/>
        <v>0</v>
      </c>
      <c r="GB10" s="11">
        <f t="shared" si="9"/>
        <v>0</v>
      </c>
      <c r="GC10" s="11">
        <f t="shared" si="9"/>
        <v>0</v>
      </c>
    </row>
    <row r="11" spans="1:185">
      <c r="B11" t="s">
        <v>31</v>
      </c>
      <c r="C11" t="s">
        <v>32</v>
      </c>
      <c r="E11" s="25">
        <f t="shared" si="0"/>
        <v>33896207.014343984</v>
      </c>
      <c r="F11" s="11">
        <f t="shared" si="1"/>
        <v>0</v>
      </c>
      <c r="G11" s="11">
        <f t="shared" si="1"/>
        <v>0</v>
      </c>
      <c r="H11" s="11">
        <f t="shared" si="1"/>
        <v>0</v>
      </c>
      <c r="I11" s="11">
        <f t="shared" si="1"/>
        <v>0</v>
      </c>
      <c r="J11" s="11">
        <f t="shared" si="1"/>
        <v>0</v>
      </c>
      <c r="K11" s="11">
        <f t="shared" si="1"/>
        <v>0</v>
      </c>
      <c r="L11" s="11">
        <f t="shared" si="1"/>
        <v>0</v>
      </c>
      <c r="M11" s="11">
        <f t="shared" si="1"/>
        <v>651421.46152799996</v>
      </c>
      <c r="N11" s="11">
        <f t="shared" si="1"/>
        <v>630450.44663999998</v>
      </c>
      <c r="O11" s="11">
        <f t="shared" si="1"/>
        <v>651421.46152799996</v>
      </c>
      <c r="P11" s="11">
        <f t="shared" si="2"/>
        <v>630450.44663999998</v>
      </c>
      <c r="Q11" s="11">
        <f t="shared" si="2"/>
        <v>651421.46152799996</v>
      </c>
      <c r="R11" s="11">
        <f t="shared" si="2"/>
        <v>651421.46152799996</v>
      </c>
      <c r="S11" s="11">
        <f t="shared" si="2"/>
        <v>588508.41686400003</v>
      </c>
      <c r="T11" s="11">
        <f t="shared" si="2"/>
        <v>651421.46152799996</v>
      </c>
      <c r="U11" s="11">
        <f t="shared" si="2"/>
        <v>630450.44663999998</v>
      </c>
      <c r="V11" s="11">
        <f t="shared" si="2"/>
        <v>651421.46152799996</v>
      </c>
      <c r="W11" s="11">
        <f t="shared" si="2"/>
        <v>630450.44663999998</v>
      </c>
      <c r="X11" s="11">
        <f t="shared" si="2"/>
        <v>651421.46152799996</v>
      </c>
      <c r="Y11" s="11">
        <f t="shared" si="2"/>
        <v>651421.46152799996</v>
      </c>
      <c r="Z11" s="11">
        <f t="shared" si="3"/>
        <v>630450.44663999998</v>
      </c>
      <c r="AA11" s="11">
        <f t="shared" si="3"/>
        <v>651421.46152799996</v>
      </c>
      <c r="AB11" s="11">
        <f t="shared" si="3"/>
        <v>630450.44663999998</v>
      </c>
      <c r="AC11" s="11">
        <f t="shared" si="3"/>
        <v>651421.46152799996</v>
      </c>
      <c r="AD11" s="11">
        <f t="shared" si="3"/>
        <v>651421.46152799996</v>
      </c>
      <c r="AE11" s="11">
        <f t="shared" si="3"/>
        <v>588508.41686400003</v>
      </c>
      <c r="AF11" s="11">
        <f t="shared" si="3"/>
        <v>651421.46152799996</v>
      </c>
      <c r="AG11" s="11">
        <f t="shared" si="3"/>
        <v>630450.44663999998</v>
      </c>
      <c r="AH11" s="11">
        <f t="shared" si="3"/>
        <v>651421.46152799996</v>
      </c>
      <c r="AI11" s="11">
        <f t="shared" si="3"/>
        <v>630450.44663999998</v>
      </c>
      <c r="AJ11" s="11">
        <f t="shared" si="4"/>
        <v>651421.46152799996</v>
      </c>
      <c r="AK11" s="11">
        <f t="shared" si="4"/>
        <v>651421.46152799996</v>
      </c>
      <c r="AL11" s="11">
        <f t="shared" si="4"/>
        <v>630450.44663999998</v>
      </c>
      <c r="AM11" s="11">
        <f t="shared" si="4"/>
        <v>651421.46152799996</v>
      </c>
      <c r="AN11" s="11">
        <f t="shared" si="4"/>
        <v>630450.44663999998</v>
      </c>
      <c r="AO11" s="11">
        <f t="shared" si="4"/>
        <v>651421.46152799996</v>
      </c>
      <c r="AP11" s="11">
        <f t="shared" si="4"/>
        <v>651421.46152799996</v>
      </c>
      <c r="AQ11" s="11">
        <f t="shared" si="4"/>
        <v>588508.41686400003</v>
      </c>
      <c r="AR11" s="11">
        <f t="shared" si="4"/>
        <v>651421.46152799996</v>
      </c>
      <c r="AS11" s="11">
        <f t="shared" si="4"/>
        <v>630450.44663999998</v>
      </c>
      <c r="AT11" s="11">
        <f t="shared" si="5"/>
        <v>651421.46152799996</v>
      </c>
      <c r="AU11" s="11">
        <f t="shared" si="5"/>
        <v>630450.44663999998</v>
      </c>
      <c r="AV11" s="11">
        <f t="shared" si="5"/>
        <v>651421.46152799996</v>
      </c>
      <c r="AW11" s="11">
        <f t="shared" si="5"/>
        <v>651421.46152799996</v>
      </c>
      <c r="AX11" s="11">
        <f t="shared" si="5"/>
        <v>630450.44663999998</v>
      </c>
      <c r="AY11" s="11">
        <f t="shared" si="5"/>
        <v>651421.46152799996</v>
      </c>
      <c r="AZ11" s="11">
        <f t="shared" si="5"/>
        <v>630450.44663999998</v>
      </c>
      <c r="BA11" s="11">
        <f t="shared" si="5"/>
        <v>651421.46152799996</v>
      </c>
      <c r="BB11" s="11">
        <f t="shared" si="5"/>
        <v>651421.46152799996</v>
      </c>
      <c r="BC11" s="11">
        <f t="shared" si="5"/>
        <v>588508.41686400003</v>
      </c>
      <c r="BD11" s="11">
        <f t="shared" si="6"/>
        <v>651421.46152799996</v>
      </c>
      <c r="BE11" s="11">
        <f t="shared" si="6"/>
        <v>630450.44663999998</v>
      </c>
      <c r="BF11" s="11">
        <f t="shared" si="6"/>
        <v>651421.46152799996</v>
      </c>
      <c r="BG11" s="11">
        <f t="shared" si="6"/>
        <v>630450.44663999998</v>
      </c>
      <c r="BH11" s="11">
        <f t="shared" si="6"/>
        <v>651421.46152799996</v>
      </c>
      <c r="BI11" s="11">
        <f t="shared" si="6"/>
        <v>651421.46152799996</v>
      </c>
      <c r="BJ11" s="11">
        <f t="shared" si="6"/>
        <v>630450.44663999998</v>
      </c>
      <c r="BK11" s="11">
        <f t="shared" si="6"/>
        <v>651421.46152799996</v>
      </c>
      <c r="BL11" s="11">
        <f t="shared" si="6"/>
        <v>630450.44663999998</v>
      </c>
      <c r="BM11" s="11">
        <f t="shared" si="6"/>
        <v>651421.46152799996</v>
      </c>
      <c r="BN11" s="11">
        <f t="shared" si="10"/>
        <v>651421.46152799996</v>
      </c>
      <c r="BO11" s="11">
        <f t="shared" si="10"/>
        <v>588508.41686400003</v>
      </c>
      <c r="BP11" s="11">
        <f t="shared" si="10"/>
        <v>651421.46152799996</v>
      </c>
      <c r="BQ11" s="11">
        <f t="shared" si="10"/>
        <v>630450.44663999998</v>
      </c>
      <c r="BR11" s="11">
        <f t="shared" si="10"/>
        <v>651421.46152799996</v>
      </c>
      <c r="BS11" s="11">
        <f t="shared" si="10"/>
        <v>630450.44663999998</v>
      </c>
      <c r="BT11" s="11">
        <f t="shared" si="10"/>
        <v>651421.46152799996</v>
      </c>
      <c r="BU11" s="11">
        <f t="shared" si="10"/>
        <v>651421.46152799996</v>
      </c>
      <c r="BV11" s="11">
        <f t="shared" si="10"/>
        <v>630450.44663999998</v>
      </c>
      <c r="BW11" s="11">
        <f t="shared" si="10"/>
        <v>651421.46152799996</v>
      </c>
      <c r="BX11" s="11">
        <f t="shared" si="10"/>
        <v>630450.44663999998</v>
      </c>
      <c r="BY11" s="11">
        <f t="shared" si="10"/>
        <v>651421.46152799996</v>
      </c>
      <c r="BZ11" s="11">
        <f t="shared" si="10"/>
        <v>651421.46152799996</v>
      </c>
      <c r="CA11" s="11">
        <f t="shared" si="10"/>
        <v>588508.41686400003</v>
      </c>
      <c r="CB11" s="11">
        <f t="shared" si="10"/>
        <v>651421.46152799996</v>
      </c>
      <c r="CC11" s="11">
        <f t="shared" si="10"/>
        <v>630450.44663999998</v>
      </c>
      <c r="CD11" s="11">
        <f t="shared" si="10"/>
        <v>651421.46152799996</v>
      </c>
      <c r="CE11" s="11">
        <f t="shared" si="10"/>
        <v>630450.44663999998</v>
      </c>
      <c r="CF11" s="11">
        <f t="shared" si="10"/>
        <v>651421.46152799996</v>
      </c>
      <c r="CG11" s="11">
        <f t="shared" si="10"/>
        <v>651421.46152799996</v>
      </c>
      <c r="CH11" s="11">
        <f t="shared" si="10"/>
        <v>630450.44663999998</v>
      </c>
      <c r="CI11" s="11">
        <f t="shared" si="10"/>
        <v>651421.46152799996</v>
      </c>
      <c r="CJ11" s="11">
        <f t="shared" si="10"/>
        <v>630450.44663999998</v>
      </c>
      <c r="CK11" s="11">
        <f t="shared" si="10"/>
        <v>651421.46152799996</v>
      </c>
      <c r="CL11" s="11">
        <f t="shared" si="10"/>
        <v>651421.46152799996</v>
      </c>
      <c r="CM11" s="11">
        <f t="shared" si="10"/>
        <v>588508.41686400003</v>
      </c>
      <c r="CN11" s="11">
        <f t="shared" si="10"/>
        <v>651421.46152799996</v>
      </c>
      <c r="CO11" s="11">
        <f t="shared" si="10"/>
        <v>630450.44663999998</v>
      </c>
      <c r="CP11" s="11">
        <f t="shared" si="10"/>
        <v>651421.46152799996</v>
      </c>
      <c r="CQ11" s="11">
        <f t="shared" si="10"/>
        <v>630450.44663999998</v>
      </c>
      <c r="CR11" s="11">
        <f t="shared" si="10"/>
        <v>651421.46152799996</v>
      </c>
      <c r="CS11" s="11">
        <f t="shared" si="10"/>
        <v>651421.46152799996</v>
      </c>
      <c r="CT11" s="11">
        <f t="shared" si="10"/>
        <v>630450.44663999998</v>
      </c>
      <c r="CU11" s="11">
        <f t="shared" si="10"/>
        <v>651421.46152799996</v>
      </c>
      <c r="CV11" s="11">
        <f t="shared" si="10"/>
        <v>630450.44663999998</v>
      </c>
      <c r="CW11" s="11">
        <f t="shared" si="10"/>
        <v>651421.46152799996</v>
      </c>
      <c r="CX11" s="11">
        <f t="shared" si="10"/>
        <v>651421.46152799996</v>
      </c>
      <c r="CY11" s="11">
        <f t="shared" si="10"/>
        <v>588508.41686400003</v>
      </c>
      <c r="CZ11" s="11">
        <f t="shared" si="10"/>
        <v>651421.46152799996</v>
      </c>
      <c r="DA11" s="11">
        <f t="shared" si="10"/>
        <v>630450.44663999998</v>
      </c>
      <c r="DB11" s="11">
        <f t="shared" si="10"/>
        <v>651421.46152799996</v>
      </c>
      <c r="DC11" s="11">
        <f t="shared" si="10"/>
        <v>630450.44663999998</v>
      </c>
      <c r="DD11" s="11">
        <f t="shared" si="10"/>
        <v>651421.46152799996</v>
      </c>
      <c r="DE11" s="11">
        <f t="shared" si="10"/>
        <v>651421.46152799996</v>
      </c>
      <c r="DF11" s="11">
        <f t="shared" si="10"/>
        <v>630450.44663999998</v>
      </c>
      <c r="DG11" s="11">
        <f t="shared" si="10"/>
        <v>651421.46152799996</v>
      </c>
      <c r="DH11" s="11">
        <f t="shared" si="10"/>
        <v>630450.44663999998</v>
      </c>
      <c r="DI11" s="11">
        <f t="shared" si="10"/>
        <v>651421.46152799996</v>
      </c>
      <c r="DJ11" s="11">
        <f t="shared" si="10"/>
        <v>651421.46152799996</v>
      </c>
      <c r="DK11" s="11">
        <f t="shared" si="10"/>
        <v>588508.41686400003</v>
      </c>
      <c r="DL11" s="11">
        <f t="shared" si="10"/>
        <v>651421.46152799996</v>
      </c>
      <c r="DM11" s="11">
        <f t="shared" si="10"/>
        <v>630450.44663999998</v>
      </c>
      <c r="DN11" s="11">
        <f t="shared" si="10"/>
        <v>651421.46152799996</v>
      </c>
      <c r="DO11" s="11">
        <f t="shared" si="10"/>
        <v>630450.44663999998</v>
      </c>
      <c r="DP11" s="11">
        <f t="shared" si="10"/>
        <v>651421.46152799996</v>
      </c>
      <c r="DQ11" s="11">
        <f t="shared" si="10"/>
        <v>651421.46152799996</v>
      </c>
      <c r="DR11" s="11">
        <f t="shared" si="10"/>
        <v>630450.44663999998</v>
      </c>
      <c r="DS11" s="11">
        <f t="shared" si="10"/>
        <v>651421.46152799996</v>
      </c>
      <c r="DT11" s="11">
        <f t="shared" si="10"/>
        <v>630450.44663999998</v>
      </c>
      <c r="DU11" s="11">
        <f t="shared" si="10"/>
        <v>651421.46152799996</v>
      </c>
      <c r="DV11" s="11">
        <f t="shared" si="10"/>
        <v>651421.46152799996</v>
      </c>
      <c r="DW11" s="11">
        <f t="shared" si="10"/>
        <v>588508.41686400003</v>
      </c>
      <c r="DX11" s="11">
        <f t="shared" si="10"/>
        <v>651421.46152799996</v>
      </c>
      <c r="DY11" s="11">
        <f t="shared" si="10"/>
        <v>630450.44663999998</v>
      </c>
      <c r="DZ11" s="11">
        <f t="shared" si="7"/>
        <v>651421.46152799996</v>
      </c>
      <c r="EA11" s="11">
        <f t="shared" si="7"/>
        <v>630450.44663999998</v>
      </c>
      <c r="EB11" s="11">
        <f t="shared" si="7"/>
        <v>651421.46152799996</v>
      </c>
      <c r="EC11" s="11">
        <f t="shared" si="7"/>
        <v>651421.46152799996</v>
      </c>
      <c r="ED11" s="11">
        <f t="shared" si="7"/>
        <v>630450.44663999998</v>
      </c>
      <c r="EE11" s="11">
        <f t="shared" si="7"/>
        <v>651421.46152799996</v>
      </c>
      <c r="EF11" s="11">
        <f t="shared" si="8"/>
        <v>630450.44663999998</v>
      </c>
      <c r="EG11" s="11">
        <f t="shared" si="8"/>
        <v>651421.46152799996</v>
      </c>
      <c r="EH11" s="11">
        <f t="shared" si="8"/>
        <v>651421.46152799996</v>
      </c>
      <c r="EI11" s="11">
        <f t="shared" si="8"/>
        <v>588508.41686400003</v>
      </c>
      <c r="EJ11" s="11">
        <f t="shared" si="8"/>
        <v>651421.46152799996</v>
      </c>
      <c r="EK11" s="11">
        <f t="shared" si="8"/>
        <v>630450.44663999998</v>
      </c>
      <c r="EL11" s="11">
        <f t="shared" si="8"/>
        <v>651421.46152799996</v>
      </c>
      <c r="EM11" s="11">
        <f t="shared" si="8"/>
        <v>630450.44663999998</v>
      </c>
      <c r="EN11" s="11">
        <f t="shared" si="8"/>
        <v>651421.46152799996</v>
      </c>
      <c r="EO11" s="11">
        <f t="shared" si="8"/>
        <v>651421.46152799996</v>
      </c>
      <c r="EP11" s="11">
        <f t="shared" si="8"/>
        <v>630450.44663999998</v>
      </c>
      <c r="EQ11" s="11">
        <f t="shared" si="8"/>
        <v>651421.46152799996</v>
      </c>
      <c r="ER11" s="11">
        <f t="shared" si="8"/>
        <v>630450.44663999998</v>
      </c>
      <c r="ES11" s="11">
        <f t="shared" si="8"/>
        <v>651421.46152799996</v>
      </c>
      <c r="ET11" s="11">
        <f t="shared" si="8"/>
        <v>651421.46152799996</v>
      </c>
      <c r="EU11" s="11">
        <f t="shared" si="8"/>
        <v>588508.41686400003</v>
      </c>
      <c r="EV11" s="11">
        <f t="shared" si="8"/>
        <v>651421.46152799996</v>
      </c>
      <c r="EW11" s="11">
        <f t="shared" si="8"/>
        <v>630450.44663999998</v>
      </c>
      <c r="EX11" s="11">
        <f t="shared" si="8"/>
        <v>651421.46152799996</v>
      </c>
      <c r="EY11" s="11">
        <f t="shared" si="8"/>
        <v>630450.44663999998</v>
      </c>
      <c r="EZ11" s="11">
        <f t="shared" si="8"/>
        <v>651421.46152799996</v>
      </c>
      <c r="FA11" s="11">
        <f t="shared" si="8"/>
        <v>651421.46152799996</v>
      </c>
      <c r="FB11" s="11">
        <f t="shared" si="8"/>
        <v>630450.44663999998</v>
      </c>
      <c r="FC11" s="11">
        <f t="shared" si="8"/>
        <v>651421.46152799996</v>
      </c>
      <c r="FD11" s="11">
        <f t="shared" si="8"/>
        <v>630450.44663999998</v>
      </c>
      <c r="FE11" s="11">
        <f t="shared" si="8"/>
        <v>651421.46152799996</v>
      </c>
      <c r="FF11" s="11">
        <f t="shared" si="8"/>
        <v>651421.46152799996</v>
      </c>
      <c r="FG11" s="11">
        <f t="shared" si="8"/>
        <v>588508.41686400003</v>
      </c>
      <c r="FH11" s="11">
        <f t="shared" si="8"/>
        <v>651421.46152799996</v>
      </c>
      <c r="FI11" s="11">
        <f t="shared" si="8"/>
        <v>630450.44663999998</v>
      </c>
      <c r="FJ11" s="11">
        <f t="shared" si="8"/>
        <v>651421.46152799996</v>
      </c>
      <c r="FK11" s="11">
        <f t="shared" si="8"/>
        <v>630450.44663999998</v>
      </c>
      <c r="FL11" s="11">
        <f t="shared" si="8"/>
        <v>651421.46152799996</v>
      </c>
      <c r="FM11" s="11">
        <f t="shared" si="8"/>
        <v>651421.46152799996</v>
      </c>
      <c r="FN11" s="11">
        <f t="shared" si="8"/>
        <v>630450.44663999998</v>
      </c>
      <c r="FO11" s="11">
        <f t="shared" si="8"/>
        <v>651421.46152799996</v>
      </c>
      <c r="FP11" s="11">
        <f t="shared" si="8"/>
        <v>630450.44663999998</v>
      </c>
      <c r="FQ11" s="11">
        <f t="shared" si="8"/>
        <v>651421.46152799996</v>
      </c>
      <c r="FR11" s="11">
        <f t="shared" si="8"/>
        <v>651421.46152799996</v>
      </c>
      <c r="FS11" s="11">
        <f t="shared" si="8"/>
        <v>588508.41686400003</v>
      </c>
      <c r="FT11" s="11">
        <f t="shared" si="8"/>
        <v>651421.46152799996</v>
      </c>
      <c r="FU11" s="11">
        <f t="shared" si="8"/>
        <v>630450.44663999998</v>
      </c>
      <c r="FV11" s="11">
        <f t="shared" si="8"/>
        <v>651421.46152799996</v>
      </c>
      <c r="FW11" s="11">
        <f t="shared" si="8"/>
        <v>630450.44663999998</v>
      </c>
      <c r="FX11" s="11">
        <f t="shared" si="9"/>
        <v>651421.46152799996</v>
      </c>
      <c r="FY11" s="11">
        <f t="shared" si="9"/>
        <v>651421.46152799996</v>
      </c>
      <c r="FZ11" s="11">
        <f t="shared" si="9"/>
        <v>630450.44663999998</v>
      </c>
      <c r="GA11" s="11">
        <f t="shared" si="9"/>
        <v>651421.46152799996</v>
      </c>
      <c r="GB11" s="11">
        <f t="shared" si="9"/>
        <v>630450.44663999998</v>
      </c>
      <c r="GC11" s="11">
        <f t="shared" si="9"/>
        <v>651421.46152799996</v>
      </c>
    </row>
    <row r="12" spans="1:185">
      <c r="B12" t="s">
        <v>34</v>
      </c>
      <c r="C12" t="s">
        <v>35</v>
      </c>
      <c r="E12" s="25">
        <f t="shared" si="0"/>
        <v>5587146.3463999974</v>
      </c>
      <c r="F12" s="11">
        <f t="shared" si="1"/>
        <v>0</v>
      </c>
      <c r="G12" s="11">
        <f t="shared" si="1"/>
        <v>0</v>
      </c>
      <c r="H12" s="11">
        <f t="shared" si="1"/>
        <v>0</v>
      </c>
      <c r="I12" s="11">
        <f t="shared" si="1"/>
        <v>0</v>
      </c>
      <c r="J12" s="11">
        <f t="shared" si="1"/>
        <v>0</v>
      </c>
      <c r="K12" s="11">
        <f t="shared" si="1"/>
        <v>0</v>
      </c>
      <c r="L12" s="11">
        <f t="shared" si="1"/>
        <v>0</v>
      </c>
      <c r="M12" s="11">
        <f t="shared" si="1"/>
        <v>106266.2968</v>
      </c>
      <c r="N12" s="11">
        <f t="shared" si="1"/>
        <v>104767.38400000001</v>
      </c>
      <c r="O12" s="11">
        <f t="shared" si="1"/>
        <v>106266.2968</v>
      </c>
      <c r="P12" s="11">
        <f t="shared" si="2"/>
        <v>104767.38400000001</v>
      </c>
      <c r="Q12" s="11">
        <f t="shared" si="2"/>
        <v>106266.2968</v>
      </c>
      <c r="R12" s="11">
        <f t="shared" si="2"/>
        <v>106266.2968</v>
      </c>
      <c r="S12" s="11">
        <f t="shared" si="2"/>
        <v>101769.55839999999</v>
      </c>
      <c r="T12" s="11">
        <f t="shared" si="2"/>
        <v>106266.2968</v>
      </c>
      <c r="U12" s="11">
        <f t="shared" si="2"/>
        <v>104767.38400000001</v>
      </c>
      <c r="V12" s="11">
        <f t="shared" si="2"/>
        <v>106266.2968</v>
      </c>
      <c r="W12" s="11">
        <f t="shared" si="2"/>
        <v>104767.38400000001</v>
      </c>
      <c r="X12" s="11">
        <f t="shared" si="2"/>
        <v>106266.2968</v>
      </c>
      <c r="Y12" s="11">
        <f t="shared" si="2"/>
        <v>106266.2968</v>
      </c>
      <c r="Z12" s="11">
        <f t="shared" si="3"/>
        <v>104767.38400000001</v>
      </c>
      <c r="AA12" s="11">
        <f t="shared" si="3"/>
        <v>106266.2968</v>
      </c>
      <c r="AB12" s="11">
        <f t="shared" si="3"/>
        <v>104767.38400000001</v>
      </c>
      <c r="AC12" s="11">
        <f t="shared" si="3"/>
        <v>106266.2968</v>
      </c>
      <c r="AD12" s="11">
        <f t="shared" si="3"/>
        <v>106266.2968</v>
      </c>
      <c r="AE12" s="11">
        <f t="shared" si="3"/>
        <v>101769.55839999999</v>
      </c>
      <c r="AF12" s="11">
        <f t="shared" si="3"/>
        <v>106266.2968</v>
      </c>
      <c r="AG12" s="11">
        <f t="shared" si="3"/>
        <v>104767.38400000001</v>
      </c>
      <c r="AH12" s="11">
        <f t="shared" si="3"/>
        <v>106266.2968</v>
      </c>
      <c r="AI12" s="11">
        <f t="shared" si="3"/>
        <v>104767.38400000001</v>
      </c>
      <c r="AJ12" s="11">
        <f t="shared" si="4"/>
        <v>106266.2968</v>
      </c>
      <c r="AK12" s="11">
        <f t="shared" si="4"/>
        <v>106266.2968</v>
      </c>
      <c r="AL12" s="11">
        <f t="shared" si="4"/>
        <v>104767.38400000001</v>
      </c>
      <c r="AM12" s="11">
        <f t="shared" si="4"/>
        <v>106266.2968</v>
      </c>
      <c r="AN12" s="11">
        <f t="shared" si="4"/>
        <v>104767.38400000001</v>
      </c>
      <c r="AO12" s="11">
        <f t="shared" si="4"/>
        <v>106266.2968</v>
      </c>
      <c r="AP12" s="11">
        <f t="shared" si="4"/>
        <v>106266.2968</v>
      </c>
      <c r="AQ12" s="11">
        <f t="shared" si="4"/>
        <v>101769.55839999999</v>
      </c>
      <c r="AR12" s="11">
        <f t="shared" si="4"/>
        <v>106266.2968</v>
      </c>
      <c r="AS12" s="11">
        <f t="shared" si="4"/>
        <v>104767.38400000001</v>
      </c>
      <c r="AT12" s="11">
        <f t="shared" si="5"/>
        <v>106266.2968</v>
      </c>
      <c r="AU12" s="11">
        <f t="shared" si="5"/>
        <v>104767.38400000001</v>
      </c>
      <c r="AV12" s="11">
        <f t="shared" si="5"/>
        <v>106266.2968</v>
      </c>
      <c r="AW12" s="11">
        <f t="shared" si="5"/>
        <v>106266.2968</v>
      </c>
      <c r="AX12" s="11">
        <f t="shared" si="5"/>
        <v>104767.38400000001</v>
      </c>
      <c r="AY12" s="11">
        <f t="shared" si="5"/>
        <v>106266.2968</v>
      </c>
      <c r="AZ12" s="11">
        <f t="shared" si="5"/>
        <v>104767.38400000001</v>
      </c>
      <c r="BA12" s="11">
        <f t="shared" si="5"/>
        <v>106266.2968</v>
      </c>
      <c r="BB12" s="11">
        <f t="shared" si="5"/>
        <v>106266.2968</v>
      </c>
      <c r="BC12" s="11">
        <f t="shared" si="5"/>
        <v>101769.55839999999</v>
      </c>
      <c r="BD12" s="11">
        <f t="shared" si="6"/>
        <v>106266.2968</v>
      </c>
      <c r="BE12" s="11">
        <f t="shared" si="6"/>
        <v>104767.38400000001</v>
      </c>
      <c r="BF12" s="11">
        <f t="shared" si="6"/>
        <v>106266.2968</v>
      </c>
      <c r="BG12" s="11">
        <f t="shared" si="6"/>
        <v>104767.38400000001</v>
      </c>
      <c r="BH12" s="11">
        <f t="shared" si="6"/>
        <v>106266.2968</v>
      </c>
      <c r="BI12" s="11">
        <f t="shared" si="6"/>
        <v>106266.2968</v>
      </c>
      <c r="BJ12" s="11">
        <f t="shared" si="6"/>
        <v>104767.38400000001</v>
      </c>
      <c r="BK12" s="11">
        <f t="shared" si="6"/>
        <v>106266.2968</v>
      </c>
      <c r="BL12" s="11">
        <f t="shared" si="6"/>
        <v>104767.38400000001</v>
      </c>
      <c r="BM12" s="11">
        <f t="shared" si="6"/>
        <v>106266.2968</v>
      </c>
      <c r="BN12" s="11">
        <f t="shared" si="10"/>
        <v>106266.2968</v>
      </c>
      <c r="BO12" s="11">
        <f t="shared" si="10"/>
        <v>101769.55839999999</v>
      </c>
      <c r="BP12" s="11">
        <f t="shared" si="10"/>
        <v>106266.2968</v>
      </c>
      <c r="BQ12" s="11">
        <f t="shared" si="10"/>
        <v>104767.38400000001</v>
      </c>
      <c r="BR12" s="11">
        <f t="shared" si="10"/>
        <v>106266.2968</v>
      </c>
      <c r="BS12" s="11">
        <f t="shared" si="10"/>
        <v>104767.38400000001</v>
      </c>
      <c r="BT12" s="11">
        <f t="shared" si="10"/>
        <v>106266.2968</v>
      </c>
      <c r="BU12" s="11">
        <f t="shared" si="10"/>
        <v>106266.2968</v>
      </c>
      <c r="BV12" s="11">
        <f t="shared" si="10"/>
        <v>104767.38400000001</v>
      </c>
      <c r="BW12" s="11">
        <f t="shared" si="10"/>
        <v>106266.2968</v>
      </c>
      <c r="BX12" s="11">
        <f t="shared" si="10"/>
        <v>104767.38400000001</v>
      </c>
      <c r="BY12" s="11">
        <f t="shared" si="10"/>
        <v>106266.2968</v>
      </c>
      <c r="BZ12" s="11">
        <f t="shared" si="10"/>
        <v>106266.2968</v>
      </c>
      <c r="CA12" s="11">
        <f t="shared" si="10"/>
        <v>101769.55839999999</v>
      </c>
      <c r="CB12" s="11">
        <f t="shared" si="10"/>
        <v>106266.2968</v>
      </c>
      <c r="CC12" s="11">
        <f t="shared" si="10"/>
        <v>104767.38400000001</v>
      </c>
      <c r="CD12" s="11">
        <f t="shared" si="10"/>
        <v>106266.2968</v>
      </c>
      <c r="CE12" s="11">
        <f t="shared" si="10"/>
        <v>104767.38400000001</v>
      </c>
      <c r="CF12" s="11">
        <f t="shared" si="10"/>
        <v>106266.2968</v>
      </c>
      <c r="CG12" s="11">
        <f t="shared" si="10"/>
        <v>106266.2968</v>
      </c>
      <c r="CH12" s="11">
        <f t="shared" si="10"/>
        <v>104767.38400000001</v>
      </c>
      <c r="CI12" s="11">
        <f t="shared" si="10"/>
        <v>106266.2968</v>
      </c>
      <c r="CJ12" s="11">
        <f t="shared" si="10"/>
        <v>104767.38400000001</v>
      </c>
      <c r="CK12" s="11">
        <f t="shared" si="10"/>
        <v>106266.2968</v>
      </c>
      <c r="CL12" s="11">
        <f t="shared" si="10"/>
        <v>106266.2968</v>
      </c>
      <c r="CM12" s="11">
        <f t="shared" si="10"/>
        <v>101769.55839999999</v>
      </c>
      <c r="CN12" s="11">
        <f t="shared" si="10"/>
        <v>106266.2968</v>
      </c>
      <c r="CO12" s="11">
        <f t="shared" si="10"/>
        <v>104767.38400000001</v>
      </c>
      <c r="CP12" s="11">
        <f t="shared" si="10"/>
        <v>106266.2968</v>
      </c>
      <c r="CQ12" s="11">
        <f t="shared" si="10"/>
        <v>104767.38400000001</v>
      </c>
      <c r="CR12" s="11">
        <f t="shared" si="10"/>
        <v>106266.2968</v>
      </c>
      <c r="CS12" s="11">
        <f t="shared" si="10"/>
        <v>106266.2968</v>
      </c>
      <c r="CT12" s="11">
        <f t="shared" si="10"/>
        <v>104767.38400000001</v>
      </c>
      <c r="CU12" s="11">
        <f t="shared" si="10"/>
        <v>106266.2968</v>
      </c>
      <c r="CV12" s="11">
        <f t="shared" si="10"/>
        <v>104767.38400000001</v>
      </c>
      <c r="CW12" s="11">
        <f t="shared" si="10"/>
        <v>106266.2968</v>
      </c>
      <c r="CX12" s="11">
        <f t="shared" si="10"/>
        <v>106266.2968</v>
      </c>
      <c r="CY12" s="11">
        <f t="shared" si="10"/>
        <v>101769.55839999999</v>
      </c>
      <c r="CZ12" s="11">
        <f t="shared" si="10"/>
        <v>106266.2968</v>
      </c>
      <c r="DA12" s="11">
        <f t="shared" si="10"/>
        <v>104767.38400000001</v>
      </c>
      <c r="DB12" s="11">
        <f t="shared" si="10"/>
        <v>106266.2968</v>
      </c>
      <c r="DC12" s="11">
        <f t="shared" si="10"/>
        <v>104767.38400000001</v>
      </c>
      <c r="DD12" s="11">
        <f t="shared" si="10"/>
        <v>106266.2968</v>
      </c>
      <c r="DE12" s="11">
        <f t="shared" si="10"/>
        <v>106266.2968</v>
      </c>
      <c r="DF12" s="11">
        <f t="shared" si="10"/>
        <v>104767.38400000001</v>
      </c>
      <c r="DG12" s="11">
        <f t="shared" si="10"/>
        <v>106266.2968</v>
      </c>
      <c r="DH12" s="11">
        <f t="shared" si="10"/>
        <v>104767.38400000001</v>
      </c>
      <c r="DI12" s="11">
        <f t="shared" si="10"/>
        <v>106266.2968</v>
      </c>
      <c r="DJ12" s="11">
        <f t="shared" si="10"/>
        <v>106266.2968</v>
      </c>
      <c r="DK12" s="11">
        <f t="shared" si="10"/>
        <v>101769.55839999999</v>
      </c>
      <c r="DL12" s="11">
        <f t="shared" si="10"/>
        <v>106266.2968</v>
      </c>
      <c r="DM12" s="11">
        <f t="shared" si="10"/>
        <v>104767.38400000001</v>
      </c>
      <c r="DN12" s="11">
        <f t="shared" si="10"/>
        <v>106266.2968</v>
      </c>
      <c r="DO12" s="11">
        <f t="shared" si="10"/>
        <v>104767.38400000001</v>
      </c>
      <c r="DP12" s="11">
        <f t="shared" si="10"/>
        <v>106266.2968</v>
      </c>
      <c r="DQ12" s="11">
        <f t="shared" si="10"/>
        <v>106266.2968</v>
      </c>
      <c r="DR12" s="11">
        <f t="shared" si="10"/>
        <v>104767.38400000001</v>
      </c>
      <c r="DS12" s="11">
        <f t="shared" si="10"/>
        <v>106266.2968</v>
      </c>
      <c r="DT12" s="11">
        <f t="shared" si="10"/>
        <v>104767.38400000001</v>
      </c>
      <c r="DU12" s="11">
        <f t="shared" si="10"/>
        <v>106266.2968</v>
      </c>
      <c r="DV12" s="11">
        <f t="shared" si="10"/>
        <v>106266.2968</v>
      </c>
      <c r="DW12" s="11">
        <f t="shared" si="10"/>
        <v>101769.55839999999</v>
      </c>
      <c r="DX12" s="11">
        <f t="shared" si="10"/>
        <v>106266.2968</v>
      </c>
      <c r="DY12" s="11">
        <f t="shared" si="10"/>
        <v>104767.38400000001</v>
      </c>
      <c r="DZ12" s="11">
        <f t="shared" si="7"/>
        <v>106266.2968</v>
      </c>
      <c r="EA12" s="11">
        <f t="shared" si="7"/>
        <v>104767.38400000001</v>
      </c>
      <c r="EB12" s="11">
        <f t="shared" si="7"/>
        <v>106266.2968</v>
      </c>
      <c r="EC12" s="11">
        <f t="shared" si="7"/>
        <v>106266.2968</v>
      </c>
      <c r="ED12" s="11">
        <f t="shared" si="7"/>
        <v>104767.38400000001</v>
      </c>
      <c r="EE12" s="11">
        <f t="shared" si="7"/>
        <v>106266.2968</v>
      </c>
      <c r="EF12" s="11">
        <f t="shared" si="8"/>
        <v>104767.38400000001</v>
      </c>
      <c r="EG12" s="11">
        <f t="shared" si="8"/>
        <v>106266.2968</v>
      </c>
      <c r="EH12" s="11">
        <f t="shared" si="8"/>
        <v>106266.2968</v>
      </c>
      <c r="EI12" s="11">
        <f t="shared" si="8"/>
        <v>101769.55839999999</v>
      </c>
      <c r="EJ12" s="11">
        <f t="shared" si="8"/>
        <v>106266.2968</v>
      </c>
      <c r="EK12" s="11">
        <f t="shared" si="8"/>
        <v>104767.38400000001</v>
      </c>
      <c r="EL12" s="11">
        <f t="shared" si="8"/>
        <v>106266.2968</v>
      </c>
      <c r="EM12" s="11">
        <f t="shared" si="8"/>
        <v>104767.38400000001</v>
      </c>
      <c r="EN12" s="11">
        <f t="shared" si="8"/>
        <v>106266.2968</v>
      </c>
      <c r="EO12" s="11">
        <f t="shared" si="8"/>
        <v>106266.2968</v>
      </c>
      <c r="EP12" s="11">
        <f t="shared" si="8"/>
        <v>104767.38400000001</v>
      </c>
      <c r="EQ12" s="11">
        <f t="shared" si="8"/>
        <v>106266.2968</v>
      </c>
      <c r="ER12" s="11">
        <f t="shared" si="8"/>
        <v>104767.38400000001</v>
      </c>
      <c r="ES12" s="11">
        <f t="shared" si="8"/>
        <v>106266.2968</v>
      </c>
      <c r="ET12" s="11">
        <f t="shared" si="8"/>
        <v>106266.2968</v>
      </c>
      <c r="EU12" s="11">
        <f t="shared" si="8"/>
        <v>101769.55839999999</v>
      </c>
      <c r="EV12" s="11">
        <f t="shared" si="8"/>
        <v>106266.2968</v>
      </c>
      <c r="EW12" s="11">
        <f t="shared" si="8"/>
        <v>104767.38400000001</v>
      </c>
      <c r="EX12" s="11">
        <f t="shared" si="8"/>
        <v>106266.2968</v>
      </c>
      <c r="EY12" s="11">
        <f t="shared" si="8"/>
        <v>104767.38400000001</v>
      </c>
      <c r="EZ12" s="11">
        <f t="shared" si="8"/>
        <v>106266.2968</v>
      </c>
      <c r="FA12" s="11">
        <f t="shared" si="8"/>
        <v>106266.2968</v>
      </c>
      <c r="FB12" s="11">
        <f t="shared" si="8"/>
        <v>104767.38400000001</v>
      </c>
      <c r="FC12" s="11">
        <f t="shared" si="8"/>
        <v>106266.2968</v>
      </c>
      <c r="FD12" s="11">
        <f t="shared" si="8"/>
        <v>104767.38400000001</v>
      </c>
      <c r="FE12" s="11">
        <f t="shared" si="8"/>
        <v>106266.2968</v>
      </c>
      <c r="FF12" s="11">
        <f t="shared" si="8"/>
        <v>106266.2968</v>
      </c>
      <c r="FG12" s="11">
        <f t="shared" si="8"/>
        <v>101769.55839999999</v>
      </c>
      <c r="FH12" s="11">
        <f t="shared" si="8"/>
        <v>106266.2968</v>
      </c>
      <c r="FI12" s="11">
        <f t="shared" si="8"/>
        <v>104767.38400000001</v>
      </c>
      <c r="FJ12" s="11">
        <f t="shared" si="8"/>
        <v>106266.2968</v>
      </c>
      <c r="FK12" s="11">
        <f t="shared" si="8"/>
        <v>104767.38400000001</v>
      </c>
      <c r="FL12" s="11">
        <f t="shared" si="8"/>
        <v>106266.2968</v>
      </c>
      <c r="FM12" s="11">
        <f t="shared" si="8"/>
        <v>106266.2968</v>
      </c>
      <c r="FN12" s="11">
        <f t="shared" si="8"/>
        <v>104767.38400000001</v>
      </c>
      <c r="FO12" s="11">
        <f t="shared" si="8"/>
        <v>106266.2968</v>
      </c>
      <c r="FP12" s="11">
        <f t="shared" si="8"/>
        <v>104767.38400000001</v>
      </c>
      <c r="FQ12" s="11">
        <f t="shared" si="8"/>
        <v>106266.2968</v>
      </c>
      <c r="FR12" s="11">
        <f t="shared" si="8"/>
        <v>106266.2968</v>
      </c>
      <c r="FS12" s="11">
        <f t="shared" si="8"/>
        <v>101769.55839999999</v>
      </c>
      <c r="FT12" s="11">
        <f t="shared" si="8"/>
        <v>106266.2968</v>
      </c>
      <c r="FU12" s="11">
        <f t="shared" si="8"/>
        <v>104767.38400000001</v>
      </c>
      <c r="FV12" s="11">
        <f t="shared" si="8"/>
        <v>106266.2968</v>
      </c>
      <c r="FW12" s="11">
        <f t="shared" si="8"/>
        <v>104767.38400000001</v>
      </c>
      <c r="FX12" s="11">
        <f t="shared" si="9"/>
        <v>106266.2968</v>
      </c>
      <c r="FY12" s="11">
        <f t="shared" si="9"/>
        <v>106266.2968</v>
      </c>
      <c r="FZ12" s="11">
        <f t="shared" si="9"/>
        <v>104767.38400000001</v>
      </c>
      <c r="GA12" s="11">
        <f t="shared" si="9"/>
        <v>106266.2968</v>
      </c>
      <c r="GB12" s="11">
        <f t="shared" si="9"/>
        <v>104767.38400000001</v>
      </c>
      <c r="GC12" s="11">
        <f t="shared" si="9"/>
        <v>106266.2968</v>
      </c>
    </row>
    <row r="13" spans="1:185">
      <c r="B13" t="s">
        <v>502</v>
      </c>
      <c r="C13" t="s">
        <v>42</v>
      </c>
      <c r="E13" s="25">
        <f t="shared" si="0"/>
        <v>15843456.575999999</v>
      </c>
      <c r="F13" s="12">
        <f t="shared" ref="F13:G15" si="11">SUMPRODUCT((F$22:F$99)*($C$22:$C$99=$C13))</f>
        <v>6697158.3253333326</v>
      </c>
      <c r="G13" s="12">
        <f t="shared" si="11"/>
        <v>3337788.9173333328</v>
      </c>
      <c r="H13" s="12">
        <f t="shared" ref="H13:Q15" si="12">SUMPRODUCT((H$22:H$101)*($C$22:$C$101=$C13))</f>
        <v>3077158.3253333331</v>
      </c>
      <c r="I13" s="12">
        <f t="shared" si="12"/>
        <v>735585.85600000003</v>
      </c>
      <c r="J13" s="12">
        <f t="shared" si="12"/>
        <v>398442.91200000001</v>
      </c>
      <c r="K13" s="12">
        <f t="shared" si="12"/>
        <v>553103.08266666671</v>
      </c>
      <c r="L13" s="12">
        <f t="shared" si="12"/>
        <v>510109.5786666667</v>
      </c>
      <c r="M13" s="12">
        <f t="shared" si="12"/>
        <v>510109.5786666667</v>
      </c>
      <c r="N13" s="12">
        <f t="shared" si="12"/>
        <v>6000</v>
      </c>
      <c r="O13" s="12">
        <f t="shared" si="12"/>
        <v>6000</v>
      </c>
      <c r="P13" s="12">
        <f t="shared" si="12"/>
        <v>6000</v>
      </c>
      <c r="Q13" s="12">
        <f t="shared" si="12"/>
        <v>6000</v>
      </c>
      <c r="R13" s="12">
        <f t="shared" ref="R13:AA15" si="13">SUMPRODUCT((R$22:R$101)*($C$22:$C$101=$C13))</f>
        <v>0</v>
      </c>
      <c r="S13" s="12">
        <f t="shared" si="13"/>
        <v>0</v>
      </c>
      <c r="T13" s="12">
        <f t="shared" si="13"/>
        <v>0</v>
      </c>
      <c r="U13" s="12">
        <f t="shared" si="13"/>
        <v>0</v>
      </c>
      <c r="V13" s="12">
        <f t="shared" si="13"/>
        <v>0</v>
      </c>
      <c r="W13" s="12">
        <f t="shared" si="13"/>
        <v>0</v>
      </c>
      <c r="X13" s="12">
        <f t="shared" si="13"/>
        <v>0</v>
      </c>
      <c r="Y13" s="12">
        <f t="shared" si="13"/>
        <v>0</v>
      </c>
      <c r="Z13" s="12">
        <f t="shared" si="13"/>
        <v>0</v>
      </c>
      <c r="AA13" s="12">
        <f t="shared" si="13"/>
        <v>0</v>
      </c>
      <c r="AB13" s="12">
        <f t="shared" ref="AB13:AK15" si="14">SUMPRODUCT((AB$22:AB$101)*($C$22:$C$101=$C13))</f>
        <v>0</v>
      </c>
      <c r="AC13" s="12">
        <f t="shared" si="14"/>
        <v>0</v>
      </c>
      <c r="AD13" s="12">
        <f t="shared" si="14"/>
        <v>0</v>
      </c>
      <c r="AE13" s="12">
        <f t="shared" si="14"/>
        <v>0</v>
      </c>
      <c r="AF13" s="12">
        <f t="shared" si="14"/>
        <v>0</v>
      </c>
      <c r="AG13" s="12">
        <f t="shared" si="14"/>
        <v>0</v>
      </c>
      <c r="AH13" s="12">
        <f t="shared" si="14"/>
        <v>0</v>
      </c>
      <c r="AI13" s="12">
        <f t="shared" si="14"/>
        <v>0</v>
      </c>
      <c r="AJ13" s="12">
        <f t="shared" si="14"/>
        <v>0</v>
      </c>
      <c r="AK13" s="12">
        <f t="shared" si="14"/>
        <v>0</v>
      </c>
      <c r="AL13" s="12">
        <f t="shared" ref="AL13:AU15" si="15">SUMPRODUCT((AL$22:AL$101)*($C$22:$C$101=$C13))</f>
        <v>0</v>
      </c>
      <c r="AM13" s="12">
        <f t="shared" si="15"/>
        <v>0</v>
      </c>
      <c r="AN13" s="12">
        <f t="shared" si="15"/>
        <v>0</v>
      </c>
      <c r="AO13" s="12">
        <f t="shared" si="15"/>
        <v>0</v>
      </c>
      <c r="AP13" s="12">
        <f t="shared" si="15"/>
        <v>0</v>
      </c>
      <c r="AQ13" s="12">
        <f t="shared" si="15"/>
        <v>0</v>
      </c>
      <c r="AR13" s="12">
        <f t="shared" si="15"/>
        <v>0</v>
      </c>
      <c r="AS13" s="12">
        <f t="shared" si="15"/>
        <v>0</v>
      </c>
      <c r="AT13" s="12">
        <f t="shared" si="15"/>
        <v>0</v>
      </c>
      <c r="AU13" s="12">
        <f t="shared" si="15"/>
        <v>0</v>
      </c>
      <c r="AV13" s="12">
        <f t="shared" ref="AV13:BE15" si="16">SUMPRODUCT((AV$22:AV$101)*($C$22:$C$101=$C13))</f>
        <v>0</v>
      </c>
      <c r="AW13" s="12">
        <f t="shared" si="16"/>
        <v>0</v>
      </c>
      <c r="AX13" s="12">
        <f t="shared" si="16"/>
        <v>0</v>
      </c>
      <c r="AY13" s="12">
        <f t="shared" si="16"/>
        <v>0</v>
      </c>
      <c r="AZ13" s="12">
        <f t="shared" si="16"/>
        <v>0</v>
      </c>
      <c r="BA13" s="12">
        <f t="shared" si="16"/>
        <v>0</v>
      </c>
      <c r="BB13" s="12">
        <f t="shared" si="16"/>
        <v>0</v>
      </c>
      <c r="BC13" s="12">
        <f t="shared" si="16"/>
        <v>0</v>
      </c>
      <c r="BD13" s="12">
        <f t="shared" si="16"/>
        <v>0</v>
      </c>
      <c r="BE13" s="12">
        <f t="shared" si="16"/>
        <v>0</v>
      </c>
      <c r="BF13" s="12">
        <f t="shared" ref="BF13:BU15" si="17">SUMPRODUCT((BF$22:BF$101)*($C$22:$C$101=$C13))</f>
        <v>0</v>
      </c>
      <c r="BG13" s="12">
        <f t="shared" si="17"/>
        <v>0</v>
      </c>
      <c r="BH13" s="12">
        <f t="shared" si="17"/>
        <v>0</v>
      </c>
      <c r="BI13" s="12">
        <f t="shared" si="17"/>
        <v>0</v>
      </c>
      <c r="BJ13" s="12">
        <f t="shared" si="17"/>
        <v>0</v>
      </c>
      <c r="BK13" s="12">
        <f t="shared" si="17"/>
        <v>0</v>
      </c>
      <c r="BL13" s="12">
        <f t="shared" si="17"/>
        <v>0</v>
      </c>
      <c r="BM13" s="12">
        <f t="shared" si="17"/>
        <v>0</v>
      </c>
      <c r="BN13" s="12">
        <f t="shared" si="17"/>
        <v>0</v>
      </c>
      <c r="BO13" s="12">
        <f t="shared" si="17"/>
        <v>0</v>
      </c>
      <c r="BP13" s="12">
        <f t="shared" si="17"/>
        <v>0</v>
      </c>
      <c r="BQ13" s="12">
        <f t="shared" si="17"/>
        <v>0</v>
      </c>
      <c r="BR13" s="12">
        <f t="shared" si="17"/>
        <v>0</v>
      </c>
      <c r="BS13" s="12">
        <f t="shared" si="17"/>
        <v>0</v>
      </c>
      <c r="BT13" s="12">
        <f t="shared" si="17"/>
        <v>0</v>
      </c>
      <c r="BU13" s="12">
        <f t="shared" si="17"/>
        <v>0</v>
      </c>
      <c r="BV13" s="12">
        <f t="shared" ref="BV13:EG15" si="18">SUMPRODUCT((BV$22:BV$101)*($C$22:$C$101=$C13))</f>
        <v>0</v>
      </c>
      <c r="BW13" s="12">
        <f t="shared" si="18"/>
        <v>0</v>
      </c>
      <c r="BX13" s="12">
        <f t="shared" si="18"/>
        <v>0</v>
      </c>
      <c r="BY13" s="12">
        <f t="shared" si="18"/>
        <v>0</v>
      </c>
      <c r="BZ13" s="12">
        <f t="shared" si="18"/>
        <v>0</v>
      </c>
      <c r="CA13" s="12">
        <f t="shared" si="18"/>
        <v>0</v>
      </c>
      <c r="CB13" s="12">
        <f t="shared" si="18"/>
        <v>0</v>
      </c>
      <c r="CC13" s="12">
        <f t="shared" si="18"/>
        <v>0</v>
      </c>
      <c r="CD13" s="12">
        <f t="shared" si="18"/>
        <v>0</v>
      </c>
      <c r="CE13" s="12">
        <f t="shared" si="18"/>
        <v>0</v>
      </c>
      <c r="CF13" s="12">
        <f t="shared" si="18"/>
        <v>0</v>
      </c>
      <c r="CG13" s="12">
        <f t="shared" si="18"/>
        <v>0</v>
      </c>
      <c r="CH13" s="12">
        <f t="shared" si="18"/>
        <v>0</v>
      </c>
      <c r="CI13" s="12">
        <f t="shared" si="18"/>
        <v>0</v>
      </c>
      <c r="CJ13" s="12">
        <f t="shared" si="18"/>
        <v>0</v>
      </c>
      <c r="CK13" s="12">
        <f t="shared" si="18"/>
        <v>0</v>
      </c>
      <c r="CL13" s="12">
        <f t="shared" si="18"/>
        <v>0</v>
      </c>
      <c r="CM13" s="12">
        <f t="shared" si="18"/>
        <v>0</v>
      </c>
      <c r="CN13" s="12">
        <f t="shared" si="18"/>
        <v>0</v>
      </c>
      <c r="CO13" s="12">
        <f t="shared" si="18"/>
        <v>0</v>
      </c>
      <c r="CP13" s="12">
        <f t="shared" si="18"/>
        <v>0</v>
      </c>
      <c r="CQ13" s="12">
        <f t="shared" si="18"/>
        <v>0</v>
      </c>
      <c r="CR13" s="12">
        <f t="shared" si="18"/>
        <v>0</v>
      </c>
      <c r="CS13" s="12">
        <f t="shared" si="18"/>
        <v>0</v>
      </c>
      <c r="CT13" s="12">
        <f t="shared" si="18"/>
        <v>0</v>
      </c>
      <c r="CU13" s="12">
        <f t="shared" si="18"/>
        <v>0</v>
      </c>
      <c r="CV13" s="12">
        <f t="shared" si="18"/>
        <v>0</v>
      </c>
      <c r="CW13" s="12">
        <f t="shared" si="18"/>
        <v>0</v>
      </c>
      <c r="CX13" s="12">
        <f t="shared" si="18"/>
        <v>0</v>
      </c>
      <c r="CY13" s="12">
        <f t="shared" si="18"/>
        <v>0</v>
      </c>
      <c r="CZ13" s="12">
        <f t="shared" si="18"/>
        <v>0</v>
      </c>
      <c r="DA13" s="12">
        <f t="shared" si="18"/>
        <v>0</v>
      </c>
      <c r="DB13" s="12">
        <f t="shared" si="18"/>
        <v>0</v>
      </c>
      <c r="DC13" s="12">
        <f t="shared" si="18"/>
        <v>0</v>
      </c>
      <c r="DD13" s="12">
        <f t="shared" si="18"/>
        <v>0</v>
      </c>
      <c r="DE13" s="12">
        <f t="shared" si="18"/>
        <v>0</v>
      </c>
      <c r="DF13" s="12">
        <f t="shared" si="18"/>
        <v>0</v>
      </c>
      <c r="DG13" s="12">
        <f t="shared" si="18"/>
        <v>0</v>
      </c>
      <c r="DH13" s="12">
        <f t="shared" si="18"/>
        <v>0</v>
      </c>
      <c r="DI13" s="12">
        <f t="shared" si="18"/>
        <v>0</v>
      </c>
      <c r="DJ13" s="12">
        <f t="shared" si="18"/>
        <v>0</v>
      </c>
      <c r="DK13" s="12">
        <f t="shared" si="18"/>
        <v>0</v>
      </c>
      <c r="DL13" s="12">
        <f t="shared" si="18"/>
        <v>0</v>
      </c>
      <c r="DM13" s="12">
        <f t="shared" si="18"/>
        <v>0</v>
      </c>
      <c r="DN13" s="12">
        <f t="shared" si="18"/>
        <v>0</v>
      </c>
      <c r="DO13" s="12">
        <f t="shared" si="18"/>
        <v>0</v>
      </c>
      <c r="DP13" s="12">
        <f t="shared" si="18"/>
        <v>0</v>
      </c>
      <c r="DQ13" s="12">
        <f t="shared" si="18"/>
        <v>0</v>
      </c>
      <c r="DR13" s="12">
        <f t="shared" si="18"/>
        <v>0</v>
      </c>
      <c r="DS13" s="12">
        <f t="shared" si="18"/>
        <v>0</v>
      </c>
      <c r="DT13" s="12">
        <f t="shared" si="18"/>
        <v>0</v>
      </c>
      <c r="DU13" s="12">
        <f t="shared" si="18"/>
        <v>0</v>
      </c>
      <c r="DV13" s="12">
        <f t="shared" si="18"/>
        <v>0</v>
      </c>
      <c r="DW13" s="12">
        <f t="shared" si="18"/>
        <v>0</v>
      </c>
      <c r="DX13" s="12">
        <f t="shared" si="18"/>
        <v>0</v>
      </c>
      <c r="DY13" s="12">
        <f t="shared" si="18"/>
        <v>0</v>
      </c>
      <c r="DZ13" s="12">
        <f t="shared" si="18"/>
        <v>0</v>
      </c>
      <c r="EA13" s="12">
        <f t="shared" si="18"/>
        <v>0</v>
      </c>
      <c r="EB13" s="12">
        <f t="shared" si="18"/>
        <v>0</v>
      </c>
      <c r="EC13" s="12">
        <f t="shared" si="18"/>
        <v>0</v>
      </c>
      <c r="ED13" s="12">
        <f t="shared" si="18"/>
        <v>0</v>
      </c>
      <c r="EE13" s="12">
        <f t="shared" si="18"/>
        <v>0</v>
      </c>
      <c r="EF13" s="12">
        <f t="shared" si="18"/>
        <v>0</v>
      </c>
      <c r="EG13" s="12">
        <f t="shared" si="18"/>
        <v>0</v>
      </c>
      <c r="EH13" s="12">
        <f t="shared" ref="EH13:FW15" si="19">SUMPRODUCT((EH$22:EH$101)*($C$22:$C$101=$C13))</f>
        <v>0</v>
      </c>
      <c r="EI13" s="12">
        <f t="shared" si="19"/>
        <v>0</v>
      </c>
      <c r="EJ13" s="12">
        <f t="shared" si="19"/>
        <v>0</v>
      </c>
      <c r="EK13" s="12">
        <f t="shared" si="19"/>
        <v>0</v>
      </c>
      <c r="EL13" s="12">
        <f t="shared" si="19"/>
        <v>0</v>
      </c>
      <c r="EM13" s="12">
        <f t="shared" si="19"/>
        <v>0</v>
      </c>
      <c r="EN13" s="12">
        <f t="shared" si="19"/>
        <v>0</v>
      </c>
      <c r="EO13" s="12">
        <f t="shared" si="19"/>
        <v>0</v>
      </c>
      <c r="EP13" s="12">
        <f t="shared" si="19"/>
        <v>0</v>
      </c>
      <c r="EQ13" s="12">
        <f t="shared" si="19"/>
        <v>0</v>
      </c>
      <c r="ER13" s="12">
        <f t="shared" si="19"/>
        <v>0</v>
      </c>
      <c r="ES13" s="12">
        <f t="shared" si="19"/>
        <v>0</v>
      </c>
      <c r="ET13" s="12">
        <f t="shared" si="19"/>
        <v>0</v>
      </c>
      <c r="EU13" s="12">
        <f t="shared" si="19"/>
        <v>0</v>
      </c>
      <c r="EV13" s="12">
        <f t="shared" si="19"/>
        <v>0</v>
      </c>
      <c r="EW13" s="12">
        <f t="shared" si="19"/>
        <v>0</v>
      </c>
      <c r="EX13" s="12">
        <f t="shared" si="19"/>
        <v>0</v>
      </c>
      <c r="EY13" s="12">
        <f t="shared" si="19"/>
        <v>0</v>
      </c>
      <c r="EZ13" s="12">
        <f t="shared" si="19"/>
        <v>0</v>
      </c>
      <c r="FA13" s="12">
        <f t="shared" si="19"/>
        <v>0</v>
      </c>
      <c r="FB13" s="12">
        <f t="shared" si="19"/>
        <v>0</v>
      </c>
      <c r="FC13" s="12">
        <f t="shared" si="19"/>
        <v>0</v>
      </c>
      <c r="FD13" s="12">
        <f t="shared" si="19"/>
        <v>0</v>
      </c>
      <c r="FE13" s="12">
        <f t="shared" si="19"/>
        <v>0</v>
      </c>
      <c r="FF13" s="12">
        <f t="shared" si="19"/>
        <v>0</v>
      </c>
      <c r="FG13" s="12">
        <f t="shared" si="19"/>
        <v>0</v>
      </c>
      <c r="FH13" s="12">
        <f t="shared" si="19"/>
        <v>0</v>
      </c>
      <c r="FI13" s="12">
        <f t="shared" si="19"/>
        <v>0</v>
      </c>
      <c r="FJ13" s="12">
        <f t="shared" si="19"/>
        <v>0</v>
      </c>
      <c r="FK13" s="12">
        <f t="shared" si="19"/>
        <v>0</v>
      </c>
      <c r="FL13" s="12">
        <f t="shared" si="19"/>
        <v>0</v>
      </c>
      <c r="FM13" s="12">
        <f t="shared" si="19"/>
        <v>0</v>
      </c>
      <c r="FN13" s="12">
        <f t="shared" si="19"/>
        <v>0</v>
      </c>
      <c r="FO13" s="12">
        <f t="shared" si="19"/>
        <v>0</v>
      </c>
      <c r="FP13" s="12">
        <f t="shared" si="19"/>
        <v>0</v>
      </c>
      <c r="FQ13" s="12">
        <f t="shared" si="19"/>
        <v>0</v>
      </c>
      <c r="FR13" s="12">
        <f t="shared" si="19"/>
        <v>0</v>
      </c>
      <c r="FS13" s="12">
        <f t="shared" si="19"/>
        <v>0</v>
      </c>
      <c r="FT13" s="12">
        <f t="shared" si="19"/>
        <v>0</v>
      </c>
      <c r="FU13" s="12">
        <f t="shared" si="19"/>
        <v>0</v>
      </c>
      <c r="FV13" s="12">
        <f t="shared" si="19"/>
        <v>0</v>
      </c>
      <c r="FW13" s="12">
        <f t="shared" si="19"/>
        <v>0</v>
      </c>
      <c r="FX13" s="12">
        <f t="shared" ref="FX13:GC15" si="20">SUMPRODUCT((FX$22:FX$101)*($C$22:$C$101=$C13))</f>
        <v>0</v>
      </c>
      <c r="FY13" s="12">
        <f t="shared" si="20"/>
        <v>0</v>
      </c>
      <c r="FZ13" s="12">
        <f t="shared" si="20"/>
        <v>0</v>
      </c>
      <c r="GA13" s="12">
        <f t="shared" si="20"/>
        <v>0</v>
      </c>
      <c r="GB13" s="12">
        <f t="shared" si="20"/>
        <v>0</v>
      </c>
      <c r="GC13" s="12">
        <f t="shared" si="20"/>
        <v>0</v>
      </c>
    </row>
    <row r="14" spans="1:185">
      <c r="B14" t="s">
        <v>62</v>
      </c>
      <c r="C14" t="s">
        <v>73</v>
      </c>
      <c r="E14" s="25">
        <f t="shared" si="0"/>
        <v>0</v>
      </c>
      <c r="F14" s="12">
        <f t="shared" si="11"/>
        <v>0</v>
      </c>
      <c r="G14" s="12">
        <f t="shared" si="11"/>
        <v>0</v>
      </c>
      <c r="H14" s="12">
        <f t="shared" si="12"/>
        <v>0</v>
      </c>
      <c r="I14" s="12">
        <f t="shared" si="12"/>
        <v>0</v>
      </c>
      <c r="J14" s="12">
        <f t="shared" si="12"/>
        <v>0</v>
      </c>
      <c r="K14" s="12">
        <f t="shared" si="12"/>
        <v>0</v>
      </c>
      <c r="L14" s="12">
        <f t="shared" si="12"/>
        <v>0</v>
      </c>
      <c r="M14" s="12">
        <f t="shared" si="12"/>
        <v>0</v>
      </c>
      <c r="N14" s="12">
        <f t="shared" si="12"/>
        <v>0</v>
      </c>
      <c r="O14" s="12">
        <f t="shared" si="12"/>
        <v>0</v>
      </c>
      <c r="P14" s="12">
        <f t="shared" si="12"/>
        <v>0</v>
      </c>
      <c r="Q14" s="12">
        <f t="shared" si="12"/>
        <v>0</v>
      </c>
      <c r="R14" s="12">
        <f t="shared" si="13"/>
        <v>0</v>
      </c>
      <c r="S14" s="12">
        <f t="shared" si="13"/>
        <v>0</v>
      </c>
      <c r="T14" s="12">
        <f t="shared" si="13"/>
        <v>0</v>
      </c>
      <c r="U14" s="12">
        <f t="shared" si="13"/>
        <v>0</v>
      </c>
      <c r="V14" s="12">
        <f t="shared" si="13"/>
        <v>0</v>
      </c>
      <c r="W14" s="12">
        <f t="shared" si="13"/>
        <v>0</v>
      </c>
      <c r="X14" s="12">
        <f t="shared" si="13"/>
        <v>0</v>
      </c>
      <c r="Y14" s="12">
        <f t="shared" si="13"/>
        <v>0</v>
      </c>
      <c r="Z14" s="12">
        <f t="shared" si="13"/>
        <v>0</v>
      </c>
      <c r="AA14" s="12">
        <f t="shared" si="13"/>
        <v>0</v>
      </c>
      <c r="AB14" s="12">
        <f t="shared" si="14"/>
        <v>0</v>
      </c>
      <c r="AC14" s="12">
        <f t="shared" si="14"/>
        <v>0</v>
      </c>
      <c r="AD14" s="12">
        <f t="shared" si="14"/>
        <v>0</v>
      </c>
      <c r="AE14" s="12">
        <f t="shared" si="14"/>
        <v>0</v>
      </c>
      <c r="AF14" s="12">
        <f t="shared" si="14"/>
        <v>0</v>
      </c>
      <c r="AG14" s="12">
        <f t="shared" si="14"/>
        <v>0</v>
      </c>
      <c r="AH14" s="12">
        <f t="shared" si="14"/>
        <v>0</v>
      </c>
      <c r="AI14" s="12">
        <f t="shared" si="14"/>
        <v>0</v>
      </c>
      <c r="AJ14" s="12">
        <f t="shared" si="14"/>
        <v>0</v>
      </c>
      <c r="AK14" s="12">
        <f t="shared" si="14"/>
        <v>0</v>
      </c>
      <c r="AL14" s="12">
        <f t="shared" si="15"/>
        <v>0</v>
      </c>
      <c r="AM14" s="12">
        <f t="shared" si="15"/>
        <v>0</v>
      </c>
      <c r="AN14" s="12">
        <f t="shared" si="15"/>
        <v>0</v>
      </c>
      <c r="AO14" s="12">
        <f t="shared" si="15"/>
        <v>0</v>
      </c>
      <c r="AP14" s="12">
        <f t="shared" si="15"/>
        <v>0</v>
      </c>
      <c r="AQ14" s="12">
        <f t="shared" si="15"/>
        <v>0</v>
      </c>
      <c r="AR14" s="12">
        <f t="shared" si="15"/>
        <v>0</v>
      </c>
      <c r="AS14" s="12">
        <f t="shared" si="15"/>
        <v>0</v>
      </c>
      <c r="AT14" s="12">
        <f t="shared" si="15"/>
        <v>0</v>
      </c>
      <c r="AU14" s="12">
        <f t="shared" si="15"/>
        <v>0</v>
      </c>
      <c r="AV14" s="12">
        <f t="shared" si="16"/>
        <v>0</v>
      </c>
      <c r="AW14" s="12">
        <f t="shared" si="16"/>
        <v>0</v>
      </c>
      <c r="AX14" s="12">
        <f t="shared" si="16"/>
        <v>0</v>
      </c>
      <c r="AY14" s="12">
        <f t="shared" si="16"/>
        <v>0</v>
      </c>
      <c r="AZ14" s="12">
        <f t="shared" si="16"/>
        <v>0</v>
      </c>
      <c r="BA14" s="12">
        <f t="shared" si="16"/>
        <v>0</v>
      </c>
      <c r="BB14" s="12">
        <f t="shared" si="16"/>
        <v>0</v>
      </c>
      <c r="BC14" s="12">
        <f t="shared" si="16"/>
        <v>0</v>
      </c>
      <c r="BD14" s="12">
        <f t="shared" si="16"/>
        <v>0</v>
      </c>
      <c r="BE14" s="12">
        <f t="shared" si="16"/>
        <v>0</v>
      </c>
      <c r="BF14" s="12">
        <f t="shared" si="17"/>
        <v>0</v>
      </c>
      <c r="BG14" s="12">
        <f t="shared" si="17"/>
        <v>0</v>
      </c>
      <c r="BH14" s="12">
        <f t="shared" si="17"/>
        <v>0</v>
      </c>
      <c r="BI14" s="12">
        <f t="shared" si="17"/>
        <v>0</v>
      </c>
      <c r="BJ14" s="12">
        <f t="shared" si="17"/>
        <v>0</v>
      </c>
      <c r="BK14" s="12">
        <f t="shared" si="17"/>
        <v>0</v>
      </c>
      <c r="BL14" s="12">
        <f t="shared" si="17"/>
        <v>0</v>
      </c>
      <c r="BM14" s="12">
        <f t="shared" si="17"/>
        <v>0</v>
      </c>
      <c r="BN14" s="12">
        <f t="shared" ref="BN14:DY15" si="21">SUMPRODUCT((BN$22:BN$101)*($C$22:$C$101=$C14))</f>
        <v>0</v>
      </c>
      <c r="BO14" s="12">
        <f t="shared" si="21"/>
        <v>0</v>
      </c>
      <c r="BP14" s="12">
        <f t="shared" si="21"/>
        <v>0</v>
      </c>
      <c r="BQ14" s="12">
        <f t="shared" si="21"/>
        <v>0</v>
      </c>
      <c r="BR14" s="12">
        <f t="shared" si="21"/>
        <v>0</v>
      </c>
      <c r="BS14" s="12">
        <f t="shared" si="21"/>
        <v>0</v>
      </c>
      <c r="BT14" s="12">
        <f t="shared" si="21"/>
        <v>0</v>
      </c>
      <c r="BU14" s="12">
        <f t="shared" si="21"/>
        <v>0</v>
      </c>
      <c r="BV14" s="12">
        <f t="shared" si="21"/>
        <v>0</v>
      </c>
      <c r="BW14" s="12">
        <f t="shared" si="21"/>
        <v>0</v>
      </c>
      <c r="BX14" s="12">
        <f t="shared" si="21"/>
        <v>0</v>
      </c>
      <c r="BY14" s="12">
        <f t="shared" si="21"/>
        <v>0</v>
      </c>
      <c r="BZ14" s="12">
        <f t="shared" si="21"/>
        <v>0</v>
      </c>
      <c r="CA14" s="12">
        <f t="shared" si="21"/>
        <v>0</v>
      </c>
      <c r="CB14" s="12">
        <f t="shared" si="21"/>
        <v>0</v>
      </c>
      <c r="CC14" s="12">
        <f t="shared" si="21"/>
        <v>0</v>
      </c>
      <c r="CD14" s="12">
        <f t="shared" si="21"/>
        <v>0</v>
      </c>
      <c r="CE14" s="12">
        <f t="shared" si="21"/>
        <v>0</v>
      </c>
      <c r="CF14" s="12">
        <f t="shared" si="21"/>
        <v>0</v>
      </c>
      <c r="CG14" s="12">
        <f t="shared" si="21"/>
        <v>0</v>
      </c>
      <c r="CH14" s="12">
        <f t="shared" si="21"/>
        <v>0</v>
      </c>
      <c r="CI14" s="12">
        <f t="shared" si="21"/>
        <v>0</v>
      </c>
      <c r="CJ14" s="12">
        <f t="shared" si="21"/>
        <v>0</v>
      </c>
      <c r="CK14" s="12">
        <f t="shared" si="21"/>
        <v>0</v>
      </c>
      <c r="CL14" s="12">
        <f t="shared" si="21"/>
        <v>0</v>
      </c>
      <c r="CM14" s="12">
        <f t="shared" si="21"/>
        <v>0</v>
      </c>
      <c r="CN14" s="12">
        <f t="shared" si="21"/>
        <v>0</v>
      </c>
      <c r="CO14" s="12">
        <f t="shared" si="21"/>
        <v>0</v>
      </c>
      <c r="CP14" s="12">
        <f t="shared" si="21"/>
        <v>0</v>
      </c>
      <c r="CQ14" s="12">
        <f t="shared" si="21"/>
        <v>0</v>
      </c>
      <c r="CR14" s="12">
        <f t="shared" si="21"/>
        <v>0</v>
      </c>
      <c r="CS14" s="12">
        <f t="shared" si="21"/>
        <v>0</v>
      </c>
      <c r="CT14" s="12">
        <f t="shared" si="21"/>
        <v>0</v>
      </c>
      <c r="CU14" s="12">
        <f t="shared" si="21"/>
        <v>0</v>
      </c>
      <c r="CV14" s="12">
        <f t="shared" si="21"/>
        <v>0</v>
      </c>
      <c r="CW14" s="12">
        <f t="shared" si="21"/>
        <v>0</v>
      </c>
      <c r="CX14" s="12">
        <f t="shared" si="21"/>
        <v>0</v>
      </c>
      <c r="CY14" s="12">
        <f t="shared" si="21"/>
        <v>0</v>
      </c>
      <c r="CZ14" s="12">
        <f t="shared" si="21"/>
        <v>0</v>
      </c>
      <c r="DA14" s="12">
        <f t="shared" si="21"/>
        <v>0</v>
      </c>
      <c r="DB14" s="12">
        <f t="shared" si="21"/>
        <v>0</v>
      </c>
      <c r="DC14" s="12">
        <f t="shared" si="21"/>
        <v>0</v>
      </c>
      <c r="DD14" s="12">
        <f t="shared" si="21"/>
        <v>0</v>
      </c>
      <c r="DE14" s="12">
        <f t="shared" si="21"/>
        <v>0</v>
      </c>
      <c r="DF14" s="12">
        <f t="shared" si="21"/>
        <v>0</v>
      </c>
      <c r="DG14" s="12">
        <f t="shared" si="21"/>
        <v>0</v>
      </c>
      <c r="DH14" s="12">
        <f t="shared" si="21"/>
        <v>0</v>
      </c>
      <c r="DI14" s="12">
        <f t="shared" si="21"/>
        <v>0</v>
      </c>
      <c r="DJ14" s="12">
        <f t="shared" si="21"/>
        <v>0</v>
      </c>
      <c r="DK14" s="12">
        <f t="shared" si="21"/>
        <v>0</v>
      </c>
      <c r="DL14" s="12">
        <f t="shared" si="21"/>
        <v>0</v>
      </c>
      <c r="DM14" s="12">
        <f t="shared" si="21"/>
        <v>0</v>
      </c>
      <c r="DN14" s="12">
        <f t="shared" si="21"/>
        <v>0</v>
      </c>
      <c r="DO14" s="12">
        <f t="shared" si="21"/>
        <v>0</v>
      </c>
      <c r="DP14" s="12">
        <f t="shared" si="21"/>
        <v>0</v>
      </c>
      <c r="DQ14" s="12">
        <f t="shared" si="21"/>
        <v>0</v>
      </c>
      <c r="DR14" s="12">
        <f t="shared" si="21"/>
        <v>0</v>
      </c>
      <c r="DS14" s="12">
        <f t="shared" si="21"/>
        <v>0</v>
      </c>
      <c r="DT14" s="12">
        <f t="shared" si="21"/>
        <v>0</v>
      </c>
      <c r="DU14" s="12">
        <f t="shared" si="21"/>
        <v>0</v>
      </c>
      <c r="DV14" s="12">
        <f t="shared" si="21"/>
        <v>0</v>
      </c>
      <c r="DW14" s="12">
        <f t="shared" si="21"/>
        <v>0</v>
      </c>
      <c r="DX14" s="12">
        <f t="shared" si="21"/>
        <v>0</v>
      </c>
      <c r="DY14" s="12">
        <f t="shared" si="21"/>
        <v>0</v>
      </c>
      <c r="DZ14" s="12">
        <f t="shared" si="18"/>
        <v>0</v>
      </c>
      <c r="EA14" s="12">
        <f t="shared" si="18"/>
        <v>0</v>
      </c>
      <c r="EB14" s="12">
        <f t="shared" si="18"/>
        <v>0</v>
      </c>
      <c r="EC14" s="12">
        <f t="shared" si="18"/>
        <v>0</v>
      </c>
      <c r="ED14" s="12">
        <f t="shared" si="18"/>
        <v>0</v>
      </c>
      <c r="EE14" s="12">
        <f t="shared" si="18"/>
        <v>0</v>
      </c>
      <c r="EF14" s="12">
        <f t="shared" si="18"/>
        <v>0</v>
      </c>
      <c r="EG14" s="12">
        <f t="shared" si="18"/>
        <v>0</v>
      </c>
      <c r="EH14" s="12">
        <f t="shared" si="19"/>
        <v>0</v>
      </c>
      <c r="EI14" s="12">
        <f t="shared" si="19"/>
        <v>0</v>
      </c>
      <c r="EJ14" s="12">
        <f t="shared" si="19"/>
        <v>0</v>
      </c>
      <c r="EK14" s="12">
        <f t="shared" si="19"/>
        <v>0</v>
      </c>
      <c r="EL14" s="12">
        <f t="shared" si="19"/>
        <v>0</v>
      </c>
      <c r="EM14" s="12">
        <f t="shared" si="19"/>
        <v>0</v>
      </c>
      <c r="EN14" s="12">
        <f t="shared" si="19"/>
        <v>0</v>
      </c>
      <c r="EO14" s="12">
        <f t="shared" si="19"/>
        <v>0</v>
      </c>
      <c r="EP14" s="12">
        <f t="shared" si="19"/>
        <v>0</v>
      </c>
      <c r="EQ14" s="12">
        <f t="shared" si="19"/>
        <v>0</v>
      </c>
      <c r="ER14" s="12">
        <f t="shared" si="19"/>
        <v>0</v>
      </c>
      <c r="ES14" s="12">
        <f t="shared" si="19"/>
        <v>0</v>
      </c>
      <c r="ET14" s="12">
        <f t="shared" si="19"/>
        <v>0</v>
      </c>
      <c r="EU14" s="12">
        <f t="shared" si="19"/>
        <v>0</v>
      </c>
      <c r="EV14" s="12">
        <f t="shared" si="19"/>
        <v>0</v>
      </c>
      <c r="EW14" s="12">
        <f t="shared" si="19"/>
        <v>0</v>
      </c>
      <c r="EX14" s="12">
        <f t="shared" si="19"/>
        <v>0</v>
      </c>
      <c r="EY14" s="12">
        <f t="shared" si="19"/>
        <v>0</v>
      </c>
      <c r="EZ14" s="12">
        <f t="shared" si="19"/>
        <v>0</v>
      </c>
      <c r="FA14" s="12">
        <f t="shared" si="19"/>
        <v>0</v>
      </c>
      <c r="FB14" s="12">
        <f t="shared" si="19"/>
        <v>0</v>
      </c>
      <c r="FC14" s="12">
        <f t="shared" si="19"/>
        <v>0</v>
      </c>
      <c r="FD14" s="12">
        <f t="shared" si="19"/>
        <v>0</v>
      </c>
      <c r="FE14" s="12">
        <f t="shared" si="19"/>
        <v>0</v>
      </c>
      <c r="FF14" s="12">
        <f t="shared" si="19"/>
        <v>0</v>
      </c>
      <c r="FG14" s="12">
        <f t="shared" si="19"/>
        <v>0</v>
      </c>
      <c r="FH14" s="12">
        <f t="shared" si="19"/>
        <v>0</v>
      </c>
      <c r="FI14" s="12">
        <f t="shared" si="19"/>
        <v>0</v>
      </c>
      <c r="FJ14" s="12">
        <f t="shared" si="19"/>
        <v>0</v>
      </c>
      <c r="FK14" s="12">
        <f t="shared" si="19"/>
        <v>0</v>
      </c>
      <c r="FL14" s="12">
        <f t="shared" si="19"/>
        <v>0</v>
      </c>
      <c r="FM14" s="12">
        <f t="shared" si="19"/>
        <v>0</v>
      </c>
      <c r="FN14" s="12">
        <f t="shared" si="19"/>
        <v>0</v>
      </c>
      <c r="FO14" s="12">
        <f t="shared" si="19"/>
        <v>0</v>
      </c>
      <c r="FP14" s="12">
        <f t="shared" si="19"/>
        <v>0</v>
      </c>
      <c r="FQ14" s="12">
        <f t="shared" si="19"/>
        <v>0</v>
      </c>
      <c r="FR14" s="12">
        <f t="shared" si="19"/>
        <v>0</v>
      </c>
      <c r="FS14" s="12">
        <f t="shared" si="19"/>
        <v>0</v>
      </c>
      <c r="FT14" s="12">
        <f t="shared" si="19"/>
        <v>0</v>
      </c>
      <c r="FU14" s="12">
        <f t="shared" si="19"/>
        <v>0</v>
      </c>
      <c r="FV14" s="12">
        <f t="shared" si="19"/>
        <v>0</v>
      </c>
      <c r="FW14" s="12">
        <f t="shared" si="19"/>
        <v>0</v>
      </c>
      <c r="FX14" s="12">
        <f t="shared" si="20"/>
        <v>0</v>
      </c>
      <c r="FY14" s="12">
        <f t="shared" si="20"/>
        <v>0</v>
      </c>
      <c r="FZ14" s="12">
        <f t="shared" si="20"/>
        <v>0</v>
      </c>
      <c r="GA14" s="12">
        <f t="shared" si="20"/>
        <v>0</v>
      </c>
      <c r="GB14" s="12">
        <f t="shared" si="20"/>
        <v>0</v>
      </c>
      <c r="GC14" s="12">
        <f t="shared" si="20"/>
        <v>0</v>
      </c>
    </row>
    <row r="15" spans="1:185">
      <c r="B15" s="5" t="s">
        <v>43</v>
      </c>
      <c r="C15" s="5" t="s">
        <v>44</v>
      </c>
      <c r="D15" s="5"/>
      <c r="E15" s="248">
        <f t="shared" si="0"/>
        <v>4243665.2330666622</v>
      </c>
      <c r="F15" s="27">
        <f t="shared" si="11"/>
        <v>0</v>
      </c>
      <c r="G15" s="27">
        <f t="shared" si="11"/>
        <v>0</v>
      </c>
      <c r="H15" s="27">
        <f t="shared" si="12"/>
        <v>0</v>
      </c>
      <c r="I15" s="27">
        <f t="shared" si="12"/>
        <v>0</v>
      </c>
      <c r="J15" s="27">
        <f t="shared" si="12"/>
        <v>0</v>
      </c>
      <c r="K15" s="27">
        <f t="shared" si="12"/>
        <v>0</v>
      </c>
      <c r="L15" s="27">
        <f t="shared" si="12"/>
        <v>0</v>
      </c>
      <c r="M15" s="27">
        <f t="shared" si="12"/>
        <v>0</v>
      </c>
      <c r="N15" s="27">
        <f t="shared" si="12"/>
        <v>4685.8698666666633</v>
      </c>
      <c r="O15" s="27">
        <f t="shared" si="12"/>
        <v>4685.8698666666633</v>
      </c>
      <c r="P15" s="27">
        <f t="shared" si="12"/>
        <v>4685.8698666666633</v>
      </c>
      <c r="Q15" s="27">
        <f t="shared" si="12"/>
        <v>4685.8698666666633</v>
      </c>
      <c r="R15" s="27">
        <f t="shared" si="13"/>
        <v>88019.203199999989</v>
      </c>
      <c r="S15" s="27">
        <f t="shared" si="13"/>
        <v>88019.203199999989</v>
      </c>
      <c r="T15" s="27">
        <f t="shared" si="13"/>
        <v>88019.203199999989</v>
      </c>
      <c r="U15" s="27">
        <f t="shared" si="13"/>
        <v>88019.203199999989</v>
      </c>
      <c r="V15" s="27">
        <f t="shared" si="13"/>
        <v>88019.203199999989</v>
      </c>
      <c r="W15" s="27">
        <f t="shared" si="13"/>
        <v>88019.203199999989</v>
      </c>
      <c r="X15" s="27">
        <f t="shared" si="13"/>
        <v>88019.203199999989</v>
      </c>
      <c r="Y15" s="27">
        <f t="shared" si="13"/>
        <v>88019.203199999989</v>
      </c>
      <c r="Z15" s="27">
        <f t="shared" si="13"/>
        <v>88019.203199999989</v>
      </c>
      <c r="AA15" s="27">
        <f t="shared" si="13"/>
        <v>88019.203199999989</v>
      </c>
      <c r="AB15" s="27">
        <f t="shared" si="14"/>
        <v>88019.203199999989</v>
      </c>
      <c r="AC15" s="27">
        <f t="shared" si="14"/>
        <v>88019.203199999989</v>
      </c>
      <c r="AD15" s="27">
        <f t="shared" si="14"/>
        <v>88019.203199999989</v>
      </c>
      <c r="AE15" s="27">
        <f t="shared" si="14"/>
        <v>88019.203199999989</v>
      </c>
      <c r="AF15" s="27">
        <f t="shared" si="14"/>
        <v>88019.203199999989</v>
      </c>
      <c r="AG15" s="27">
        <f t="shared" si="14"/>
        <v>88019.203199999989</v>
      </c>
      <c r="AH15" s="27">
        <f t="shared" si="14"/>
        <v>88019.203199999989</v>
      </c>
      <c r="AI15" s="27">
        <f t="shared" si="14"/>
        <v>88019.203199999989</v>
      </c>
      <c r="AJ15" s="27">
        <f t="shared" si="14"/>
        <v>88019.203199999989</v>
      </c>
      <c r="AK15" s="27">
        <f t="shared" si="14"/>
        <v>88019.203199999989</v>
      </c>
      <c r="AL15" s="27">
        <f t="shared" si="15"/>
        <v>88019.203199999989</v>
      </c>
      <c r="AM15" s="27">
        <f t="shared" si="15"/>
        <v>88019.203199999989</v>
      </c>
      <c r="AN15" s="27">
        <f t="shared" si="15"/>
        <v>88019.203199999989</v>
      </c>
      <c r="AO15" s="27">
        <f t="shared" si="15"/>
        <v>88019.203199999989</v>
      </c>
      <c r="AP15" s="27">
        <f t="shared" si="15"/>
        <v>88019.203199999989</v>
      </c>
      <c r="AQ15" s="27">
        <f t="shared" si="15"/>
        <v>88019.203199999989</v>
      </c>
      <c r="AR15" s="27">
        <f t="shared" si="15"/>
        <v>88019.203199999989</v>
      </c>
      <c r="AS15" s="27">
        <f t="shared" si="15"/>
        <v>88019.203199999989</v>
      </c>
      <c r="AT15" s="27">
        <f t="shared" si="15"/>
        <v>88019.203199999989</v>
      </c>
      <c r="AU15" s="27">
        <f t="shared" si="15"/>
        <v>88019.203199999989</v>
      </c>
      <c r="AV15" s="27">
        <f t="shared" si="16"/>
        <v>88019.203199999989</v>
      </c>
      <c r="AW15" s="27">
        <f t="shared" si="16"/>
        <v>88019.203199999989</v>
      </c>
      <c r="AX15" s="27">
        <f t="shared" si="16"/>
        <v>88019.203199999989</v>
      </c>
      <c r="AY15" s="27">
        <f t="shared" si="16"/>
        <v>88019.203199999989</v>
      </c>
      <c r="AZ15" s="27">
        <f t="shared" si="16"/>
        <v>88019.203199999989</v>
      </c>
      <c r="BA15" s="27">
        <f t="shared" si="16"/>
        <v>88019.203199999989</v>
      </c>
      <c r="BB15" s="27">
        <f t="shared" si="16"/>
        <v>88019.203199999989</v>
      </c>
      <c r="BC15" s="27">
        <f t="shared" si="16"/>
        <v>88019.203199999989</v>
      </c>
      <c r="BD15" s="27">
        <f t="shared" si="16"/>
        <v>88019.203199999989</v>
      </c>
      <c r="BE15" s="27">
        <f t="shared" si="16"/>
        <v>88019.203199999989</v>
      </c>
      <c r="BF15" s="27">
        <f t="shared" si="17"/>
        <v>88019.203199999989</v>
      </c>
      <c r="BG15" s="27">
        <f t="shared" si="17"/>
        <v>88019.203199999989</v>
      </c>
      <c r="BH15" s="27">
        <f t="shared" si="17"/>
        <v>88019.203199999989</v>
      </c>
      <c r="BI15" s="27">
        <f t="shared" si="17"/>
        <v>88019.203199999989</v>
      </c>
      <c r="BJ15" s="27">
        <f t="shared" si="17"/>
        <v>88019.203199999989</v>
      </c>
      <c r="BK15" s="27">
        <f t="shared" si="17"/>
        <v>88019.203199999989</v>
      </c>
      <c r="BL15" s="27">
        <f t="shared" si="17"/>
        <v>88019.203199999989</v>
      </c>
      <c r="BM15" s="27">
        <f t="shared" si="17"/>
        <v>88019.203199999989</v>
      </c>
      <c r="BN15" s="27">
        <f t="shared" si="21"/>
        <v>88019.203199999989</v>
      </c>
      <c r="BO15" s="27">
        <f t="shared" si="21"/>
        <v>88019.203199999989</v>
      </c>
      <c r="BP15" s="27">
        <f t="shared" si="21"/>
        <v>88019.203199999989</v>
      </c>
      <c r="BQ15" s="27">
        <f t="shared" si="21"/>
        <v>88019.203199999989</v>
      </c>
      <c r="BR15" s="27">
        <f t="shared" si="21"/>
        <v>88019.203199999989</v>
      </c>
      <c r="BS15" s="27">
        <f t="shared" si="21"/>
        <v>88019.203199999989</v>
      </c>
      <c r="BT15" s="27">
        <f t="shared" si="21"/>
        <v>88019.203199999989</v>
      </c>
      <c r="BU15" s="27">
        <f t="shared" si="21"/>
        <v>88019.203199999989</v>
      </c>
      <c r="BV15" s="27">
        <f t="shared" si="21"/>
        <v>88019.203199999989</v>
      </c>
      <c r="BW15" s="27">
        <f t="shared" si="21"/>
        <v>88019.203199999989</v>
      </c>
      <c r="BX15" s="27">
        <f t="shared" si="21"/>
        <v>88019.203199999989</v>
      </c>
      <c r="BY15" s="27">
        <f t="shared" si="21"/>
        <v>88019.203199999989</v>
      </c>
      <c r="BZ15" s="27">
        <f t="shared" si="21"/>
        <v>88019.203199999989</v>
      </c>
      <c r="CA15" s="27">
        <f t="shared" si="21"/>
        <v>88019.203199999989</v>
      </c>
      <c r="CB15" s="27">
        <f t="shared" si="21"/>
        <v>88019.203199999989</v>
      </c>
      <c r="CC15" s="27">
        <f t="shared" si="21"/>
        <v>88019.203199999989</v>
      </c>
      <c r="CD15" s="27">
        <f t="shared" si="21"/>
        <v>88019.203199999989</v>
      </c>
      <c r="CE15" s="27">
        <f t="shared" si="21"/>
        <v>88019.203199999989</v>
      </c>
      <c r="CF15" s="27">
        <f t="shared" si="21"/>
        <v>88019.203199999989</v>
      </c>
      <c r="CG15" s="27">
        <f t="shared" si="21"/>
        <v>88019.203199999989</v>
      </c>
      <c r="CH15" s="27">
        <f t="shared" si="21"/>
        <v>88019.203199999989</v>
      </c>
      <c r="CI15" s="27">
        <f t="shared" si="21"/>
        <v>88019.203199999989</v>
      </c>
      <c r="CJ15" s="27">
        <f t="shared" si="21"/>
        <v>88019.203199999989</v>
      </c>
      <c r="CK15" s="27">
        <f t="shared" si="21"/>
        <v>88019.203199999989</v>
      </c>
      <c r="CL15" s="27">
        <f t="shared" si="21"/>
        <v>88019.203199999989</v>
      </c>
      <c r="CM15" s="27">
        <f t="shared" si="21"/>
        <v>88019.203199999989</v>
      </c>
      <c r="CN15" s="27">
        <f t="shared" si="21"/>
        <v>88019.203199999989</v>
      </c>
      <c r="CO15" s="27">
        <f t="shared" si="21"/>
        <v>88019.203199999989</v>
      </c>
      <c r="CP15" s="27">
        <f t="shared" si="21"/>
        <v>88019.203199999989</v>
      </c>
      <c r="CQ15" s="27">
        <f t="shared" si="21"/>
        <v>88019.203199999989</v>
      </c>
      <c r="CR15" s="27">
        <f t="shared" si="21"/>
        <v>88019.203199999989</v>
      </c>
      <c r="CS15" s="27">
        <f t="shared" si="21"/>
        <v>88019.203199999989</v>
      </c>
      <c r="CT15" s="27">
        <f t="shared" si="21"/>
        <v>88019.203199999989</v>
      </c>
      <c r="CU15" s="27">
        <f t="shared" si="21"/>
        <v>88019.203199999989</v>
      </c>
      <c r="CV15" s="27">
        <f t="shared" si="21"/>
        <v>88019.203199999989</v>
      </c>
      <c r="CW15" s="27">
        <f t="shared" si="21"/>
        <v>88019.203199999989</v>
      </c>
      <c r="CX15" s="27">
        <f t="shared" si="21"/>
        <v>88019.203199999989</v>
      </c>
      <c r="CY15" s="27">
        <f t="shared" si="21"/>
        <v>88019.203199999989</v>
      </c>
      <c r="CZ15" s="27">
        <f t="shared" si="21"/>
        <v>88019.203199999989</v>
      </c>
      <c r="DA15" s="27">
        <f t="shared" si="21"/>
        <v>88019.203199999989</v>
      </c>
      <c r="DB15" s="27">
        <f t="shared" si="21"/>
        <v>88019.203199999989</v>
      </c>
      <c r="DC15" s="27">
        <f t="shared" si="21"/>
        <v>88019.203199999989</v>
      </c>
      <c r="DD15" s="27">
        <f t="shared" si="21"/>
        <v>88019.203199999989</v>
      </c>
      <c r="DE15" s="27">
        <f t="shared" si="21"/>
        <v>88019.203199999989</v>
      </c>
      <c r="DF15" s="27">
        <f t="shared" si="21"/>
        <v>88019.203199999989</v>
      </c>
      <c r="DG15" s="27">
        <f t="shared" si="21"/>
        <v>88019.203199999989</v>
      </c>
      <c r="DH15" s="27">
        <f t="shared" si="21"/>
        <v>88019.203199999989</v>
      </c>
      <c r="DI15" s="27">
        <f t="shared" si="21"/>
        <v>88019.203199999989</v>
      </c>
      <c r="DJ15" s="27">
        <f t="shared" si="21"/>
        <v>88019.203199999989</v>
      </c>
      <c r="DK15" s="27">
        <f t="shared" si="21"/>
        <v>88019.203199999989</v>
      </c>
      <c r="DL15" s="27">
        <f t="shared" si="21"/>
        <v>88019.203199999989</v>
      </c>
      <c r="DM15" s="27">
        <f t="shared" si="21"/>
        <v>88019.203199999989</v>
      </c>
      <c r="DN15" s="27">
        <f t="shared" si="21"/>
        <v>88019.203199999989</v>
      </c>
      <c r="DO15" s="27">
        <f t="shared" si="21"/>
        <v>88019.203199999989</v>
      </c>
      <c r="DP15" s="27">
        <f t="shared" si="21"/>
        <v>88019.203199999989</v>
      </c>
      <c r="DQ15" s="27">
        <f t="shared" si="21"/>
        <v>88019.203199999989</v>
      </c>
      <c r="DR15" s="27">
        <f t="shared" si="21"/>
        <v>88019.203199999989</v>
      </c>
      <c r="DS15" s="27">
        <f t="shared" si="21"/>
        <v>88019.203199999989</v>
      </c>
      <c r="DT15" s="27">
        <f t="shared" si="21"/>
        <v>88019.203199999989</v>
      </c>
      <c r="DU15" s="27">
        <f t="shared" si="21"/>
        <v>88019.203199999989</v>
      </c>
      <c r="DV15" s="27">
        <f t="shared" si="21"/>
        <v>88019.203199999989</v>
      </c>
      <c r="DW15" s="27">
        <f t="shared" si="21"/>
        <v>88019.203199999989</v>
      </c>
      <c r="DX15" s="27">
        <f t="shared" si="21"/>
        <v>88019.203199999989</v>
      </c>
      <c r="DY15" s="27">
        <f t="shared" si="21"/>
        <v>88019.203199999989</v>
      </c>
      <c r="DZ15" s="27">
        <f t="shared" si="18"/>
        <v>88019.203199999989</v>
      </c>
      <c r="EA15" s="27">
        <f t="shared" si="18"/>
        <v>88019.203199999989</v>
      </c>
      <c r="EB15" s="27">
        <f t="shared" si="18"/>
        <v>88019.203199999989</v>
      </c>
      <c r="EC15" s="27">
        <f t="shared" si="18"/>
        <v>88019.203199999989</v>
      </c>
      <c r="ED15" s="27">
        <f t="shared" si="18"/>
        <v>88019.203199999989</v>
      </c>
      <c r="EE15" s="27">
        <f t="shared" si="18"/>
        <v>88019.203199999989</v>
      </c>
      <c r="EF15" s="27">
        <f t="shared" si="18"/>
        <v>88019.203199999989</v>
      </c>
      <c r="EG15" s="27">
        <f t="shared" si="18"/>
        <v>88019.203199999989</v>
      </c>
      <c r="EH15" s="27">
        <f t="shared" si="19"/>
        <v>88019.203199999989</v>
      </c>
      <c r="EI15" s="27">
        <f t="shared" si="19"/>
        <v>88019.203199999989</v>
      </c>
      <c r="EJ15" s="27">
        <f t="shared" si="19"/>
        <v>88019.203199999989</v>
      </c>
      <c r="EK15" s="27">
        <f t="shared" si="19"/>
        <v>88019.203199999989</v>
      </c>
      <c r="EL15" s="27">
        <f t="shared" si="19"/>
        <v>88019.203199999989</v>
      </c>
      <c r="EM15" s="27">
        <f t="shared" si="19"/>
        <v>88019.203199999989</v>
      </c>
      <c r="EN15" s="27">
        <f t="shared" si="19"/>
        <v>88019.203199999989</v>
      </c>
      <c r="EO15" s="27">
        <f t="shared" si="19"/>
        <v>88019.203199999989</v>
      </c>
      <c r="EP15" s="27">
        <f t="shared" si="19"/>
        <v>88019.203199999989</v>
      </c>
      <c r="EQ15" s="27">
        <f t="shared" si="19"/>
        <v>88019.203199999989</v>
      </c>
      <c r="ER15" s="27">
        <f t="shared" si="19"/>
        <v>88019.203199999989</v>
      </c>
      <c r="ES15" s="27">
        <f t="shared" si="19"/>
        <v>88019.203199999989</v>
      </c>
      <c r="ET15" s="27">
        <f t="shared" si="19"/>
        <v>88019.203199999989</v>
      </c>
      <c r="EU15" s="27">
        <f t="shared" si="19"/>
        <v>88019.203199999989</v>
      </c>
      <c r="EV15" s="27">
        <f t="shared" si="19"/>
        <v>88019.203199999989</v>
      </c>
      <c r="EW15" s="27">
        <f t="shared" si="19"/>
        <v>88019.203199999989</v>
      </c>
      <c r="EX15" s="27">
        <f t="shared" si="19"/>
        <v>88019.203199999989</v>
      </c>
      <c r="EY15" s="27">
        <f t="shared" si="19"/>
        <v>88019.203199999989</v>
      </c>
      <c r="EZ15" s="27">
        <f t="shared" si="19"/>
        <v>88019.203199999989</v>
      </c>
      <c r="FA15" s="27">
        <f t="shared" si="19"/>
        <v>88019.203199999989</v>
      </c>
      <c r="FB15" s="27">
        <f t="shared" si="19"/>
        <v>88019.203199999989</v>
      </c>
      <c r="FC15" s="27">
        <f t="shared" si="19"/>
        <v>88019.203199999989</v>
      </c>
      <c r="FD15" s="27">
        <f t="shared" si="19"/>
        <v>88019.203199999989</v>
      </c>
      <c r="FE15" s="27">
        <f t="shared" si="19"/>
        <v>88019.203199999989</v>
      </c>
      <c r="FF15" s="27">
        <f t="shared" si="19"/>
        <v>88019.203199999989</v>
      </c>
      <c r="FG15" s="27">
        <f t="shared" si="19"/>
        <v>88019.203199999989</v>
      </c>
      <c r="FH15" s="27">
        <f t="shared" si="19"/>
        <v>88019.203199999989</v>
      </c>
      <c r="FI15" s="27">
        <f t="shared" si="19"/>
        <v>88019.203199999989</v>
      </c>
      <c r="FJ15" s="27">
        <f t="shared" si="19"/>
        <v>88019.203199999989</v>
      </c>
      <c r="FK15" s="27">
        <f t="shared" si="19"/>
        <v>88019.203199999989</v>
      </c>
      <c r="FL15" s="27">
        <f t="shared" si="19"/>
        <v>88019.203199999989</v>
      </c>
      <c r="FM15" s="27">
        <f t="shared" si="19"/>
        <v>88019.203199999989</v>
      </c>
      <c r="FN15" s="27">
        <f t="shared" si="19"/>
        <v>88019.203199999989</v>
      </c>
      <c r="FO15" s="27">
        <f t="shared" si="19"/>
        <v>88019.203199999989</v>
      </c>
      <c r="FP15" s="27">
        <f t="shared" si="19"/>
        <v>88019.203199999989</v>
      </c>
      <c r="FQ15" s="27">
        <f t="shared" si="19"/>
        <v>88019.203199999989</v>
      </c>
      <c r="FR15" s="27">
        <f t="shared" si="19"/>
        <v>88019.203199999989</v>
      </c>
      <c r="FS15" s="27">
        <f t="shared" si="19"/>
        <v>88019.203199999989</v>
      </c>
      <c r="FT15" s="27">
        <f t="shared" si="19"/>
        <v>88019.203199999989</v>
      </c>
      <c r="FU15" s="27">
        <f t="shared" si="19"/>
        <v>88019.203199999989</v>
      </c>
      <c r="FV15" s="27">
        <f t="shared" si="19"/>
        <v>88019.203199999989</v>
      </c>
      <c r="FW15" s="27">
        <f t="shared" si="19"/>
        <v>88019.203199999989</v>
      </c>
      <c r="FX15" s="27">
        <f t="shared" si="20"/>
        <v>88019.203199999989</v>
      </c>
      <c r="FY15" s="27">
        <f t="shared" si="20"/>
        <v>88019.203199999989</v>
      </c>
      <c r="FZ15" s="27">
        <f t="shared" si="20"/>
        <v>88019.203199999989</v>
      </c>
      <c r="GA15" s="27">
        <f t="shared" si="20"/>
        <v>88019.203199999989</v>
      </c>
      <c r="GB15" s="27">
        <f t="shared" si="20"/>
        <v>88019.203199999989</v>
      </c>
      <c r="GC15" s="27">
        <f t="shared" si="20"/>
        <v>88019.203199999989</v>
      </c>
    </row>
    <row r="16" spans="1:185">
      <c r="B16" t="s">
        <v>503</v>
      </c>
      <c r="C16" s="39">
        <f>WACC!C18</f>
        <v>0.21</v>
      </c>
      <c r="E16" s="25">
        <f t="shared" si="0"/>
        <v>-12576509.350957097</v>
      </c>
      <c r="F16" s="12">
        <f>IF(F9&lt;=0,0,-(F9-F11-F12+F15)*$C16)</f>
        <v>0</v>
      </c>
      <c r="G16" s="12">
        <f t="shared" ref="G16:BR16" si="22">IF(G9&lt;=0,0,-(G9-G11-G12+G15)*$C16)</f>
        <v>0</v>
      </c>
      <c r="H16" s="12">
        <f t="shared" si="22"/>
        <v>0</v>
      </c>
      <c r="I16" s="12">
        <f t="shared" si="22"/>
        <v>0</v>
      </c>
      <c r="J16" s="12">
        <f t="shared" si="22"/>
        <v>0</v>
      </c>
      <c r="K16" s="12">
        <f t="shared" si="22"/>
        <v>0</v>
      </c>
      <c r="L16" s="12">
        <f t="shared" si="22"/>
        <v>0</v>
      </c>
      <c r="M16" s="12">
        <f t="shared" si="22"/>
        <v>-210986.88275111999</v>
      </c>
      <c r="N16" s="12">
        <f t="shared" si="22"/>
        <v>-215034.63981575816</v>
      </c>
      <c r="O16" s="12">
        <f t="shared" si="22"/>
        <v>-226139.6949308046</v>
      </c>
      <c r="P16" s="12">
        <f t="shared" si="22"/>
        <v>-218462.5703418109</v>
      </c>
      <c r="Q16" s="12">
        <f t="shared" si="22"/>
        <v>-226139.6949308046</v>
      </c>
      <c r="R16" s="12">
        <f t="shared" si="22"/>
        <v>-243639.69493080457</v>
      </c>
      <c r="S16" s="12">
        <f t="shared" si="22"/>
        <v>-220608.32116382351</v>
      </c>
      <c r="T16" s="12">
        <f t="shared" si="22"/>
        <v>-243639.69493080457</v>
      </c>
      <c r="U16" s="12">
        <f t="shared" si="22"/>
        <v>-235962.5703418109</v>
      </c>
      <c r="V16" s="12">
        <f t="shared" si="22"/>
        <v>-243639.69493080457</v>
      </c>
      <c r="W16" s="12">
        <f t="shared" si="22"/>
        <v>-235962.5703418109</v>
      </c>
      <c r="X16" s="12">
        <f t="shared" si="22"/>
        <v>-243639.69493080457</v>
      </c>
      <c r="Y16" s="12">
        <f t="shared" si="22"/>
        <v>-243639.69493080457</v>
      </c>
      <c r="Z16" s="12">
        <f t="shared" si="22"/>
        <v>-235962.5703418109</v>
      </c>
      <c r="AA16" s="12">
        <f t="shared" si="22"/>
        <v>-243639.69493080457</v>
      </c>
      <c r="AB16" s="12">
        <f t="shared" si="22"/>
        <v>-235962.5703418109</v>
      </c>
      <c r="AC16" s="12">
        <f t="shared" si="22"/>
        <v>-243639.69493080457</v>
      </c>
      <c r="AD16" s="12">
        <f t="shared" si="22"/>
        <v>-243639.69493080457</v>
      </c>
      <c r="AE16" s="12">
        <f t="shared" si="22"/>
        <v>-220608.32116382351</v>
      </c>
      <c r="AF16" s="12">
        <f t="shared" si="22"/>
        <v>-243639.69493080457</v>
      </c>
      <c r="AG16" s="12">
        <f t="shared" si="22"/>
        <v>-235962.5703418109</v>
      </c>
      <c r="AH16" s="12">
        <f t="shared" si="22"/>
        <v>-243639.69493080457</v>
      </c>
      <c r="AI16" s="12">
        <f t="shared" si="22"/>
        <v>-235962.5703418109</v>
      </c>
      <c r="AJ16" s="12">
        <f t="shared" si="22"/>
        <v>-243639.69493080457</v>
      </c>
      <c r="AK16" s="12">
        <f t="shared" si="22"/>
        <v>-243639.69493080457</v>
      </c>
      <c r="AL16" s="12">
        <f t="shared" si="22"/>
        <v>-235962.5703418109</v>
      </c>
      <c r="AM16" s="12">
        <f t="shared" si="22"/>
        <v>-243639.69493080457</v>
      </c>
      <c r="AN16" s="12">
        <f t="shared" si="22"/>
        <v>-235962.5703418109</v>
      </c>
      <c r="AO16" s="12">
        <f t="shared" si="22"/>
        <v>-243639.69493080457</v>
      </c>
      <c r="AP16" s="12">
        <f t="shared" si="22"/>
        <v>-243639.69493080457</v>
      </c>
      <c r="AQ16" s="12">
        <f t="shared" si="22"/>
        <v>-220608.32116382351</v>
      </c>
      <c r="AR16" s="12">
        <f t="shared" si="22"/>
        <v>-243639.69493080457</v>
      </c>
      <c r="AS16" s="12">
        <f t="shared" si="22"/>
        <v>-235962.5703418109</v>
      </c>
      <c r="AT16" s="12">
        <f t="shared" si="22"/>
        <v>-243639.69493080457</v>
      </c>
      <c r="AU16" s="12">
        <f t="shared" si="22"/>
        <v>-235962.5703418109</v>
      </c>
      <c r="AV16" s="12">
        <f t="shared" si="22"/>
        <v>-243639.69493080457</v>
      </c>
      <c r="AW16" s="12">
        <f t="shared" si="22"/>
        <v>-243639.69493080457</v>
      </c>
      <c r="AX16" s="12">
        <f t="shared" si="22"/>
        <v>-235962.5703418109</v>
      </c>
      <c r="AY16" s="12">
        <f t="shared" si="22"/>
        <v>-243639.69493080457</v>
      </c>
      <c r="AZ16" s="12">
        <f t="shared" si="22"/>
        <v>-235962.5703418109</v>
      </c>
      <c r="BA16" s="12">
        <f t="shared" si="22"/>
        <v>-243639.69493080457</v>
      </c>
      <c r="BB16" s="12">
        <f t="shared" si="22"/>
        <v>-243639.69493080457</v>
      </c>
      <c r="BC16" s="12">
        <f t="shared" si="22"/>
        <v>-220608.32116382351</v>
      </c>
      <c r="BD16" s="12">
        <f t="shared" si="22"/>
        <v>-243639.69493080457</v>
      </c>
      <c r="BE16" s="12">
        <f t="shared" si="22"/>
        <v>-235962.5703418109</v>
      </c>
      <c r="BF16" s="12">
        <f t="shared" si="22"/>
        <v>-243639.69493080457</v>
      </c>
      <c r="BG16" s="12">
        <f t="shared" si="22"/>
        <v>-235962.5703418109</v>
      </c>
      <c r="BH16" s="12">
        <f t="shared" si="22"/>
        <v>-243639.69493080457</v>
      </c>
      <c r="BI16" s="12">
        <f t="shared" si="22"/>
        <v>-243639.69493080457</v>
      </c>
      <c r="BJ16" s="12">
        <f t="shared" si="22"/>
        <v>-235962.5703418109</v>
      </c>
      <c r="BK16" s="12">
        <f t="shared" si="22"/>
        <v>-243639.69493080457</v>
      </c>
      <c r="BL16" s="12">
        <f t="shared" si="22"/>
        <v>-235962.5703418109</v>
      </c>
      <c r="BM16" s="12">
        <f t="shared" si="22"/>
        <v>-243639.69493080457</v>
      </c>
      <c r="BN16" s="12">
        <f t="shared" si="22"/>
        <v>-243639.69493080457</v>
      </c>
      <c r="BO16" s="12">
        <f t="shared" si="22"/>
        <v>-220608.32116382351</v>
      </c>
      <c r="BP16" s="12">
        <f t="shared" si="22"/>
        <v>-243639.69493080457</v>
      </c>
      <c r="BQ16" s="12">
        <f t="shared" si="22"/>
        <v>-235962.5703418109</v>
      </c>
      <c r="BR16" s="12">
        <f t="shared" si="22"/>
        <v>-243639.69493080457</v>
      </c>
      <c r="BS16" s="12">
        <f t="shared" ref="BS16:ED16" si="23">IF(BS9&lt;=0,0,-(BS9-BS11-BS12+BS15)*$C16)</f>
        <v>-235962.5703418109</v>
      </c>
      <c r="BT16" s="12">
        <f t="shared" si="23"/>
        <v>-243639.69493080457</v>
      </c>
      <c r="BU16" s="12">
        <f t="shared" si="23"/>
        <v>-243639.69493080457</v>
      </c>
      <c r="BV16" s="12">
        <f t="shared" si="23"/>
        <v>-235962.5703418109</v>
      </c>
      <c r="BW16" s="12">
        <f t="shared" si="23"/>
        <v>-243639.69493080457</v>
      </c>
      <c r="BX16" s="12">
        <f t="shared" si="23"/>
        <v>-235962.5703418109</v>
      </c>
      <c r="BY16" s="12">
        <f t="shared" si="23"/>
        <v>-243639.69493080457</v>
      </c>
      <c r="BZ16" s="12">
        <f t="shared" si="23"/>
        <v>-243639.69493080457</v>
      </c>
      <c r="CA16" s="12">
        <f t="shared" si="23"/>
        <v>-220608.32116382351</v>
      </c>
      <c r="CB16" s="12">
        <f t="shared" si="23"/>
        <v>-243639.69493080457</v>
      </c>
      <c r="CC16" s="12">
        <f t="shared" si="23"/>
        <v>-235962.5703418109</v>
      </c>
      <c r="CD16" s="12">
        <f t="shared" si="23"/>
        <v>-243639.69493080457</v>
      </c>
      <c r="CE16" s="12">
        <f t="shared" si="23"/>
        <v>-235962.5703418109</v>
      </c>
      <c r="CF16" s="12">
        <f t="shared" si="23"/>
        <v>-243639.69493080457</v>
      </c>
      <c r="CG16" s="12">
        <f t="shared" si="23"/>
        <v>-243639.69493080457</v>
      </c>
      <c r="CH16" s="12">
        <f t="shared" si="23"/>
        <v>-235962.5703418109</v>
      </c>
      <c r="CI16" s="12">
        <f t="shared" si="23"/>
        <v>-243639.69493080457</v>
      </c>
      <c r="CJ16" s="12">
        <f t="shared" si="23"/>
        <v>-235962.5703418109</v>
      </c>
      <c r="CK16" s="12">
        <f t="shared" si="23"/>
        <v>-243639.69493080457</v>
      </c>
      <c r="CL16" s="12">
        <f t="shared" si="23"/>
        <v>-243639.69493080457</v>
      </c>
      <c r="CM16" s="12">
        <f t="shared" si="23"/>
        <v>-220608.32116382351</v>
      </c>
      <c r="CN16" s="12">
        <f t="shared" si="23"/>
        <v>-243639.69493080457</v>
      </c>
      <c r="CO16" s="12">
        <f t="shared" si="23"/>
        <v>-235962.5703418109</v>
      </c>
      <c r="CP16" s="12">
        <f t="shared" si="23"/>
        <v>-243639.69493080457</v>
      </c>
      <c r="CQ16" s="12">
        <f t="shared" si="23"/>
        <v>-235962.5703418109</v>
      </c>
      <c r="CR16" s="12">
        <f t="shared" si="23"/>
        <v>-243639.69493080457</v>
      </c>
      <c r="CS16" s="12">
        <f t="shared" si="23"/>
        <v>-243639.69493080457</v>
      </c>
      <c r="CT16" s="12">
        <f t="shared" si="23"/>
        <v>-235962.5703418109</v>
      </c>
      <c r="CU16" s="12">
        <f t="shared" si="23"/>
        <v>-243639.69493080457</v>
      </c>
      <c r="CV16" s="12">
        <f t="shared" si="23"/>
        <v>-235962.5703418109</v>
      </c>
      <c r="CW16" s="12">
        <f t="shared" si="23"/>
        <v>-243639.69493080457</v>
      </c>
      <c r="CX16" s="12">
        <f t="shared" si="23"/>
        <v>-243639.69493080457</v>
      </c>
      <c r="CY16" s="12">
        <f t="shared" si="23"/>
        <v>-220608.32116382351</v>
      </c>
      <c r="CZ16" s="12">
        <f t="shared" si="23"/>
        <v>-243639.69493080457</v>
      </c>
      <c r="DA16" s="12">
        <f t="shared" si="23"/>
        <v>-235962.5703418109</v>
      </c>
      <c r="DB16" s="12">
        <f t="shared" si="23"/>
        <v>-243639.69493080457</v>
      </c>
      <c r="DC16" s="12">
        <f t="shared" si="23"/>
        <v>-235962.5703418109</v>
      </c>
      <c r="DD16" s="12">
        <f t="shared" si="23"/>
        <v>-243639.69493080457</v>
      </c>
      <c r="DE16" s="12">
        <f t="shared" si="23"/>
        <v>-243639.69493080457</v>
      </c>
      <c r="DF16" s="12">
        <f t="shared" si="23"/>
        <v>-235962.5703418109</v>
      </c>
      <c r="DG16" s="12">
        <f t="shared" si="23"/>
        <v>-243639.69493080457</v>
      </c>
      <c r="DH16" s="12">
        <f t="shared" si="23"/>
        <v>-235962.5703418109</v>
      </c>
      <c r="DI16" s="12">
        <f t="shared" si="23"/>
        <v>-243639.69493080457</v>
      </c>
      <c r="DJ16" s="12">
        <f t="shared" si="23"/>
        <v>-243639.69493080457</v>
      </c>
      <c r="DK16" s="12">
        <f t="shared" si="23"/>
        <v>-220608.32116382351</v>
      </c>
      <c r="DL16" s="12">
        <f t="shared" si="23"/>
        <v>-243639.69493080457</v>
      </c>
      <c r="DM16" s="12">
        <f t="shared" si="23"/>
        <v>-235962.5703418109</v>
      </c>
      <c r="DN16" s="12">
        <f t="shared" si="23"/>
        <v>-243639.69493080457</v>
      </c>
      <c r="DO16" s="12">
        <f t="shared" si="23"/>
        <v>-235962.5703418109</v>
      </c>
      <c r="DP16" s="12">
        <f t="shared" si="23"/>
        <v>-243639.69493080457</v>
      </c>
      <c r="DQ16" s="12">
        <f t="shared" si="23"/>
        <v>-243639.69493080457</v>
      </c>
      <c r="DR16" s="12">
        <f t="shared" si="23"/>
        <v>-235962.5703418109</v>
      </c>
      <c r="DS16" s="12">
        <f t="shared" si="23"/>
        <v>-243639.69493080457</v>
      </c>
      <c r="DT16" s="12">
        <f t="shared" si="23"/>
        <v>-235962.5703418109</v>
      </c>
      <c r="DU16" s="12">
        <f t="shared" si="23"/>
        <v>-243639.69493080457</v>
      </c>
      <c r="DV16" s="12">
        <f t="shared" si="23"/>
        <v>-243639.69493080457</v>
      </c>
      <c r="DW16" s="12">
        <f t="shared" si="23"/>
        <v>-220608.32116382351</v>
      </c>
      <c r="DX16" s="12">
        <f t="shared" si="23"/>
        <v>-243639.69493080457</v>
      </c>
      <c r="DY16" s="12">
        <f t="shared" si="23"/>
        <v>-235962.5703418109</v>
      </c>
      <c r="DZ16" s="12">
        <f t="shared" si="23"/>
        <v>-243639.69493080457</v>
      </c>
      <c r="EA16" s="12">
        <f t="shared" si="23"/>
        <v>-235962.5703418109</v>
      </c>
      <c r="EB16" s="12">
        <f t="shared" si="23"/>
        <v>-243639.69493080457</v>
      </c>
      <c r="EC16" s="12">
        <f t="shared" si="23"/>
        <v>-243639.69493080457</v>
      </c>
      <c r="ED16" s="12">
        <f t="shared" si="23"/>
        <v>-235962.5703418109</v>
      </c>
      <c r="EE16" s="12">
        <f t="shared" ref="EE16:GC16" si="24">IF(EE9&lt;=0,0,-(EE9-EE11-EE12+EE15)*$C16)</f>
        <v>-243639.69493080457</v>
      </c>
      <c r="EF16" s="12">
        <f t="shared" si="24"/>
        <v>-235962.5703418109</v>
      </c>
      <c r="EG16" s="12">
        <f t="shared" si="24"/>
        <v>-243639.69493080457</v>
      </c>
      <c r="EH16" s="12">
        <f t="shared" si="24"/>
        <v>-243639.69493080457</v>
      </c>
      <c r="EI16" s="12">
        <f t="shared" si="24"/>
        <v>-220608.32116382351</v>
      </c>
      <c r="EJ16" s="12">
        <f t="shared" si="24"/>
        <v>-243639.69493080457</v>
      </c>
      <c r="EK16" s="12">
        <f t="shared" si="24"/>
        <v>-235962.5703418109</v>
      </c>
      <c r="EL16" s="12">
        <f t="shared" si="24"/>
        <v>-243639.69493080457</v>
      </c>
      <c r="EM16" s="12">
        <f t="shared" si="24"/>
        <v>-235962.5703418109</v>
      </c>
      <c r="EN16" s="12">
        <f t="shared" si="24"/>
        <v>-243639.69493080457</v>
      </c>
      <c r="EO16" s="12">
        <f t="shared" si="24"/>
        <v>-243639.69493080457</v>
      </c>
      <c r="EP16" s="12">
        <f t="shared" si="24"/>
        <v>-235962.5703418109</v>
      </c>
      <c r="EQ16" s="12">
        <f t="shared" si="24"/>
        <v>-243639.69493080457</v>
      </c>
      <c r="ER16" s="12">
        <f t="shared" si="24"/>
        <v>-235962.5703418109</v>
      </c>
      <c r="ES16" s="12">
        <f t="shared" si="24"/>
        <v>-243639.69493080457</v>
      </c>
      <c r="ET16" s="12">
        <f t="shared" si="24"/>
        <v>-243639.69493080457</v>
      </c>
      <c r="EU16" s="12">
        <f t="shared" si="24"/>
        <v>-220608.32116382351</v>
      </c>
      <c r="EV16" s="12">
        <f t="shared" si="24"/>
        <v>-243639.69493080457</v>
      </c>
      <c r="EW16" s="12">
        <f t="shared" si="24"/>
        <v>-235962.5703418109</v>
      </c>
      <c r="EX16" s="12">
        <f t="shared" si="24"/>
        <v>-243639.69493080457</v>
      </c>
      <c r="EY16" s="12">
        <f t="shared" si="24"/>
        <v>-235962.5703418109</v>
      </c>
      <c r="EZ16" s="12">
        <f t="shared" si="24"/>
        <v>-243639.69493080457</v>
      </c>
      <c r="FA16" s="12">
        <f t="shared" si="24"/>
        <v>-243639.69493080457</v>
      </c>
      <c r="FB16" s="12">
        <f t="shared" si="24"/>
        <v>-235962.5703418109</v>
      </c>
      <c r="FC16" s="12">
        <f t="shared" si="24"/>
        <v>-243639.69493080457</v>
      </c>
      <c r="FD16" s="12">
        <f t="shared" si="24"/>
        <v>-235962.5703418109</v>
      </c>
      <c r="FE16" s="12">
        <f t="shared" si="24"/>
        <v>-243639.69493080457</v>
      </c>
      <c r="FF16" s="12">
        <f t="shared" si="24"/>
        <v>-243639.69493080457</v>
      </c>
      <c r="FG16" s="12">
        <f t="shared" si="24"/>
        <v>-220608.32116382351</v>
      </c>
      <c r="FH16" s="12">
        <f t="shared" si="24"/>
        <v>-243639.69493080457</v>
      </c>
      <c r="FI16" s="12">
        <f t="shared" si="24"/>
        <v>-235962.5703418109</v>
      </c>
      <c r="FJ16" s="12">
        <f t="shared" si="24"/>
        <v>-243639.69493080457</v>
      </c>
      <c r="FK16" s="12">
        <f t="shared" si="24"/>
        <v>-235962.5703418109</v>
      </c>
      <c r="FL16" s="12">
        <f t="shared" si="24"/>
        <v>-243639.69493080457</v>
      </c>
      <c r="FM16" s="12">
        <f t="shared" si="24"/>
        <v>-243639.69493080457</v>
      </c>
      <c r="FN16" s="12">
        <f t="shared" si="24"/>
        <v>-235962.5703418109</v>
      </c>
      <c r="FO16" s="12">
        <f t="shared" si="24"/>
        <v>-243639.69493080457</v>
      </c>
      <c r="FP16" s="12">
        <f t="shared" si="24"/>
        <v>-235962.5703418109</v>
      </c>
      <c r="FQ16" s="12">
        <f t="shared" si="24"/>
        <v>-243639.69493080457</v>
      </c>
      <c r="FR16" s="12">
        <f t="shared" si="24"/>
        <v>-243639.69493080457</v>
      </c>
      <c r="FS16" s="12">
        <f t="shared" si="24"/>
        <v>-220608.32116382351</v>
      </c>
      <c r="FT16" s="12">
        <f t="shared" si="24"/>
        <v>-243639.69493080457</v>
      </c>
      <c r="FU16" s="12">
        <f t="shared" si="24"/>
        <v>-235962.5703418109</v>
      </c>
      <c r="FV16" s="12">
        <f t="shared" si="24"/>
        <v>-243639.69493080457</v>
      </c>
      <c r="FW16" s="12">
        <f t="shared" si="24"/>
        <v>-235962.5703418109</v>
      </c>
      <c r="FX16" s="12">
        <f t="shared" si="24"/>
        <v>-243639.69493080457</v>
      </c>
      <c r="FY16" s="12">
        <f t="shared" si="24"/>
        <v>-243639.69493080457</v>
      </c>
      <c r="FZ16" s="12">
        <f t="shared" si="24"/>
        <v>-235962.5703418109</v>
      </c>
      <c r="GA16" s="12">
        <f t="shared" si="24"/>
        <v>-243639.69493080457</v>
      </c>
      <c r="GB16" s="12">
        <f t="shared" si="24"/>
        <v>-235962.5703418109</v>
      </c>
      <c r="GC16" s="12">
        <f t="shared" si="24"/>
        <v>-243639.69493080457</v>
      </c>
    </row>
    <row r="17" spans="1:185">
      <c r="B17" t="s">
        <v>504</v>
      </c>
      <c r="C17" s="18">
        <v>0.15</v>
      </c>
      <c r="E17" s="12"/>
      <c r="F17" s="12">
        <f>$C17*(F9)</f>
        <v>0</v>
      </c>
      <c r="G17" s="12">
        <f t="shared" ref="G17:AL17" si="25">$C17*(F9-G9)</f>
        <v>0</v>
      </c>
      <c r="H17" s="12">
        <f t="shared" si="25"/>
        <v>0</v>
      </c>
      <c r="I17" s="12">
        <f t="shared" si="25"/>
        <v>0</v>
      </c>
      <c r="J17" s="12">
        <f t="shared" si="25"/>
        <v>0</v>
      </c>
      <c r="K17" s="12">
        <f t="shared" si="25"/>
        <v>0</v>
      </c>
      <c r="L17" s="12">
        <f t="shared" si="25"/>
        <v>0</v>
      </c>
      <c r="M17" s="12">
        <f t="shared" si="25"/>
        <v>-264358.07999999996</v>
      </c>
      <c r="N17" s="12">
        <f t="shared" si="25"/>
        <v>1182.1145870298728</v>
      </c>
      <c r="O17" s="12">
        <f t="shared" si="25"/>
        <v>-11302.671378233155</v>
      </c>
      <c r="P17" s="12">
        <f t="shared" si="25"/>
        <v>8854.14957390977</v>
      </c>
      <c r="Q17" s="12">
        <f t="shared" si="25"/>
        <v>-8854.14957390977</v>
      </c>
      <c r="R17" s="12">
        <f t="shared" si="25"/>
        <v>0</v>
      </c>
      <c r="S17" s="12">
        <f t="shared" si="25"/>
        <v>26562.44872172931</v>
      </c>
      <c r="T17" s="12">
        <f t="shared" si="25"/>
        <v>-26562.44872172931</v>
      </c>
      <c r="U17" s="12">
        <f t="shared" si="25"/>
        <v>8854.14957390977</v>
      </c>
      <c r="V17" s="12">
        <f t="shared" si="25"/>
        <v>-8854.14957390977</v>
      </c>
      <c r="W17" s="12">
        <f t="shared" si="25"/>
        <v>8854.14957390977</v>
      </c>
      <c r="X17" s="12">
        <f t="shared" si="25"/>
        <v>-8854.14957390977</v>
      </c>
      <c r="Y17" s="12">
        <f t="shared" si="25"/>
        <v>0</v>
      </c>
      <c r="Z17" s="12">
        <f t="shared" si="25"/>
        <v>8854.14957390977</v>
      </c>
      <c r="AA17" s="12">
        <f t="shared" si="25"/>
        <v>-8854.14957390977</v>
      </c>
      <c r="AB17" s="12">
        <f t="shared" si="25"/>
        <v>8854.14957390977</v>
      </c>
      <c r="AC17" s="12">
        <f t="shared" si="25"/>
        <v>-8854.14957390977</v>
      </c>
      <c r="AD17" s="12">
        <f t="shared" si="25"/>
        <v>0</v>
      </c>
      <c r="AE17" s="12">
        <f t="shared" si="25"/>
        <v>26562.44872172931</v>
      </c>
      <c r="AF17" s="12">
        <f t="shared" si="25"/>
        <v>-26562.44872172931</v>
      </c>
      <c r="AG17" s="12">
        <f t="shared" si="25"/>
        <v>8854.14957390977</v>
      </c>
      <c r="AH17" s="12">
        <f t="shared" si="25"/>
        <v>-8854.14957390977</v>
      </c>
      <c r="AI17" s="12">
        <f t="shared" si="25"/>
        <v>8854.14957390977</v>
      </c>
      <c r="AJ17" s="12">
        <f t="shared" si="25"/>
        <v>-8854.14957390977</v>
      </c>
      <c r="AK17" s="12">
        <f t="shared" si="25"/>
        <v>0</v>
      </c>
      <c r="AL17" s="12">
        <f t="shared" si="25"/>
        <v>8854.14957390977</v>
      </c>
      <c r="AM17" s="12">
        <f t="shared" ref="AM17:BM17" si="26">$C17*(AL9-AM9)</f>
        <v>-8854.14957390977</v>
      </c>
      <c r="AN17" s="12">
        <f t="shared" si="26"/>
        <v>8854.14957390977</v>
      </c>
      <c r="AO17" s="12">
        <f t="shared" si="26"/>
        <v>-8854.14957390977</v>
      </c>
      <c r="AP17" s="12">
        <f t="shared" si="26"/>
        <v>0</v>
      </c>
      <c r="AQ17" s="12">
        <f t="shared" si="26"/>
        <v>26562.44872172931</v>
      </c>
      <c r="AR17" s="12">
        <f t="shared" si="26"/>
        <v>-26562.44872172931</v>
      </c>
      <c r="AS17" s="12">
        <f t="shared" si="26"/>
        <v>8854.14957390977</v>
      </c>
      <c r="AT17" s="12">
        <f t="shared" si="26"/>
        <v>-8854.14957390977</v>
      </c>
      <c r="AU17" s="12">
        <f t="shared" si="26"/>
        <v>8854.14957390977</v>
      </c>
      <c r="AV17" s="12">
        <f t="shared" si="26"/>
        <v>-8854.14957390977</v>
      </c>
      <c r="AW17" s="12">
        <f t="shared" si="26"/>
        <v>0</v>
      </c>
      <c r="AX17" s="12">
        <f t="shared" si="26"/>
        <v>8854.14957390977</v>
      </c>
      <c r="AY17" s="12">
        <f t="shared" si="26"/>
        <v>-8854.14957390977</v>
      </c>
      <c r="AZ17" s="12">
        <f t="shared" si="26"/>
        <v>8854.14957390977</v>
      </c>
      <c r="BA17" s="12">
        <f t="shared" si="26"/>
        <v>-8854.14957390977</v>
      </c>
      <c r="BB17" s="12">
        <f t="shared" si="26"/>
        <v>0</v>
      </c>
      <c r="BC17" s="12">
        <f t="shared" si="26"/>
        <v>26562.44872172931</v>
      </c>
      <c r="BD17" s="12">
        <f t="shared" si="26"/>
        <v>-26562.44872172931</v>
      </c>
      <c r="BE17" s="12">
        <f t="shared" si="26"/>
        <v>8854.14957390977</v>
      </c>
      <c r="BF17" s="12">
        <f t="shared" si="26"/>
        <v>-8854.14957390977</v>
      </c>
      <c r="BG17" s="12">
        <f t="shared" si="26"/>
        <v>8854.14957390977</v>
      </c>
      <c r="BH17" s="12">
        <f t="shared" si="26"/>
        <v>-8854.14957390977</v>
      </c>
      <c r="BI17" s="12">
        <f t="shared" si="26"/>
        <v>0</v>
      </c>
      <c r="BJ17" s="12">
        <f t="shared" si="26"/>
        <v>8854.14957390977</v>
      </c>
      <c r="BK17" s="12">
        <f t="shared" si="26"/>
        <v>-8854.14957390977</v>
      </c>
      <c r="BL17" s="12">
        <f t="shared" si="26"/>
        <v>8854.14957390977</v>
      </c>
      <c r="BM17" s="12">
        <f t="shared" si="26"/>
        <v>-8854.14957390977</v>
      </c>
      <c r="BN17" s="12">
        <f t="shared" ref="BN17" si="27">$C17*(BM9-BN9)</f>
        <v>0</v>
      </c>
      <c r="BO17" s="12">
        <f t="shared" ref="BO17" si="28">$C17*(BN9-BO9)</f>
        <v>26562.44872172931</v>
      </c>
      <c r="BP17" s="12">
        <f t="shared" ref="BP17" si="29">$C17*(BO9-BP9)</f>
        <v>-26562.44872172931</v>
      </c>
      <c r="BQ17" s="12">
        <f t="shared" ref="BQ17" si="30">$C17*(BP9-BQ9)</f>
        <v>8854.14957390977</v>
      </c>
      <c r="BR17" s="12">
        <f t="shared" ref="BR17" si="31">$C17*(BQ9-BR9)</f>
        <v>-8854.14957390977</v>
      </c>
      <c r="BS17" s="12">
        <f t="shared" ref="BS17" si="32">$C17*(BR9-BS9)</f>
        <v>8854.14957390977</v>
      </c>
      <c r="BT17" s="12">
        <f t="shared" ref="BT17" si="33">$C17*(BS9-BT9)</f>
        <v>-8854.14957390977</v>
      </c>
      <c r="BU17" s="12">
        <f t="shared" ref="BU17" si="34">$C17*(BT9-BU9)</f>
        <v>0</v>
      </c>
      <c r="BV17" s="12">
        <f t="shared" ref="BV17" si="35">$C17*(BU9-BV9)</f>
        <v>8854.14957390977</v>
      </c>
      <c r="BW17" s="12">
        <f t="shared" ref="BW17" si="36">$C17*(BV9-BW9)</f>
        <v>-8854.14957390977</v>
      </c>
      <c r="BX17" s="12">
        <f t="shared" ref="BX17" si="37">$C17*(BW9-BX9)</f>
        <v>8854.14957390977</v>
      </c>
      <c r="BY17" s="12">
        <f t="shared" ref="BY17" si="38">$C17*(BX9-BY9)</f>
        <v>-8854.14957390977</v>
      </c>
      <c r="BZ17" s="12">
        <f t="shared" ref="BZ17" si="39">$C17*(BY9-BZ9)</f>
        <v>0</v>
      </c>
      <c r="CA17" s="12">
        <f t="shared" ref="CA17" si="40">$C17*(BZ9-CA9)</f>
        <v>26562.44872172931</v>
      </c>
      <c r="CB17" s="12">
        <f t="shared" ref="CB17" si="41">$C17*(CA9-CB9)</f>
        <v>-26562.44872172931</v>
      </c>
      <c r="CC17" s="12">
        <f t="shared" ref="CC17" si="42">$C17*(CB9-CC9)</f>
        <v>8854.14957390977</v>
      </c>
      <c r="CD17" s="12">
        <f t="shared" ref="CD17" si="43">$C17*(CC9-CD9)</f>
        <v>-8854.14957390977</v>
      </c>
      <c r="CE17" s="12">
        <f t="shared" ref="CE17" si="44">$C17*(CD9-CE9)</f>
        <v>8854.14957390977</v>
      </c>
      <c r="CF17" s="12">
        <f t="shared" ref="CF17" si="45">$C17*(CE9-CF9)</f>
        <v>-8854.14957390977</v>
      </c>
      <c r="CG17" s="12">
        <f t="shared" ref="CG17" si="46">$C17*(CF9-CG9)</f>
        <v>0</v>
      </c>
      <c r="CH17" s="12">
        <f t="shared" ref="CH17" si="47">$C17*(CG9-CH9)</f>
        <v>8854.14957390977</v>
      </c>
      <c r="CI17" s="12">
        <f t="shared" ref="CI17" si="48">$C17*(CH9-CI9)</f>
        <v>-8854.14957390977</v>
      </c>
      <c r="CJ17" s="12">
        <f t="shared" ref="CJ17" si="49">$C17*(CI9-CJ9)</f>
        <v>8854.14957390977</v>
      </c>
      <c r="CK17" s="12">
        <f t="shared" ref="CK17" si="50">$C17*(CJ9-CK9)</f>
        <v>-8854.14957390977</v>
      </c>
      <c r="CL17" s="12">
        <f t="shared" ref="CL17" si="51">$C17*(CK9-CL9)</f>
        <v>0</v>
      </c>
      <c r="CM17" s="12">
        <f t="shared" ref="CM17" si="52">$C17*(CL9-CM9)</f>
        <v>26562.44872172931</v>
      </c>
      <c r="CN17" s="12">
        <f t="shared" ref="CN17" si="53">$C17*(CM9-CN9)</f>
        <v>-26562.44872172931</v>
      </c>
      <c r="CO17" s="12">
        <f t="shared" ref="CO17" si="54">$C17*(CN9-CO9)</f>
        <v>8854.14957390977</v>
      </c>
      <c r="CP17" s="12">
        <f t="shared" ref="CP17" si="55">$C17*(CO9-CP9)</f>
        <v>-8854.14957390977</v>
      </c>
      <c r="CQ17" s="12">
        <f t="shared" ref="CQ17" si="56">$C17*(CP9-CQ9)</f>
        <v>8854.14957390977</v>
      </c>
      <c r="CR17" s="12">
        <f t="shared" ref="CR17" si="57">$C17*(CQ9-CR9)</f>
        <v>-8854.14957390977</v>
      </c>
      <c r="CS17" s="12">
        <f t="shared" ref="CS17" si="58">$C17*(CR9-CS9)</f>
        <v>0</v>
      </c>
      <c r="CT17" s="12">
        <f t="shared" ref="CT17" si="59">$C17*(CS9-CT9)</f>
        <v>8854.14957390977</v>
      </c>
      <c r="CU17" s="12">
        <f t="shared" ref="CU17" si="60">$C17*(CT9-CU9)</f>
        <v>-8854.14957390977</v>
      </c>
      <c r="CV17" s="12">
        <f t="shared" ref="CV17" si="61">$C17*(CU9-CV9)</f>
        <v>8854.14957390977</v>
      </c>
      <c r="CW17" s="12">
        <f t="shared" ref="CW17" si="62">$C17*(CV9-CW9)</f>
        <v>-8854.14957390977</v>
      </c>
      <c r="CX17" s="12">
        <f t="shared" ref="CX17" si="63">$C17*(CW9-CX9)</f>
        <v>0</v>
      </c>
      <c r="CY17" s="12">
        <f t="shared" ref="CY17" si="64">$C17*(CX9-CY9)</f>
        <v>26562.44872172931</v>
      </c>
      <c r="CZ17" s="12">
        <f t="shared" ref="CZ17" si="65">$C17*(CY9-CZ9)</f>
        <v>-26562.44872172931</v>
      </c>
      <c r="DA17" s="12">
        <f t="shared" ref="DA17" si="66">$C17*(CZ9-DA9)</f>
        <v>8854.14957390977</v>
      </c>
      <c r="DB17" s="12">
        <f t="shared" ref="DB17" si="67">$C17*(DA9-DB9)</f>
        <v>-8854.14957390977</v>
      </c>
      <c r="DC17" s="12">
        <f t="shared" ref="DC17" si="68">$C17*(DB9-DC9)</f>
        <v>8854.14957390977</v>
      </c>
      <c r="DD17" s="12">
        <f t="shared" ref="DD17" si="69">$C17*(DC9-DD9)</f>
        <v>-8854.14957390977</v>
      </c>
      <c r="DE17" s="12">
        <f t="shared" ref="DE17" si="70">$C17*(DD9-DE9)</f>
        <v>0</v>
      </c>
      <c r="DF17" s="12">
        <f t="shared" ref="DF17" si="71">$C17*(DE9-DF9)</f>
        <v>8854.14957390977</v>
      </c>
      <c r="DG17" s="12">
        <f t="shared" ref="DG17" si="72">$C17*(DF9-DG9)</f>
        <v>-8854.14957390977</v>
      </c>
      <c r="DH17" s="12">
        <f t="shared" ref="DH17" si="73">$C17*(DG9-DH9)</f>
        <v>8854.14957390977</v>
      </c>
      <c r="DI17" s="12">
        <f t="shared" ref="DI17" si="74">$C17*(DH9-DI9)</f>
        <v>-8854.14957390977</v>
      </c>
      <c r="DJ17" s="12">
        <f t="shared" ref="DJ17" si="75">$C17*(DI9-DJ9)</f>
        <v>0</v>
      </c>
      <c r="DK17" s="12">
        <f t="shared" ref="DK17" si="76">$C17*(DJ9-DK9)</f>
        <v>26562.44872172931</v>
      </c>
      <c r="DL17" s="12">
        <f t="shared" ref="DL17" si="77">$C17*(DK9-DL9)</f>
        <v>-26562.44872172931</v>
      </c>
      <c r="DM17" s="12">
        <f t="shared" ref="DM17" si="78">$C17*(DL9-DM9)</f>
        <v>8854.14957390977</v>
      </c>
      <c r="DN17" s="12">
        <f t="shared" ref="DN17" si="79">$C17*(DM9-DN9)</f>
        <v>-8854.14957390977</v>
      </c>
      <c r="DO17" s="12">
        <f t="shared" ref="DO17" si="80">$C17*(DN9-DO9)</f>
        <v>8854.14957390977</v>
      </c>
      <c r="DP17" s="12">
        <f t="shared" ref="DP17" si="81">$C17*(DO9-DP9)</f>
        <v>-8854.14957390977</v>
      </c>
      <c r="DQ17" s="12">
        <f t="shared" ref="DQ17" si="82">$C17*(DP9-DQ9)</f>
        <v>0</v>
      </c>
      <c r="DR17" s="12">
        <f t="shared" ref="DR17" si="83">$C17*(DQ9-DR9)</f>
        <v>8854.14957390977</v>
      </c>
      <c r="DS17" s="12">
        <f t="shared" ref="DS17" si="84">$C17*(DR9-DS9)</f>
        <v>-8854.14957390977</v>
      </c>
      <c r="DT17" s="12">
        <f t="shared" ref="DT17" si="85">$C17*(DS9-DT9)</f>
        <v>8854.14957390977</v>
      </c>
      <c r="DU17" s="12">
        <f t="shared" ref="DU17" si="86">$C17*(DT9-DU9)</f>
        <v>-8854.14957390977</v>
      </c>
      <c r="DV17" s="12">
        <f t="shared" ref="DV17" si="87">$C17*(DU9-DV9)</f>
        <v>0</v>
      </c>
      <c r="DW17" s="12">
        <f t="shared" ref="DW17" si="88">$C17*(DV9-DW9)</f>
        <v>26562.44872172931</v>
      </c>
      <c r="DX17" s="12">
        <f t="shared" ref="DX17" si="89">$C17*(DW9-DX9)</f>
        <v>-26562.44872172931</v>
      </c>
      <c r="DY17" s="12">
        <f t="shared" ref="DY17" si="90">$C17*(DX9-DY9)</f>
        <v>8854.14957390977</v>
      </c>
      <c r="DZ17" s="12">
        <f t="shared" ref="DZ17" si="91">$C17*(DY9-DZ9)</f>
        <v>-8854.14957390977</v>
      </c>
      <c r="EA17" s="12">
        <f t="shared" ref="EA17" si="92">$C17*(DZ9-EA9)</f>
        <v>8854.14957390977</v>
      </c>
      <c r="EB17" s="12">
        <f t="shared" ref="EB17" si="93">$C17*(EA9-EB9)</f>
        <v>-8854.14957390977</v>
      </c>
      <c r="EC17" s="12">
        <f t="shared" ref="EC17" si="94">$C17*(EB9-EC9)</f>
        <v>0</v>
      </c>
      <c r="ED17" s="12">
        <f t="shared" ref="ED17" si="95">$C17*(EC9-ED9)</f>
        <v>8854.14957390977</v>
      </c>
      <c r="EE17" s="12">
        <f t="shared" ref="EE17" si="96">$C17*(ED9-EE9)</f>
        <v>-8854.14957390977</v>
      </c>
      <c r="EF17" s="12">
        <f t="shared" ref="EF17" si="97">$C17*(EE9-EF9)</f>
        <v>8854.14957390977</v>
      </c>
      <c r="EG17" s="12">
        <f t="shared" ref="EG17" si="98">$C17*(EF9-EG9)</f>
        <v>-8854.14957390977</v>
      </c>
      <c r="EH17" s="12">
        <f t="shared" ref="EH17" si="99">$C17*(EG9-EH9)</f>
        <v>0</v>
      </c>
      <c r="EI17" s="12">
        <f t="shared" ref="EI17" si="100">$C17*(EH9-EI9)</f>
        <v>26562.44872172931</v>
      </c>
      <c r="EJ17" s="12">
        <f t="shared" ref="EJ17" si="101">$C17*(EI9-EJ9)</f>
        <v>-26562.44872172931</v>
      </c>
      <c r="EK17" s="12">
        <f t="shared" ref="EK17" si="102">$C17*(EJ9-EK9)</f>
        <v>8854.14957390977</v>
      </c>
      <c r="EL17" s="12">
        <f t="shared" ref="EL17" si="103">$C17*(EK9-EL9)</f>
        <v>-8854.14957390977</v>
      </c>
      <c r="EM17" s="12">
        <f t="shared" ref="EM17" si="104">$C17*(EL9-EM9)</f>
        <v>8854.14957390977</v>
      </c>
      <c r="EN17" s="12">
        <f t="shared" ref="EN17" si="105">$C17*(EM9-EN9)</f>
        <v>-8854.14957390977</v>
      </c>
      <c r="EO17" s="12">
        <f t="shared" ref="EO17" si="106">$C17*(EN9-EO9)</f>
        <v>0</v>
      </c>
      <c r="EP17" s="12">
        <f t="shared" ref="EP17" si="107">$C17*(EO9-EP9)</f>
        <v>8854.14957390977</v>
      </c>
      <c r="EQ17" s="12">
        <f t="shared" ref="EQ17" si="108">$C17*(EP9-EQ9)</f>
        <v>-8854.14957390977</v>
      </c>
      <c r="ER17" s="12">
        <f t="shared" ref="ER17" si="109">$C17*(EQ9-ER9)</f>
        <v>8854.14957390977</v>
      </c>
      <c r="ES17" s="12">
        <f t="shared" ref="ES17" si="110">$C17*(ER9-ES9)</f>
        <v>-8854.14957390977</v>
      </c>
      <c r="ET17" s="12">
        <f t="shared" ref="ET17" si="111">$C17*(ES9-ET9)</f>
        <v>0</v>
      </c>
      <c r="EU17" s="12">
        <f t="shared" ref="EU17" si="112">$C17*(ET9-EU9)</f>
        <v>26562.44872172931</v>
      </c>
      <c r="EV17" s="12">
        <f t="shared" ref="EV17" si="113">$C17*(EU9-EV9)</f>
        <v>-26562.44872172931</v>
      </c>
      <c r="EW17" s="12">
        <f t="shared" ref="EW17" si="114">$C17*(EV9-EW9)</f>
        <v>8854.14957390977</v>
      </c>
      <c r="EX17" s="12">
        <f t="shared" ref="EX17" si="115">$C17*(EW9-EX9)</f>
        <v>-8854.14957390977</v>
      </c>
      <c r="EY17" s="12">
        <f t="shared" ref="EY17" si="116">$C17*(EX9-EY9)</f>
        <v>8854.14957390977</v>
      </c>
      <c r="EZ17" s="12">
        <f t="shared" ref="EZ17" si="117">$C17*(EY9-EZ9)</f>
        <v>-8854.14957390977</v>
      </c>
      <c r="FA17" s="12">
        <f t="shared" ref="FA17" si="118">$C17*(EZ9-FA9)</f>
        <v>0</v>
      </c>
      <c r="FB17" s="12">
        <f t="shared" ref="FB17" si="119">$C17*(FA9-FB9)</f>
        <v>8854.14957390977</v>
      </c>
      <c r="FC17" s="12">
        <f t="shared" ref="FC17" si="120">$C17*(FB9-FC9)</f>
        <v>-8854.14957390977</v>
      </c>
      <c r="FD17" s="12">
        <f t="shared" ref="FD17" si="121">$C17*(FC9-FD9)</f>
        <v>8854.14957390977</v>
      </c>
      <c r="FE17" s="12">
        <f t="shared" ref="FE17" si="122">$C17*(FD9-FE9)</f>
        <v>-8854.14957390977</v>
      </c>
      <c r="FF17" s="12">
        <f t="shared" ref="FF17" si="123">$C17*(FE9-FF9)</f>
        <v>0</v>
      </c>
      <c r="FG17" s="12">
        <f t="shared" ref="FG17" si="124">$C17*(FF9-FG9)</f>
        <v>26562.44872172931</v>
      </c>
      <c r="FH17" s="12">
        <f t="shared" ref="FH17" si="125">$C17*(FG9-FH9)</f>
        <v>-26562.44872172931</v>
      </c>
      <c r="FI17" s="12">
        <f t="shared" ref="FI17" si="126">$C17*(FH9-FI9)</f>
        <v>8854.14957390977</v>
      </c>
      <c r="FJ17" s="12">
        <f t="shared" ref="FJ17" si="127">$C17*(FI9-FJ9)</f>
        <v>-8854.14957390977</v>
      </c>
      <c r="FK17" s="12">
        <f t="shared" ref="FK17" si="128">$C17*(FJ9-FK9)</f>
        <v>8854.14957390977</v>
      </c>
      <c r="FL17" s="12">
        <f t="shared" ref="FL17" si="129">$C17*(FK9-FL9)</f>
        <v>-8854.14957390977</v>
      </c>
      <c r="FM17" s="12">
        <f t="shared" ref="FM17" si="130">$C17*(FL9-FM9)</f>
        <v>0</v>
      </c>
      <c r="FN17" s="12">
        <f t="shared" ref="FN17" si="131">$C17*(FM9-FN9)</f>
        <v>8854.14957390977</v>
      </c>
      <c r="FO17" s="12">
        <f t="shared" ref="FO17" si="132">$C17*(FN9-FO9)</f>
        <v>-8854.14957390977</v>
      </c>
      <c r="FP17" s="12">
        <f t="shared" ref="FP17" si="133">$C17*(FO9-FP9)</f>
        <v>8854.14957390977</v>
      </c>
      <c r="FQ17" s="12">
        <f t="shared" ref="FQ17" si="134">$C17*(FP9-FQ9)</f>
        <v>-8854.14957390977</v>
      </c>
      <c r="FR17" s="12">
        <f t="shared" ref="FR17" si="135">$C17*(FQ9-FR9)</f>
        <v>0</v>
      </c>
      <c r="FS17" s="12">
        <f t="shared" ref="FS17" si="136">$C17*(FR9-FS9)</f>
        <v>26562.44872172931</v>
      </c>
      <c r="FT17" s="12">
        <f t="shared" ref="FT17" si="137">$C17*(FS9-FT9)</f>
        <v>-26562.44872172931</v>
      </c>
      <c r="FU17" s="12">
        <f t="shared" ref="FU17" si="138">$C17*(FT9-FU9)</f>
        <v>8854.14957390977</v>
      </c>
      <c r="FV17" s="12">
        <f t="shared" ref="FV17" si="139">$C17*(FU9-FV9)</f>
        <v>-8854.14957390977</v>
      </c>
      <c r="FW17" s="12">
        <f t="shared" ref="FW17" si="140">$C17*(FV9-FW9)</f>
        <v>8854.14957390977</v>
      </c>
      <c r="FX17" s="12">
        <f t="shared" ref="FX17" si="141">$C17*(FW9-FX9)</f>
        <v>-8854.14957390977</v>
      </c>
      <c r="FY17" s="12">
        <f t="shared" ref="FY17" si="142">$C17*(FX9-FY9)</f>
        <v>0</v>
      </c>
      <c r="FZ17" s="12">
        <f t="shared" ref="FZ17" si="143">$C17*(FY9-FZ9)</f>
        <v>8854.14957390977</v>
      </c>
      <c r="GA17" s="12">
        <f t="shared" ref="GA17" si="144">$C17*(FZ9-GA9)</f>
        <v>-8854.14957390977</v>
      </c>
      <c r="GB17" s="12">
        <f t="shared" ref="GB17" si="145">$C17*(GA9-GB9)</f>
        <v>8854.14957390977</v>
      </c>
      <c r="GC17" s="12">
        <f t="shared" ref="GC17" si="146">$C17*(GB9-GC9)</f>
        <v>-8854.14957390977</v>
      </c>
    </row>
    <row r="18" spans="1:185">
      <c r="B18" t="s">
        <v>505</v>
      </c>
      <c r="E18" s="12"/>
      <c r="F18" s="12">
        <f t="shared" ref="F18:AK18" si="147">SUM(F9:F10)-SUM(F11:F14)+F16+F17</f>
        <v>8302841.6746666674</v>
      </c>
      <c r="G18" s="12">
        <f t="shared" si="147"/>
        <v>-3337788.9173333328</v>
      </c>
      <c r="H18" s="12">
        <f t="shared" si="147"/>
        <v>-3077158.3253333331</v>
      </c>
      <c r="I18" s="12">
        <f t="shared" si="147"/>
        <v>-735585.85600000003</v>
      </c>
      <c r="J18" s="12">
        <f t="shared" si="147"/>
        <v>-398442.91200000001</v>
      </c>
      <c r="K18" s="12">
        <f t="shared" si="147"/>
        <v>-553103.08266666671</v>
      </c>
      <c r="L18" s="12">
        <f t="shared" si="147"/>
        <v>-510109.5786666667</v>
      </c>
      <c r="M18" s="12">
        <f t="shared" si="147"/>
        <v>19244.900254213368</v>
      </c>
      <c r="N18" s="12">
        <f t="shared" si="147"/>
        <v>799436.08021773933</v>
      </c>
      <c r="O18" s="12">
        <f t="shared" si="147"/>
        <v>828727.45397098421</v>
      </c>
      <c r="P18" s="12">
        <f t="shared" si="147"/>
        <v>820003.66337405564</v>
      </c>
      <c r="Q18" s="12">
        <f t="shared" si="147"/>
        <v>831175.97577530751</v>
      </c>
      <c r="R18" s="12">
        <f t="shared" si="147"/>
        <v>828530.12534921744</v>
      </c>
      <c r="S18" s="12">
        <f t="shared" si="147"/>
        <v>768450.73942373227</v>
      </c>
      <c r="T18" s="12">
        <f t="shared" si="147"/>
        <v>801967.67662748811</v>
      </c>
      <c r="U18" s="12">
        <f t="shared" si="147"/>
        <v>808503.66337405564</v>
      </c>
      <c r="V18" s="12">
        <f t="shared" si="147"/>
        <v>819675.97577530763</v>
      </c>
      <c r="W18" s="12">
        <f t="shared" si="147"/>
        <v>808503.66337405564</v>
      </c>
      <c r="X18" s="12">
        <f t="shared" si="147"/>
        <v>819675.97577530763</v>
      </c>
      <c r="Y18" s="12">
        <f t="shared" si="147"/>
        <v>828530.12534921744</v>
      </c>
      <c r="Z18" s="12">
        <f t="shared" si="147"/>
        <v>808503.66337405564</v>
      </c>
      <c r="AA18" s="12">
        <f t="shared" si="147"/>
        <v>819675.97577530763</v>
      </c>
      <c r="AB18" s="12">
        <f t="shared" si="147"/>
        <v>808503.66337405564</v>
      </c>
      <c r="AC18" s="12">
        <f t="shared" si="147"/>
        <v>819675.97577530763</v>
      </c>
      <c r="AD18" s="12">
        <f t="shared" si="147"/>
        <v>828530.12534921744</v>
      </c>
      <c r="AE18" s="12">
        <f t="shared" si="147"/>
        <v>768450.73942373227</v>
      </c>
      <c r="AF18" s="12">
        <f t="shared" si="147"/>
        <v>801967.67662748811</v>
      </c>
      <c r="AG18" s="12">
        <f t="shared" si="147"/>
        <v>808503.66337405564</v>
      </c>
      <c r="AH18" s="12">
        <f t="shared" si="147"/>
        <v>819675.97577530763</v>
      </c>
      <c r="AI18" s="12">
        <f t="shared" si="147"/>
        <v>808503.66337405564</v>
      </c>
      <c r="AJ18" s="12">
        <f t="shared" si="147"/>
        <v>819675.97577530763</v>
      </c>
      <c r="AK18" s="12">
        <f t="shared" si="147"/>
        <v>828530.12534921744</v>
      </c>
      <c r="AL18" s="12">
        <f t="shared" ref="AL18:BM18" si="148">SUM(AL9:AL10)-SUM(AL11:AL14)+AL16+AL17</f>
        <v>808503.66337405564</v>
      </c>
      <c r="AM18" s="12">
        <f t="shared" si="148"/>
        <v>819675.97577530763</v>
      </c>
      <c r="AN18" s="12">
        <f t="shared" si="148"/>
        <v>808503.66337405564</v>
      </c>
      <c r="AO18" s="12">
        <f t="shared" si="148"/>
        <v>819675.97577530763</v>
      </c>
      <c r="AP18" s="12">
        <f t="shared" si="148"/>
        <v>828530.12534921744</v>
      </c>
      <c r="AQ18" s="12">
        <f t="shared" si="148"/>
        <v>768450.73942373227</v>
      </c>
      <c r="AR18" s="12">
        <f t="shared" si="148"/>
        <v>801967.67662748811</v>
      </c>
      <c r="AS18" s="12">
        <f t="shared" si="148"/>
        <v>808503.66337405564</v>
      </c>
      <c r="AT18" s="12">
        <f t="shared" si="148"/>
        <v>819675.97577530763</v>
      </c>
      <c r="AU18" s="12">
        <f t="shared" si="148"/>
        <v>808503.66337405564</v>
      </c>
      <c r="AV18" s="12">
        <f t="shared" si="148"/>
        <v>819675.97577530763</v>
      </c>
      <c r="AW18" s="12">
        <f t="shared" si="148"/>
        <v>828530.12534921744</v>
      </c>
      <c r="AX18" s="12">
        <f t="shared" si="148"/>
        <v>808503.66337405564</v>
      </c>
      <c r="AY18" s="12">
        <f t="shared" si="148"/>
        <v>819675.97577530763</v>
      </c>
      <c r="AZ18" s="12">
        <f t="shared" si="148"/>
        <v>808503.66337405564</v>
      </c>
      <c r="BA18" s="12">
        <f t="shared" si="148"/>
        <v>819675.97577530763</v>
      </c>
      <c r="BB18" s="12">
        <f t="shared" si="148"/>
        <v>828530.12534921744</v>
      </c>
      <c r="BC18" s="12">
        <f t="shared" si="148"/>
        <v>768450.73942373227</v>
      </c>
      <c r="BD18" s="12">
        <f t="shared" si="148"/>
        <v>801967.67662748811</v>
      </c>
      <c r="BE18" s="12">
        <f t="shared" si="148"/>
        <v>808503.66337405564</v>
      </c>
      <c r="BF18" s="12">
        <f t="shared" si="148"/>
        <v>819675.97577530763</v>
      </c>
      <c r="BG18" s="12">
        <f t="shared" si="148"/>
        <v>808503.66337405564</v>
      </c>
      <c r="BH18" s="12">
        <f t="shared" si="148"/>
        <v>819675.97577530763</v>
      </c>
      <c r="BI18" s="12">
        <f t="shared" si="148"/>
        <v>828530.12534921744</v>
      </c>
      <c r="BJ18" s="12">
        <f t="shared" si="148"/>
        <v>808503.66337405564</v>
      </c>
      <c r="BK18" s="12">
        <f t="shared" si="148"/>
        <v>819675.97577530763</v>
      </c>
      <c r="BL18" s="12">
        <f t="shared" si="148"/>
        <v>808503.66337405564</v>
      </c>
      <c r="BM18" s="12">
        <f t="shared" si="148"/>
        <v>819675.97577530763</v>
      </c>
      <c r="BN18" s="12">
        <f t="shared" ref="BN18:DY18" si="149">SUM(BN9:BN10)-SUM(BN11:BN14)+BN16+BN17</f>
        <v>828530.12534921744</v>
      </c>
      <c r="BO18" s="12">
        <f t="shared" si="149"/>
        <v>768450.73942373227</v>
      </c>
      <c r="BP18" s="12">
        <f t="shared" si="149"/>
        <v>801967.67662748811</v>
      </c>
      <c r="BQ18" s="12">
        <f t="shared" si="149"/>
        <v>808503.66337405564</v>
      </c>
      <c r="BR18" s="12">
        <f t="shared" si="149"/>
        <v>819675.97577530763</v>
      </c>
      <c r="BS18" s="12">
        <f t="shared" si="149"/>
        <v>808503.66337405564</v>
      </c>
      <c r="BT18" s="12">
        <f t="shared" si="149"/>
        <v>819675.97577530763</v>
      </c>
      <c r="BU18" s="12">
        <f t="shared" si="149"/>
        <v>828530.12534921744</v>
      </c>
      <c r="BV18" s="12">
        <f t="shared" si="149"/>
        <v>808503.66337405564</v>
      </c>
      <c r="BW18" s="12">
        <f t="shared" si="149"/>
        <v>819675.97577530763</v>
      </c>
      <c r="BX18" s="12">
        <f t="shared" si="149"/>
        <v>808503.66337405564</v>
      </c>
      <c r="BY18" s="12">
        <f t="shared" si="149"/>
        <v>819675.97577530763</v>
      </c>
      <c r="BZ18" s="12">
        <f t="shared" si="149"/>
        <v>828530.12534921744</v>
      </c>
      <c r="CA18" s="12">
        <f t="shared" si="149"/>
        <v>768450.73942373227</v>
      </c>
      <c r="CB18" s="12">
        <f t="shared" si="149"/>
        <v>801967.67662748811</v>
      </c>
      <c r="CC18" s="12">
        <f t="shared" si="149"/>
        <v>808503.66337405564</v>
      </c>
      <c r="CD18" s="12">
        <f t="shared" si="149"/>
        <v>819675.97577530763</v>
      </c>
      <c r="CE18" s="12">
        <f t="shared" si="149"/>
        <v>808503.66337405564</v>
      </c>
      <c r="CF18" s="12">
        <f t="shared" si="149"/>
        <v>819675.97577530763</v>
      </c>
      <c r="CG18" s="12">
        <f t="shared" si="149"/>
        <v>828530.12534921744</v>
      </c>
      <c r="CH18" s="12">
        <f t="shared" si="149"/>
        <v>808503.66337405564</v>
      </c>
      <c r="CI18" s="12">
        <f t="shared" si="149"/>
        <v>819675.97577530763</v>
      </c>
      <c r="CJ18" s="12">
        <f t="shared" si="149"/>
        <v>808503.66337405564</v>
      </c>
      <c r="CK18" s="12">
        <f t="shared" si="149"/>
        <v>819675.97577530763</v>
      </c>
      <c r="CL18" s="12">
        <f t="shared" si="149"/>
        <v>828530.12534921744</v>
      </c>
      <c r="CM18" s="12">
        <f t="shared" si="149"/>
        <v>768450.73942373227</v>
      </c>
      <c r="CN18" s="12">
        <f t="shared" si="149"/>
        <v>801967.67662748811</v>
      </c>
      <c r="CO18" s="12">
        <f t="shared" si="149"/>
        <v>808503.66337405564</v>
      </c>
      <c r="CP18" s="12">
        <f t="shared" si="149"/>
        <v>819675.97577530763</v>
      </c>
      <c r="CQ18" s="12">
        <f t="shared" si="149"/>
        <v>808503.66337405564</v>
      </c>
      <c r="CR18" s="12">
        <f t="shared" si="149"/>
        <v>819675.97577530763</v>
      </c>
      <c r="CS18" s="12">
        <f t="shared" si="149"/>
        <v>828530.12534921744</v>
      </c>
      <c r="CT18" s="12">
        <f t="shared" si="149"/>
        <v>808503.66337405564</v>
      </c>
      <c r="CU18" s="12">
        <f t="shared" si="149"/>
        <v>819675.97577530763</v>
      </c>
      <c r="CV18" s="12">
        <f t="shared" si="149"/>
        <v>808503.66337405564</v>
      </c>
      <c r="CW18" s="12">
        <f t="shared" si="149"/>
        <v>819675.97577530763</v>
      </c>
      <c r="CX18" s="12">
        <f t="shared" si="149"/>
        <v>828530.12534921744</v>
      </c>
      <c r="CY18" s="12">
        <f t="shared" si="149"/>
        <v>768450.73942373227</v>
      </c>
      <c r="CZ18" s="12">
        <f t="shared" si="149"/>
        <v>801967.67662748811</v>
      </c>
      <c r="DA18" s="12">
        <f t="shared" si="149"/>
        <v>808503.66337405564</v>
      </c>
      <c r="DB18" s="12">
        <f t="shared" si="149"/>
        <v>819675.97577530763</v>
      </c>
      <c r="DC18" s="12">
        <f t="shared" si="149"/>
        <v>808503.66337405564</v>
      </c>
      <c r="DD18" s="12">
        <f t="shared" si="149"/>
        <v>819675.97577530763</v>
      </c>
      <c r="DE18" s="12">
        <f t="shared" si="149"/>
        <v>828530.12534921744</v>
      </c>
      <c r="DF18" s="12">
        <f t="shared" si="149"/>
        <v>808503.66337405564</v>
      </c>
      <c r="DG18" s="12">
        <f t="shared" si="149"/>
        <v>819675.97577530763</v>
      </c>
      <c r="DH18" s="12">
        <f t="shared" si="149"/>
        <v>808503.66337405564</v>
      </c>
      <c r="DI18" s="12">
        <f t="shared" si="149"/>
        <v>819675.97577530763</v>
      </c>
      <c r="DJ18" s="12">
        <f t="shared" si="149"/>
        <v>828530.12534921744</v>
      </c>
      <c r="DK18" s="12">
        <f t="shared" si="149"/>
        <v>768450.73942373227</v>
      </c>
      <c r="DL18" s="12">
        <f t="shared" si="149"/>
        <v>801967.67662748811</v>
      </c>
      <c r="DM18" s="12">
        <f t="shared" si="149"/>
        <v>808503.66337405564</v>
      </c>
      <c r="DN18" s="12">
        <f t="shared" si="149"/>
        <v>819675.97577530763</v>
      </c>
      <c r="DO18" s="12">
        <f t="shared" si="149"/>
        <v>808503.66337405564</v>
      </c>
      <c r="DP18" s="12">
        <f t="shared" si="149"/>
        <v>819675.97577530763</v>
      </c>
      <c r="DQ18" s="12">
        <f t="shared" si="149"/>
        <v>828530.12534921744</v>
      </c>
      <c r="DR18" s="12">
        <f t="shared" si="149"/>
        <v>808503.66337405564</v>
      </c>
      <c r="DS18" s="12">
        <f t="shared" si="149"/>
        <v>819675.97577530763</v>
      </c>
      <c r="DT18" s="12">
        <f t="shared" si="149"/>
        <v>808503.66337405564</v>
      </c>
      <c r="DU18" s="12">
        <f t="shared" si="149"/>
        <v>819675.97577530763</v>
      </c>
      <c r="DV18" s="12">
        <f t="shared" si="149"/>
        <v>828530.12534921744</v>
      </c>
      <c r="DW18" s="12">
        <f t="shared" si="149"/>
        <v>768450.73942373227</v>
      </c>
      <c r="DX18" s="12">
        <f t="shared" si="149"/>
        <v>801967.67662748811</v>
      </c>
      <c r="DY18" s="12">
        <f t="shared" si="149"/>
        <v>808503.66337405564</v>
      </c>
      <c r="DZ18" s="12">
        <f t="shared" ref="DZ18:GC18" si="150">SUM(DZ9:DZ10)-SUM(DZ11:DZ14)+DZ16+DZ17</f>
        <v>819675.97577530763</v>
      </c>
      <c r="EA18" s="12">
        <f t="shared" si="150"/>
        <v>808503.66337405564</v>
      </c>
      <c r="EB18" s="12">
        <f t="shared" si="150"/>
        <v>819675.97577530763</v>
      </c>
      <c r="EC18" s="12">
        <f t="shared" si="150"/>
        <v>828530.12534921744</v>
      </c>
      <c r="ED18" s="12">
        <f t="shared" si="150"/>
        <v>808503.66337405564</v>
      </c>
      <c r="EE18" s="12">
        <f t="shared" si="150"/>
        <v>819675.97577530763</v>
      </c>
      <c r="EF18" s="12">
        <f t="shared" si="150"/>
        <v>808503.66337405564</v>
      </c>
      <c r="EG18" s="12">
        <f t="shared" si="150"/>
        <v>819675.97577530763</v>
      </c>
      <c r="EH18" s="12">
        <f t="shared" si="150"/>
        <v>828530.12534921744</v>
      </c>
      <c r="EI18" s="12">
        <f t="shared" si="150"/>
        <v>768450.73942373227</v>
      </c>
      <c r="EJ18" s="12">
        <f t="shared" si="150"/>
        <v>801967.67662748811</v>
      </c>
      <c r="EK18" s="12">
        <f t="shared" si="150"/>
        <v>808503.66337405564</v>
      </c>
      <c r="EL18" s="12">
        <f t="shared" si="150"/>
        <v>819675.97577530763</v>
      </c>
      <c r="EM18" s="12">
        <f t="shared" si="150"/>
        <v>808503.66337405564</v>
      </c>
      <c r="EN18" s="12">
        <f t="shared" si="150"/>
        <v>819675.97577530763</v>
      </c>
      <c r="EO18" s="12">
        <f t="shared" si="150"/>
        <v>828530.12534921744</v>
      </c>
      <c r="EP18" s="12">
        <f t="shared" si="150"/>
        <v>808503.66337405564</v>
      </c>
      <c r="EQ18" s="12">
        <f t="shared" si="150"/>
        <v>819675.97577530763</v>
      </c>
      <c r="ER18" s="12">
        <f t="shared" si="150"/>
        <v>808503.66337405564</v>
      </c>
      <c r="ES18" s="12">
        <f t="shared" si="150"/>
        <v>819675.97577530763</v>
      </c>
      <c r="ET18" s="12">
        <f t="shared" si="150"/>
        <v>828530.12534921744</v>
      </c>
      <c r="EU18" s="12">
        <f t="shared" si="150"/>
        <v>768450.73942373227</v>
      </c>
      <c r="EV18" s="12">
        <f t="shared" si="150"/>
        <v>801967.67662748811</v>
      </c>
      <c r="EW18" s="12">
        <f t="shared" si="150"/>
        <v>808503.66337405564</v>
      </c>
      <c r="EX18" s="12">
        <f t="shared" si="150"/>
        <v>819675.97577530763</v>
      </c>
      <c r="EY18" s="12">
        <f t="shared" si="150"/>
        <v>808503.66337405564</v>
      </c>
      <c r="EZ18" s="12">
        <f t="shared" si="150"/>
        <v>819675.97577530763</v>
      </c>
      <c r="FA18" s="12">
        <f t="shared" si="150"/>
        <v>828530.12534921744</v>
      </c>
      <c r="FB18" s="12">
        <f t="shared" si="150"/>
        <v>808503.66337405564</v>
      </c>
      <c r="FC18" s="12">
        <f t="shared" si="150"/>
        <v>819675.97577530763</v>
      </c>
      <c r="FD18" s="12">
        <f t="shared" si="150"/>
        <v>808503.66337405564</v>
      </c>
      <c r="FE18" s="12">
        <f t="shared" si="150"/>
        <v>819675.97577530763</v>
      </c>
      <c r="FF18" s="12">
        <f t="shared" si="150"/>
        <v>828530.12534921744</v>
      </c>
      <c r="FG18" s="12">
        <f t="shared" si="150"/>
        <v>768450.73942373227</v>
      </c>
      <c r="FH18" s="12">
        <f t="shared" si="150"/>
        <v>801967.67662748811</v>
      </c>
      <c r="FI18" s="12">
        <f t="shared" si="150"/>
        <v>808503.66337405564</v>
      </c>
      <c r="FJ18" s="12">
        <f t="shared" si="150"/>
        <v>819675.97577530763</v>
      </c>
      <c r="FK18" s="12">
        <f t="shared" si="150"/>
        <v>808503.66337405564</v>
      </c>
      <c r="FL18" s="12">
        <f t="shared" si="150"/>
        <v>819675.97577530763</v>
      </c>
      <c r="FM18" s="12">
        <f t="shared" si="150"/>
        <v>828530.12534921744</v>
      </c>
      <c r="FN18" s="12">
        <f t="shared" si="150"/>
        <v>808503.66337405564</v>
      </c>
      <c r="FO18" s="12">
        <f t="shared" si="150"/>
        <v>819675.97577530763</v>
      </c>
      <c r="FP18" s="12">
        <f t="shared" si="150"/>
        <v>808503.66337405564</v>
      </c>
      <c r="FQ18" s="12">
        <f t="shared" si="150"/>
        <v>819675.97577530763</v>
      </c>
      <c r="FR18" s="12">
        <f t="shared" si="150"/>
        <v>828530.12534921744</v>
      </c>
      <c r="FS18" s="12">
        <f t="shared" si="150"/>
        <v>768450.73942373227</v>
      </c>
      <c r="FT18" s="12">
        <f t="shared" si="150"/>
        <v>801967.67662748811</v>
      </c>
      <c r="FU18" s="12">
        <f t="shared" si="150"/>
        <v>808503.66337405564</v>
      </c>
      <c r="FV18" s="12">
        <f t="shared" si="150"/>
        <v>819675.97577530763</v>
      </c>
      <c r="FW18" s="12">
        <f t="shared" si="150"/>
        <v>808503.66337405564</v>
      </c>
      <c r="FX18" s="12">
        <f t="shared" si="150"/>
        <v>819675.97577530763</v>
      </c>
      <c r="FY18" s="12">
        <f t="shared" si="150"/>
        <v>828530.12534921744</v>
      </c>
      <c r="FZ18" s="12">
        <f t="shared" si="150"/>
        <v>808503.66337405564</v>
      </c>
      <c r="GA18" s="12">
        <f t="shared" si="150"/>
        <v>819675.97577530763</v>
      </c>
      <c r="GB18" s="12">
        <f t="shared" si="150"/>
        <v>808503.66337405564</v>
      </c>
      <c r="GC18" s="12">
        <f t="shared" si="150"/>
        <v>819675.97577530763</v>
      </c>
    </row>
    <row r="19" spans="1:185">
      <c r="B19" s="5" t="s">
        <v>506</v>
      </c>
      <c r="C19" s="5"/>
      <c r="D19" s="5"/>
      <c r="E19" s="26"/>
      <c r="F19" s="27">
        <f t="shared" ref="F19:AK19" si="151">E19+F18</f>
        <v>8302841.6746666674</v>
      </c>
      <c r="G19" s="27">
        <f t="shared" si="151"/>
        <v>4965052.7573333345</v>
      </c>
      <c r="H19" s="27">
        <f t="shared" si="151"/>
        <v>1887894.4320000014</v>
      </c>
      <c r="I19" s="27">
        <f t="shared" si="151"/>
        <v>1152308.5760000013</v>
      </c>
      <c r="J19" s="27">
        <f t="shared" si="151"/>
        <v>753865.66400000127</v>
      </c>
      <c r="K19" s="27">
        <f t="shared" si="151"/>
        <v>200762.58133333456</v>
      </c>
      <c r="L19" s="27">
        <f t="shared" si="151"/>
        <v>-309346.99733333214</v>
      </c>
      <c r="M19" s="27">
        <f t="shared" si="151"/>
        <v>-290102.09707911877</v>
      </c>
      <c r="N19" s="27">
        <f t="shared" si="151"/>
        <v>509333.98313862056</v>
      </c>
      <c r="O19" s="27">
        <f t="shared" si="151"/>
        <v>1338061.4371096047</v>
      </c>
      <c r="P19" s="27">
        <f t="shared" si="151"/>
        <v>2158065.1004836606</v>
      </c>
      <c r="Q19" s="27">
        <f t="shared" si="151"/>
        <v>2989241.0762589681</v>
      </c>
      <c r="R19" s="27">
        <f t="shared" si="151"/>
        <v>3817771.2016081857</v>
      </c>
      <c r="S19" s="27">
        <f t="shared" si="151"/>
        <v>4586221.9410319179</v>
      </c>
      <c r="T19" s="27">
        <f t="shared" si="151"/>
        <v>5388189.6176594058</v>
      </c>
      <c r="U19" s="27">
        <f t="shared" si="151"/>
        <v>6196693.2810334619</v>
      </c>
      <c r="V19" s="27">
        <f t="shared" si="151"/>
        <v>7016369.2568087699</v>
      </c>
      <c r="W19" s="27">
        <f t="shared" si="151"/>
        <v>7824872.920182826</v>
      </c>
      <c r="X19" s="27">
        <f t="shared" si="151"/>
        <v>8644548.895958133</v>
      </c>
      <c r="Y19" s="27">
        <f t="shared" si="151"/>
        <v>9473079.0213073511</v>
      </c>
      <c r="Z19" s="27">
        <f t="shared" si="151"/>
        <v>10281582.684681406</v>
      </c>
      <c r="AA19" s="27">
        <f t="shared" si="151"/>
        <v>11101258.660456713</v>
      </c>
      <c r="AB19" s="27">
        <f t="shared" si="151"/>
        <v>11909762.323830768</v>
      </c>
      <c r="AC19" s="27">
        <f t="shared" si="151"/>
        <v>12729438.299606076</v>
      </c>
      <c r="AD19" s="27">
        <f t="shared" si="151"/>
        <v>13557968.424955294</v>
      </c>
      <c r="AE19" s="27">
        <f t="shared" si="151"/>
        <v>14326419.164379027</v>
      </c>
      <c r="AF19" s="27">
        <f t="shared" si="151"/>
        <v>15128386.841006516</v>
      </c>
      <c r="AG19" s="27">
        <f t="shared" si="151"/>
        <v>15936890.504380571</v>
      </c>
      <c r="AH19" s="27">
        <f t="shared" si="151"/>
        <v>16756566.480155878</v>
      </c>
      <c r="AI19" s="27">
        <f t="shared" si="151"/>
        <v>17565070.143529933</v>
      </c>
      <c r="AJ19" s="27">
        <f t="shared" si="151"/>
        <v>18384746.119305242</v>
      </c>
      <c r="AK19" s="27">
        <f t="shared" si="151"/>
        <v>19213276.244654458</v>
      </c>
      <c r="AL19" s="27">
        <f t="shared" ref="AL19:BM19" si="152">AK19+AL18</f>
        <v>20021779.908028513</v>
      </c>
      <c r="AM19" s="27">
        <f t="shared" si="152"/>
        <v>20841455.883803822</v>
      </c>
      <c r="AN19" s="27">
        <f t="shared" si="152"/>
        <v>21649959.547177877</v>
      </c>
      <c r="AO19" s="27">
        <f t="shared" si="152"/>
        <v>22469635.522953186</v>
      </c>
      <c r="AP19" s="27">
        <f t="shared" si="152"/>
        <v>23298165.648302402</v>
      </c>
      <c r="AQ19" s="27">
        <f t="shared" si="152"/>
        <v>24066616.387726136</v>
      </c>
      <c r="AR19" s="27">
        <f t="shared" si="152"/>
        <v>24868584.064353622</v>
      </c>
      <c r="AS19" s="27">
        <f t="shared" si="152"/>
        <v>25677087.727727678</v>
      </c>
      <c r="AT19" s="27">
        <f t="shared" si="152"/>
        <v>26496763.703502987</v>
      </c>
      <c r="AU19" s="27">
        <f t="shared" si="152"/>
        <v>27305267.366877042</v>
      </c>
      <c r="AV19" s="27">
        <f t="shared" si="152"/>
        <v>28124943.342652351</v>
      </c>
      <c r="AW19" s="27">
        <f t="shared" si="152"/>
        <v>28953473.468001567</v>
      </c>
      <c r="AX19" s="27">
        <f t="shared" si="152"/>
        <v>29761977.131375622</v>
      </c>
      <c r="AY19" s="27">
        <f t="shared" si="152"/>
        <v>30581653.107150931</v>
      </c>
      <c r="AZ19" s="27">
        <f t="shared" si="152"/>
        <v>31390156.770524986</v>
      </c>
      <c r="BA19" s="27">
        <f t="shared" si="152"/>
        <v>32209832.746300295</v>
      </c>
      <c r="BB19" s="27">
        <f t="shared" si="152"/>
        <v>33038362.871649511</v>
      </c>
      <c r="BC19" s="27">
        <f t="shared" si="152"/>
        <v>33806813.611073241</v>
      </c>
      <c r="BD19" s="27">
        <f t="shared" si="152"/>
        <v>34608781.287700728</v>
      </c>
      <c r="BE19" s="27">
        <f t="shared" si="152"/>
        <v>35417284.951074786</v>
      </c>
      <c r="BF19" s="27">
        <f t="shared" si="152"/>
        <v>36236960.926850095</v>
      </c>
      <c r="BG19" s="27">
        <f t="shared" si="152"/>
        <v>37045464.590224154</v>
      </c>
      <c r="BH19" s="27">
        <f t="shared" si="152"/>
        <v>37865140.565999463</v>
      </c>
      <c r="BI19" s="27">
        <f t="shared" si="152"/>
        <v>38693670.691348679</v>
      </c>
      <c r="BJ19" s="27">
        <f t="shared" si="152"/>
        <v>39502174.354722738</v>
      </c>
      <c r="BK19" s="27">
        <f t="shared" si="152"/>
        <v>40321850.330498047</v>
      </c>
      <c r="BL19" s="27">
        <f t="shared" si="152"/>
        <v>41130353.993872106</v>
      </c>
      <c r="BM19" s="27">
        <f t="shared" si="152"/>
        <v>41950029.969647415</v>
      </c>
      <c r="BN19" s="27">
        <f t="shared" ref="BN19" si="153">BM19+BN18</f>
        <v>42778560.094996631</v>
      </c>
      <c r="BO19" s="27">
        <f t="shared" ref="BO19" si="154">BN19+BO18</f>
        <v>43547010.834420361</v>
      </c>
      <c r="BP19" s="27">
        <f t="shared" ref="BP19" si="155">BO19+BP18</f>
        <v>44348978.511047848</v>
      </c>
      <c r="BQ19" s="27">
        <f t="shared" ref="BQ19" si="156">BP19+BQ18</f>
        <v>45157482.174421906</v>
      </c>
      <c r="BR19" s="27">
        <f t="shared" ref="BR19" si="157">BQ19+BR18</f>
        <v>45977158.150197215</v>
      </c>
      <c r="BS19" s="27">
        <f t="shared" ref="BS19" si="158">BR19+BS18</f>
        <v>46785661.813571274</v>
      </c>
      <c r="BT19" s="27">
        <f t="shared" ref="BT19" si="159">BS19+BT18</f>
        <v>47605337.789346583</v>
      </c>
      <c r="BU19" s="27">
        <f t="shared" ref="BU19" si="160">BT19+BU18</f>
        <v>48433867.914695799</v>
      </c>
      <c r="BV19" s="27">
        <f t="shared" ref="BV19" si="161">BU19+BV18</f>
        <v>49242371.578069858</v>
      </c>
      <c r="BW19" s="27">
        <f t="shared" ref="BW19" si="162">BV19+BW18</f>
        <v>50062047.553845167</v>
      </c>
      <c r="BX19" s="27">
        <f t="shared" ref="BX19" si="163">BW19+BX18</f>
        <v>50870551.217219226</v>
      </c>
      <c r="BY19" s="27">
        <f t="shared" ref="BY19" si="164">BX19+BY18</f>
        <v>51690227.192994535</v>
      </c>
      <c r="BZ19" s="27">
        <f t="shared" ref="BZ19" si="165">BY19+BZ18</f>
        <v>52518757.318343751</v>
      </c>
      <c r="CA19" s="27">
        <f t="shared" ref="CA19" si="166">BZ19+CA18</f>
        <v>53287208.057767481</v>
      </c>
      <c r="CB19" s="27">
        <f t="shared" ref="CB19" si="167">CA19+CB18</f>
        <v>54089175.734394968</v>
      </c>
      <c r="CC19" s="27">
        <f t="shared" ref="CC19" si="168">CB19+CC18</f>
        <v>54897679.397769026</v>
      </c>
      <c r="CD19" s="27">
        <f t="shared" ref="CD19" si="169">CC19+CD18</f>
        <v>55717355.373544335</v>
      </c>
      <c r="CE19" s="27">
        <f t="shared" ref="CE19" si="170">CD19+CE18</f>
        <v>56525859.036918394</v>
      </c>
      <c r="CF19" s="27">
        <f t="shared" ref="CF19" si="171">CE19+CF18</f>
        <v>57345535.012693703</v>
      </c>
      <c r="CG19" s="27">
        <f t="shared" ref="CG19" si="172">CF19+CG18</f>
        <v>58174065.138042919</v>
      </c>
      <c r="CH19" s="27">
        <f t="shared" ref="CH19" si="173">CG19+CH18</f>
        <v>58982568.801416978</v>
      </c>
      <c r="CI19" s="27">
        <f t="shared" ref="CI19" si="174">CH19+CI18</f>
        <v>59802244.777192287</v>
      </c>
      <c r="CJ19" s="27">
        <f t="shared" ref="CJ19" si="175">CI19+CJ18</f>
        <v>60610748.440566346</v>
      </c>
      <c r="CK19" s="27">
        <f t="shared" ref="CK19" si="176">CJ19+CK18</f>
        <v>61430424.416341655</v>
      </c>
      <c r="CL19" s="27">
        <f t="shared" ref="CL19" si="177">CK19+CL18</f>
        <v>62258954.541690871</v>
      </c>
      <c r="CM19" s="27">
        <f t="shared" ref="CM19" si="178">CL19+CM18</f>
        <v>63027405.281114601</v>
      </c>
      <c r="CN19" s="27">
        <f t="shared" ref="CN19" si="179">CM19+CN18</f>
        <v>63829372.957742088</v>
      </c>
      <c r="CO19" s="27">
        <f t="shared" ref="CO19" si="180">CN19+CO18</f>
        <v>64637876.621116146</v>
      </c>
      <c r="CP19" s="27">
        <f t="shared" ref="CP19" si="181">CO19+CP18</f>
        <v>65457552.596891455</v>
      </c>
      <c r="CQ19" s="27">
        <f t="shared" ref="CQ19" si="182">CP19+CQ18</f>
        <v>66266056.260265514</v>
      </c>
      <c r="CR19" s="27">
        <f t="shared" ref="CR19" si="183">CQ19+CR18</f>
        <v>67085732.236040823</v>
      </c>
      <c r="CS19" s="27">
        <f t="shared" ref="CS19" si="184">CR19+CS18</f>
        <v>67914262.361390039</v>
      </c>
      <c r="CT19" s="27">
        <f t="shared" ref="CT19" si="185">CS19+CT18</f>
        <v>68722766.024764091</v>
      </c>
      <c r="CU19" s="27">
        <f t="shared" ref="CU19" si="186">CT19+CU18</f>
        <v>69542442.000539392</v>
      </c>
      <c r="CV19" s="27">
        <f t="shared" ref="CV19" si="187">CU19+CV18</f>
        <v>70350945.663913444</v>
      </c>
      <c r="CW19" s="27">
        <f t="shared" ref="CW19" si="188">CV19+CW18</f>
        <v>71170621.639688745</v>
      </c>
      <c r="CX19" s="27">
        <f t="shared" ref="CX19" si="189">CW19+CX18</f>
        <v>71999151.765037969</v>
      </c>
      <c r="CY19" s="27">
        <f t="shared" ref="CY19" si="190">CX19+CY18</f>
        <v>72767602.504461706</v>
      </c>
      <c r="CZ19" s="27">
        <f t="shared" ref="CZ19" si="191">CY19+CZ18</f>
        <v>73569570.181089193</v>
      </c>
      <c r="DA19" s="27">
        <f t="shared" ref="DA19" si="192">CZ19+DA18</f>
        <v>74378073.844463244</v>
      </c>
      <c r="DB19" s="27">
        <f t="shared" ref="DB19" si="193">DA19+DB18</f>
        <v>75197749.820238546</v>
      </c>
      <c r="DC19" s="27">
        <f t="shared" ref="DC19" si="194">DB19+DC18</f>
        <v>76006253.483612597</v>
      </c>
      <c r="DD19" s="27">
        <f t="shared" ref="DD19" si="195">DC19+DD18</f>
        <v>76825929.459387898</v>
      </c>
      <c r="DE19" s="27">
        <f t="shared" ref="DE19" si="196">DD19+DE18</f>
        <v>77654459.584737122</v>
      </c>
      <c r="DF19" s="27">
        <f t="shared" ref="DF19" si="197">DE19+DF18</f>
        <v>78462963.248111174</v>
      </c>
      <c r="DG19" s="27">
        <f t="shared" ref="DG19" si="198">DF19+DG18</f>
        <v>79282639.223886475</v>
      </c>
      <c r="DH19" s="27">
        <f t="shared" ref="DH19" si="199">DG19+DH18</f>
        <v>80091142.887260526</v>
      </c>
      <c r="DI19" s="27">
        <f t="shared" ref="DI19" si="200">DH19+DI18</f>
        <v>80910818.863035828</v>
      </c>
      <c r="DJ19" s="27">
        <f t="shared" ref="DJ19" si="201">DI19+DJ18</f>
        <v>81739348.988385051</v>
      </c>
      <c r="DK19" s="27">
        <f t="shared" ref="DK19" si="202">DJ19+DK18</f>
        <v>82507799.727808788</v>
      </c>
      <c r="DL19" s="27">
        <f t="shared" ref="DL19" si="203">DK19+DL18</f>
        <v>83309767.404436275</v>
      </c>
      <c r="DM19" s="27">
        <f t="shared" ref="DM19" si="204">DL19+DM18</f>
        <v>84118271.067810327</v>
      </c>
      <c r="DN19" s="27">
        <f t="shared" ref="DN19" si="205">DM19+DN18</f>
        <v>84937947.043585628</v>
      </c>
      <c r="DO19" s="27">
        <f t="shared" ref="DO19" si="206">DN19+DO18</f>
        <v>85746450.70695968</v>
      </c>
      <c r="DP19" s="27">
        <f t="shared" ref="DP19" si="207">DO19+DP18</f>
        <v>86566126.682734981</v>
      </c>
      <c r="DQ19" s="27">
        <f t="shared" ref="DQ19" si="208">DP19+DQ18</f>
        <v>87394656.808084205</v>
      </c>
      <c r="DR19" s="27">
        <f t="shared" ref="DR19" si="209">DQ19+DR18</f>
        <v>88203160.471458256</v>
      </c>
      <c r="DS19" s="27">
        <f t="shared" ref="DS19" si="210">DR19+DS18</f>
        <v>89022836.447233558</v>
      </c>
      <c r="DT19" s="27">
        <f t="shared" ref="DT19" si="211">DS19+DT18</f>
        <v>89831340.110607609</v>
      </c>
      <c r="DU19" s="27">
        <f t="shared" ref="DU19" si="212">DT19+DU18</f>
        <v>90651016.086382911</v>
      </c>
      <c r="DV19" s="27">
        <f t="shared" ref="DV19" si="213">DU19+DV18</f>
        <v>91479546.211732134</v>
      </c>
      <c r="DW19" s="27">
        <f t="shared" ref="DW19" si="214">DV19+DW18</f>
        <v>92247996.951155871</v>
      </c>
      <c r="DX19" s="27">
        <f t="shared" ref="DX19" si="215">DW19+DX18</f>
        <v>93049964.627783358</v>
      </c>
      <c r="DY19" s="27">
        <f t="shared" ref="DY19" si="216">DX19+DY18</f>
        <v>93858468.29115741</v>
      </c>
      <c r="DZ19" s="27">
        <f t="shared" ref="DZ19" si="217">DY19+DZ18</f>
        <v>94678144.266932711</v>
      </c>
      <c r="EA19" s="27">
        <f t="shared" ref="EA19" si="218">DZ19+EA18</f>
        <v>95486647.930306762</v>
      </c>
      <c r="EB19" s="27">
        <f t="shared" ref="EB19" si="219">EA19+EB18</f>
        <v>96306323.906082064</v>
      </c>
      <c r="EC19" s="27">
        <f t="shared" ref="EC19" si="220">EB19+EC18</f>
        <v>97134854.031431288</v>
      </c>
      <c r="ED19" s="27">
        <f t="shared" ref="ED19" si="221">EC19+ED18</f>
        <v>97943357.694805339</v>
      </c>
      <c r="EE19" s="27">
        <f t="shared" ref="EE19" si="222">ED19+EE18</f>
        <v>98763033.67058064</v>
      </c>
      <c r="EF19" s="27">
        <f t="shared" ref="EF19" si="223">EE19+EF18</f>
        <v>99571537.333954692</v>
      </c>
      <c r="EG19" s="27">
        <f t="shared" ref="EG19" si="224">EF19+EG18</f>
        <v>100391213.30972999</v>
      </c>
      <c r="EH19" s="27">
        <f t="shared" ref="EH19" si="225">EG19+EH18</f>
        <v>101219743.43507922</v>
      </c>
      <c r="EI19" s="27">
        <f t="shared" ref="EI19" si="226">EH19+EI18</f>
        <v>101988194.17450295</v>
      </c>
      <c r="EJ19" s="27">
        <f t="shared" ref="EJ19" si="227">EI19+EJ18</f>
        <v>102790161.85113044</v>
      </c>
      <c r="EK19" s="27">
        <f t="shared" ref="EK19" si="228">EJ19+EK18</f>
        <v>103598665.51450449</v>
      </c>
      <c r="EL19" s="27">
        <f t="shared" ref="EL19" si="229">EK19+EL18</f>
        <v>104418341.49027979</v>
      </c>
      <c r="EM19" s="27">
        <f t="shared" ref="EM19" si="230">EL19+EM18</f>
        <v>105226845.15365385</v>
      </c>
      <c r="EN19" s="27">
        <f t="shared" ref="EN19" si="231">EM19+EN18</f>
        <v>106046521.12942915</v>
      </c>
      <c r="EO19" s="27">
        <f t="shared" ref="EO19" si="232">EN19+EO18</f>
        <v>106875051.25477837</v>
      </c>
      <c r="EP19" s="27">
        <f t="shared" ref="EP19" si="233">EO19+EP18</f>
        <v>107683554.91815242</v>
      </c>
      <c r="EQ19" s="27">
        <f t="shared" ref="EQ19" si="234">EP19+EQ18</f>
        <v>108503230.89392772</v>
      </c>
      <c r="ER19" s="27">
        <f t="shared" ref="ER19" si="235">EQ19+ER18</f>
        <v>109311734.55730177</v>
      </c>
      <c r="ES19" s="27">
        <f t="shared" ref="ES19" si="236">ER19+ES18</f>
        <v>110131410.53307708</v>
      </c>
      <c r="ET19" s="27">
        <f t="shared" ref="ET19" si="237">ES19+ET18</f>
        <v>110959940.6584263</v>
      </c>
      <c r="EU19" s="27">
        <f t="shared" ref="EU19" si="238">ET19+EU18</f>
        <v>111728391.39785004</v>
      </c>
      <c r="EV19" s="27">
        <f t="shared" ref="EV19" si="239">EU19+EV18</f>
        <v>112530359.07447752</v>
      </c>
      <c r="EW19" s="27">
        <f t="shared" ref="EW19" si="240">EV19+EW18</f>
        <v>113338862.73785158</v>
      </c>
      <c r="EX19" s="27">
        <f t="shared" ref="EX19" si="241">EW19+EX18</f>
        <v>114158538.71362688</v>
      </c>
      <c r="EY19" s="27">
        <f t="shared" ref="EY19" si="242">EX19+EY18</f>
        <v>114967042.37700093</v>
      </c>
      <c r="EZ19" s="27">
        <f t="shared" ref="EZ19" si="243">EY19+EZ18</f>
        <v>115786718.35277623</v>
      </c>
      <c r="FA19" s="27">
        <f t="shared" ref="FA19" si="244">EZ19+FA18</f>
        <v>116615248.47812545</v>
      </c>
      <c r="FB19" s="27">
        <f t="shared" ref="FB19" si="245">FA19+FB18</f>
        <v>117423752.1414995</v>
      </c>
      <c r="FC19" s="27">
        <f t="shared" ref="FC19" si="246">FB19+FC18</f>
        <v>118243428.11727481</v>
      </c>
      <c r="FD19" s="27">
        <f t="shared" ref="FD19" si="247">FC19+FD18</f>
        <v>119051931.78064886</v>
      </c>
      <c r="FE19" s="27">
        <f t="shared" ref="FE19" si="248">FD19+FE18</f>
        <v>119871607.75642416</v>
      </c>
      <c r="FF19" s="27">
        <f t="shared" ref="FF19" si="249">FE19+FF18</f>
        <v>120700137.88177338</v>
      </c>
      <c r="FG19" s="27">
        <f t="shared" ref="FG19" si="250">FF19+FG18</f>
        <v>121468588.62119712</v>
      </c>
      <c r="FH19" s="27">
        <f t="shared" ref="FH19" si="251">FG19+FH18</f>
        <v>122270556.29782461</v>
      </c>
      <c r="FI19" s="27">
        <f t="shared" ref="FI19" si="252">FH19+FI18</f>
        <v>123079059.96119866</v>
      </c>
      <c r="FJ19" s="27">
        <f t="shared" ref="FJ19" si="253">FI19+FJ18</f>
        <v>123898735.93697396</v>
      </c>
      <c r="FK19" s="27">
        <f t="shared" ref="FK19" si="254">FJ19+FK18</f>
        <v>124707239.60034801</v>
      </c>
      <c r="FL19" s="27">
        <f t="shared" ref="FL19" si="255">FK19+FL18</f>
        <v>125526915.57612331</v>
      </c>
      <c r="FM19" s="27">
        <f t="shared" ref="FM19" si="256">FL19+FM18</f>
        <v>126355445.70147254</v>
      </c>
      <c r="FN19" s="27">
        <f t="shared" ref="FN19" si="257">FM19+FN18</f>
        <v>127163949.36484659</v>
      </c>
      <c r="FO19" s="27">
        <f t="shared" ref="FO19" si="258">FN19+FO18</f>
        <v>127983625.34062189</v>
      </c>
      <c r="FP19" s="27">
        <f t="shared" ref="FP19" si="259">FO19+FP18</f>
        <v>128792129.00399594</v>
      </c>
      <c r="FQ19" s="27">
        <f t="shared" ref="FQ19" si="260">FP19+FQ18</f>
        <v>129611804.97977124</v>
      </c>
      <c r="FR19" s="27">
        <f t="shared" ref="FR19" si="261">FQ19+FR18</f>
        <v>130440335.10512047</v>
      </c>
      <c r="FS19" s="27">
        <f t="shared" ref="FS19" si="262">FR19+FS18</f>
        <v>131208785.8445442</v>
      </c>
      <c r="FT19" s="27">
        <f t="shared" ref="FT19" si="263">FS19+FT18</f>
        <v>132010753.52117169</v>
      </c>
      <c r="FU19" s="27">
        <f t="shared" ref="FU19" si="264">FT19+FU18</f>
        <v>132819257.18454574</v>
      </c>
      <c r="FV19" s="27">
        <f t="shared" ref="FV19" si="265">FU19+FV18</f>
        <v>133638933.16032104</v>
      </c>
      <c r="FW19" s="27">
        <f t="shared" ref="FW19" si="266">FV19+FW18</f>
        <v>134447436.82369509</v>
      </c>
      <c r="FX19" s="27">
        <f t="shared" ref="FX19" si="267">FW19+FX18</f>
        <v>135267112.79947039</v>
      </c>
      <c r="FY19" s="27">
        <f t="shared" ref="FY19" si="268">FX19+FY18</f>
        <v>136095642.92481962</v>
      </c>
      <c r="FZ19" s="27">
        <f t="shared" ref="FZ19" si="269">FY19+FZ18</f>
        <v>136904146.58819368</v>
      </c>
      <c r="GA19" s="27">
        <f t="shared" ref="GA19" si="270">FZ19+GA18</f>
        <v>137723822.56396899</v>
      </c>
      <c r="GB19" s="27">
        <f t="shared" ref="GB19" si="271">GA19+GB18</f>
        <v>138532326.22734305</v>
      </c>
      <c r="GC19" s="27">
        <f t="shared" ref="GC19" si="272">GB19+GC18</f>
        <v>139352002.20311835</v>
      </c>
    </row>
    <row r="20" spans="1:185">
      <c r="E20" s="9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85">
      <c r="E21" s="9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85">
      <c r="A22" s="6"/>
      <c r="E22" s="9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</row>
    <row r="23" spans="1:185">
      <c r="A23" s="6" t="s">
        <v>507</v>
      </c>
      <c r="E23" s="9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</row>
    <row r="24" spans="1:185">
      <c r="A24" s="6"/>
      <c r="B24" t="s">
        <v>17</v>
      </c>
      <c r="C24" t="s">
        <v>30</v>
      </c>
      <c r="E24" s="25">
        <f t="shared" ref="E24:E30" si="273">SUM(F24:BM24)</f>
        <v>95127827.894139692</v>
      </c>
      <c r="F24" s="28">
        <f>Proforma!F9</f>
        <v>0</v>
      </c>
      <c r="G24" s="28">
        <f>Proforma!G9</f>
        <v>0</v>
      </c>
      <c r="H24" s="28">
        <f>Proforma!H9</f>
        <v>0</v>
      </c>
      <c r="I24" s="28">
        <f>Proforma!I9</f>
        <v>0</v>
      </c>
      <c r="J24" s="28">
        <f>Proforma!J9</f>
        <v>0</v>
      </c>
      <c r="K24" s="28">
        <f>Proforma!K9</f>
        <v>0</v>
      </c>
      <c r="L24" s="28">
        <f>Proforma!L9</f>
        <v>0</v>
      </c>
      <c r="M24" s="28">
        <f>Proforma!M9</f>
        <v>1762387.2</v>
      </c>
      <c r="N24" s="28">
        <f>Proforma!N9</f>
        <v>1754506.4360864675</v>
      </c>
      <c r="O24" s="28">
        <f>Proforma!O9</f>
        <v>1829857.5786080218</v>
      </c>
      <c r="P24" s="28">
        <f>Proforma!P9</f>
        <v>1770829.9147819567</v>
      </c>
      <c r="Q24" s="28">
        <f>Proforma!Q9</f>
        <v>1829857.5786080218</v>
      </c>
      <c r="R24" s="28">
        <f>Proforma!R9</f>
        <v>1829857.5786080218</v>
      </c>
      <c r="S24" s="28">
        <f>Proforma!S9</f>
        <v>1652774.5871298264</v>
      </c>
      <c r="T24" s="28">
        <f>Proforma!T9</f>
        <v>1829857.5786080218</v>
      </c>
      <c r="U24" s="28">
        <f>Proforma!U9</f>
        <v>1770829.9147819567</v>
      </c>
      <c r="V24" s="28">
        <f>Proforma!V9</f>
        <v>1829857.5786080218</v>
      </c>
      <c r="W24" s="28">
        <f>Proforma!W9</f>
        <v>1770829.9147819567</v>
      </c>
      <c r="X24" s="28">
        <f>Proforma!X9</f>
        <v>1829857.5786080218</v>
      </c>
      <c r="Y24" s="28">
        <f>Proforma!Y9</f>
        <v>1829857.5786080218</v>
      </c>
      <c r="Z24" s="28">
        <f>Proforma!Z9</f>
        <v>1770829.9147819567</v>
      </c>
      <c r="AA24" s="28">
        <f>Proforma!AA9</f>
        <v>1829857.5786080218</v>
      </c>
      <c r="AB24" s="28">
        <f>Proforma!AB9</f>
        <v>1770829.9147819567</v>
      </c>
      <c r="AC24" s="28">
        <f>Proforma!AC9</f>
        <v>1829857.5786080218</v>
      </c>
      <c r="AD24" s="28">
        <f>Proforma!AD9</f>
        <v>1829857.5786080218</v>
      </c>
      <c r="AE24" s="28">
        <f>Proforma!AE9</f>
        <v>1652774.5871298264</v>
      </c>
      <c r="AF24" s="28">
        <f>Proforma!AF9</f>
        <v>1829857.5786080218</v>
      </c>
      <c r="AG24" s="28">
        <f>Proforma!AG9</f>
        <v>1770829.9147819567</v>
      </c>
      <c r="AH24" s="28">
        <f>Proforma!AH9</f>
        <v>1829857.5786080218</v>
      </c>
      <c r="AI24" s="28">
        <f>Proforma!AI9</f>
        <v>1770829.9147819567</v>
      </c>
      <c r="AJ24" s="28">
        <f>Proforma!AJ9</f>
        <v>1829857.5786080218</v>
      </c>
      <c r="AK24" s="28">
        <f>Proforma!AK9</f>
        <v>1829857.5786080218</v>
      </c>
      <c r="AL24" s="28">
        <f>Proforma!AL9</f>
        <v>1770829.9147819567</v>
      </c>
      <c r="AM24" s="28">
        <f>Proforma!AM9</f>
        <v>1829857.5786080218</v>
      </c>
      <c r="AN24" s="28">
        <f>Proforma!AN9</f>
        <v>1770829.9147819567</v>
      </c>
      <c r="AO24" s="28">
        <f>Proforma!AO9</f>
        <v>1829857.5786080218</v>
      </c>
      <c r="AP24" s="28">
        <f>Proforma!AP9</f>
        <v>1829857.5786080218</v>
      </c>
      <c r="AQ24" s="28">
        <f>Proforma!AQ9</f>
        <v>1652774.5871298264</v>
      </c>
      <c r="AR24" s="28">
        <f>Proforma!AR9</f>
        <v>1829857.5786080218</v>
      </c>
      <c r="AS24" s="28">
        <f>Proforma!AS9</f>
        <v>1770829.9147819567</v>
      </c>
      <c r="AT24" s="28">
        <f>Proforma!AT9</f>
        <v>1829857.5786080218</v>
      </c>
      <c r="AU24" s="28">
        <f>Proforma!AU9</f>
        <v>1770829.9147819567</v>
      </c>
      <c r="AV24" s="28">
        <f>Proforma!AV9</f>
        <v>1829857.5786080218</v>
      </c>
      <c r="AW24" s="28">
        <f>Proforma!AW9</f>
        <v>1829857.5786080218</v>
      </c>
      <c r="AX24" s="28">
        <f>Proforma!AX9</f>
        <v>1770829.9147819567</v>
      </c>
      <c r="AY24" s="28">
        <f>Proforma!AY9</f>
        <v>1829857.5786080218</v>
      </c>
      <c r="AZ24" s="28">
        <f>Proforma!AZ9</f>
        <v>1770829.9147819567</v>
      </c>
      <c r="BA24" s="28">
        <f>Proforma!BA9</f>
        <v>1829857.5786080218</v>
      </c>
      <c r="BB24" s="28">
        <f>Proforma!BB9</f>
        <v>1829857.5786080218</v>
      </c>
      <c r="BC24" s="28">
        <f>Proforma!BC9</f>
        <v>1652774.5871298264</v>
      </c>
      <c r="BD24" s="28">
        <f>Proforma!BD9</f>
        <v>1829857.5786080218</v>
      </c>
      <c r="BE24" s="28">
        <f>Proforma!BE9</f>
        <v>1770829.9147819567</v>
      </c>
      <c r="BF24" s="28">
        <f>Proforma!BF9</f>
        <v>1829857.5786080218</v>
      </c>
      <c r="BG24" s="28">
        <f>Proforma!BG9</f>
        <v>1770829.9147819567</v>
      </c>
      <c r="BH24" s="28">
        <f>Proforma!BH9</f>
        <v>1829857.5786080218</v>
      </c>
      <c r="BI24" s="28">
        <f>Proforma!BI9</f>
        <v>1829857.5786080218</v>
      </c>
      <c r="BJ24" s="28">
        <f>Proforma!BJ9</f>
        <v>1770829.9147819567</v>
      </c>
      <c r="BK24" s="28">
        <f>Proforma!BK9</f>
        <v>1829857.5786080218</v>
      </c>
      <c r="BL24" s="28">
        <f>Proforma!BL9</f>
        <v>1770829.9147819567</v>
      </c>
      <c r="BM24" s="28">
        <f>Proforma!BM9</f>
        <v>1829857.5786080218</v>
      </c>
      <c r="BN24" s="28">
        <f>Proforma!BN9</f>
        <v>1829857.5786080218</v>
      </c>
      <c r="BO24" s="28">
        <f>Proforma!BO9</f>
        <v>1652774.5871298264</v>
      </c>
      <c r="BP24" s="28">
        <f>Proforma!BP9</f>
        <v>1829857.5786080218</v>
      </c>
      <c r="BQ24" s="28">
        <f>Proforma!BQ9</f>
        <v>1770829.9147819567</v>
      </c>
      <c r="BR24" s="28">
        <f>Proforma!BR9</f>
        <v>1829857.5786080218</v>
      </c>
      <c r="BS24" s="28">
        <f>Proforma!BS9</f>
        <v>1770829.9147819567</v>
      </c>
      <c r="BT24" s="28">
        <f>Proforma!BT9</f>
        <v>1829857.5786080218</v>
      </c>
      <c r="BU24" s="28">
        <f>Proforma!BU9</f>
        <v>1829857.5786080218</v>
      </c>
      <c r="BV24" s="28">
        <f>Proforma!BV9</f>
        <v>1770829.9147819567</v>
      </c>
      <c r="BW24" s="28">
        <f>Proforma!BW9</f>
        <v>1829857.5786080218</v>
      </c>
      <c r="BX24" s="28">
        <f>Proforma!BX9</f>
        <v>1770829.9147819567</v>
      </c>
      <c r="BY24" s="28">
        <f>Proforma!BY9</f>
        <v>1829857.5786080218</v>
      </c>
      <c r="BZ24" s="28">
        <f>Proforma!BZ9</f>
        <v>1829857.5786080218</v>
      </c>
      <c r="CA24" s="28">
        <f>Proforma!CA9</f>
        <v>1652774.5871298264</v>
      </c>
      <c r="CB24" s="28">
        <f>Proforma!CB9</f>
        <v>1829857.5786080218</v>
      </c>
      <c r="CC24" s="28">
        <f>Proforma!CC9</f>
        <v>1770829.9147819567</v>
      </c>
      <c r="CD24" s="28">
        <f>Proforma!CD9</f>
        <v>1829857.5786080218</v>
      </c>
      <c r="CE24" s="28">
        <f>Proforma!CE9</f>
        <v>1770829.9147819567</v>
      </c>
      <c r="CF24" s="28">
        <f>Proforma!CF9</f>
        <v>1829857.5786080218</v>
      </c>
      <c r="CG24" s="28">
        <f>Proforma!CG9</f>
        <v>1829857.5786080218</v>
      </c>
      <c r="CH24" s="28">
        <f>Proforma!CH9</f>
        <v>1770829.9147819567</v>
      </c>
      <c r="CI24" s="28">
        <f>Proforma!CI9</f>
        <v>1829857.5786080218</v>
      </c>
      <c r="CJ24" s="28">
        <f>Proforma!CJ9</f>
        <v>1770829.9147819567</v>
      </c>
      <c r="CK24" s="28">
        <f>Proforma!CK9</f>
        <v>1829857.5786080218</v>
      </c>
      <c r="CL24" s="28">
        <f>Proforma!CL9</f>
        <v>1829857.5786080218</v>
      </c>
      <c r="CM24" s="28">
        <f>Proforma!CM9</f>
        <v>1652774.5871298264</v>
      </c>
      <c r="CN24" s="28">
        <f>Proforma!CN9</f>
        <v>1829857.5786080218</v>
      </c>
      <c r="CO24" s="28">
        <f>Proforma!CO9</f>
        <v>1770829.9147819567</v>
      </c>
      <c r="CP24" s="28">
        <f>Proforma!CP9</f>
        <v>1829857.5786080218</v>
      </c>
      <c r="CQ24" s="28">
        <f>Proforma!CQ9</f>
        <v>1770829.9147819567</v>
      </c>
      <c r="CR24" s="28">
        <f>Proforma!CR9</f>
        <v>1829857.5786080218</v>
      </c>
      <c r="CS24" s="28">
        <f>Proforma!CS9</f>
        <v>1829857.5786080218</v>
      </c>
      <c r="CT24" s="28">
        <f>Proforma!CT9</f>
        <v>1770829.9147819567</v>
      </c>
      <c r="CU24" s="28">
        <f>Proforma!CU9</f>
        <v>1829857.5786080218</v>
      </c>
      <c r="CV24" s="28">
        <f>Proforma!CV9</f>
        <v>1770829.9147819567</v>
      </c>
      <c r="CW24" s="28">
        <f>Proforma!CW9</f>
        <v>1829857.5786080218</v>
      </c>
      <c r="CX24" s="28">
        <f>Proforma!CX9</f>
        <v>1829857.5786080218</v>
      </c>
      <c r="CY24" s="28">
        <f>Proforma!CY9</f>
        <v>1652774.5871298264</v>
      </c>
      <c r="CZ24" s="28">
        <f>Proforma!CZ9</f>
        <v>1829857.5786080218</v>
      </c>
      <c r="DA24" s="28">
        <f>Proforma!DA9</f>
        <v>1770829.9147819567</v>
      </c>
      <c r="DB24" s="28">
        <f>Proforma!DB9</f>
        <v>1829857.5786080218</v>
      </c>
      <c r="DC24" s="28">
        <f>Proforma!DC9</f>
        <v>1770829.9147819567</v>
      </c>
      <c r="DD24" s="28">
        <f>Proforma!DD9</f>
        <v>1829857.5786080218</v>
      </c>
      <c r="DE24" s="28">
        <f>Proforma!DE9</f>
        <v>1829857.5786080218</v>
      </c>
      <c r="DF24" s="28">
        <f>Proforma!DF9</f>
        <v>1770829.9147819567</v>
      </c>
      <c r="DG24" s="28">
        <f>Proforma!DG9</f>
        <v>1829857.5786080218</v>
      </c>
      <c r="DH24" s="28">
        <f>Proforma!DH9</f>
        <v>1770829.9147819567</v>
      </c>
      <c r="DI24" s="28">
        <f>Proforma!DI9</f>
        <v>1829857.5786080218</v>
      </c>
      <c r="DJ24" s="28">
        <f>Proforma!DJ9</f>
        <v>1829857.5786080218</v>
      </c>
      <c r="DK24" s="28">
        <f>Proforma!DK9</f>
        <v>1652774.5871298264</v>
      </c>
      <c r="DL24" s="28">
        <f>Proforma!DL9</f>
        <v>1829857.5786080218</v>
      </c>
      <c r="DM24" s="28">
        <f>Proforma!DM9</f>
        <v>1770829.9147819567</v>
      </c>
      <c r="DN24" s="28">
        <f>Proforma!DN9</f>
        <v>1829857.5786080218</v>
      </c>
      <c r="DO24" s="28">
        <f>Proforma!DO9</f>
        <v>1770829.9147819567</v>
      </c>
      <c r="DP24" s="28">
        <f>Proforma!DP9</f>
        <v>1829857.5786080218</v>
      </c>
      <c r="DQ24" s="28">
        <f>Proforma!DQ9</f>
        <v>1829857.5786080218</v>
      </c>
      <c r="DR24" s="28">
        <f>Proforma!DR9</f>
        <v>1770829.9147819567</v>
      </c>
      <c r="DS24" s="28">
        <f>Proforma!DS9</f>
        <v>1829857.5786080218</v>
      </c>
      <c r="DT24" s="28">
        <f>Proforma!DT9</f>
        <v>1770829.9147819567</v>
      </c>
      <c r="DU24" s="28">
        <f>Proforma!DU9</f>
        <v>1829857.5786080218</v>
      </c>
      <c r="DV24" s="28">
        <f>Proforma!DV9</f>
        <v>1829857.5786080218</v>
      </c>
      <c r="DW24" s="28">
        <f>Proforma!DW9</f>
        <v>1652774.5871298264</v>
      </c>
      <c r="DX24" s="28">
        <f>Proforma!DX9</f>
        <v>1829857.5786080218</v>
      </c>
      <c r="DY24" s="28">
        <f>Proforma!DY9</f>
        <v>1770829.9147819567</v>
      </c>
      <c r="DZ24" s="28">
        <f>Proforma!DZ9</f>
        <v>1829857.5786080218</v>
      </c>
      <c r="EA24" s="28">
        <f>Proforma!EA9</f>
        <v>1770829.9147819567</v>
      </c>
      <c r="EB24" s="28">
        <f>Proforma!EB9</f>
        <v>1829857.5786080218</v>
      </c>
      <c r="EC24" s="28">
        <f>Proforma!EC9</f>
        <v>1829857.5786080218</v>
      </c>
      <c r="ED24" s="28">
        <f>Proforma!ED9</f>
        <v>1770829.9147819567</v>
      </c>
      <c r="EE24" s="28">
        <f>Proforma!EE9</f>
        <v>1829857.5786080218</v>
      </c>
      <c r="EF24" s="28">
        <f>Proforma!EF9</f>
        <v>1770829.9147819567</v>
      </c>
      <c r="EG24" s="28">
        <f>Proforma!EG9</f>
        <v>1829857.5786080218</v>
      </c>
      <c r="EH24" s="28">
        <f>Proforma!EH9</f>
        <v>1829857.5786080218</v>
      </c>
      <c r="EI24" s="28">
        <f>Proforma!EI9</f>
        <v>1652774.5871298264</v>
      </c>
      <c r="EJ24" s="28">
        <f>Proforma!EJ9</f>
        <v>1829857.5786080218</v>
      </c>
      <c r="EK24" s="28">
        <f>Proforma!EK9</f>
        <v>1770829.9147819567</v>
      </c>
      <c r="EL24" s="28">
        <f>Proforma!EL9</f>
        <v>1829857.5786080218</v>
      </c>
      <c r="EM24" s="28">
        <f>Proforma!EM9</f>
        <v>1770829.9147819567</v>
      </c>
      <c r="EN24" s="28">
        <f>Proforma!EN9</f>
        <v>1829857.5786080218</v>
      </c>
      <c r="EO24" s="28">
        <f>Proforma!EO9</f>
        <v>1829857.5786080218</v>
      </c>
      <c r="EP24" s="28">
        <f>Proforma!EP9</f>
        <v>1770829.9147819567</v>
      </c>
      <c r="EQ24" s="28">
        <f>Proforma!EQ9</f>
        <v>1829857.5786080218</v>
      </c>
      <c r="ER24" s="28">
        <f>Proforma!ER9</f>
        <v>1770829.9147819567</v>
      </c>
      <c r="ES24" s="28">
        <f>Proforma!ES9</f>
        <v>1829857.5786080218</v>
      </c>
      <c r="ET24" s="28">
        <f>Proforma!ET9</f>
        <v>1829857.5786080218</v>
      </c>
      <c r="EU24" s="28">
        <f>Proforma!EU9</f>
        <v>1652774.5871298264</v>
      </c>
      <c r="EV24" s="28">
        <f>Proforma!EV9</f>
        <v>1829857.5786080218</v>
      </c>
      <c r="EW24" s="28">
        <f>Proforma!EW9</f>
        <v>1770829.9147819567</v>
      </c>
      <c r="EX24" s="28">
        <f>Proforma!EX9</f>
        <v>1829857.5786080218</v>
      </c>
      <c r="EY24" s="28">
        <f>Proforma!EY9</f>
        <v>1770829.9147819567</v>
      </c>
      <c r="EZ24" s="28">
        <f>Proforma!EZ9</f>
        <v>1829857.5786080218</v>
      </c>
      <c r="FA24" s="28">
        <f>Proforma!FA9</f>
        <v>1829857.5786080218</v>
      </c>
      <c r="FB24" s="28">
        <f>Proforma!FB9</f>
        <v>1770829.9147819567</v>
      </c>
      <c r="FC24" s="28">
        <f>Proforma!FC9</f>
        <v>1829857.5786080218</v>
      </c>
      <c r="FD24" s="28">
        <f>Proforma!FD9</f>
        <v>1770829.9147819567</v>
      </c>
      <c r="FE24" s="28">
        <f>Proforma!FE9</f>
        <v>1829857.5786080218</v>
      </c>
      <c r="FF24" s="28">
        <f>Proforma!FF9</f>
        <v>1829857.5786080218</v>
      </c>
      <c r="FG24" s="28">
        <f>Proforma!FG9</f>
        <v>1652774.5871298264</v>
      </c>
      <c r="FH24" s="28">
        <f>Proforma!FH9</f>
        <v>1829857.5786080218</v>
      </c>
      <c r="FI24" s="28">
        <f>Proforma!FI9</f>
        <v>1770829.9147819567</v>
      </c>
      <c r="FJ24" s="28">
        <f>Proforma!FJ9</f>
        <v>1829857.5786080218</v>
      </c>
      <c r="FK24" s="28">
        <f>Proforma!FK9</f>
        <v>1770829.9147819567</v>
      </c>
      <c r="FL24" s="28">
        <f>Proforma!FL9</f>
        <v>1829857.5786080218</v>
      </c>
      <c r="FM24" s="28">
        <f>Proforma!FM9</f>
        <v>1829857.5786080218</v>
      </c>
      <c r="FN24" s="28">
        <f>Proforma!FN9</f>
        <v>1770829.9147819567</v>
      </c>
      <c r="FO24" s="28">
        <f>Proforma!FO9</f>
        <v>1829857.5786080218</v>
      </c>
      <c r="FP24" s="28">
        <f>Proforma!FP9</f>
        <v>1770829.9147819567</v>
      </c>
      <c r="FQ24" s="28">
        <f>Proforma!FQ9</f>
        <v>1829857.5786080218</v>
      </c>
      <c r="FR24" s="28">
        <f>Proforma!FR9</f>
        <v>1829857.5786080218</v>
      </c>
      <c r="FS24" s="28">
        <f>Proforma!FS9</f>
        <v>1652774.5871298264</v>
      </c>
      <c r="FT24" s="28">
        <f>Proforma!FT9</f>
        <v>1829857.5786080218</v>
      </c>
      <c r="FU24" s="28">
        <f>Proforma!FU9</f>
        <v>1770829.9147819567</v>
      </c>
      <c r="FV24" s="28">
        <f>Proforma!FV9</f>
        <v>1829857.5786080218</v>
      </c>
      <c r="FW24" s="28">
        <f>Proforma!FW9</f>
        <v>1770829.9147819567</v>
      </c>
      <c r="FX24" s="28">
        <f>Proforma!FX9</f>
        <v>1829857.5786080218</v>
      </c>
      <c r="FY24" s="28">
        <f>Proforma!FY9</f>
        <v>1829857.5786080218</v>
      </c>
      <c r="FZ24" s="28">
        <f>Proforma!FZ9</f>
        <v>1770829.9147819567</v>
      </c>
      <c r="GA24" s="28">
        <f>Proforma!GA9</f>
        <v>1829857.5786080218</v>
      </c>
      <c r="GB24" s="28">
        <f>Proforma!GB9</f>
        <v>1770829.9147819567</v>
      </c>
      <c r="GC24" s="28">
        <f>Proforma!GC9</f>
        <v>1829857.5786080218</v>
      </c>
    </row>
    <row r="25" spans="1:185">
      <c r="A25" s="6"/>
      <c r="B25" t="s">
        <v>508</v>
      </c>
      <c r="C25" t="s">
        <v>61</v>
      </c>
      <c r="E25" s="25">
        <f t="shared" si="273"/>
        <v>15000000</v>
      </c>
      <c r="F25" s="28">
        <f>Proforma!F10</f>
        <v>15000000</v>
      </c>
      <c r="G25" s="28">
        <f>Proforma!G10</f>
        <v>0</v>
      </c>
      <c r="H25" s="28">
        <f>Proforma!H10</f>
        <v>0</v>
      </c>
      <c r="I25" s="28">
        <f>Proforma!I10</f>
        <v>0</v>
      </c>
      <c r="J25" s="28">
        <f>Proforma!J10</f>
        <v>0</v>
      </c>
      <c r="K25" s="28">
        <f>Proforma!K10</f>
        <v>0</v>
      </c>
      <c r="L25" s="28">
        <f>Proforma!L10</f>
        <v>0</v>
      </c>
      <c r="M25" s="28">
        <f>Proforma!M10</f>
        <v>0</v>
      </c>
      <c r="N25" s="28">
        <f>Proforma!N10</f>
        <v>0</v>
      </c>
      <c r="O25" s="28">
        <f>Proforma!O10</f>
        <v>0</v>
      </c>
      <c r="P25" s="28">
        <f>Proforma!P10</f>
        <v>0</v>
      </c>
      <c r="Q25" s="28">
        <f>Proforma!Q10</f>
        <v>0</v>
      </c>
      <c r="R25" s="28">
        <f>Proforma!R10</f>
        <v>0</v>
      </c>
      <c r="S25" s="28">
        <f>Proforma!S10</f>
        <v>0</v>
      </c>
      <c r="T25" s="28">
        <f>Proforma!T10</f>
        <v>0</v>
      </c>
      <c r="U25" s="28">
        <f>Proforma!U10</f>
        <v>0</v>
      </c>
      <c r="V25" s="28">
        <f>Proforma!V10</f>
        <v>0</v>
      </c>
      <c r="W25" s="28">
        <f>Proforma!W10</f>
        <v>0</v>
      </c>
      <c r="X25" s="28">
        <f>Proforma!X10</f>
        <v>0</v>
      </c>
      <c r="Y25" s="28">
        <f>Proforma!Y10</f>
        <v>0</v>
      </c>
      <c r="Z25" s="28">
        <f>Proforma!Z10</f>
        <v>0</v>
      </c>
      <c r="AA25" s="28">
        <f>Proforma!AA10</f>
        <v>0</v>
      </c>
      <c r="AB25" s="28">
        <f>Proforma!AB10</f>
        <v>0</v>
      </c>
      <c r="AC25" s="28">
        <f>Proforma!AC10</f>
        <v>0</v>
      </c>
      <c r="AD25" s="28">
        <f>Proforma!AD10</f>
        <v>0</v>
      </c>
      <c r="AE25" s="28">
        <f>Proforma!AE10</f>
        <v>0</v>
      </c>
      <c r="AF25" s="28">
        <f>Proforma!AF10</f>
        <v>0</v>
      </c>
      <c r="AG25" s="28">
        <f>Proforma!AG10</f>
        <v>0</v>
      </c>
      <c r="AH25" s="28">
        <f>Proforma!AH10</f>
        <v>0</v>
      </c>
      <c r="AI25" s="28">
        <f>Proforma!AI10</f>
        <v>0</v>
      </c>
      <c r="AJ25" s="28">
        <f>Proforma!AJ10</f>
        <v>0</v>
      </c>
      <c r="AK25" s="28">
        <f>Proforma!AK10</f>
        <v>0</v>
      </c>
      <c r="AL25" s="28">
        <f>Proforma!AL10</f>
        <v>0</v>
      </c>
      <c r="AM25" s="28">
        <f>Proforma!AM10</f>
        <v>0</v>
      </c>
      <c r="AN25" s="28">
        <f>Proforma!AN10</f>
        <v>0</v>
      </c>
      <c r="AO25" s="28">
        <f>Proforma!AO10</f>
        <v>0</v>
      </c>
      <c r="AP25" s="28">
        <f>Proforma!AP10</f>
        <v>0</v>
      </c>
      <c r="AQ25" s="28">
        <f>Proforma!AQ10</f>
        <v>0</v>
      </c>
      <c r="AR25" s="28">
        <f>Proforma!AR10</f>
        <v>0</v>
      </c>
      <c r="AS25" s="28">
        <f>Proforma!AS10</f>
        <v>0</v>
      </c>
      <c r="AT25" s="28">
        <f>Proforma!AT10</f>
        <v>0</v>
      </c>
      <c r="AU25" s="28">
        <f>Proforma!AU10</f>
        <v>0</v>
      </c>
      <c r="AV25" s="28">
        <f>Proforma!AV10</f>
        <v>0</v>
      </c>
      <c r="AW25" s="28">
        <f>Proforma!AW10</f>
        <v>0</v>
      </c>
      <c r="AX25" s="28">
        <f>Proforma!AX10</f>
        <v>0</v>
      </c>
      <c r="AY25" s="28">
        <f>Proforma!AY10</f>
        <v>0</v>
      </c>
      <c r="AZ25" s="28">
        <f>Proforma!AZ10</f>
        <v>0</v>
      </c>
      <c r="BA25" s="28">
        <f>Proforma!BA10</f>
        <v>0</v>
      </c>
      <c r="BB25" s="28">
        <f>Proforma!BB10</f>
        <v>0</v>
      </c>
      <c r="BC25" s="28">
        <f>Proforma!BC10</f>
        <v>0</v>
      </c>
      <c r="BD25" s="28">
        <f>Proforma!BD10</f>
        <v>0</v>
      </c>
      <c r="BE25" s="28">
        <f>Proforma!BE10</f>
        <v>0</v>
      </c>
      <c r="BF25" s="28">
        <f>Proforma!BF10</f>
        <v>0</v>
      </c>
      <c r="BG25" s="28">
        <f>Proforma!BG10</f>
        <v>0</v>
      </c>
      <c r="BH25" s="28">
        <f>Proforma!BH10</f>
        <v>0</v>
      </c>
      <c r="BI25" s="28">
        <f>Proforma!BI10</f>
        <v>0</v>
      </c>
      <c r="BJ25" s="28">
        <f>Proforma!BJ10</f>
        <v>0</v>
      </c>
      <c r="BK25" s="28">
        <f>Proforma!BK10</f>
        <v>0</v>
      </c>
      <c r="BL25" s="28">
        <f>Proforma!BL10</f>
        <v>0</v>
      </c>
      <c r="BM25" s="28">
        <f>Proforma!BM10</f>
        <v>0</v>
      </c>
      <c r="BN25" s="28">
        <f>Proforma!BN10</f>
        <v>0</v>
      </c>
      <c r="BO25" s="28">
        <f>Proforma!BO10</f>
        <v>0</v>
      </c>
      <c r="BP25" s="28">
        <f>Proforma!BP10</f>
        <v>0</v>
      </c>
      <c r="BQ25" s="28">
        <f>Proforma!BQ10</f>
        <v>0</v>
      </c>
      <c r="BR25" s="28">
        <f>Proforma!BR10</f>
        <v>0</v>
      </c>
      <c r="BS25" s="28">
        <f>Proforma!BS10</f>
        <v>0</v>
      </c>
      <c r="BT25" s="28">
        <f>Proforma!BT10</f>
        <v>0</v>
      </c>
      <c r="BU25" s="28">
        <f>Proforma!BU10</f>
        <v>0</v>
      </c>
      <c r="BV25" s="28">
        <f>Proforma!BV10</f>
        <v>0</v>
      </c>
      <c r="BW25" s="28">
        <f>Proforma!BW10</f>
        <v>0</v>
      </c>
      <c r="BX25" s="28">
        <f>Proforma!BX10</f>
        <v>0</v>
      </c>
      <c r="BY25" s="28">
        <f>Proforma!BY10</f>
        <v>0</v>
      </c>
      <c r="BZ25" s="28">
        <f>Proforma!BZ10</f>
        <v>0</v>
      </c>
      <c r="CA25" s="28">
        <f>Proforma!CA10</f>
        <v>0</v>
      </c>
      <c r="CB25" s="28">
        <f>Proforma!CB10</f>
        <v>0</v>
      </c>
      <c r="CC25" s="28">
        <f>Proforma!CC10</f>
        <v>0</v>
      </c>
      <c r="CD25" s="28">
        <f>Proforma!CD10</f>
        <v>0</v>
      </c>
      <c r="CE25" s="28">
        <f>Proforma!CE10</f>
        <v>0</v>
      </c>
      <c r="CF25" s="28">
        <f>Proforma!CF10</f>
        <v>0</v>
      </c>
      <c r="CG25" s="28">
        <f>Proforma!CG10</f>
        <v>0</v>
      </c>
      <c r="CH25" s="28">
        <f>Proforma!CH10</f>
        <v>0</v>
      </c>
      <c r="CI25" s="28">
        <f>Proforma!CI10</f>
        <v>0</v>
      </c>
      <c r="CJ25" s="28">
        <f>Proforma!CJ10</f>
        <v>0</v>
      </c>
      <c r="CK25" s="28">
        <f>Proforma!CK10</f>
        <v>0</v>
      </c>
      <c r="CL25" s="28">
        <f>Proforma!CL10</f>
        <v>0</v>
      </c>
      <c r="CM25" s="28">
        <f>Proforma!CM10</f>
        <v>0</v>
      </c>
      <c r="CN25" s="28">
        <f>Proforma!CN10</f>
        <v>0</v>
      </c>
      <c r="CO25" s="28">
        <f>Proforma!CO10</f>
        <v>0</v>
      </c>
      <c r="CP25" s="28">
        <f>Proforma!CP10</f>
        <v>0</v>
      </c>
      <c r="CQ25" s="28">
        <f>Proforma!CQ10</f>
        <v>0</v>
      </c>
      <c r="CR25" s="28">
        <f>Proforma!CR10</f>
        <v>0</v>
      </c>
      <c r="CS25" s="28">
        <f>Proforma!CS10</f>
        <v>0</v>
      </c>
      <c r="CT25" s="28">
        <f>Proforma!CT10</f>
        <v>0</v>
      </c>
      <c r="CU25" s="28">
        <f>Proforma!CU10</f>
        <v>0</v>
      </c>
      <c r="CV25" s="28">
        <f>Proforma!CV10</f>
        <v>0</v>
      </c>
      <c r="CW25" s="28">
        <f>Proforma!CW10</f>
        <v>0</v>
      </c>
      <c r="CX25" s="28">
        <f>Proforma!CX10</f>
        <v>0</v>
      </c>
      <c r="CY25" s="28">
        <f>Proforma!CY10</f>
        <v>0</v>
      </c>
      <c r="CZ25" s="28">
        <f>Proforma!CZ10</f>
        <v>0</v>
      </c>
      <c r="DA25" s="28">
        <f>Proforma!DA10</f>
        <v>0</v>
      </c>
      <c r="DB25" s="28">
        <f>Proforma!DB10</f>
        <v>0</v>
      </c>
      <c r="DC25" s="28">
        <f>Proforma!DC10</f>
        <v>0</v>
      </c>
      <c r="DD25" s="28">
        <f>Proforma!DD10</f>
        <v>0</v>
      </c>
      <c r="DE25" s="28">
        <f>Proforma!DE10</f>
        <v>0</v>
      </c>
      <c r="DF25" s="28">
        <f>Proforma!DF10</f>
        <v>0</v>
      </c>
      <c r="DG25" s="28">
        <f>Proforma!DG10</f>
        <v>0</v>
      </c>
      <c r="DH25" s="28">
        <f>Proforma!DH10</f>
        <v>0</v>
      </c>
      <c r="DI25" s="28">
        <f>Proforma!DI10</f>
        <v>0</v>
      </c>
      <c r="DJ25" s="28">
        <f>Proforma!DJ10</f>
        <v>0</v>
      </c>
      <c r="DK25" s="28">
        <f>Proforma!DK10</f>
        <v>0</v>
      </c>
      <c r="DL25" s="28">
        <f>Proforma!DL10</f>
        <v>0</v>
      </c>
      <c r="DM25" s="28">
        <f>Proforma!DM10</f>
        <v>0</v>
      </c>
      <c r="DN25" s="28">
        <f>Proforma!DN10</f>
        <v>0</v>
      </c>
      <c r="DO25" s="28">
        <f>Proforma!DO10</f>
        <v>0</v>
      </c>
      <c r="DP25" s="28">
        <f>Proforma!DP10</f>
        <v>0</v>
      </c>
      <c r="DQ25" s="28">
        <f>Proforma!DQ10</f>
        <v>0</v>
      </c>
      <c r="DR25" s="28">
        <f>Proforma!DR10</f>
        <v>0</v>
      </c>
      <c r="DS25" s="28">
        <f>Proforma!DS10</f>
        <v>0</v>
      </c>
      <c r="DT25" s="28">
        <f>Proforma!DT10</f>
        <v>0</v>
      </c>
      <c r="DU25" s="28">
        <f>Proforma!DU10</f>
        <v>0</v>
      </c>
      <c r="DV25" s="28">
        <f>Proforma!DV10</f>
        <v>0</v>
      </c>
      <c r="DW25" s="28">
        <f>Proforma!DW10</f>
        <v>0</v>
      </c>
      <c r="DX25" s="28">
        <f>Proforma!DX10</f>
        <v>0</v>
      </c>
      <c r="DY25" s="28">
        <f>Proforma!DY10</f>
        <v>0</v>
      </c>
      <c r="DZ25" s="28">
        <f>Proforma!DZ10</f>
        <v>0</v>
      </c>
      <c r="EA25" s="28">
        <f>Proforma!EA10</f>
        <v>0</v>
      </c>
      <c r="EB25" s="28">
        <f>Proforma!EB10</f>
        <v>0</v>
      </c>
      <c r="EC25" s="28">
        <f>Proforma!EC10</f>
        <v>0</v>
      </c>
      <c r="ED25" s="28">
        <f>Proforma!ED10</f>
        <v>0</v>
      </c>
      <c r="EE25" s="28">
        <f>Proforma!EE10</f>
        <v>0</v>
      </c>
      <c r="EF25" s="28">
        <f>Proforma!EF10</f>
        <v>0</v>
      </c>
      <c r="EG25" s="28">
        <f>Proforma!EG10</f>
        <v>0</v>
      </c>
      <c r="EH25" s="28">
        <f>Proforma!EH10</f>
        <v>0</v>
      </c>
      <c r="EI25" s="28">
        <f>Proforma!EI10</f>
        <v>0</v>
      </c>
      <c r="EJ25" s="28">
        <f>Proforma!EJ10</f>
        <v>0</v>
      </c>
      <c r="EK25" s="28">
        <f>Proforma!EK10</f>
        <v>0</v>
      </c>
      <c r="EL25" s="28">
        <f>Proforma!EL10</f>
        <v>0</v>
      </c>
      <c r="EM25" s="28">
        <f>Proforma!EM10</f>
        <v>0</v>
      </c>
      <c r="EN25" s="28">
        <f>Proforma!EN10</f>
        <v>0</v>
      </c>
      <c r="EO25" s="28">
        <f>Proforma!EO10</f>
        <v>0</v>
      </c>
      <c r="EP25" s="28">
        <f>Proforma!EP10</f>
        <v>0</v>
      </c>
      <c r="EQ25" s="28">
        <f>Proforma!EQ10</f>
        <v>0</v>
      </c>
      <c r="ER25" s="28">
        <f>Proforma!ER10</f>
        <v>0</v>
      </c>
      <c r="ES25" s="28">
        <f>Proforma!ES10</f>
        <v>0</v>
      </c>
      <c r="ET25" s="28">
        <f>Proforma!ET10</f>
        <v>0</v>
      </c>
      <c r="EU25" s="28">
        <f>Proforma!EU10</f>
        <v>0</v>
      </c>
      <c r="EV25" s="28">
        <f>Proforma!EV10</f>
        <v>0</v>
      </c>
      <c r="EW25" s="28">
        <f>Proforma!EW10</f>
        <v>0</v>
      </c>
      <c r="EX25" s="28">
        <f>Proforma!EX10</f>
        <v>0</v>
      </c>
      <c r="EY25" s="28">
        <f>Proforma!EY10</f>
        <v>0</v>
      </c>
      <c r="EZ25" s="28">
        <f>Proforma!EZ10</f>
        <v>0</v>
      </c>
      <c r="FA25" s="28">
        <f>Proforma!FA10</f>
        <v>0</v>
      </c>
      <c r="FB25" s="28">
        <f>Proforma!FB10</f>
        <v>0</v>
      </c>
      <c r="FC25" s="28">
        <f>Proforma!FC10</f>
        <v>0</v>
      </c>
      <c r="FD25" s="28">
        <f>Proforma!FD10</f>
        <v>0</v>
      </c>
      <c r="FE25" s="28">
        <f>Proforma!FE10</f>
        <v>0</v>
      </c>
      <c r="FF25" s="28">
        <f>Proforma!FF10</f>
        <v>0</v>
      </c>
      <c r="FG25" s="28">
        <f>Proforma!FG10</f>
        <v>0</v>
      </c>
      <c r="FH25" s="28">
        <f>Proforma!FH10</f>
        <v>0</v>
      </c>
      <c r="FI25" s="28">
        <f>Proforma!FI10</f>
        <v>0</v>
      </c>
      <c r="FJ25" s="28">
        <f>Proforma!FJ10</f>
        <v>0</v>
      </c>
      <c r="FK25" s="28">
        <f>Proforma!FK10</f>
        <v>0</v>
      </c>
      <c r="FL25" s="28">
        <f>Proforma!FL10</f>
        <v>0</v>
      </c>
      <c r="FM25" s="28">
        <f>Proforma!FM10</f>
        <v>0</v>
      </c>
      <c r="FN25" s="28">
        <f>Proforma!FN10</f>
        <v>0</v>
      </c>
      <c r="FO25" s="28">
        <f>Proforma!FO10</f>
        <v>0</v>
      </c>
      <c r="FP25" s="28">
        <f>Proforma!FP10</f>
        <v>0</v>
      </c>
      <c r="FQ25" s="28">
        <f>Proforma!FQ10</f>
        <v>0</v>
      </c>
      <c r="FR25" s="28">
        <f>Proforma!FR10</f>
        <v>0</v>
      </c>
      <c r="FS25" s="28">
        <f>Proforma!FS10</f>
        <v>0</v>
      </c>
      <c r="FT25" s="28">
        <f>Proforma!FT10</f>
        <v>0</v>
      </c>
      <c r="FU25" s="28">
        <f>Proforma!FU10</f>
        <v>0</v>
      </c>
      <c r="FV25" s="28">
        <f>Proforma!FV10</f>
        <v>0</v>
      </c>
      <c r="FW25" s="28">
        <f>Proforma!FW10</f>
        <v>0</v>
      </c>
      <c r="FX25" s="28">
        <f>Proforma!FX10</f>
        <v>0</v>
      </c>
      <c r="FY25" s="28">
        <f>Proforma!FY10</f>
        <v>0</v>
      </c>
      <c r="FZ25" s="28">
        <f>Proforma!FZ10</f>
        <v>0</v>
      </c>
      <c r="GA25" s="28">
        <f>Proforma!GA10</f>
        <v>0</v>
      </c>
      <c r="GB25" s="28">
        <f>Proforma!GB10</f>
        <v>0</v>
      </c>
      <c r="GC25" s="28">
        <f>Proforma!GC10</f>
        <v>0</v>
      </c>
    </row>
    <row r="26" spans="1:185">
      <c r="A26" s="6"/>
      <c r="B26" t="s">
        <v>31</v>
      </c>
      <c r="C26" t="s">
        <v>32</v>
      </c>
      <c r="E26" s="25">
        <f t="shared" si="273"/>
        <v>33896207.014343984</v>
      </c>
      <c r="F26" s="28">
        <f>Proforma!F11</f>
        <v>0</v>
      </c>
      <c r="G26" s="28">
        <f>Proforma!G11</f>
        <v>0</v>
      </c>
      <c r="H26" s="28">
        <f>Proforma!H11</f>
        <v>0</v>
      </c>
      <c r="I26" s="28">
        <f>Proforma!I11</f>
        <v>0</v>
      </c>
      <c r="J26" s="28">
        <f>Proforma!J11</f>
        <v>0</v>
      </c>
      <c r="K26" s="28">
        <f>Proforma!K11</f>
        <v>0</v>
      </c>
      <c r="L26" s="28">
        <f>Proforma!L11</f>
        <v>0</v>
      </c>
      <c r="M26" s="28">
        <f>Proforma!M11</f>
        <v>651421.46152799996</v>
      </c>
      <c r="N26" s="28">
        <f>Proforma!N11</f>
        <v>630450.44663999998</v>
      </c>
      <c r="O26" s="28">
        <f>Proforma!O11</f>
        <v>651421.46152799996</v>
      </c>
      <c r="P26" s="28">
        <f>Proforma!P11</f>
        <v>630450.44663999998</v>
      </c>
      <c r="Q26" s="28">
        <f>Proforma!Q11</f>
        <v>651421.46152799996</v>
      </c>
      <c r="R26" s="28">
        <f>Proforma!R11</f>
        <v>651421.46152799996</v>
      </c>
      <c r="S26" s="28">
        <f>Proforma!S11</f>
        <v>588508.41686400003</v>
      </c>
      <c r="T26" s="28">
        <f>Proforma!T11</f>
        <v>651421.46152799996</v>
      </c>
      <c r="U26" s="28">
        <f>Proforma!U11</f>
        <v>630450.44663999998</v>
      </c>
      <c r="V26" s="28">
        <f>Proforma!V11</f>
        <v>651421.46152799996</v>
      </c>
      <c r="W26" s="28">
        <f>Proforma!W11</f>
        <v>630450.44663999998</v>
      </c>
      <c r="X26" s="28">
        <f>Proforma!X11</f>
        <v>651421.46152799996</v>
      </c>
      <c r="Y26" s="28">
        <f>Proforma!Y11</f>
        <v>651421.46152799996</v>
      </c>
      <c r="Z26" s="28">
        <f>Proforma!Z11</f>
        <v>630450.44663999998</v>
      </c>
      <c r="AA26" s="28">
        <f>Proforma!AA11</f>
        <v>651421.46152799996</v>
      </c>
      <c r="AB26" s="28">
        <f>Proforma!AB11</f>
        <v>630450.44663999998</v>
      </c>
      <c r="AC26" s="28">
        <f>Proforma!AC11</f>
        <v>651421.46152799996</v>
      </c>
      <c r="AD26" s="28">
        <f>Proforma!AD11</f>
        <v>651421.46152799996</v>
      </c>
      <c r="AE26" s="28">
        <f>Proforma!AE11</f>
        <v>588508.41686400003</v>
      </c>
      <c r="AF26" s="28">
        <f>Proforma!AF11</f>
        <v>651421.46152799996</v>
      </c>
      <c r="AG26" s="28">
        <f>Proforma!AG11</f>
        <v>630450.44663999998</v>
      </c>
      <c r="AH26" s="28">
        <f>Proforma!AH11</f>
        <v>651421.46152799996</v>
      </c>
      <c r="AI26" s="28">
        <f>Proforma!AI11</f>
        <v>630450.44663999998</v>
      </c>
      <c r="AJ26" s="28">
        <f>Proforma!AJ11</f>
        <v>651421.46152799996</v>
      </c>
      <c r="AK26" s="28">
        <f>Proforma!AK11</f>
        <v>651421.46152799996</v>
      </c>
      <c r="AL26" s="28">
        <f>Proforma!AL11</f>
        <v>630450.44663999998</v>
      </c>
      <c r="AM26" s="28">
        <f>Proforma!AM11</f>
        <v>651421.46152799996</v>
      </c>
      <c r="AN26" s="28">
        <f>Proforma!AN11</f>
        <v>630450.44663999998</v>
      </c>
      <c r="AO26" s="28">
        <f>Proforma!AO11</f>
        <v>651421.46152799996</v>
      </c>
      <c r="AP26" s="28">
        <f>Proforma!AP11</f>
        <v>651421.46152799996</v>
      </c>
      <c r="AQ26" s="28">
        <f>Proforma!AQ11</f>
        <v>588508.41686400003</v>
      </c>
      <c r="AR26" s="28">
        <f>Proforma!AR11</f>
        <v>651421.46152799996</v>
      </c>
      <c r="AS26" s="28">
        <f>Proforma!AS11</f>
        <v>630450.44663999998</v>
      </c>
      <c r="AT26" s="28">
        <f>Proforma!AT11</f>
        <v>651421.46152799996</v>
      </c>
      <c r="AU26" s="28">
        <f>Proforma!AU11</f>
        <v>630450.44663999998</v>
      </c>
      <c r="AV26" s="28">
        <f>Proforma!AV11</f>
        <v>651421.46152799996</v>
      </c>
      <c r="AW26" s="28">
        <f>Proforma!AW11</f>
        <v>651421.46152799996</v>
      </c>
      <c r="AX26" s="28">
        <f>Proforma!AX11</f>
        <v>630450.44663999998</v>
      </c>
      <c r="AY26" s="28">
        <f>Proforma!AY11</f>
        <v>651421.46152799996</v>
      </c>
      <c r="AZ26" s="28">
        <f>Proforma!AZ11</f>
        <v>630450.44663999998</v>
      </c>
      <c r="BA26" s="28">
        <f>Proforma!BA11</f>
        <v>651421.46152799996</v>
      </c>
      <c r="BB26" s="28">
        <f>Proforma!BB11</f>
        <v>651421.46152799996</v>
      </c>
      <c r="BC26" s="28">
        <f>Proforma!BC11</f>
        <v>588508.41686400003</v>
      </c>
      <c r="BD26" s="28">
        <f>Proforma!BD11</f>
        <v>651421.46152799996</v>
      </c>
      <c r="BE26" s="28">
        <f>Proforma!BE11</f>
        <v>630450.44663999998</v>
      </c>
      <c r="BF26" s="28">
        <f>Proforma!BF11</f>
        <v>651421.46152799996</v>
      </c>
      <c r="BG26" s="28">
        <f>Proforma!BG11</f>
        <v>630450.44663999998</v>
      </c>
      <c r="BH26" s="28">
        <f>Proforma!BH11</f>
        <v>651421.46152799996</v>
      </c>
      <c r="BI26" s="28">
        <f>Proforma!BI11</f>
        <v>651421.46152799996</v>
      </c>
      <c r="BJ26" s="28">
        <f>Proforma!BJ11</f>
        <v>630450.44663999998</v>
      </c>
      <c r="BK26" s="28">
        <f>Proforma!BK11</f>
        <v>651421.46152799996</v>
      </c>
      <c r="BL26" s="28">
        <f>Proforma!BL11</f>
        <v>630450.44663999998</v>
      </c>
      <c r="BM26" s="28">
        <f>Proforma!BM11</f>
        <v>651421.46152799996</v>
      </c>
      <c r="BN26" s="28">
        <f>Proforma!BN11</f>
        <v>651421.46152799996</v>
      </c>
      <c r="BO26" s="28">
        <f>Proforma!BO11</f>
        <v>588508.41686400003</v>
      </c>
      <c r="BP26" s="28">
        <f>Proforma!BP11</f>
        <v>651421.46152799996</v>
      </c>
      <c r="BQ26" s="28">
        <f>Proforma!BQ11</f>
        <v>630450.44663999998</v>
      </c>
      <c r="BR26" s="28">
        <f>Proforma!BR11</f>
        <v>651421.46152799996</v>
      </c>
      <c r="BS26" s="28">
        <f>Proforma!BS11</f>
        <v>630450.44663999998</v>
      </c>
      <c r="BT26" s="28">
        <f>Proforma!BT11</f>
        <v>651421.46152799996</v>
      </c>
      <c r="BU26" s="28">
        <f>Proforma!BU11</f>
        <v>651421.46152799996</v>
      </c>
      <c r="BV26" s="28">
        <f>Proforma!BV11</f>
        <v>630450.44663999998</v>
      </c>
      <c r="BW26" s="28">
        <f>Proforma!BW11</f>
        <v>651421.46152799996</v>
      </c>
      <c r="BX26" s="28">
        <f>Proforma!BX11</f>
        <v>630450.44663999998</v>
      </c>
      <c r="BY26" s="28">
        <f>Proforma!BY11</f>
        <v>651421.46152799996</v>
      </c>
      <c r="BZ26" s="28">
        <f>Proforma!BZ11</f>
        <v>651421.46152799996</v>
      </c>
      <c r="CA26" s="28">
        <f>Proforma!CA11</f>
        <v>588508.41686400003</v>
      </c>
      <c r="CB26" s="28">
        <f>Proforma!CB11</f>
        <v>651421.46152799996</v>
      </c>
      <c r="CC26" s="28">
        <f>Proforma!CC11</f>
        <v>630450.44663999998</v>
      </c>
      <c r="CD26" s="28">
        <f>Proforma!CD11</f>
        <v>651421.46152799996</v>
      </c>
      <c r="CE26" s="28">
        <f>Proforma!CE11</f>
        <v>630450.44663999998</v>
      </c>
      <c r="CF26" s="28">
        <f>Proforma!CF11</f>
        <v>651421.46152799996</v>
      </c>
      <c r="CG26" s="28">
        <f>Proforma!CG11</f>
        <v>651421.46152799996</v>
      </c>
      <c r="CH26" s="28">
        <f>Proforma!CH11</f>
        <v>630450.44663999998</v>
      </c>
      <c r="CI26" s="28">
        <f>Proforma!CI11</f>
        <v>651421.46152799996</v>
      </c>
      <c r="CJ26" s="28">
        <f>Proforma!CJ11</f>
        <v>630450.44663999998</v>
      </c>
      <c r="CK26" s="28">
        <f>Proforma!CK11</f>
        <v>651421.46152799996</v>
      </c>
      <c r="CL26" s="28">
        <f>Proforma!CL11</f>
        <v>651421.46152799996</v>
      </c>
      <c r="CM26" s="28">
        <f>Proforma!CM11</f>
        <v>588508.41686400003</v>
      </c>
      <c r="CN26" s="28">
        <f>Proforma!CN11</f>
        <v>651421.46152799996</v>
      </c>
      <c r="CO26" s="28">
        <f>Proforma!CO11</f>
        <v>630450.44663999998</v>
      </c>
      <c r="CP26" s="28">
        <f>Proforma!CP11</f>
        <v>651421.46152799996</v>
      </c>
      <c r="CQ26" s="28">
        <f>Proforma!CQ11</f>
        <v>630450.44663999998</v>
      </c>
      <c r="CR26" s="28">
        <f>Proforma!CR11</f>
        <v>651421.46152799996</v>
      </c>
      <c r="CS26" s="28">
        <f>Proforma!CS11</f>
        <v>651421.46152799996</v>
      </c>
      <c r="CT26" s="28">
        <f>Proforma!CT11</f>
        <v>630450.44663999998</v>
      </c>
      <c r="CU26" s="28">
        <f>Proforma!CU11</f>
        <v>651421.46152799996</v>
      </c>
      <c r="CV26" s="28">
        <f>Proforma!CV11</f>
        <v>630450.44663999998</v>
      </c>
      <c r="CW26" s="28">
        <f>Proforma!CW11</f>
        <v>651421.46152799996</v>
      </c>
      <c r="CX26" s="28">
        <f>Proforma!CX11</f>
        <v>651421.46152799996</v>
      </c>
      <c r="CY26" s="28">
        <f>Proforma!CY11</f>
        <v>588508.41686400003</v>
      </c>
      <c r="CZ26" s="28">
        <f>Proforma!CZ11</f>
        <v>651421.46152799996</v>
      </c>
      <c r="DA26" s="28">
        <f>Proforma!DA11</f>
        <v>630450.44663999998</v>
      </c>
      <c r="DB26" s="28">
        <f>Proforma!DB11</f>
        <v>651421.46152799996</v>
      </c>
      <c r="DC26" s="28">
        <f>Proforma!DC11</f>
        <v>630450.44663999998</v>
      </c>
      <c r="DD26" s="28">
        <f>Proforma!DD11</f>
        <v>651421.46152799996</v>
      </c>
      <c r="DE26" s="28">
        <f>Proforma!DE11</f>
        <v>651421.46152799996</v>
      </c>
      <c r="DF26" s="28">
        <f>Proforma!DF11</f>
        <v>630450.44663999998</v>
      </c>
      <c r="DG26" s="28">
        <f>Proforma!DG11</f>
        <v>651421.46152799996</v>
      </c>
      <c r="DH26" s="28">
        <f>Proforma!DH11</f>
        <v>630450.44663999998</v>
      </c>
      <c r="DI26" s="28">
        <f>Proforma!DI11</f>
        <v>651421.46152799996</v>
      </c>
      <c r="DJ26" s="28">
        <f>Proforma!DJ11</f>
        <v>651421.46152799996</v>
      </c>
      <c r="DK26" s="28">
        <f>Proforma!DK11</f>
        <v>588508.41686400003</v>
      </c>
      <c r="DL26" s="28">
        <f>Proforma!DL11</f>
        <v>651421.46152799996</v>
      </c>
      <c r="DM26" s="28">
        <f>Proforma!DM11</f>
        <v>630450.44663999998</v>
      </c>
      <c r="DN26" s="28">
        <f>Proforma!DN11</f>
        <v>651421.46152799996</v>
      </c>
      <c r="DO26" s="28">
        <f>Proforma!DO11</f>
        <v>630450.44663999998</v>
      </c>
      <c r="DP26" s="28">
        <f>Proforma!DP11</f>
        <v>651421.46152799996</v>
      </c>
      <c r="DQ26" s="28">
        <f>Proforma!DQ11</f>
        <v>651421.46152799996</v>
      </c>
      <c r="DR26" s="28">
        <f>Proforma!DR11</f>
        <v>630450.44663999998</v>
      </c>
      <c r="DS26" s="28">
        <f>Proforma!DS11</f>
        <v>651421.46152799996</v>
      </c>
      <c r="DT26" s="28">
        <f>Proforma!DT11</f>
        <v>630450.44663999998</v>
      </c>
      <c r="DU26" s="28">
        <f>Proforma!DU11</f>
        <v>651421.46152799996</v>
      </c>
      <c r="DV26" s="28">
        <f>Proforma!DV11</f>
        <v>651421.46152799996</v>
      </c>
      <c r="DW26" s="28">
        <f>Proforma!DW11</f>
        <v>588508.41686400003</v>
      </c>
      <c r="DX26" s="28">
        <f>Proforma!DX11</f>
        <v>651421.46152799996</v>
      </c>
      <c r="DY26" s="28">
        <f>Proforma!DY11</f>
        <v>630450.44663999998</v>
      </c>
      <c r="DZ26" s="28">
        <f>Proforma!DZ11</f>
        <v>651421.46152799996</v>
      </c>
      <c r="EA26" s="28">
        <f>Proforma!EA11</f>
        <v>630450.44663999998</v>
      </c>
      <c r="EB26" s="28">
        <f>Proforma!EB11</f>
        <v>651421.46152799996</v>
      </c>
      <c r="EC26" s="28">
        <f>Proforma!EC11</f>
        <v>651421.46152799996</v>
      </c>
      <c r="ED26" s="28">
        <f>Proforma!ED11</f>
        <v>630450.44663999998</v>
      </c>
      <c r="EE26" s="28">
        <f>Proforma!EE11</f>
        <v>651421.46152799996</v>
      </c>
      <c r="EF26" s="28">
        <f>Proforma!EF11</f>
        <v>630450.44663999998</v>
      </c>
      <c r="EG26" s="28">
        <f>Proforma!EG11</f>
        <v>651421.46152799996</v>
      </c>
      <c r="EH26" s="28">
        <f>Proforma!EH11</f>
        <v>651421.46152799996</v>
      </c>
      <c r="EI26" s="28">
        <f>Proforma!EI11</f>
        <v>588508.41686400003</v>
      </c>
      <c r="EJ26" s="28">
        <f>Proforma!EJ11</f>
        <v>651421.46152799996</v>
      </c>
      <c r="EK26" s="28">
        <f>Proforma!EK11</f>
        <v>630450.44663999998</v>
      </c>
      <c r="EL26" s="28">
        <f>Proforma!EL11</f>
        <v>651421.46152799996</v>
      </c>
      <c r="EM26" s="28">
        <f>Proforma!EM11</f>
        <v>630450.44663999998</v>
      </c>
      <c r="EN26" s="28">
        <f>Proforma!EN11</f>
        <v>651421.46152799996</v>
      </c>
      <c r="EO26" s="28">
        <f>Proforma!EO11</f>
        <v>651421.46152799996</v>
      </c>
      <c r="EP26" s="28">
        <f>Proforma!EP11</f>
        <v>630450.44663999998</v>
      </c>
      <c r="EQ26" s="28">
        <f>Proforma!EQ11</f>
        <v>651421.46152799996</v>
      </c>
      <c r="ER26" s="28">
        <f>Proforma!ER11</f>
        <v>630450.44663999998</v>
      </c>
      <c r="ES26" s="28">
        <f>Proforma!ES11</f>
        <v>651421.46152799996</v>
      </c>
      <c r="ET26" s="28">
        <f>Proforma!ET11</f>
        <v>651421.46152799996</v>
      </c>
      <c r="EU26" s="28">
        <f>Proforma!EU11</f>
        <v>588508.41686400003</v>
      </c>
      <c r="EV26" s="28">
        <f>Proforma!EV11</f>
        <v>651421.46152799996</v>
      </c>
      <c r="EW26" s="28">
        <f>Proforma!EW11</f>
        <v>630450.44663999998</v>
      </c>
      <c r="EX26" s="28">
        <f>Proforma!EX11</f>
        <v>651421.46152799996</v>
      </c>
      <c r="EY26" s="28">
        <f>Proforma!EY11</f>
        <v>630450.44663999998</v>
      </c>
      <c r="EZ26" s="28">
        <f>Proforma!EZ11</f>
        <v>651421.46152799996</v>
      </c>
      <c r="FA26" s="28">
        <f>Proforma!FA11</f>
        <v>651421.46152799996</v>
      </c>
      <c r="FB26" s="28">
        <f>Proforma!FB11</f>
        <v>630450.44663999998</v>
      </c>
      <c r="FC26" s="28">
        <f>Proforma!FC11</f>
        <v>651421.46152799996</v>
      </c>
      <c r="FD26" s="28">
        <f>Proforma!FD11</f>
        <v>630450.44663999998</v>
      </c>
      <c r="FE26" s="28">
        <f>Proforma!FE11</f>
        <v>651421.46152799996</v>
      </c>
      <c r="FF26" s="28">
        <f>Proforma!FF11</f>
        <v>651421.46152799996</v>
      </c>
      <c r="FG26" s="28">
        <f>Proforma!FG11</f>
        <v>588508.41686400003</v>
      </c>
      <c r="FH26" s="28">
        <f>Proforma!FH11</f>
        <v>651421.46152799996</v>
      </c>
      <c r="FI26" s="28">
        <f>Proforma!FI11</f>
        <v>630450.44663999998</v>
      </c>
      <c r="FJ26" s="28">
        <f>Proforma!FJ11</f>
        <v>651421.46152799996</v>
      </c>
      <c r="FK26" s="28">
        <f>Proforma!FK11</f>
        <v>630450.44663999998</v>
      </c>
      <c r="FL26" s="28">
        <f>Proforma!FL11</f>
        <v>651421.46152799996</v>
      </c>
      <c r="FM26" s="28">
        <f>Proforma!FM11</f>
        <v>651421.46152799996</v>
      </c>
      <c r="FN26" s="28">
        <f>Proforma!FN11</f>
        <v>630450.44663999998</v>
      </c>
      <c r="FO26" s="28">
        <f>Proforma!FO11</f>
        <v>651421.46152799996</v>
      </c>
      <c r="FP26" s="28">
        <f>Proforma!FP11</f>
        <v>630450.44663999998</v>
      </c>
      <c r="FQ26" s="28">
        <f>Proforma!FQ11</f>
        <v>651421.46152799996</v>
      </c>
      <c r="FR26" s="28">
        <f>Proforma!FR11</f>
        <v>651421.46152799996</v>
      </c>
      <c r="FS26" s="28">
        <f>Proforma!FS11</f>
        <v>588508.41686400003</v>
      </c>
      <c r="FT26" s="28">
        <f>Proforma!FT11</f>
        <v>651421.46152799996</v>
      </c>
      <c r="FU26" s="28">
        <f>Proforma!FU11</f>
        <v>630450.44663999998</v>
      </c>
      <c r="FV26" s="28">
        <f>Proforma!FV11</f>
        <v>651421.46152799996</v>
      </c>
      <c r="FW26" s="28">
        <f>Proforma!FW11</f>
        <v>630450.44663999998</v>
      </c>
      <c r="FX26" s="28">
        <f>Proforma!FX11</f>
        <v>651421.46152799996</v>
      </c>
      <c r="FY26" s="28">
        <f>Proforma!FY11</f>
        <v>651421.46152799996</v>
      </c>
      <c r="FZ26" s="28">
        <f>Proforma!FZ11</f>
        <v>630450.44663999998</v>
      </c>
      <c r="GA26" s="28">
        <f>Proforma!GA11</f>
        <v>651421.46152799996</v>
      </c>
      <c r="GB26" s="28">
        <f>Proforma!GB11</f>
        <v>630450.44663999998</v>
      </c>
      <c r="GC26" s="28">
        <f>Proforma!GC11</f>
        <v>651421.46152799996</v>
      </c>
    </row>
    <row r="27" spans="1:185">
      <c r="A27" s="6"/>
      <c r="B27" t="s">
        <v>34</v>
      </c>
      <c r="C27" t="s">
        <v>35</v>
      </c>
      <c r="E27" s="25">
        <f t="shared" si="273"/>
        <v>5587146.3463999974</v>
      </c>
      <c r="F27" s="28">
        <f>Proforma!F12</f>
        <v>0</v>
      </c>
      <c r="G27" s="28">
        <f>Proforma!G12</f>
        <v>0</v>
      </c>
      <c r="H27" s="28">
        <f>Proforma!H12</f>
        <v>0</v>
      </c>
      <c r="I27" s="28">
        <f>Proforma!I12</f>
        <v>0</v>
      </c>
      <c r="J27" s="28">
        <f>Proforma!J12</f>
        <v>0</v>
      </c>
      <c r="K27" s="28">
        <f>Proforma!K12</f>
        <v>0</v>
      </c>
      <c r="L27" s="28">
        <f>Proforma!L12</f>
        <v>0</v>
      </c>
      <c r="M27" s="28">
        <f>Proforma!M12</f>
        <v>106266.2968</v>
      </c>
      <c r="N27" s="28">
        <f>Proforma!N12</f>
        <v>104767.38400000001</v>
      </c>
      <c r="O27" s="28">
        <f>Proforma!O12</f>
        <v>106266.2968</v>
      </c>
      <c r="P27" s="28">
        <f>Proforma!P12</f>
        <v>104767.38400000001</v>
      </c>
      <c r="Q27" s="28">
        <f>Proforma!Q12</f>
        <v>106266.2968</v>
      </c>
      <c r="R27" s="28">
        <f>Proforma!R12</f>
        <v>106266.2968</v>
      </c>
      <c r="S27" s="28">
        <f>Proforma!S12</f>
        <v>101769.55839999999</v>
      </c>
      <c r="T27" s="28">
        <f>Proforma!T12</f>
        <v>106266.2968</v>
      </c>
      <c r="U27" s="28">
        <f>Proforma!U12</f>
        <v>104767.38400000001</v>
      </c>
      <c r="V27" s="28">
        <f>Proforma!V12</f>
        <v>106266.2968</v>
      </c>
      <c r="W27" s="28">
        <f>Proforma!W12</f>
        <v>104767.38400000001</v>
      </c>
      <c r="X27" s="28">
        <f>Proforma!X12</f>
        <v>106266.2968</v>
      </c>
      <c r="Y27" s="28">
        <f>Proforma!Y12</f>
        <v>106266.2968</v>
      </c>
      <c r="Z27" s="28">
        <f>Proforma!Z12</f>
        <v>104767.38400000001</v>
      </c>
      <c r="AA27" s="28">
        <f>Proforma!AA12</f>
        <v>106266.2968</v>
      </c>
      <c r="AB27" s="28">
        <f>Proforma!AB12</f>
        <v>104767.38400000001</v>
      </c>
      <c r="AC27" s="28">
        <f>Proforma!AC12</f>
        <v>106266.2968</v>
      </c>
      <c r="AD27" s="28">
        <f>Proforma!AD12</f>
        <v>106266.2968</v>
      </c>
      <c r="AE27" s="28">
        <f>Proforma!AE12</f>
        <v>101769.55839999999</v>
      </c>
      <c r="AF27" s="28">
        <f>Proforma!AF12</f>
        <v>106266.2968</v>
      </c>
      <c r="AG27" s="28">
        <f>Proforma!AG12</f>
        <v>104767.38400000001</v>
      </c>
      <c r="AH27" s="28">
        <f>Proforma!AH12</f>
        <v>106266.2968</v>
      </c>
      <c r="AI27" s="28">
        <f>Proforma!AI12</f>
        <v>104767.38400000001</v>
      </c>
      <c r="AJ27" s="28">
        <f>Proforma!AJ12</f>
        <v>106266.2968</v>
      </c>
      <c r="AK27" s="28">
        <f>Proforma!AK12</f>
        <v>106266.2968</v>
      </c>
      <c r="AL27" s="28">
        <f>Proforma!AL12</f>
        <v>104767.38400000001</v>
      </c>
      <c r="AM27" s="28">
        <f>Proforma!AM12</f>
        <v>106266.2968</v>
      </c>
      <c r="AN27" s="28">
        <f>Proforma!AN12</f>
        <v>104767.38400000001</v>
      </c>
      <c r="AO27" s="28">
        <f>Proforma!AO12</f>
        <v>106266.2968</v>
      </c>
      <c r="AP27" s="28">
        <f>Proforma!AP12</f>
        <v>106266.2968</v>
      </c>
      <c r="AQ27" s="28">
        <f>Proforma!AQ12</f>
        <v>101769.55839999999</v>
      </c>
      <c r="AR27" s="28">
        <f>Proforma!AR12</f>
        <v>106266.2968</v>
      </c>
      <c r="AS27" s="28">
        <f>Proforma!AS12</f>
        <v>104767.38400000001</v>
      </c>
      <c r="AT27" s="28">
        <f>Proforma!AT12</f>
        <v>106266.2968</v>
      </c>
      <c r="AU27" s="28">
        <f>Proforma!AU12</f>
        <v>104767.38400000001</v>
      </c>
      <c r="AV27" s="28">
        <f>Proforma!AV12</f>
        <v>106266.2968</v>
      </c>
      <c r="AW27" s="28">
        <f>Proforma!AW12</f>
        <v>106266.2968</v>
      </c>
      <c r="AX27" s="28">
        <f>Proforma!AX12</f>
        <v>104767.38400000001</v>
      </c>
      <c r="AY27" s="28">
        <f>Proforma!AY12</f>
        <v>106266.2968</v>
      </c>
      <c r="AZ27" s="28">
        <f>Proforma!AZ12</f>
        <v>104767.38400000001</v>
      </c>
      <c r="BA27" s="28">
        <f>Proforma!BA12</f>
        <v>106266.2968</v>
      </c>
      <c r="BB27" s="28">
        <f>Proforma!BB12</f>
        <v>106266.2968</v>
      </c>
      <c r="BC27" s="28">
        <f>Proforma!BC12</f>
        <v>101769.55839999999</v>
      </c>
      <c r="BD27" s="28">
        <f>Proforma!BD12</f>
        <v>106266.2968</v>
      </c>
      <c r="BE27" s="28">
        <f>Proforma!BE12</f>
        <v>104767.38400000001</v>
      </c>
      <c r="BF27" s="28">
        <f>Proforma!BF12</f>
        <v>106266.2968</v>
      </c>
      <c r="BG27" s="28">
        <f>Proforma!BG12</f>
        <v>104767.38400000001</v>
      </c>
      <c r="BH27" s="28">
        <f>Proforma!BH12</f>
        <v>106266.2968</v>
      </c>
      <c r="BI27" s="28">
        <f>Proforma!BI12</f>
        <v>106266.2968</v>
      </c>
      <c r="BJ27" s="28">
        <f>Proforma!BJ12</f>
        <v>104767.38400000001</v>
      </c>
      <c r="BK27" s="28">
        <f>Proforma!BK12</f>
        <v>106266.2968</v>
      </c>
      <c r="BL27" s="28">
        <f>Proforma!BL12</f>
        <v>104767.38400000001</v>
      </c>
      <c r="BM27" s="28">
        <f>Proforma!BM12</f>
        <v>106266.2968</v>
      </c>
      <c r="BN27" s="28">
        <f>Proforma!BN12</f>
        <v>106266.2968</v>
      </c>
      <c r="BO27" s="28">
        <f>Proforma!BO12</f>
        <v>101769.55839999999</v>
      </c>
      <c r="BP27" s="28">
        <f>Proforma!BP12</f>
        <v>106266.2968</v>
      </c>
      <c r="BQ27" s="28">
        <f>Proforma!BQ12</f>
        <v>104767.38400000001</v>
      </c>
      <c r="BR27" s="28">
        <f>Proforma!BR12</f>
        <v>106266.2968</v>
      </c>
      <c r="BS27" s="28">
        <f>Proforma!BS12</f>
        <v>104767.38400000001</v>
      </c>
      <c r="BT27" s="28">
        <f>Proforma!BT12</f>
        <v>106266.2968</v>
      </c>
      <c r="BU27" s="28">
        <f>Proforma!BU12</f>
        <v>106266.2968</v>
      </c>
      <c r="BV27" s="28">
        <f>Proforma!BV12</f>
        <v>104767.38400000001</v>
      </c>
      <c r="BW27" s="28">
        <f>Proforma!BW12</f>
        <v>106266.2968</v>
      </c>
      <c r="BX27" s="28">
        <f>Proforma!BX12</f>
        <v>104767.38400000001</v>
      </c>
      <c r="BY27" s="28">
        <f>Proforma!BY12</f>
        <v>106266.2968</v>
      </c>
      <c r="BZ27" s="28">
        <f>Proforma!BZ12</f>
        <v>106266.2968</v>
      </c>
      <c r="CA27" s="28">
        <f>Proforma!CA12</f>
        <v>101769.55839999999</v>
      </c>
      <c r="CB27" s="28">
        <f>Proforma!CB12</f>
        <v>106266.2968</v>
      </c>
      <c r="CC27" s="28">
        <f>Proforma!CC12</f>
        <v>104767.38400000001</v>
      </c>
      <c r="CD27" s="28">
        <f>Proforma!CD12</f>
        <v>106266.2968</v>
      </c>
      <c r="CE27" s="28">
        <f>Proforma!CE12</f>
        <v>104767.38400000001</v>
      </c>
      <c r="CF27" s="28">
        <f>Proforma!CF12</f>
        <v>106266.2968</v>
      </c>
      <c r="CG27" s="28">
        <f>Proforma!CG12</f>
        <v>106266.2968</v>
      </c>
      <c r="CH27" s="28">
        <f>Proforma!CH12</f>
        <v>104767.38400000001</v>
      </c>
      <c r="CI27" s="28">
        <f>Proforma!CI12</f>
        <v>106266.2968</v>
      </c>
      <c r="CJ27" s="28">
        <f>Proforma!CJ12</f>
        <v>104767.38400000001</v>
      </c>
      <c r="CK27" s="28">
        <f>Proforma!CK12</f>
        <v>106266.2968</v>
      </c>
      <c r="CL27" s="28">
        <f>Proforma!CL12</f>
        <v>106266.2968</v>
      </c>
      <c r="CM27" s="28">
        <f>Proforma!CM12</f>
        <v>101769.55839999999</v>
      </c>
      <c r="CN27" s="28">
        <f>Proforma!CN12</f>
        <v>106266.2968</v>
      </c>
      <c r="CO27" s="28">
        <f>Proforma!CO12</f>
        <v>104767.38400000001</v>
      </c>
      <c r="CP27" s="28">
        <f>Proforma!CP12</f>
        <v>106266.2968</v>
      </c>
      <c r="CQ27" s="28">
        <f>Proforma!CQ12</f>
        <v>104767.38400000001</v>
      </c>
      <c r="CR27" s="28">
        <f>Proforma!CR12</f>
        <v>106266.2968</v>
      </c>
      <c r="CS27" s="28">
        <f>Proforma!CS12</f>
        <v>106266.2968</v>
      </c>
      <c r="CT27" s="28">
        <f>Proforma!CT12</f>
        <v>104767.38400000001</v>
      </c>
      <c r="CU27" s="28">
        <f>Proforma!CU12</f>
        <v>106266.2968</v>
      </c>
      <c r="CV27" s="28">
        <f>Proforma!CV12</f>
        <v>104767.38400000001</v>
      </c>
      <c r="CW27" s="28">
        <f>Proforma!CW12</f>
        <v>106266.2968</v>
      </c>
      <c r="CX27" s="28">
        <f>Proforma!CX12</f>
        <v>106266.2968</v>
      </c>
      <c r="CY27" s="28">
        <f>Proforma!CY12</f>
        <v>101769.55839999999</v>
      </c>
      <c r="CZ27" s="28">
        <f>Proforma!CZ12</f>
        <v>106266.2968</v>
      </c>
      <c r="DA27" s="28">
        <f>Proforma!DA12</f>
        <v>104767.38400000001</v>
      </c>
      <c r="DB27" s="28">
        <f>Proforma!DB12</f>
        <v>106266.2968</v>
      </c>
      <c r="DC27" s="28">
        <f>Proforma!DC12</f>
        <v>104767.38400000001</v>
      </c>
      <c r="DD27" s="28">
        <f>Proforma!DD12</f>
        <v>106266.2968</v>
      </c>
      <c r="DE27" s="28">
        <f>Proforma!DE12</f>
        <v>106266.2968</v>
      </c>
      <c r="DF27" s="28">
        <f>Proforma!DF12</f>
        <v>104767.38400000001</v>
      </c>
      <c r="DG27" s="28">
        <f>Proforma!DG12</f>
        <v>106266.2968</v>
      </c>
      <c r="DH27" s="28">
        <f>Proforma!DH12</f>
        <v>104767.38400000001</v>
      </c>
      <c r="DI27" s="28">
        <f>Proforma!DI12</f>
        <v>106266.2968</v>
      </c>
      <c r="DJ27" s="28">
        <f>Proforma!DJ12</f>
        <v>106266.2968</v>
      </c>
      <c r="DK27" s="28">
        <f>Proforma!DK12</f>
        <v>101769.55839999999</v>
      </c>
      <c r="DL27" s="28">
        <f>Proforma!DL12</f>
        <v>106266.2968</v>
      </c>
      <c r="DM27" s="28">
        <f>Proforma!DM12</f>
        <v>104767.38400000001</v>
      </c>
      <c r="DN27" s="28">
        <f>Proforma!DN12</f>
        <v>106266.2968</v>
      </c>
      <c r="DO27" s="28">
        <f>Proforma!DO12</f>
        <v>104767.38400000001</v>
      </c>
      <c r="DP27" s="28">
        <f>Proforma!DP12</f>
        <v>106266.2968</v>
      </c>
      <c r="DQ27" s="28">
        <f>Proforma!DQ12</f>
        <v>106266.2968</v>
      </c>
      <c r="DR27" s="28">
        <f>Proforma!DR12</f>
        <v>104767.38400000001</v>
      </c>
      <c r="DS27" s="28">
        <f>Proforma!DS12</f>
        <v>106266.2968</v>
      </c>
      <c r="DT27" s="28">
        <f>Proforma!DT12</f>
        <v>104767.38400000001</v>
      </c>
      <c r="DU27" s="28">
        <f>Proforma!DU12</f>
        <v>106266.2968</v>
      </c>
      <c r="DV27" s="28">
        <f>Proforma!DV12</f>
        <v>106266.2968</v>
      </c>
      <c r="DW27" s="28">
        <f>Proforma!DW12</f>
        <v>101769.55839999999</v>
      </c>
      <c r="DX27" s="28">
        <f>Proforma!DX12</f>
        <v>106266.2968</v>
      </c>
      <c r="DY27" s="28">
        <f>Proforma!DY12</f>
        <v>104767.38400000001</v>
      </c>
      <c r="DZ27" s="28">
        <f>Proforma!DZ12</f>
        <v>106266.2968</v>
      </c>
      <c r="EA27" s="28">
        <f>Proforma!EA12</f>
        <v>104767.38400000001</v>
      </c>
      <c r="EB27" s="28">
        <f>Proforma!EB12</f>
        <v>106266.2968</v>
      </c>
      <c r="EC27" s="28">
        <f>Proforma!EC12</f>
        <v>106266.2968</v>
      </c>
      <c r="ED27" s="28">
        <f>Proforma!ED12</f>
        <v>104767.38400000001</v>
      </c>
      <c r="EE27" s="28">
        <f>Proforma!EE12</f>
        <v>106266.2968</v>
      </c>
      <c r="EF27" s="28">
        <f>Proforma!EF12</f>
        <v>104767.38400000001</v>
      </c>
      <c r="EG27" s="28">
        <f>Proforma!EG12</f>
        <v>106266.2968</v>
      </c>
      <c r="EH27" s="28">
        <f>Proforma!EH12</f>
        <v>106266.2968</v>
      </c>
      <c r="EI27" s="28">
        <f>Proforma!EI12</f>
        <v>101769.55839999999</v>
      </c>
      <c r="EJ27" s="28">
        <f>Proforma!EJ12</f>
        <v>106266.2968</v>
      </c>
      <c r="EK27" s="28">
        <f>Proforma!EK12</f>
        <v>104767.38400000001</v>
      </c>
      <c r="EL27" s="28">
        <f>Proforma!EL12</f>
        <v>106266.2968</v>
      </c>
      <c r="EM27" s="28">
        <f>Proforma!EM12</f>
        <v>104767.38400000001</v>
      </c>
      <c r="EN27" s="28">
        <f>Proforma!EN12</f>
        <v>106266.2968</v>
      </c>
      <c r="EO27" s="28">
        <f>Proforma!EO12</f>
        <v>106266.2968</v>
      </c>
      <c r="EP27" s="28">
        <f>Proforma!EP12</f>
        <v>104767.38400000001</v>
      </c>
      <c r="EQ27" s="28">
        <f>Proforma!EQ12</f>
        <v>106266.2968</v>
      </c>
      <c r="ER27" s="28">
        <f>Proforma!ER12</f>
        <v>104767.38400000001</v>
      </c>
      <c r="ES27" s="28">
        <f>Proforma!ES12</f>
        <v>106266.2968</v>
      </c>
      <c r="ET27" s="28">
        <f>Proforma!ET12</f>
        <v>106266.2968</v>
      </c>
      <c r="EU27" s="28">
        <f>Proforma!EU12</f>
        <v>101769.55839999999</v>
      </c>
      <c r="EV27" s="28">
        <f>Proforma!EV12</f>
        <v>106266.2968</v>
      </c>
      <c r="EW27" s="28">
        <f>Proforma!EW12</f>
        <v>104767.38400000001</v>
      </c>
      <c r="EX27" s="28">
        <f>Proforma!EX12</f>
        <v>106266.2968</v>
      </c>
      <c r="EY27" s="28">
        <f>Proforma!EY12</f>
        <v>104767.38400000001</v>
      </c>
      <c r="EZ27" s="28">
        <f>Proforma!EZ12</f>
        <v>106266.2968</v>
      </c>
      <c r="FA27" s="28">
        <f>Proforma!FA12</f>
        <v>106266.2968</v>
      </c>
      <c r="FB27" s="28">
        <f>Proforma!FB12</f>
        <v>104767.38400000001</v>
      </c>
      <c r="FC27" s="28">
        <f>Proforma!FC12</f>
        <v>106266.2968</v>
      </c>
      <c r="FD27" s="28">
        <f>Proforma!FD12</f>
        <v>104767.38400000001</v>
      </c>
      <c r="FE27" s="28">
        <f>Proforma!FE12</f>
        <v>106266.2968</v>
      </c>
      <c r="FF27" s="28">
        <f>Proforma!FF12</f>
        <v>106266.2968</v>
      </c>
      <c r="FG27" s="28">
        <f>Proforma!FG12</f>
        <v>101769.55839999999</v>
      </c>
      <c r="FH27" s="28">
        <f>Proforma!FH12</f>
        <v>106266.2968</v>
      </c>
      <c r="FI27" s="28">
        <f>Proforma!FI12</f>
        <v>104767.38400000001</v>
      </c>
      <c r="FJ27" s="28">
        <f>Proforma!FJ12</f>
        <v>106266.2968</v>
      </c>
      <c r="FK27" s="28">
        <f>Proforma!FK12</f>
        <v>104767.38400000001</v>
      </c>
      <c r="FL27" s="28">
        <f>Proforma!FL12</f>
        <v>106266.2968</v>
      </c>
      <c r="FM27" s="28">
        <f>Proforma!FM12</f>
        <v>106266.2968</v>
      </c>
      <c r="FN27" s="28">
        <f>Proforma!FN12</f>
        <v>104767.38400000001</v>
      </c>
      <c r="FO27" s="28">
        <f>Proforma!FO12</f>
        <v>106266.2968</v>
      </c>
      <c r="FP27" s="28">
        <f>Proforma!FP12</f>
        <v>104767.38400000001</v>
      </c>
      <c r="FQ27" s="28">
        <f>Proforma!FQ12</f>
        <v>106266.2968</v>
      </c>
      <c r="FR27" s="28">
        <f>Proforma!FR12</f>
        <v>106266.2968</v>
      </c>
      <c r="FS27" s="28">
        <f>Proforma!FS12</f>
        <v>101769.55839999999</v>
      </c>
      <c r="FT27" s="28">
        <f>Proforma!FT12</f>
        <v>106266.2968</v>
      </c>
      <c r="FU27" s="28">
        <f>Proforma!FU12</f>
        <v>104767.38400000001</v>
      </c>
      <c r="FV27" s="28">
        <f>Proforma!FV12</f>
        <v>106266.2968</v>
      </c>
      <c r="FW27" s="28">
        <f>Proforma!FW12</f>
        <v>104767.38400000001</v>
      </c>
      <c r="FX27" s="28">
        <f>Proforma!FX12</f>
        <v>106266.2968</v>
      </c>
      <c r="FY27" s="28">
        <f>Proforma!FY12</f>
        <v>106266.2968</v>
      </c>
      <c r="FZ27" s="28">
        <f>Proforma!FZ12</f>
        <v>104767.38400000001</v>
      </c>
      <c r="GA27" s="28">
        <f>Proforma!GA12</f>
        <v>106266.2968</v>
      </c>
      <c r="GB27" s="28">
        <f>Proforma!GB12</f>
        <v>104767.38400000001</v>
      </c>
      <c r="GC27" s="28">
        <f>Proforma!GC12</f>
        <v>106266.2968</v>
      </c>
    </row>
    <row r="28" spans="1:185">
      <c r="A28" s="6"/>
      <c r="B28" t="s">
        <v>502</v>
      </c>
      <c r="C28" t="s">
        <v>42</v>
      </c>
      <c r="E28" s="25">
        <f t="shared" si="273"/>
        <v>15843456.575999999</v>
      </c>
      <c r="F28" s="28">
        <f>Proforma!F13</f>
        <v>6697158.3253333326</v>
      </c>
      <c r="G28" s="28">
        <f>Proforma!G13</f>
        <v>3337788.9173333328</v>
      </c>
      <c r="H28" s="28">
        <f>Proforma!H13</f>
        <v>3077158.3253333331</v>
      </c>
      <c r="I28" s="28">
        <f>Proforma!I13</f>
        <v>735585.85600000003</v>
      </c>
      <c r="J28" s="28">
        <f>Proforma!J13</f>
        <v>398442.91200000001</v>
      </c>
      <c r="K28" s="28">
        <f>Proforma!K13</f>
        <v>553103.08266666671</v>
      </c>
      <c r="L28" s="28">
        <f>Proforma!L13</f>
        <v>510109.5786666667</v>
      </c>
      <c r="M28" s="28">
        <f>Proforma!M13</f>
        <v>510109.5786666667</v>
      </c>
      <c r="N28" s="28">
        <f>Proforma!N13</f>
        <v>6000</v>
      </c>
      <c r="O28" s="28">
        <f>Proforma!O13</f>
        <v>6000</v>
      </c>
      <c r="P28" s="28">
        <f>Proforma!P13</f>
        <v>6000</v>
      </c>
      <c r="Q28" s="28">
        <f>Proforma!Q13</f>
        <v>6000</v>
      </c>
      <c r="R28" s="28">
        <f>Proforma!R13</f>
        <v>0</v>
      </c>
      <c r="S28" s="28">
        <f>Proforma!S13</f>
        <v>0</v>
      </c>
      <c r="T28" s="28">
        <f>Proforma!T13</f>
        <v>0</v>
      </c>
      <c r="U28" s="28">
        <f>Proforma!U13</f>
        <v>0</v>
      </c>
      <c r="V28" s="28">
        <f>Proforma!V13</f>
        <v>0</v>
      </c>
      <c r="W28" s="28">
        <f>Proforma!W13</f>
        <v>0</v>
      </c>
      <c r="X28" s="28">
        <f>Proforma!X13</f>
        <v>0</v>
      </c>
      <c r="Y28" s="28">
        <f>Proforma!Y13</f>
        <v>0</v>
      </c>
      <c r="Z28" s="28">
        <f>Proforma!Z13</f>
        <v>0</v>
      </c>
      <c r="AA28" s="28">
        <f>Proforma!AA13</f>
        <v>0</v>
      </c>
      <c r="AB28" s="28">
        <f>Proforma!AB13</f>
        <v>0</v>
      </c>
      <c r="AC28" s="28">
        <f>Proforma!AC13</f>
        <v>0</v>
      </c>
      <c r="AD28" s="28">
        <f>Proforma!AD13</f>
        <v>0</v>
      </c>
      <c r="AE28" s="28">
        <f>Proforma!AE13</f>
        <v>0</v>
      </c>
      <c r="AF28" s="28">
        <f>Proforma!AF13</f>
        <v>0</v>
      </c>
      <c r="AG28" s="28">
        <f>Proforma!AG13</f>
        <v>0</v>
      </c>
      <c r="AH28" s="28">
        <f>Proforma!AH13</f>
        <v>0</v>
      </c>
      <c r="AI28" s="28">
        <f>Proforma!AI13</f>
        <v>0</v>
      </c>
      <c r="AJ28" s="28">
        <f>Proforma!AJ13</f>
        <v>0</v>
      </c>
      <c r="AK28" s="28">
        <f>Proforma!AK13</f>
        <v>0</v>
      </c>
      <c r="AL28" s="28">
        <f>Proforma!AL13</f>
        <v>0</v>
      </c>
      <c r="AM28" s="28">
        <f>Proforma!AM13</f>
        <v>0</v>
      </c>
      <c r="AN28" s="28">
        <f>Proforma!AN13</f>
        <v>0</v>
      </c>
      <c r="AO28" s="28">
        <f>Proforma!AO13</f>
        <v>0</v>
      </c>
      <c r="AP28" s="28">
        <f>Proforma!AP13</f>
        <v>0</v>
      </c>
      <c r="AQ28" s="28">
        <f>Proforma!AQ13</f>
        <v>0</v>
      </c>
      <c r="AR28" s="28">
        <f>Proforma!AR13</f>
        <v>0</v>
      </c>
      <c r="AS28" s="28">
        <f>Proforma!AS13</f>
        <v>0</v>
      </c>
      <c r="AT28" s="28">
        <f>Proforma!AT13</f>
        <v>0</v>
      </c>
      <c r="AU28" s="28">
        <f>Proforma!AU13</f>
        <v>0</v>
      </c>
      <c r="AV28" s="28">
        <f>Proforma!AV13</f>
        <v>0</v>
      </c>
      <c r="AW28" s="28">
        <f>Proforma!AW13</f>
        <v>0</v>
      </c>
      <c r="AX28" s="28">
        <f>Proforma!AX13</f>
        <v>0</v>
      </c>
      <c r="AY28" s="28">
        <f>Proforma!AY13</f>
        <v>0</v>
      </c>
      <c r="AZ28" s="28">
        <f>Proforma!AZ13</f>
        <v>0</v>
      </c>
      <c r="BA28" s="28">
        <f>Proforma!BA13</f>
        <v>0</v>
      </c>
      <c r="BB28" s="28">
        <f>Proforma!BB13</f>
        <v>0</v>
      </c>
      <c r="BC28" s="28">
        <f>Proforma!BC13</f>
        <v>0</v>
      </c>
      <c r="BD28" s="28">
        <f>Proforma!BD13</f>
        <v>0</v>
      </c>
      <c r="BE28" s="28">
        <f>Proforma!BE13</f>
        <v>0</v>
      </c>
      <c r="BF28" s="28">
        <f>Proforma!BF13</f>
        <v>0</v>
      </c>
      <c r="BG28" s="28">
        <f>Proforma!BG13</f>
        <v>0</v>
      </c>
      <c r="BH28" s="28">
        <f>Proforma!BH13</f>
        <v>0</v>
      </c>
      <c r="BI28" s="28">
        <f>Proforma!BI13</f>
        <v>0</v>
      </c>
      <c r="BJ28" s="28">
        <f>Proforma!BJ13</f>
        <v>0</v>
      </c>
      <c r="BK28" s="28">
        <f>Proforma!BK13</f>
        <v>0</v>
      </c>
      <c r="BL28" s="28">
        <f>Proforma!BL13</f>
        <v>0</v>
      </c>
      <c r="BM28" s="28">
        <f>Proforma!BM13</f>
        <v>0</v>
      </c>
      <c r="BN28" s="28">
        <f>Proforma!BN13</f>
        <v>0</v>
      </c>
      <c r="BO28" s="28">
        <f>Proforma!BO13</f>
        <v>0</v>
      </c>
      <c r="BP28" s="28">
        <f>Proforma!BP13</f>
        <v>0</v>
      </c>
      <c r="BQ28" s="28">
        <f>Proforma!BQ13</f>
        <v>0</v>
      </c>
      <c r="BR28" s="28">
        <f>Proforma!BR13</f>
        <v>0</v>
      </c>
      <c r="BS28" s="28">
        <f>Proforma!BS13</f>
        <v>0</v>
      </c>
      <c r="BT28" s="28">
        <f>Proforma!BT13</f>
        <v>0</v>
      </c>
      <c r="BU28" s="28">
        <f>Proforma!BU13</f>
        <v>0</v>
      </c>
      <c r="BV28" s="28">
        <f>Proforma!BV13</f>
        <v>0</v>
      </c>
      <c r="BW28" s="28">
        <f>Proforma!BW13</f>
        <v>0</v>
      </c>
      <c r="BX28" s="28">
        <f>Proforma!BX13</f>
        <v>0</v>
      </c>
      <c r="BY28" s="28">
        <f>Proforma!BY13</f>
        <v>0</v>
      </c>
      <c r="BZ28" s="28">
        <f>Proforma!BZ13</f>
        <v>0</v>
      </c>
      <c r="CA28" s="28">
        <f>Proforma!CA13</f>
        <v>0</v>
      </c>
      <c r="CB28" s="28">
        <f>Proforma!CB13</f>
        <v>0</v>
      </c>
      <c r="CC28" s="28">
        <f>Proforma!CC13</f>
        <v>0</v>
      </c>
      <c r="CD28" s="28">
        <f>Proforma!CD13</f>
        <v>0</v>
      </c>
      <c r="CE28" s="28">
        <f>Proforma!CE13</f>
        <v>0</v>
      </c>
      <c r="CF28" s="28">
        <f>Proforma!CF13</f>
        <v>0</v>
      </c>
      <c r="CG28" s="28">
        <f>Proforma!CG13</f>
        <v>0</v>
      </c>
      <c r="CH28" s="28">
        <f>Proforma!CH13</f>
        <v>0</v>
      </c>
      <c r="CI28" s="28">
        <f>Proforma!CI13</f>
        <v>0</v>
      </c>
      <c r="CJ28" s="28">
        <f>Proforma!CJ13</f>
        <v>0</v>
      </c>
      <c r="CK28" s="28">
        <f>Proforma!CK13</f>
        <v>0</v>
      </c>
      <c r="CL28" s="28">
        <f>Proforma!CL13</f>
        <v>0</v>
      </c>
      <c r="CM28" s="28">
        <f>Proforma!CM13</f>
        <v>0</v>
      </c>
      <c r="CN28" s="28">
        <f>Proforma!CN13</f>
        <v>0</v>
      </c>
      <c r="CO28" s="28">
        <f>Proforma!CO13</f>
        <v>0</v>
      </c>
      <c r="CP28" s="28">
        <f>Proforma!CP13</f>
        <v>0</v>
      </c>
      <c r="CQ28" s="28">
        <f>Proforma!CQ13</f>
        <v>0</v>
      </c>
      <c r="CR28" s="28">
        <f>Proforma!CR13</f>
        <v>0</v>
      </c>
      <c r="CS28" s="28">
        <f>Proforma!CS13</f>
        <v>0</v>
      </c>
      <c r="CT28" s="28">
        <f>Proforma!CT13</f>
        <v>0</v>
      </c>
      <c r="CU28" s="28">
        <f>Proforma!CU13</f>
        <v>0</v>
      </c>
      <c r="CV28" s="28">
        <f>Proforma!CV13</f>
        <v>0</v>
      </c>
      <c r="CW28" s="28">
        <f>Proforma!CW13</f>
        <v>0</v>
      </c>
      <c r="CX28" s="28">
        <f>Proforma!CX13</f>
        <v>0</v>
      </c>
      <c r="CY28" s="28">
        <f>Proforma!CY13</f>
        <v>0</v>
      </c>
      <c r="CZ28" s="28">
        <f>Proforma!CZ13</f>
        <v>0</v>
      </c>
      <c r="DA28" s="28">
        <f>Proforma!DA13</f>
        <v>0</v>
      </c>
      <c r="DB28" s="28">
        <f>Proforma!DB13</f>
        <v>0</v>
      </c>
      <c r="DC28" s="28">
        <f>Proforma!DC13</f>
        <v>0</v>
      </c>
      <c r="DD28" s="28">
        <f>Proforma!DD13</f>
        <v>0</v>
      </c>
      <c r="DE28" s="28">
        <f>Proforma!DE13</f>
        <v>0</v>
      </c>
      <c r="DF28" s="28">
        <f>Proforma!DF13</f>
        <v>0</v>
      </c>
      <c r="DG28" s="28">
        <f>Proforma!DG13</f>
        <v>0</v>
      </c>
      <c r="DH28" s="28">
        <f>Proforma!DH13</f>
        <v>0</v>
      </c>
      <c r="DI28" s="28">
        <f>Proforma!DI13</f>
        <v>0</v>
      </c>
      <c r="DJ28" s="28">
        <f>Proforma!DJ13</f>
        <v>0</v>
      </c>
      <c r="DK28" s="28">
        <f>Proforma!DK13</f>
        <v>0</v>
      </c>
      <c r="DL28" s="28">
        <f>Proforma!DL13</f>
        <v>0</v>
      </c>
      <c r="DM28" s="28">
        <f>Proforma!DM13</f>
        <v>0</v>
      </c>
      <c r="DN28" s="28">
        <f>Proforma!DN13</f>
        <v>0</v>
      </c>
      <c r="DO28" s="28">
        <f>Proforma!DO13</f>
        <v>0</v>
      </c>
      <c r="DP28" s="28">
        <f>Proforma!DP13</f>
        <v>0</v>
      </c>
      <c r="DQ28" s="28">
        <f>Proforma!DQ13</f>
        <v>0</v>
      </c>
      <c r="DR28" s="28">
        <f>Proforma!DR13</f>
        <v>0</v>
      </c>
      <c r="DS28" s="28">
        <f>Proforma!DS13</f>
        <v>0</v>
      </c>
      <c r="DT28" s="28">
        <f>Proforma!DT13</f>
        <v>0</v>
      </c>
      <c r="DU28" s="28">
        <f>Proforma!DU13</f>
        <v>0</v>
      </c>
      <c r="DV28" s="28">
        <f>Proforma!DV13</f>
        <v>0</v>
      </c>
      <c r="DW28" s="28">
        <f>Proforma!DW13</f>
        <v>0</v>
      </c>
      <c r="DX28" s="28">
        <f>Proforma!DX13</f>
        <v>0</v>
      </c>
      <c r="DY28" s="28">
        <f>Proforma!DY13</f>
        <v>0</v>
      </c>
      <c r="DZ28" s="28">
        <f>Proforma!DZ13</f>
        <v>0</v>
      </c>
      <c r="EA28" s="28">
        <f>Proforma!EA13</f>
        <v>0</v>
      </c>
      <c r="EB28" s="28">
        <f>Proforma!EB13</f>
        <v>0</v>
      </c>
      <c r="EC28" s="28">
        <f>Proforma!EC13</f>
        <v>0</v>
      </c>
      <c r="ED28" s="28">
        <f>Proforma!ED13</f>
        <v>0</v>
      </c>
      <c r="EE28" s="28">
        <f>Proforma!EE13</f>
        <v>0</v>
      </c>
      <c r="EF28" s="28">
        <f>Proforma!EF13</f>
        <v>0</v>
      </c>
      <c r="EG28" s="28">
        <f>Proforma!EG13</f>
        <v>0</v>
      </c>
      <c r="EH28" s="28">
        <f>Proforma!EH13</f>
        <v>0</v>
      </c>
      <c r="EI28" s="28">
        <f>Proforma!EI13</f>
        <v>0</v>
      </c>
      <c r="EJ28" s="28">
        <f>Proforma!EJ13</f>
        <v>0</v>
      </c>
      <c r="EK28" s="28">
        <f>Proforma!EK13</f>
        <v>0</v>
      </c>
      <c r="EL28" s="28">
        <f>Proforma!EL13</f>
        <v>0</v>
      </c>
      <c r="EM28" s="28">
        <f>Proforma!EM13</f>
        <v>0</v>
      </c>
      <c r="EN28" s="28">
        <f>Proforma!EN13</f>
        <v>0</v>
      </c>
      <c r="EO28" s="28">
        <f>Proforma!EO13</f>
        <v>0</v>
      </c>
      <c r="EP28" s="28">
        <f>Proforma!EP13</f>
        <v>0</v>
      </c>
      <c r="EQ28" s="28">
        <f>Proforma!EQ13</f>
        <v>0</v>
      </c>
      <c r="ER28" s="28">
        <f>Proforma!ER13</f>
        <v>0</v>
      </c>
      <c r="ES28" s="28">
        <f>Proforma!ES13</f>
        <v>0</v>
      </c>
      <c r="ET28" s="28">
        <f>Proforma!ET13</f>
        <v>0</v>
      </c>
      <c r="EU28" s="28">
        <f>Proforma!EU13</f>
        <v>0</v>
      </c>
      <c r="EV28" s="28">
        <f>Proforma!EV13</f>
        <v>0</v>
      </c>
      <c r="EW28" s="28">
        <f>Proforma!EW13</f>
        <v>0</v>
      </c>
      <c r="EX28" s="28">
        <f>Proforma!EX13</f>
        <v>0</v>
      </c>
      <c r="EY28" s="28">
        <f>Proforma!EY13</f>
        <v>0</v>
      </c>
      <c r="EZ28" s="28">
        <f>Proforma!EZ13</f>
        <v>0</v>
      </c>
      <c r="FA28" s="28">
        <f>Proforma!FA13</f>
        <v>0</v>
      </c>
      <c r="FB28" s="28">
        <f>Proforma!FB13</f>
        <v>0</v>
      </c>
      <c r="FC28" s="28">
        <f>Proforma!FC13</f>
        <v>0</v>
      </c>
      <c r="FD28" s="28">
        <f>Proforma!FD13</f>
        <v>0</v>
      </c>
      <c r="FE28" s="28">
        <f>Proforma!FE13</f>
        <v>0</v>
      </c>
      <c r="FF28" s="28">
        <f>Proforma!FF13</f>
        <v>0</v>
      </c>
      <c r="FG28" s="28">
        <f>Proforma!FG13</f>
        <v>0</v>
      </c>
      <c r="FH28" s="28">
        <f>Proforma!FH13</f>
        <v>0</v>
      </c>
      <c r="FI28" s="28">
        <f>Proforma!FI13</f>
        <v>0</v>
      </c>
      <c r="FJ28" s="28">
        <f>Proforma!FJ13</f>
        <v>0</v>
      </c>
      <c r="FK28" s="28">
        <f>Proforma!FK13</f>
        <v>0</v>
      </c>
      <c r="FL28" s="28">
        <f>Proforma!FL13</f>
        <v>0</v>
      </c>
      <c r="FM28" s="28">
        <f>Proforma!FM13</f>
        <v>0</v>
      </c>
      <c r="FN28" s="28">
        <f>Proforma!FN13</f>
        <v>0</v>
      </c>
      <c r="FO28" s="28">
        <f>Proforma!FO13</f>
        <v>0</v>
      </c>
      <c r="FP28" s="28">
        <f>Proforma!FP13</f>
        <v>0</v>
      </c>
      <c r="FQ28" s="28">
        <f>Proforma!FQ13</f>
        <v>0</v>
      </c>
      <c r="FR28" s="28">
        <f>Proforma!FR13</f>
        <v>0</v>
      </c>
      <c r="FS28" s="28">
        <f>Proforma!FS13</f>
        <v>0</v>
      </c>
      <c r="FT28" s="28">
        <f>Proforma!FT13</f>
        <v>0</v>
      </c>
      <c r="FU28" s="28">
        <f>Proforma!FU13</f>
        <v>0</v>
      </c>
      <c r="FV28" s="28">
        <f>Proforma!FV13</f>
        <v>0</v>
      </c>
      <c r="FW28" s="28">
        <f>Proforma!FW13</f>
        <v>0</v>
      </c>
      <c r="FX28" s="28">
        <f>Proforma!FX13</f>
        <v>0</v>
      </c>
      <c r="FY28" s="28">
        <f>Proforma!FY13</f>
        <v>0</v>
      </c>
      <c r="FZ28" s="28">
        <f>Proforma!FZ13</f>
        <v>0</v>
      </c>
      <c r="GA28" s="28">
        <f>Proforma!GA13</f>
        <v>0</v>
      </c>
      <c r="GB28" s="28">
        <f>Proforma!GB13</f>
        <v>0</v>
      </c>
      <c r="GC28" s="28">
        <f>Proforma!GC13</f>
        <v>0</v>
      </c>
    </row>
    <row r="29" spans="1:185">
      <c r="A29" s="6"/>
      <c r="B29" t="s">
        <v>62</v>
      </c>
      <c r="C29" t="s">
        <v>73</v>
      </c>
      <c r="E29" s="25">
        <f t="shared" si="273"/>
        <v>0</v>
      </c>
      <c r="F29" s="28">
        <f>Proforma!F14</f>
        <v>0</v>
      </c>
      <c r="G29" s="28">
        <f>Proforma!G14</f>
        <v>0</v>
      </c>
      <c r="H29" s="28">
        <f>Proforma!H14</f>
        <v>0</v>
      </c>
      <c r="I29" s="28">
        <f>Proforma!I14</f>
        <v>0</v>
      </c>
      <c r="J29" s="28">
        <f>Proforma!J14</f>
        <v>0</v>
      </c>
      <c r="K29" s="28">
        <f>Proforma!K14</f>
        <v>0</v>
      </c>
      <c r="L29" s="28">
        <f>Proforma!L14</f>
        <v>0</v>
      </c>
      <c r="M29" s="28">
        <f>Proforma!M14</f>
        <v>0</v>
      </c>
      <c r="N29" s="28">
        <f>Proforma!N14</f>
        <v>0</v>
      </c>
      <c r="O29" s="28">
        <f>Proforma!O14</f>
        <v>0</v>
      </c>
      <c r="P29" s="28">
        <f>Proforma!P14</f>
        <v>0</v>
      </c>
      <c r="Q29" s="28">
        <f>Proforma!Q14</f>
        <v>0</v>
      </c>
      <c r="R29" s="28">
        <f>Proforma!R14</f>
        <v>0</v>
      </c>
      <c r="S29" s="28">
        <f>Proforma!S14</f>
        <v>0</v>
      </c>
      <c r="T29" s="28">
        <f>Proforma!T14</f>
        <v>0</v>
      </c>
      <c r="U29" s="28">
        <f>Proforma!U14</f>
        <v>0</v>
      </c>
      <c r="V29" s="28">
        <f>Proforma!V14</f>
        <v>0</v>
      </c>
      <c r="W29" s="28">
        <f>Proforma!W14</f>
        <v>0</v>
      </c>
      <c r="X29" s="28">
        <f>Proforma!X14</f>
        <v>0</v>
      </c>
      <c r="Y29" s="28">
        <f>Proforma!Y14</f>
        <v>0</v>
      </c>
      <c r="Z29" s="28">
        <f>Proforma!Z14</f>
        <v>0</v>
      </c>
      <c r="AA29" s="28">
        <f>Proforma!AA14</f>
        <v>0</v>
      </c>
      <c r="AB29" s="28">
        <f>Proforma!AB14</f>
        <v>0</v>
      </c>
      <c r="AC29" s="28">
        <f>Proforma!AC14</f>
        <v>0</v>
      </c>
      <c r="AD29" s="28">
        <f>Proforma!AD14</f>
        <v>0</v>
      </c>
      <c r="AE29" s="28">
        <f>Proforma!AE14</f>
        <v>0</v>
      </c>
      <c r="AF29" s="28">
        <f>Proforma!AF14</f>
        <v>0</v>
      </c>
      <c r="AG29" s="28">
        <f>Proforma!AG14</f>
        <v>0</v>
      </c>
      <c r="AH29" s="28">
        <f>Proforma!AH14</f>
        <v>0</v>
      </c>
      <c r="AI29" s="28">
        <f>Proforma!AI14</f>
        <v>0</v>
      </c>
      <c r="AJ29" s="28">
        <f>Proforma!AJ14</f>
        <v>0</v>
      </c>
      <c r="AK29" s="28">
        <f>Proforma!AK14</f>
        <v>0</v>
      </c>
      <c r="AL29" s="28">
        <f>Proforma!AL14</f>
        <v>0</v>
      </c>
      <c r="AM29" s="28">
        <f>Proforma!AM14</f>
        <v>0</v>
      </c>
      <c r="AN29" s="28">
        <f>Proforma!AN14</f>
        <v>0</v>
      </c>
      <c r="AO29" s="28">
        <f>Proforma!AO14</f>
        <v>0</v>
      </c>
      <c r="AP29" s="28">
        <f>Proforma!AP14</f>
        <v>0</v>
      </c>
      <c r="AQ29" s="28">
        <f>Proforma!AQ14</f>
        <v>0</v>
      </c>
      <c r="AR29" s="28">
        <f>Proforma!AR14</f>
        <v>0</v>
      </c>
      <c r="AS29" s="28">
        <f>Proforma!AS14</f>
        <v>0</v>
      </c>
      <c r="AT29" s="28">
        <f>Proforma!AT14</f>
        <v>0</v>
      </c>
      <c r="AU29" s="28">
        <f>Proforma!AU14</f>
        <v>0</v>
      </c>
      <c r="AV29" s="28">
        <f>Proforma!AV14</f>
        <v>0</v>
      </c>
      <c r="AW29" s="28">
        <f>Proforma!AW14</f>
        <v>0</v>
      </c>
      <c r="AX29" s="28">
        <f>Proforma!AX14</f>
        <v>0</v>
      </c>
      <c r="AY29" s="28">
        <f>Proforma!AY14</f>
        <v>0</v>
      </c>
      <c r="AZ29" s="28">
        <f>Proforma!AZ14</f>
        <v>0</v>
      </c>
      <c r="BA29" s="28">
        <f>Proforma!BA14</f>
        <v>0</v>
      </c>
      <c r="BB29" s="28">
        <f>Proforma!BB14</f>
        <v>0</v>
      </c>
      <c r="BC29" s="28">
        <f>Proforma!BC14</f>
        <v>0</v>
      </c>
      <c r="BD29" s="28">
        <f>Proforma!BD14</f>
        <v>0</v>
      </c>
      <c r="BE29" s="28">
        <f>Proforma!BE14</f>
        <v>0</v>
      </c>
      <c r="BF29" s="28">
        <f>Proforma!BF14</f>
        <v>0</v>
      </c>
      <c r="BG29" s="28">
        <f>Proforma!BG14</f>
        <v>0</v>
      </c>
      <c r="BH29" s="28">
        <f>Proforma!BH14</f>
        <v>0</v>
      </c>
      <c r="BI29" s="28">
        <f>Proforma!BI14</f>
        <v>0</v>
      </c>
      <c r="BJ29" s="28">
        <f>Proforma!BJ14</f>
        <v>0</v>
      </c>
      <c r="BK29" s="28">
        <f>Proforma!BK14</f>
        <v>0</v>
      </c>
      <c r="BL29" s="28">
        <f>Proforma!BL14</f>
        <v>0</v>
      </c>
      <c r="BM29" s="28">
        <f>Proforma!BM14</f>
        <v>0</v>
      </c>
      <c r="BN29" s="28">
        <f>Proforma!BN14</f>
        <v>0</v>
      </c>
      <c r="BO29" s="28">
        <f>Proforma!BO14</f>
        <v>0</v>
      </c>
      <c r="BP29" s="28">
        <f>Proforma!BP14</f>
        <v>0</v>
      </c>
      <c r="BQ29" s="28">
        <f>Proforma!BQ14</f>
        <v>0</v>
      </c>
      <c r="BR29" s="28">
        <f>Proforma!BR14</f>
        <v>0</v>
      </c>
      <c r="BS29" s="28">
        <f>Proforma!BS14</f>
        <v>0</v>
      </c>
      <c r="BT29" s="28">
        <f>Proforma!BT14</f>
        <v>0</v>
      </c>
      <c r="BU29" s="28">
        <f>Proforma!BU14</f>
        <v>0</v>
      </c>
      <c r="BV29" s="28">
        <f>Proforma!BV14</f>
        <v>0</v>
      </c>
      <c r="BW29" s="28">
        <f>Proforma!BW14</f>
        <v>0</v>
      </c>
      <c r="BX29" s="28">
        <f>Proforma!BX14</f>
        <v>0</v>
      </c>
      <c r="BY29" s="28">
        <f>Proforma!BY14</f>
        <v>0</v>
      </c>
      <c r="BZ29" s="28">
        <f>Proforma!BZ14</f>
        <v>0</v>
      </c>
      <c r="CA29" s="28">
        <f>Proforma!CA14</f>
        <v>0</v>
      </c>
      <c r="CB29" s="28">
        <f>Proforma!CB14</f>
        <v>0</v>
      </c>
      <c r="CC29" s="28">
        <f>Proforma!CC14</f>
        <v>0</v>
      </c>
      <c r="CD29" s="28">
        <f>Proforma!CD14</f>
        <v>0</v>
      </c>
      <c r="CE29" s="28">
        <f>Proforma!CE14</f>
        <v>0</v>
      </c>
      <c r="CF29" s="28">
        <f>Proforma!CF14</f>
        <v>0</v>
      </c>
      <c r="CG29" s="28">
        <f>Proforma!CG14</f>
        <v>0</v>
      </c>
      <c r="CH29" s="28">
        <f>Proforma!CH14</f>
        <v>0</v>
      </c>
      <c r="CI29" s="28">
        <f>Proforma!CI14</f>
        <v>0</v>
      </c>
      <c r="CJ29" s="28">
        <f>Proforma!CJ14</f>
        <v>0</v>
      </c>
      <c r="CK29" s="28">
        <f>Proforma!CK14</f>
        <v>0</v>
      </c>
      <c r="CL29" s="28">
        <f>Proforma!CL14</f>
        <v>0</v>
      </c>
      <c r="CM29" s="28">
        <f>Proforma!CM14</f>
        <v>0</v>
      </c>
      <c r="CN29" s="28">
        <f>Proforma!CN14</f>
        <v>0</v>
      </c>
      <c r="CO29" s="28">
        <f>Proforma!CO14</f>
        <v>0</v>
      </c>
      <c r="CP29" s="28">
        <f>Proforma!CP14</f>
        <v>0</v>
      </c>
      <c r="CQ29" s="28">
        <f>Proforma!CQ14</f>
        <v>0</v>
      </c>
      <c r="CR29" s="28">
        <f>Proforma!CR14</f>
        <v>0</v>
      </c>
      <c r="CS29" s="28">
        <f>Proforma!CS14</f>
        <v>0</v>
      </c>
      <c r="CT29" s="28">
        <f>Proforma!CT14</f>
        <v>0</v>
      </c>
      <c r="CU29" s="28">
        <f>Proforma!CU14</f>
        <v>0</v>
      </c>
      <c r="CV29" s="28">
        <f>Proforma!CV14</f>
        <v>0</v>
      </c>
      <c r="CW29" s="28">
        <f>Proforma!CW14</f>
        <v>0</v>
      </c>
      <c r="CX29" s="28">
        <f>Proforma!CX14</f>
        <v>0</v>
      </c>
      <c r="CY29" s="28">
        <f>Proforma!CY14</f>
        <v>0</v>
      </c>
      <c r="CZ29" s="28">
        <f>Proforma!CZ14</f>
        <v>0</v>
      </c>
      <c r="DA29" s="28">
        <f>Proforma!DA14</f>
        <v>0</v>
      </c>
      <c r="DB29" s="28">
        <f>Proforma!DB14</f>
        <v>0</v>
      </c>
      <c r="DC29" s="28">
        <f>Proforma!DC14</f>
        <v>0</v>
      </c>
      <c r="DD29" s="28">
        <f>Proforma!DD14</f>
        <v>0</v>
      </c>
      <c r="DE29" s="28">
        <f>Proforma!DE14</f>
        <v>0</v>
      </c>
      <c r="DF29" s="28">
        <f>Proforma!DF14</f>
        <v>0</v>
      </c>
      <c r="DG29" s="28">
        <f>Proforma!DG14</f>
        <v>0</v>
      </c>
      <c r="DH29" s="28">
        <f>Proforma!DH14</f>
        <v>0</v>
      </c>
      <c r="DI29" s="28">
        <f>Proforma!DI14</f>
        <v>0</v>
      </c>
      <c r="DJ29" s="28">
        <f>Proforma!DJ14</f>
        <v>0</v>
      </c>
      <c r="DK29" s="28">
        <f>Proforma!DK14</f>
        <v>0</v>
      </c>
      <c r="DL29" s="28">
        <f>Proforma!DL14</f>
        <v>0</v>
      </c>
      <c r="DM29" s="28">
        <f>Proforma!DM14</f>
        <v>0</v>
      </c>
      <c r="DN29" s="28">
        <f>Proforma!DN14</f>
        <v>0</v>
      </c>
      <c r="DO29" s="28">
        <f>Proforma!DO14</f>
        <v>0</v>
      </c>
      <c r="DP29" s="28">
        <f>Proforma!DP14</f>
        <v>0</v>
      </c>
      <c r="DQ29" s="28">
        <f>Proforma!DQ14</f>
        <v>0</v>
      </c>
      <c r="DR29" s="28">
        <f>Proforma!DR14</f>
        <v>0</v>
      </c>
      <c r="DS29" s="28">
        <f>Proforma!DS14</f>
        <v>0</v>
      </c>
      <c r="DT29" s="28">
        <f>Proforma!DT14</f>
        <v>0</v>
      </c>
      <c r="DU29" s="28">
        <f>Proforma!DU14</f>
        <v>0</v>
      </c>
      <c r="DV29" s="28">
        <f>Proforma!DV14</f>
        <v>0</v>
      </c>
      <c r="DW29" s="28">
        <f>Proforma!DW14</f>
        <v>0</v>
      </c>
      <c r="DX29" s="28">
        <f>Proforma!DX14</f>
        <v>0</v>
      </c>
      <c r="DY29" s="28">
        <f>Proforma!DY14</f>
        <v>0</v>
      </c>
      <c r="DZ29" s="28">
        <f>Proforma!DZ14</f>
        <v>0</v>
      </c>
      <c r="EA29" s="28">
        <f>Proforma!EA14</f>
        <v>0</v>
      </c>
      <c r="EB29" s="28">
        <f>Proforma!EB14</f>
        <v>0</v>
      </c>
      <c r="EC29" s="28">
        <f>Proforma!EC14</f>
        <v>0</v>
      </c>
      <c r="ED29" s="28">
        <f>Proforma!ED14</f>
        <v>0</v>
      </c>
      <c r="EE29" s="28">
        <f>Proforma!EE14</f>
        <v>0</v>
      </c>
      <c r="EF29" s="28">
        <f>Proforma!EF14</f>
        <v>0</v>
      </c>
      <c r="EG29" s="28">
        <f>Proforma!EG14</f>
        <v>0</v>
      </c>
      <c r="EH29" s="28">
        <f>Proforma!EH14</f>
        <v>0</v>
      </c>
      <c r="EI29" s="28">
        <f>Proforma!EI14</f>
        <v>0</v>
      </c>
      <c r="EJ29" s="28">
        <f>Proforma!EJ14</f>
        <v>0</v>
      </c>
      <c r="EK29" s="28">
        <f>Proforma!EK14</f>
        <v>0</v>
      </c>
      <c r="EL29" s="28">
        <f>Proforma!EL14</f>
        <v>0</v>
      </c>
      <c r="EM29" s="28">
        <f>Proforma!EM14</f>
        <v>0</v>
      </c>
      <c r="EN29" s="28">
        <f>Proforma!EN14</f>
        <v>0</v>
      </c>
      <c r="EO29" s="28">
        <f>Proforma!EO14</f>
        <v>0</v>
      </c>
      <c r="EP29" s="28">
        <f>Proforma!EP14</f>
        <v>0</v>
      </c>
      <c r="EQ29" s="28">
        <f>Proforma!EQ14</f>
        <v>0</v>
      </c>
      <c r="ER29" s="28">
        <f>Proforma!ER14</f>
        <v>0</v>
      </c>
      <c r="ES29" s="28">
        <f>Proforma!ES14</f>
        <v>0</v>
      </c>
      <c r="ET29" s="28">
        <f>Proforma!ET14</f>
        <v>0</v>
      </c>
      <c r="EU29" s="28">
        <f>Proforma!EU14</f>
        <v>0</v>
      </c>
      <c r="EV29" s="28">
        <f>Proforma!EV14</f>
        <v>0</v>
      </c>
      <c r="EW29" s="28">
        <f>Proforma!EW14</f>
        <v>0</v>
      </c>
      <c r="EX29" s="28">
        <f>Proforma!EX14</f>
        <v>0</v>
      </c>
      <c r="EY29" s="28">
        <f>Proforma!EY14</f>
        <v>0</v>
      </c>
      <c r="EZ29" s="28">
        <f>Proforma!EZ14</f>
        <v>0</v>
      </c>
      <c r="FA29" s="28">
        <f>Proforma!FA14</f>
        <v>0</v>
      </c>
      <c r="FB29" s="28">
        <f>Proforma!FB14</f>
        <v>0</v>
      </c>
      <c r="FC29" s="28">
        <f>Proforma!FC14</f>
        <v>0</v>
      </c>
      <c r="FD29" s="28">
        <f>Proforma!FD14</f>
        <v>0</v>
      </c>
      <c r="FE29" s="28">
        <f>Proforma!FE14</f>
        <v>0</v>
      </c>
      <c r="FF29" s="28">
        <f>Proforma!FF14</f>
        <v>0</v>
      </c>
      <c r="FG29" s="28">
        <f>Proforma!FG14</f>
        <v>0</v>
      </c>
      <c r="FH29" s="28">
        <f>Proforma!FH14</f>
        <v>0</v>
      </c>
      <c r="FI29" s="28">
        <f>Proforma!FI14</f>
        <v>0</v>
      </c>
      <c r="FJ29" s="28">
        <f>Proforma!FJ14</f>
        <v>0</v>
      </c>
      <c r="FK29" s="28">
        <f>Proforma!FK14</f>
        <v>0</v>
      </c>
      <c r="FL29" s="28">
        <f>Proforma!FL14</f>
        <v>0</v>
      </c>
      <c r="FM29" s="28">
        <f>Proforma!FM14</f>
        <v>0</v>
      </c>
      <c r="FN29" s="28">
        <f>Proforma!FN14</f>
        <v>0</v>
      </c>
      <c r="FO29" s="28">
        <f>Proforma!FO14</f>
        <v>0</v>
      </c>
      <c r="FP29" s="28">
        <f>Proforma!FP14</f>
        <v>0</v>
      </c>
      <c r="FQ29" s="28">
        <f>Proforma!FQ14</f>
        <v>0</v>
      </c>
      <c r="FR29" s="28">
        <f>Proforma!FR14</f>
        <v>0</v>
      </c>
      <c r="FS29" s="28">
        <f>Proforma!FS14</f>
        <v>0</v>
      </c>
      <c r="FT29" s="28">
        <f>Proforma!FT14</f>
        <v>0</v>
      </c>
      <c r="FU29" s="28">
        <f>Proforma!FU14</f>
        <v>0</v>
      </c>
      <c r="FV29" s="28">
        <f>Proforma!FV14</f>
        <v>0</v>
      </c>
      <c r="FW29" s="28">
        <f>Proforma!FW14</f>
        <v>0</v>
      </c>
      <c r="FX29" s="28">
        <f>Proforma!FX14</f>
        <v>0</v>
      </c>
      <c r="FY29" s="28">
        <f>Proforma!FY14</f>
        <v>0</v>
      </c>
      <c r="FZ29" s="28">
        <f>Proforma!FZ14</f>
        <v>0</v>
      </c>
      <c r="GA29" s="28">
        <f>Proforma!GA14</f>
        <v>0</v>
      </c>
      <c r="GB29" s="28">
        <f>Proforma!GB14</f>
        <v>0</v>
      </c>
      <c r="GC29" s="28">
        <f>Proforma!GC14</f>
        <v>0</v>
      </c>
    </row>
    <row r="30" spans="1:185">
      <c r="A30" s="6"/>
      <c r="B30" t="s">
        <v>43</v>
      </c>
      <c r="C30" t="s">
        <v>44</v>
      </c>
      <c r="E30" s="25">
        <f t="shared" si="273"/>
        <v>4243665.2330666622</v>
      </c>
      <c r="F30" s="28">
        <f>Proforma!F15</f>
        <v>0</v>
      </c>
      <c r="G30" s="28">
        <f>Proforma!G15</f>
        <v>0</v>
      </c>
      <c r="H30" s="28">
        <f>Proforma!H15</f>
        <v>0</v>
      </c>
      <c r="I30" s="28">
        <f>Proforma!I15</f>
        <v>0</v>
      </c>
      <c r="J30" s="28">
        <f>Proforma!J15</f>
        <v>0</v>
      </c>
      <c r="K30" s="28">
        <f>Proforma!K15</f>
        <v>0</v>
      </c>
      <c r="L30" s="28">
        <f>Proforma!L15</f>
        <v>0</v>
      </c>
      <c r="M30" s="28">
        <f>Proforma!M15</f>
        <v>0</v>
      </c>
      <c r="N30" s="28">
        <f>Proforma!N15</f>
        <v>4685.8698666666633</v>
      </c>
      <c r="O30" s="28">
        <f>Proforma!O15</f>
        <v>4685.8698666666633</v>
      </c>
      <c r="P30" s="28">
        <f>Proforma!P15</f>
        <v>4685.8698666666633</v>
      </c>
      <c r="Q30" s="28">
        <f>Proforma!Q15</f>
        <v>4685.8698666666633</v>
      </c>
      <c r="R30" s="28">
        <f>Proforma!R15</f>
        <v>88019.203199999989</v>
      </c>
      <c r="S30" s="28">
        <f>Proforma!S15</f>
        <v>88019.203199999989</v>
      </c>
      <c r="T30" s="28">
        <f>Proforma!T15</f>
        <v>88019.203199999989</v>
      </c>
      <c r="U30" s="28">
        <f>Proforma!U15</f>
        <v>88019.203199999989</v>
      </c>
      <c r="V30" s="28">
        <f>Proforma!V15</f>
        <v>88019.203199999989</v>
      </c>
      <c r="W30" s="28">
        <f>Proforma!W15</f>
        <v>88019.203199999989</v>
      </c>
      <c r="X30" s="28">
        <f>Proforma!X15</f>
        <v>88019.203199999989</v>
      </c>
      <c r="Y30" s="28">
        <f>Proforma!Y15</f>
        <v>88019.203199999989</v>
      </c>
      <c r="Z30" s="28">
        <f>Proforma!Z15</f>
        <v>88019.203199999989</v>
      </c>
      <c r="AA30" s="28">
        <f>Proforma!AA15</f>
        <v>88019.203199999989</v>
      </c>
      <c r="AB30" s="28">
        <f>Proforma!AB15</f>
        <v>88019.203199999989</v>
      </c>
      <c r="AC30" s="28">
        <f>Proforma!AC15</f>
        <v>88019.203199999989</v>
      </c>
      <c r="AD30" s="28">
        <f>Proforma!AD15</f>
        <v>88019.203199999989</v>
      </c>
      <c r="AE30" s="28">
        <f>Proforma!AE15</f>
        <v>88019.203199999989</v>
      </c>
      <c r="AF30" s="28">
        <f>Proforma!AF15</f>
        <v>88019.203199999989</v>
      </c>
      <c r="AG30" s="28">
        <f>Proforma!AG15</f>
        <v>88019.203199999989</v>
      </c>
      <c r="AH30" s="28">
        <f>Proforma!AH15</f>
        <v>88019.203199999989</v>
      </c>
      <c r="AI30" s="28">
        <f>Proforma!AI15</f>
        <v>88019.203199999989</v>
      </c>
      <c r="AJ30" s="28">
        <f>Proforma!AJ15</f>
        <v>88019.203199999989</v>
      </c>
      <c r="AK30" s="28">
        <f>Proforma!AK15</f>
        <v>88019.203199999989</v>
      </c>
      <c r="AL30" s="28">
        <f>Proforma!AL15</f>
        <v>88019.203199999989</v>
      </c>
      <c r="AM30" s="28">
        <f>Proforma!AM15</f>
        <v>88019.203199999989</v>
      </c>
      <c r="AN30" s="28">
        <f>Proforma!AN15</f>
        <v>88019.203199999989</v>
      </c>
      <c r="AO30" s="28">
        <f>Proforma!AO15</f>
        <v>88019.203199999989</v>
      </c>
      <c r="AP30" s="28">
        <f>Proforma!AP15</f>
        <v>88019.203199999989</v>
      </c>
      <c r="AQ30" s="28">
        <f>Proforma!AQ15</f>
        <v>88019.203199999989</v>
      </c>
      <c r="AR30" s="28">
        <f>Proforma!AR15</f>
        <v>88019.203199999989</v>
      </c>
      <c r="AS30" s="28">
        <f>Proforma!AS15</f>
        <v>88019.203199999989</v>
      </c>
      <c r="AT30" s="28">
        <f>Proforma!AT15</f>
        <v>88019.203199999989</v>
      </c>
      <c r="AU30" s="28">
        <f>Proforma!AU15</f>
        <v>88019.203199999989</v>
      </c>
      <c r="AV30" s="28">
        <f>Proforma!AV15</f>
        <v>88019.203199999989</v>
      </c>
      <c r="AW30" s="28">
        <f>Proforma!AW15</f>
        <v>88019.203199999989</v>
      </c>
      <c r="AX30" s="28">
        <f>Proforma!AX15</f>
        <v>88019.203199999989</v>
      </c>
      <c r="AY30" s="28">
        <f>Proforma!AY15</f>
        <v>88019.203199999989</v>
      </c>
      <c r="AZ30" s="28">
        <f>Proforma!AZ15</f>
        <v>88019.203199999989</v>
      </c>
      <c r="BA30" s="28">
        <f>Proforma!BA15</f>
        <v>88019.203199999989</v>
      </c>
      <c r="BB30" s="28">
        <f>Proforma!BB15</f>
        <v>88019.203199999989</v>
      </c>
      <c r="BC30" s="28">
        <f>Proforma!BC15</f>
        <v>88019.203199999989</v>
      </c>
      <c r="BD30" s="28">
        <f>Proforma!BD15</f>
        <v>88019.203199999989</v>
      </c>
      <c r="BE30" s="28">
        <f>Proforma!BE15</f>
        <v>88019.203199999989</v>
      </c>
      <c r="BF30" s="28">
        <f>Proforma!BF15</f>
        <v>88019.203199999989</v>
      </c>
      <c r="BG30" s="28">
        <f>Proforma!BG15</f>
        <v>88019.203199999989</v>
      </c>
      <c r="BH30" s="28">
        <f>Proforma!BH15</f>
        <v>88019.203199999989</v>
      </c>
      <c r="BI30" s="28">
        <f>Proforma!BI15</f>
        <v>88019.203199999989</v>
      </c>
      <c r="BJ30" s="28">
        <f>Proforma!BJ15</f>
        <v>88019.203199999989</v>
      </c>
      <c r="BK30" s="28">
        <f>Proforma!BK15</f>
        <v>88019.203199999989</v>
      </c>
      <c r="BL30" s="28">
        <f>Proforma!BL15</f>
        <v>88019.203199999989</v>
      </c>
      <c r="BM30" s="28">
        <f>Proforma!BM15</f>
        <v>88019.203199999989</v>
      </c>
      <c r="BN30" s="28">
        <f>Proforma!BN15</f>
        <v>88019.203199999989</v>
      </c>
      <c r="BO30" s="28">
        <f>Proforma!BO15</f>
        <v>88019.203199999989</v>
      </c>
      <c r="BP30" s="28">
        <f>Proforma!BP15</f>
        <v>88019.203199999989</v>
      </c>
      <c r="BQ30" s="28">
        <f>Proforma!BQ15</f>
        <v>88019.203199999989</v>
      </c>
      <c r="BR30" s="28">
        <f>Proforma!BR15</f>
        <v>88019.203199999989</v>
      </c>
      <c r="BS30" s="28">
        <f>Proforma!BS15</f>
        <v>88019.203199999989</v>
      </c>
      <c r="BT30" s="28">
        <f>Proforma!BT15</f>
        <v>88019.203199999989</v>
      </c>
      <c r="BU30" s="28">
        <f>Proforma!BU15</f>
        <v>88019.203199999989</v>
      </c>
      <c r="BV30" s="28">
        <f>Proforma!BV15</f>
        <v>88019.203199999989</v>
      </c>
      <c r="BW30" s="28">
        <f>Proforma!BW15</f>
        <v>88019.203199999989</v>
      </c>
      <c r="BX30" s="28">
        <f>Proforma!BX15</f>
        <v>88019.203199999989</v>
      </c>
      <c r="BY30" s="28">
        <f>Proforma!BY15</f>
        <v>88019.203199999989</v>
      </c>
      <c r="BZ30" s="28">
        <f>Proforma!BZ15</f>
        <v>88019.203199999989</v>
      </c>
      <c r="CA30" s="28">
        <f>Proforma!CA15</f>
        <v>88019.203199999989</v>
      </c>
      <c r="CB30" s="28">
        <f>Proforma!CB15</f>
        <v>88019.203199999989</v>
      </c>
      <c r="CC30" s="28">
        <f>Proforma!CC15</f>
        <v>88019.203199999989</v>
      </c>
      <c r="CD30" s="28">
        <f>Proforma!CD15</f>
        <v>88019.203199999989</v>
      </c>
      <c r="CE30" s="28">
        <f>Proforma!CE15</f>
        <v>88019.203199999989</v>
      </c>
      <c r="CF30" s="28">
        <f>Proforma!CF15</f>
        <v>88019.203199999989</v>
      </c>
      <c r="CG30" s="28">
        <f>Proforma!CG15</f>
        <v>88019.203199999989</v>
      </c>
      <c r="CH30" s="28">
        <f>Proforma!CH15</f>
        <v>88019.203199999989</v>
      </c>
      <c r="CI30" s="28">
        <f>Proforma!CI15</f>
        <v>88019.203199999989</v>
      </c>
      <c r="CJ30" s="28">
        <f>Proforma!CJ15</f>
        <v>88019.203199999989</v>
      </c>
      <c r="CK30" s="28">
        <f>Proforma!CK15</f>
        <v>88019.203199999989</v>
      </c>
      <c r="CL30" s="28">
        <f>Proforma!CL15</f>
        <v>88019.203199999989</v>
      </c>
      <c r="CM30" s="28">
        <f>Proforma!CM15</f>
        <v>88019.203199999989</v>
      </c>
      <c r="CN30" s="28">
        <f>Proforma!CN15</f>
        <v>88019.203199999989</v>
      </c>
      <c r="CO30" s="28">
        <f>Proforma!CO15</f>
        <v>88019.203199999989</v>
      </c>
      <c r="CP30" s="28">
        <f>Proforma!CP15</f>
        <v>88019.203199999989</v>
      </c>
      <c r="CQ30" s="28">
        <f>Proforma!CQ15</f>
        <v>88019.203199999989</v>
      </c>
      <c r="CR30" s="28">
        <f>Proforma!CR15</f>
        <v>88019.203199999989</v>
      </c>
      <c r="CS30" s="28">
        <f>Proforma!CS15</f>
        <v>88019.203199999989</v>
      </c>
      <c r="CT30" s="28">
        <f>Proforma!CT15</f>
        <v>88019.203199999989</v>
      </c>
      <c r="CU30" s="28">
        <f>Proforma!CU15</f>
        <v>88019.203199999989</v>
      </c>
      <c r="CV30" s="28">
        <f>Proforma!CV15</f>
        <v>88019.203199999989</v>
      </c>
      <c r="CW30" s="28">
        <f>Proforma!CW15</f>
        <v>88019.203199999989</v>
      </c>
      <c r="CX30" s="28">
        <f>Proforma!CX15</f>
        <v>88019.203199999989</v>
      </c>
      <c r="CY30" s="28">
        <f>Proforma!CY15</f>
        <v>88019.203199999989</v>
      </c>
      <c r="CZ30" s="28">
        <f>Proforma!CZ15</f>
        <v>88019.203199999989</v>
      </c>
      <c r="DA30" s="28">
        <f>Proforma!DA15</f>
        <v>88019.203199999989</v>
      </c>
      <c r="DB30" s="28">
        <f>Proforma!DB15</f>
        <v>88019.203199999989</v>
      </c>
      <c r="DC30" s="28">
        <f>Proforma!DC15</f>
        <v>88019.203199999989</v>
      </c>
      <c r="DD30" s="28">
        <f>Proforma!DD15</f>
        <v>88019.203199999989</v>
      </c>
      <c r="DE30" s="28">
        <f>Proforma!DE15</f>
        <v>88019.203199999989</v>
      </c>
      <c r="DF30" s="28">
        <f>Proforma!DF15</f>
        <v>88019.203199999989</v>
      </c>
      <c r="DG30" s="28">
        <f>Proforma!DG15</f>
        <v>88019.203199999989</v>
      </c>
      <c r="DH30" s="28">
        <f>Proforma!DH15</f>
        <v>88019.203199999989</v>
      </c>
      <c r="DI30" s="28">
        <f>Proforma!DI15</f>
        <v>88019.203199999989</v>
      </c>
      <c r="DJ30" s="28">
        <f>Proforma!DJ15</f>
        <v>88019.203199999989</v>
      </c>
      <c r="DK30" s="28">
        <f>Proforma!DK15</f>
        <v>88019.203199999989</v>
      </c>
      <c r="DL30" s="28">
        <f>Proforma!DL15</f>
        <v>88019.203199999989</v>
      </c>
      <c r="DM30" s="28">
        <f>Proforma!DM15</f>
        <v>88019.203199999989</v>
      </c>
      <c r="DN30" s="28">
        <f>Proforma!DN15</f>
        <v>88019.203199999989</v>
      </c>
      <c r="DO30" s="28">
        <f>Proforma!DO15</f>
        <v>88019.203199999989</v>
      </c>
      <c r="DP30" s="28">
        <f>Proforma!DP15</f>
        <v>88019.203199999989</v>
      </c>
      <c r="DQ30" s="28">
        <f>Proforma!DQ15</f>
        <v>88019.203199999989</v>
      </c>
      <c r="DR30" s="28">
        <f>Proforma!DR15</f>
        <v>88019.203199999989</v>
      </c>
      <c r="DS30" s="28">
        <f>Proforma!DS15</f>
        <v>88019.203199999989</v>
      </c>
      <c r="DT30" s="28">
        <f>Proforma!DT15</f>
        <v>88019.203199999989</v>
      </c>
      <c r="DU30" s="28">
        <f>Proforma!DU15</f>
        <v>88019.203199999989</v>
      </c>
      <c r="DV30" s="28">
        <f>Proforma!DV15</f>
        <v>88019.203199999989</v>
      </c>
      <c r="DW30" s="28">
        <f>Proforma!DW15</f>
        <v>88019.203199999989</v>
      </c>
      <c r="DX30" s="28">
        <f>Proforma!DX15</f>
        <v>88019.203199999989</v>
      </c>
      <c r="DY30" s="28">
        <f>Proforma!DY15</f>
        <v>88019.203199999989</v>
      </c>
      <c r="DZ30" s="28">
        <f>Proforma!DZ15</f>
        <v>88019.203199999989</v>
      </c>
      <c r="EA30" s="28">
        <f>Proforma!EA15</f>
        <v>88019.203199999989</v>
      </c>
      <c r="EB30" s="28">
        <f>Proforma!EB15</f>
        <v>88019.203199999989</v>
      </c>
      <c r="EC30" s="28">
        <f>Proforma!EC15</f>
        <v>88019.203199999989</v>
      </c>
      <c r="ED30" s="28">
        <f>Proforma!ED15</f>
        <v>88019.203199999989</v>
      </c>
      <c r="EE30" s="28">
        <f>Proforma!EE15</f>
        <v>88019.203199999989</v>
      </c>
      <c r="EF30" s="28">
        <f>Proforma!EF15</f>
        <v>88019.203199999989</v>
      </c>
      <c r="EG30" s="28">
        <f>Proforma!EG15</f>
        <v>88019.203199999989</v>
      </c>
      <c r="EH30" s="28">
        <f>Proforma!EH15</f>
        <v>88019.203199999989</v>
      </c>
      <c r="EI30" s="28">
        <f>Proforma!EI15</f>
        <v>88019.203199999989</v>
      </c>
      <c r="EJ30" s="28">
        <f>Proforma!EJ15</f>
        <v>88019.203199999989</v>
      </c>
      <c r="EK30" s="28">
        <f>Proforma!EK15</f>
        <v>88019.203199999989</v>
      </c>
      <c r="EL30" s="28">
        <f>Proforma!EL15</f>
        <v>88019.203199999989</v>
      </c>
      <c r="EM30" s="28">
        <f>Proforma!EM15</f>
        <v>88019.203199999989</v>
      </c>
      <c r="EN30" s="28">
        <f>Proforma!EN15</f>
        <v>88019.203199999989</v>
      </c>
      <c r="EO30" s="28">
        <f>Proforma!EO15</f>
        <v>88019.203199999989</v>
      </c>
      <c r="EP30" s="28">
        <f>Proforma!EP15</f>
        <v>88019.203199999989</v>
      </c>
      <c r="EQ30" s="28">
        <f>Proforma!EQ15</f>
        <v>88019.203199999989</v>
      </c>
      <c r="ER30" s="28">
        <f>Proforma!ER15</f>
        <v>88019.203199999989</v>
      </c>
      <c r="ES30" s="28">
        <f>Proforma!ES15</f>
        <v>88019.203199999989</v>
      </c>
      <c r="ET30" s="28">
        <f>Proforma!ET15</f>
        <v>88019.203199999989</v>
      </c>
      <c r="EU30" s="28">
        <f>Proforma!EU15</f>
        <v>88019.203199999989</v>
      </c>
      <c r="EV30" s="28">
        <f>Proforma!EV15</f>
        <v>88019.203199999989</v>
      </c>
      <c r="EW30" s="28">
        <f>Proforma!EW15</f>
        <v>88019.203199999989</v>
      </c>
      <c r="EX30" s="28">
        <f>Proforma!EX15</f>
        <v>88019.203199999989</v>
      </c>
      <c r="EY30" s="28">
        <f>Proforma!EY15</f>
        <v>88019.203199999989</v>
      </c>
      <c r="EZ30" s="28">
        <f>Proforma!EZ15</f>
        <v>88019.203199999989</v>
      </c>
      <c r="FA30" s="28">
        <f>Proforma!FA15</f>
        <v>88019.203199999989</v>
      </c>
      <c r="FB30" s="28">
        <f>Proforma!FB15</f>
        <v>88019.203199999989</v>
      </c>
      <c r="FC30" s="28">
        <f>Proforma!FC15</f>
        <v>88019.203199999989</v>
      </c>
      <c r="FD30" s="28">
        <f>Proforma!FD15</f>
        <v>88019.203199999989</v>
      </c>
      <c r="FE30" s="28">
        <f>Proforma!FE15</f>
        <v>88019.203199999989</v>
      </c>
      <c r="FF30" s="28">
        <f>Proforma!FF15</f>
        <v>88019.203199999989</v>
      </c>
      <c r="FG30" s="28">
        <f>Proforma!FG15</f>
        <v>88019.203199999989</v>
      </c>
      <c r="FH30" s="28">
        <f>Proforma!FH15</f>
        <v>88019.203199999989</v>
      </c>
      <c r="FI30" s="28">
        <f>Proforma!FI15</f>
        <v>88019.203199999989</v>
      </c>
      <c r="FJ30" s="28">
        <f>Proforma!FJ15</f>
        <v>88019.203199999989</v>
      </c>
      <c r="FK30" s="28">
        <f>Proforma!FK15</f>
        <v>88019.203199999989</v>
      </c>
      <c r="FL30" s="28">
        <f>Proforma!FL15</f>
        <v>88019.203199999989</v>
      </c>
      <c r="FM30" s="28">
        <f>Proforma!FM15</f>
        <v>88019.203199999989</v>
      </c>
      <c r="FN30" s="28">
        <f>Proforma!FN15</f>
        <v>88019.203199999989</v>
      </c>
      <c r="FO30" s="28">
        <f>Proforma!FO15</f>
        <v>88019.203199999989</v>
      </c>
      <c r="FP30" s="28">
        <f>Proforma!FP15</f>
        <v>88019.203199999989</v>
      </c>
      <c r="FQ30" s="28">
        <f>Proforma!FQ15</f>
        <v>88019.203199999989</v>
      </c>
      <c r="FR30" s="28">
        <f>Proforma!FR15</f>
        <v>88019.203199999989</v>
      </c>
      <c r="FS30" s="28">
        <f>Proforma!FS15</f>
        <v>88019.203199999989</v>
      </c>
      <c r="FT30" s="28">
        <f>Proforma!FT15</f>
        <v>88019.203199999989</v>
      </c>
      <c r="FU30" s="28">
        <f>Proforma!FU15</f>
        <v>88019.203199999989</v>
      </c>
      <c r="FV30" s="28">
        <f>Proforma!FV15</f>
        <v>88019.203199999989</v>
      </c>
      <c r="FW30" s="28">
        <f>Proforma!FW15</f>
        <v>88019.203199999989</v>
      </c>
      <c r="FX30" s="28">
        <f>Proforma!FX15</f>
        <v>88019.203199999989</v>
      </c>
      <c r="FY30" s="28">
        <f>Proforma!FY15</f>
        <v>88019.203199999989</v>
      </c>
      <c r="FZ30" s="28">
        <f>Proforma!FZ15</f>
        <v>88019.203199999989</v>
      </c>
      <c r="GA30" s="28">
        <f>Proforma!GA15</f>
        <v>88019.203199999989</v>
      </c>
      <c r="GB30" s="28">
        <f>Proforma!GB15</f>
        <v>88019.203199999989</v>
      </c>
      <c r="GC30" s="28">
        <f>Proforma!GC15</f>
        <v>88019.203199999989</v>
      </c>
    </row>
    <row r="31" spans="1:185">
      <c r="D31" s="18"/>
      <c r="E31" s="9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</row>
    <row r="32" spans="1:185">
      <c r="E32" s="9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</row>
    <row r="33" spans="1:65">
      <c r="E33" s="9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</row>
    <row r="34" spans="1:65">
      <c r="E34" s="9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</row>
    <row r="35" spans="1:65">
      <c r="E35" s="9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</row>
    <row r="36" spans="1:65">
      <c r="E36" s="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</row>
    <row r="37" spans="1:65">
      <c r="E37" s="9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</row>
    <row r="38" spans="1:65">
      <c r="E38" s="9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</row>
    <row r="39" spans="1:65">
      <c r="E39" s="9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</row>
    <row r="40" spans="1:65">
      <c r="E40" s="9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</row>
    <row r="41" spans="1:65">
      <c r="E41" s="9"/>
    </row>
    <row r="42" spans="1:65">
      <c r="E42" s="9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</row>
    <row r="43" spans="1:65">
      <c r="E43" s="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spans="1:65">
      <c r="E44" s="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spans="1:65">
      <c r="E45" s="9"/>
    </row>
    <row r="46" spans="1:65">
      <c r="E46" s="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spans="1:65">
      <c r="A47" s="10"/>
      <c r="E47" s="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spans="1:65">
      <c r="E48" s="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 spans="1:65">
      <c r="E49" s="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 spans="1:65">
      <c r="E50" s="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 spans="1:65">
      <c r="E51" s="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 spans="1:65">
      <c r="E52" s="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 spans="1:65">
      <c r="E53" s="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 spans="1:65">
      <c r="E54" s="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1:65">
      <c r="E55" s="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spans="1:65">
      <c r="E56" s="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spans="1:65">
      <c r="E57" s="9"/>
      <c r="F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</row>
    <row r="58" spans="1:65">
      <c r="A58" s="10"/>
      <c r="E58" s="25"/>
      <c r="F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</row>
    <row r="59" spans="1:65">
      <c r="E59" s="25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</row>
    <row r="60" spans="1:65">
      <c r="E60" s="2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>
      <c r="E61" s="2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</row>
    <row r="62" spans="1:65">
      <c r="E62" s="2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65">
      <c r="E63" s="2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65">
      <c r="E64" s="2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2:65">
      <c r="E65" s="25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</row>
    <row r="66" spans="2:65">
      <c r="E66" s="2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2:65">
      <c r="E67" s="2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2:65">
      <c r="B68" s="10"/>
      <c r="E68" s="2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 spans="2:65">
      <c r="E69" s="2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2:65">
      <c r="E70" s="2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2:65">
      <c r="E71" s="2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</row>
    <row r="72" spans="2:65">
      <c r="E72" s="2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2:65">
      <c r="E73" s="2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</row>
    <row r="74" spans="2:65">
      <c r="E74" s="2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</row>
    <row r="75" spans="2:65">
      <c r="E75" s="2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</row>
    <row r="76" spans="2:65">
      <c r="E76" s="2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</row>
    <row r="77" spans="2:65">
      <c r="E77" s="2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</row>
    <row r="78" spans="2:65">
      <c r="E78" s="2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</row>
    <row r="79" spans="2:65">
      <c r="B79" s="10"/>
      <c r="E79" s="2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</row>
    <row r="80" spans="2:65">
      <c r="E80" s="25"/>
      <c r="F80" s="1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</row>
    <row r="81" spans="2:65">
      <c r="E81" s="2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</row>
    <row r="82" spans="2:65">
      <c r="E82" s="25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</row>
    <row r="83" spans="2:65">
      <c r="E83" s="25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</row>
    <row r="84" spans="2:65">
      <c r="E84" s="2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 spans="2:65">
      <c r="B85" s="10"/>
      <c r="E85" s="2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 spans="2:65">
      <c r="E86" s="25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</row>
    <row r="87" spans="2:65">
      <c r="E87" s="25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</row>
    <row r="88" spans="2:65">
      <c r="E88" s="25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</row>
    <row r="89" spans="2:65"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</row>
    <row r="90" spans="2:65">
      <c r="G90" s="2"/>
      <c r="H90" s="2"/>
      <c r="I90" s="2"/>
      <c r="J90" s="2"/>
      <c r="K90" s="2"/>
      <c r="L90" s="2"/>
      <c r="M90" s="2"/>
      <c r="N90" s="2"/>
      <c r="O90" s="2"/>
    </row>
  </sheetData>
  <pageMargins left="0.7" right="0.7" top="0.75" bottom="0.75" header="0.3" footer="0.3"/>
  <pageSetup paperSize="17" scale="62" fitToHeight="0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C95"/>
  <sheetViews>
    <sheetView topLeftCell="A47" zoomScaleNormal="100" workbookViewId="0">
      <selection activeCell="F60" sqref="F60"/>
    </sheetView>
  </sheetViews>
  <sheetFormatPr defaultColWidth="8.85546875" defaultRowHeight="15"/>
  <cols>
    <col min="4" max="4" width="12.85546875" customWidth="1"/>
    <col min="5" max="5" width="9.85546875" bestFit="1" customWidth="1"/>
    <col min="6" max="185" width="15" customWidth="1"/>
  </cols>
  <sheetData>
    <row r="2" spans="1:1">
      <c r="A2" s="10" t="str">
        <f>ModelDescription!A2</f>
        <v>Economic Forecasting Model</v>
      </c>
    </row>
    <row r="3" spans="1:1">
      <c r="A3" s="10" t="str">
        <f>ModelDescription!C4</f>
        <v>Noble, OK 6 Processor Facility - Series A + Series B</v>
      </c>
    </row>
    <row r="5" spans="1:1">
      <c r="A5" s="10" t="s">
        <v>509</v>
      </c>
    </row>
    <row r="23" spans="1:9">
      <c r="A23" s="10" t="s">
        <v>510</v>
      </c>
      <c r="I23" s="10"/>
    </row>
    <row r="41" spans="1:185">
      <c r="A41" s="7"/>
      <c r="B41" s="7" t="s">
        <v>69</v>
      </c>
      <c r="C41" s="7"/>
      <c r="D41" s="7"/>
      <c r="E41" s="7"/>
      <c r="F41" s="8">
        <f>Assumptions!D76</f>
        <v>1</v>
      </c>
      <c r="G41" s="8">
        <f>Assumptions!E76</f>
        <v>2</v>
      </c>
      <c r="H41" s="8">
        <f>Assumptions!F76</f>
        <v>3</v>
      </c>
      <c r="I41" s="8">
        <f>Assumptions!G76</f>
        <v>4</v>
      </c>
      <c r="J41" s="8">
        <f>Assumptions!H76</f>
        <v>5</v>
      </c>
      <c r="K41" s="8">
        <f>Assumptions!I76</f>
        <v>6</v>
      </c>
      <c r="L41" s="8">
        <f>Assumptions!J76</f>
        <v>7</v>
      </c>
      <c r="M41" s="8">
        <f>Assumptions!K76</f>
        <v>8</v>
      </c>
      <c r="N41" s="8">
        <f>Assumptions!L76</f>
        <v>9</v>
      </c>
      <c r="O41" s="8">
        <f>Assumptions!M76</f>
        <v>10</v>
      </c>
      <c r="P41" s="8">
        <f>Assumptions!N76</f>
        <v>11</v>
      </c>
      <c r="Q41" s="8">
        <f>Assumptions!O76</f>
        <v>12</v>
      </c>
      <c r="R41" s="8">
        <f>Assumptions!P76</f>
        <v>13</v>
      </c>
      <c r="S41" s="8">
        <f>Assumptions!Q76</f>
        <v>14</v>
      </c>
      <c r="T41" s="8">
        <f>Assumptions!R76</f>
        <v>15</v>
      </c>
      <c r="U41" s="8">
        <f>Assumptions!S76</f>
        <v>16</v>
      </c>
      <c r="V41" s="8">
        <f>Assumptions!T76</f>
        <v>17</v>
      </c>
      <c r="W41" s="8">
        <f>Assumptions!U76</f>
        <v>18</v>
      </c>
      <c r="X41" s="8">
        <f>Assumptions!V76</f>
        <v>19</v>
      </c>
      <c r="Y41" s="8">
        <f>Assumptions!W76</f>
        <v>20</v>
      </c>
      <c r="Z41" s="8">
        <f>Assumptions!X76</f>
        <v>21</v>
      </c>
      <c r="AA41" s="8">
        <f>Assumptions!Y76</f>
        <v>22</v>
      </c>
      <c r="AB41" s="8">
        <f>Assumptions!Z76</f>
        <v>23</v>
      </c>
      <c r="AC41" s="8">
        <f>Assumptions!AA76</f>
        <v>24</v>
      </c>
      <c r="AD41" s="8">
        <f>Assumptions!AB76</f>
        <v>25</v>
      </c>
      <c r="AE41" s="8">
        <f>Assumptions!AC76</f>
        <v>26</v>
      </c>
      <c r="AF41" s="8">
        <f>Assumptions!AD76</f>
        <v>27</v>
      </c>
      <c r="AG41" s="8">
        <f>Assumptions!AE76</f>
        <v>28</v>
      </c>
      <c r="AH41" s="8">
        <f>Assumptions!AF76</f>
        <v>29</v>
      </c>
      <c r="AI41" s="8">
        <f>Assumptions!AG76</f>
        <v>30</v>
      </c>
      <c r="AJ41" s="8">
        <f>Assumptions!AH76</f>
        <v>31</v>
      </c>
      <c r="AK41" s="8">
        <f>Assumptions!AI76</f>
        <v>32</v>
      </c>
      <c r="AL41" s="8">
        <f>Assumptions!AJ76</f>
        <v>33</v>
      </c>
      <c r="AM41" s="8">
        <f>Assumptions!AK76</f>
        <v>34</v>
      </c>
      <c r="AN41" s="8">
        <f>Assumptions!AL76</f>
        <v>35</v>
      </c>
      <c r="AO41" s="8">
        <f>Assumptions!AM76</f>
        <v>36</v>
      </c>
      <c r="AP41" s="8">
        <f>Assumptions!AN76</f>
        <v>37</v>
      </c>
      <c r="AQ41" s="8">
        <f>Assumptions!AO76</f>
        <v>38</v>
      </c>
      <c r="AR41" s="8">
        <f>Assumptions!AP76</f>
        <v>39</v>
      </c>
      <c r="AS41" s="8">
        <f>Assumptions!AQ76</f>
        <v>40</v>
      </c>
      <c r="AT41" s="8">
        <f>Assumptions!AR76</f>
        <v>41</v>
      </c>
      <c r="AU41" s="8">
        <f>Assumptions!AS76</f>
        <v>42</v>
      </c>
      <c r="AV41" s="8">
        <f>Assumptions!AT76</f>
        <v>43</v>
      </c>
      <c r="AW41" s="8">
        <f>Assumptions!AU76</f>
        <v>44</v>
      </c>
      <c r="AX41" s="8">
        <f>Assumptions!AV76</f>
        <v>45</v>
      </c>
      <c r="AY41" s="8">
        <f>Assumptions!AW76</f>
        <v>46</v>
      </c>
      <c r="AZ41" s="8">
        <f>Assumptions!AX76</f>
        <v>47</v>
      </c>
      <c r="BA41" s="8">
        <f>Assumptions!AY76</f>
        <v>48</v>
      </c>
      <c r="BB41" s="8">
        <f>Assumptions!AZ76</f>
        <v>49</v>
      </c>
      <c r="BC41" s="8">
        <f>Assumptions!BA76</f>
        <v>50</v>
      </c>
      <c r="BD41" s="8">
        <f>Assumptions!BB76</f>
        <v>51</v>
      </c>
      <c r="BE41" s="8">
        <f>Assumptions!BC76</f>
        <v>52</v>
      </c>
      <c r="BF41" s="8">
        <f>Assumptions!BD76</f>
        <v>53</v>
      </c>
      <c r="BG41" s="8">
        <f>Assumptions!BE76</f>
        <v>54</v>
      </c>
      <c r="BH41" s="8">
        <f>Assumptions!BF76</f>
        <v>55</v>
      </c>
      <c r="BI41" s="8">
        <f>Assumptions!BG76</f>
        <v>56</v>
      </c>
      <c r="BJ41" s="8">
        <f>Assumptions!BH76</f>
        <v>57</v>
      </c>
      <c r="BK41" s="8">
        <f>Assumptions!BI76</f>
        <v>58</v>
      </c>
      <c r="BL41" s="8">
        <f>Assumptions!BJ76</f>
        <v>59</v>
      </c>
      <c r="BM41" s="8" t="s">
        <v>511</v>
      </c>
      <c r="BN41" s="8">
        <f>Assumptions!BL76</f>
        <v>61</v>
      </c>
      <c r="BO41" s="8">
        <f>Assumptions!BM76</f>
        <v>62</v>
      </c>
      <c r="BP41" s="8">
        <f>Assumptions!BN76</f>
        <v>63</v>
      </c>
      <c r="BQ41" s="8">
        <f>Assumptions!BO76</f>
        <v>64</v>
      </c>
      <c r="BR41" s="8">
        <f>Assumptions!BP76</f>
        <v>65</v>
      </c>
      <c r="BS41" s="8">
        <f>Assumptions!BQ76</f>
        <v>66</v>
      </c>
      <c r="BT41" s="8">
        <f>Assumptions!BR76</f>
        <v>67</v>
      </c>
      <c r="BU41" s="8">
        <f>Assumptions!BS76</f>
        <v>68</v>
      </c>
      <c r="BV41" s="8">
        <f>Assumptions!BT76</f>
        <v>69</v>
      </c>
      <c r="BW41" s="8">
        <f>Assumptions!BU76</f>
        <v>70</v>
      </c>
      <c r="BX41" s="8">
        <f>Assumptions!BV76</f>
        <v>71</v>
      </c>
      <c r="BY41" s="8">
        <f>Assumptions!BW76</f>
        <v>72</v>
      </c>
      <c r="BZ41" s="8">
        <f>Assumptions!BX76</f>
        <v>73</v>
      </c>
      <c r="CA41" s="8">
        <f>Assumptions!BY76</f>
        <v>74</v>
      </c>
      <c r="CB41" s="8">
        <f>Assumptions!BZ76</f>
        <v>75</v>
      </c>
      <c r="CC41" s="8">
        <f>Assumptions!CA76</f>
        <v>76</v>
      </c>
      <c r="CD41" s="8">
        <f>Assumptions!CB76</f>
        <v>77</v>
      </c>
      <c r="CE41" s="8">
        <f>Assumptions!CC76</f>
        <v>78</v>
      </c>
      <c r="CF41" s="8">
        <f>Assumptions!CD76</f>
        <v>79</v>
      </c>
      <c r="CG41" s="8">
        <f>Assumptions!CE76</f>
        <v>80</v>
      </c>
      <c r="CH41" s="8">
        <f>Assumptions!CF76</f>
        <v>81</v>
      </c>
      <c r="CI41" s="8">
        <f>Assumptions!CG76</f>
        <v>82</v>
      </c>
      <c r="CJ41" s="8">
        <f>Assumptions!CH76</f>
        <v>83</v>
      </c>
      <c r="CK41" s="8">
        <f>Assumptions!CI76</f>
        <v>84</v>
      </c>
      <c r="CL41" s="8">
        <f>Assumptions!CJ76</f>
        <v>85</v>
      </c>
      <c r="CM41" s="8">
        <f>Assumptions!CK76</f>
        <v>86</v>
      </c>
      <c r="CN41" s="8">
        <f>Assumptions!CL76</f>
        <v>87</v>
      </c>
      <c r="CO41" s="8">
        <f>Assumptions!CM76</f>
        <v>88</v>
      </c>
      <c r="CP41" s="8">
        <f>Assumptions!CN76</f>
        <v>89</v>
      </c>
      <c r="CQ41" s="8">
        <f>Assumptions!CO76</f>
        <v>90</v>
      </c>
      <c r="CR41" s="8">
        <f>Assumptions!CP76</f>
        <v>91</v>
      </c>
      <c r="CS41" s="8">
        <f>Assumptions!CQ76</f>
        <v>92</v>
      </c>
      <c r="CT41" s="8">
        <f>Assumptions!CR76</f>
        <v>93</v>
      </c>
      <c r="CU41" s="8">
        <f>Assumptions!CS76</f>
        <v>94</v>
      </c>
      <c r="CV41" s="8">
        <f>Assumptions!CT76</f>
        <v>95</v>
      </c>
      <c r="CW41" s="8">
        <f>Assumptions!CU76</f>
        <v>96</v>
      </c>
      <c r="CX41" s="8">
        <f>Assumptions!CV76</f>
        <v>97</v>
      </c>
      <c r="CY41" s="8">
        <f>Assumptions!CW76</f>
        <v>98</v>
      </c>
      <c r="CZ41" s="8">
        <f>Assumptions!CX76</f>
        <v>99</v>
      </c>
      <c r="DA41" s="8">
        <f>Assumptions!CY76</f>
        <v>100</v>
      </c>
      <c r="DB41" s="8">
        <f>Assumptions!CZ76</f>
        <v>101</v>
      </c>
      <c r="DC41" s="8">
        <f>Assumptions!DA76</f>
        <v>102</v>
      </c>
      <c r="DD41" s="8">
        <f>Assumptions!DB76</f>
        <v>103</v>
      </c>
      <c r="DE41" s="8">
        <f>Assumptions!DC76</f>
        <v>104</v>
      </c>
      <c r="DF41" s="8">
        <f>Assumptions!DD76</f>
        <v>105</v>
      </c>
      <c r="DG41" s="8">
        <f>Assumptions!DE76</f>
        <v>106</v>
      </c>
      <c r="DH41" s="8">
        <f>Assumptions!DF76</f>
        <v>107</v>
      </c>
      <c r="DI41" s="8">
        <f>Assumptions!DG76</f>
        <v>108</v>
      </c>
      <c r="DJ41" s="8">
        <f>Assumptions!DH76</f>
        <v>109</v>
      </c>
      <c r="DK41" s="8">
        <f>Assumptions!DI76</f>
        <v>110</v>
      </c>
      <c r="DL41" s="8">
        <f>Assumptions!DJ76</f>
        <v>111</v>
      </c>
      <c r="DM41" s="8">
        <f>Assumptions!DK76</f>
        <v>112</v>
      </c>
      <c r="DN41" s="8">
        <f>Assumptions!DL76</f>
        <v>113</v>
      </c>
      <c r="DO41" s="8">
        <f>Assumptions!DM76</f>
        <v>114</v>
      </c>
      <c r="DP41" s="8">
        <f>Assumptions!DN76</f>
        <v>115</v>
      </c>
      <c r="DQ41" s="8">
        <f>Assumptions!DO76</f>
        <v>116</v>
      </c>
      <c r="DR41" s="8">
        <f>Assumptions!DP76</f>
        <v>117</v>
      </c>
      <c r="DS41" s="8">
        <f>Assumptions!DQ76</f>
        <v>118</v>
      </c>
      <c r="DT41" s="8">
        <f>Assumptions!DR76</f>
        <v>119</v>
      </c>
      <c r="DU41" s="8">
        <f>Assumptions!DS76</f>
        <v>120</v>
      </c>
      <c r="DV41" s="8">
        <f>Assumptions!DT76</f>
        <v>121</v>
      </c>
      <c r="DW41" s="8">
        <f>Assumptions!DU76</f>
        <v>122</v>
      </c>
      <c r="DX41" s="8">
        <f>Assumptions!DV76</f>
        <v>123</v>
      </c>
      <c r="DY41" s="8">
        <f>Assumptions!DW76</f>
        <v>124</v>
      </c>
      <c r="DZ41" s="8">
        <f>Assumptions!DX76</f>
        <v>125</v>
      </c>
      <c r="EA41" s="8">
        <f>Assumptions!DY76</f>
        <v>126</v>
      </c>
      <c r="EB41" s="8">
        <f>Assumptions!DZ76</f>
        <v>127</v>
      </c>
      <c r="EC41" s="8">
        <f>Assumptions!EA76</f>
        <v>128</v>
      </c>
      <c r="ED41" s="8">
        <f>Assumptions!EB76</f>
        <v>129</v>
      </c>
      <c r="EE41" s="8">
        <f>Assumptions!EC76</f>
        <v>130</v>
      </c>
      <c r="EF41" s="8">
        <f>Assumptions!ED76</f>
        <v>131</v>
      </c>
      <c r="EG41" s="8">
        <f>Assumptions!EE76</f>
        <v>132</v>
      </c>
      <c r="EH41" s="8">
        <f>Assumptions!EF76</f>
        <v>133</v>
      </c>
      <c r="EI41" s="8">
        <f>Assumptions!EG76</f>
        <v>134</v>
      </c>
      <c r="EJ41" s="8">
        <f>Assumptions!EH76</f>
        <v>135</v>
      </c>
      <c r="EK41" s="8">
        <f>Assumptions!EI76</f>
        <v>136</v>
      </c>
      <c r="EL41" s="8">
        <f>Assumptions!EJ76</f>
        <v>137</v>
      </c>
      <c r="EM41" s="8">
        <f>Assumptions!EK76</f>
        <v>138</v>
      </c>
      <c r="EN41" s="8">
        <f>Assumptions!EL76</f>
        <v>139</v>
      </c>
      <c r="EO41" s="8">
        <f>Assumptions!EM76</f>
        <v>140</v>
      </c>
      <c r="EP41" s="8">
        <f>Assumptions!EN76</f>
        <v>141</v>
      </c>
      <c r="EQ41" s="8">
        <f>Assumptions!EO76</f>
        <v>142</v>
      </c>
      <c r="ER41" s="8">
        <f>Assumptions!EP76</f>
        <v>143</v>
      </c>
      <c r="ES41" s="8">
        <f>Assumptions!EQ76</f>
        <v>144</v>
      </c>
      <c r="ET41" s="8">
        <f>Assumptions!ER76</f>
        <v>145</v>
      </c>
      <c r="EU41" s="8">
        <f>Assumptions!ES76</f>
        <v>146</v>
      </c>
      <c r="EV41" s="8">
        <f>Assumptions!ET76</f>
        <v>147</v>
      </c>
      <c r="EW41" s="8">
        <f>Assumptions!EU76</f>
        <v>148</v>
      </c>
      <c r="EX41" s="8">
        <f>Assumptions!EV76</f>
        <v>149</v>
      </c>
      <c r="EY41" s="8">
        <f>Assumptions!EW76</f>
        <v>150</v>
      </c>
      <c r="EZ41" s="8">
        <f>Assumptions!EX76</f>
        <v>151</v>
      </c>
      <c r="FA41" s="8">
        <f>Assumptions!EY76</f>
        <v>152</v>
      </c>
      <c r="FB41" s="8">
        <f>Assumptions!EZ76</f>
        <v>153</v>
      </c>
      <c r="FC41" s="8">
        <f>Assumptions!FA76</f>
        <v>154</v>
      </c>
      <c r="FD41" s="8">
        <f>Assumptions!FB76</f>
        <v>155</v>
      </c>
      <c r="FE41" s="8">
        <f>Assumptions!FC76</f>
        <v>156</v>
      </c>
      <c r="FF41" s="8">
        <f>Assumptions!FD76</f>
        <v>157</v>
      </c>
      <c r="FG41" s="8">
        <f>Assumptions!FE76</f>
        <v>158</v>
      </c>
      <c r="FH41" s="8">
        <f>Assumptions!FF76</f>
        <v>159</v>
      </c>
      <c r="FI41" s="8">
        <f>Assumptions!FG76</f>
        <v>160</v>
      </c>
      <c r="FJ41" s="8">
        <f>Assumptions!FH76</f>
        <v>161</v>
      </c>
      <c r="FK41" s="8">
        <f>Assumptions!FI76</f>
        <v>162</v>
      </c>
      <c r="FL41" s="8">
        <f>Assumptions!FJ76</f>
        <v>163</v>
      </c>
      <c r="FM41" s="8">
        <f>Assumptions!FK76</f>
        <v>164</v>
      </c>
      <c r="FN41" s="8">
        <f>Assumptions!FL76</f>
        <v>165</v>
      </c>
      <c r="FO41" s="8">
        <f>Assumptions!FM76</f>
        <v>166</v>
      </c>
      <c r="FP41" s="8">
        <f>Assumptions!FN76</f>
        <v>167</v>
      </c>
      <c r="FQ41" s="8">
        <f>Assumptions!FO76</f>
        <v>168</v>
      </c>
      <c r="FR41" s="8">
        <f>Assumptions!FP76</f>
        <v>169</v>
      </c>
      <c r="FS41" s="8">
        <f>Assumptions!FQ76</f>
        <v>170</v>
      </c>
      <c r="FT41" s="8">
        <f>Assumptions!FR76</f>
        <v>171</v>
      </c>
      <c r="FU41" s="8">
        <f>Assumptions!FS76</f>
        <v>172</v>
      </c>
      <c r="FV41" s="8">
        <f>Assumptions!FT76</f>
        <v>173</v>
      </c>
      <c r="FW41" s="8">
        <f>Assumptions!FU76</f>
        <v>174</v>
      </c>
      <c r="FX41" s="8">
        <f>Assumptions!FV76</f>
        <v>175</v>
      </c>
      <c r="FY41" s="8">
        <f>Assumptions!FW76</f>
        <v>176</v>
      </c>
      <c r="FZ41" s="8">
        <f>Assumptions!FX76</f>
        <v>177</v>
      </c>
      <c r="GA41" s="8">
        <f>Assumptions!FY76</f>
        <v>178</v>
      </c>
      <c r="GB41" s="8">
        <f>Assumptions!FZ76</f>
        <v>179</v>
      </c>
      <c r="GC41" s="8">
        <f>Assumptions!GA76</f>
        <v>180</v>
      </c>
    </row>
    <row r="42" spans="1:185">
      <c r="A42" s="7"/>
      <c r="B42" s="7" t="s">
        <v>26</v>
      </c>
      <c r="C42" s="7"/>
      <c r="D42" s="7"/>
      <c r="E42" s="7"/>
      <c r="F42" s="8">
        <f>Assumptions!D77</f>
        <v>2026</v>
      </c>
      <c r="G42" s="8">
        <f>Assumptions!E77</f>
        <v>2026</v>
      </c>
      <c r="H42" s="8">
        <f>Assumptions!F77</f>
        <v>2026</v>
      </c>
      <c r="I42" s="8">
        <f>Assumptions!G77</f>
        <v>2026</v>
      </c>
      <c r="J42" s="8">
        <f>Assumptions!H77</f>
        <v>2026</v>
      </c>
      <c r="K42" s="8">
        <f>Assumptions!I77</f>
        <v>2026</v>
      </c>
      <c r="L42" s="8">
        <f>Assumptions!J77</f>
        <v>2026</v>
      </c>
      <c r="M42" s="8">
        <f>Assumptions!K77</f>
        <v>2026</v>
      </c>
      <c r="N42" s="8">
        <f>Assumptions!L77</f>
        <v>2026</v>
      </c>
      <c r="O42" s="8">
        <f>Assumptions!M77</f>
        <v>2026</v>
      </c>
      <c r="P42" s="8">
        <f>Assumptions!N77</f>
        <v>2026</v>
      </c>
      <c r="Q42" s="8">
        <f>Assumptions!O77</f>
        <v>2026</v>
      </c>
      <c r="R42" s="8">
        <f>Assumptions!P77</f>
        <v>2027</v>
      </c>
      <c r="S42" s="8">
        <f>Assumptions!Q77</f>
        <v>2027</v>
      </c>
      <c r="T42" s="8">
        <f>Assumptions!R77</f>
        <v>2027</v>
      </c>
      <c r="U42" s="8">
        <f>Assumptions!S77</f>
        <v>2027</v>
      </c>
      <c r="V42" s="8">
        <f>Assumptions!T77</f>
        <v>2027</v>
      </c>
      <c r="W42" s="8">
        <f>Assumptions!U77</f>
        <v>2027</v>
      </c>
      <c r="X42" s="8">
        <f>Assumptions!V77</f>
        <v>2027</v>
      </c>
      <c r="Y42" s="8">
        <f>Assumptions!W77</f>
        <v>2027</v>
      </c>
      <c r="Z42" s="8">
        <f>Assumptions!X77</f>
        <v>2027</v>
      </c>
      <c r="AA42" s="8">
        <f>Assumptions!Y77</f>
        <v>2027</v>
      </c>
      <c r="AB42" s="8">
        <f>Assumptions!Z77</f>
        <v>2027</v>
      </c>
      <c r="AC42" s="8">
        <f>Assumptions!AA77</f>
        <v>2027</v>
      </c>
      <c r="AD42" s="8">
        <f>Assumptions!AB77</f>
        <v>2028</v>
      </c>
      <c r="AE42" s="8">
        <f>Assumptions!AC77</f>
        <v>2028</v>
      </c>
      <c r="AF42" s="8">
        <f>Assumptions!AD77</f>
        <v>2028</v>
      </c>
      <c r="AG42" s="8">
        <f>Assumptions!AE77</f>
        <v>2028</v>
      </c>
      <c r="AH42" s="8">
        <f>Assumptions!AF77</f>
        <v>2028</v>
      </c>
      <c r="AI42" s="8">
        <f>Assumptions!AG77</f>
        <v>2028</v>
      </c>
      <c r="AJ42" s="8">
        <f>Assumptions!AH77</f>
        <v>2028</v>
      </c>
      <c r="AK42" s="8">
        <f>Assumptions!AI77</f>
        <v>2028</v>
      </c>
      <c r="AL42" s="8">
        <f>Assumptions!AJ77</f>
        <v>2028</v>
      </c>
      <c r="AM42" s="8">
        <f>Assumptions!AK77</f>
        <v>2028</v>
      </c>
      <c r="AN42" s="8">
        <f>Assumptions!AL77</f>
        <v>2028</v>
      </c>
      <c r="AO42" s="8">
        <f>Assumptions!AM77</f>
        <v>2028</v>
      </c>
      <c r="AP42" s="8">
        <f>Assumptions!AN77</f>
        <v>2029</v>
      </c>
      <c r="AQ42" s="8">
        <f>Assumptions!AO77</f>
        <v>2029</v>
      </c>
      <c r="AR42" s="8">
        <f>Assumptions!AP77</f>
        <v>2029</v>
      </c>
      <c r="AS42" s="8">
        <f>Assumptions!AQ77</f>
        <v>2029</v>
      </c>
      <c r="AT42" s="8">
        <f>Assumptions!AR77</f>
        <v>2029</v>
      </c>
      <c r="AU42" s="8">
        <f>Assumptions!AS77</f>
        <v>2029</v>
      </c>
      <c r="AV42" s="8">
        <f>Assumptions!AT77</f>
        <v>2029</v>
      </c>
      <c r="AW42" s="8">
        <f>Assumptions!AU77</f>
        <v>2029</v>
      </c>
      <c r="AX42" s="8">
        <f>Assumptions!AV77</f>
        <v>2029</v>
      </c>
      <c r="AY42" s="8">
        <f>Assumptions!AW77</f>
        <v>2029</v>
      </c>
      <c r="AZ42" s="8">
        <f>Assumptions!AX77</f>
        <v>2029</v>
      </c>
      <c r="BA42" s="8">
        <f>Assumptions!AY77</f>
        <v>2029</v>
      </c>
      <c r="BB42" s="8">
        <f>Assumptions!AZ77</f>
        <v>2030</v>
      </c>
      <c r="BC42" s="8">
        <f>Assumptions!BA77</f>
        <v>2030</v>
      </c>
      <c r="BD42" s="8">
        <f>Assumptions!BB77</f>
        <v>2030</v>
      </c>
      <c r="BE42" s="8">
        <f>Assumptions!BC77</f>
        <v>2030</v>
      </c>
      <c r="BF42" s="8">
        <f>Assumptions!BD77</f>
        <v>2030</v>
      </c>
      <c r="BG42" s="8">
        <f>Assumptions!BE77</f>
        <v>2030</v>
      </c>
      <c r="BH42" s="8">
        <f>Assumptions!BF77</f>
        <v>2030</v>
      </c>
      <c r="BI42" s="8">
        <f>Assumptions!BG77</f>
        <v>2030</v>
      </c>
      <c r="BJ42" s="8">
        <f>Assumptions!BH77</f>
        <v>2030</v>
      </c>
      <c r="BK42" s="8">
        <f>Assumptions!BI77</f>
        <v>2030</v>
      </c>
      <c r="BL42" s="8">
        <f>Assumptions!BJ77</f>
        <v>2030</v>
      </c>
      <c r="BM42" s="8">
        <f>Assumptions!BK77</f>
        <v>2030</v>
      </c>
      <c r="BN42" s="8">
        <f>Assumptions!BL77</f>
        <v>2031</v>
      </c>
      <c r="BO42" s="8">
        <f>Assumptions!BM77</f>
        <v>2031</v>
      </c>
      <c r="BP42" s="8">
        <f>Assumptions!BN77</f>
        <v>2031</v>
      </c>
      <c r="BQ42" s="8">
        <f>Assumptions!BO77</f>
        <v>2031</v>
      </c>
      <c r="BR42" s="8">
        <f>Assumptions!BP77</f>
        <v>2031</v>
      </c>
      <c r="BS42" s="8">
        <f>Assumptions!BQ77</f>
        <v>2031</v>
      </c>
      <c r="BT42" s="8">
        <f>Assumptions!BR77</f>
        <v>2031</v>
      </c>
      <c r="BU42" s="8">
        <f>Assumptions!BS77</f>
        <v>2031</v>
      </c>
      <c r="BV42" s="8">
        <f>Assumptions!BT77</f>
        <v>2031</v>
      </c>
      <c r="BW42" s="8">
        <f>Assumptions!BU77</f>
        <v>2031</v>
      </c>
      <c r="BX42" s="8">
        <f>Assumptions!BV77</f>
        <v>2031</v>
      </c>
      <c r="BY42" s="8">
        <f>Assumptions!BW77</f>
        <v>2031</v>
      </c>
      <c r="BZ42" s="8">
        <f>Assumptions!BX77</f>
        <v>2032</v>
      </c>
      <c r="CA42" s="8">
        <f>Assumptions!BY77</f>
        <v>2032</v>
      </c>
      <c r="CB42" s="8">
        <f>Assumptions!BZ77</f>
        <v>2032</v>
      </c>
      <c r="CC42" s="8">
        <f>Assumptions!CA77</f>
        <v>2032</v>
      </c>
      <c r="CD42" s="8">
        <f>Assumptions!CB77</f>
        <v>2032</v>
      </c>
      <c r="CE42" s="8">
        <f>Assumptions!CC77</f>
        <v>2032</v>
      </c>
      <c r="CF42" s="8">
        <f>Assumptions!CD77</f>
        <v>2032</v>
      </c>
      <c r="CG42" s="8">
        <f>Assumptions!CE77</f>
        <v>2032</v>
      </c>
      <c r="CH42" s="8">
        <f>Assumptions!CF77</f>
        <v>2032</v>
      </c>
      <c r="CI42" s="8">
        <f>Assumptions!CG77</f>
        <v>2032</v>
      </c>
      <c r="CJ42" s="8">
        <f>Assumptions!CH77</f>
        <v>2032</v>
      </c>
      <c r="CK42" s="8">
        <f>Assumptions!CI77</f>
        <v>2032</v>
      </c>
      <c r="CL42" s="8">
        <f>Assumptions!CJ77</f>
        <v>2033</v>
      </c>
      <c r="CM42" s="8">
        <f>Assumptions!CK77</f>
        <v>2033</v>
      </c>
      <c r="CN42" s="8">
        <f>Assumptions!CL77</f>
        <v>2033</v>
      </c>
      <c r="CO42" s="8">
        <f>Assumptions!CM77</f>
        <v>2033</v>
      </c>
      <c r="CP42" s="8">
        <f>Assumptions!CN77</f>
        <v>2033</v>
      </c>
      <c r="CQ42" s="8">
        <f>Assumptions!CO77</f>
        <v>2033</v>
      </c>
      <c r="CR42" s="8">
        <f>Assumptions!CP77</f>
        <v>2033</v>
      </c>
      <c r="CS42" s="8">
        <f>Assumptions!CQ77</f>
        <v>2033</v>
      </c>
      <c r="CT42" s="8">
        <f>Assumptions!CR77</f>
        <v>2033</v>
      </c>
      <c r="CU42" s="8">
        <f>Assumptions!CS77</f>
        <v>2033</v>
      </c>
      <c r="CV42" s="8">
        <f>Assumptions!CT77</f>
        <v>2033</v>
      </c>
      <c r="CW42" s="8">
        <f>Assumptions!CU77</f>
        <v>2033</v>
      </c>
      <c r="CX42" s="8">
        <f>Assumptions!CV77</f>
        <v>2034</v>
      </c>
      <c r="CY42" s="8">
        <f>Assumptions!CW77</f>
        <v>2034</v>
      </c>
      <c r="CZ42" s="8">
        <f>Assumptions!CX77</f>
        <v>2034</v>
      </c>
      <c r="DA42" s="8">
        <f>Assumptions!CY77</f>
        <v>2034</v>
      </c>
      <c r="DB42" s="8">
        <f>Assumptions!CZ77</f>
        <v>2034</v>
      </c>
      <c r="DC42" s="8">
        <f>Assumptions!DA77</f>
        <v>2034</v>
      </c>
      <c r="DD42" s="8">
        <f>Assumptions!DB77</f>
        <v>2034</v>
      </c>
      <c r="DE42" s="8">
        <f>Assumptions!DC77</f>
        <v>2034</v>
      </c>
      <c r="DF42" s="8">
        <f>Assumptions!DD77</f>
        <v>2034</v>
      </c>
      <c r="DG42" s="8">
        <f>Assumptions!DE77</f>
        <v>2034</v>
      </c>
      <c r="DH42" s="8">
        <f>Assumptions!DF77</f>
        <v>2034</v>
      </c>
      <c r="DI42" s="8">
        <f>Assumptions!DG77</f>
        <v>2034</v>
      </c>
      <c r="DJ42" s="8">
        <f>Assumptions!DH77</f>
        <v>2035</v>
      </c>
      <c r="DK42" s="8">
        <f>Assumptions!DI77</f>
        <v>2035</v>
      </c>
      <c r="DL42" s="8">
        <f>Assumptions!DJ77</f>
        <v>2035</v>
      </c>
      <c r="DM42" s="8">
        <f>Assumptions!DK77</f>
        <v>2035</v>
      </c>
      <c r="DN42" s="8">
        <f>Assumptions!DL77</f>
        <v>2035</v>
      </c>
      <c r="DO42" s="8">
        <f>Assumptions!DM77</f>
        <v>2035</v>
      </c>
      <c r="DP42" s="8">
        <f>Assumptions!DN77</f>
        <v>2035</v>
      </c>
      <c r="DQ42" s="8">
        <f>Assumptions!DO77</f>
        <v>2035</v>
      </c>
      <c r="DR42" s="8">
        <f>Assumptions!DP77</f>
        <v>2035</v>
      </c>
      <c r="DS42" s="8">
        <f>Assumptions!DQ77</f>
        <v>2035</v>
      </c>
      <c r="DT42" s="8">
        <f>Assumptions!DR77</f>
        <v>2035</v>
      </c>
      <c r="DU42" s="8">
        <f>Assumptions!DS77</f>
        <v>2035</v>
      </c>
      <c r="DV42" s="8">
        <f>Assumptions!DT77</f>
        <v>2036</v>
      </c>
      <c r="DW42" s="8">
        <f>Assumptions!DU77</f>
        <v>2036</v>
      </c>
      <c r="DX42" s="8">
        <f>Assumptions!DV77</f>
        <v>2036</v>
      </c>
      <c r="DY42" s="8">
        <f>Assumptions!DW77</f>
        <v>2036</v>
      </c>
      <c r="DZ42" s="8">
        <f>Assumptions!DX77</f>
        <v>2036</v>
      </c>
      <c r="EA42" s="8">
        <f>Assumptions!DY77</f>
        <v>2036</v>
      </c>
      <c r="EB42" s="8">
        <f>Assumptions!DZ77</f>
        <v>2036</v>
      </c>
      <c r="EC42" s="8">
        <f>Assumptions!EA77</f>
        <v>2036</v>
      </c>
      <c r="ED42" s="8">
        <f>Assumptions!EB77</f>
        <v>2036</v>
      </c>
      <c r="EE42" s="8">
        <f>Assumptions!EC77</f>
        <v>2036</v>
      </c>
      <c r="EF42" s="8">
        <f>Assumptions!ED77</f>
        <v>2036</v>
      </c>
      <c r="EG42" s="8">
        <f>Assumptions!EE77</f>
        <v>2036</v>
      </c>
      <c r="EH42" s="8">
        <f>Assumptions!EF77</f>
        <v>2037</v>
      </c>
      <c r="EI42" s="8">
        <f>Assumptions!EG77</f>
        <v>2037</v>
      </c>
      <c r="EJ42" s="8">
        <f>Assumptions!EH77</f>
        <v>2037</v>
      </c>
      <c r="EK42" s="8">
        <f>Assumptions!EI77</f>
        <v>2037</v>
      </c>
      <c r="EL42" s="8">
        <f>Assumptions!EJ77</f>
        <v>2037</v>
      </c>
      <c r="EM42" s="8">
        <f>Assumptions!EK77</f>
        <v>2037</v>
      </c>
      <c r="EN42" s="8">
        <f>Assumptions!EL77</f>
        <v>2037</v>
      </c>
      <c r="EO42" s="8">
        <f>Assumptions!EM77</f>
        <v>2037</v>
      </c>
      <c r="EP42" s="8">
        <f>Assumptions!EN77</f>
        <v>2037</v>
      </c>
      <c r="EQ42" s="8">
        <f>Assumptions!EO77</f>
        <v>2037</v>
      </c>
      <c r="ER42" s="8">
        <f>Assumptions!EP77</f>
        <v>2037</v>
      </c>
      <c r="ES42" s="8">
        <f>Assumptions!EQ77</f>
        <v>2037</v>
      </c>
      <c r="ET42" s="8">
        <f>Assumptions!ER77</f>
        <v>2038</v>
      </c>
      <c r="EU42" s="8">
        <f>Assumptions!ES77</f>
        <v>2038</v>
      </c>
      <c r="EV42" s="8">
        <f>Assumptions!ET77</f>
        <v>2038</v>
      </c>
      <c r="EW42" s="8">
        <f>Assumptions!EU77</f>
        <v>2038</v>
      </c>
      <c r="EX42" s="8">
        <f>Assumptions!EV77</f>
        <v>2038</v>
      </c>
      <c r="EY42" s="8">
        <f>Assumptions!EW77</f>
        <v>2038</v>
      </c>
      <c r="EZ42" s="8">
        <f>Assumptions!EX77</f>
        <v>2038</v>
      </c>
      <c r="FA42" s="8">
        <f>Assumptions!EY77</f>
        <v>2038</v>
      </c>
      <c r="FB42" s="8">
        <f>Assumptions!EZ77</f>
        <v>2038</v>
      </c>
      <c r="FC42" s="8">
        <f>Assumptions!FA77</f>
        <v>2038</v>
      </c>
      <c r="FD42" s="8">
        <f>Assumptions!FB77</f>
        <v>2038</v>
      </c>
      <c r="FE42" s="8">
        <f>Assumptions!FC77</f>
        <v>2038</v>
      </c>
      <c r="FF42" s="8">
        <f>Assumptions!FD77</f>
        <v>2039</v>
      </c>
      <c r="FG42" s="8">
        <f>Assumptions!FE77</f>
        <v>2039</v>
      </c>
      <c r="FH42" s="8">
        <f>Assumptions!FF77</f>
        <v>2039</v>
      </c>
      <c r="FI42" s="8">
        <f>Assumptions!FG77</f>
        <v>2039</v>
      </c>
      <c r="FJ42" s="8">
        <f>Assumptions!FH77</f>
        <v>2039</v>
      </c>
      <c r="FK42" s="8">
        <f>Assumptions!FI77</f>
        <v>2039</v>
      </c>
      <c r="FL42" s="8">
        <f>Assumptions!FJ77</f>
        <v>2039</v>
      </c>
      <c r="FM42" s="8">
        <f>Assumptions!FK77</f>
        <v>2039</v>
      </c>
      <c r="FN42" s="8">
        <f>Assumptions!FL77</f>
        <v>2039</v>
      </c>
      <c r="FO42" s="8">
        <f>Assumptions!FM77</f>
        <v>2039</v>
      </c>
      <c r="FP42" s="8">
        <f>Assumptions!FN77</f>
        <v>2039</v>
      </c>
      <c r="FQ42" s="8">
        <f>Assumptions!FO77</f>
        <v>2039</v>
      </c>
      <c r="FR42" s="8">
        <f>Assumptions!FP77</f>
        <v>2040</v>
      </c>
      <c r="FS42" s="8">
        <f>Assumptions!FQ77</f>
        <v>2040</v>
      </c>
      <c r="FT42" s="8">
        <f>Assumptions!FR77</f>
        <v>2040</v>
      </c>
      <c r="FU42" s="8">
        <f>Assumptions!FS77</f>
        <v>2040</v>
      </c>
      <c r="FV42" s="8">
        <f>Assumptions!FT77</f>
        <v>2040</v>
      </c>
      <c r="FW42" s="8">
        <f>Assumptions!FU77</f>
        <v>2040</v>
      </c>
      <c r="FX42" s="8">
        <f>Assumptions!FV77</f>
        <v>2040</v>
      </c>
      <c r="FY42" s="8">
        <f>Assumptions!FW77</f>
        <v>2040</v>
      </c>
      <c r="FZ42" s="8">
        <f>Assumptions!FX77</f>
        <v>2040</v>
      </c>
      <c r="GA42" s="8">
        <f>Assumptions!FY77</f>
        <v>2040</v>
      </c>
      <c r="GB42" s="8">
        <f>Assumptions!FZ77</f>
        <v>2040</v>
      </c>
      <c r="GC42" s="8">
        <f>Assumptions!GA77</f>
        <v>2040</v>
      </c>
    </row>
    <row r="43" spans="1:185">
      <c r="A43" s="7"/>
      <c r="B43" s="7" t="s">
        <v>70</v>
      </c>
      <c r="C43" s="7"/>
      <c r="D43" s="7"/>
      <c r="E43" s="7"/>
      <c r="F43" s="8" t="str">
        <f>Assumptions!D78</f>
        <v>Jan</v>
      </c>
      <c r="G43" s="8" t="str">
        <f>Assumptions!E78</f>
        <v>Feb</v>
      </c>
      <c r="H43" s="8" t="str">
        <f>Assumptions!F78</f>
        <v>Mar</v>
      </c>
      <c r="I43" s="8" t="str">
        <f>Assumptions!G78</f>
        <v>Apr</v>
      </c>
      <c r="J43" s="8" t="str">
        <f>Assumptions!H78</f>
        <v>May</v>
      </c>
      <c r="K43" s="8" t="str">
        <f>Assumptions!I78</f>
        <v>Jun</v>
      </c>
      <c r="L43" s="8" t="str">
        <f>Assumptions!J78</f>
        <v>Jul</v>
      </c>
      <c r="M43" s="8" t="str">
        <f>Assumptions!K78</f>
        <v>Aug</v>
      </c>
      <c r="N43" s="8" t="str">
        <f>Assumptions!L78</f>
        <v>Sep</v>
      </c>
      <c r="O43" s="8" t="str">
        <f>Assumptions!M78</f>
        <v>Oct</v>
      </c>
      <c r="P43" s="8" t="str">
        <f>Assumptions!N78</f>
        <v>Nov</v>
      </c>
      <c r="Q43" s="8" t="str">
        <f>Assumptions!O78</f>
        <v>Dec</v>
      </c>
      <c r="R43" s="8" t="str">
        <f>Assumptions!P78</f>
        <v>Jan</v>
      </c>
      <c r="S43" s="8" t="str">
        <f>Assumptions!Q78</f>
        <v>Feb</v>
      </c>
      <c r="T43" s="8" t="str">
        <f>Assumptions!R78</f>
        <v>Mar</v>
      </c>
      <c r="U43" s="8" t="str">
        <f>Assumptions!S78</f>
        <v>Apr</v>
      </c>
      <c r="V43" s="8" t="str">
        <f>Assumptions!T78</f>
        <v>May</v>
      </c>
      <c r="W43" s="8" t="str">
        <f>Assumptions!U78</f>
        <v>Jun</v>
      </c>
      <c r="X43" s="8" t="str">
        <f>Assumptions!V78</f>
        <v>Jul</v>
      </c>
      <c r="Y43" s="8" t="str">
        <f>Assumptions!W78</f>
        <v>Aug</v>
      </c>
      <c r="Z43" s="8" t="str">
        <f>Assumptions!X78</f>
        <v>Sep</v>
      </c>
      <c r="AA43" s="8" t="str">
        <f>Assumptions!Y78</f>
        <v>Oct</v>
      </c>
      <c r="AB43" s="8" t="str">
        <f>Assumptions!Z78</f>
        <v>Nov</v>
      </c>
      <c r="AC43" s="8" t="str">
        <f>Assumptions!AA78</f>
        <v>Dec</v>
      </c>
      <c r="AD43" s="8" t="str">
        <f>Assumptions!AB78</f>
        <v>Jan</v>
      </c>
      <c r="AE43" s="8" t="str">
        <f>Assumptions!AC78</f>
        <v>Feb</v>
      </c>
      <c r="AF43" s="8" t="str">
        <f>Assumptions!AD78</f>
        <v>Mar</v>
      </c>
      <c r="AG43" s="8" t="str">
        <f>Assumptions!AE78</f>
        <v>Apr</v>
      </c>
      <c r="AH43" s="8" t="str">
        <f>Assumptions!AF78</f>
        <v>May</v>
      </c>
      <c r="AI43" s="8" t="str">
        <f>Assumptions!AG78</f>
        <v>Jun</v>
      </c>
      <c r="AJ43" s="8" t="str">
        <f>Assumptions!AH78</f>
        <v>Jul</v>
      </c>
      <c r="AK43" s="8" t="str">
        <f>Assumptions!AI78</f>
        <v>Aug</v>
      </c>
      <c r="AL43" s="8" t="str">
        <f>Assumptions!AJ78</f>
        <v>Sep</v>
      </c>
      <c r="AM43" s="8" t="str">
        <f>Assumptions!AK78</f>
        <v>Oct</v>
      </c>
      <c r="AN43" s="8" t="str">
        <f>Assumptions!AL78</f>
        <v>Nov</v>
      </c>
      <c r="AO43" s="8" t="str">
        <f>Assumptions!AM78</f>
        <v>Dec</v>
      </c>
      <c r="AP43" s="8" t="str">
        <f>Assumptions!AN78</f>
        <v>Jan</v>
      </c>
      <c r="AQ43" s="8" t="str">
        <f>Assumptions!AO78</f>
        <v>Feb</v>
      </c>
      <c r="AR43" s="8" t="str">
        <f>Assumptions!AP78</f>
        <v>Mar</v>
      </c>
      <c r="AS43" s="8" t="str">
        <f>Assumptions!AQ78</f>
        <v>Apr</v>
      </c>
      <c r="AT43" s="8" t="str">
        <f>Assumptions!AR78</f>
        <v>May</v>
      </c>
      <c r="AU43" s="8" t="str">
        <f>Assumptions!AS78</f>
        <v>Jun</v>
      </c>
      <c r="AV43" s="8" t="str">
        <f>Assumptions!AT78</f>
        <v>Jul</v>
      </c>
      <c r="AW43" s="8" t="str">
        <f>Assumptions!AU78</f>
        <v>Aug</v>
      </c>
      <c r="AX43" s="8" t="str">
        <f>Assumptions!AV78</f>
        <v>Sep</v>
      </c>
      <c r="AY43" s="8" t="str">
        <f>Assumptions!AW78</f>
        <v>Oct</v>
      </c>
      <c r="AZ43" s="8" t="str">
        <f>Assumptions!AX78</f>
        <v>Nov</v>
      </c>
      <c r="BA43" s="8" t="str">
        <f>Assumptions!AY78</f>
        <v>Dec</v>
      </c>
      <c r="BB43" s="8" t="str">
        <f>Assumptions!AZ78</f>
        <v>Jan</v>
      </c>
      <c r="BC43" s="8" t="str">
        <f>Assumptions!BA78</f>
        <v>Feb</v>
      </c>
      <c r="BD43" s="8" t="str">
        <f>Assumptions!BB78</f>
        <v>Mar</v>
      </c>
      <c r="BE43" s="8" t="str">
        <f>Assumptions!BC78</f>
        <v>Apr</v>
      </c>
      <c r="BF43" s="8" t="str">
        <f>Assumptions!BD78</f>
        <v>May</v>
      </c>
      <c r="BG43" s="8" t="str">
        <f>Assumptions!BE78</f>
        <v>Jun</v>
      </c>
      <c r="BH43" s="8" t="str">
        <f>Assumptions!BF78</f>
        <v>Jul</v>
      </c>
      <c r="BI43" s="8" t="str">
        <f>Assumptions!BG78</f>
        <v>Aug</v>
      </c>
      <c r="BJ43" s="8" t="str">
        <f>Assumptions!BH78</f>
        <v>Sep</v>
      </c>
      <c r="BK43" s="8" t="str">
        <f>Assumptions!BI78</f>
        <v>Oct</v>
      </c>
      <c r="BL43" s="8" t="str">
        <f>Assumptions!BJ78</f>
        <v>Nov</v>
      </c>
      <c r="BM43" s="8" t="str">
        <f>Assumptions!BK78</f>
        <v>Dec</v>
      </c>
      <c r="BN43" s="8" t="str">
        <f>Assumptions!BL78</f>
        <v>Jan</v>
      </c>
      <c r="BO43" s="8" t="str">
        <f>Assumptions!BM78</f>
        <v>Feb</v>
      </c>
      <c r="BP43" s="8" t="str">
        <f>Assumptions!BN78</f>
        <v>Mar</v>
      </c>
      <c r="BQ43" s="8" t="str">
        <f>Assumptions!BO78</f>
        <v>Apr</v>
      </c>
      <c r="BR43" s="8" t="str">
        <f>Assumptions!BP78</f>
        <v>May</v>
      </c>
      <c r="BS43" s="8" t="str">
        <f>Assumptions!BQ78</f>
        <v>Jun</v>
      </c>
      <c r="BT43" s="8" t="str">
        <f>Assumptions!BR78</f>
        <v>Jul</v>
      </c>
      <c r="BU43" s="8" t="str">
        <f>Assumptions!BS78</f>
        <v>Aug</v>
      </c>
      <c r="BV43" s="8" t="str">
        <f>Assumptions!BT78</f>
        <v>Sep</v>
      </c>
      <c r="BW43" s="8" t="str">
        <f>Assumptions!BU78</f>
        <v>Oct</v>
      </c>
      <c r="BX43" s="8" t="str">
        <f>Assumptions!BV78</f>
        <v>Nov</v>
      </c>
      <c r="BY43" s="8" t="str">
        <f>Assumptions!BW78</f>
        <v>Dec</v>
      </c>
      <c r="BZ43" s="8" t="str">
        <f>Assumptions!BX78</f>
        <v>Jan</v>
      </c>
      <c r="CA43" s="8" t="str">
        <f>Assumptions!BY78</f>
        <v>Feb</v>
      </c>
      <c r="CB43" s="8" t="str">
        <f>Assumptions!BZ78</f>
        <v>Mar</v>
      </c>
      <c r="CC43" s="8" t="str">
        <f>Assumptions!CA78</f>
        <v>Apr</v>
      </c>
      <c r="CD43" s="8" t="str">
        <f>Assumptions!CB78</f>
        <v>May</v>
      </c>
      <c r="CE43" s="8" t="str">
        <f>Assumptions!CC78</f>
        <v>Jun</v>
      </c>
      <c r="CF43" s="8" t="str">
        <f>Assumptions!CD78</f>
        <v>Jul</v>
      </c>
      <c r="CG43" s="8" t="str">
        <f>Assumptions!CE78</f>
        <v>Aug</v>
      </c>
      <c r="CH43" s="8" t="str">
        <f>Assumptions!CF78</f>
        <v>Sep</v>
      </c>
      <c r="CI43" s="8" t="str">
        <f>Assumptions!CG78</f>
        <v>Oct</v>
      </c>
      <c r="CJ43" s="8" t="str">
        <f>Assumptions!CH78</f>
        <v>Nov</v>
      </c>
      <c r="CK43" s="8" t="str">
        <f>Assumptions!CI78</f>
        <v>Dec</v>
      </c>
      <c r="CL43" s="8" t="str">
        <f>Assumptions!CJ78</f>
        <v>Jan</v>
      </c>
      <c r="CM43" s="8" t="str">
        <f>Assumptions!CK78</f>
        <v>Feb</v>
      </c>
      <c r="CN43" s="8" t="str">
        <f>Assumptions!CL78</f>
        <v>Mar</v>
      </c>
      <c r="CO43" s="8" t="str">
        <f>Assumptions!CM78</f>
        <v>Apr</v>
      </c>
      <c r="CP43" s="8" t="str">
        <f>Assumptions!CN78</f>
        <v>May</v>
      </c>
      <c r="CQ43" s="8" t="str">
        <f>Assumptions!CO78</f>
        <v>Jun</v>
      </c>
      <c r="CR43" s="8" t="str">
        <f>Assumptions!CP78</f>
        <v>Jul</v>
      </c>
      <c r="CS43" s="8" t="str">
        <f>Assumptions!CQ78</f>
        <v>Aug</v>
      </c>
      <c r="CT43" s="8" t="str">
        <f>Assumptions!CR78</f>
        <v>Sep</v>
      </c>
      <c r="CU43" s="8" t="str">
        <f>Assumptions!CS78</f>
        <v>Oct</v>
      </c>
      <c r="CV43" s="8" t="str">
        <f>Assumptions!CT78</f>
        <v>Nov</v>
      </c>
      <c r="CW43" s="8" t="str">
        <f>Assumptions!CU78</f>
        <v>Dec</v>
      </c>
      <c r="CX43" s="8" t="str">
        <f>Assumptions!CV78</f>
        <v>Jan</v>
      </c>
      <c r="CY43" s="8" t="str">
        <f>Assumptions!CW78</f>
        <v>Feb</v>
      </c>
      <c r="CZ43" s="8" t="str">
        <f>Assumptions!CX78</f>
        <v>Mar</v>
      </c>
      <c r="DA43" s="8" t="str">
        <f>Assumptions!CY78</f>
        <v>Apr</v>
      </c>
      <c r="DB43" s="8" t="str">
        <f>Assumptions!CZ78</f>
        <v>May</v>
      </c>
      <c r="DC43" s="8" t="str">
        <f>Assumptions!DA78</f>
        <v>Jun</v>
      </c>
      <c r="DD43" s="8" t="str">
        <f>Assumptions!DB78</f>
        <v>Jul</v>
      </c>
      <c r="DE43" s="8" t="str">
        <f>Assumptions!DC78</f>
        <v>Aug</v>
      </c>
      <c r="DF43" s="8" t="str">
        <f>Assumptions!DD78</f>
        <v>Sep</v>
      </c>
      <c r="DG43" s="8" t="str">
        <f>Assumptions!DE78</f>
        <v>Oct</v>
      </c>
      <c r="DH43" s="8" t="str">
        <f>Assumptions!DF78</f>
        <v>Nov</v>
      </c>
      <c r="DI43" s="8" t="str">
        <f>Assumptions!DG78</f>
        <v>Dec</v>
      </c>
      <c r="DJ43" s="8" t="str">
        <f>Assumptions!DH78</f>
        <v>Jan</v>
      </c>
      <c r="DK43" s="8" t="str">
        <f>Assumptions!DI78</f>
        <v>Feb</v>
      </c>
      <c r="DL43" s="8" t="str">
        <f>Assumptions!DJ78</f>
        <v>Mar</v>
      </c>
      <c r="DM43" s="8" t="str">
        <f>Assumptions!DK78</f>
        <v>Apr</v>
      </c>
      <c r="DN43" s="8" t="str">
        <f>Assumptions!DL78</f>
        <v>May</v>
      </c>
      <c r="DO43" s="8" t="str">
        <f>Assumptions!DM78</f>
        <v>Jun</v>
      </c>
      <c r="DP43" s="8" t="str">
        <f>Assumptions!DN78</f>
        <v>Jul</v>
      </c>
      <c r="DQ43" s="8" t="str">
        <f>Assumptions!DO78</f>
        <v>Aug</v>
      </c>
      <c r="DR43" s="8" t="str">
        <f>Assumptions!DP78</f>
        <v>Sep</v>
      </c>
      <c r="DS43" s="8" t="str">
        <f>Assumptions!DQ78</f>
        <v>Oct</v>
      </c>
      <c r="DT43" s="8" t="str">
        <f>Assumptions!DR78</f>
        <v>Nov</v>
      </c>
      <c r="DU43" s="8" t="str">
        <f>Assumptions!DS78</f>
        <v>Dec</v>
      </c>
      <c r="DV43" s="8" t="str">
        <f>Assumptions!DT78</f>
        <v>Jan</v>
      </c>
      <c r="DW43" s="8" t="str">
        <f>Assumptions!DU78</f>
        <v>Feb</v>
      </c>
      <c r="DX43" s="8" t="str">
        <f>Assumptions!DV78</f>
        <v>Mar</v>
      </c>
      <c r="DY43" s="8" t="str">
        <f>Assumptions!DW78</f>
        <v>Apr</v>
      </c>
      <c r="DZ43" s="8" t="str">
        <f>Assumptions!DX78</f>
        <v>May</v>
      </c>
      <c r="EA43" s="8" t="str">
        <f>Assumptions!DY78</f>
        <v>Jun</v>
      </c>
      <c r="EB43" s="8" t="str">
        <f>Assumptions!DZ78</f>
        <v>Jul</v>
      </c>
      <c r="EC43" s="8" t="str">
        <f>Assumptions!EA78</f>
        <v>Aug</v>
      </c>
      <c r="ED43" s="8" t="str">
        <f>Assumptions!EB78</f>
        <v>Sep</v>
      </c>
      <c r="EE43" s="8" t="str">
        <f>Assumptions!EC78</f>
        <v>Oct</v>
      </c>
      <c r="EF43" s="8" t="str">
        <f>Assumptions!ED78</f>
        <v>Nov</v>
      </c>
      <c r="EG43" s="8" t="str">
        <f>Assumptions!EE78</f>
        <v>Dec</v>
      </c>
      <c r="EH43" s="8" t="str">
        <f>Assumptions!EF78</f>
        <v>Jan</v>
      </c>
      <c r="EI43" s="8" t="str">
        <f>Assumptions!EG78</f>
        <v>Feb</v>
      </c>
      <c r="EJ43" s="8" t="str">
        <f>Assumptions!EH78</f>
        <v>Mar</v>
      </c>
      <c r="EK43" s="8" t="str">
        <f>Assumptions!EI78</f>
        <v>Apr</v>
      </c>
      <c r="EL43" s="8" t="str">
        <f>Assumptions!EJ78</f>
        <v>May</v>
      </c>
      <c r="EM43" s="8" t="str">
        <f>Assumptions!EK78</f>
        <v>Jun</v>
      </c>
      <c r="EN43" s="8" t="str">
        <f>Assumptions!EL78</f>
        <v>Jul</v>
      </c>
      <c r="EO43" s="8" t="str">
        <f>Assumptions!EM78</f>
        <v>Aug</v>
      </c>
      <c r="EP43" s="8" t="str">
        <f>Assumptions!EN78</f>
        <v>Sep</v>
      </c>
      <c r="EQ43" s="8" t="str">
        <f>Assumptions!EO78</f>
        <v>Oct</v>
      </c>
      <c r="ER43" s="8" t="str">
        <f>Assumptions!EP78</f>
        <v>Nov</v>
      </c>
      <c r="ES43" s="8" t="str">
        <f>Assumptions!EQ78</f>
        <v>Dec</v>
      </c>
      <c r="ET43" s="8" t="str">
        <f>Assumptions!ER78</f>
        <v>Jan</v>
      </c>
      <c r="EU43" s="8" t="str">
        <f>Assumptions!ES78</f>
        <v>Feb</v>
      </c>
      <c r="EV43" s="8" t="str">
        <f>Assumptions!ET78</f>
        <v>Mar</v>
      </c>
      <c r="EW43" s="8" t="str">
        <f>Assumptions!EU78</f>
        <v>Apr</v>
      </c>
      <c r="EX43" s="8" t="str">
        <f>Assumptions!EV78</f>
        <v>May</v>
      </c>
      <c r="EY43" s="8" t="str">
        <f>Assumptions!EW78</f>
        <v>Jun</v>
      </c>
      <c r="EZ43" s="8" t="str">
        <f>Assumptions!EX78</f>
        <v>Jul</v>
      </c>
      <c r="FA43" s="8" t="str">
        <f>Assumptions!EY78</f>
        <v>Aug</v>
      </c>
      <c r="FB43" s="8" t="str">
        <f>Assumptions!EZ78</f>
        <v>Sep</v>
      </c>
      <c r="FC43" s="8" t="str">
        <f>Assumptions!FA78</f>
        <v>Oct</v>
      </c>
      <c r="FD43" s="8" t="str">
        <f>Assumptions!FB78</f>
        <v>Nov</v>
      </c>
      <c r="FE43" s="8" t="str">
        <f>Assumptions!FC78</f>
        <v>Dec</v>
      </c>
      <c r="FF43" s="8" t="str">
        <f>Assumptions!FD78</f>
        <v>Jan</v>
      </c>
      <c r="FG43" s="8" t="str">
        <f>Assumptions!FE78</f>
        <v>Feb</v>
      </c>
      <c r="FH43" s="8" t="str">
        <f>Assumptions!FF78</f>
        <v>Mar</v>
      </c>
      <c r="FI43" s="8" t="str">
        <f>Assumptions!FG78</f>
        <v>Apr</v>
      </c>
      <c r="FJ43" s="8" t="str">
        <f>Assumptions!FH78</f>
        <v>May</v>
      </c>
      <c r="FK43" s="8" t="str">
        <f>Assumptions!FI78</f>
        <v>Jun</v>
      </c>
      <c r="FL43" s="8" t="str">
        <f>Assumptions!FJ78</f>
        <v>Jul</v>
      </c>
      <c r="FM43" s="8" t="str">
        <f>Assumptions!FK78</f>
        <v>Aug</v>
      </c>
      <c r="FN43" s="8" t="str">
        <f>Assumptions!FL78</f>
        <v>Sep</v>
      </c>
      <c r="FO43" s="8" t="str">
        <f>Assumptions!FM78</f>
        <v>Oct</v>
      </c>
      <c r="FP43" s="8" t="str">
        <f>Assumptions!FN78</f>
        <v>Nov</v>
      </c>
      <c r="FQ43" s="8" t="str">
        <f>Assumptions!FO78</f>
        <v>Dec</v>
      </c>
      <c r="FR43" s="8" t="str">
        <f>Assumptions!FP78</f>
        <v>Jan</v>
      </c>
      <c r="FS43" s="8" t="str">
        <f>Assumptions!FQ78</f>
        <v>Feb</v>
      </c>
      <c r="FT43" s="8" t="str">
        <f>Assumptions!FR78</f>
        <v>Mar</v>
      </c>
      <c r="FU43" s="8" t="str">
        <f>Assumptions!FS78</f>
        <v>Apr</v>
      </c>
      <c r="FV43" s="8" t="str">
        <f>Assumptions!FT78</f>
        <v>May</v>
      </c>
      <c r="FW43" s="8" t="str">
        <f>Assumptions!FU78</f>
        <v>Jun</v>
      </c>
      <c r="FX43" s="8" t="str">
        <f>Assumptions!FV78</f>
        <v>Jul</v>
      </c>
      <c r="FY43" s="8" t="str">
        <f>Assumptions!FW78</f>
        <v>Aug</v>
      </c>
      <c r="FZ43" s="8" t="str">
        <f>Assumptions!FX78</f>
        <v>Sep</v>
      </c>
      <c r="GA43" s="8" t="str">
        <f>Assumptions!FY78</f>
        <v>Oct</v>
      </c>
      <c r="GB43" s="8" t="str">
        <f>Assumptions!FZ78</f>
        <v>Nov</v>
      </c>
      <c r="GC43" s="8" t="str">
        <f>Assumptions!GA78</f>
        <v>Dec</v>
      </c>
    </row>
    <row r="44" spans="1:185">
      <c r="A44" s="7"/>
      <c r="B44" s="7" t="s">
        <v>512</v>
      </c>
      <c r="C44" s="7"/>
      <c r="D44" s="7"/>
      <c r="E44" s="7"/>
      <c r="F44" s="8">
        <f>Assumptions!D80</f>
        <v>31</v>
      </c>
      <c r="G44" s="8">
        <f>Assumptions!E80</f>
        <v>28</v>
      </c>
      <c r="H44" s="8">
        <f>Assumptions!F80</f>
        <v>31</v>
      </c>
      <c r="I44" s="8">
        <f>Assumptions!G80</f>
        <v>30</v>
      </c>
      <c r="J44" s="8">
        <f>Assumptions!H80</f>
        <v>31</v>
      </c>
      <c r="K44" s="8">
        <f>Assumptions!I80</f>
        <v>30</v>
      </c>
      <c r="L44" s="8">
        <f>Assumptions!J80</f>
        <v>31</v>
      </c>
      <c r="M44" s="8">
        <f>Assumptions!K80</f>
        <v>31</v>
      </c>
      <c r="N44" s="8">
        <f>Assumptions!L80</f>
        <v>30</v>
      </c>
      <c r="O44" s="8">
        <f>Assumptions!M80</f>
        <v>31</v>
      </c>
      <c r="P44" s="8">
        <f>Assumptions!N80</f>
        <v>30</v>
      </c>
      <c r="Q44" s="8">
        <f>Assumptions!O80</f>
        <v>31</v>
      </c>
      <c r="R44" s="8">
        <f>Assumptions!P80</f>
        <v>31</v>
      </c>
      <c r="S44" s="8">
        <f>Assumptions!Q80</f>
        <v>28</v>
      </c>
      <c r="T44" s="8">
        <f>Assumptions!R80</f>
        <v>31</v>
      </c>
      <c r="U44" s="8">
        <f>Assumptions!S80</f>
        <v>30</v>
      </c>
      <c r="V44" s="8">
        <f>Assumptions!T80</f>
        <v>31</v>
      </c>
      <c r="W44" s="8">
        <f>Assumptions!U80</f>
        <v>30</v>
      </c>
      <c r="X44" s="8">
        <f>Assumptions!V80</f>
        <v>31</v>
      </c>
      <c r="Y44" s="8">
        <f>Assumptions!W80</f>
        <v>31</v>
      </c>
      <c r="Z44" s="8">
        <f>Assumptions!X80</f>
        <v>30</v>
      </c>
      <c r="AA44" s="8">
        <f>Assumptions!Y80</f>
        <v>31</v>
      </c>
      <c r="AB44" s="8">
        <f>Assumptions!Z80</f>
        <v>30</v>
      </c>
      <c r="AC44" s="8">
        <f>Assumptions!AA80</f>
        <v>31</v>
      </c>
      <c r="AD44" s="8">
        <f>Assumptions!AB80</f>
        <v>31</v>
      </c>
      <c r="AE44" s="8">
        <f>Assumptions!AC80</f>
        <v>28</v>
      </c>
      <c r="AF44" s="8">
        <f>Assumptions!AD80</f>
        <v>31</v>
      </c>
      <c r="AG44" s="8">
        <f>Assumptions!AE80</f>
        <v>30</v>
      </c>
      <c r="AH44" s="8">
        <f>Assumptions!AF80</f>
        <v>31</v>
      </c>
      <c r="AI44" s="8">
        <f>Assumptions!AG80</f>
        <v>30</v>
      </c>
      <c r="AJ44" s="8">
        <f>Assumptions!AH80</f>
        <v>31</v>
      </c>
      <c r="AK44" s="8">
        <f>Assumptions!AI80</f>
        <v>31</v>
      </c>
      <c r="AL44" s="8">
        <f>Assumptions!AJ80</f>
        <v>30</v>
      </c>
      <c r="AM44" s="8">
        <f>Assumptions!AK80</f>
        <v>31</v>
      </c>
      <c r="AN44" s="8">
        <f>Assumptions!AL80</f>
        <v>30</v>
      </c>
      <c r="AO44" s="8">
        <f>Assumptions!AM80</f>
        <v>31</v>
      </c>
      <c r="AP44" s="8">
        <f>Assumptions!AN80</f>
        <v>31</v>
      </c>
      <c r="AQ44" s="8">
        <f>Assumptions!AO80</f>
        <v>28</v>
      </c>
      <c r="AR44" s="8">
        <f>Assumptions!AP80</f>
        <v>31</v>
      </c>
      <c r="AS44" s="8">
        <f>Assumptions!AQ80</f>
        <v>30</v>
      </c>
      <c r="AT44" s="8">
        <f>Assumptions!AR80</f>
        <v>31</v>
      </c>
      <c r="AU44" s="8">
        <f>Assumptions!AS80</f>
        <v>30</v>
      </c>
      <c r="AV44" s="8">
        <f>Assumptions!AT80</f>
        <v>31</v>
      </c>
      <c r="AW44" s="8">
        <f>Assumptions!AU80</f>
        <v>31</v>
      </c>
      <c r="AX44" s="8">
        <f>Assumptions!AV80</f>
        <v>30</v>
      </c>
      <c r="AY44" s="8">
        <f>Assumptions!AW80</f>
        <v>31</v>
      </c>
      <c r="AZ44" s="8">
        <f>Assumptions!AX80</f>
        <v>30</v>
      </c>
      <c r="BA44" s="8">
        <f>Assumptions!AY80</f>
        <v>31</v>
      </c>
      <c r="BB44" s="8">
        <f>Assumptions!AZ80</f>
        <v>31</v>
      </c>
      <c r="BC44" s="8">
        <f>Assumptions!BA80</f>
        <v>28</v>
      </c>
      <c r="BD44" s="8">
        <f>Assumptions!BB80</f>
        <v>31</v>
      </c>
      <c r="BE44" s="8">
        <f>Assumptions!BC80</f>
        <v>30</v>
      </c>
      <c r="BF44" s="8">
        <f>Assumptions!BD80</f>
        <v>31</v>
      </c>
      <c r="BG44" s="8">
        <f>Assumptions!BE80</f>
        <v>30</v>
      </c>
      <c r="BH44" s="8">
        <f>Assumptions!BF80</f>
        <v>31</v>
      </c>
      <c r="BI44" s="8">
        <f>Assumptions!BG80</f>
        <v>31</v>
      </c>
      <c r="BJ44" s="8">
        <f>Assumptions!BH80</f>
        <v>30</v>
      </c>
      <c r="BK44" s="8">
        <f>Assumptions!BI80</f>
        <v>31</v>
      </c>
      <c r="BL44" s="8">
        <f>Assumptions!BJ80</f>
        <v>30</v>
      </c>
      <c r="BM44" s="8">
        <f>Assumptions!BK80</f>
        <v>31</v>
      </c>
      <c r="BN44" s="8">
        <f>Assumptions!BL80</f>
        <v>31</v>
      </c>
      <c r="BO44" s="8">
        <f>Assumptions!BM80</f>
        <v>28</v>
      </c>
      <c r="BP44" s="8">
        <f>Assumptions!BN80</f>
        <v>31</v>
      </c>
      <c r="BQ44" s="8">
        <f>Assumptions!BO80</f>
        <v>30</v>
      </c>
      <c r="BR44" s="8">
        <f>Assumptions!BP80</f>
        <v>31</v>
      </c>
      <c r="BS44" s="8">
        <f>Assumptions!BQ80</f>
        <v>30</v>
      </c>
      <c r="BT44" s="8">
        <f>Assumptions!BR80</f>
        <v>31</v>
      </c>
      <c r="BU44" s="8">
        <f>Assumptions!BS80</f>
        <v>31</v>
      </c>
      <c r="BV44" s="8">
        <f>Assumptions!BT80</f>
        <v>30</v>
      </c>
      <c r="BW44" s="8">
        <f>Assumptions!BU80</f>
        <v>31</v>
      </c>
      <c r="BX44" s="8">
        <f>Assumptions!BV80</f>
        <v>30</v>
      </c>
      <c r="BY44" s="8">
        <f>Assumptions!BW80</f>
        <v>31</v>
      </c>
      <c r="BZ44" s="8">
        <f>Assumptions!BX80</f>
        <v>31</v>
      </c>
      <c r="CA44" s="8">
        <f>Assumptions!BY80</f>
        <v>28</v>
      </c>
      <c r="CB44" s="8">
        <f>Assumptions!BZ80</f>
        <v>31</v>
      </c>
      <c r="CC44" s="8">
        <f>Assumptions!CA80</f>
        <v>30</v>
      </c>
      <c r="CD44" s="8">
        <f>Assumptions!CB80</f>
        <v>31</v>
      </c>
      <c r="CE44" s="8">
        <f>Assumptions!CC80</f>
        <v>30</v>
      </c>
      <c r="CF44" s="8">
        <f>Assumptions!CD80</f>
        <v>31</v>
      </c>
      <c r="CG44" s="8">
        <f>Assumptions!CE80</f>
        <v>31</v>
      </c>
      <c r="CH44" s="8">
        <f>Assumptions!CF80</f>
        <v>30</v>
      </c>
      <c r="CI44" s="8">
        <f>Assumptions!CG80</f>
        <v>31</v>
      </c>
      <c r="CJ44" s="8">
        <f>Assumptions!CH80</f>
        <v>30</v>
      </c>
      <c r="CK44" s="8">
        <f>Assumptions!CI80</f>
        <v>31</v>
      </c>
      <c r="CL44" s="8">
        <f>Assumptions!CJ80</f>
        <v>31</v>
      </c>
      <c r="CM44" s="8">
        <f>Assumptions!CK80</f>
        <v>28</v>
      </c>
      <c r="CN44" s="8">
        <f>Assumptions!CL80</f>
        <v>31</v>
      </c>
      <c r="CO44" s="8">
        <f>Assumptions!CM80</f>
        <v>30</v>
      </c>
      <c r="CP44" s="8">
        <f>Assumptions!CN80</f>
        <v>31</v>
      </c>
      <c r="CQ44" s="8">
        <f>Assumptions!CO80</f>
        <v>30</v>
      </c>
      <c r="CR44" s="8">
        <f>Assumptions!CP80</f>
        <v>31</v>
      </c>
      <c r="CS44" s="8">
        <f>Assumptions!CQ80</f>
        <v>31</v>
      </c>
      <c r="CT44" s="8">
        <f>Assumptions!CR80</f>
        <v>30</v>
      </c>
      <c r="CU44" s="8">
        <f>Assumptions!CS80</f>
        <v>31</v>
      </c>
      <c r="CV44" s="8">
        <f>Assumptions!CT80</f>
        <v>30</v>
      </c>
      <c r="CW44" s="8">
        <f>Assumptions!CU80</f>
        <v>31</v>
      </c>
      <c r="CX44" s="8">
        <f>Assumptions!CV80</f>
        <v>31</v>
      </c>
      <c r="CY44" s="8">
        <f>Assumptions!CW80</f>
        <v>28</v>
      </c>
      <c r="CZ44" s="8">
        <f>Assumptions!CX80</f>
        <v>31</v>
      </c>
      <c r="DA44" s="8">
        <f>Assumptions!CY80</f>
        <v>30</v>
      </c>
      <c r="DB44" s="8">
        <f>Assumptions!CZ80</f>
        <v>31</v>
      </c>
      <c r="DC44" s="8">
        <f>Assumptions!DA80</f>
        <v>30</v>
      </c>
      <c r="DD44" s="8">
        <f>Assumptions!DB80</f>
        <v>31</v>
      </c>
      <c r="DE44" s="8">
        <f>Assumptions!DC80</f>
        <v>31</v>
      </c>
      <c r="DF44" s="8">
        <f>Assumptions!DD80</f>
        <v>30</v>
      </c>
      <c r="DG44" s="8">
        <f>Assumptions!DE80</f>
        <v>31</v>
      </c>
      <c r="DH44" s="8">
        <f>Assumptions!DF80</f>
        <v>30</v>
      </c>
      <c r="DI44" s="8">
        <f>Assumptions!DG80</f>
        <v>31</v>
      </c>
      <c r="DJ44" s="8">
        <f>Assumptions!DH80</f>
        <v>31</v>
      </c>
      <c r="DK44" s="8">
        <f>Assumptions!DI80</f>
        <v>28</v>
      </c>
      <c r="DL44" s="8">
        <f>Assumptions!DJ80</f>
        <v>31</v>
      </c>
      <c r="DM44" s="8">
        <f>Assumptions!DK80</f>
        <v>30</v>
      </c>
      <c r="DN44" s="8">
        <f>Assumptions!DL80</f>
        <v>31</v>
      </c>
      <c r="DO44" s="8">
        <f>Assumptions!DM80</f>
        <v>30</v>
      </c>
      <c r="DP44" s="8">
        <f>Assumptions!DN80</f>
        <v>31</v>
      </c>
      <c r="DQ44" s="8">
        <f>Assumptions!DO80</f>
        <v>31</v>
      </c>
      <c r="DR44" s="8">
        <f>Assumptions!DP80</f>
        <v>30</v>
      </c>
      <c r="DS44" s="8">
        <f>Assumptions!DQ80</f>
        <v>31</v>
      </c>
      <c r="DT44" s="8">
        <f>Assumptions!DR80</f>
        <v>30</v>
      </c>
      <c r="DU44" s="8">
        <f>Assumptions!DS80</f>
        <v>31</v>
      </c>
      <c r="DV44" s="8">
        <f>Assumptions!DT80</f>
        <v>31</v>
      </c>
      <c r="DW44" s="8">
        <f>Assumptions!DU80</f>
        <v>28</v>
      </c>
      <c r="DX44" s="8">
        <f>Assumptions!DV80</f>
        <v>31</v>
      </c>
      <c r="DY44" s="8">
        <f>Assumptions!DW80</f>
        <v>30</v>
      </c>
      <c r="DZ44" s="8">
        <f>Assumptions!DX80</f>
        <v>31</v>
      </c>
      <c r="EA44" s="8">
        <f>Assumptions!DY80</f>
        <v>30</v>
      </c>
      <c r="EB44" s="8">
        <f>Assumptions!DZ80</f>
        <v>31</v>
      </c>
      <c r="EC44" s="8">
        <f>Assumptions!EA80</f>
        <v>31</v>
      </c>
      <c r="ED44" s="8">
        <f>Assumptions!EB80</f>
        <v>30</v>
      </c>
      <c r="EE44" s="8">
        <f>Assumptions!EC80</f>
        <v>31</v>
      </c>
      <c r="EF44" s="8">
        <f>Assumptions!ED80</f>
        <v>30</v>
      </c>
      <c r="EG44" s="8">
        <f>Assumptions!EE80</f>
        <v>31</v>
      </c>
      <c r="EH44" s="8">
        <f>Assumptions!EF80</f>
        <v>31</v>
      </c>
      <c r="EI44" s="8">
        <f>Assumptions!EG80</f>
        <v>28</v>
      </c>
      <c r="EJ44" s="8">
        <f>Assumptions!EH80</f>
        <v>31</v>
      </c>
      <c r="EK44" s="8">
        <f>Assumptions!EI80</f>
        <v>30</v>
      </c>
      <c r="EL44" s="8">
        <f>Assumptions!EJ80</f>
        <v>31</v>
      </c>
      <c r="EM44" s="8">
        <f>Assumptions!EK80</f>
        <v>30</v>
      </c>
      <c r="EN44" s="8">
        <f>Assumptions!EL80</f>
        <v>31</v>
      </c>
      <c r="EO44" s="8">
        <f>Assumptions!EM80</f>
        <v>31</v>
      </c>
      <c r="EP44" s="8">
        <f>Assumptions!EN80</f>
        <v>30</v>
      </c>
      <c r="EQ44" s="8">
        <f>Assumptions!EO80</f>
        <v>31</v>
      </c>
      <c r="ER44" s="8">
        <f>Assumptions!EP80</f>
        <v>30</v>
      </c>
      <c r="ES44" s="8">
        <f>Assumptions!EQ80</f>
        <v>31</v>
      </c>
      <c r="ET44" s="8">
        <f>Assumptions!ER80</f>
        <v>31</v>
      </c>
      <c r="EU44" s="8">
        <f>Assumptions!ES80</f>
        <v>28</v>
      </c>
      <c r="EV44" s="8">
        <f>Assumptions!ET80</f>
        <v>31</v>
      </c>
      <c r="EW44" s="8">
        <f>Assumptions!EU80</f>
        <v>30</v>
      </c>
      <c r="EX44" s="8">
        <f>Assumptions!EV80</f>
        <v>31</v>
      </c>
      <c r="EY44" s="8">
        <f>Assumptions!EW80</f>
        <v>30</v>
      </c>
      <c r="EZ44" s="8">
        <f>Assumptions!EX80</f>
        <v>31</v>
      </c>
      <c r="FA44" s="8">
        <f>Assumptions!EY80</f>
        <v>31</v>
      </c>
      <c r="FB44" s="8">
        <f>Assumptions!EZ80</f>
        <v>30</v>
      </c>
      <c r="FC44" s="8">
        <f>Assumptions!FA80</f>
        <v>31</v>
      </c>
      <c r="FD44" s="8">
        <f>Assumptions!FB80</f>
        <v>30</v>
      </c>
      <c r="FE44" s="8">
        <f>Assumptions!FC80</f>
        <v>31</v>
      </c>
      <c r="FF44" s="8">
        <f>Assumptions!FD80</f>
        <v>31</v>
      </c>
      <c r="FG44" s="8">
        <f>Assumptions!FE80</f>
        <v>28</v>
      </c>
      <c r="FH44" s="8">
        <f>Assumptions!FF80</f>
        <v>31</v>
      </c>
      <c r="FI44" s="8">
        <f>Assumptions!FG80</f>
        <v>30</v>
      </c>
      <c r="FJ44" s="8">
        <f>Assumptions!FH80</f>
        <v>31</v>
      </c>
      <c r="FK44" s="8">
        <f>Assumptions!FI80</f>
        <v>30</v>
      </c>
      <c r="FL44" s="8">
        <f>Assumptions!FJ80</f>
        <v>31</v>
      </c>
      <c r="FM44" s="8">
        <f>Assumptions!FK80</f>
        <v>31</v>
      </c>
      <c r="FN44" s="8">
        <f>Assumptions!FL80</f>
        <v>30</v>
      </c>
      <c r="FO44" s="8">
        <f>Assumptions!FM80</f>
        <v>31</v>
      </c>
      <c r="FP44" s="8">
        <f>Assumptions!FN80</f>
        <v>30</v>
      </c>
      <c r="FQ44" s="8">
        <f>Assumptions!FO80</f>
        <v>31</v>
      </c>
      <c r="FR44" s="8">
        <f>Assumptions!FP80</f>
        <v>31</v>
      </c>
      <c r="FS44" s="8">
        <f>Assumptions!FQ80</f>
        <v>28</v>
      </c>
      <c r="FT44" s="8">
        <f>Assumptions!FR80</f>
        <v>31</v>
      </c>
      <c r="FU44" s="8">
        <f>Assumptions!FS80</f>
        <v>30</v>
      </c>
      <c r="FV44" s="8">
        <f>Assumptions!FT80</f>
        <v>31</v>
      </c>
      <c r="FW44" s="8">
        <f>Assumptions!FU80</f>
        <v>30</v>
      </c>
      <c r="FX44" s="8">
        <f>Assumptions!FV80</f>
        <v>31</v>
      </c>
      <c r="FY44" s="8">
        <f>Assumptions!FW80</f>
        <v>31</v>
      </c>
      <c r="FZ44" s="8">
        <f>Assumptions!FX80</f>
        <v>30</v>
      </c>
      <c r="GA44" s="8">
        <f>Assumptions!FY80</f>
        <v>31</v>
      </c>
      <c r="GB44" s="8">
        <f>Assumptions!FZ80</f>
        <v>30</v>
      </c>
      <c r="GC44" s="8">
        <f>Assumptions!GA80</f>
        <v>31</v>
      </c>
    </row>
    <row r="45" spans="1:185">
      <c r="B45" s="178"/>
    </row>
    <row r="46" spans="1:185">
      <c r="A46" s="10" t="s">
        <v>513</v>
      </c>
    </row>
    <row r="47" spans="1:185">
      <c r="B47" t="s">
        <v>514</v>
      </c>
      <c r="E47" s="38">
        <f>SUM(F47:GC47)</f>
        <v>606297.59999999986</v>
      </c>
      <c r="F47">
        <f>Proforma!F165</f>
        <v>0</v>
      </c>
      <c r="G47">
        <f>Proforma!G165</f>
        <v>0</v>
      </c>
      <c r="H47">
        <f>Proforma!H165</f>
        <v>0</v>
      </c>
      <c r="I47">
        <f>Proforma!I165</f>
        <v>0</v>
      </c>
      <c r="J47">
        <f>Proforma!J165</f>
        <v>0</v>
      </c>
      <c r="K47">
        <f>Proforma!K165</f>
        <v>0</v>
      </c>
      <c r="L47">
        <f>Proforma!L165</f>
        <v>0</v>
      </c>
      <c r="M47">
        <f>Proforma!M165</f>
        <v>3571.2</v>
      </c>
      <c r="N47">
        <f>Proforma!N165</f>
        <v>3455.9999999999991</v>
      </c>
      <c r="O47">
        <f>Proforma!O165</f>
        <v>3571.2</v>
      </c>
      <c r="P47">
        <f>Proforma!P165</f>
        <v>3455.9999999999991</v>
      </c>
      <c r="Q47">
        <f>Proforma!Q165</f>
        <v>3571.2</v>
      </c>
      <c r="R47">
        <f>Proforma!R165</f>
        <v>3571.2</v>
      </c>
      <c r="S47">
        <f>Proforma!S165</f>
        <v>3225.6000000000004</v>
      </c>
      <c r="T47">
        <f>Proforma!T165</f>
        <v>3571.2</v>
      </c>
      <c r="U47">
        <f>Proforma!U165</f>
        <v>3455.9999999999991</v>
      </c>
      <c r="V47">
        <f>Proforma!V165</f>
        <v>3571.2</v>
      </c>
      <c r="W47">
        <f>Proforma!W165</f>
        <v>3455.9999999999991</v>
      </c>
      <c r="X47">
        <f>Proforma!X165</f>
        <v>3571.2</v>
      </c>
      <c r="Y47">
        <f>Proforma!Y165</f>
        <v>3571.2</v>
      </c>
      <c r="Z47">
        <f>Proforma!Z165</f>
        <v>3455.9999999999991</v>
      </c>
      <c r="AA47">
        <f>Proforma!AA165</f>
        <v>3571.2</v>
      </c>
      <c r="AB47">
        <f>Proforma!AB165</f>
        <v>3455.9999999999991</v>
      </c>
      <c r="AC47">
        <f>Proforma!AC165</f>
        <v>3571.2</v>
      </c>
      <c r="AD47">
        <f>Proforma!AD165</f>
        <v>3571.2</v>
      </c>
      <c r="AE47">
        <f>Proforma!AE165</f>
        <v>3225.6000000000004</v>
      </c>
      <c r="AF47">
        <f>Proforma!AF165</f>
        <v>3571.2</v>
      </c>
      <c r="AG47">
        <f>Proforma!AG165</f>
        <v>3455.9999999999991</v>
      </c>
      <c r="AH47">
        <f>Proforma!AH165</f>
        <v>3571.2</v>
      </c>
      <c r="AI47">
        <f>Proforma!AI165</f>
        <v>3455.9999999999991</v>
      </c>
      <c r="AJ47">
        <f>Proforma!AJ165</f>
        <v>3571.2</v>
      </c>
      <c r="AK47">
        <f>Proforma!AK165</f>
        <v>3571.2</v>
      </c>
      <c r="AL47">
        <f>Proforma!AL165</f>
        <v>3455.9999999999991</v>
      </c>
      <c r="AM47">
        <f>Proforma!AM165</f>
        <v>3571.2</v>
      </c>
      <c r="AN47">
        <f>Proforma!AN165</f>
        <v>3455.9999999999991</v>
      </c>
      <c r="AO47">
        <f>Proforma!AO165</f>
        <v>3571.2</v>
      </c>
      <c r="AP47">
        <f>Proforma!AP165</f>
        <v>3571.2</v>
      </c>
      <c r="AQ47">
        <f>Proforma!AQ165</f>
        <v>3225.6000000000004</v>
      </c>
      <c r="AR47">
        <f>Proforma!AR165</f>
        <v>3571.2</v>
      </c>
      <c r="AS47">
        <f>Proforma!AS165</f>
        <v>3455.9999999999991</v>
      </c>
      <c r="AT47">
        <f>Proforma!AT165</f>
        <v>3571.2</v>
      </c>
      <c r="AU47">
        <f>Proforma!AU165</f>
        <v>3455.9999999999991</v>
      </c>
      <c r="AV47">
        <f>Proforma!AV165</f>
        <v>3571.2</v>
      </c>
      <c r="AW47">
        <f>Proforma!AW165</f>
        <v>3571.2</v>
      </c>
      <c r="AX47">
        <f>Proforma!AX165</f>
        <v>3455.9999999999991</v>
      </c>
      <c r="AY47">
        <f>Proforma!AY165</f>
        <v>3571.2</v>
      </c>
      <c r="AZ47">
        <f>Proforma!AZ165</f>
        <v>3455.9999999999991</v>
      </c>
      <c r="BA47">
        <f>Proforma!BA165</f>
        <v>3571.2</v>
      </c>
      <c r="BB47">
        <f>Proforma!BB165</f>
        <v>3571.2</v>
      </c>
      <c r="BC47">
        <f>Proforma!BC165</f>
        <v>3225.6000000000004</v>
      </c>
      <c r="BD47">
        <f>Proforma!BD165</f>
        <v>3571.2</v>
      </c>
      <c r="BE47">
        <f>Proforma!BE165</f>
        <v>3455.9999999999991</v>
      </c>
      <c r="BF47">
        <f>Proforma!BF165</f>
        <v>3571.2</v>
      </c>
      <c r="BG47">
        <f>Proforma!BG165</f>
        <v>3455.9999999999991</v>
      </c>
      <c r="BH47">
        <f>Proforma!BH165</f>
        <v>3571.2</v>
      </c>
      <c r="BI47">
        <f>Proforma!BI165</f>
        <v>3571.2</v>
      </c>
      <c r="BJ47">
        <f>Proforma!BJ165</f>
        <v>3455.9999999999991</v>
      </c>
      <c r="BK47">
        <f>Proforma!BK165</f>
        <v>3571.2</v>
      </c>
      <c r="BL47">
        <f>Proforma!BL165</f>
        <v>3455.9999999999991</v>
      </c>
      <c r="BM47">
        <f>Proforma!BM165</f>
        <v>3571.2</v>
      </c>
      <c r="BN47">
        <f>Proforma!BN165</f>
        <v>3571.2</v>
      </c>
      <c r="BO47">
        <f>Proforma!BO165</f>
        <v>3225.6000000000004</v>
      </c>
      <c r="BP47">
        <f>Proforma!BP165</f>
        <v>3571.2</v>
      </c>
      <c r="BQ47">
        <f>Proforma!BQ165</f>
        <v>3455.9999999999991</v>
      </c>
      <c r="BR47">
        <f>Proforma!BR165</f>
        <v>3571.2</v>
      </c>
      <c r="BS47">
        <f>Proforma!BS165</f>
        <v>3455.9999999999991</v>
      </c>
      <c r="BT47">
        <f>Proforma!BT165</f>
        <v>3571.2</v>
      </c>
      <c r="BU47">
        <f>Proforma!BU165</f>
        <v>3571.2</v>
      </c>
      <c r="BV47">
        <f>Proforma!BV165</f>
        <v>3455.9999999999991</v>
      </c>
      <c r="BW47">
        <f>Proforma!BW165</f>
        <v>3571.2</v>
      </c>
      <c r="BX47">
        <f>Proforma!BX165</f>
        <v>3455.9999999999991</v>
      </c>
      <c r="BY47">
        <f>Proforma!BY165</f>
        <v>3571.2</v>
      </c>
      <c r="BZ47">
        <f>Proforma!BZ165</f>
        <v>3571.2</v>
      </c>
      <c r="CA47">
        <f>Proforma!CA165</f>
        <v>3225.6000000000004</v>
      </c>
      <c r="CB47">
        <f>Proforma!CB165</f>
        <v>3571.2</v>
      </c>
      <c r="CC47">
        <f>Proforma!CC165</f>
        <v>3455.9999999999991</v>
      </c>
      <c r="CD47">
        <f>Proforma!CD165</f>
        <v>3571.2</v>
      </c>
      <c r="CE47">
        <f>Proforma!CE165</f>
        <v>3455.9999999999991</v>
      </c>
      <c r="CF47">
        <f>Proforma!CF165</f>
        <v>3571.2</v>
      </c>
      <c r="CG47">
        <f>Proforma!CG165</f>
        <v>3571.2</v>
      </c>
      <c r="CH47">
        <f>Proforma!CH165</f>
        <v>3455.9999999999991</v>
      </c>
      <c r="CI47">
        <f>Proforma!CI165</f>
        <v>3571.2</v>
      </c>
      <c r="CJ47">
        <f>Proforma!CJ165</f>
        <v>3455.9999999999991</v>
      </c>
      <c r="CK47">
        <f>Proforma!CK165</f>
        <v>3571.2</v>
      </c>
      <c r="CL47">
        <f>Proforma!CL165</f>
        <v>3571.2</v>
      </c>
      <c r="CM47">
        <f>Proforma!CM165</f>
        <v>3225.6000000000004</v>
      </c>
      <c r="CN47">
        <f>Proforma!CN165</f>
        <v>3571.2</v>
      </c>
      <c r="CO47">
        <f>Proforma!CO165</f>
        <v>3455.9999999999991</v>
      </c>
      <c r="CP47">
        <f>Proforma!CP165</f>
        <v>3571.2</v>
      </c>
      <c r="CQ47">
        <f>Proforma!CQ165</f>
        <v>3455.9999999999991</v>
      </c>
      <c r="CR47">
        <f>Proforma!CR165</f>
        <v>3571.2</v>
      </c>
      <c r="CS47">
        <f>Proforma!CS165</f>
        <v>3571.2</v>
      </c>
      <c r="CT47">
        <f>Proforma!CT165</f>
        <v>3455.9999999999991</v>
      </c>
      <c r="CU47">
        <f>Proforma!CU165</f>
        <v>3571.2</v>
      </c>
      <c r="CV47">
        <f>Proforma!CV165</f>
        <v>3455.9999999999991</v>
      </c>
      <c r="CW47">
        <f>Proforma!CW165</f>
        <v>3571.2</v>
      </c>
      <c r="CX47">
        <f>Proforma!CX165</f>
        <v>3571.2</v>
      </c>
      <c r="CY47">
        <f>Proforma!CY165</f>
        <v>3225.6000000000004</v>
      </c>
      <c r="CZ47">
        <f>Proforma!CZ165</f>
        <v>3571.2</v>
      </c>
      <c r="DA47">
        <f>Proforma!DA165</f>
        <v>3455.9999999999991</v>
      </c>
      <c r="DB47">
        <f>Proforma!DB165</f>
        <v>3571.2</v>
      </c>
      <c r="DC47">
        <f>Proforma!DC165</f>
        <v>3455.9999999999991</v>
      </c>
      <c r="DD47">
        <f>Proforma!DD165</f>
        <v>3571.2</v>
      </c>
      <c r="DE47">
        <f>Proforma!DE165</f>
        <v>3571.2</v>
      </c>
      <c r="DF47">
        <f>Proforma!DF165</f>
        <v>3455.9999999999991</v>
      </c>
      <c r="DG47">
        <f>Proforma!DG165</f>
        <v>3571.2</v>
      </c>
      <c r="DH47">
        <f>Proforma!DH165</f>
        <v>3455.9999999999991</v>
      </c>
      <c r="DI47">
        <f>Proforma!DI165</f>
        <v>3571.2</v>
      </c>
      <c r="DJ47">
        <f>Proforma!DJ165</f>
        <v>3571.2</v>
      </c>
      <c r="DK47">
        <f>Proforma!DK165</f>
        <v>3225.6000000000004</v>
      </c>
      <c r="DL47">
        <f>Proforma!DL165</f>
        <v>3571.2</v>
      </c>
      <c r="DM47">
        <f>Proforma!DM165</f>
        <v>3455.9999999999991</v>
      </c>
      <c r="DN47">
        <f>Proforma!DN165</f>
        <v>3571.2</v>
      </c>
      <c r="DO47">
        <f>Proforma!DO165</f>
        <v>3455.9999999999991</v>
      </c>
      <c r="DP47">
        <f>Proforma!DP165</f>
        <v>3571.2</v>
      </c>
      <c r="DQ47">
        <f>Proforma!DQ165</f>
        <v>3571.2</v>
      </c>
      <c r="DR47">
        <f>Proforma!DR165</f>
        <v>3455.9999999999991</v>
      </c>
      <c r="DS47">
        <f>Proforma!DS165</f>
        <v>3571.2</v>
      </c>
      <c r="DT47">
        <f>Proforma!DT165</f>
        <v>3455.9999999999991</v>
      </c>
      <c r="DU47">
        <f>Proforma!DU165</f>
        <v>3571.2</v>
      </c>
      <c r="DV47">
        <f>Proforma!DV165</f>
        <v>3571.2</v>
      </c>
      <c r="DW47">
        <f>Proforma!DW165</f>
        <v>3225.6000000000004</v>
      </c>
      <c r="DX47">
        <f>Proforma!DX165</f>
        <v>3571.2</v>
      </c>
      <c r="DY47">
        <f>Proforma!DY165</f>
        <v>3455.9999999999991</v>
      </c>
      <c r="DZ47">
        <f>Proforma!DZ165</f>
        <v>3571.2</v>
      </c>
      <c r="EA47">
        <f>Proforma!EA165</f>
        <v>3455.9999999999991</v>
      </c>
      <c r="EB47">
        <f>Proforma!EB165</f>
        <v>3571.2</v>
      </c>
      <c r="EC47">
        <f>Proforma!EC165</f>
        <v>3571.2</v>
      </c>
      <c r="ED47">
        <f>Proforma!ED165</f>
        <v>3455.9999999999991</v>
      </c>
      <c r="EE47">
        <f>Proforma!EE165</f>
        <v>3571.2</v>
      </c>
      <c r="EF47">
        <f>Proforma!EF165</f>
        <v>3455.9999999999991</v>
      </c>
      <c r="EG47">
        <f>Proforma!EG165</f>
        <v>3571.2</v>
      </c>
      <c r="EH47">
        <f>Proforma!EH165</f>
        <v>3571.2</v>
      </c>
      <c r="EI47">
        <f>Proforma!EI165</f>
        <v>3225.6000000000004</v>
      </c>
      <c r="EJ47">
        <f>Proforma!EJ165</f>
        <v>3571.2</v>
      </c>
      <c r="EK47">
        <f>Proforma!EK165</f>
        <v>3455.9999999999991</v>
      </c>
      <c r="EL47">
        <f>Proforma!EL165</f>
        <v>3571.2</v>
      </c>
      <c r="EM47">
        <f>Proforma!EM165</f>
        <v>3455.9999999999991</v>
      </c>
      <c r="EN47">
        <f>Proforma!EN165</f>
        <v>3571.2</v>
      </c>
      <c r="EO47">
        <f>Proforma!EO165</f>
        <v>3571.2</v>
      </c>
      <c r="EP47">
        <f>Proforma!EP165</f>
        <v>3455.9999999999991</v>
      </c>
      <c r="EQ47">
        <f>Proforma!EQ165</f>
        <v>3571.2</v>
      </c>
      <c r="ER47">
        <f>Proforma!ER165</f>
        <v>3455.9999999999991</v>
      </c>
      <c r="ES47">
        <f>Proforma!ES165</f>
        <v>3571.2</v>
      </c>
      <c r="ET47">
        <f>Proforma!ET165</f>
        <v>3571.2</v>
      </c>
      <c r="EU47">
        <f>Proforma!EU165</f>
        <v>3225.6000000000004</v>
      </c>
      <c r="EV47">
        <f>Proforma!EV165</f>
        <v>3571.2</v>
      </c>
      <c r="EW47">
        <f>Proforma!EW165</f>
        <v>3455.9999999999991</v>
      </c>
      <c r="EX47">
        <f>Proforma!EX165</f>
        <v>3571.2</v>
      </c>
      <c r="EY47">
        <f>Proforma!EY165</f>
        <v>3455.9999999999991</v>
      </c>
      <c r="EZ47">
        <f>Proforma!EZ165</f>
        <v>3571.2</v>
      </c>
      <c r="FA47">
        <f>Proforma!FA165</f>
        <v>3571.2</v>
      </c>
      <c r="FB47">
        <f>Proforma!FB165</f>
        <v>3455.9999999999991</v>
      </c>
      <c r="FC47">
        <f>Proforma!FC165</f>
        <v>3571.2</v>
      </c>
      <c r="FD47">
        <f>Proforma!FD165</f>
        <v>3455.9999999999991</v>
      </c>
      <c r="FE47">
        <f>Proforma!FE165</f>
        <v>3571.2</v>
      </c>
      <c r="FF47">
        <f>Proforma!FF165</f>
        <v>3571.2</v>
      </c>
      <c r="FG47">
        <f>Proforma!FG165</f>
        <v>3225.6000000000004</v>
      </c>
      <c r="FH47">
        <f>Proforma!FH165</f>
        <v>3571.2</v>
      </c>
      <c r="FI47">
        <f>Proforma!FI165</f>
        <v>3455.9999999999991</v>
      </c>
      <c r="FJ47">
        <f>Proforma!FJ165</f>
        <v>3571.2</v>
      </c>
      <c r="FK47">
        <f>Proforma!FK165</f>
        <v>3455.9999999999991</v>
      </c>
      <c r="FL47">
        <f>Proforma!FL165</f>
        <v>3571.2</v>
      </c>
      <c r="FM47">
        <f>Proforma!FM165</f>
        <v>3571.2</v>
      </c>
      <c r="FN47">
        <f>Proforma!FN165</f>
        <v>3455.9999999999991</v>
      </c>
      <c r="FO47">
        <f>Proforma!FO165</f>
        <v>3571.2</v>
      </c>
      <c r="FP47">
        <f>Proforma!FP165</f>
        <v>3455.9999999999991</v>
      </c>
      <c r="FQ47">
        <f>Proforma!FQ165</f>
        <v>3571.2</v>
      </c>
      <c r="FR47">
        <f>Proforma!FR165</f>
        <v>3571.2</v>
      </c>
      <c r="FS47">
        <f>Proforma!FS165</f>
        <v>3225.6000000000004</v>
      </c>
      <c r="FT47">
        <f>Proforma!FT165</f>
        <v>3571.2</v>
      </c>
      <c r="FU47">
        <f>Proforma!FU165</f>
        <v>3455.9999999999991</v>
      </c>
      <c r="FV47">
        <f>Proforma!FV165</f>
        <v>3571.2</v>
      </c>
      <c r="FW47">
        <f>Proforma!FW165</f>
        <v>3455.9999999999991</v>
      </c>
      <c r="FX47">
        <f>Proforma!FX165</f>
        <v>3571.2</v>
      </c>
      <c r="FY47">
        <f>Proforma!FY165</f>
        <v>3571.2</v>
      </c>
      <c r="FZ47">
        <f>Proforma!FZ165</f>
        <v>3455.9999999999991</v>
      </c>
      <c r="GA47">
        <f>Proforma!GA165</f>
        <v>3571.2</v>
      </c>
      <c r="GB47">
        <f>Proforma!GB165</f>
        <v>3455.9999999999991</v>
      </c>
      <c r="GC47">
        <f>Proforma!GC165</f>
        <v>3571.2</v>
      </c>
    </row>
    <row r="49" spans="1:185">
      <c r="B49" t="s">
        <v>515</v>
      </c>
      <c r="E49" s="38">
        <f>SUM(F49:GC49)</f>
        <v>14435.657142857104</v>
      </c>
      <c r="F49" s="2">
        <f t="shared" ref="F49:AK49" si="0">SUM(F47:F47)/42</f>
        <v>0</v>
      </c>
      <c r="G49" s="2">
        <f t="shared" si="0"/>
        <v>0</v>
      </c>
      <c r="H49" s="2">
        <f t="shared" si="0"/>
        <v>0</v>
      </c>
      <c r="I49" s="2">
        <f t="shared" si="0"/>
        <v>0</v>
      </c>
      <c r="J49" s="2">
        <f t="shared" si="0"/>
        <v>0</v>
      </c>
      <c r="K49" s="2">
        <f t="shared" si="0"/>
        <v>0</v>
      </c>
      <c r="L49" s="2">
        <f t="shared" si="0"/>
        <v>0</v>
      </c>
      <c r="M49" s="2">
        <f t="shared" si="0"/>
        <v>85.028571428571425</v>
      </c>
      <c r="N49" s="2">
        <f t="shared" si="0"/>
        <v>82.285714285714263</v>
      </c>
      <c r="O49" s="2">
        <f t="shared" si="0"/>
        <v>85.028571428571425</v>
      </c>
      <c r="P49" s="2">
        <f t="shared" si="0"/>
        <v>82.285714285714263</v>
      </c>
      <c r="Q49" s="2">
        <f t="shared" si="0"/>
        <v>85.028571428571425</v>
      </c>
      <c r="R49" s="2">
        <f t="shared" si="0"/>
        <v>85.028571428571425</v>
      </c>
      <c r="S49" s="2">
        <f t="shared" si="0"/>
        <v>76.800000000000011</v>
      </c>
      <c r="T49" s="2">
        <f t="shared" si="0"/>
        <v>85.028571428571425</v>
      </c>
      <c r="U49" s="2">
        <f t="shared" si="0"/>
        <v>82.285714285714263</v>
      </c>
      <c r="V49" s="2">
        <f t="shared" si="0"/>
        <v>85.028571428571425</v>
      </c>
      <c r="W49" s="2">
        <f t="shared" si="0"/>
        <v>82.285714285714263</v>
      </c>
      <c r="X49" s="2">
        <f t="shared" si="0"/>
        <v>85.028571428571425</v>
      </c>
      <c r="Y49" s="2">
        <f t="shared" si="0"/>
        <v>85.028571428571425</v>
      </c>
      <c r="Z49" s="2">
        <f t="shared" si="0"/>
        <v>82.285714285714263</v>
      </c>
      <c r="AA49" s="2">
        <f t="shared" si="0"/>
        <v>85.028571428571425</v>
      </c>
      <c r="AB49" s="2">
        <f t="shared" si="0"/>
        <v>82.285714285714263</v>
      </c>
      <c r="AC49" s="2">
        <f t="shared" si="0"/>
        <v>85.028571428571425</v>
      </c>
      <c r="AD49" s="2">
        <f t="shared" si="0"/>
        <v>85.028571428571425</v>
      </c>
      <c r="AE49" s="2">
        <f t="shared" si="0"/>
        <v>76.800000000000011</v>
      </c>
      <c r="AF49" s="2">
        <f t="shared" si="0"/>
        <v>85.028571428571425</v>
      </c>
      <c r="AG49" s="2">
        <f t="shared" si="0"/>
        <v>82.285714285714263</v>
      </c>
      <c r="AH49" s="2">
        <f t="shared" si="0"/>
        <v>85.028571428571425</v>
      </c>
      <c r="AI49" s="2">
        <f t="shared" si="0"/>
        <v>82.285714285714263</v>
      </c>
      <c r="AJ49" s="2">
        <f t="shared" si="0"/>
        <v>85.028571428571425</v>
      </c>
      <c r="AK49" s="2">
        <f t="shared" si="0"/>
        <v>85.028571428571425</v>
      </c>
      <c r="AL49" s="2">
        <f t="shared" ref="AL49:BM49" si="1">SUM(AL47:AL47)/42</f>
        <v>82.285714285714263</v>
      </c>
      <c r="AM49" s="2">
        <f t="shared" si="1"/>
        <v>85.028571428571425</v>
      </c>
      <c r="AN49" s="2">
        <f t="shared" si="1"/>
        <v>82.285714285714263</v>
      </c>
      <c r="AO49" s="2">
        <f t="shared" si="1"/>
        <v>85.028571428571425</v>
      </c>
      <c r="AP49" s="2">
        <f t="shared" si="1"/>
        <v>85.028571428571425</v>
      </c>
      <c r="AQ49" s="2">
        <f t="shared" si="1"/>
        <v>76.800000000000011</v>
      </c>
      <c r="AR49" s="2">
        <f t="shared" si="1"/>
        <v>85.028571428571425</v>
      </c>
      <c r="AS49" s="2">
        <f t="shared" si="1"/>
        <v>82.285714285714263</v>
      </c>
      <c r="AT49" s="2">
        <f t="shared" si="1"/>
        <v>85.028571428571425</v>
      </c>
      <c r="AU49" s="2">
        <f t="shared" si="1"/>
        <v>82.285714285714263</v>
      </c>
      <c r="AV49" s="2">
        <f t="shared" si="1"/>
        <v>85.028571428571425</v>
      </c>
      <c r="AW49" s="2">
        <f t="shared" si="1"/>
        <v>85.028571428571425</v>
      </c>
      <c r="AX49" s="2">
        <f t="shared" si="1"/>
        <v>82.285714285714263</v>
      </c>
      <c r="AY49" s="2">
        <f t="shared" si="1"/>
        <v>85.028571428571425</v>
      </c>
      <c r="AZ49" s="2">
        <f t="shared" si="1"/>
        <v>82.285714285714263</v>
      </c>
      <c r="BA49" s="2">
        <f t="shared" si="1"/>
        <v>85.028571428571425</v>
      </c>
      <c r="BB49" s="2">
        <f t="shared" si="1"/>
        <v>85.028571428571425</v>
      </c>
      <c r="BC49" s="2">
        <f t="shared" si="1"/>
        <v>76.800000000000011</v>
      </c>
      <c r="BD49" s="2">
        <f t="shared" si="1"/>
        <v>85.028571428571425</v>
      </c>
      <c r="BE49" s="2">
        <f t="shared" si="1"/>
        <v>82.285714285714263</v>
      </c>
      <c r="BF49" s="2">
        <f t="shared" si="1"/>
        <v>85.028571428571425</v>
      </c>
      <c r="BG49" s="2">
        <f t="shared" si="1"/>
        <v>82.285714285714263</v>
      </c>
      <c r="BH49" s="2">
        <f t="shared" si="1"/>
        <v>85.028571428571425</v>
      </c>
      <c r="BI49" s="2">
        <f t="shared" si="1"/>
        <v>85.028571428571425</v>
      </c>
      <c r="BJ49" s="2">
        <f t="shared" si="1"/>
        <v>82.285714285714263</v>
      </c>
      <c r="BK49" s="2">
        <f t="shared" si="1"/>
        <v>85.028571428571425</v>
      </c>
      <c r="BL49" s="2">
        <f t="shared" si="1"/>
        <v>82.285714285714263</v>
      </c>
      <c r="BM49" s="2">
        <f t="shared" si="1"/>
        <v>85.028571428571425</v>
      </c>
      <c r="BN49" s="2">
        <f t="shared" ref="BN49:DY49" si="2">SUM(BN47:BN47)/42</f>
        <v>85.028571428571425</v>
      </c>
      <c r="BO49" s="2">
        <f t="shared" si="2"/>
        <v>76.800000000000011</v>
      </c>
      <c r="BP49" s="2">
        <f t="shared" si="2"/>
        <v>85.028571428571425</v>
      </c>
      <c r="BQ49" s="2">
        <f t="shared" si="2"/>
        <v>82.285714285714263</v>
      </c>
      <c r="BR49" s="2">
        <f t="shared" si="2"/>
        <v>85.028571428571425</v>
      </c>
      <c r="BS49" s="2">
        <f t="shared" si="2"/>
        <v>82.285714285714263</v>
      </c>
      <c r="BT49" s="2">
        <f t="shared" si="2"/>
        <v>85.028571428571425</v>
      </c>
      <c r="BU49" s="2">
        <f t="shared" si="2"/>
        <v>85.028571428571425</v>
      </c>
      <c r="BV49" s="2">
        <f t="shared" si="2"/>
        <v>82.285714285714263</v>
      </c>
      <c r="BW49" s="2">
        <f t="shared" si="2"/>
        <v>85.028571428571425</v>
      </c>
      <c r="BX49" s="2">
        <f t="shared" si="2"/>
        <v>82.285714285714263</v>
      </c>
      <c r="BY49" s="2">
        <f t="shared" si="2"/>
        <v>85.028571428571425</v>
      </c>
      <c r="BZ49" s="2">
        <f t="shared" si="2"/>
        <v>85.028571428571425</v>
      </c>
      <c r="CA49" s="2">
        <f t="shared" si="2"/>
        <v>76.800000000000011</v>
      </c>
      <c r="CB49" s="2">
        <f t="shared" si="2"/>
        <v>85.028571428571425</v>
      </c>
      <c r="CC49" s="2">
        <f t="shared" si="2"/>
        <v>82.285714285714263</v>
      </c>
      <c r="CD49" s="2">
        <f t="shared" si="2"/>
        <v>85.028571428571425</v>
      </c>
      <c r="CE49" s="2">
        <f t="shared" si="2"/>
        <v>82.285714285714263</v>
      </c>
      <c r="CF49" s="2">
        <f t="shared" si="2"/>
        <v>85.028571428571425</v>
      </c>
      <c r="CG49" s="2">
        <f t="shared" si="2"/>
        <v>85.028571428571425</v>
      </c>
      <c r="CH49" s="2">
        <f t="shared" si="2"/>
        <v>82.285714285714263</v>
      </c>
      <c r="CI49" s="2">
        <f t="shared" si="2"/>
        <v>85.028571428571425</v>
      </c>
      <c r="CJ49" s="2">
        <f t="shared" si="2"/>
        <v>82.285714285714263</v>
      </c>
      <c r="CK49" s="2">
        <f t="shared" si="2"/>
        <v>85.028571428571425</v>
      </c>
      <c r="CL49" s="2">
        <f t="shared" si="2"/>
        <v>85.028571428571425</v>
      </c>
      <c r="CM49" s="2">
        <f t="shared" si="2"/>
        <v>76.800000000000011</v>
      </c>
      <c r="CN49" s="2">
        <f t="shared" si="2"/>
        <v>85.028571428571425</v>
      </c>
      <c r="CO49" s="2">
        <f t="shared" si="2"/>
        <v>82.285714285714263</v>
      </c>
      <c r="CP49" s="2">
        <f t="shared" si="2"/>
        <v>85.028571428571425</v>
      </c>
      <c r="CQ49" s="2">
        <f t="shared" si="2"/>
        <v>82.285714285714263</v>
      </c>
      <c r="CR49" s="2">
        <f t="shared" si="2"/>
        <v>85.028571428571425</v>
      </c>
      <c r="CS49" s="2">
        <f t="shared" si="2"/>
        <v>85.028571428571425</v>
      </c>
      <c r="CT49" s="2">
        <f t="shared" si="2"/>
        <v>82.285714285714263</v>
      </c>
      <c r="CU49" s="2">
        <f t="shared" si="2"/>
        <v>85.028571428571425</v>
      </c>
      <c r="CV49" s="2">
        <f t="shared" si="2"/>
        <v>82.285714285714263</v>
      </c>
      <c r="CW49" s="2">
        <f t="shared" si="2"/>
        <v>85.028571428571425</v>
      </c>
      <c r="CX49" s="2">
        <f t="shared" si="2"/>
        <v>85.028571428571425</v>
      </c>
      <c r="CY49" s="2">
        <f t="shared" si="2"/>
        <v>76.800000000000011</v>
      </c>
      <c r="CZ49" s="2">
        <f t="shared" si="2"/>
        <v>85.028571428571425</v>
      </c>
      <c r="DA49" s="2">
        <f t="shared" si="2"/>
        <v>82.285714285714263</v>
      </c>
      <c r="DB49" s="2">
        <f t="shared" si="2"/>
        <v>85.028571428571425</v>
      </c>
      <c r="DC49" s="2">
        <f t="shared" si="2"/>
        <v>82.285714285714263</v>
      </c>
      <c r="DD49" s="2">
        <f t="shared" si="2"/>
        <v>85.028571428571425</v>
      </c>
      <c r="DE49" s="2">
        <f t="shared" si="2"/>
        <v>85.028571428571425</v>
      </c>
      <c r="DF49" s="2">
        <f t="shared" si="2"/>
        <v>82.285714285714263</v>
      </c>
      <c r="DG49" s="2">
        <f t="shared" si="2"/>
        <v>85.028571428571425</v>
      </c>
      <c r="DH49" s="2">
        <f t="shared" si="2"/>
        <v>82.285714285714263</v>
      </c>
      <c r="DI49" s="2">
        <f t="shared" si="2"/>
        <v>85.028571428571425</v>
      </c>
      <c r="DJ49" s="2">
        <f t="shared" si="2"/>
        <v>85.028571428571425</v>
      </c>
      <c r="DK49" s="2">
        <f t="shared" si="2"/>
        <v>76.800000000000011</v>
      </c>
      <c r="DL49" s="2">
        <f t="shared" si="2"/>
        <v>85.028571428571425</v>
      </c>
      <c r="DM49" s="2">
        <f t="shared" si="2"/>
        <v>82.285714285714263</v>
      </c>
      <c r="DN49" s="2">
        <f t="shared" si="2"/>
        <v>85.028571428571425</v>
      </c>
      <c r="DO49" s="2">
        <f t="shared" si="2"/>
        <v>82.285714285714263</v>
      </c>
      <c r="DP49" s="2">
        <f t="shared" si="2"/>
        <v>85.028571428571425</v>
      </c>
      <c r="DQ49" s="2">
        <f t="shared" si="2"/>
        <v>85.028571428571425</v>
      </c>
      <c r="DR49" s="2">
        <f t="shared" si="2"/>
        <v>82.285714285714263</v>
      </c>
      <c r="DS49" s="2">
        <f t="shared" si="2"/>
        <v>85.028571428571425</v>
      </c>
      <c r="DT49" s="2">
        <f t="shared" si="2"/>
        <v>82.285714285714263</v>
      </c>
      <c r="DU49" s="2">
        <f t="shared" si="2"/>
        <v>85.028571428571425</v>
      </c>
      <c r="DV49" s="2">
        <f t="shared" si="2"/>
        <v>85.028571428571425</v>
      </c>
      <c r="DW49" s="2">
        <f t="shared" si="2"/>
        <v>76.800000000000011</v>
      </c>
      <c r="DX49" s="2">
        <f t="shared" si="2"/>
        <v>85.028571428571425</v>
      </c>
      <c r="DY49" s="2">
        <f t="shared" si="2"/>
        <v>82.285714285714263</v>
      </c>
      <c r="DZ49" s="2">
        <f t="shared" ref="DZ49:GC49" si="3">SUM(DZ47:DZ47)/42</f>
        <v>85.028571428571425</v>
      </c>
      <c r="EA49" s="2">
        <f t="shared" si="3"/>
        <v>82.285714285714263</v>
      </c>
      <c r="EB49" s="2">
        <f t="shared" si="3"/>
        <v>85.028571428571425</v>
      </c>
      <c r="EC49" s="2">
        <f t="shared" si="3"/>
        <v>85.028571428571425</v>
      </c>
      <c r="ED49" s="2">
        <f t="shared" si="3"/>
        <v>82.285714285714263</v>
      </c>
      <c r="EE49" s="2">
        <f t="shared" si="3"/>
        <v>85.028571428571425</v>
      </c>
      <c r="EF49" s="2">
        <f t="shared" si="3"/>
        <v>82.285714285714263</v>
      </c>
      <c r="EG49" s="2">
        <f t="shared" si="3"/>
        <v>85.028571428571425</v>
      </c>
      <c r="EH49" s="2">
        <f t="shared" si="3"/>
        <v>85.028571428571425</v>
      </c>
      <c r="EI49" s="2">
        <f t="shared" si="3"/>
        <v>76.800000000000011</v>
      </c>
      <c r="EJ49" s="2">
        <f t="shared" si="3"/>
        <v>85.028571428571425</v>
      </c>
      <c r="EK49" s="2">
        <f t="shared" si="3"/>
        <v>82.285714285714263</v>
      </c>
      <c r="EL49" s="2">
        <f t="shared" si="3"/>
        <v>85.028571428571425</v>
      </c>
      <c r="EM49" s="2">
        <f t="shared" si="3"/>
        <v>82.285714285714263</v>
      </c>
      <c r="EN49" s="2">
        <f t="shared" si="3"/>
        <v>85.028571428571425</v>
      </c>
      <c r="EO49" s="2">
        <f t="shared" si="3"/>
        <v>85.028571428571425</v>
      </c>
      <c r="EP49" s="2">
        <f t="shared" si="3"/>
        <v>82.285714285714263</v>
      </c>
      <c r="EQ49" s="2">
        <f t="shared" si="3"/>
        <v>85.028571428571425</v>
      </c>
      <c r="ER49" s="2">
        <f t="shared" si="3"/>
        <v>82.285714285714263</v>
      </c>
      <c r="ES49" s="2">
        <f t="shared" si="3"/>
        <v>85.028571428571425</v>
      </c>
      <c r="ET49" s="2">
        <f t="shared" si="3"/>
        <v>85.028571428571425</v>
      </c>
      <c r="EU49" s="2">
        <f t="shared" si="3"/>
        <v>76.800000000000011</v>
      </c>
      <c r="EV49" s="2">
        <f t="shared" si="3"/>
        <v>85.028571428571425</v>
      </c>
      <c r="EW49" s="2">
        <f t="shared" si="3"/>
        <v>82.285714285714263</v>
      </c>
      <c r="EX49" s="2">
        <f t="shared" si="3"/>
        <v>85.028571428571425</v>
      </c>
      <c r="EY49" s="2">
        <f t="shared" si="3"/>
        <v>82.285714285714263</v>
      </c>
      <c r="EZ49" s="2">
        <f t="shared" si="3"/>
        <v>85.028571428571425</v>
      </c>
      <c r="FA49" s="2">
        <f t="shared" si="3"/>
        <v>85.028571428571425</v>
      </c>
      <c r="FB49" s="2">
        <f t="shared" si="3"/>
        <v>82.285714285714263</v>
      </c>
      <c r="FC49" s="2">
        <f t="shared" si="3"/>
        <v>85.028571428571425</v>
      </c>
      <c r="FD49" s="2">
        <f t="shared" si="3"/>
        <v>82.285714285714263</v>
      </c>
      <c r="FE49" s="2">
        <f t="shared" si="3"/>
        <v>85.028571428571425</v>
      </c>
      <c r="FF49" s="2">
        <f t="shared" si="3"/>
        <v>85.028571428571425</v>
      </c>
      <c r="FG49" s="2">
        <f t="shared" si="3"/>
        <v>76.800000000000011</v>
      </c>
      <c r="FH49" s="2">
        <f t="shared" si="3"/>
        <v>85.028571428571425</v>
      </c>
      <c r="FI49" s="2">
        <f t="shared" si="3"/>
        <v>82.285714285714263</v>
      </c>
      <c r="FJ49" s="2">
        <f t="shared" si="3"/>
        <v>85.028571428571425</v>
      </c>
      <c r="FK49" s="2">
        <f t="shared" si="3"/>
        <v>82.285714285714263</v>
      </c>
      <c r="FL49" s="2">
        <f t="shared" si="3"/>
        <v>85.028571428571425</v>
      </c>
      <c r="FM49" s="2">
        <f t="shared" si="3"/>
        <v>85.028571428571425</v>
      </c>
      <c r="FN49" s="2">
        <f t="shared" si="3"/>
        <v>82.285714285714263</v>
      </c>
      <c r="FO49" s="2">
        <f t="shared" si="3"/>
        <v>85.028571428571425</v>
      </c>
      <c r="FP49" s="2">
        <f t="shared" si="3"/>
        <v>82.285714285714263</v>
      </c>
      <c r="FQ49" s="2">
        <f t="shared" si="3"/>
        <v>85.028571428571425</v>
      </c>
      <c r="FR49" s="2">
        <f t="shared" si="3"/>
        <v>85.028571428571425</v>
      </c>
      <c r="FS49" s="2">
        <f t="shared" si="3"/>
        <v>76.800000000000011</v>
      </c>
      <c r="FT49" s="2">
        <f t="shared" si="3"/>
        <v>85.028571428571425</v>
      </c>
      <c r="FU49" s="2">
        <f t="shared" si="3"/>
        <v>82.285714285714263</v>
      </c>
      <c r="FV49" s="2">
        <f t="shared" si="3"/>
        <v>85.028571428571425</v>
      </c>
      <c r="FW49" s="2">
        <f t="shared" si="3"/>
        <v>82.285714285714263</v>
      </c>
      <c r="FX49" s="2">
        <f t="shared" si="3"/>
        <v>85.028571428571425</v>
      </c>
      <c r="FY49" s="2">
        <f t="shared" si="3"/>
        <v>85.028571428571425</v>
      </c>
      <c r="FZ49" s="2">
        <f t="shared" si="3"/>
        <v>82.285714285714263</v>
      </c>
      <c r="GA49" s="2">
        <f t="shared" si="3"/>
        <v>85.028571428571425</v>
      </c>
      <c r="GB49" s="2">
        <f t="shared" si="3"/>
        <v>82.285714285714263</v>
      </c>
      <c r="GC49" s="2">
        <f t="shared" si="3"/>
        <v>85.028571428571425</v>
      </c>
    </row>
    <row r="51" spans="1:185">
      <c r="A51" s="10" t="s">
        <v>516</v>
      </c>
    </row>
    <row r="52" spans="1:185">
      <c r="B52" t="s">
        <v>517</v>
      </c>
      <c r="E52" s="38">
        <f>SUM(F52:GC52)</f>
        <v>23578240</v>
      </c>
      <c r="F52" s="2">
        <f>Proforma!F133</f>
        <v>0</v>
      </c>
      <c r="G52" s="2">
        <f>Proforma!G133</f>
        <v>0</v>
      </c>
      <c r="H52" s="2">
        <f>Proforma!H133</f>
        <v>0</v>
      </c>
      <c r="I52" s="2">
        <f>Proforma!I133</f>
        <v>0</v>
      </c>
      <c r="J52" s="2">
        <f>Proforma!J133</f>
        <v>0</v>
      </c>
      <c r="K52" s="2">
        <f>Proforma!K133</f>
        <v>0</v>
      </c>
      <c r="L52" s="2">
        <f>Proforma!L133</f>
        <v>0</v>
      </c>
      <c r="M52" s="2">
        <f>Proforma!M133</f>
        <v>138879.99999999997</v>
      </c>
      <c r="N52" s="2">
        <f>Proforma!N133</f>
        <v>134400</v>
      </c>
      <c r="O52" s="2">
        <f>Proforma!O133</f>
        <v>138879.99999999997</v>
      </c>
      <c r="P52" s="2">
        <f>Proforma!P133</f>
        <v>134400</v>
      </c>
      <c r="Q52" s="2">
        <f>Proforma!Q133</f>
        <v>138879.99999999997</v>
      </c>
      <c r="R52" s="2">
        <f>Proforma!R133</f>
        <v>138879.99999999997</v>
      </c>
      <c r="S52" s="2">
        <f>Proforma!S133</f>
        <v>125440</v>
      </c>
      <c r="T52" s="2">
        <f>Proforma!T133</f>
        <v>138879.99999999997</v>
      </c>
      <c r="U52" s="2">
        <f>Proforma!U133</f>
        <v>134400</v>
      </c>
      <c r="V52" s="2">
        <f>Proforma!V133</f>
        <v>138879.99999999997</v>
      </c>
      <c r="W52" s="2">
        <f>Proforma!W133</f>
        <v>134400</v>
      </c>
      <c r="X52" s="2">
        <f>Proforma!X133</f>
        <v>138879.99999999997</v>
      </c>
      <c r="Y52" s="2">
        <f>Proforma!Y133</f>
        <v>138879.99999999997</v>
      </c>
      <c r="Z52" s="2">
        <f>Proforma!Z133</f>
        <v>134400</v>
      </c>
      <c r="AA52" s="2">
        <f>Proforma!AA133</f>
        <v>138879.99999999997</v>
      </c>
      <c r="AB52" s="2">
        <f>Proforma!AB133</f>
        <v>134400</v>
      </c>
      <c r="AC52" s="2">
        <f>Proforma!AC133</f>
        <v>138879.99999999997</v>
      </c>
      <c r="AD52" s="2">
        <f>Proforma!AD133</f>
        <v>138879.99999999997</v>
      </c>
      <c r="AE52" s="2">
        <f>Proforma!AE133</f>
        <v>125440</v>
      </c>
      <c r="AF52" s="2">
        <f>Proforma!AF133</f>
        <v>138879.99999999997</v>
      </c>
      <c r="AG52" s="2">
        <f>Proforma!AG133</f>
        <v>134400</v>
      </c>
      <c r="AH52" s="2">
        <f>Proforma!AH133</f>
        <v>138879.99999999997</v>
      </c>
      <c r="AI52" s="2">
        <f>Proforma!AI133</f>
        <v>134400</v>
      </c>
      <c r="AJ52" s="2">
        <f>Proforma!AJ133</f>
        <v>138879.99999999997</v>
      </c>
      <c r="AK52" s="2">
        <f>Proforma!AK133</f>
        <v>138879.99999999997</v>
      </c>
      <c r="AL52" s="2">
        <f>Proforma!AL133</f>
        <v>134400</v>
      </c>
      <c r="AM52" s="2">
        <f>Proforma!AM133</f>
        <v>138879.99999999997</v>
      </c>
      <c r="AN52" s="2">
        <f>Proforma!AN133</f>
        <v>134400</v>
      </c>
      <c r="AO52" s="2">
        <f>Proforma!AO133</f>
        <v>138879.99999999997</v>
      </c>
      <c r="AP52" s="2">
        <f>Proforma!AP133</f>
        <v>138879.99999999997</v>
      </c>
      <c r="AQ52" s="2">
        <f>Proforma!AQ133</f>
        <v>125440</v>
      </c>
      <c r="AR52" s="2">
        <f>Proforma!AR133</f>
        <v>138879.99999999997</v>
      </c>
      <c r="AS52" s="2">
        <f>Proforma!AS133</f>
        <v>134400</v>
      </c>
      <c r="AT52" s="2">
        <f>Proforma!AT133</f>
        <v>138879.99999999997</v>
      </c>
      <c r="AU52" s="2">
        <f>Proforma!AU133</f>
        <v>134400</v>
      </c>
      <c r="AV52" s="2">
        <f>Proforma!AV133</f>
        <v>138879.99999999997</v>
      </c>
      <c r="AW52" s="2">
        <f>Proforma!AW133</f>
        <v>138879.99999999997</v>
      </c>
      <c r="AX52" s="2">
        <f>Proforma!AX133</f>
        <v>134400</v>
      </c>
      <c r="AY52" s="2">
        <f>Proforma!AY133</f>
        <v>138879.99999999997</v>
      </c>
      <c r="AZ52" s="2">
        <f>Proforma!AZ133</f>
        <v>134400</v>
      </c>
      <c r="BA52" s="2">
        <f>Proforma!BA133</f>
        <v>138879.99999999997</v>
      </c>
      <c r="BB52" s="2">
        <f>Proforma!BB133</f>
        <v>138879.99999999997</v>
      </c>
      <c r="BC52" s="2">
        <f>Proforma!BC133</f>
        <v>125440</v>
      </c>
      <c r="BD52" s="2">
        <f>Proforma!BD133</f>
        <v>138879.99999999997</v>
      </c>
      <c r="BE52" s="2">
        <f>Proforma!BE133</f>
        <v>134400</v>
      </c>
      <c r="BF52" s="2">
        <f>Proforma!BF133</f>
        <v>138879.99999999997</v>
      </c>
      <c r="BG52" s="2">
        <f>Proforma!BG133</f>
        <v>134400</v>
      </c>
      <c r="BH52" s="2">
        <f>Proforma!BH133</f>
        <v>138879.99999999997</v>
      </c>
      <c r="BI52" s="2">
        <f>Proforma!BI133</f>
        <v>138879.99999999997</v>
      </c>
      <c r="BJ52" s="2">
        <f>Proforma!BJ133</f>
        <v>134400</v>
      </c>
      <c r="BK52" s="2">
        <f>Proforma!BK133</f>
        <v>138879.99999999997</v>
      </c>
      <c r="BL52" s="2">
        <f>Proforma!BL133</f>
        <v>134400</v>
      </c>
      <c r="BM52" s="2">
        <f>Proforma!BM133</f>
        <v>138879.99999999997</v>
      </c>
      <c r="BN52" s="2">
        <f>Proforma!BN133</f>
        <v>138879.99999999997</v>
      </c>
      <c r="BO52" s="2">
        <f>Proforma!BO133</f>
        <v>125440</v>
      </c>
      <c r="BP52" s="2">
        <f>Proforma!BP133</f>
        <v>138879.99999999997</v>
      </c>
      <c r="BQ52" s="2">
        <f>Proforma!BQ133</f>
        <v>134400</v>
      </c>
      <c r="BR52" s="2">
        <f>Proforma!BR133</f>
        <v>138879.99999999997</v>
      </c>
      <c r="BS52" s="2">
        <f>Proforma!BS133</f>
        <v>134400</v>
      </c>
      <c r="BT52" s="2">
        <f>Proforma!BT133</f>
        <v>138879.99999999997</v>
      </c>
      <c r="BU52" s="2">
        <f>Proforma!BU133</f>
        <v>138879.99999999997</v>
      </c>
      <c r="BV52" s="2">
        <f>Proforma!BV133</f>
        <v>134400</v>
      </c>
      <c r="BW52" s="2">
        <f>Proforma!BW133</f>
        <v>138879.99999999997</v>
      </c>
      <c r="BX52" s="2">
        <f>Proforma!BX133</f>
        <v>134400</v>
      </c>
      <c r="BY52" s="2">
        <f>Proforma!BY133</f>
        <v>138879.99999999997</v>
      </c>
      <c r="BZ52" s="2">
        <f>Proforma!BZ133</f>
        <v>138879.99999999997</v>
      </c>
      <c r="CA52" s="2">
        <f>Proforma!CA133</f>
        <v>125440</v>
      </c>
      <c r="CB52" s="2">
        <f>Proforma!CB133</f>
        <v>138879.99999999997</v>
      </c>
      <c r="CC52" s="2">
        <f>Proforma!CC133</f>
        <v>134400</v>
      </c>
      <c r="CD52" s="2">
        <f>Proforma!CD133</f>
        <v>138879.99999999997</v>
      </c>
      <c r="CE52" s="2">
        <f>Proforma!CE133</f>
        <v>134400</v>
      </c>
      <c r="CF52" s="2">
        <f>Proforma!CF133</f>
        <v>138879.99999999997</v>
      </c>
      <c r="CG52" s="2">
        <f>Proforma!CG133</f>
        <v>138879.99999999997</v>
      </c>
      <c r="CH52" s="2">
        <f>Proforma!CH133</f>
        <v>134400</v>
      </c>
      <c r="CI52" s="2">
        <f>Proforma!CI133</f>
        <v>138879.99999999997</v>
      </c>
      <c r="CJ52" s="2">
        <f>Proforma!CJ133</f>
        <v>134400</v>
      </c>
      <c r="CK52" s="2">
        <f>Proforma!CK133</f>
        <v>138879.99999999997</v>
      </c>
      <c r="CL52" s="2">
        <f>Proforma!CL133</f>
        <v>138879.99999999997</v>
      </c>
      <c r="CM52" s="2">
        <f>Proforma!CM133</f>
        <v>125440</v>
      </c>
      <c r="CN52" s="2">
        <f>Proforma!CN133</f>
        <v>138879.99999999997</v>
      </c>
      <c r="CO52" s="2">
        <f>Proforma!CO133</f>
        <v>134400</v>
      </c>
      <c r="CP52" s="2">
        <f>Proforma!CP133</f>
        <v>138879.99999999997</v>
      </c>
      <c r="CQ52" s="2">
        <f>Proforma!CQ133</f>
        <v>134400</v>
      </c>
      <c r="CR52" s="2">
        <f>Proforma!CR133</f>
        <v>138879.99999999997</v>
      </c>
      <c r="CS52" s="2">
        <f>Proforma!CS133</f>
        <v>138879.99999999997</v>
      </c>
      <c r="CT52" s="2">
        <f>Proforma!CT133</f>
        <v>134400</v>
      </c>
      <c r="CU52" s="2">
        <f>Proforma!CU133</f>
        <v>138879.99999999997</v>
      </c>
      <c r="CV52" s="2">
        <f>Proforma!CV133</f>
        <v>134400</v>
      </c>
      <c r="CW52" s="2">
        <f>Proforma!CW133</f>
        <v>138879.99999999997</v>
      </c>
      <c r="CX52" s="2">
        <f>Proforma!CX133</f>
        <v>138879.99999999997</v>
      </c>
      <c r="CY52" s="2">
        <f>Proforma!CY133</f>
        <v>125440</v>
      </c>
      <c r="CZ52" s="2">
        <f>Proforma!CZ133</f>
        <v>138879.99999999997</v>
      </c>
      <c r="DA52" s="2">
        <f>Proforma!DA133</f>
        <v>134400</v>
      </c>
      <c r="DB52" s="2">
        <f>Proforma!DB133</f>
        <v>138879.99999999997</v>
      </c>
      <c r="DC52" s="2">
        <f>Proforma!DC133</f>
        <v>134400</v>
      </c>
      <c r="DD52" s="2">
        <f>Proforma!DD133</f>
        <v>138879.99999999997</v>
      </c>
      <c r="DE52" s="2">
        <f>Proforma!DE133</f>
        <v>138879.99999999997</v>
      </c>
      <c r="DF52" s="2">
        <f>Proforma!DF133</f>
        <v>134400</v>
      </c>
      <c r="DG52" s="2">
        <f>Proforma!DG133</f>
        <v>138879.99999999997</v>
      </c>
      <c r="DH52" s="2">
        <f>Proforma!DH133</f>
        <v>134400</v>
      </c>
      <c r="DI52" s="2">
        <f>Proforma!DI133</f>
        <v>138879.99999999997</v>
      </c>
      <c r="DJ52" s="2">
        <f>Proforma!DJ133</f>
        <v>138879.99999999997</v>
      </c>
      <c r="DK52" s="2">
        <f>Proforma!DK133</f>
        <v>125440</v>
      </c>
      <c r="DL52" s="2">
        <f>Proforma!DL133</f>
        <v>138879.99999999997</v>
      </c>
      <c r="DM52" s="2">
        <f>Proforma!DM133</f>
        <v>134400</v>
      </c>
      <c r="DN52" s="2">
        <f>Proforma!DN133</f>
        <v>138879.99999999997</v>
      </c>
      <c r="DO52" s="2">
        <f>Proforma!DO133</f>
        <v>134400</v>
      </c>
      <c r="DP52" s="2">
        <f>Proforma!DP133</f>
        <v>138879.99999999997</v>
      </c>
      <c r="DQ52" s="2">
        <f>Proforma!DQ133</f>
        <v>138879.99999999997</v>
      </c>
      <c r="DR52" s="2">
        <f>Proforma!DR133</f>
        <v>134400</v>
      </c>
      <c r="DS52" s="2">
        <f>Proforma!DS133</f>
        <v>138879.99999999997</v>
      </c>
      <c r="DT52" s="2">
        <f>Proforma!DT133</f>
        <v>134400</v>
      </c>
      <c r="DU52" s="2">
        <f>Proforma!DU133</f>
        <v>138879.99999999997</v>
      </c>
      <c r="DV52" s="2">
        <f>Proforma!DV133</f>
        <v>138879.99999999997</v>
      </c>
      <c r="DW52" s="2">
        <f>Proforma!DW133</f>
        <v>125440</v>
      </c>
      <c r="DX52" s="2">
        <f>Proforma!DX133</f>
        <v>138879.99999999997</v>
      </c>
      <c r="DY52" s="2">
        <f>Proforma!DY133</f>
        <v>134400</v>
      </c>
      <c r="DZ52" s="2">
        <f>Proforma!DZ133</f>
        <v>138879.99999999997</v>
      </c>
      <c r="EA52" s="2">
        <f>Proforma!EA133</f>
        <v>134400</v>
      </c>
      <c r="EB52" s="2">
        <f>Proforma!EB133</f>
        <v>138879.99999999997</v>
      </c>
      <c r="EC52" s="2">
        <f>Proforma!EC133</f>
        <v>138879.99999999997</v>
      </c>
      <c r="ED52" s="2">
        <f>Proforma!ED133</f>
        <v>134400</v>
      </c>
      <c r="EE52" s="2">
        <f>Proforma!EE133</f>
        <v>138879.99999999997</v>
      </c>
      <c r="EF52" s="2">
        <f>Proforma!EF133</f>
        <v>134400</v>
      </c>
      <c r="EG52" s="2">
        <f>Proforma!EG133</f>
        <v>138879.99999999997</v>
      </c>
      <c r="EH52" s="2">
        <f>Proforma!EH133</f>
        <v>138879.99999999997</v>
      </c>
      <c r="EI52" s="2">
        <f>Proforma!EI133</f>
        <v>125440</v>
      </c>
      <c r="EJ52" s="2">
        <f>Proforma!EJ133</f>
        <v>138879.99999999997</v>
      </c>
      <c r="EK52" s="2">
        <f>Proforma!EK133</f>
        <v>134400</v>
      </c>
      <c r="EL52" s="2">
        <f>Proforma!EL133</f>
        <v>138879.99999999997</v>
      </c>
      <c r="EM52" s="2">
        <f>Proforma!EM133</f>
        <v>134400</v>
      </c>
      <c r="EN52" s="2">
        <f>Proforma!EN133</f>
        <v>138879.99999999997</v>
      </c>
      <c r="EO52" s="2">
        <f>Proforma!EO133</f>
        <v>138879.99999999997</v>
      </c>
      <c r="EP52" s="2">
        <f>Proforma!EP133</f>
        <v>134400</v>
      </c>
      <c r="EQ52" s="2">
        <f>Proforma!EQ133</f>
        <v>138879.99999999997</v>
      </c>
      <c r="ER52" s="2">
        <f>Proforma!ER133</f>
        <v>134400</v>
      </c>
      <c r="ES52" s="2">
        <f>Proforma!ES133</f>
        <v>138879.99999999997</v>
      </c>
      <c r="ET52" s="2">
        <f>Proforma!ET133</f>
        <v>138879.99999999997</v>
      </c>
      <c r="EU52" s="2">
        <f>Proforma!EU133</f>
        <v>125440</v>
      </c>
      <c r="EV52" s="2">
        <f>Proforma!EV133</f>
        <v>138879.99999999997</v>
      </c>
      <c r="EW52" s="2">
        <f>Proforma!EW133</f>
        <v>134400</v>
      </c>
      <c r="EX52" s="2">
        <f>Proforma!EX133</f>
        <v>138879.99999999997</v>
      </c>
      <c r="EY52" s="2">
        <f>Proforma!EY133</f>
        <v>134400</v>
      </c>
      <c r="EZ52" s="2">
        <f>Proforma!EZ133</f>
        <v>138879.99999999997</v>
      </c>
      <c r="FA52" s="2">
        <f>Proforma!FA133</f>
        <v>138879.99999999997</v>
      </c>
      <c r="FB52" s="2">
        <f>Proforma!FB133</f>
        <v>134400</v>
      </c>
      <c r="FC52" s="2">
        <f>Proforma!FC133</f>
        <v>138879.99999999997</v>
      </c>
      <c r="FD52" s="2">
        <f>Proforma!FD133</f>
        <v>134400</v>
      </c>
      <c r="FE52" s="2">
        <f>Proforma!FE133</f>
        <v>138879.99999999997</v>
      </c>
      <c r="FF52" s="2">
        <f>Proforma!FF133</f>
        <v>138879.99999999997</v>
      </c>
      <c r="FG52" s="2">
        <f>Proforma!FG133</f>
        <v>125440</v>
      </c>
      <c r="FH52" s="2">
        <f>Proforma!FH133</f>
        <v>138879.99999999997</v>
      </c>
      <c r="FI52" s="2">
        <f>Proforma!FI133</f>
        <v>134400</v>
      </c>
      <c r="FJ52" s="2">
        <f>Proforma!FJ133</f>
        <v>138879.99999999997</v>
      </c>
      <c r="FK52" s="2">
        <f>Proforma!FK133</f>
        <v>134400</v>
      </c>
      <c r="FL52" s="2">
        <f>Proforma!FL133</f>
        <v>138879.99999999997</v>
      </c>
      <c r="FM52" s="2">
        <f>Proforma!FM133</f>
        <v>138879.99999999997</v>
      </c>
      <c r="FN52" s="2">
        <f>Proforma!FN133</f>
        <v>134400</v>
      </c>
      <c r="FO52" s="2">
        <f>Proforma!FO133</f>
        <v>138879.99999999997</v>
      </c>
      <c r="FP52" s="2">
        <f>Proforma!FP133</f>
        <v>134400</v>
      </c>
      <c r="FQ52" s="2">
        <f>Proforma!FQ133</f>
        <v>138879.99999999997</v>
      </c>
      <c r="FR52" s="2">
        <f>Proforma!FR133</f>
        <v>138879.99999999997</v>
      </c>
      <c r="FS52" s="2">
        <f>Proforma!FS133</f>
        <v>125440</v>
      </c>
      <c r="FT52" s="2">
        <f>Proforma!FT133</f>
        <v>138879.99999999997</v>
      </c>
      <c r="FU52" s="2">
        <f>Proforma!FU133</f>
        <v>134400</v>
      </c>
      <c r="FV52" s="2">
        <f>Proforma!FV133</f>
        <v>138879.99999999997</v>
      </c>
      <c r="FW52" s="2">
        <f>Proforma!FW133</f>
        <v>134400</v>
      </c>
      <c r="FX52" s="2">
        <f>Proforma!FX133</f>
        <v>138879.99999999997</v>
      </c>
      <c r="FY52" s="2">
        <f>Proforma!FY133</f>
        <v>138879.99999999997</v>
      </c>
      <c r="FZ52" s="2">
        <f>Proforma!FZ133</f>
        <v>134400</v>
      </c>
      <c r="GA52" s="2">
        <f>Proforma!GA133</f>
        <v>138879.99999999997</v>
      </c>
      <c r="GB52" s="2">
        <f>Proforma!GB133</f>
        <v>134400</v>
      </c>
      <c r="GC52" s="2">
        <f>Proforma!GC133</f>
        <v>138879.99999999997</v>
      </c>
    </row>
    <row r="53" spans="1:185"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</row>
    <row r="54" spans="1:185">
      <c r="B54" t="s">
        <v>518</v>
      </c>
      <c r="E54" s="38">
        <f>SUM(F54:GC54)</f>
        <v>23578240</v>
      </c>
      <c r="F54" s="2">
        <f t="shared" ref="F54:AK54" si="4">SUM(F52:F52)</f>
        <v>0</v>
      </c>
      <c r="G54" s="2">
        <f t="shared" si="4"/>
        <v>0</v>
      </c>
      <c r="H54" s="2">
        <f t="shared" si="4"/>
        <v>0</v>
      </c>
      <c r="I54" s="2">
        <f t="shared" si="4"/>
        <v>0</v>
      </c>
      <c r="J54" s="2">
        <f t="shared" si="4"/>
        <v>0</v>
      </c>
      <c r="K54" s="2">
        <f t="shared" si="4"/>
        <v>0</v>
      </c>
      <c r="L54" s="2">
        <f t="shared" si="4"/>
        <v>0</v>
      </c>
      <c r="M54" s="2">
        <f t="shared" si="4"/>
        <v>138879.99999999997</v>
      </c>
      <c r="N54" s="2">
        <f t="shared" si="4"/>
        <v>134400</v>
      </c>
      <c r="O54" s="2">
        <f t="shared" si="4"/>
        <v>138879.99999999997</v>
      </c>
      <c r="P54" s="2">
        <f t="shared" si="4"/>
        <v>134400</v>
      </c>
      <c r="Q54" s="2">
        <f t="shared" si="4"/>
        <v>138879.99999999997</v>
      </c>
      <c r="R54" s="2">
        <f t="shared" si="4"/>
        <v>138879.99999999997</v>
      </c>
      <c r="S54" s="2">
        <f t="shared" si="4"/>
        <v>125440</v>
      </c>
      <c r="T54" s="2">
        <f t="shared" si="4"/>
        <v>138879.99999999997</v>
      </c>
      <c r="U54" s="2">
        <f t="shared" si="4"/>
        <v>134400</v>
      </c>
      <c r="V54" s="2">
        <f t="shared" si="4"/>
        <v>138879.99999999997</v>
      </c>
      <c r="W54" s="2">
        <f t="shared" si="4"/>
        <v>134400</v>
      </c>
      <c r="X54" s="2">
        <f t="shared" si="4"/>
        <v>138879.99999999997</v>
      </c>
      <c r="Y54" s="2">
        <f t="shared" si="4"/>
        <v>138879.99999999997</v>
      </c>
      <c r="Z54" s="2">
        <f t="shared" si="4"/>
        <v>134400</v>
      </c>
      <c r="AA54" s="2">
        <f t="shared" si="4"/>
        <v>138879.99999999997</v>
      </c>
      <c r="AB54" s="2">
        <f t="shared" si="4"/>
        <v>134400</v>
      </c>
      <c r="AC54" s="2">
        <f t="shared" si="4"/>
        <v>138879.99999999997</v>
      </c>
      <c r="AD54" s="2">
        <f t="shared" si="4"/>
        <v>138879.99999999997</v>
      </c>
      <c r="AE54" s="2">
        <f t="shared" si="4"/>
        <v>125440</v>
      </c>
      <c r="AF54" s="2">
        <f t="shared" si="4"/>
        <v>138879.99999999997</v>
      </c>
      <c r="AG54" s="2">
        <f t="shared" si="4"/>
        <v>134400</v>
      </c>
      <c r="AH54" s="2">
        <f t="shared" si="4"/>
        <v>138879.99999999997</v>
      </c>
      <c r="AI54" s="2">
        <f t="shared" si="4"/>
        <v>134400</v>
      </c>
      <c r="AJ54" s="2">
        <f t="shared" si="4"/>
        <v>138879.99999999997</v>
      </c>
      <c r="AK54" s="2">
        <f t="shared" si="4"/>
        <v>138879.99999999997</v>
      </c>
      <c r="AL54" s="2">
        <f t="shared" ref="AL54:BM54" si="5">SUM(AL52:AL52)</f>
        <v>134400</v>
      </c>
      <c r="AM54" s="2">
        <f t="shared" si="5"/>
        <v>138879.99999999997</v>
      </c>
      <c r="AN54" s="2">
        <f t="shared" si="5"/>
        <v>134400</v>
      </c>
      <c r="AO54" s="2">
        <f t="shared" si="5"/>
        <v>138879.99999999997</v>
      </c>
      <c r="AP54" s="2">
        <f t="shared" si="5"/>
        <v>138879.99999999997</v>
      </c>
      <c r="AQ54" s="2">
        <f t="shared" si="5"/>
        <v>125440</v>
      </c>
      <c r="AR54" s="2">
        <f t="shared" si="5"/>
        <v>138879.99999999997</v>
      </c>
      <c r="AS54" s="2">
        <f t="shared" si="5"/>
        <v>134400</v>
      </c>
      <c r="AT54" s="2">
        <f t="shared" si="5"/>
        <v>138879.99999999997</v>
      </c>
      <c r="AU54" s="2">
        <f t="shared" si="5"/>
        <v>134400</v>
      </c>
      <c r="AV54" s="2">
        <f t="shared" si="5"/>
        <v>138879.99999999997</v>
      </c>
      <c r="AW54" s="2">
        <f t="shared" si="5"/>
        <v>138879.99999999997</v>
      </c>
      <c r="AX54" s="2">
        <f t="shared" si="5"/>
        <v>134400</v>
      </c>
      <c r="AY54" s="2">
        <f t="shared" si="5"/>
        <v>138879.99999999997</v>
      </c>
      <c r="AZ54" s="2">
        <f t="shared" si="5"/>
        <v>134400</v>
      </c>
      <c r="BA54" s="2">
        <f t="shared" si="5"/>
        <v>138879.99999999997</v>
      </c>
      <c r="BB54" s="2">
        <f t="shared" si="5"/>
        <v>138879.99999999997</v>
      </c>
      <c r="BC54" s="2">
        <f t="shared" si="5"/>
        <v>125440</v>
      </c>
      <c r="BD54" s="2">
        <f t="shared" si="5"/>
        <v>138879.99999999997</v>
      </c>
      <c r="BE54" s="2">
        <f t="shared" si="5"/>
        <v>134400</v>
      </c>
      <c r="BF54" s="2">
        <f t="shared" si="5"/>
        <v>138879.99999999997</v>
      </c>
      <c r="BG54" s="2">
        <f t="shared" si="5"/>
        <v>134400</v>
      </c>
      <c r="BH54" s="2">
        <f t="shared" si="5"/>
        <v>138879.99999999997</v>
      </c>
      <c r="BI54" s="2">
        <f t="shared" si="5"/>
        <v>138879.99999999997</v>
      </c>
      <c r="BJ54" s="2">
        <f t="shared" si="5"/>
        <v>134400</v>
      </c>
      <c r="BK54" s="2">
        <f t="shared" si="5"/>
        <v>138879.99999999997</v>
      </c>
      <c r="BL54" s="2">
        <f t="shared" si="5"/>
        <v>134400</v>
      </c>
      <c r="BM54" s="2">
        <f t="shared" si="5"/>
        <v>138879.99999999997</v>
      </c>
      <c r="BN54" s="2">
        <f t="shared" ref="BN54:DY54" si="6">SUM(BN52:BN52)</f>
        <v>138879.99999999997</v>
      </c>
      <c r="BO54" s="2">
        <f t="shared" si="6"/>
        <v>125440</v>
      </c>
      <c r="BP54" s="2">
        <f t="shared" si="6"/>
        <v>138879.99999999997</v>
      </c>
      <c r="BQ54" s="2">
        <f t="shared" si="6"/>
        <v>134400</v>
      </c>
      <c r="BR54" s="2">
        <f t="shared" si="6"/>
        <v>138879.99999999997</v>
      </c>
      <c r="BS54" s="2">
        <f t="shared" si="6"/>
        <v>134400</v>
      </c>
      <c r="BT54" s="2">
        <f t="shared" si="6"/>
        <v>138879.99999999997</v>
      </c>
      <c r="BU54" s="2">
        <f t="shared" si="6"/>
        <v>138879.99999999997</v>
      </c>
      <c r="BV54" s="2">
        <f t="shared" si="6"/>
        <v>134400</v>
      </c>
      <c r="BW54" s="2">
        <f t="shared" si="6"/>
        <v>138879.99999999997</v>
      </c>
      <c r="BX54" s="2">
        <f t="shared" si="6"/>
        <v>134400</v>
      </c>
      <c r="BY54" s="2">
        <f t="shared" si="6"/>
        <v>138879.99999999997</v>
      </c>
      <c r="BZ54" s="2">
        <f t="shared" si="6"/>
        <v>138879.99999999997</v>
      </c>
      <c r="CA54" s="2">
        <f t="shared" si="6"/>
        <v>125440</v>
      </c>
      <c r="CB54" s="2">
        <f t="shared" si="6"/>
        <v>138879.99999999997</v>
      </c>
      <c r="CC54" s="2">
        <f t="shared" si="6"/>
        <v>134400</v>
      </c>
      <c r="CD54" s="2">
        <f t="shared" si="6"/>
        <v>138879.99999999997</v>
      </c>
      <c r="CE54" s="2">
        <f t="shared" si="6"/>
        <v>134400</v>
      </c>
      <c r="CF54" s="2">
        <f t="shared" si="6"/>
        <v>138879.99999999997</v>
      </c>
      <c r="CG54" s="2">
        <f t="shared" si="6"/>
        <v>138879.99999999997</v>
      </c>
      <c r="CH54" s="2">
        <f t="shared" si="6"/>
        <v>134400</v>
      </c>
      <c r="CI54" s="2">
        <f t="shared" si="6"/>
        <v>138879.99999999997</v>
      </c>
      <c r="CJ54" s="2">
        <f t="shared" si="6"/>
        <v>134400</v>
      </c>
      <c r="CK54" s="2">
        <f t="shared" si="6"/>
        <v>138879.99999999997</v>
      </c>
      <c r="CL54" s="2">
        <f t="shared" si="6"/>
        <v>138879.99999999997</v>
      </c>
      <c r="CM54" s="2">
        <f t="shared" si="6"/>
        <v>125440</v>
      </c>
      <c r="CN54" s="2">
        <f t="shared" si="6"/>
        <v>138879.99999999997</v>
      </c>
      <c r="CO54" s="2">
        <f t="shared" si="6"/>
        <v>134400</v>
      </c>
      <c r="CP54" s="2">
        <f t="shared" si="6"/>
        <v>138879.99999999997</v>
      </c>
      <c r="CQ54" s="2">
        <f t="shared" si="6"/>
        <v>134400</v>
      </c>
      <c r="CR54" s="2">
        <f t="shared" si="6"/>
        <v>138879.99999999997</v>
      </c>
      <c r="CS54" s="2">
        <f t="shared" si="6"/>
        <v>138879.99999999997</v>
      </c>
      <c r="CT54" s="2">
        <f t="shared" si="6"/>
        <v>134400</v>
      </c>
      <c r="CU54" s="2">
        <f t="shared" si="6"/>
        <v>138879.99999999997</v>
      </c>
      <c r="CV54" s="2">
        <f t="shared" si="6"/>
        <v>134400</v>
      </c>
      <c r="CW54" s="2">
        <f t="shared" si="6"/>
        <v>138879.99999999997</v>
      </c>
      <c r="CX54" s="2">
        <f t="shared" si="6"/>
        <v>138879.99999999997</v>
      </c>
      <c r="CY54" s="2">
        <f t="shared" si="6"/>
        <v>125440</v>
      </c>
      <c r="CZ54" s="2">
        <f t="shared" si="6"/>
        <v>138879.99999999997</v>
      </c>
      <c r="DA54" s="2">
        <f t="shared" si="6"/>
        <v>134400</v>
      </c>
      <c r="DB54" s="2">
        <f t="shared" si="6"/>
        <v>138879.99999999997</v>
      </c>
      <c r="DC54" s="2">
        <f t="shared" si="6"/>
        <v>134400</v>
      </c>
      <c r="DD54" s="2">
        <f t="shared" si="6"/>
        <v>138879.99999999997</v>
      </c>
      <c r="DE54" s="2">
        <f t="shared" si="6"/>
        <v>138879.99999999997</v>
      </c>
      <c r="DF54" s="2">
        <f t="shared" si="6"/>
        <v>134400</v>
      </c>
      <c r="DG54" s="2">
        <f t="shared" si="6"/>
        <v>138879.99999999997</v>
      </c>
      <c r="DH54" s="2">
        <f t="shared" si="6"/>
        <v>134400</v>
      </c>
      <c r="DI54" s="2">
        <f t="shared" si="6"/>
        <v>138879.99999999997</v>
      </c>
      <c r="DJ54" s="2">
        <f t="shared" si="6"/>
        <v>138879.99999999997</v>
      </c>
      <c r="DK54" s="2">
        <f t="shared" si="6"/>
        <v>125440</v>
      </c>
      <c r="DL54" s="2">
        <f t="shared" si="6"/>
        <v>138879.99999999997</v>
      </c>
      <c r="DM54" s="2">
        <f t="shared" si="6"/>
        <v>134400</v>
      </c>
      <c r="DN54" s="2">
        <f t="shared" si="6"/>
        <v>138879.99999999997</v>
      </c>
      <c r="DO54" s="2">
        <f t="shared" si="6"/>
        <v>134400</v>
      </c>
      <c r="DP54" s="2">
        <f t="shared" si="6"/>
        <v>138879.99999999997</v>
      </c>
      <c r="DQ54" s="2">
        <f t="shared" si="6"/>
        <v>138879.99999999997</v>
      </c>
      <c r="DR54" s="2">
        <f t="shared" si="6"/>
        <v>134400</v>
      </c>
      <c r="DS54" s="2">
        <f t="shared" si="6"/>
        <v>138879.99999999997</v>
      </c>
      <c r="DT54" s="2">
        <f t="shared" si="6"/>
        <v>134400</v>
      </c>
      <c r="DU54" s="2">
        <f t="shared" si="6"/>
        <v>138879.99999999997</v>
      </c>
      <c r="DV54" s="2">
        <f t="shared" si="6"/>
        <v>138879.99999999997</v>
      </c>
      <c r="DW54" s="2">
        <f t="shared" si="6"/>
        <v>125440</v>
      </c>
      <c r="DX54" s="2">
        <f t="shared" si="6"/>
        <v>138879.99999999997</v>
      </c>
      <c r="DY54" s="2">
        <f t="shared" si="6"/>
        <v>134400</v>
      </c>
      <c r="DZ54" s="2">
        <f t="shared" ref="DZ54:GC54" si="7">SUM(DZ52:DZ52)</f>
        <v>138879.99999999997</v>
      </c>
      <c r="EA54" s="2">
        <f t="shared" si="7"/>
        <v>134400</v>
      </c>
      <c r="EB54" s="2">
        <f t="shared" si="7"/>
        <v>138879.99999999997</v>
      </c>
      <c r="EC54" s="2">
        <f t="shared" si="7"/>
        <v>138879.99999999997</v>
      </c>
      <c r="ED54" s="2">
        <f t="shared" si="7"/>
        <v>134400</v>
      </c>
      <c r="EE54" s="2">
        <f t="shared" si="7"/>
        <v>138879.99999999997</v>
      </c>
      <c r="EF54" s="2">
        <f t="shared" si="7"/>
        <v>134400</v>
      </c>
      <c r="EG54" s="2">
        <f t="shared" si="7"/>
        <v>138879.99999999997</v>
      </c>
      <c r="EH54" s="2">
        <f t="shared" si="7"/>
        <v>138879.99999999997</v>
      </c>
      <c r="EI54" s="2">
        <f t="shared" si="7"/>
        <v>125440</v>
      </c>
      <c r="EJ54" s="2">
        <f t="shared" si="7"/>
        <v>138879.99999999997</v>
      </c>
      <c r="EK54" s="2">
        <f t="shared" si="7"/>
        <v>134400</v>
      </c>
      <c r="EL54" s="2">
        <f t="shared" si="7"/>
        <v>138879.99999999997</v>
      </c>
      <c r="EM54" s="2">
        <f t="shared" si="7"/>
        <v>134400</v>
      </c>
      <c r="EN54" s="2">
        <f t="shared" si="7"/>
        <v>138879.99999999997</v>
      </c>
      <c r="EO54" s="2">
        <f t="shared" si="7"/>
        <v>138879.99999999997</v>
      </c>
      <c r="EP54" s="2">
        <f t="shared" si="7"/>
        <v>134400</v>
      </c>
      <c r="EQ54" s="2">
        <f t="shared" si="7"/>
        <v>138879.99999999997</v>
      </c>
      <c r="ER54" s="2">
        <f t="shared" si="7"/>
        <v>134400</v>
      </c>
      <c r="ES54" s="2">
        <f t="shared" si="7"/>
        <v>138879.99999999997</v>
      </c>
      <c r="ET54" s="2">
        <f t="shared" si="7"/>
        <v>138879.99999999997</v>
      </c>
      <c r="EU54" s="2">
        <f t="shared" si="7"/>
        <v>125440</v>
      </c>
      <c r="EV54" s="2">
        <f t="shared" si="7"/>
        <v>138879.99999999997</v>
      </c>
      <c r="EW54" s="2">
        <f t="shared" si="7"/>
        <v>134400</v>
      </c>
      <c r="EX54" s="2">
        <f t="shared" si="7"/>
        <v>138879.99999999997</v>
      </c>
      <c r="EY54" s="2">
        <f t="shared" si="7"/>
        <v>134400</v>
      </c>
      <c r="EZ54" s="2">
        <f t="shared" si="7"/>
        <v>138879.99999999997</v>
      </c>
      <c r="FA54" s="2">
        <f t="shared" si="7"/>
        <v>138879.99999999997</v>
      </c>
      <c r="FB54" s="2">
        <f t="shared" si="7"/>
        <v>134400</v>
      </c>
      <c r="FC54" s="2">
        <f t="shared" si="7"/>
        <v>138879.99999999997</v>
      </c>
      <c r="FD54" s="2">
        <f t="shared" si="7"/>
        <v>134400</v>
      </c>
      <c r="FE54" s="2">
        <f t="shared" si="7"/>
        <v>138879.99999999997</v>
      </c>
      <c r="FF54" s="2">
        <f t="shared" si="7"/>
        <v>138879.99999999997</v>
      </c>
      <c r="FG54" s="2">
        <f t="shared" si="7"/>
        <v>125440</v>
      </c>
      <c r="FH54" s="2">
        <f t="shared" si="7"/>
        <v>138879.99999999997</v>
      </c>
      <c r="FI54" s="2">
        <f t="shared" si="7"/>
        <v>134400</v>
      </c>
      <c r="FJ54" s="2">
        <f t="shared" si="7"/>
        <v>138879.99999999997</v>
      </c>
      <c r="FK54" s="2">
        <f t="shared" si="7"/>
        <v>134400</v>
      </c>
      <c r="FL54" s="2">
        <f t="shared" si="7"/>
        <v>138879.99999999997</v>
      </c>
      <c r="FM54" s="2">
        <f t="shared" si="7"/>
        <v>138879.99999999997</v>
      </c>
      <c r="FN54" s="2">
        <f t="shared" si="7"/>
        <v>134400</v>
      </c>
      <c r="FO54" s="2">
        <f t="shared" si="7"/>
        <v>138879.99999999997</v>
      </c>
      <c r="FP54" s="2">
        <f t="shared" si="7"/>
        <v>134400</v>
      </c>
      <c r="FQ54" s="2">
        <f t="shared" si="7"/>
        <v>138879.99999999997</v>
      </c>
      <c r="FR54" s="2">
        <f t="shared" si="7"/>
        <v>138879.99999999997</v>
      </c>
      <c r="FS54" s="2">
        <f t="shared" si="7"/>
        <v>125440</v>
      </c>
      <c r="FT54" s="2">
        <f t="shared" si="7"/>
        <v>138879.99999999997</v>
      </c>
      <c r="FU54" s="2">
        <f t="shared" si="7"/>
        <v>134400</v>
      </c>
      <c r="FV54" s="2">
        <f t="shared" si="7"/>
        <v>138879.99999999997</v>
      </c>
      <c r="FW54" s="2">
        <f t="shared" si="7"/>
        <v>134400</v>
      </c>
      <c r="FX54" s="2">
        <f t="shared" si="7"/>
        <v>138879.99999999997</v>
      </c>
      <c r="FY54" s="2">
        <f t="shared" si="7"/>
        <v>138879.99999999997</v>
      </c>
      <c r="FZ54" s="2">
        <f t="shared" si="7"/>
        <v>134400</v>
      </c>
      <c r="GA54" s="2">
        <f t="shared" si="7"/>
        <v>138879.99999999997</v>
      </c>
      <c r="GB54" s="2">
        <f t="shared" si="7"/>
        <v>134400</v>
      </c>
      <c r="GC54" s="2">
        <f t="shared" si="7"/>
        <v>138879.99999999997</v>
      </c>
    </row>
    <row r="55" spans="1:185">
      <c r="B55" t="s">
        <v>519</v>
      </c>
      <c r="E55" s="38"/>
      <c r="F55" s="2">
        <f>F54</f>
        <v>0</v>
      </c>
      <c r="G55" s="2">
        <f>F55+G54</f>
        <v>0</v>
      </c>
      <c r="H55" s="2">
        <f t="shared" ref="H55:BM55" si="8">G55+H54</f>
        <v>0</v>
      </c>
      <c r="I55" s="2">
        <f t="shared" si="8"/>
        <v>0</v>
      </c>
      <c r="J55" s="2">
        <f t="shared" si="8"/>
        <v>0</v>
      </c>
      <c r="K55" s="2">
        <f t="shared" si="8"/>
        <v>0</v>
      </c>
      <c r="L55" s="2">
        <f t="shared" si="8"/>
        <v>0</v>
      </c>
      <c r="M55" s="2">
        <f t="shared" si="8"/>
        <v>138879.99999999997</v>
      </c>
      <c r="N55" s="2">
        <f t="shared" si="8"/>
        <v>273280</v>
      </c>
      <c r="O55" s="2">
        <f t="shared" si="8"/>
        <v>412160</v>
      </c>
      <c r="P55" s="2">
        <f t="shared" si="8"/>
        <v>546560</v>
      </c>
      <c r="Q55" s="2">
        <f t="shared" si="8"/>
        <v>685440</v>
      </c>
      <c r="R55" s="2">
        <f t="shared" si="8"/>
        <v>824320</v>
      </c>
      <c r="S55" s="2">
        <f t="shared" si="8"/>
        <v>949760</v>
      </c>
      <c r="T55" s="2">
        <f t="shared" si="8"/>
        <v>1088640</v>
      </c>
      <c r="U55" s="2">
        <f t="shared" si="8"/>
        <v>1223040</v>
      </c>
      <c r="V55" s="2">
        <f t="shared" si="8"/>
        <v>1361920</v>
      </c>
      <c r="W55" s="2">
        <f t="shared" si="8"/>
        <v>1496320</v>
      </c>
      <c r="X55" s="2">
        <f t="shared" si="8"/>
        <v>1635200</v>
      </c>
      <c r="Y55" s="2">
        <f t="shared" si="8"/>
        <v>1774080</v>
      </c>
      <c r="Z55" s="2">
        <f t="shared" si="8"/>
        <v>1908480</v>
      </c>
      <c r="AA55" s="2">
        <f t="shared" si="8"/>
        <v>2047360</v>
      </c>
      <c r="AB55" s="2">
        <f t="shared" si="8"/>
        <v>2181760</v>
      </c>
      <c r="AC55" s="2">
        <f t="shared" si="8"/>
        <v>2320640</v>
      </c>
      <c r="AD55" s="2">
        <f t="shared" si="8"/>
        <v>2459520</v>
      </c>
      <c r="AE55" s="2">
        <f t="shared" si="8"/>
        <v>2584960</v>
      </c>
      <c r="AF55" s="2">
        <f t="shared" si="8"/>
        <v>2723840</v>
      </c>
      <c r="AG55" s="2">
        <f t="shared" si="8"/>
        <v>2858240</v>
      </c>
      <c r="AH55" s="2">
        <f t="shared" si="8"/>
        <v>2997120</v>
      </c>
      <c r="AI55" s="2">
        <f t="shared" si="8"/>
        <v>3131520</v>
      </c>
      <c r="AJ55" s="2">
        <f t="shared" si="8"/>
        <v>3270400</v>
      </c>
      <c r="AK55" s="2">
        <f t="shared" si="8"/>
        <v>3409280</v>
      </c>
      <c r="AL55" s="2">
        <f t="shared" si="8"/>
        <v>3543680</v>
      </c>
      <c r="AM55" s="2">
        <f t="shared" si="8"/>
        <v>3682560</v>
      </c>
      <c r="AN55" s="2">
        <f t="shared" si="8"/>
        <v>3816960</v>
      </c>
      <c r="AO55" s="2">
        <f t="shared" si="8"/>
        <v>3955840</v>
      </c>
      <c r="AP55" s="2">
        <f t="shared" si="8"/>
        <v>4094720</v>
      </c>
      <c r="AQ55" s="2">
        <f t="shared" si="8"/>
        <v>4220160</v>
      </c>
      <c r="AR55" s="2">
        <f t="shared" si="8"/>
        <v>4359040</v>
      </c>
      <c r="AS55" s="2">
        <f t="shared" si="8"/>
        <v>4493440</v>
      </c>
      <c r="AT55" s="2">
        <f t="shared" si="8"/>
        <v>4632320</v>
      </c>
      <c r="AU55" s="2">
        <f t="shared" si="8"/>
        <v>4766720</v>
      </c>
      <c r="AV55" s="2">
        <f t="shared" si="8"/>
        <v>4905600</v>
      </c>
      <c r="AW55" s="2">
        <f t="shared" si="8"/>
        <v>5044480</v>
      </c>
      <c r="AX55" s="2">
        <f t="shared" si="8"/>
        <v>5178880</v>
      </c>
      <c r="AY55" s="2">
        <f t="shared" si="8"/>
        <v>5317760</v>
      </c>
      <c r="AZ55" s="2">
        <f t="shared" si="8"/>
        <v>5452160</v>
      </c>
      <c r="BA55" s="2">
        <f t="shared" si="8"/>
        <v>5591040</v>
      </c>
      <c r="BB55" s="2">
        <f t="shared" si="8"/>
        <v>5729920</v>
      </c>
      <c r="BC55" s="2">
        <f t="shared" si="8"/>
        <v>5855360</v>
      </c>
      <c r="BD55" s="2">
        <f t="shared" si="8"/>
        <v>5994240</v>
      </c>
      <c r="BE55" s="2">
        <f t="shared" si="8"/>
        <v>6128640</v>
      </c>
      <c r="BF55" s="2">
        <f t="shared" si="8"/>
        <v>6267520</v>
      </c>
      <c r="BG55" s="2">
        <f t="shared" si="8"/>
        <v>6401920</v>
      </c>
      <c r="BH55" s="2">
        <f t="shared" si="8"/>
        <v>6540800</v>
      </c>
      <c r="BI55" s="2">
        <f t="shared" si="8"/>
        <v>6679680</v>
      </c>
      <c r="BJ55" s="2">
        <f t="shared" si="8"/>
        <v>6814080</v>
      </c>
      <c r="BK55" s="2">
        <f t="shared" si="8"/>
        <v>6952960</v>
      </c>
      <c r="BL55" s="2">
        <f t="shared" si="8"/>
        <v>7087360</v>
      </c>
      <c r="BM55" s="2">
        <f t="shared" si="8"/>
        <v>7226240</v>
      </c>
      <c r="BN55" s="2">
        <f t="shared" ref="BN55" si="9">BM55+BN54</f>
        <v>7365120</v>
      </c>
      <c r="BO55" s="2">
        <f t="shared" ref="BO55" si="10">BN55+BO54</f>
        <v>7490560</v>
      </c>
      <c r="BP55" s="2">
        <f t="shared" ref="BP55" si="11">BO55+BP54</f>
        <v>7629440</v>
      </c>
      <c r="BQ55" s="2">
        <f t="shared" ref="BQ55" si="12">BP55+BQ54</f>
        <v>7763840</v>
      </c>
      <c r="BR55" s="2">
        <f t="shared" ref="BR55" si="13">BQ55+BR54</f>
        <v>7902720</v>
      </c>
      <c r="BS55" s="2">
        <f t="shared" ref="BS55" si="14">BR55+BS54</f>
        <v>8037120</v>
      </c>
      <c r="BT55" s="2">
        <f t="shared" ref="BT55" si="15">BS55+BT54</f>
        <v>8176000</v>
      </c>
      <c r="BU55" s="2">
        <f t="shared" ref="BU55" si="16">BT55+BU54</f>
        <v>8314880</v>
      </c>
      <c r="BV55" s="2">
        <f t="shared" ref="BV55" si="17">BU55+BV54</f>
        <v>8449280</v>
      </c>
      <c r="BW55" s="2">
        <f t="shared" ref="BW55" si="18">BV55+BW54</f>
        <v>8588160</v>
      </c>
      <c r="BX55" s="2">
        <f t="shared" ref="BX55" si="19">BW55+BX54</f>
        <v>8722560</v>
      </c>
      <c r="BY55" s="2">
        <f t="shared" ref="BY55" si="20">BX55+BY54</f>
        <v>8861440</v>
      </c>
      <c r="BZ55" s="2">
        <f t="shared" ref="BZ55" si="21">BY55+BZ54</f>
        <v>9000320</v>
      </c>
      <c r="CA55" s="2">
        <f t="shared" ref="CA55" si="22">BZ55+CA54</f>
        <v>9125760</v>
      </c>
      <c r="CB55" s="2">
        <f t="shared" ref="CB55" si="23">CA55+CB54</f>
        <v>9264640</v>
      </c>
      <c r="CC55" s="2">
        <f t="shared" ref="CC55" si="24">CB55+CC54</f>
        <v>9399040</v>
      </c>
      <c r="CD55" s="2">
        <f t="shared" ref="CD55" si="25">CC55+CD54</f>
        <v>9537920</v>
      </c>
      <c r="CE55" s="2">
        <f t="shared" ref="CE55" si="26">CD55+CE54</f>
        <v>9672320</v>
      </c>
      <c r="CF55" s="2">
        <f t="shared" ref="CF55" si="27">CE55+CF54</f>
        <v>9811200</v>
      </c>
      <c r="CG55" s="2">
        <f t="shared" ref="CG55" si="28">CF55+CG54</f>
        <v>9950080</v>
      </c>
      <c r="CH55" s="2">
        <f t="shared" ref="CH55" si="29">CG55+CH54</f>
        <v>10084480</v>
      </c>
      <c r="CI55" s="2">
        <f t="shared" ref="CI55" si="30">CH55+CI54</f>
        <v>10223360</v>
      </c>
      <c r="CJ55" s="2">
        <f t="shared" ref="CJ55" si="31">CI55+CJ54</f>
        <v>10357760</v>
      </c>
      <c r="CK55" s="2">
        <f t="shared" ref="CK55" si="32">CJ55+CK54</f>
        <v>10496640</v>
      </c>
      <c r="CL55" s="2">
        <f t="shared" ref="CL55" si="33">CK55+CL54</f>
        <v>10635520</v>
      </c>
      <c r="CM55" s="2">
        <f t="shared" ref="CM55" si="34">CL55+CM54</f>
        <v>10760960</v>
      </c>
      <c r="CN55" s="2">
        <f t="shared" ref="CN55" si="35">CM55+CN54</f>
        <v>10899840</v>
      </c>
      <c r="CO55" s="2">
        <f t="shared" ref="CO55" si="36">CN55+CO54</f>
        <v>11034240</v>
      </c>
      <c r="CP55" s="2">
        <f t="shared" ref="CP55" si="37">CO55+CP54</f>
        <v>11173120</v>
      </c>
      <c r="CQ55" s="2">
        <f t="shared" ref="CQ55" si="38">CP55+CQ54</f>
        <v>11307520</v>
      </c>
      <c r="CR55" s="2">
        <f t="shared" ref="CR55" si="39">CQ55+CR54</f>
        <v>11446400</v>
      </c>
      <c r="CS55" s="2">
        <f t="shared" ref="CS55" si="40">CR55+CS54</f>
        <v>11585280</v>
      </c>
      <c r="CT55" s="2">
        <f t="shared" ref="CT55" si="41">CS55+CT54</f>
        <v>11719680</v>
      </c>
      <c r="CU55" s="2">
        <f t="shared" ref="CU55" si="42">CT55+CU54</f>
        <v>11858560</v>
      </c>
      <c r="CV55" s="2">
        <f t="shared" ref="CV55" si="43">CU55+CV54</f>
        <v>11992960</v>
      </c>
      <c r="CW55" s="2">
        <f t="shared" ref="CW55" si="44">CV55+CW54</f>
        <v>12131840</v>
      </c>
      <c r="CX55" s="2">
        <f t="shared" ref="CX55" si="45">CW55+CX54</f>
        <v>12270720</v>
      </c>
      <c r="CY55" s="2">
        <f t="shared" ref="CY55" si="46">CX55+CY54</f>
        <v>12396160</v>
      </c>
      <c r="CZ55" s="2">
        <f t="shared" ref="CZ55" si="47">CY55+CZ54</f>
        <v>12535040</v>
      </c>
      <c r="DA55" s="2">
        <f t="shared" ref="DA55" si="48">CZ55+DA54</f>
        <v>12669440</v>
      </c>
      <c r="DB55" s="2">
        <f t="shared" ref="DB55" si="49">DA55+DB54</f>
        <v>12808320</v>
      </c>
      <c r="DC55" s="2">
        <f t="shared" ref="DC55" si="50">DB55+DC54</f>
        <v>12942720</v>
      </c>
      <c r="DD55" s="2">
        <f t="shared" ref="DD55" si="51">DC55+DD54</f>
        <v>13081600</v>
      </c>
      <c r="DE55" s="2">
        <f t="shared" ref="DE55" si="52">DD55+DE54</f>
        <v>13220480</v>
      </c>
      <c r="DF55" s="2">
        <f t="shared" ref="DF55" si="53">DE55+DF54</f>
        <v>13354880</v>
      </c>
      <c r="DG55" s="2">
        <f t="shared" ref="DG55" si="54">DF55+DG54</f>
        <v>13493760</v>
      </c>
      <c r="DH55" s="2">
        <f t="shared" ref="DH55" si="55">DG55+DH54</f>
        <v>13628160</v>
      </c>
      <c r="DI55" s="2">
        <f t="shared" ref="DI55" si="56">DH55+DI54</f>
        <v>13767040</v>
      </c>
      <c r="DJ55" s="2">
        <f t="shared" ref="DJ55" si="57">DI55+DJ54</f>
        <v>13905920</v>
      </c>
      <c r="DK55" s="2">
        <f t="shared" ref="DK55" si="58">DJ55+DK54</f>
        <v>14031360</v>
      </c>
      <c r="DL55" s="2">
        <f t="shared" ref="DL55" si="59">DK55+DL54</f>
        <v>14170240</v>
      </c>
      <c r="DM55" s="2">
        <f t="shared" ref="DM55" si="60">DL55+DM54</f>
        <v>14304640</v>
      </c>
      <c r="DN55" s="2">
        <f t="shared" ref="DN55" si="61">DM55+DN54</f>
        <v>14443520</v>
      </c>
      <c r="DO55" s="2">
        <f t="shared" ref="DO55" si="62">DN55+DO54</f>
        <v>14577920</v>
      </c>
      <c r="DP55" s="2">
        <f t="shared" ref="DP55" si="63">DO55+DP54</f>
        <v>14716800</v>
      </c>
      <c r="DQ55" s="2">
        <f t="shared" ref="DQ55" si="64">DP55+DQ54</f>
        <v>14855680</v>
      </c>
      <c r="DR55" s="2">
        <f t="shared" ref="DR55" si="65">DQ55+DR54</f>
        <v>14990080</v>
      </c>
      <c r="DS55" s="2">
        <f t="shared" ref="DS55" si="66">DR55+DS54</f>
        <v>15128960</v>
      </c>
      <c r="DT55" s="2">
        <f t="shared" ref="DT55" si="67">DS55+DT54</f>
        <v>15263360</v>
      </c>
      <c r="DU55" s="2">
        <f t="shared" ref="DU55" si="68">DT55+DU54</f>
        <v>15402240</v>
      </c>
      <c r="DV55" s="2">
        <f t="shared" ref="DV55" si="69">DU55+DV54</f>
        <v>15541120</v>
      </c>
      <c r="DW55" s="2">
        <f t="shared" ref="DW55" si="70">DV55+DW54</f>
        <v>15666560</v>
      </c>
      <c r="DX55" s="2">
        <f t="shared" ref="DX55" si="71">DW55+DX54</f>
        <v>15805440</v>
      </c>
      <c r="DY55" s="2">
        <f t="shared" ref="DY55" si="72">DX55+DY54</f>
        <v>15939840</v>
      </c>
      <c r="DZ55" s="2">
        <f t="shared" ref="DZ55" si="73">DY55+DZ54</f>
        <v>16078720</v>
      </c>
      <c r="EA55" s="2">
        <f t="shared" ref="EA55" si="74">DZ55+EA54</f>
        <v>16213120</v>
      </c>
      <c r="EB55" s="2">
        <f t="shared" ref="EB55" si="75">EA55+EB54</f>
        <v>16352000</v>
      </c>
      <c r="EC55" s="2">
        <f t="shared" ref="EC55" si="76">EB55+EC54</f>
        <v>16490880</v>
      </c>
      <c r="ED55" s="2">
        <f t="shared" ref="ED55" si="77">EC55+ED54</f>
        <v>16625280</v>
      </c>
      <c r="EE55" s="2">
        <f t="shared" ref="EE55" si="78">ED55+EE54</f>
        <v>16764160</v>
      </c>
      <c r="EF55" s="2">
        <f t="shared" ref="EF55" si="79">EE55+EF54</f>
        <v>16898560</v>
      </c>
      <c r="EG55" s="2">
        <f t="shared" ref="EG55" si="80">EF55+EG54</f>
        <v>17037440</v>
      </c>
      <c r="EH55" s="2">
        <f t="shared" ref="EH55" si="81">EG55+EH54</f>
        <v>17176320</v>
      </c>
      <c r="EI55" s="2">
        <f t="shared" ref="EI55" si="82">EH55+EI54</f>
        <v>17301760</v>
      </c>
      <c r="EJ55" s="2">
        <f t="shared" ref="EJ55" si="83">EI55+EJ54</f>
        <v>17440640</v>
      </c>
      <c r="EK55" s="2">
        <f t="shared" ref="EK55" si="84">EJ55+EK54</f>
        <v>17575040</v>
      </c>
      <c r="EL55" s="2">
        <f t="shared" ref="EL55" si="85">EK55+EL54</f>
        <v>17713920</v>
      </c>
      <c r="EM55" s="2">
        <f t="shared" ref="EM55" si="86">EL55+EM54</f>
        <v>17848320</v>
      </c>
      <c r="EN55" s="2">
        <f t="shared" ref="EN55" si="87">EM55+EN54</f>
        <v>17987200</v>
      </c>
      <c r="EO55" s="2">
        <f t="shared" ref="EO55" si="88">EN55+EO54</f>
        <v>18126080</v>
      </c>
      <c r="EP55" s="2">
        <f t="shared" ref="EP55" si="89">EO55+EP54</f>
        <v>18260480</v>
      </c>
      <c r="EQ55" s="2">
        <f t="shared" ref="EQ55" si="90">EP55+EQ54</f>
        <v>18399360</v>
      </c>
      <c r="ER55" s="2">
        <f t="shared" ref="ER55" si="91">EQ55+ER54</f>
        <v>18533760</v>
      </c>
      <c r="ES55" s="2">
        <f t="shared" ref="ES55" si="92">ER55+ES54</f>
        <v>18672640</v>
      </c>
      <c r="ET55" s="2">
        <f t="shared" ref="ET55" si="93">ES55+ET54</f>
        <v>18811520</v>
      </c>
      <c r="EU55" s="2">
        <f t="shared" ref="EU55" si="94">ET55+EU54</f>
        <v>18936960</v>
      </c>
      <c r="EV55" s="2">
        <f t="shared" ref="EV55" si="95">EU55+EV54</f>
        <v>19075840</v>
      </c>
      <c r="EW55" s="2">
        <f t="shared" ref="EW55" si="96">EV55+EW54</f>
        <v>19210240</v>
      </c>
      <c r="EX55" s="2">
        <f t="shared" ref="EX55" si="97">EW55+EX54</f>
        <v>19349120</v>
      </c>
      <c r="EY55" s="2">
        <f t="shared" ref="EY55" si="98">EX55+EY54</f>
        <v>19483520</v>
      </c>
      <c r="EZ55" s="2">
        <f t="shared" ref="EZ55" si="99">EY55+EZ54</f>
        <v>19622400</v>
      </c>
      <c r="FA55" s="2">
        <f t="shared" ref="FA55" si="100">EZ55+FA54</f>
        <v>19761280</v>
      </c>
      <c r="FB55" s="2">
        <f t="shared" ref="FB55" si="101">FA55+FB54</f>
        <v>19895680</v>
      </c>
      <c r="FC55" s="2">
        <f t="shared" ref="FC55" si="102">FB55+FC54</f>
        <v>20034560</v>
      </c>
      <c r="FD55" s="2">
        <f t="shared" ref="FD55" si="103">FC55+FD54</f>
        <v>20168960</v>
      </c>
      <c r="FE55" s="2">
        <f t="shared" ref="FE55" si="104">FD55+FE54</f>
        <v>20307840</v>
      </c>
      <c r="FF55" s="2">
        <f t="shared" ref="FF55" si="105">FE55+FF54</f>
        <v>20446720</v>
      </c>
      <c r="FG55" s="2">
        <f t="shared" ref="FG55" si="106">FF55+FG54</f>
        <v>20572160</v>
      </c>
      <c r="FH55" s="2">
        <f t="shared" ref="FH55" si="107">FG55+FH54</f>
        <v>20711040</v>
      </c>
      <c r="FI55" s="2">
        <f t="shared" ref="FI55" si="108">FH55+FI54</f>
        <v>20845440</v>
      </c>
      <c r="FJ55" s="2">
        <f t="shared" ref="FJ55" si="109">FI55+FJ54</f>
        <v>20984320</v>
      </c>
      <c r="FK55" s="2">
        <f t="shared" ref="FK55" si="110">FJ55+FK54</f>
        <v>21118720</v>
      </c>
      <c r="FL55" s="2">
        <f t="shared" ref="FL55" si="111">FK55+FL54</f>
        <v>21257600</v>
      </c>
      <c r="FM55" s="2">
        <f t="shared" ref="FM55" si="112">FL55+FM54</f>
        <v>21396480</v>
      </c>
      <c r="FN55" s="2">
        <f t="shared" ref="FN55" si="113">FM55+FN54</f>
        <v>21530880</v>
      </c>
      <c r="FO55" s="2">
        <f t="shared" ref="FO55" si="114">FN55+FO54</f>
        <v>21669760</v>
      </c>
      <c r="FP55" s="2">
        <f t="shared" ref="FP55" si="115">FO55+FP54</f>
        <v>21804160</v>
      </c>
      <c r="FQ55" s="2">
        <f t="shared" ref="FQ55" si="116">FP55+FQ54</f>
        <v>21943040</v>
      </c>
      <c r="FR55" s="2">
        <f t="shared" ref="FR55" si="117">FQ55+FR54</f>
        <v>22081920</v>
      </c>
      <c r="FS55" s="2">
        <f t="shared" ref="FS55" si="118">FR55+FS54</f>
        <v>22207360</v>
      </c>
      <c r="FT55" s="2">
        <f t="shared" ref="FT55" si="119">FS55+FT54</f>
        <v>22346240</v>
      </c>
      <c r="FU55" s="2">
        <f t="shared" ref="FU55" si="120">FT55+FU54</f>
        <v>22480640</v>
      </c>
      <c r="FV55" s="2">
        <f t="shared" ref="FV55" si="121">FU55+FV54</f>
        <v>22619520</v>
      </c>
      <c r="FW55" s="2">
        <f t="shared" ref="FW55" si="122">FV55+FW54</f>
        <v>22753920</v>
      </c>
      <c r="FX55" s="2">
        <f t="shared" ref="FX55" si="123">FW55+FX54</f>
        <v>22892800</v>
      </c>
      <c r="FY55" s="2">
        <f t="shared" ref="FY55" si="124">FX55+FY54</f>
        <v>23031680</v>
      </c>
      <c r="FZ55" s="2">
        <f t="shared" ref="FZ55" si="125">FY55+FZ54</f>
        <v>23166080</v>
      </c>
      <c r="GA55" s="2">
        <f t="shared" ref="GA55" si="126">FZ55+GA54</f>
        <v>23304960</v>
      </c>
      <c r="GB55" s="2">
        <f t="shared" ref="GB55" si="127">GA55+GB54</f>
        <v>23439360</v>
      </c>
      <c r="GC55" s="2">
        <f t="shared" ref="GC55" si="128">GB55+GC54</f>
        <v>23578240</v>
      </c>
    </row>
    <row r="58" spans="1:185">
      <c r="A58" s="10" t="s">
        <v>520</v>
      </c>
      <c r="D58" t="s">
        <v>521</v>
      </c>
    </row>
    <row r="59" spans="1:185">
      <c r="B59" t="s">
        <v>17</v>
      </c>
      <c r="D59" t="s">
        <v>30</v>
      </c>
      <c r="E59" s="9"/>
      <c r="F59" s="11">
        <f>Proforma!F9</f>
        <v>0</v>
      </c>
      <c r="G59" s="11">
        <f>Proforma!G9</f>
        <v>0</v>
      </c>
      <c r="H59" s="11">
        <f>Proforma!H9</f>
        <v>0</v>
      </c>
      <c r="I59" s="11">
        <f>Proforma!I9</f>
        <v>0</v>
      </c>
      <c r="J59" s="11">
        <f>Proforma!J9</f>
        <v>0</v>
      </c>
      <c r="K59" s="11">
        <f>Proforma!K9</f>
        <v>0</v>
      </c>
      <c r="L59" s="11">
        <f>Proforma!L9</f>
        <v>0</v>
      </c>
      <c r="M59" s="11">
        <f>Proforma!M9</f>
        <v>1762387.2</v>
      </c>
      <c r="N59" s="11">
        <f>Proforma!N9</f>
        <v>1754506.4360864675</v>
      </c>
      <c r="O59" s="11">
        <f>Proforma!O9</f>
        <v>1829857.5786080218</v>
      </c>
      <c r="P59" s="11">
        <f>Proforma!P9</f>
        <v>1770829.9147819567</v>
      </c>
      <c r="Q59" s="11">
        <f>Proforma!Q9</f>
        <v>1829857.5786080218</v>
      </c>
      <c r="R59" s="11">
        <f>Proforma!R9</f>
        <v>1829857.5786080218</v>
      </c>
      <c r="S59" s="11">
        <f>Proforma!S9</f>
        <v>1652774.5871298264</v>
      </c>
      <c r="T59" s="11">
        <f>Proforma!T9</f>
        <v>1829857.5786080218</v>
      </c>
      <c r="U59" s="11">
        <f>Proforma!U9</f>
        <v>1770829.9147819567</v>
      </c>
      <c r="V59" s="11">
        <f>Proforma!V9</f>
        <v>1829857.5786080218</v>
      </c>
      <c r="W59" s="11">
        <f>Proforma!W9</f>
        <v>1770829.9147819567</v>
      </c>
      <c r="X59" s="11">
        <f>Proforma!X9</f>
        <v>1829857.5786080218</v>
      </c>
      <c r="Y59" s="11">
        <f>Proforma!Y9</f>
        <v>1829857.5786080218</v>
      </c>
      <c r="Z59" s="11">
        <f>Proforma!Z9</f>
        <v>1770829.9147819567</v>
      </c>
      <c r="AA59" s="11">
        <f>Proforma!AA9</f>
        <v>1829857.5786080218</v>
      </c>
      <c r="AB59" s="11">
        <f>Proforma!AB9</f>
        <v>1770829.9147819567</v>
      </c>
      <c r="AC59" s="11">
        <f>Proforma!AC9</f>
        <v>1829857.5786080218</v>
      </c>
      <c r="AD59" s="11">
        <f>Proforma!AD9</f>
        <v>1829857.5786080218</v>
      </c>
      <c r="AE59" s="11">
        <f>Proforma!AE9</f>
        <v>1652774.5871298264</v>
      </c>
      <c r="AF59" s="11">
        <f>Proforma!AF9</f>
        <v>1829857.5786080218</v>
      </c>
      <c r="AG59" s="11">
        <f>Proforma!AG9</f>
        <v>1770829.9147819567</v>
      </c>
      <c r="AH59" s="11">
        <f>Proforma!AH9</f>
        <v>1829857.5786080218</v>
      </c>
      <c r="AI59" s="11">
        <f>Proforma!AI9</f>
        <v>1770829.9147819567</v>
      </c>
      <c r="AJ59" s="11">
        <f>Proforma!AJ9</f>
        <v>1829857.5786080218</v>
      </c>
      <c r="AK59" s="11">
        <f>Proforma!AK9</f>
        <v>1829857.5786080218</v>
      </c>
      <c r="AL59" s="11">
        <f>Proforma!AL9</f>
        <v>1770829.9147819567</v>
      </c>
      <c r="AM59" s="11">
        <f>Proforma!AM9</f>
        <v>1829857.5786080218</v>
      </c>
      <c r="AN59" s="11">
        <f>Proforma!AN9</f>
        <v>1770829.9147819567</v>
      </c>
      <c r="AO59" s="11">
        <f>Proforma!AO9</f>
        <v>1829857.5786080218</v>
      </c>
      <c r="AP59" s="11">
        <f>Proforma!AP9</f>
        <v>1829857.5786080218</v>
      </c>
      <c r="AQ59" s="11">
        <f>Proforma!AQ9</f>
        <v>1652774.5871298264</v>
      </c>
      <c r="AR59" s="11">
        <f>Proforma!AR9</f>
        <v>1829857.5786080218</v>
      </c>
      <c r="AS59" s="11">
        <f>Proforma!AS9</f>
        <v>1770829.9147819567</v>
      </c>
      <c r="AT59" s="11">
        <f>Proforma!AT9</f>
        <v>1829857.5786080218</v>
      </c>
      <c r="AU59" s="11">
        <f>Proforma!AU9</f>
        <v>1770829.9147819567</v>
      </c>
      <c r="AV59" s="11">
        <f>Proforma!AV9</f>
        <v>1829857.5786080218</v>
      </c>
      <c r="AW59" s="11">
        <f>Proforma!AW9</f>
        <v>1829857.5786080218</v>
      </c>
      <c r="AX59" s="11">
        <f>Proforma!AX9</f>
        <v>1770829.9147819567</v>
      </c>
      <c r="AY59" s="11">
        <f>Proforma!AY9</f>
        <v>1829857.5786080218</v>
      </c>
      <c r="AZ59" s="11">
        <f>Proforma!AZ9</f>
        <v>1770829.9147819567</v>
      </c>
      <c r="BA59" s="11">
        <f>Proforma!BA9</f>
        <v>1829857.5786080218</v>
      </c>
      <c r="BB59" s="11">
        <f>Proforma!BB9</f>
        <v>1829857.5786080218</v>
      </c>
      <c r="BC59" s="11">
        <f>Proforma!BC9</f>
        <v>1652774.5871298264</v>
      </c>
      <c r="BD59" s="11">
        <f>Proforma!BD9</f>
        <v>1829857.5786080218</v>
      </c>
      <c r="BE59" s="11">
        <f>Proforma!BE9</f>
        <v>1770829.9147819567</v>
      </c>
      <c r="BF59" s="11">
        <f>Proforma!BF9</f>
        <v>1829857.5786080218</v>
      </c>
      <c r="BG59" s="11">
        <f>Proforma!BG9</f>
        <v>1770829.9147819567</v>
      </c>
      <c r="BH59" s="11">
        <f>Proforma!BH9</f>
        <v>1829857.5786080218</v>
      </c>
      <c r="BI59" s="11">
        <f>Proforma!BI9</f>
        <v>1829857.5786080218</v>
      </c>
      <c r="BJ59" s="11">
        <f>Proforma!BJ9</f>
        <v>1770829.9147819567</v>
      </c>
      <c r="BK59" s="11">
        <f>Proforma!BK9</f>
        <v>1829857.5786080218</v>
      </c>
      <c r="BL59" s="11">
        <f>Proforma!BL9</f>
        <v>1770829.9147819567</v>
      </c>
      <c r="BM59" s="11">
        <f>Proforma!BM9</f>
        <v>1829857.5786080218</v>
      </c>
      <c r="BN59" s="11">
        <f>Proforma!BN9</f>
        <v>1829857.5786080218</v>
      </c>
      <c r="BO59" s="11">
        <f>Proforma!BO9</f>
        <v>1652774.5871298264</v>
      </c>
      <c r="BP59" s="11">
        <f>Proforma!BP9</f>
        <v>1829857.5786080218</v>
      </c>
      <c r="BQ59" s="11">
        <f>Proforma!BQ9</f>
        <v>1770829.9147819567</v>
      </c>
      <c r="BR59" s="11">
        <f>Proforma!BR9</f>
        <v>1829857.5786080218</v>
      </c>
      <c r="BS59" s="11">
        <f>Proforma!BS9</f>
        <v>1770829.9147819567</v>
      </c>
      <c r="BT59" s="11">
        <f>Proforma!BT9</f>
        <v>1829857.5786080218</v>
      </c>
      <c r="BU59" s="11">
        <f>Proforma!BU9</f>
        <v>1829857.5786080218</v>
      </c>
      <c r="BV59" s="11">
        <f>Proforma!BV9</f>
        <v>1770829.9147819567</v>
      </c>
      <c r="BW59" s="11">
        <f>Proforma!BW9</f>
        <v>1829857.5786080218</v>
      </c>
      <c r="BX59" s="11">
        <f>Proforma!BX9</f>
        <v>1770829.9147819567</v>
      </c>
      <c r="BY59" s="11">
        <f>Proforma!BY9</f>
        <v>1829857.5786080218</v>
      </c>
      <c r="BZ59" s="11">
        <f>Proforma!BZ9</f>
        <v>1829857.5786080218</v>
      </c>
      <c r="CA59" s="11">
        <f>Proforma!CA9</f>
        <v>1652774.5871298264</v>
      </c>
      <c r="CB59" s="11">
        <f>Proforma!CB9</f>
        <v>1829857.5786080218</v>
      </c>
      <c r="CC59" s="11">
        <f>Proforma!CC9</f>
        <v>1770829.9147819567</v>
      </c>
      <c r="CD59" s="11">
        <f>Proforma!CD9</f>
        <v>1829857.5786080218</v>
      </c>
      <c r="CE59" s="11">
        <f>Proforma!CE9</f>
        <v>1770829.9147819567</v>
      </c>
      <c r="CF59" s="11">
        <f>Proforma!CF9</f>
        <v>1829857.5786080218</v>
      </c>
      <c r="CG59" s="11">
        <f>Proforma!CG9</f>
        <v>1829857.5786080218</v>
      </c>
      <c r="CH59" s="11">
        <f>Proforma!CH9</f>
        <v>1770829.9147819567</v>
      </c>
      <c r="CI59" s="11">
        <f>Proforma!CI9</f>
        <v>1829857.5786080218</v>
      </c>
      <c r="CJ59" s="11">
        <f>Proforma!CJ9</f>
        <v>1770829.9147819567</v>
      </c>
      <c r="CK59" s="11">
        <f>Proforma!CK9</f>
        <v>1829857.5786080218</v>
      </c>
      <c r="CL59" s="11">
        <f>Proforma!CL9</f>
        <v>1829857.5786080218</v>
      </c>
      <c r="CM59" s="11">
        <f>Proforma!CM9</f>
        <v>1652774.5871298264</v>
      </c>
      <c r="CN59" s="11">
        <f>Proforma!CN9</f>
        <v>1829857.5786080218</v>
      </c>
      <c r="CO59" s="11">
        <f>Proforma!CO9</f>
        <v>1770829.9147819567</v>
      </c>
      <c r="CP59" s="11">
        <f>Proforma!CP9</f>
        <v>1829857.5786080218</v>
      </c>
      <c r="CQ59" s="11">
        <f>Proforma!CQ9</f>
        <v>1770829.9147819567</v>
      </c>
      <c r="CR59" s="11">
        <f>Proforma!CR9</f>
        <v>1829857.5786080218</v>
      </c>
      <c r="CS59" s="11">
        <f>Proforma!CS9</f>
        <v>1829857.5786080218</v>
      </c>
      <c r="CT59" s="11">
        <f>Proforma!CT9</f>
        <v>1770829.9147819567</v>
      </c>
      <c r="CU59" s="11">
        <f>Proforma!CU9</f>
        <v>1829857.5786080218</v>
      </c>
      <c r="CV59" s="11">
        <f>Proforma!CV9</f>
        <v>1770829.9147819567</v>
      </c>
      <c r="CW59" s="11">
        <f>Proforma!CW9</f>
        <v>1829857.5786080218</v>
      </c>
      <c r="CX59" s="11">
        <f>Proforma!CX9</f>
        <v>1829857.5786080218</v>
      </c>
      <c r="CY59" s="11">
        <f>Proforma!CY9</f>
        <v>1652774.5871298264</v>
      </c>
      <c r="CZ59" s="11">
        <f>Proforma!CZ9</f>
        <v>1829857.5786080218</v>
      </c>
      <c r="DA59" s="11">
        <f>Proforma!DA9</f>
        <v>1770829.9147819567</v>
      </c>
      <c r="DB59" s="11">
        <f>Proforma!DB9</f>
        <v>1829857.5786080218</v>
      </c>
      <c r="DC59" s="11">
        <f>Proforma!DC9</f>
        <v>1770829.9147819567</v>
      </c>
      <c r="DD59" s="11">
        <f>Proforma!DD9</f>
        <v>1829857.5786080218</v>
      </c>
      <c r="DE59" s="11">
        <f>Proforma!DE9</f>
        <v>1829857.5786080218</v>
      </c>
      <c r="DF59" s="11">
        <f>Proforma!DF9</f>
        <v>1770829.9147819567</v>
      </c>
      <c r="DG59" s="11">
        <f>Proforma!DG9</f>
        <v>1829857.5786080218</v>
      </c>
      <c r="DH59" s="11">
        <f>Proforma!DH9</f>
        <v>1770829.9147819567</v>
      </c>
      <c r="DI59" s="11">
        <f>Proforma!DI9</f>
        <v>1829857.5786080218</v>
      </c>
      <c r="DJ59" s="11">
        <f>Proforma!DJ9</f>
        <v>1829857.5786080218</v>
      </c>
      <c r="DK59" s="11">
        <f>Proforma!DK9</f>
        <v>1652774.5871298264</v>
      </c>
      <c r="DL59" s="11">
        <f>Proforma!DL9</f>
        <v>1829857.5786080218</v>
      </c>
      <c r="DM59" s="11">
        <f>Proforma!DM9</f>
        <v>1770829.9147819567</v>
      </c>
      <c r="DN59" s="11">
        <f>Proforma!DN9</f>
        <v>1829857.5786080218</v>
      </c>
      <c r="DO59" s="11">
        <f>Proforma!DO9</f>
        <v>1770829.9147819567</v>
      </c>
      <c r="DP59" s="11">
        <f>Proforma!DP9</f>
        <v>1829857.5786080218</v>
      </c>
      <c r="DQ59" s="11">
        <f>Proforma!DQ9</f>
        <v>1829857.5786080218</v>
      </c>
      <c r="DR59" s="11">
        <f>Proforma!DR9</f>
        <v>1770829.9147819567</v>
      </c>
      <c r="DS59" s="11">
        <f>Proforma!DS9</f>
        <v>1829857.5786080218</v>
      </c>
      <c r="DT59" s="11">
        <f>Proforma!DT9</f>
        <v>1770829.9147819567</v>
      </c>
      <c r="DU59" s="11">
        <f>Proforma!DU9</f>
        <v>1829857.5786080218</v>
      </c>
      <c r="DV59" s="11">
        <f>Proforma!DV9</f>
        <v>1829857.5786080218</v>
      </c>
      <c r="DW59" s="11">
        <f>Proforma!DW9</f>
        <v>1652774.5871298264</v>
      </c>
      <c r="DX59" s="11">
        <f>Proforma!DX9</f>
        <v>1829857.5786080218</v>
      </c>
      <c r="DY59" s="11">
        <f>Proforma!DY9</f>
        <v>1770829.9147819567</v>
      </c>
      <c r="DZ59" s="11">
        <f>Proforma!DZ9</f>
        <v>1829857.5786080218</v>
      </c>
      <c r="EA59" s="11">
        <f>Proforma!EA9</f>
        <v>1770829.9147819567</v>
      </c>
      <c r="EB59" s="11">
        <f>Proforma!EB9</f>
        <v>1829857.5786080218</v>
      </c>
      <c r="EC59" s="11">
        <f>Proforma!EC9</f>
        <v>1829857.5786080218</v>
      </c>
      <c r="ED59" s="11">
        <f>Proforma!ED9</f>
        <v>1770829.9147819567</v>
      </c>
      <c r="EE59" s="11">
        <f>Proforma!EE9</f>
        <v>1829857.5786080218</v>
      </c>
      <c r="EF59" s="11">
        <f>Proforma!EF9</f>
        <v>1770829.9147819567</v>
      </c>
      <c r="EG59" s="11">
        <f>Proforma!EG9</f>
        <v>1829857.5786080218</v>
      </c>
      <c r="EH59" s="11">
        <f>Proforma!EH9</f>
        <v>1829857.5786080218</v>
      </c>
      <c r="EI59" s="11">
        <f>Proforma!EI9</f>
        <v>1652774.5871298264</v>
      </c>
      <c r="EJ59" s="11">
        <f>Proforma!EJ9</f>
        <v>1829857.5786080218</v>
      </c>
      <c r="EK59" s="11">
        <f>Proforma!EK9</f>
        <v>1770829.9147819567</v>
      </c>
      <c r="EL59" s="11">
        <f>Proforma!EL9</f>
        <v>1829857.5786080218</v>
      </c>
      <c r="EM59" s="11">
        <f>Proforma!EM9</f>
        <v>1770829.9147819567</v>
      </c>
      <c r="EN59" s="11">
        <f>Proforma!EN9</f>
        <v>1829857.5786080218</v>
      </c>
      <c r="EO59" s="11">
        <f>Proforma!EO9</f>
        <v>1829857.5786080218</v>
      </c>
      <c r="EP59" s="11">
        <f>Proforma!EP9</f>
        <v>1770829.9147819567</v>
      </c>
      <c r="EQ59" s="11">
        <f>Proforma!EQ9</f>
        <v>1829857.5786080218</v>
      </c>
      <c r="ER59" s="11">
        <f>Proforma!ER9</f>
        <v>1770829.9147819567</v>
      </c>
      <c r="ES59" s="11">
        <f>Proforma!ES9</f>
        <v>1829857.5786080218</v>
      </c>
      <c r="ET59" s="11">
        <f>Proforma!ET9</f>
        <v>1829857.5786080218</v>
      </c>
      <c r="EU59" s="11">
        <f>Proforma!EU9</f>
        <v>1652774.5871298264</v>
      </c>
      <c r="EV59" s="11">
        <f>Proforma!EV9</f>
        <v>1829857.5786080218</v>
      </c>
      <c r="EW59" s="11">
        <f>Proforma!EW9</f>
        <v>1770829.9147819567</v>
      </c>
      <c r="EX59" s="11">
        <f>Proforma!EX9</f>
        <v>1829857.5786080218</v>
      </c>
      <c r="EY59" s="11">
        <f>Proforma!EY9</f>
        <v>1770829.9147819567</v>
      </c>
      <c r="EZ59" s="11">
        <f>Proforma!EZ9</f>
        <v>1829857.5786080218</v>
      </c>
      <c r="FA59" s="11">
        <f>Proforma!FA9</f>
        <v>1829857.5786080218</v>
      </c>
      <c r="FB59" s="11">
        <f>Proforma!FB9</f>
        <v>1770829.9147819567</v>
      </c>
      <c r="FC59" s="11">
        <f>Proforma!FC9</f>
        <v>1829857.5786080218</v>
      </c>
      <c r="FD59" s="11">
        <f>Proforma!FD9</f>
        <v>1770829.9147819567</v>
      </c>
      <c r="FE59" s="11">
        <f>Proforma!FE9</f>
        <v>1829857.5786080218</v>
      </c>
      <c r="FF59" s="11">
        <f>Proforma!FF9</f>
        <v>1829857.5786080218</v>
      </c>
      <c r="FG59" s="11">
        <f>Proforma!FG9</f>
        <v>1652774.5871298264</v>
      </c>
      <c r="FH59" s="11">
        <f>Proforma!FH9</f>
        <v>1829857.5786080218</v>
      </c>
      <c r="FI59" s="11">
        <f>Proforma!FI9</f>
        <v>1770829.9147819567</v>
      </c>
      <c r="FJ59" s="11">
        <f>Proforma!FJ9</f>
        <v>1829857.5786080218</v>
      </c>
      <c r="FK59" s="11">
        <f>Proforma!FK9</f>
        <v>1770829.9147819567</v>
      </c>
      <c r="FL59" s="11">
        <f>Proforma!FL9</f>
        <v>1829857.5786080218</v>
      </c>
      <c r="FM59" s="11">
        <f>Proforma!FM9</f>
        <v>1829857.5786080218</v>
      </c>
      <c r="FN59" s="11">
        <f>Proforma!FN9</f>
        <v>1770829.9147819567</v>
      </c>
      <c r="FO59" s="11">
        <f>Proforma!FO9</f>
        <v>1829857.5786080218</v>
      </c>
      <c r="FP59" s="11">
        <f>Proforma!FP9</f>
        <v>1770829.9147819567</v>
      </c>
      <c r="FQ59" s="11">
        <f>Proforma!FQ9</f>
        <v>1829857.5786080218</v>
      </c>
      <c r="FR59" s="11">
        <f>Proforma!FR9</f>
        <v>1829857.5786080218</v>
      </c>
      <c r="FS59" s="11">
        <f>Proforma!FS9</f>
        <v>1652774.5871298264</v>
      </c>
      <c r="FT59" s="11">
        <f>Proforma!FT9</f>
        <v>1829857.5786080218</v>
      </c>
      <c r="FU59" s="11">
        <f>Proforma!FU9</f>
        <v>1770829.9147819567</v>
      </c>
      <c r="FV59" s="11">
        <f>Proforma!FV9</f>
        <v>1829857.5786080218</v>
      </c>
      <c r="FW59" s="11">
        <f>Proforma!FW9</f>
        <v>1770829.9147819567</v>
      </c>
      <c r="FX59" s="11">
        <f>Proforma!FX9</f>
        <v>1829857.5786080218</v>
      </c>
      <c r="FY59" s="11">
        <f>Proforma!FY9</f>
        <v>1829857.5786080218</v>
      </c>
      <c r="FZ59" s="11">
        <f>Proforma!FZ9</f>
        <v>1770829.9147819567</v>
      </c>
      <c r="GA59" s="11">
        <f>Proforma!GA9</f>
        <v>1829857.5786080218</v>
      </c>
      <c r="GB59" s="11">
        <f>Proforma!GB9</f>
        <v>1770829.9147819567</v>
      </c>
      <c r="GC59" s="11">
        <f>Proforma!GC9</f>
        <v>1829857.5786080218</v>
      </c>
    </row>
    <row r="60" spans="1:185">
      <c r="B60" t="s">
        <v>502</v>
      </c>
      <c r="D60" t="s">
        <v>61</v>
      </c>
      <c r="E60" s="9"/>
      <c r="F60" s="11">
        <f>Proforma!F10</f>
        <v>15000000</v>
      </c>
      <c r="G60" s="11">
        <f>Proforma!G10</f>
        <v>0</v>
      </c>
      <c r="H60" s="11">
        <f>Proforma!H10</f>
        <v>0</v>
      </c>
      <c r="I60" s="11">
        <f>Proforma!I10</f>
        <v>0</v>
      </c>
      <c r="J60" s="11">
        <f>Proforma!J10</f>
        <v>0</v>
      </c>
      <c r="K60" s="11">
        <f>Proforma!K10</f>
        <v>0</v>
      </c>
      <c r="L60" s="11">
        <f>Proforma!L10</f>
        <v>0</v>
      </c>
      <c r="M60" s="11">
        <f>Proforma!M10</f>
        <v>0</v>
      </c>
      <c r="N60" s="11">
        <f>Proforma!N10</f>
        <v>0</v>
      </c>
      <c r="O60" s="11">
        <f>Proforma!O10</f>
        <v>0</v>
      </c>
      <c r="P60" s="11">
        <f>Proforma!P10</f>
        <v>0</v>
      </c>
      <c r="Q60" s="11">
        <f>Proforma!Q10</f>
        <v>0</v>
      </c>
      <c r="R60" s="11">
        <f>Proforma!R10</f>
        <v>0</v>
      </c>
      <c r="S60" s="11">
        <f>Proforma!S10</f>
        <v>0</v>
      </c>
      <c r="T60" s="11">
        <f>Proforma!T10</f>
        <v>0</v>
      </c>
      <c r="U60" s="11">
        <f>Proforma!U10</f>
        <v>0</v>
      </c>
      <c r="V60" s="11">
        <f>Proforma!V10</f>
        <v>0</v>
      </c>
      <c r="W60" s="11">
        <f>Proforma!W10</f>
        <v>0</v>
      </c>
      <c r="X60" s="11">
        <f>Proforma!X10</f>
        <v>0</v>
      </c>
      <c r="Y60" s="11">
        <f>Proforma!Y10</f>
        <v>0</v>
      </c>
      <c r="Z60" s="11">
        <f>Proforma!Z10</f>
        <v>0</v>
      </c>
      <c r="AA60" s="11">
        <f>Proforma!AA10</f>
        <v>0</v>
      </c>
      <c r="AB60" s="11">
        <f>Proforma!AB10</f>
        <v>0</v>
      </c>
      <c r="AC60" s="11">
        <f>Proforma!AC10</f>
        <v>0</v>
      </c>
      <c r="AD60" s="11">
        <f>Proforma!AD10</f>
        <v>0</v>
      </c>
      <c r="AE60" s="11">
        <f>Proforma!AE10</f>
        <v>0</v>
      </c>
      <c r="AF60" s="11">
        <f>Proforma!AF10</f>
        <v>0</v>
      </c>
      <c r="AG60" s="11">
        <f>Proforma!AG10</f>
        <v>0</v>
      </c>
      <c r="AH60" s="11">
        <f>Proforma!AH10</f>
        <v>0</v>
      </c>
      <c r="AI60" s="11">
        <f>Proforma!AI10</f>
        <v>0</v>
      </c>
      <c r="AJ60" s="11">
        <f>Proforma!AJ10</f>
        <v>0</v>
      </c>
      <c r="AK60" s="11">
        <f>Proforma!AK10</f>
        <v>0</v>
      </c>
      <c r="AL60" s="11">
        <f>Proforma!AL10</f>
        <v>0</v>
      </c>
      <c r="AM60" s="11">
        <f>Proforma!AM10</f>
        <v>0</v>
      </c>
      <c r="AN60" s="11">
        <f>Proforma!AN10</f>
        <v>0</v>
      </c>
      <c r="AO60" s="11">
        <f>Proforma!AO10</f>
        <v>0</v>
      </c>
      <c r="AP60" s="11">
        <f>Proforma!AP10</f>
        <v>0</v>
      </c>
      <c r="AQ60" s="11">
        <f>Proforma!AQ10</f>
        <v>0</v>
      </c>
      <c r="AR60" s="11">
        <f>Proforma!AR10</f>
        <v>0</v>
      </c>
      <c r="AS60" s="11">
        <f>Proforma!AS10</f>
        <v>0</v>
      </c>
      <c r="AT60" s="11">
        <f>Proforma!AT10</f>
        <v>0</v>
      </c>
      <c r="AU60" s="11">
        <f>Proforma!AU10</f>
        <v>0</v>
      </c>
      <c r="AV60" s="11">
        <f>Proforma!AV10</f>
        <v>0</v>
      </c>
      <c r="AW60" s="11">
        <f>Proforma!AW10</f>
        <v>0</v>
      </c>
      <c r="AX60" s="11">
        <f>Proforma!AX10</f>
        <v>0</v>
      </c>
      <c r="AY60" s="11">
        <f>Proforma!AY10</f>
        <v>0</v>
      </c>
      <c r="AZ60" s="11">
        <f>Proforma!AZ10</f>
        <v>0</v>
      </c>
      <c r="BA60" s="11">
        <f>Proforma!BA10</f>
        <v>0</v>
      </c>
      <c r="BB60" s="11">
        <f>Proforma!BB10</f>
        <v>0</v>
      </c>
      <c r="BC60" s="11">
        <f>Proforma!BC10</f>
        <v>0</v>
      </c>
      <c r="BD60" s="11">
        <f>Proforma!BD10</f>
        <v>0</v>
      </c>
      <c r="BE60" s="11">
        <f>Proforma!BE10</f>
        <v>0</v>
      </c>
      <c r="BF60" s="11">
        <f>Proforma!BF10</f>
        <v>0</v>
      </c>
      <c r="BG60" s="11">
        <f>Proforma!BG10</f>
        <v>0</v>
      </c>
      <c r="BH60" s="11">
        <f>Proforma!BH10</f>
        <v>0</v>
      </c>
      <c r="BI60" s="11">
        <f>Proforma!BI10</f>
        <v>0</v>
      </c>
      <c r="BJ60" s="11">
        <f>Proforma!BJ10</f>
        <v>0</v>
      </c>
      <c r="BK60" s="11">
        <f>Proforma!BK10</f>
        <v>0</v>
      </c>
      <c r="BL60" s="11">
        <f>Proforma!BL10</f>
        <v>0</v>
      </c>
      <c r="BM60" s="11">
        <f>Proforma!BM10</f>
        <v>0</v>
      </c>
      <c r="BN60" s="11">
        <f>Proforma!BN10</f>
        <v>0</v>
      </c>
      <c r="BO60" s="11">
        <f>Proforma!BO10</f>
        <v>0</v>
      </c>
      <c r="BP60" s="11">
        <f>Proforma!BP10</f>
        <v>0</v>
      </c>
      <c r="BQ60" s="11">
        <f>Proforma!BQ10</f>
        <v>0</v>
      </c>
      <c r="BR60" s="11">
        <f>Proforma!BR10</f>
        <v>0</v>
      </c>
      <c r="BS60" s="11">
        <f>Proforma!BS10</f>
        <v>0</v>
      </c>
      <c r="BT60" s="11">
        <f>Proforma!BT10</f>
        <v>0</v>
      </c>
      <c r="BU60" s="11">
        <f>Proforma!BU10</f>
        <v>0</v>
      </c>
      <c r="BV60" s="11">
        <f>Proforma!BV10</f>
        <v>0</v>
      </c>
      <c r="BW60" s="11">
        <f>Proforma!BW10</f>
        <v>0</v>
      </c>
      <c r="BX60" s="11">
        <f>Proforma!BX10</f>
        <v>0</v>
      </c>
      <c r="BY60" s="11">
        <f>Proforma!BY10</f>
        <v>0</v>
      </c>
      <c r="BZ60" s="11">
        <f>Proforma!BZ10</f>
        <v>0</v>
      </c>
      <c r="CA60" s="11">
        <f>Proforma!CA10</f>
        <v>0</v>
      </c>
      <c r="CB60" s="11">
        <f>Proforma!CB10</f>
        <v>0</v>
      </c>
      <c r="CC60" s="11">
        <f>Proforma!CC10</f>
        <v>0</v>
      </c>
      <c r="CD60" s="11">
        <f>Proforma!CD10</f>
        <v>0</v>
      </c>
      <c r="CE60" s="11">
        <f>Proforma!CE10</f>
        <v>0</v>
      </c>
      <c r="CF60" s="11">
        <f>Proforma!CF10</f>
        <v>0</v>
      </c>
      <c r="CG60" s="11">
        <f>Proforma!CG10</f>
        <v>0</v>
      </c>
      <c r="CH60" s="11">
        <f>Proforma!CH10</f>
        <v>0</v>
      </c>
      <c r="CI60" s="11">
        <f>Proforma!CI10</f>
        <v>0</v>
      </c>
      <c r="CJ60" s="11">
        <f>Proforma!CJ10</f>
        <v>0</v>
      </c>
      <c r="CK60" s="11">
        <f>Proforma!CK10</f>
        <v>0</v>
      </c>
      <c r="CL60" s="11">
        <f>Proforma!CL10</f>
        <v>0</v>
      </c>
      <c r="CM60" s="11">
        <f>Proforma!CM10</f>
        <v>0</v>
      </c>
      <c r="CN60" s="11">
        <f>Proforma!CN10</f>
        <v>0</v>
      </c>
      <c r="CO60" s="11">
        <f>Proforma!CO10</f>
        <v>0</v>
      </c>
      <c r="CP60" s="11">
        <f>Proforma!CP10</f>
        <v>0</v>
      </c>
      <c r="CQ60" s="11">
        <f>Proforma!CQ10</f>
        <v>0</v>
      </c>
      <c r="CR60" s="11">
        <f>Proforma!CR10</f>
        <v>0</v>
      </c>
      <c r="CS60" s="11">
        <f>Proforma!CS10</f>
        <v>0</v>
      </c>
      <c r="CT60" s="11">
        <f>Proforma!CT10</f>
        <v>0</v>
      </c>
      <c r="CU60" s="11">
        <f>Proforma!CU10</f>
        <v>0</v>
      </c>
      <c r="CV60" s="11">
        <f>Proforma!CV10</f>
        <v>0</v>
      </c>
      <c r="CW60" s="11">
        <f>Proforma!CW10</f>
        <v>0</v>
      </c>
      <c r="CX60" s="11">
        <f>Proforma!CX10</f>
        <v>0</v>
      </c>
      <c r="CY60" s="11">
        <f>Proforma!CY10</f>
        <v>0</v>
      </c>
      <c r="CZ60" s="11">
        <f>Proforma!CZ10</f>
        <v>0</v>
      </c>
      <c r="DA60" s="11">
        <f>Proforma!DA10</f>
        <v>0</v>
      </c>
      <c r="DB60" s="11">
        <f>Proforma!DB10</f>
        <v>0</v>
      </c>
      <c r="DC60" s="11">
        <f>Proforma!DC10</f>
        <v>0</v>
      </c>
      <c r="DD60" s="11">
        <f>Proforma!DD10</f>
        <v>0</v>
      </c>
      <c r="DE60" s="11">
        <f>Proforma!DE10</f>
        <v>0</v>
      </c>
      <c r="DF60" s="11">
        <f>Proforma!DF10</f>
        <v>0</v>
      </c>
      <c r="DG60" s="11">
        <f>Proforma!DG10</f>
        <v>0</v>
      </c>
      <c r="DH60" s="11">
        <f>Proforma!DH10</f>
        <v>0</v>
      </c>
      <c r="DI60" s="11">
        <f>Proforma!DI10</f>
        <v>0</v>
      </c>
      <c r="DJ60" s="11">
        <f>Proforma!DJ10</f>
        <v>0</v>
      </c>
      <c r="DK60" s="11">
        <f>Proforma!DK10</f>
        <v>0</v>
      </c>
      <c r="DL60" s="11">
        <f>Proforma!DL10</f>
        <v>0</v>
      </c>
      <c r="DM60" s="11">
        <f>Proforma!DM10</f>
        <v>0</v>
      </c>
      <c r="DN60" s="11">
        <f>Proforma!DN10</f>
        <v>0</v>
      </c>
      <c r="DO60" s="11">
        <f>Proforma!DO10</f>
        <v>0</v>
      </c>
      <c r="DP60" s="11">
        <f>Proforma!DP10</f>
        <v>0</v>
      </c>
      <c r="DQ60" s="11">
        <f>Proforma!DQ10</f>
        <v>0</v>
      </c>
      <c r="DR60" s="11">
        <f>Proforma!DR10</f>
        <v>0</v>
      </c>
      <c r="DS60" s="11">
        <f>Proforma!DS10</f>
        <v>0</v>
      </c>
      <c r="DT60" s="11">
        <f>Proforma!DT10</f>
        <v>0</v>
      </c>
      <c r="DU60" s="11">
        <f>Proforma!DU10</f>
        <v>0</v>
      </c>
      <c r="DV60" s="11">
        <f>Proforma!DV10</f>
        <v>0</v>
      </c>
      <c r="DW60" s="11">
        <f>Proforma!DW10</f>
        <v>0</v>
      </c>
      <c r="DX60" s="11">
        <f>Proforma!DX10</f>
        <v>0</v>
      </c>
      <c r="DY60" s="11">
        <f>Proforma!DY10</f>
        <v>0</v>
      </c>
      <c r="DZ60" s="11">
        <f>Proforma!DZ10</f>
        <v>0</v>
      </c>
      <c r="EA60" s="11">
        <f>Proforma!EA10</f>
        <v>0</v>
      </c>
      <c r="EB60" s="11">
        <f>Proforma!EB10</f>
        <v>0</v>
      </c>
      <c r="EC60" s="11">
        <f>Proforma!EC10</f>
        <v>0</v>
      </c>
      <c r="ED60" s="11">
        <f>Proforma!ED10</f>
        <v>0</v>
      </c>
      <c r="EE60" s="11">
        <f>Proforma!EE10</f>
        <v>0</v>
      </c>
      <c r="EF60" s="11">
        <f>Proforma!EF10</f>
        <v>0</v>
      </c>
      <c r="EG60" s="11">
        <f>Proforma!EG10</f>
        <v>0</v>
      </c>
      <c r="EH60" s="11">
        <f>Proforma!EH10</f>
        <v>0</v>
      </c>
      <c r="EI60" s="11">
        <f>Proforma!EI10</f>
        <v>0</v>
      </c>
      <c r="EJ60" s="11">
        <f>Proforma!EJ10</f>
        <v>0</v>
      </c>
      <c r="EK60" s="11">
        <f>Proforma!EK10</f>
        <v>0</v>
      </c>
      <c r="EL60" s="11">
        <f>Proforma!EL10</f>
        <v>0</v>
      </c>
      <c r="EM60" s="11">
        <f>Proforma!EM10</f>
        <v>0</v>
      </c>
      <c r="EN60" s="11">
        <f>Proforma!EN10</f>
        <v>0</v>
      </c>
      <c r="EO60" s="11">
        <f>Proforma!EO10</f>
        <v>0</v>
      </c>
      <c r="EP60" s="11">
        <f>Proforma!EP10</f>
        <v>0</v>
      </c>
      <c r="EQ60" s="11">
        <f>Proforma!EQ10</f>
        <v>0</v>
      </c>
      <c r="ER60" s="11">
        <f>Proforma!ER10</f>
        <v>0</v>
      </c>
      <c r="ES60" s="11">
        <f>Proforma!ES10</f>
        <v>0</v>
      </c>
      <c r="ET60" s="11">
        <f>Proforma!ET10</f>
        <v>0</v>
      </c>
      <c r="EU60" s="11">
        <f>Proforma!EU10</f>
        <v>0</v>
      </c>
      <c r="EV60" s="11">
        <f>Proforma!EV10</f>
        <v>0</v>
      </c>
      <c r="EW60" s="11">
        <f>Proforma!EW10</f>
        <v>0</v>
      </c>
      <c r="EX60" s="11">
        <f>Proforma!EX10</f>
        <v>0</v>
      </c>
      <c r="EY60" s="11">
        <f>Proforma!EY10</f>
        <v>0</v>
      </c>
      <c r="EZ60" s="11">
        <f>Proforma!EZ10</f>
        <v>0</v>
      </c>
      <c r="FA60" s="11">
        <f>Proforma!FA10</f>
        <v>0</v>
      </c>
      <c r="FB60" s="11">
        <f>Proforma!FB10</f>
        <v>0</v>
      </c>
      <c r="FC60" s="11">
        <f>Proforma!FC10</f>
        <v>0</v>
      </c>
      <c r="FD60" s="11">
        <f>Proforma!FD10</f>
        <v>0</v>
      </c>
      <c r="FE60" s="11">
        <f>Proforma!FE10</f>
        <v>0</v>
      </c>
      <c r="FF60" s="11">
        <f>Proforma!FF10</f>
        <v>0</v>
      </c>
      <c r="FG60" s="11">
        <f>Proforma!FG10</f>
        <v>0</v>
      </c>
      <c r="FH60" s="11">
        <f>Proforma!FH10</f>
        <v>0</v>
      </c>
      <c r="FI60" s="11">
        <f>Proforma!FI10</f>
        <v>0</v>
      </c>
      <c r="FJ60" s="11">
        <f>Proforma!FJ10</f>
        <v>0</v>
      </c>
      <c r="FK60" s="11">
        <f>Proforma!FK10</f>
        <v>0</v>
      </c>
      <c r="FL60" s="11">
        <f>Proforma!FL10</f>
        <v>0</v>
      </c>
      <c r="FM60" s="11">
        <f>Proforma!FM10</f>
        <v>0</v>
      </c>
      <c r="FN60" s="11">
        <f>Proforma!FN10</f>
        <v>0</v>
      </c>
      <c r="FO60" s="11">
        <f>Proforma!FO10</f>
        <v>0</v>
      </c>
      <c r="FP60" s="11">
        <f>Proforma!FP10</f>
        <v>0</v>
      </c>
      <c r="FQ60" s="11">
        <f>Proforma!FQ10</f>
        <v>0</v>
      </c>
      <c r="FR60" s="11">
        <f>Proforma!FR10</f>
        <v>0</v>
      </c>
      <c r="FS60" s="11">
        <f>Proforma!FS10</f>
        <v>0</v>
      </c>
      <c r="FT60" s="11">
        <f>Proforma!FT10</f>
        <v>0</v>
      </c>
      <c r="FU60" s="11">
        <f>Proforma!FU10</f>
        <v>0</v>
      </c>
      <c r="FV60" s="11">
        <f>Proforma!FV10</f>
        <v>0</v>
      </c>
      <c r="FW60" s="11">
        <f>Proforma!FW10</f>
        <v>0</v>
      </c>
      <c r="FX60" s="11">
        <f>Proforma!FX10</f>
        <v>0</v>
      </c>
      <c r="FY60" s="11">
        <f>Proforma!FY10</f>
        <v>0</v>
      </c>
      <c r="FZ60" s="11">
        <f>Proforma!FZ10</f>
        <v>0</v>
      </c>
      <c r="GA60" s="11">
        <f>Proforma!GA10</f>
        <v>0</v>
      </c>
      <c r="GB60" s="11">
        <f>Proforma!GB10</f>
        <v>0</v>
      </c>
      <c r="GC60" s="11">
        <f>Proforma!GC10</f>
        <v>0</v>
      </c>
    </row>
    <row r="61" spans="1:185">
      <c r="B61" t="s">
        <v>31</v>
      </c>
      <c r="D61" t="s">
        <v>32</v>
      </c>
      <c r="E61" s="9"/>
      <c r="F61" s="11">
        <f>Proforma!F11</f>
        <v>0</v>
      </c>
      <c r="G61" s="11">
        <f>Proforma!G11</f>
        <v>0</v>
      </c>
      <c r="H61" s="11">
        <f>Proforma!H11</f>
        <v>0</v>
      </c>
      <c r="I61" s="11">
        <f>Proforma!I11</f>
        <v>0</v>
      </c>
      <c r="J61" s="11">
        <f>Proforma!J11</f>
        <v>0</v>
      </c>
      <c r="K61" s="11">
        <f>Proforma!K11</f>
        <v>0</v>
      </c>
      <c r="L61" s="11">
        <f>Proforma!L11</f>
        <v>0</v>
      </c>
      <c r="M61" s="11">
        <f>Proforma!M11</f>
        <v>651421.46152799996</v>
      </c>
      <c r="N61" s="11">
        <f>Proforma!N11</f>
        <v>630450.44663999998</v>
      </c>
      <c r="O61" s="11">
        <f>Proforma!O11</f>
        <v>651421.46152799996</v>
      </c>
      <c r="P61" s="11">
        <f>Proforma!P11</f>
        <v>630450.44663999998</v>
      </c>
      <c r="Q61" s="11">
        <f>Proforma!Q11</f>
        <v>651421.46152799996</v>
      </c>
      <c r="R61" s="11">
        <f>Proforma!R11</f>
        <v>651421.46152799996</v>
      </c>
      <c r="S61" s="11">
        <f>Proforma!S11</f>
        <v>588508.41686400003</v>
      </c>
      <c r="T61" s="11">
        <f>Proforma!T11</f>
        <v>651421.46152799996</v>
      </c>
      <c r="U61" s="11">
        <f>Proforma!U11</f>
        <v>630450.44663999998</v>
      </c>
      <c r="V61" s="11">
        <f>Proforma!V11</f>
        <v>651421.46152799996</v>
      </c>
      <c r="W61" s="11">
        <f>Proforma!W11</f>
        <v>630450.44663999998</v>
      </c>
      <c r="X61" s="11">
        <f>Proforma!X11</f>
        <v>651421.46152799996</v>
      </c>
      <c r="Y61" s="11">
        <f>Proforma!Y11</f>
        <v>651421.46152799996</v>
      </c>
      <c r="Z61" s="11">
        <f>Proforma!Z11</f>
        <v>630450.44663999998</v>
      </c>
      <c r="AA61" s="11">
        <f>Proforma!AA11</f>
        <v>651421.46152799996</v>
      </c>
      <c r="AB61" s="11">
        <f>Proforma!AB11</f>
        <v>630450.44663999998</v>
      </c>
      <c r="AC61" s="11">
        <f>Proforma!AC11</f>
        <v>651421.46152799996</v>
      </c>
      <c r="AD61" s="11">
        <f>Proforma!AD11</f>
        <v>651421.46152799996</v>
      </c>
      <c r="AE61" s="11">
        <f>Proforma!AE11</f>
        <v>588508.41686400003</v>
      </c>
      <c r="AF61" s="11">
        <f>Proforma!AF11</f>
        <v>651421.46152799996</v>
      </c>
      <c r="AG61" s="11">
        <f>Proforma!AG11</f>
        <v>630450.44663999998</v>
      </c>
      <c r="AH61" s="11">
        <f>Proforma!AH11</f>
        <v>651421.46152799996</v>
      </c>
      <c r="AI61" s="11">
        <f>Proforma!AI11</f>
        <v>630450.44663999998</v>
      </c>
      <c r="AJ61" s="11">
        <f>Proforma!AJ11</f>
        <v>651421.46152799996</v>
      </c>
      <c r="AK61" s="11">
        <f>Proforma!AK11</f>
        <v>651421.46152799996</v>
      </c>
      <c r="AL61" s="11">
        <f>Proforma!AL11</f>
        <v>630450.44663999998</v>
      </c>
      <c r="AM61" s="11">
        <f>Proforma!AM11</f>
        <v>651421.46152799996</v>
      </c>
      <c r="AN61" s="11">
        <f>Proforma!AN11</f>
        <v>630450.44663999998</v>
      </c>
      <c r="AO61" s="11">
        <f>Proforma!AO11</f>
        <v>651421.46152799996</v>
      </c>
      <c r="AP61" s="11">
        <f>Proforma!AP11</f>
        <v>651421.46152799996</v>
      </c>
      <c r="AQ61" s="11">
        <f>Proforma!AQ11</f>
        <v>588508.41686400003</v>
      </c>
      <c r="AR61" s="11">
        <f>Proforma!AR11</f>
        <v>651421.46152799996</v>
      </c>
      <c r="AS61" s="11">
        <f>Proforma!AS11</f>
        <v>630450.44663999998</v>
      </c>
      <c r="AT61" s="11">
        <f>Proforma!AT11</f>
        <v>651421.46152799996</v>
      </c>
      <c r="AU61" s="11">
        <f>Proforma!AU11</f>
        <v>630450.44663999998</v>
      </c>
      <c r="AV61" s="11">
        <f>Proforma!AV11</f>
        <v>651421.46152799996</v>
      </c>
      <c r="AW61" s="11">
        <f>Proforma!AW11</f>
        <v>651421.46152799996</v>
      </c>
      <c r="AX61" s="11">
        <f>Proforma!AX11</f>
        <v>630450.44663999998</v>
      </c>
      <c r="AY61" s="11">
        <f>Proforma!AY11</f>
        <v>651421.46152799996</v>
      </c>
      <c r="AZ61" s="11">
        <f>Proforma!AZ11</f>
        <v>630450.44663999998</v>
      </c>
      <c r="BA61" s="11">
        <f>Proforma!BA11</f>
        <v>651421.46152799996</v>
      </c>
      <c r="BB61" s="11">
        <f>Proforma!BB11</f>
        <v>651421.46152799996</v>
      </c>
      <c r="BC61" s="11">
        <f>Proforma!BC11</f>
        <v>588508.41686400003</v>
      </c>
      <c r="BD61" s="11">
        <f>Proforma!BD11</f>
        <v>651421.46152799996</v>
      </c>
      <c r="BE61" s="11">
        <f>Proforma!BE11</f>
        <v>630450.44663999998</v>
      </c>
      <c r="BF61" s="11">
        <f>Proforma!BF11</f>
        <v>651421.46152799996</v>
      </c>
      <c r="BG61" s="11">
        <f>Proforma!BG11</f>
        <v>630450.44663999998</v>
      </c>
      <c r="BH61" s="11">
        <f>Proforma!BH11</f>
        <v>651421.46152799996</v>
      </c>
      <c r="BI61" s="11">
        <f>Proforma!BI11</f>
        <v>651421.46152799996</v>
      </c>
      <c r="BJ61" s="11">
        <f>Proforma!BJ11</f>
        <v>630450.44663999998</v>
      </c>
      <c r="BK61" s="11">
        <f>Proforma!BK11</f>
        <v>651421.46152799996</v>
      </c>
      <c r="BL61" s="11">
        <f>Proforma!BL11</f>
        <v>630450.44663999998</v>
      </c>
      <c r="BM61" s="11">
        <f>Proforma!BM11</f>
        <v>651421.46152799996</v>
      </c>
      <c r="BN61" s="11">
        <f>Proforma!BN11</f>
        <v>651421.46152799996</v>
      </c>
      <c r="BO61" s="11">
        <f>Proforma!BO11</f>
        <v>588508.41686400003</v>
      </c>
      <c r="BP61" s="11">
        <f>Proforma!BP11</f>
        <v>651421.46152799996</v>
      </c>
      <c r="BQ61" s="11">
        <f>Proforma!BQ11</f>
        <v>630450.44663999998</v>
      </c>
      <c r="BR61" s="11">
        <f>Proforma!BR11</f>
        <v>651421.46152799996</v>
      </c>
      <c r="BS61" s="11">
        <f>Proforma!BS11</f>
        <v>630450.44663999998</v>
      </c>
      <c r="BT61" s="11">
        <f>Proforma!BT11</f>
        <v>651421.46152799996</v>
      </c>
      <c r="BU61" s="11">
        <f>Proforma!BU11</f>
        <v>651421.46152799996</v>
      </c>
      <c r="BV61" s="11">
        <f>Proforma!BV11</f>
        <v>630450.44663999998</v>
      </c>
      <c r="BW61" s="11">
        <f>Proforma!BW11</f>
        <v>651421.46152799996</v>
      </c>
      <c r="BX61" s="11">
        <f>Proforma!BX11</f>
        <v>630450.44663999998</v>
      </c>
      <c r="BY61" s="11">
        <f>Proforma!BY11</f>
        <v>651421.46152799996</v>
      </c>
      <c r="BZ61" s="11">
        <f>Proforma!BZ11</f>
        <v>651421.46152799996</v>
      </c>
      <c r="CA61" s="11">
        <f>Proforma!CA11</f>
        <v>588508.41686400003</v>
      </c>
      <c r="CB61" s="11">
        <f>Proforma!CB11</f>
        <v>651421.46152799996</v>
      </c>
      <c r="CC61" s="11">
        <f>Proforma!CC11</f>
        <v>630450.44663999998</v>
      </c>
      <c r="CD61" s="11">
        <f>Proforma!CD11</f>
        <v>651421.46152799996</v>
      </c>
      <c r="CE61" s="11">
        <f>Proforma!CE11</f>
        <v>630450.44663999998</v>
      </c>
      <c r="CF61" s="11">
        <f>Proforma!CF11</f>
        <v>651421.46152799996</v>
      </c>
      <c r="CG61" s="11">
        <f>Proforma!CG11</f>
        <v>651421.46152799996</v>
      </c>
      <c r="CH61" s="11">
        <f>Proforma!CH11</f>
        <v>630450.44663999998</v>
      </c>
      <c r="CI61" s="11">
        <f>Proforma!CI11</f>
        <v>651421.46152799996</v>
      </c>
      <c r="CJ61" s="11">
        <f>Proforma!CJ11</f>
        <v>630450.44663999998</v>
      </c>
      <c r="CK61" s="11">
        <f>Proforma!CK11</f>
        <v>651421.46152799996</v>
      </c>
      <c r="CL61" s="11">
        <f>Proforma!CL11</f>
        <v>651421.46152799996</v>
      </c>
      <c r="CM61" s="11">
        <f>Proforma!CM11</f>
        <v>588508.41686400003</v>
      </c>
      <c r="CN61" s="11">
        <f>Proforma!CN11</f>
        <v>651421.46152799996</v>
      </c>
      <c r="CO61" s="11">
        <f>Proforma!CO11</f>
        <v>630450.44663999998</v>
      </c>
      <c r="CP61" s="11">
        <f>Proforma!CP11</f>
        <v>651421.46152799996</v>
      </c>
      <c r="CQ61" s="11">
        <f>Proforma!CQ11</f>
        <v>630450.44663999998</v>
      </c>
      <c r="CR61" s="11">
        <f>Proforma!CR11</f>
        <v>651421.46152799996</v>
      </c>
      <c r="CS61" s="11">
        <f>Proforma!CS11</f>
        <v>651421.46152799996</v>
      </c>
      <c r="CT61" s="11">
        <f>Proforma!CT11</f>
        <v>630450.44663999998</v>
      </c>
      <c r="CU61" s="11">
        <f>Proforma!CU11</f>
        <v>651421.46152799996</v>
      </c>
      <c r="CV61" s="11">
        <f>Proforma!CV11</f>
        <v>630450.44663999998</v>
      </c>
      <c r="CW61" s="11">
        <f>Proforma!CW11</f>
        <v>651421.46152799996</v>
      </c>
      <c r="CX61" s="11">
        <f>Proforma!CX11</f>
        <v>651421.46152799996</v>
      </c>
      <c r="CY61" s="11">
        <f>Proforma!CY11</f>
        <v>588508.41686400003</v>
      </c>
      <c r="CZ61" s="11">
        <f>Proforma!CZ11</f>
        <v>651421.46152799996</v>
      </c>
      <c r="DA61" s="11">
        <f>Proforma!DA11</f>
        <v>630450.44663999998</v>
      </c>
      <c r="DB61" s="11">
        <f>Proforma!DB11</f>
        <v>651421.46152799996</v>
      </c>
      <c r="DC61" s="11">
        <f>Proforma!DC11</f>
        <v>630450.44663999998</v>
      </c>
      <c r="DD61" s="11">
        <f>Proforma!DD11</f>
        <v>651421.46152799996</v>
      </c>
      <c r="DE61" s="11">
        <f>Proforma!DE11</f>
        <v>651421.46152799996</v>
      </c>
      <c r="DF61" s="11">
        <f>Proforma!DF11</f>
        <v>630450.44663999998</v>
      </c>
      <c r="DG61" s="11">
        <f>Proforma!DG11</f>
        <v>651421.46152799996</v>
      </c>
      <c r="DH61" s="11">
        <f>Proforma!DH11</f>
        <v>630450.44663999998</v>
      </c>
      <c r="DI61" s="11">
        <f>Proforma!DI11</f>
        <v>651421.46152799996</v>
      </c>
      <c r="DJ61" s="11">
        <f>Proforma!DJ11</f>
        <v>651421.46152799996</v>
      </c>
      <c r="DK61" s="11">
        <f>Proforma!DK11</f>
        <v>588508.41686400003</v>
      </c>
      <c r="DL61" s="11">
        <f>Proforma!DL11</f>
        <v>651421.46152799996</v>
      </c>
      <c r="DM61" s="11">
        <f>Proforma!DM11</f>
        <v>630450.44663999998</v>
      </c>
      <c r="DN61" s="11">
        <f>Proforma!DN11</f>
        <v>651421.46152799996</v>
      </c>
      <c r="DO61" s="11">
        <f>Proforma!DO11</f>
        <v>630450.44663999998</v>
      </c>
      <c r="DP61" s="11">
        <f>Proforma!DP11</f>
        <v>651421.46152799996</v>
      </c>
      <c r="DQ61" s="11">
        <f>Proforma!DQ11</f>
        <v>651421.46152799996</v>
      </c>
      <c r="DR61" s="11">
        <f>Proforma!DR11</f>
        <v>630450.44663999998</v>
      </c>
      <c r="DS61" s="11">
        <f>Proforma!DS11</f>
        <v>651421.46152799996</v>
      </c>
      <c r="DT61" s="11">
        <f>Proforma!DT11</f>
        <v>630450.44663999998</v>
      </c>
      <c r="DU61" s="11">
        <f>Proforma!DU11</f>
        <v>651421.46152799996</v>
      </c>
      <c r="DV61" s="11">
        <f>Proforma!DV11</f>
        <v>651421.46152799996</v>
      </c>
      <c r="DW61" s="11">
        <f>Proforma!DW11</f>
        <v>588508.41686400003</v>
      </c>
      <c r="DX61" s="11">
        <f>Proforma!DX11</f>
        <v>651421.46152799996</v>
      </c>
      <c r="DY61" s="11">
        <f>Proforma!DY11</f>
        <v>630450.44663999998</v>
      </c>
      <c r="DZ61" s="11">
        <f>Proforma!DZ11</f>
        <v>651421.46152799996</v>
      </c>
      <c r="EA61" s="11">
        <f>Proforma!EA11</f>
        <v>630450.44663999998</v>
      </c>
      <c r="EB61" s="11">
        <f>Proforma!EB11</f>
        <v>651421.46152799996</v>
      </c>
      <c r="EC61" s="11">
        <f>Proforma!EC11</f>
        <v>651421.46152799996</v>
      </c>
      <c r="ED61" s="11">
        <f>Proforma!ED11</f>
        <v>630450.44663999998</v>
      </c>
      <c r="EE61" s="11">
        <f>Proforma!EE11</f>
        <v>651421.46152799996</v>
      </c>
      <c r="EF61" s="11">
        <f>Proforma!EF11</f>
        <v>630450.44663999998</v>
      </c>
      <c r="EG61" s="11">
        <f>Proforma!EG11</f>
        <v>651421.46152799996</v>
      </c>
      <c r="EH61" s="11">
        <f>Proforma!EH11</f>
        <v>651421.46152799996</v>
      </c>
      <c r="EI61" s="11">
        <f>Proforma!EI11</f>
        <v>588508.41686400003</v>
      </c>
      <c r="EJ61" s="11">
        <f>Proforma!EJ11</f>
        <v>651421.46152799996</v>
      </c>
      <c r="EK61" s="11">
        <f>Proforma!EK11</f>
        <v>630450.44663999998</v>
      </c>
      <c r="EL61" s="11">
        <f>Proforma!EL11</f>
        <v>651421.46152799996</v>
      </c>
      <c r="EM61" s="11">
        <f>Proforma!EM11</f>
        <v>630450.44663999998</v>
      </c>
      <c r="EN61" s="11">
        <f>Proforma!EN11</f>
        <v>651421.46152799996</v>
      </c>
      <c r="EO61" s="11">
        <f>Proforma!EO11</f>
        <v>651421.46152799996</v>
      </c>
      <c r="EP61" s="11">
        <f>Proforma!EP11</f>
        <v>630450.44663999998</v>
      </c>
      <c r="EQ61" s="11">
        <f>Proforma!EQ11</f>
        <v>651421.46152799996</v>
      </c>
      <c r="ER61" s="11">
        <f>Proforma!ER11</f>
        <v>630450.44663999998</v>
      </c>
      <c r="ES61" s="11">
        <f>Proforma!ES11</f>
        <v>651421.46152799996</v>
      </c>
      <c r="ET61" s="11">
        <f>Proforma!ET11</f>
        <v>651421.46152799996</v>
      </c>
      <c r="EU61" s="11">
        <f>Proforma!EU11</f>
        <v>588508.41686400003</v>
      </c>
      <c r="EV61" s="11">
        <f>Proforma!EV11</f>
        <v>651421.46152799996</v>
      </c>
      <c r="EW61" s="11">
        <f>Proforma!EW11</f>
        <v>630450.44663999998</v>
      </c>
      <c r="EX61" s="11">
        <f>Proforma!EX11</f>
        <v>651421.46152799996</v>
      </c>
      <c r="EY61" s="11">
        <f>Proforma!EY11</f>
        <v>630450.44663999998</v>
      </c>
      <c r="EZ61" s="11">
        <f>Proforma!EZ11</f>
        <v>651421.46152799996</v>
      </c>
      <c r="FA61" s="11">
        <f>Proforma!FA11</f>
        <v>651421.46152799996</v>
      </c>
      <c r="FB61" s="11">
        <f>Proforma!FB11</f>
        <v>630450.44663999998</v>
      </c>
      <c r="FC61" s="11">
        <f>Proforma!FC11</f>
        <v>651421.46152799996</v>
      </c>
      <c r="FD61" s="11">
        <f>Proforma!FD11</f>
        <v>630450.44663999998</v>
      </c>
      <c r="FE61" s="11">
        <f>Proforma!FE11</f>
        <v>651421.46152799996</v>
      </c>
      <c r="FF61" s="11">
        <f>Proforma!FF11</f>
        <v>651421.46152799996</v>
      </c>
      <c r="FG61" s="11">
        <f>Proforma!FG11</f>
        <v>588508.41686400003</v>
      </c>
      <c r="FH61" s="11">
        <f>Proforma!FH11</f>
        <v>651421.46152799996</v>
      </c>
      <c r="FI61" s="11">
        <f>Proforma!FI11</f>
        <v>630450.44663999998</v>
      </c>
      <c r="FJ61" s="11">
        <f>Proforma!FJ11</f>
        <v>651421.46152799996</v>
      </c>
      <c r="FK61" s="11">
        <f>Proforma!FK11</f>
        <v>630450.44663999998</v>
      </c>
      <c r="FL61" s="11">
        <f>Proforma!FL11</f>
        <v>651421.46152799996</v>
      </c>
      <c r="FM61" s="11">
        <f>Proforma!FM11</f>
        <v>651421.46152799996</v>
      </c>
      <c r="FN61" s="11">
        <f>Proforma!FN11</f>
        <v>630450.44663999998</v>
      </c>
      <c r="FO61" s="11">
        <f>Proforma!FO11</f>
        <v>651421.46152799996</v>
      </c>
      <c r="FP61" s="11">
        <f>Proforma!FP11</f>
        <v>630450.44663999998</v>
      </c>
      <c r="FQ61" s="11">
        <f>Proforma!FQ11</f>
        <v>651421.46152799996</v>
      </c>
      <c r="FR61" s="11">
        <f>Proforma!FR11</f>
        <v>651421.46152799996</v>
      </c>
      <c r="FS61" s="11">
        <f>Proforma!FS11</f>
        <v>588508.41686400003</v>
      </c>
      <c r="FT61" s="11">
        <f>Proforma!FT11</f>
        <v>651421.46152799996</v>
      </c>
      <c r="FU61" s="11">
        <f>Proforma!FU11</f>
        <v>630450.44663999998</v>
      </c>
      <c r="FV61" s="11">
        <f>Proforma!FV11</f>
        <v>651421.46152799996</v>
      </c>
      <c r="FW61" s="11">
        <f>Proforma!FW11</f>
        <v>630450.44663999998</v>
      </c>
      <c r="FX61" s="11">
        <f>Proforma!FX11</f>
        <v>651421.46152799996</v>
      </c>
      <c r="FY61" s="11">
        <f>Proforma!FY11</f>
        <v>651421.46152799996</v>
      </c>
      <c r="FZ61" s="11">
        <f>Proforma!FZ11</f>
        <v>630450.44663999998</v>
      </c>
      <c r="GA61" s="11">
        <f>Proforma!GA11</f>
        <v>651421.46152799996</v>
      </c>
      <c r="GB61" s="11">
        <f>Proforma!GB11</f>
        <v>630450.44663999998</v>
      </c>
      <c r="GC61" s="11">
        <f>Proforma!GC11</f>
        <v>651421.46152799996</v>
      </c>
    </row>
    <row r="62" spans="1:185">
      <c r="B62" t="s">
        <v>34</v>
      </c>
      <c r="D62" t="s">
        <v>35</v>
      </c>
      <c r="E62" s="9"/>
      <c r="F62" s="11">
        <f>Proforma!F12</f>
        <v>0</v>
      </c>
      <c r="G62" s="11">
        <f>Proforma!G12</f>
        <v>0</v>
      </c>
      <c r="H62" s="11">
        <f>Proforma!H12</f>
        <v>0</v>
      </c>
      <c r="I62" s="11">
        <f>Proforma!I12</f>
        <v>0</v>
      </c>
      <c r="J62" s="11">
        <f>Proforma!J12</f>
        <v>0</v>
      </c>
      <c r="K62" s="11">
        <f>Proforma!K12</f>
        <v>0</v>
      </c>
      <c r="L62" s="11">
        <f>Proforma!L12</f>
        <v>0</v>
      </c>
      <c r="M62" s="11">
        <f>Proforma!M12</f>
        <v>106266.2968</v>
      </c>
      <c r="N62" s="11">
        <f>Proforma!N12</f>
        <v>104767.38400000001</v>
      </c>
      <c r="O62" s="11">
        <f>Proforma!O12</f>
        <v>106266.2968</v>
      </c>
      <c r="P62" s="11">
        <f>Proforma!P12</f>
        <v>104767.38400000001</v>
      </c>
      <c r="Q62" s="11">
        <f>Proforma!Q12</f>
        <v>106266.2968</v>
      </c>
      <c r="R62" s="11">
        <f>Proforma!R12</f>
        <v>106266.2968</v>
      </c>
      <c r="S62" s="11">
        <f>Proforma!S12</f>
        <v>101769.55839999999</v>
      </c>
      <c r="T62" s="11">
        <f>Proforma!T12</f>
        <v>106266.2968</v>
      </c>
      <c r="U62" s="11">
        <f>Proforma!U12</f>
        <v>104767.38400000001</v>
      </c>
      <c r="V62" s="11">
        <f>Proforma!V12</f>
        <v>106266.2968</v>
      </c>
      <c r="W62" s="11">
        <f>Proforma!W12</f>
        <v>104767.38400000001</v>
      </c>
      <c r="X62" s="11">
        <f>Proforma!X12</f>
        <v>106266.2968</v>
      </c>
      <c r="Y62" s="11">
        <f>Proforma!Y12</f>
        <v>106266.2968</v>
      </c>
      <c r="Z62" s="11">
        <f>Proforma!Z12</f>
        <v>104767.38400000001</v>
      </c>
      <c r="AA62" s="11">
        <f>Proforma!AA12</f>
        <v>106266.2968</v>
      </c>
      <c r="AB62" s="11">
        <f>Proforma!AB12</f>
        <v>104767.38400000001</v>
      </c>
      <c r="AC62" s="11">
        <f>Proforma!AC12</f>
        <v>106266.2968</v>
      </c>
      <c r="AD62" s="11">
        <f>Proforma!AD12</f>
        <v>106266.2968</v>
      </c>
      <c r="AE62" s="11">
        <f>Proforma!AE12</f>
        <v>101769.55839999999</v>
      </c>
      <c r="AF62" s="11">
        <f>Proforma!AF12</f>
        <v>106266.2968</v>
      </c>
      <c r="AG62" s="11">
        <f>Proforma!AG12</f>
        <v>104767.38400000001</v>
      </c>
      <c r="AH62" s="11">
        <f>Proforma!AH12</f>
        <v>106266.2968</v>
      </c>
      <c r="AI62" s="11">
        <f>Proforma!AI12</f>
        <v>104767.38400000001</v>
      </c>
      <c r="AJ62" s="11">
        <f>Proforma!AJ12</f>
        <v>106266.2968</v>
      </c>
      <c r="AK62" s="11">
        <f>Proforma!AK12</f>
        <v>106266.2968</v>
      </c>
      <c r="AL62" s="11">
        <f>Proforma!AL12</f>
        <v>104767.38400000001</v>
      </c>
      <c r="AM62" s="11">
        <f>Proforma!AM12</f>
        <v>106266.2968</v>
      </c>
      <c r="AN62" s="11">
        <f>Proforma!AN12</f>
        <v>104767.38400000001</v>
      </c>
      <c r="AO62" s="11">
        <f>Proforma!AO12</f>
        <v>106266.2968</v>
      </c>
      <c r="AP62" s="11">
        <f>Proforma!AP12</f>
        <v>106266.2968</v>
      </c>
      <c r="AQ62" s="11">
        <f>Proforma!AQ12</f>
        <v>101769.55839999999</v>
      </c>
      <c r="AR62" s="11">
        <f>Proforma!AR12</f>
        <v>106266.2968</v>
      </c>
      <c r="AS62" s="11">
        <f>Proforma!AS12</f>
        <v>104767.38400000001</v>
      </c>
      <c r="AT62" s="11">
        <f>Proforma!AT12</f>
        <v>106266.2968</v>
      </c>
      <c r="AU62" s="11">
        <f>Proforma!AU12</f>
        <v>104767.38400000001</v>
      </c>
      <c r="AV62" s="11">
        <f>Proforma!AV12</f>
        <v>106266.2968</v>
      </c>
      <c r="AW62" s="11">
        <f>Proforma!AW12</f>
        <v>106266.2968</v>
      </c>
      <c r="AX62" s="11">
        <f>Proforma!AX12</f>
        <v>104767.38400000001</v>
      </c>
      <c r="AY62" s="11">
        <f>Proforma!AY12</f>
        <v>106266.2968</v>
      </c>
      <c r="AZ62" s="11">
        <f>Proforma!AZ12</f>
        <v>104767.38400000001</v>
      </c>
      <c r="BA62" s="11">
        <f>Proforma!BA12</f>
        <v>106266.2968</v>
      </c>
      <c r="BB62" s="11">
        <f>Proforma!BB12</f>
        <v>106266.2968</v>
      </c>
      <c r="BC62" s="11">
        <f>Proforma!BC12</f>
        <v>101769.55839999999</v>
      </c>
      <c r="BD62" s="11">
        <f>Proforma!BD12</f>
        <v>106266.2968</v>
      </c>
      <c r="BE62" s="11">
        <f>Proforma!BE12</f>
        <v>104767.38400000001</v>
      </c>
      <c r="BF62" s="11">
        <f>Proforma!BF12</f>
        <v>106266.2968</v>
      </c>
      <c r="BG62" s="11">
        <f>Proforma!BG12</f>
        <v>104767.38400000001</v>
      </c>
      <c r="BH62" s="11">
        <f>Proforma!BH12</f>
        <v>106266.2968</v>
      </c>
      <c r="BI62" s="11">
        <f>Proforma!BI12</f>
        <v>106266.2968</v>
      </c>
      <c r="BJ62" s="11">
        <f>Proforma!BJ12</f>
        <v>104767.38400000001</v>
      </c>
      <c r="BK62" s="11">
        <f>Proforma!BK12</f>
        <v>106266.2968</v>
      </c>
      <c r="BL62" s="11">
        <f>Proforma!BL12</f>
        <v>104767.38400000001</v>
      </c>
      <c r="BM62" s="11">
        <f>Proforma!BM12</f>
        <v>106266.2968</v>
      </c>
      <c r="BN62" s="11">
        <f>Proforma!BN12</f>
        <v>106266.2968</v>
      </c>
      <c r="BO62" s="11">
        <f>Proforma!BO12</f>
        <v>101769.55839999999</v>
      </c>
      <c r="BP62" s="11">
        <f>Proforma!BP12</f>
        <v>106266.2968</v>
      </c>
      <c r="BQ62" s="11">
        <f>Proforma!BQ12</f>
        <v>104767.38400000001</v>
      </c>
      <c r="BR62" s="11">
        <f>Proforma!BR12</f>
        <v>106266.2968</v>
      </c>
      <c r="BS62" s="11">
        <f>Proforma!BS12</f>
        <v>104767.38400000001</v>
      </c>
      <c r="BT62" s="11">
        <f>Proforma!BT12</f>
        <v>106266.2968</v>
      </c>
      <c r="BU62" s="11">
        <f>Proforma!BU12</f>
        <v>106266.2968</v>
      </c>
      <c r="BV62" s="11">
        <f>Proforma!BV12</f>
        <v>104767.38400000001</v>
      </c>
      <c r="BW62" s="11">
        <f>Proforma!BW12</f>
        <v>106266.2968</v>
      </c>
      <c r="BX62" s="11">
        <f>Proforma!BX12</f>
        <v>104767.38400000001</v>
      </c>
      <c r="BY62" s="11">
        <f>Proforma!BY12</f>
        <v>106266.2968</v>
      </c>
      <c r="BZ62" s="11">
        <f>Proforma!BZ12</f>
        <v>106266.2968</v>
      </c>
      <c r="CA62" s="11">
        <f>Proforma!CA12</f>
        <v>101769.55839999999</v>
      </c>
      <c r="CB62" s="11">
        <f>Proforma!CB12</f>
        <v>106266.2968</v>
      </c>
      <c r="CC62" s="11">
        <f>Proforma!CC12</f>
        <v>104767.38400000001</v>
      </c>
      <c r="CD62" s="11">
        <f>Proforma!CD12</f>
        <v>106266.2968</v>
      </c>
      <c r="CE62" s="11">
        <f>Proforma!CE12</f>
        <v>104767.38400000001</v>
      </c>
      <c r="CF62" s="11">
        <f>Proforma!CF12</f>
        <v>106266.2968</v>
      </c>
      <c r="CG62" s="11">
        <f>Proforma!CG12</f>
        <v>106266.2968</v>
      </c>
      <c r="CH62" s="11">
        <f>Proforma!CH12</f>
        <v>104767.38400000001</v>
      </c>
      <c r="CI62" s="11">
        <f>Proforma!CI12</f>
        <v>106266.2968</v>
      </c>
      <c r="CJ62" s="11">
        <f>Proforma!CJ12</f>
        <v>104767.38400000001</v>
      </c>
      <c r="CK62" s="11">
        <f>Proforma!CK12</f>
        <v>106266.2968</v>
      </c>
      <c r="CL62" s="11">
        <f>Proforma!CL12</f>
        <v>106266.2968</v>
      </c>
      <c r="CM62" s="11">
        <f>Proforma!CM12</f>
        <v>101769.55839999999</v>
      </c>
      <c r="CN62" s="11">
        <f>Proforma!CN12</f>
        <v>106266.2968</v>
      </c>
      <c r="CO62" s="11">
        <f>Proforma!CO12</f>
        <v>104767.38400000001</v>
      </c>
      <c r="CP62" s="11">
        <f>Proforma!CP12</f>
        <v>106266.2968</v>
      </c>
      <c r="CQ62" s="11">
        <f>Proforma!CQ12</f>
        <v>104767.38400000001</v>
      </c>
      <c r="CR62" s="11">
        <f>Proforma!CR12</f>
        <v>106266.2968</v>
      </c>
      <c r="CS62" s="11">
        <f>Proforma!CS12</f>
        <v>106266.2968</v>
      </c>
      <c r="CT62" s="11">
        <f>Proforma!CT12</f>
        <v>104767.38400000001</v>
      </c>
      <c r="CU62" s="11">
        <f>Proforma!CU12</f>
        <v>106266.2968</v>
      </c>
      <c r="CV62" s="11">
        <f>Proforma!CV12</f>
        <v>104767.38400000001</v>
      </c>
      <c r="CW62" s="11">
        <f>Proforma!CW12</f>
        <v>106266.2968</v>
      </c>
      <c r="CX62" s="11">
        <f>Proforma!CX12</f>
        <v>106266.2968</v>
      </c>
      <c r="CY62" s="11">
        <f>Proforma!CY12</f>
        <v>101769.55839999999</v>
      </c>
      <c r="CZ62" s="11">
        <f>Proforma!CZ12</f>
        <v>106266.2968</v>
      </c>
      <c r="DA62" s="11">
        <f>Proforma!DA12</f>
        <v>104767.38400000001</v>
      </c>
      <c r="DB62" s="11">
        <f>Proforma!DB12</f>
        <v>106266.2968</v>
      </c>
      <c r="DC62" s="11">
        <f>Proforma!DC12</f>
        <v>104767.38400000001</v>
      </c>
      <c r="DD62" s="11">
        <f>Proforma!DD12</f>
        <v>106266.2968</v>
      </c>
      <c r="DE62" s="11">
        <f>Proforma!DE12</f>
        <v>106266.2968</v>
      </c>
      <c r="DF62" s="11">
        <f>Proforma!DF12</f>
        <v>104767.38400000001</v>
      </c>
      <c r="DG62" s="11">
        <f>Proforma!DG12</f>
        <v>106266.2968</v>
      </c>
      <c r="DH62" s="11">
        <f>Proforma!DH12</f>
        <v>104767.38400000001</v>
      </c>
      <c r="DI62" s="11">
        <f>Proforma!DI12</f>
        <v>106266.2968</v>
      </c>
      <c r="DJ62" s="11">
        <f>Proforma!DJ12</f>
        <v>106266.2968</v>
      </c>
      <c r="DK62" s="11">
        <f>Proforma!DK12</f>
        <v>101769.55839999999</v>
      </c>
      <c r="DL62" s="11">
        <f>Proforma!DL12</f>
        <v>106266.2968</v>
      </c>
      <c r="DM62" s="11">
        <f>Proforma!DM12</f>
        <v>104767.38400000001</v>
      </c>
      <c r="DN62" s="11">
        <f>Proforma!DN12</f>
        <v>106266.2968</v>
      </c>
      <c r="DO62" s="11">
        <f>Proforma!DO12</f>
        <v>104767.38400000001</v>
      </c>
      <c r="DP62" s="11">
        <f>Proforma!DP12</f>
        <v>106266.2968</v>
      </c>
      <c r="DQ62" s="11">
        <f>Proforma!DQ12</f>
        <v>106266.2968</v>
      </c>
      <c r="DR62" s="11">
        <f>Proforma!DR12</f>
        <v>104767.38400000001</v>
      </c>
      <c r="DS62" s="11">
        <f>Proforma!DS12</f>
        <v>106266.2968</v>
      </c>
      <c r="DT62" s="11">
        <f>Proforma!DT12</f>
        <v>104767.38400000001</v>
      </c>
      <c r="DU62" s="11">
        <f>Proforma!DU12</f>
        <v>106266.2968</v>
      </c>
      <c r="DV62" s="11">
        <f>Proforma!DV12</f>
        <v>106266.2968</v>
      </c>
      <c r="DW62" s="11">
        <f>Proforma!DW12</f>
        <v>101769.55839999999</v>
      </c>
      <c r="DX62" s="11">
        <f>Proforma!DX12</f>
        <v>106266.2968</v>
      </c>
      <c r="DY62" s="11">
        <f>Proforma!DY12</f>
        <v>104767.38400000001</v>
      </c>
      <c r="DZ62" s="11">
        <f>Proforma!DZ12</f>
        <v>106266.2968</v>
      </c>
      <c r="EA62" s="11">
        <f>Proforma!EA12</f>
        <v>104767.38400000001</v>
      </c>
      <c r="EB62" s="11">
        <f>Proforma!EB12</f>
        <v>106266.2968</v>
      </c>
      <c r="EC62" s="11">
        <f>Proforma!EC12</f>
        <v>106266.2968</v>
      </c>
      <c r="ED62" s="11">
        <f>Proforma!ED12</f>
        <v>104767.38400000001</v>
      </c>
      <c r="EE62" s="11">
        <f>Proforma!EE12</f>
        <v>106266.2968</v>
      </c>
      <c r="EF62" s="11">
        <f>Proforma!EF12</f>
        <v>104767.38400000001</v>
      </c>
      <c r="EG62" s="11">
        <f>Proforma!EG12</f>
        <v>106266.2968</v>
      </c>
      <c r="EH62" s="11">
        <f>Proforma!EH12</f>
        <v>106266.2968</v>
      </c>
      <c r="EI62" s="11">
        <f>Proforma!EI12</f>
        <v>101769.55839999999</v>
      </c>
      <c r="EJ62" s="11">
        <f>Proforma!EJ12</f>
        <v>106266.2968</v>
      </c>
      <c r="EK62" s="11">
        <f>Proforma!EK12</f>
        <v>104767.38400000001</v>
      </c>
      <c r="EL62" s="11">
        <f>Proforma!EL12</f>
        <v>106266.2968</v>
      </c>
      <c r="EM62" s="11">
        <f>Proforma!EM12</f>
        <v>104767.38400000001</v>
      </c>
      <c r="EN62" s="11">
        <f>Proforma!EN12</f>
        <v>106266.2968</v>
      </c>
      <c r="EO62" s="11">
        <f>Proforma!EO12</f>
        <v>106266.2968</v>
      </c>
      <c r="EP62" s="11">
        <f>Proforma!EP12</f>
        <v>104767.38400000001</v>
      </c>
      <c r="EQ62" s="11">
        <f>Proforma!EQ12</f>
        <v>106266.2968</v>
      </c>
      <c r="ER62" s="11">
        <f>Proforma!ER12</f>
        <v>104767.38400000001</v>
      </c>
      <c r="ES62" s="11">
        <f>Proforma!ES12</f>
        <v>106266.2968</v>
      </c>
      <c r="ET62" s="11">
        <f>Proforma!ET12</f>
        <v>106266.2968</v>
      </c>
      <c r="EU62" s="11">
        <f>Proforma!EU12</f>
        <v>101769.55839999999</v>
      </c>
      <c r="EV62" s="11">
        <f>Proforma!EV12</f>
        <v>106266.2968</v>
      </c>
      <c r="EW62" s="11">
        <f>Proforma!EW12</f>
        <v>104767.38400000001</v>
      </c>
      <c r="EX62" s="11">
        <f>Proforma!EX12</f>
        <v>106266.2968</v>
      </c>
      <c r="EY62" s="11">
        <f>Proforma!EY12</f>
        <v>104767.38400000001</v>
      </c>
      <c r="EZ62" s="11">
        <f>Proforma!EZ12</f>
        <v>106266.2968</v>
      </c>
      <c r="FA62" s="11">
        <f>Proforma!FA12</f>
        <v>106266.2968</v>
      </c>
      <c r="FB62" s="11">
        <f>Proforma!FB12</f>
        <v>104767.38400000001</v>
      </c>
      <c r="FC62" s="11">
        <f>Proforma!FC12</f>
        <v>106266.2968</v>
      </c>
      <c r="FD62" s="11">
        <f>Proforma!FD12</f>
        <v>104767.38400000001</v>
      </c>
      <c r="FE62" s="11">
        <f>Proforma!FE12</f>
        <v>106266.2968</v>
      </c>
      <c r="FF62" s="11">
        <f>Proforma!FF12</f>
        <v>106266.2968</v>
      </c>
      <c r="FG62" s="11">
        <f>Proforma!FG12</f>
        <v>101769.55839999999</v>
      </c>
      <c r="FH62" s="11">
        <f>Proforma!FH12</f>
        <v>106266.2968</v>
      </c>
      <c r="FI62" s="11">
        <f>Proforma!FI12</f>
        <v>104767.38400000001</v>
      </c>
      <c r="FJ62" s="11">
        <f>Proforma!FJ12</f>
        <v>106266.2968</v>
      </c>
      <c r="FK62" s="11">
        <f>Proforma!FK12</f>
        <v>104767.38400000001</v>
      </c>
      <c r="FL62" s="11">
        <f>Proforma!FL12</f>
        <v>106266.2968</v>
      </c>
      <c r="FM62" s="11">
        <f>Proforma!FM12</f>
        <v>106266.2968</v>
      </c>
      <c r="FN62" s="11">
        <f>Proforma!FN12</f>
        <v>104767.38400000001</v>
      </c>
      <c r="FO62" s="11">
        <f>Proforma!FO12</f>
        <v>106266.2968</v>
      </c>
      <c r="FP62" s="11">
        <f>Proforma!FP12</f>
        <v>104767.38400000001</v>
      </c>
      <c r="FQ62" s="11">
        <f>Proforma!FQ12</f>
        <v>106266.2968</v>
      </c>
      <c r="FR62" s="11">
        <f>Proforma!FR12</f>
        <v>106266.2968</v>
      </c>
      <c r="FS62" s="11">
        <f>Proforma!FS12</f>
        <v>101769.55839999999</v>
      </c>
      <c r="FT62" s="11">
        <f>Proforma!FT12</f>
        <v>106266.2968</v>
      </c>
      <c r="FU62" s="11">
        <f>Proforma!FU12</f>
        <v>104767.38400000001</v>
      </c>
      <c r="FV62" s="11">
        <f>Proforma!FV12</f>
        <v>106266.2968</v>
      </c>
      <c r="FW62" s="11">
        <f>Proforma!FW12</f>
        <v>104767.38400000001</v>
      </c>
      <c r="FX62" s="11">
        <f>Proforma!FX12</f>
        <v>106266.2968</v>
      </c>
      <c r="FY62" s="11">
        <f>Proforma!FY12</f>
        <v>106266.2968</v>
      </c>
      <c r="FZ62" s="11">
        <f>Proforma!FZ12</f>
        <v>104767.38400000001</v>
      </c>
      <c r="GA62" s="11">
        <f>Proforma!GA12</f>
        <v>106266.2968</v>
      </c>
      <c r="GB62" s="11">
        <f>Proforma!GB12</f>
        <v>104767.38400000001</v>
      </c>
      <c r="GC62" s="11">
        <f>Proforma!GC12</f>
        <v>106266.2968</v>
      </c>
    </row>
    <row r="63" spans="1:185">
      <c r="B63" t="s">
        <v>502</v>
      </c>
      <c r="D63" t="s">
        <v>42</v>
      </c>
      <c r="E63" s="9"/>
      <c r="F63" s="12">
        <f>Proforma!F13</f>
        <v>6697158.3253333326</v>
      </c>
      <c r="G63" s="12">
        <f>Proforma!G13</f>
        <v>3337788.9173333328</v>
      </c>
      <c r="H63" s="12">
        <f>Proforma!H13</f>
        <v>3077158.3253333331</v>
      </c>
      <c r="I63" s="12">
        <f>Proforma!I13</f>
        <v>735585.85600000003</v>
      </c>
      <c r="J63" s="12">
        <f>Proforma!J13</f>
        <v>398442.91200000001</v>
      </c>
      <c r="K63" s="12">
        <f>Proforma!K13</f>
        <v>553103.08266666671</v>
      </c>
      <c r="L63" s="12">
        <f>Proforma!L13</f>
        <v>510109.5786666667</v>
      </c>
      <c r="M63" s="12">
        <f>Proforma!M13</f>
        <v>510109.5786666667</v>
      </c>
      <c r="N63" s="12">
        <f>Proforma!N13</f>
        <v>6000</v>
      </c>
      <c r="O63" s="12">
        <f>Proforma!O13</f>
        <v>6000</v>
      </c>
      <c r="P63" s="12">
        <f>Proforma!P13</f>
        <v>6000</v>
      </c>
      <c r="Q63" s="12">
        <f>Proforma!Q13</f>
        <v>6000</v>
      </c>
      <c r="R63" s="12">
        <f>Proforma!R13</f>
        <v>0</v>
      </c>
      <c r="S63" s="12">
        <f>Proforma!S13</f>
        <v>0</v>
      </c>
      <c r="T63" s="12">
        <f>Proforma!T13</f>
        <v>0</v>
      </c>
      <c r="U63" s="12">
        <f>Proforma!U13</f>
        <v>0</v>
      </c>
      <c r="V63" s="12">
        <f>Proforma!V13</f>
        <v>0</v>
      </c>
      <c r="W63" s="12">
        <f>Proforma!W13</f>
        <v>0</v>
      </c>
      <c r="X63" s="12">
        <f>Proforma!X13</f>
        <v>0</v>
      </c>
      <c r="Y63" s="12">
        <f>Proforma!Y13</f>
        <v>0</v>
      </c>
      <c r="Z63" s="12">
        <f>Proforma!Z13</f>
        <v>0</v>
      </c>
      <c r="AA63" s="12">
        <f>Proforma!AA13</f>
        <v>0</v>
      </c>
      <c r="AB63" s="12">
        <f>Proforma!AB13</f>
        <v>0</v>
      </c>
      <c r="AC63" s="12">
        <f>Proforma!AC13</f>
        <v>0</v>
      </c>
      <c r="AD63" s="12">
        <f>Proforma!AD13</f>
        <v>0</v>
      </c>
      <c r="AE63" s="12">
        <f>Proforma!AE13</f>
        <v>0</v>
      </c>
      <c r="AF63" s="12">
        <f>Proforma!AF13</f>
        <v>0</v>
      </c>
      <c r="AG63" s="12">
        <f>Proforma!AG13</f>
        <v>0</v>
      </c>
      <c r="AH63" s="12">
        <f>Proforma!AH13</f>
        <v>0</v>
      </c>
      <c r="AI63" s="12">
        <f>Proforma!AI13</f>
        <v>0</v>
      </c>
      <c r="AJ63" s="12">
        <f>Proforma!AJ13</f>
        <v>0</v>
      </c>
      <c r="AK63" s="12">
        <f>Proforma!AK13</f>
        <v>0</v>
      </c>
      <c r="AL63" s="12">
        <f>Proforma!AL13</f>
        <v>0</v>
      </c>
      <c r="AM63" s="12">
        <f>Proforma!AM13</f>
        <v>0</v>
      </c>
      <c r="AN63" s="12">
        <f>Proforma!AN13</f>
        <v>0</v>
      </c>
      <c r="AO63" s="12">
        <f>Proforma!AO13</f>
        <v>0</v>
      </c>
      <c r="AP63" s="12">
        <f>Proforma!AP13</f>
        <v>0</v>
      </c>
      <c r="AQ63" s="12">
        <f>Proforma!AQ13</f>
        <v>0</v>
      </c>
      <c r="AR63" s="12">
        <f>Proforma!AR13</f>
        <v>0</v>
      </c>
      <c r="AS63" s="12">
        <f>Proforma!AS13</f>
        <v>0</v>
      </c>
      <c r="AT63" s="12">
        <f>Proforma!AT13</f>
        <v>0</v>
      </c>
      <c r="AU63" s="12">
        <f>Proforma!AU13</f>
        <v>0</v>
      </c>
      <c r="AV63" s="12">
        <f>Proforma!AV13</f>
        <v>0</v>
      </c>
      <c r="AW63" s="12">
        <f>Proforma!AW13</f>
        <v>0</v>
      </c>
      <c r="AX63" s="12">
        <f>Proforma!AX13</f>
        <v>0</v>
      </c>
      <c r="AY63" s="12">
        <f>Proforma!AY13</f>
        <v>0</v>
      </c>
      <c r="AZ63" s="12">
        <f>Proforma!AZ13</f>
        <v>0</v>
      </c>
      <c r="BA63" s="12">
        <f>Proforma!BA13</f>
        <v>0</v>
      </c>
      <c r="BB63" s="12">
        <f>Proforma!BB13</f>
        <v>0</v>
      </c>
      <c r="BC63" s="12">
        <f>Proforma!BC13</f>
        <v>0</v>
      </c>
      <c r="BD63" s="12">
        <f>Proforma!BD13</f>
        <v>0</v>
      </c>
      <c r="BE63" s="12">
        <f>Proforma!BE13</f>
        <v>0</v>
      </c>
      <c r="BF63" s="12">
        <f>Proforma!BF13</f>
        <v>0</v>
      </c>
      <c r="BG63" s="12">
        <f>Proforma!BG13</f>
        <v>0</v>
      </c>
      <c r="BH63" s="12">
        <f>Proforma!BH13</f>
        <v>0</v>
      </c>
      <c r="BI63" s="12">
        <f>Proforma!BI13</f>
        <v>0</v>
      </c>
      <c r="BJ63" s="12">
        <f>Proforma!BJ13</f>
        <v>0</v>
      </c>
      <c r="BK63" s="12">
        <f>Proforma!BK13</f>
        <v>0</v>
      </c>
      <c r="BL63" s="12">
        <f>Proforma!BL13</f>
        <v>0</v>
      </c>
      <c r="BM63" s="12">
        <f>Proforma!BM13</f>
        <v>0</v>
      </c>
      <c r="BN63" s="12">
        <f>Proforma!BN13</f>
        <v>0</v>
      </c>
      <c r="BO63" s="12">
        <f>Proforma!BO13</f>
        <v>0</v>
      </c>
      <c r="BP63" s="12">
        <f>Proforma!BP13</f>
        <v>0</v>
      </c>
      <c r="BQ63" s="12">
        <f>Proforma!BQ13</f>
        <v>0</v>
      </c>
      <c r="BR63" s="12">
        <f>Proforma!BR13</f>
        <v>0</v>
      </c>
      <c r="BS63" s="12">
        <f>Proforma!BS13</f>
        <v>0</v>
      </c>
      <c r="BT63" s="12">
        <f>Proforma!BT13</f>
        <v>0</v>
      </c>
      <c r="BU63" s="12">
        <f>Proforma!BU13</f>
        <v>0</v>
      </c>
      <c r="BV63" s="12">
        <f>Proforma!BV13</f>
        <v>0</v>
      </c>
      <c r="BW63" s="12">
        <f>Proforma!BW13</f>
        <v>0</v>
      </c>
      <c r="BX63" s="12">
        <f>Proforma!BX13</f>
        <v>0</v>
      </c>
      <c r="BY63" s="12">
        <f>Proforma!BY13</f>
        <v>0</v>
      </c>
      <c r="BZ63" s="12">
        <f>Proforma!BZ13</f>
        <v>0</v>
      </c>
      <c r="CA63" s="12">
        <f>Proforma!CA13</f>
        <v>0</v>
      </c>
      <c r="CB63" s="12">
        <f>Proforma!CB13</f>
        <v>0</v>
      </c>
      <c r="CC63" s="12">
        <f>Proforma!CC13</f>
        <v>0</v>
      </c>
      <c r="CD63" s="12">
        <f>Proforma!CD13</f>
        <v>0</v>
      </c>
      <c r="CE63" s="12">
        <f>Proforma!CE13</f>
        <v>0</v>
      </c>
      <c r="CF63" s="12">
        <f>Proforma!CF13</f>
        <v>0</v>
      </c>
      <c r="CG63" s="12">
        <f>Proforma!CG13</f>
        <v>0</v>
      </c>
      <c r="CH63" s="12">
        <f>Proforma!CH13</f>
        <v>0</v>
      </c>
      <c r="CI63" s="12">
        <f>Proforma!CI13</f>
        <v>0</v>
      </c>
      <c r="CJ63" s="12">
        <f>Proforma!CJ13</f>
        <v>0</v>
      </c>
      <c r="CK63" s="12">
        <f>Proforma!CK13</f>
        <v>0</v>
      </c>
      <c r="CL63" s="12">
        <f>Proforma!CL13</f>
        <v>0</v>
      </c>
      <c r="CM63" s="12">
        <f>Proforma!CM13</f>
        <v>0</v>
      </c>
      <c r="CN63" s="12">
        <f>Proforma!CN13</f>
        <v>0</v>
      </c>
      <c r="CO63" s="12">
        <f>Proforma!CO13</f>
        <v>0</v>
      </c>
      <c r="CP63" s="12">
        <f>Proforma!CP13</f>
        <v>0</v>
      </c>
      <c r="CQ63" s="12">
        <f>Proforma!CQ13</f>
        <v>0</v>
      </c>
      <c r="CR63" s="12">
        <f>Proforma!CR13</f>
        <v>0</v>
      </c>
      <c r="CS63" s="12">
        <f>Proforma!CS13</f>
        <v>0</v>
      </c>
      <c r="CT63" s="12">
        <f>Proforma!CT13</f>
        <v>0</v>
      </c>
      <c r="CU63" s="12">
        <f>Proforma!CU13</f>
        <v>0</v>
      </c>
      <c r="CV63" s="12">
        <f>Proforma!CV13</f>
        <v>0</v>
      </c>
      <c r="CW63" s="12">
        <f>Proforma!CW13</f>
        <v>0</v>
      </c>
      <c r="CX63" s="12">
        <f>Proforma!CX13</f>
        <v>0</v>
      </c>
      <c r="CY63" s="12">
        <f>Proforma!CY13</f>
        <v>0</v>
      </c>
      <c r="CZ63" s="12">
        <f>Proforma!CZ13</f>
        <v>0</v>
      </c>
      <c r="DA63" s="12">
        <f>Proforma!DA13</f>
        <v>0</v>
      </c>
      <c r="DB63" s="12">
        <f>Proforma!DB13</f>
        <v>0</v>
      </c>
      <c r="DC63" s="12">
        <f>Proforma!DC13</f>
        <v>0</v>
      </c>
      <c r="DD63" s="12">
        <f>Proforma!DD13</f>
        <v>0</v>
      </c>
      <c r="DE63" s="12">
        <f>Proforma!DE13</f>
        <v>0</v>
      </c>
      <c r="DF63" s="12">
        <f>Proforma!DF13</f>
        <v>0</v>
      </c>
      <c r="DG63" s="12">
        <f>Proforma!DG13</f>
        <v>0</v>
      </c>
      <c r="DH63" s="12">
        <f>Proforma!DH13</f>
        <v>0</v>
      </c>
      <c r="DI63" s="12">
        <f>Proforma!DI13</f>
        <v>0</v>
      </c>
      <c r="DJ63" s="12">
        <f>Proforma!DJ13</f>
        <v>0</v>
      </c>
      <c r="DK63" s="12">
        <f>Proforma!DK13</f>
        <v>0</v>
      </c>
      <c r="DL63" s="12">
        <f>Proforma!DL13</f>
        <v>0</v>
      </c>
      <c r="DM63" s="12">
        <f>Proforma!DM13</f>
        <v>0</v>
      </c>
      <c r="DN63" s="12">
        <f>Proforma!DN13</f>
        <v>0</v>
      </c>
      <c r="DO63" s="12">
        <f>Proforma!DO13</f>
        <v>0</v>
      </c>
      <c r="DP63" s="12">
        <f>Proforma!DP13</f>
        <v>0</v>
      </c>
      <c r="DQ63" s="12">
        <f>Proforma!DQ13</f>
        <v>0</v>
      </c>
      <c r="DR63" s="12">
        <f>Proforma!DR13</f>
        <v>0</v>
      </c>
      <c r="DS63" s="12">
        <f>Proforma!DS13</f>
        <v>0</v>
      </c>
      <c r="DT63" s="12">
        <f>Proforma!DT13</f>
        <v>0</v>
      </c>
      <c r="DU63" s="12">
        <f>Proforma!DU13</f>
        <v>0</v>
      </c>
      <c r="DV63" s="12">
        <f>Proforma!DV13</f>
        <v>0</v>
      </c>
      <c r="DW63" s="12">
        <f>Proforma!DW13</f>
        <v>0</v>
      </c>
      <c r="DX63" s="12">
        <f>Proforma!DX13</f>
        <v>0</v>
      </c>
      <c r="DY63" s="12">
        <f>Proforma!DY13</f>
        <v>0</v>
      </c>
      <c r="DZ63" s="12">
        <f>Proforma!DZ13</f>
        <v>0</v>
      </c>
      <c r="EA63" s="12">
        <f>Proforma!EA13</f>
        <v>0</v>
      </c>
      <c r="EB63" s="12">
        <f>Proforma!EB13</f>
        <v>0</v>
      </c>
      <c r="EC63" s="12">
        <f>Proforma!EC13</f>
        <v>0</v>
      </c>
      <c r="ED63" s="12">
        <f>Proforma!ED13</f>
        <v>0</v>
      </c>
      <c r="EE63" s="12">
        <f>Proforma!EE13</f>
        <v>0</v>
      </c>
      <c r="EF63" s="12">
        <f>Proforma!EF13</f>
        <v>0</v>
      </c>
      <c r="EG63" s="12">
        <f>Proforma!EG13</f>
        <v>0</v>
      </c>
      <c r="EH63" s="12">
        <f>Proforma!EH13</f>
        <v>0</v>
      </c>
      <c r="EI63" s="12">
        <f>Proforma!EI13</f>
        <v>0</v>
      </c>
      <c r="EJ63" s="12">
        <f>Proforma!EJ13</f>
        <v>0</v>
      </c>
      <c r="EK63" s="12">
        <f>Proforma!EK13</f>
        <v>0</v>
      </c>
      <c r="EL63" s="12">
        <f>Proforma!EL13</f>
        <v>0</v>
      </c>
      <c r="EM63" s="12">
        <f>Proforma!EM13</f>
        <v>0</v>
      </c>
      <c r="EN63" s="12">
        <f>Proforma!EN13</f>
        <v>0</v>
      </c>
      <c r="EO63" s="12">
        <f>Proforma!EO13</f>
        <v>0</v>
      </c>
      <c r="EP63" s="12">
        <f>Proforma!EP13</f>
        <v>0</v>
      </c>
      <c r="EQ63" s="12">
        <f>Proforma!EQ13</f>
        <v>0</v>
      </c>
      <c r="ER63" s="12">
        <f>Proforma!ER13</f>
        <v>0</v>
      </c>
      <c r="ES63" s="12">
        <f>Proforma!ES13</f>
        <v>0</v>
      </c>
      <c r="ET63" s="12">
        <f>Proforma!ET13</f>
        <v>0</v>
      </c>
      <c r="EU63" s="12">
        <f>Proforma!EU13</f>
        <v>0</v>
      </c>
      <c r="EV63" s="12">
        <f>Proforma!EV13</f>
        <v>0</v>
      </c>
      <c r="EW63" s="12">
        <f>Proforma!EW13</f>
        <v>0</v>
      </c>
      <c r="EX63" s="12">
        <f>Proforma!EX13</f>
        <v>0</v>
      </c>
      <c r="EY63" s="12">
        <f>Proforma!EY13</f>
        <v>0</v>
      </c>
      <c r="EZ63" s="12">
        <f>Proforma!EZ13</f>
        <v>0</v>
      </c>
      <c r="FA63" s="12">
        <f>Proforma!FA13</f>
        <v>0</v>
      </c>
      <c r="FB63" s="12">
        <f>Proforma!FB13</f>
        <v>0</v>
      </c>
      <c r="FC63" s="12">
        <f>Proforma!FC13</f>
        <v>0</v>
      </c>
      <c r="FD63" s="12">
        <f>Proforma!FD13</f>
        <v>0</v>
      </c>
      <c r="FE63" s="12">
        <f>Proforma!FE13</f>
        <v>0</v>
      </c>
      <c r="FF63" s="12">
        <f>Proforma!FF13</f>
        <v>0</v>
      </c>
      <c r="FG63" s="12">
        <f>Proforma!FG13</f>
        <v>0</v>
      </c>
      <c r="FH63" s="12">
        <f>Proforma!FH13</f>
        <v>0</v>
      </c>
      <c r="FI63" s="12">
        <f>Proforma!FI13</f>
        <v>0</v>
      </c>
      <c r="FJ63" s="12">
        <f>Proforma!FJ13</f>
        <v>0</v>
      </c>
      <c r="FK63" s="12">
        <f>Proforma!FK13</f>
        <v>0</v>
      </c>
      <c r="FL63" s="12">
        <f>Proforma!FL13</f>
        <v>0</v>
      </c>
      <c r="FM63" s="12">
        <f>Proforma!FM13</f>
        <v>0</v>
      </c>
      <c r="FN63" s="12">
        <f>Proforma!FN13</f>
        <v>0</v>
      </c>
      <c r="FO63" s="12">
        <f>Proforma!FO13</f>
        <v>0</v>
      </c>
      <c r="FP63" s="12">
        <f>Proforma!FP13</f>
        <v>0</v>
      </c>
      <c r="FQ63" s="12">
        <f>Proforma!FQ13</f>
        <v>0</v>
      </c>
      <c r="FR63" s="12">
        <f>Proforma!FR13</f>
        <v>0</v>
      </c>
      <c r="FS63" s="12">
        <f>Proforma!FS13</f>
        <v>0</v>
      </c>
      <c r="FT63" s="12">
        <f>Proforma!FT13</f>
        <v>0</v>
      </c>
      <c r="FU63" s="12">
        <f>Proforma!FU13</f>
        <v>0</v>
      </c>
      <c r="FV63" s="12">
        <f>Proforma!FV13</f>
        <v>0</v>
      </c>
      <c r="FW63" s="12">
        <f>Proforma!FW13</f>
        <v>0</v>
      </c>
      <c r="FX63" s="12">
        <f>Proforma!FX13</f>
        <v>0</v>
      </c>
      <c r="FY63" s="12">
        <f>Proforma!FY13</f>
        <v>0</v>
      </c>
      <c r="FZ63" s="12">
        <f>Proforma!FZ13</f>
        <v>0</v>
      </c>
      <c r="GA63" s="12">
        <f>Proforma!GA13</f>
        <v>0</v>
      </c>
      <c r="GB63" s="12">
        <f>Proforma!GB13</f>
        <v>0</v>
      </c>
      <c r="GC63" s="12">
        <f>Proforma!GC13</f>
        <v>0</v>
      </c>
    </row>
    <row r="64" spans="1:185">
      <c r="B64" t="s">
        <v>62</v>
      </c>
      <c r="D64" t="s">
        <v>73</v>
      </c>
      <c r="E64" s="9"/>
      <c r="F64" s="12">
        <f>Proforma!F14</f>
        <v>0</v>
      </c>
      <c r="G64" s="12">
        <f>Proforma!G14</f>
        <v>0</v>
      </c>
      <c r="H64" s="12">
        <f>Proforma!H14</f>
        <v>0</v>
      </c>
      <c r="I64" s="12">
        <f>Proforma!I14</f>
        <v>0</v>
      </c>
      <c r="J64" s="12">
        <f>Proforma!J14</f>
        <v>0</v>
      </c>
      <c r="K64" s="12">
        <f>Proforma!K14</f>
        <v>0</v>
      </c>
      <c r="L64" s="12">
        <f>Proforma!L14</f>
        <v>0</v>
      </c>
      <c r="M64" s="12">
        <f>Proforma!M14</f>
        <v>0</v>
      </c>
      <c r="N64" s="12">
        <f>Proforma!N14</f>
        <v>0</v>
      </c>
      <c r="O64" s="12">
        <f>Proforma!O14</f>
        <v>0</v>
      </c>
      <c r="P64" s="12">
        <f>Proforma!P14</f>
        <v>0</v>
      </c>
      <c r="Q64" s="12">
        <f>Proforma!Q14</f>
        <v>0</v>
      </c>
      <c r="R64" s="12">
        <f>Proforma!R14</f>
        <v>0</v>
      </c>
      <c r="S64" s="12">
        <f>Proforma!S14</f>
        <v>0</v>
      </c>
      <c r="T64" s="12">
        <f>Proforma!T14</f>
        <v>0</v>
      </c>
      <c r="U64" s="12">
        <f>Proforma!U14</f>
        <v>0</v>
      </c>
      <c r="V64" s="12">
        <f>Proforma!V14</f>
        <v>0</v>
      </c>
      <c r="W64" s="12">
        <f>Proforma!W14</f>
        <v>0</v>
      </c>
      <c r="X64" s="12">
        <f>Proforma!X14</f>
        <v>0</v>
      </c>
      <c r="Y64" s="12">
        <f>Proforma!Y14</f>
        <v>0</v>
      </c>
      <c r="Z64" s="12">
        <f>Proforma!Z14</f>
        <v>0</v>
      </c>
      <c r="AA64" s="12">
        <f>Proforma!AA14</f>
        <v>0</v>
      </c>
      <c r="AB64" s="12">
        <f>Proforma!AB14</f>
        <v>0</v>
      </c>
      <c r="AC64" s="12">
        <f>Proforma!AC14</f>
        <v>0</v>
      </c>
      <c r="AD64" s="12">
        <f>Proforma!AD14</f>
        <v>0</v>
      </c>
      <c r="AE64" s="12">
        <f>Proforma!AE14</f>
        <v>0</v>
      </c>
      <c r="AF64" s="12">
        <f>Proforma!AF14</f>
        <v>0</v>
      </c>
      <c r="AG64" s="12">
        <f>Proforma!AG14</f>
        <v>0</v>
      </c>
      <c r="AH64" s="12">
        <f>Proforma!AH14</f>
        <v>0</v>
      </c>
      <c r="AI64" s="12">
        <f>Proforma!AI14</f>
        <v>0</v>
      </c>
      <c r="AJ64" s="12">
        <f>Proforma!AJ14</f>
        <v>0</v>
      </c>
      <c r="AK64" s="12">
        <f>Proforma!AK14</f>
        <v>0</v>
      </c>
      <c r="AL64" s="12">
        <f>Proforma!AL14</f>
        <v>0</v>
      </c>
      <c r="AM64" s="12">
        <f>Proforma!AM14</f>
        <v>0</v>
      </c>
      <c r="AN64" s="12">
        <f>Proforma!AN14</f>
        <v>0</v>
      </c>
      <c r="AO64" s="12">
        <f>Proforma!AO14</f>
        <v>0</v>
      </c>
      <c r="AP64" s="12">
        <f>Proforma!AP14</f>
        <v>0</v>
      </c>
      <c r="AQ64" s="12">
        <f>Proforma!AQ14</f>
        <v>0</v>
      </c>
      <c r="AR64" s="12">
        <f>Proforma!AR14</f>
        <v>0</v>
      </c>
      <c r="AS64" s="12">
        <f>Proforma!AS14</f>
        <v>0</v>
      </c>
      <c r="AT64" s="12">
        <f>Proforma!AT14</f>
        <v>0</v>
      </c>
      <c r="AU64" s="12">
        <f>Proforma!AU14</f>
        <v>0</v>
      </c>
      <c r="AV64" s="12">
        <f>Proforma!AV14</f>
        <v>0</v>
      </c>
      <c r="AW64" s="12">
        <f>Proforma!AW14</f>
        <v>0</v>
      </c>
      <c r="AX64" s="12">
        <f>Proforma!AX14</f>
        <v>0</v>
      </c>
      <c r="AY64" s="12">
        <f>Proforma!AY14</f>
        <v>0</v>
      </c>
      <c r="AZ64" s="12">
        <f>Proforma!AZ14</f>
        <v>0</v>
      </c>
      <c r="BA64" s="12">
        <f>Proforma!BA14</f>
        <v>0</v>
      </c>
      <c r="BB64" s="12">
        <f>Proforma!BB14</f>
        <v>0</v>
      </c>
      <c r="BC64" s="12">
        <f>Proforma!BC14</f>
        <v>0</v>
      </c>
      <c r="BD64" s="12">
        <f>Proforma!BD14</f>
        <v>0</v>
      </c>
      <c r="BE64" s="12">
        <f>Proforma!BE14</f>
        <v>0</v>
      </c>
      <c r="BF64" s="12">
        <f>Proforma!BF14</f>
        <v>0</v>
      </c>
      <c r="BG64" s="12">
        <f>Proforma!BG14</f>
        <v>0</v>
      </c>
      <c r="BH64" s="12">
        <f>Proforma!BH14</f>
        <v>0</v>
      </c>
      <c r="BI64" s="12">
        <f>Proforma!BI14</f>
        <v>0</v>
      </c>
      <c r="BJ64" s="12">
        <f>Proforma!BJ14</f>
        <v>0</v>
      </c>
      <c r="BK64" s="12">
        <f>Proforma!BK14</f>
        <v>0</v>
      </c>
      <c r="BL64" s="12">
        <f>Proforma!BL14</f>
        <v>0</v>
      </c>
      <c r="BM64" s="12">
        <f>Proforma!BM14</f>
        <v>0</v>
      </c>
      <c r="BN64" s="12">
        <f>Proforma!BN14</f>
        <v>0</v>
      </c>
      <c r="BO64" s="12">
        <f>Proforma!BO14</f>
        <v>0</v>
      </c>
      <c r="BP64" s="12">
        <f>Proforma!BP14</f>
        <v>0</v>
      </c>
      <c r="BQ64" s="12">
        <f>Proforma!BQ14</f>
        <v>0</v>
      </c>
      <c r="BR64" s="12">
        <f>Proforma!BR14</f>
        <v>0</v>
      </c>
      <c r="BS64" s="12">
        <f>Proforma!BS14</f>
        <v>0</v>
      </c>
      <c r="BT64" s="12">
        <f>Proforma!BT14</f>
        <v>0</v>
      </c>
      <c r="BU64" s="12">
        <f>Proforma!BU14</f>
        <v>0</v>
      </c>
      <c r="BV64" s="12">
        <f>Proforma!BV14</f>
        <v>0</v>
      </c>
      <c r="BW64" s="12">
        <f>Proforma!BW14</f>
        <v>0</v>
      </c>
      <c r="BX64" s="12">
        <f>Proforma!BX14</f>
        <v>0</v>
      </c>
      <c r="BY64" s="12">
        <f>Proforma!BY14</f>
        <v>0</v>
      </c>
      <c r="BZ64" s="12">
        <f>Proforma!BZ14</f>
        <v>0</v>
      </c>
      <c r="CA64" s="12">
        <f>Proforma!CA14</f>
        <v>0</v>
      </c>
      <c r="CB64" s="12">
        <f>Proforma!CB14</f>
        <v>0</v>
      </c>
      <c r="CC64" s="12">
        <f>Proforma!CC14</f>
        <v>0</v>
      </c>
      <c r="CD64" s="12">
        <f>Proforma!CD14</f>
        <v>0</v>
      </c>
      <c r="CE64" s="12">
        <f>Proforma!CE14</f>
        <v>0</v>
      </c>
      <c r="CF64" s="12">
        <f>Proforma!CF14</f>
        <v>0</v>
      </c>
      <c r="CG64" s="12">
        <f>Proforma!CG14</f>
        <v>0</v>
      </c>
      <c r="CH64" s="12">
        <f>Proforma!CH14</f>
        <v>0</v>
      </c>
      <c r="CI64" s="12">
        <f>Proforma!CI14</f>
        <v>0</v>
      </c>
      <c r="CJ64" s="12">
        <f>Proforma!CJ14</f>
        <v>0</v>
      </c>
      <c r="CK64" s="12">
        <f>Proforma!CK14</f>
        <v>0</v>
      </c>
      <c r="CL64" s="12">
        <f>Proforma!CL14</f>
        <v>0</v>
      </c>
      <c r="CM64" s="12">
        <f>Proforma!CM14</f>
        <v>0</v>
      </c>
      <c r="CN64" s="12">
        <f>Proforma!CN14</f>
        <v>0</v>
      </c>
      <c r="CO64" s="12">
        <f>Proforma!CO14</f>
        <v>0</v>
      </c>
      <c r="CP64" s="12">
        <f>Proforma!CP14</f>
        <v>0</v>
      </c>
      <c r="CQ64" s="12">
        <f>Proforma!CQ14</f>
        <v>0</v>
      </c>
      <c r="CR64" s="12">
        <f>Proforma!CR14</f>
        <v>0</v>
      </c>
      <c r="CS64" s="12">
        <f>Proforma!CS14</f>
        <v>0</v>
      </c>
      <c r="CT64" s="12">
        <f>Proforma!CT14</f>
        <v>0</v>
      </c>
      <c r="CU64" s="12">
        <f>Proforma!CU14</f>
        <v>0</v>
      </c>
      <c r="CV64" s="12">
        <f>Proforma!CV14</f>
        <v>0</v>
      </c>
      <c r="CW64" s="12">
        <f>Proforma!CW14</f>
        <v>0</v>
      </c>
      <c r="CX64" s="12">
        <f>Proforma!CX14</f>
        <v>0</v>
      </c>
      <c r="CY64" s="12">
        <f>Proforma!CY14</f>
        <v>0</v>
      </c>
      <c r="CZ64" s="12">
        <f>Proforma!CZ14</f>
        <v>0</v>
      </c>
      <c r="DA64" s="12">
        <f>Proforma!DA14</f>
        <v>0</v>
      </c>
      <c r="DB64" s="12">
        <f>Proforma!DB14</f>
        <v>0</v>
      </c>
      <c r="DC64" s="12">
        <f>Proforma!DC14</f>
        <v>0</v>
      </c>
      <c r="DD64" s="12">
        <f>Proforma!DD14</f>
        <v>0</v>
      </c>
      <c r="DE64" s="12">
        <f>Proforma!DE14</f>
        <v>0</v>
      </c>
      <c r="DF64" s="12">
        <f>Proforma!DF14</f>
        <v>0</v>
      </c>
      <c r="DG64" s="12">
        <f>Proforma!DG14</f>
        <v>0</v>
      </c>
      <c r="DH64" s="12">
        <f>Proforma!DH14</f>
        <v>0</v>
      </c>
      <c r="DI64" s="12">
        <f>Proforma!DI14</f>
        <v>0</v>
      </c>
      <c r="DJ64" s="12">
        <f>Proforma!DJ14</f>
        <v>0</v>
      </c>
      <c r="DK64" s="12">
        <f>Proforma!DK14</f>
        <v>0</v>
      </c>
      <c r="DL64" s="12">
        <f>Proforma!DL14</f>
        <v>0</v>
      </c>
      <c r="DM64" s="12">
        <f>Proforma!DM14</f>
        <v>0</v>
      </c>
      <c r="DN64" s="12">
        <f>Proforma!DN14</f>
        <v>0</v>
      </c>
      <c r="DO64" s="12">
        <f>Proforma!DO14</f>
        <v>0</v>
      </c>
      <c r="DP64" s="12">
        <f>Proforma!DP14</f>
        <v>0</v>
      </c>
      <c r="DQ64" s="12">
        <f>Proforma!DQ14</f>
        <v>0</v>
      </c>
      <c r="DR64" s="12">
        <f>Proforma!DR14</f>
        <v>0</v>
      </c>
      <c r="DS64" s="12">
        <f>Proforma!DS14</f>
        <v>0</v>
      </c>
      <c r="DT64" s="12">
        <f>Proforma!DT14</f>
        <v>0</v>
      </c>
      <c r="DU64" s="12">
        <f>Proforma!DU14</f>
        <v>0</v>
      </c>
      <c r="DV64" s="12">
        <f>Proforma!DV14</f>
        <v>0</v>
      </c>
      <c r="DW64" s="12">
        <f>Proforma!DW14</f>
        <v>0</v>
      </c>
      <c r="DX64" s="12">
        <f>Proforma!DX14</f>
        <v>0</v>
      </c>
      <c r="DY64" s="12">
        <f>Proforma!DY14</f>
        <v>0</v>
      </c>
      <c r="DZ64" s="12">
        <f>Proforma!DZ14</f>
        <v>0</v>
      </c>
      <c r="EA64" s="12">
        <f>Proforma!EA14</f>
        <v>0</v>
      </c>
      <c r="EB64" s="12">
        <f>Proforma!EB14</f>
        <v>0</v>
      </c>
      <c r="EC64" s="12">
        <f>Proforma!EC14</f>
        <v>0</v>
      </c>
      <c r="ED64" s="12">
        <f>Proforma!ED14</f>
        <v>0</v>
      </c>
      <c r="EE64" s="12">
        <f>Proforma!EE14</f>
        <v>0</v>
      </c>
      <c r="EF64" s="12">
        <f>Proforma!EF14</f>
        <v>0</v>
      </c>
      <c r="EG64" s="12">
        <f>Proforma!EG14</f>
        <v>0</v>
      </c>
      <c r="EH64" s="12">
        <f>Proforma!EH14</f>
        <v>0</v>
      </c>
      <c r="EI64" s="12">
        <f>Proforma!EI14</f>
        <v>0</v>
      </c>
      <c r="EJ64" s="12">
        <f>Proforma!EJ14</f>
        <v>0</v>
      </c>
      <c r="EK64" s="12">
        <f>Proforma!EK14</f>
        <v>0</v>
      </c>
      <c r="EL64" s="12">
        <f>Proforma!EL14</f>
        <v>0</v>
      </c>
      <c r="EM64" s="12">
        <f>Proforma!EM14</f>
        <v>0</v>
      </c>
      <c r="EN64" s="12">
        <f>Proforma!EN14</f>
        <v>0</v>
      </c>
      <c r="EO64" s="12">
        <f>Proforma!EO14</f>
        <v>0</v>
      </c>
      <c r="EP64" s="12">
        <f>Proforma!EP14</f>
        <v>0</v>
      </c>
      <c r="EQ64" s="12">
        <f>Proforma!EQ14</f>
        <v>0</v>
      </c>
      <c r="ER64" s="12">
        <f>Proforma!ER14</f>
        <v>0</v>
      </c>
      <c r="ES64" s="12">
        <f>Proforma!ES14</f>
        <v>0</v>
      </c>
      <c r="ET64" s="12">
        <f>Proforma!ET14</f>
        <v>0</v>
      </c>
      <c r="EU64" s="12">
        <f>Proforma!EU14</f>
        <v>0</v>
      </c>
      <c r="EV64" s="12">
        <f>Proforma!EV14</f>
        <v>0</v>
      </c>
      <c r="EW64" s="12">
        <f>Proforma!EW14</f>
        <v>0</v>
      </c>
      <c r="EX64" s="12">
        <f>Proforma!EX14</f>
        <v>0</v>
      </c>
      <c r="EY64" s="12">
        <f>Proforma!EY14</f>
        <v>0</v>
      </c>
      <c r="EZ64" s="12">
        <f>Proforma!EZ14</f>
        <v>0</v>
      </c>
      <c r="FA64" s="12">
        <f>Proforma!FA14</f>
        <v>0</v>
      </c>
      <c r="FB64" s="12">
        <f>Proforma!FB14</f>
        <v>0</v>
      </c>
      <c r="FC64" s="12">
        <f>Proforma!FC14</f>
        <v>0</v>
      </c>
      <c r="FD64" s="12">
        <f>Proforma!FD14</f>
        <v>0</v>
      </c>
      <c r="FE64" s="12">
        <f>Proforma!FE14</f>
        <v>0</v>
      </c>
      <c r="FF64" s="12">
        <f>Proforma!FF14</f>
        <v>0</v>
      </c>
      <c r="FG64" s="12">
        <f>Proforma!FG14</f>
        <v>0</v>
      </c>
      <c r="FH64" s="12">
        <f>Proforma!FH14</f>
        <v>0</v>
      </c>
      <c r="FI64" s="12">
        <f>Proforma!FI14</f>
        <v>0</v>
      </c>
      <c r="FJ64" s="12">
        <f>Proforma!FJ14</f>
        <v>0</v>
      </c>
      <c r="FK64" s="12">
        <f>Proforma!FK14</f>
        <v>0</v>
      </c>
      <c r="FL64" s="12">
        <f>Proforma!FL14</f>
        <v>0</v>
      </c>
      <c r="FM64" s="12">
        <f>Proforma!FM14</f>
        <v>0</v>
      </c>
      <c r="FN64" s="12">
        <f>Proforma!FN14</f>
        <v>0</v>
      </c>
      <c r="FO64" s="12">
        <f>Proforma!FO14</f>
        <v>0</v>
      </c>
      <c r="FP64" s="12">
        <f>Proforma!FP14</f>
        <v>0</v>
      </c>
      <c r="FQ64" s="12">
        <f>Proforma!FQ14</f>
        <v>0</v>
      </c>
      <c r="FR64" s="12">
        <f>Proforma!FR14</f>
        <v>0</v>
      </c>
      <c r="FS64" s="12">
        <f>Proforma!FS14</f>
        <v>0</v>
      </c>
      <c r="FT64" s="12">
        <f>Proforma!FT14</f>
        <v>0</v>
      </c>
      <c r="FU64" s="12">
        <f>Proforma!FU14</f>
        <v>0</v>
      </c>
      <c r="FV64" s="12">
        <f>Proforma!FV14</f>
        <v>0</v>
      </c>
      <c r="FW64" s="12">
        <f>Proforma!FW14</f>
        <v>0</v>
      </c>
      <c r="FX64" s="12">
        <f>Proforma!FX14</f>
        <v>0</v>
      </c>
      <c r="FY64" s="12">
        <f>Proforma!FY14</f>
        <v>0</v>
      </c>
      <c r="FZ64" s="12">
        <f>Proforma!FZ14</f>
        <v>0</v>
      </c>
      <c r="GA64" s="12">
        <f>Proforma!GA14</f>
        <v>0</v>
      </c>
      <c r="GB64" s="12">
        <f>Proforma!GB14</f>
        <v>0</v>
      </c>
      <c r="GC64" s="12">
        <f>Proforma!GC14</f>
        <v>0</v>
      </c>
    </row>
    <row r="65" spans="2:185">
      <c r="B65" s="5" t="s">
        <v>43</v>
      </c>
      <c r="C65" s="5"/>
      <c r="D65" s="5" t="s">
        <v>44</v>
      </c>
      <c r="E65" s="26"/>
      <c r="F65" s="27">
        <f>Proforma!F15</f>
        <v>0</v>
      </c>
      <c r="G65" s="27">
        <f>Proforma!G15</f>
        <v>0</v>
      </c>
      <c r="H65" s="27">
        <f>Proforma!H15</f>
        <v>0</v>
      </c>
      <c r="I65" s="27">
        <f>Proforma!I15</f>
        <v>0</v>
      </c>
      <c r="J65" s="27">
        <f>Proforma!J15</f>
        <v>0</v>
      </c>
      <c r="K65" s="27">
        <f>Proforma!K15</f>
        <v>0</v>
      </c>
      <c r="L65" s="27">
        <f>Proforma!L15</f>
        <v>0</v>
      </c>
      <c r="M65" s="27">
        <f>Proforma!M15</f>
        <v>0</v>
      </c>
      <c r="N65" s="27">
        <f>Proforma!N15</f>
        <v>4685.8698666666633</v>
      </c>
      <c r="O65" s="27">
        <f>Proforma!O15</f>
        <v>4685.8698666666633</v>
      </c>
      <c r="P65" s="27">
        <f>Proforma!P15</f>
        <v>4685.8698666666633</v>
      </c>
      <c r="Q65" s="27">
        <f>Proforma!Q15</f>
        <v>4685.8698666666633</v>
      </c>
      <c r="R65" s="27">
        <f>Proforma!R15</f>
        <v>88019.203199999989</v>
      </c>
      <c r="S65" s="27">
        <f>Proforma!S15</f>
        <v>88019.203199999989</v>
      </c>
      <c r="T65" s="27">
        <f>Proforma!T15</f>
        <v>88019.203199999989</v>
      </c>
      <c r="U65" s="27">
        <f>Proforma!U15</f>
        <v>88019.203199999989</v>
      </c>
      <c r="V65" s="27">
        <f>Proforma!V15</f>
        <v>88019.203199999989</v>
      </c>
      <c r="W65" s="27">
        <f>Proforma!W15</f>
        <v>88019.203199999989</v>
      </c>
      <c r="X65" s="27">
        <f>Proforma!X15</f>
        <v>88019.203199999989</v>
      </c>
      <c r="Y65" s="27">
        <f>Proforma!Y15</f>
        <v>88019.203199999989</v>
      </c>
      <c r="Z65" s="27">
        <f>Proforma!Z15</f>
        <v>88019.203199999989</v>
      </c>
      <c r="AA65" s="27">
        <f>Proforma!AA15</f>
        <v>88019.203199999989</v>
      </c>
      <c r="AB65" s="27">
        <f>Proforma!AB15</f>
        <v>88019.203199999989</v>
      </c>
      <c r="AC65" s="27">
        <f>Proforma!AC15</f>
        <v>88019.203199999989</v>
      </c>
      <c r="AD65" s="27">
        <f>Proforma!AD15</f>
        <v>88019.203199999989</v>
      </c>
      <c r="AE65" s="27">
        <f>Proforma!AE15</f>
        <v>88019.203199999989</v>
      </c>
      <c r="AF65" s="27">
        <f>Proforma!AF15</f>
        <v>88019.203199999989</v>
      </c>
      <c r="AG65" s="27">
        <f>Proforma!AG15</f>
        <v>88019.203199999989</v>
      </c>
      <c r="AH65" s="27">
        <f>Proforma!AH15</f>
        <v>88019.203199999989</v>
      </c>
      <c r="AI65" s="27">
        <f>Proforma!AI15</f>
        <v>88019.203199999989</v>
      </c>
      <c r="AJ65" s="27">
        <f>Proforma!AJ15</f>
        <v>88019.203199999989</v>
      </c>
      <c r="AK65" s="27">
        <f>Proforma!AK15</f>
        <v>88019.203199999989</v>
      </c>
      <c r="AL65" s="27">
        <f>Proforma!AL15</f>
        <v>88019.203199999989</v>
      </c>
      <c r="AM65" s="27">
        <f>Proforma!AM15</f>
        <v>88019.203199999989</v>
      </c>
      <c r="AN65" s="27">
        <f>Proforma!AN15</f>
        <v>88019.203199999989</v>
      </c>
      <c r="AO65" s="27">
        <f>Proforma!AO15</f>
        <v>88019.203199999989</v>
      </c>
      <c r="AP65" s="27">
        <f>Proforma!AP15</f>
        <v>88019.203199999989</v>
      </c>
      <c r="AQ65" s="27">
        <f>Proforma!AQ15</f>
        <v>88019.203199999989</v>
      </c>
      <c r="AR65" s="27">
        <f>Proforma!AR15</f>
        <v>88019.203199999989</v>
      </c>
      <c r="AS65" s="27">
        <f>Proforma!AS15</f>
        <v>88019.203199999989</v>
      </c>
      <c r="AT65" s="27">
        <f>Proforma!AT15</f>
        <v>88019.203199999989</v>
      </c>
      <c r="AU65" s="27">
        <f>Proforma!AU15</f>
        <v>88019.203199999989</v>
      </c>
      <c r="AV65" s="27">
        <f>Proforma!AV15</f>
        <v>88019.203199999989</v>
      </c>
      <c r="AW65" s="27">
        <f>Proforma!AW15</f>
        <v>88019.203199999989</v>
      </c>
      <c r="AX65" s="27">
        <f>Proforma!AX15</f>
        <v>88019.203199999989</v>
      </c>
      <c r="AY65" s="27">
        <f>Proforma!AY15</f>
        <v>88019.203199999989</v>
      </c>
      <c r="AZ65" s="27">
        <f>Proforma!AZ15</f>
        <v>88019.203199999989</v>
      </c>
      <c r="BA65" s="27">
        <f>Proforma!BA15</f>
        <v>88019.203199999989</v>
      </c>
      <c r="BB65" s="27">
        <f>Proforma!BB15</f>
        <v>88019.203199999989</v>
      </c>
      <c r="BC65" s="27">
        <f>Proforma!BC15</f>
        <v>88019.203199999989</v>
      </c>
      <c r="BD65" s="27">
        <f>Proforma!BD15</f>
        <v>88019.203199999989</v>
      </c>
      <c r="BE65" s="27">
        <f>Proforma!BE15</f>
        <v>88019.203199999989</v>
      </c>
      <c r="BF65" s="27">
        <f>Proforma!BF15</f>
        <v>88019.203199999989</v>
      </c>
      <c r="BG65" s="27">
        <f>Proforma!BG15</f>
        <v>88019.203199999989</v>
      </c>
      <c r="BH65" s="27">
        <f>Proforma!BH15</f>
        <v>88019.203199999989</v>
      </c>
      <c r="BI65" s="27">
        <f>Proforma!BI15</f>
        <v>88019.203199999989</v>
      </c>
      <c r="BJ65" s="27">
        <f>Proforma!BJ15</f>
        <v>88019.203199999989</v>
      </c>
      <c r="BK65" s="27">
        <f>Proforma!BK15</f>
        <v>88019.203199999989</v>
      </c>
      <c r="BL65" s="27">
        <f>Proforma!BL15</f>
        <v>88019.203199999989</v>
      </c>
      <c r="BM65" s="27">
        <f>Proforma!BM15</f>
        <v>88019.203199999989</v>
      </c>
      <c r="BN65" s="27">
        <f>Proforma!BN15</f>
        <v>88019.203199999989</v>
      </c>
      <c r="BO65" s="27">
        <f>Proforma!BO15</f>
        <v>88019.203199999989</v>
      </c>
      <c r="BP65" s="27">
        <f>Proforma!BP15</f>
        <v>88019.203199999989</v>
      </c>
      <c r="BQ65" s="27">
        <f>Proforma!BQ15</f>
        <v>88019.203199999989</v>
      </c>
      <c r="BR65" s="27">
        <f>Proforma!BR15</f>
        <v>88019.203199999989</v>
      </c>
      <c r="BS65" s="27">
        <f>Proforma!BS15</f>
        <v>88019.203199999989</v>
      </c>
      <c r="BT65" s="27">
        <f>Proforma!BT15</f>
        <v>88019.203199999989</v>
      </c>
      <c r="BU65" s="27">
        <f>Proforma!BU15</f>
        <v>88019.203199999989</v>
      </c>
      <c r="BV65" s="27">
        <f>Proforma!BV15</f>
        <v>88019.203199999989</v>
      </c>
      <c r="BW65" s="27">
        <f>Proforma!BW15</f>
        <v>88019.203199999989</v>
      </c>
      <c r="BX65" s="27">
        <f>Proforma!BX15</f>
        <v>88019.203199999989</v>
      </c>
      <c r="BY65" s="27">
        <f>Proforma!BY15</f>
        <v>88019.203199999989</v>
      </c>
      <c r="BZ65" s="27">
        <f>Proforma!BZ15</f>
        <v>88019.203199999989</v>
      </c>
      <c r="CA65" s="27">
        <f>Proforma!CA15</f>
        <v>88019.203199999989</v>
      </c>
      <c r="CB65" s="27">
        <f>Proforma!CB15</f>
        <v>88019.203199999989</v>
      </c>
      <c r="CC65" s="27">
        <f>Proforma!CC15</f>
        <v>88019.203199999989</v>
      </c>
      <c r="CD65" s="27">
        <f>Proforma!CD15</f>
        <v>88019.203199999989</v>
      </c>
      <c r="CE65" s="27">
        <f>Proforma!CE15</f>
        <v>88019.203199999989</v>
      </c>
      <c r="CF65" s="27">
        <f>Proforma!CF15</f>
        <v>88019.203199999989</v>
      </c>
      <c r="CG65" s="27">
        <f>Proforma!CG15</f>
        <v>88019.203199999989</v>
      </c>
      <c r="CH65" s="27">
        <f>Proforma!CH15</f>
        <v>88019.203199999989</v>
      </c>
      <c r="CI65" s="27">
        <f>Proforma!CI15</f>
        <v>88019.203199999989</v>
      </c>
      <c r="CJ65" s="27">
        <f>Proforma!CJ15</f>
        <v>88019.203199999989</v>
      </c>
      <c r="CK65" s="27">
        <f>Proforma!CK15</f>
        <v>88019.203199999989</v>
      </c>
      <c r="CL65" s="27">
        <f>Proforma!CL15</f>
        <v>88019.203199999989</v>
      </c>
      <c r="CM65" s="27">
        <f>Proforma!CM15</f>
        <v>88019.203199999989</v>
      </c>
      <c r="CN65" s="27">
        <f>Proforma!CN15</f>
        <v>88019.203199999989</v>
      </c>
      <c r="CO65" s="27">
        <f>Proforma!CO15</f>
        <v>88019.203199999989</v>
      </c>
      <c r="CP65" s="27">
        <f>Proforma!CP15</f>
        <v>88019.203199999989</v>
      </c>
      <c r="CQ65" s="27">
        <f>Proforma!CQ15</f>
        <v>88019.203199999989</v>
      </c>
      <c r="CR65" s="27">
        <f>Proforma!CR15</f>
        <v>88019.203199999989</v>
      </c>
      <c r="CS65" s="27">
        <f>Proforma!CS15</f>
        <v>88019.203199999989</v>
      </c>
      <c r="CT65" s="27">
        <f>Proforma!CT15</f>
        <v>88019.203199999989</v>
      </c>
      <c r="CU65" s="27">
        <f>Proforma!CU15</f>
        <v>88019.203199999989</v>
      </c>
      <c r="CV65" s="27">
        <f>Proforma!CV15</f>
        <v>88019.203199999989</v>
      </c>
      <c r="CW65" s="27">
        <f>Proforma!CW15</f>
        <v>88019.203199999989</v>
      </c>
      <c r="CX65" s="27">
        <f>Proforma!CX15</f>
        <v>88019.203199999989</v>
      </c>
      <c r="CY65" s="27">
        <f>Proforma!CY15</f>
        <v>88019.203199999989</v>
      </c>
      <c r="CZ65" s="27">
        <f>Proforma!CZ15</f>
        <v>88019.203199999989</v>
      </c>
      <c r="DA65" s="27">
        <f>Proforma!DA15</f>
        <v>88019.203199999989</v>
      </c>
      <c r="DB65" s="27">
        <f>Proforma!DB15</f>
        <v>88019.203199999989</v>
      </c>
      <c r="DC65" s="27">
        <f>Proforma!DC15</f>
        <v>88019.203199999989</v>
      </c>
      <c r="DD65" s="27">
        <f>Proforma!DD15</f>
        <v>88019.203199999989</v>
      </c>
      <c r="DE65" s="27">
        <f>Proforma!DE15</f>
        <v>88019.203199999989</v>
      </c>
      <c r="DF65" s="27">
        <f>Proforma!DF15</f>
        <v>88019.203199999989</v>
      </c>
      <c r="DG65" s="27">
        <f>Proforma!DG15</f>
        <v>88019.203199999989</v>
      </c>
      <c r="DH65" s="27">
        <f>Proforma!DH15</f>
        <v>88019.203199999989</v>
      </c>
      <c r="DI65" s="27">
        <f>Proforma!DI15</f>
        <v>88019.203199999989</v>
      </c>
      <c r="DJ65" s="27">
        <f>Proforma!DJ15</f>
        <v>88019.203199999989</v>
      </c>
      <c r="DK65" s="27">
        <f>Proforma!DK15</f>
        <v>88019.203199999989</v>
      </c>
      <c r="DL65" s="27">
        <f>Proforma!DL15</f>
        <v>88019.203199999989</v>
      </c>
      <c r="DM65" s="27">
        <f>Proforma!DM15</f>
        <v>88019.203199999989</v>
      </c>
      <c r="DN65" s="27">
        <f>Proforma!DN15</f>
        <v>88019.203199999989</v>
      </c>
      <c r="DO65" s="27">
        <f>Proforma!DO15</f>
        <v>88019.203199999989</v>
      </c>
      <c r="DP65" s="27">
        <f>Proforma!DP15</f>
        <v>88019.203199999989</v>
      </c>
      <c r="DQ65" s="27">
        <f>Proforma!DQ15</f>
        <v>88019.203199999989</v>
      </c>
      <c r="DR65" s="27">
        <f>Proforma!DR15</f>
        <v>88019.203199999989</v>
      </c>
      <c r="DS65" s="27">
        <f>Proforma!DS15</f>
        <v>88019.203199999989</v>
      </c>
      <c r="DT65" s="27">
        <f>Proforma!DT15</f>
        <v>88019.203199999989</v>
      </c>
      <c r="DU65" s="27">
        <f>Proforma!DU15</f>
        <v>88019.203199999989</v>
      </c>
      <c r="DV65" s="27">
        <f>Proforma!DV15</f>
        <v>88019.203199999989</v>
      </c>
      <c r="DW65" s="27">
        <f>Proforma!DW15</f>
        <v>88019.203199999989</v>
      </c>
      <c r="DX65" s="27">
        <f>Proforma!DX15</f>
        <v>88019.203199999989</v>
      </c>
      <c r="DY65" s="27">
        <f>Proforma!DY15</f>
        <v>88019.203199999989</v>
      </c>
      <c r="DZ65" s="27">
        <f>Proforma!DZ15</f>
        <v>88019.203199999989</v>
      </c>
      <c r="EA65" s="27">
        <f>Proforma!EA15</f>
        <v>88019.203199999989</v>
      </c>
      <c r="EB65" s="27">
        <f>Proforma!EB15</f>
        <v>88019.203199999989</v>
      </c>
      <c r="EC65" s="27">
        <f>Proforma!EC15</f>
        <v>88019.203199999989</v>
      </c>
      <c r="ED65" s="27">
        <f>Proforma!ED15</f>
        <v>88019.203199999989</v>
      </c>
      <c r="EE65" s="27">
        <f>Proforma!EE15</f>
        <v>88019.203199999989</v>
      </c>
      <c r="EF65" s="27">
        <f>Proforma!EF15</f>
        <v>88019.203199999989</v>
      </c>
      <c r="EG65" s="27">
        <f>Proforma!EG15</f>
        <v>88019.203199999989</v>
      </c>
      <c r="EH65" s="27">
        <f>Proforma!EH15</f>
        <v>88019.203199999989</v>
      </c>
      <c r="EI65" s="27">
        <f>Proforma!EI15</f>
        <v>88019.203199999989</v>
      </c>
      <c r="EJ65" s="27">
        <f>Proforma!EJ15</f>
        <v>88019.203199999989</v>
      </c>
      <c r="EK65" s="27">
        <f>Proforma!EK15</f>
        <v>88019.203199999989</v>
      </c>
      <c r="EL65" s="27">
        <f>Proforma!EL15</f>
        <v>88019.203199999989</v>
      </c>
      <c r="EM65" s="27">
        <f>Proforma!EM15</f>
        <v>88019.203199999989</v>
      </c>
      <c r="EN65" s="27">
        <f>Proforma!EN15</f>
        <v>88019.203199999989</v>
      </c>
      <c r="EO65" s="27">
        <f>Proforma!EO15</f>
        <v>88019.203199999989</v>
      </c>
      <c r="EP65" s="27">
        <f>Proforma!EP15</f>
        <v>88019.203199999989</v>
      </c>
      <c r="EQ65" s="27">
        <f>Proforma!EQ15</f>
        <v>88019.203199999989</v>
      </c>
      <c r="ER65" s="27">
        <f>Proforma!ER15</f>
        <v>88019.203199999989</v>
      </c>
      <c r="ES65" s="27">
        <f>Proforma!ES15</f>
        <v>88019.203199999989</v>
      </c>
      <c r="ET65" s="27">
        <f>Proforma!ET15</f>
        <v>88019.203199999989</v>
      </c>
      <c r="EU65" s="27">
        <f>Proforma!EU15</f>
        <v>88019.203199999989</v>
      </c>
      <c r="EV65" s="27">
        <f>Proforma!EV15</f>
        <v>88019.203199999989</v>
      </c>
      <c r="EW65" s="27">
        <f>Proforma!EW15</f>
        <v>88019.203199999989</v>
      </c>
      <c r="EX65" s="27">
        <f>Proforma!EX15</f>
        <v>88019.203199999989</v>
      </c>
      <c r="EY65" s="27">
        <f>Proforma!EY15</f>
        <v>88019.203199999989</v>
      </c>
      <c r="EZ65" s="27">
        <f>Proforma!EZ15</f>
        <v>88019.203199999989</v>
      </c>
      <c r="FA65" s="27">
        <f>Proforma!FA15</f>
        <v>88019.203199999989</v>
      </c>
      <c r="FB65" s="27">
        <f>Proforma!FB15</f>
        <v>88019.203199999989</v>
      </c>
      <c r="FC65" s="27">
        <f>Proforma!FC15</f>
        <v>88019.203199999989</v>
      </c>
      <c r="FD65" s="27">
        <f>Proforma!FD15</f>
        <v>88019.203199999989</v>
      </c>
      <c r="FE65" s="27">
        <f>Proforma!FE15</f>
        <v>88019.203199999989</v>
      </c>
      <c r="FF65" s="27">
        <f>Proforma!FF15</f>
        <v>88019.203199999989</v>
      </c>
      <c r="FG65" s="27">
        <f>Proforma!FG15</f>
        <v>88019.203199999989</v>
      </c>
      <c r="FH65" s="27">
        <f>Proforma!FH15</f>
        <v>88019.203199999989</v>
      </c>
      <c r="FI65" s="27">
        <f>Proforma!FI15</f>
        <v>88019.203199999989</v>
      </c>
      <c r="FJ65" s="27">
        <f>Proforma!FJ15</f>
        <v>88019.203199999989</v>
      </c>
      <c r="FK65" s="27">
        <f>Proforma!FK15</f>
        <v>88019.203199999989</v>
      </c>
      <c r="FL65" s="27">
        <f>Proforma!FL15</f>
        <v>88019.203199999989</v>
      </c>
      <c r="FM65" s="27">
        <f>Proforma!FM15</f>
        <v>88019.203199999989</v>
      </c>
      <c r="FN65" s="27">
        <f>Proforma!FN15</f>
        <v>88019.203199999989</v>
      </c>
      <c r="FO65" s="27">
        <f>Proforma!FO15</f>
        <v>88019.203199999989</v>
      </c>
      <c r="FP65" s="27">
        <f>Proforma!FP15</f>
        <v>88019.203199999989</v>
      </c>
      <c r="FQ65" s="27">
        <f>Proforma!FQ15</f>
        <v>88019.203199999989</v>
      </c>
      <c r="FR65" s="27">
        <f>Proforma!FR15</f>
        <v>88019.203199999989</v>
      </c>
      <c r="FS65" s="27">
        <f>Proforma!FS15</f>
        <v>88019.203199999989</v>
      </c>
      <c r="FT65" s="27">
        <f>Proforma!FT15</f>
        <v>88019.203199999989</v>
      </c>
      <c r="FU65" s="27">
        <f>Proforma!FU15</f>
        <v>88019.203199999989</v>
      </c>
      <c r="FV65" s="27">
        <f>Proforma!FV15</f>
        <v>88019.203199999989</v>
      </c>
      <c r="FW65" s="27">
        <f>Proforma!FW15</f>
        <v>88019.203199999989</v>
      </c>
      <c r="FX65" s="27">
        <f>Proforma!FX15</f>
        <v>88019.203199999989</v>
      </c>
      <c r="FY65" s="27">
        <f>Proforma!FY15</f>
        <v>88019.203199999989</v>
      </c>
      <c r="FZ65" s="27">
        <f>Proforma!FZ15</f>
        <v>88019.203199999989</v>
      </c>
      <c r="GA65" s="27">
        <f>Proforma!GA15</f>
        <v>88019.203199999989</v>
      </c>
      <c r="GB65" s="27">
        <f>Proforma!GB15</f>
        <v>88019.203199999989</v>
      </c>
      <c r="GC65" s="27">
        <f>Proforma!GC15</f>
        <v>88019.203199999989</v>
      </c>
    </row>
    <row r="66" spans="2:185">
      <c r="B66" t="s">
        <v>503</v>
      </c>
      <c r="C66" s="39"/>
      <c r="D66" s="1">
        <f>WACC!C18</f>
        <v>0.21</v>
      </c>
      <c r="E66" s="9"/>
      <c r="F66" s="12">
        <f>MthCashSum!F16</f>
        <v>0</v>
      </c>
      <c r="G66" s="12">
        <f>MthCashSum!G16</f>
        <v>0</v>
      </c>
      <c r="H66" s="12">
        <f>MthCashSum!H16</f>
        <v>0</v>
      </c>
      <c r="I66" s="12">
        <f>MthCashSum!I16</f>
        <v>0</v>
      </c>
      <c r="J66" s="12">
        <f>MthCashSum!J16</f>
        <v>0</v>
      </c>
      <c r="K66" s="12">
        <f>MthCashSum!K16</f>
        <v>0</v>
      </c>
      <c r="L66" s="12">
        <f>MthCashSum!L16</f>
        <v>0</v>
      </c>
      <c r="M66" s="12">
        <f>MthCashSum!M16</f>
        <v>-210986.88275111999</v>
      </c>
      <c r="N66" s="12">
        <f>MthCashSum!N16</f>
        <v>-215034.63981575816</v>
      </c>
      <c r="O66" s="12">
        <f>MthCashSum!O16</f>
        <v>-226139.6949308046</v>
      </c>
      <c r="P66" s="12">
        <f>MthCashSum!P16</f>
        <v>-218462.5703418109</v>
      </c>
      <c r="Q66" s="12">
        <f>MthCashSum!Q16</f>
        <v>-226139.6949308046</v>
      </c>
      <c r="R66" s="12">
        <f>MthCashSum!R16</f>
        <v>-243639.69493080457</v>
      </c>
      <c r="S66" s="12">
        <f>MthCashSum!S16</f>
        <v>-220608.32116382351</v>
      </c>
      <c r="T66" s="12">
        <f>MthCashSum!T16</f>
        <v>-243639.69493080457</v>
      </c>
      <c r="U66" s="12">
        <f>MthCashSum!U16</f>
        <v>-235962.5703418109</v>
      </c>
      <c r="V66" s="12">
        <f>MthCashSum!V16</f>
        <v>-243639.69493080457</v>
      </c>
      <c r="W66" s="12">
        <f>MthCashSum!W16</f>
        <v>-235962.5703418109</v>
      </c>
      <c r="X66" s="12">
        <f>MthCashSum!X16</f>
        <v>-243639.69493080457</v>
      </c>
      <c r="Y66" s="12">
        <f>MthCashSum!Y16</f>
        <v>-243639.69493080457</v>
      </c>
      <c r="Z66" s="12">
        <f>MthCashSum!Z16</f>
        <v>-235962.5703418109</v>
      </c>
      <c r="AA66" s="12">
        <f>MthCashSum!AA16</f>
        <v>-243639.69493080457</v>
      </c>
      <c r="AB66" s="12">
        <f>MthCashSum!AB16</f>
        <v>-235962.5703418109</v>
      </c>
      <c r="AC66" s="12">
        <f>MthCashSum!AC16</f>
        <v>-243639.69493080457</v>
      </c>
      <c r="AD66" s="12">
        <f>MthCashSum!AD16</f>
        <v>-243639.69493080457</v>
      </c>
      <c r="AE66" s="12">
        <f>MthCashSum!AE16</f>
        <v>-220608.32116382351</v>
      </c>
      <c r="AF66" s="12">
        <f>MthCashSum!AF16</f>
        <v>-243639.69493080457</v>
      </c>
      <c r="AG66" s="12">
        <f>MthCashSum!AG16</f>
        <v>-235962.5703418109</v>
      </c>
      <c r="AH66" s="12">
        <f>MthCashSum!AH16</f>
        <v>-243639.69493080457</v>
      </c>
      <c r="AI66" s="12">
        <f>MthCashSum!AI16</f>
        <v>-235962.5703418109</v>
      </c>
      <c r="AJ66" s="12">
        <f>MthCashSum!AJ16</f>
        <v>-243639.69493080457</v>
      </c>
      <c r="AK66" s="12">
        <f>MthCashSum!AK16</f>
        <v>-243639.69493080457</v>
      </c>
      <c r="AL66" s="12">
        <f>MthCashSum!AL16</f>
        <v>-235962.5703418109</v>
      </c>
      <c r="AM66" s="12">
        <f>MthCashSum!AM16</f>
        <v>-243639.69493080457</v>
      </c>
      <c r="AN66" s="12">
        <f>MthCashSum!AN16</f>
        <v>-235962.5703418109</v>
      </c>
      <c r="AO66" s="12">
        <f>MthCashSum!AO16</f>
        <v>-243639.69493080457</v>
      </c>
      <c r="AP66" s="12">
        <f>MthCashSum!AP16</f>
        <v>-243639.69493080457</v>
      </c>
      <c r="AQ66" s="12">
        <f>MthCashSum!AQ16</f>
        <v>-220608.32116382351</v>
      </c>
      <c r="AR66" s="12">
        <f>MthCashSum!AR16</f>
        <v>-243639.69493080457</v>
      </c>
      <c r="AS66" s="12">
        <f>MthCashSum!AS16</f>
        <v>-235962.5703418109</v>
      </c>
      <c r="AT66" s="12">
        <f>MthCashSum!AT16</f>
        <v>-243639.69493080457</v>
      </c>
      <c r="AU66" s="12">
        <f>MthCashSum!AU16</f>
        <v>-235962.5703418109</v>
      </c>
      <c r="AV66" s="12">
        <f>MthCashSum!AV16</f>
        <v>-243639.69493080457</v>
      </c>
      <c r="AW66" s="12">
        <f>MthCashSum!AW16</f>
        <v>-243639.69493080457</v>
      </c>
      <c r="AX66" s="12">
        <f>MthCashSum!AX16</f>
        <v>-235962.5703418109</v>
      </c>
      <c r="AY66" s="12">
        <f>MthCashSum!AY16</f>
        <v>-243639.69493080457</v>
      </c>
      <c r="AZ66" s="12">
        <f>MthCashSum!AZ16</f>
        <v>-235962.5703418109</v>
      </c>
      <c r="BA66" s="12">
        <f>MthCashSum!BA16</f>
        <v>-243639.69493080457</v>
      </c>
      <c r="BB66" s="12">
        <f>MthCashSum!BB16</f>
        <v>-243639.69493080457</v>
      </c>
      <c r="BC66" s="12">
        <f>MthCashSum!BC16</f>
        <v>-220608.32116382351</v>
      </c>
      <c r="BD66" s="12">
        <f>MthCashSum!BD16</f>
        <v>-243639.69493080457</v>
      </c>
      <c r="BE66" s="12">
        <f>MthCashSum!BE16</f>
        <v>-235962.5703418109</v>
      </c>
      <c r="BF66" s="12">
        <f>MthCashSum!BF16</f>
        <v>-243639.69493080457</v>
      </c>
      <c r="BG66" s="12">
        <f>MthCashSum!BG16</f>
        <v>-235962.5703418109</v>
      </c>
      <c r="BH66" s="12">
        <f>MthCashSum!BH16</f>
        <v>-243639.69493080457</v>
      </c>
      <c r="BI66" s="12">
        <f>MthCashSum!BI16</f>
        <v>-243639.69493080457</v>
      </c>
      <c r="BJ66" s="12">
        <f>MthCashSum!BJ16</f>
        <v>-235962.5703418109</v>
      </c>
      <c r="BK66" s="12">
        <f>MthCashSum!BK16</f>
        <v>-243639.69493080457</v>
      </c>
      <c r="BL66" s="12">
        <f>MthCashSum!BL16</f>
        <v>-235962.5703418109</v>
      </c>
      <c r="BM66" s="12">
        <f>MthCashSum!BM16</f>
        <v>-243639.69493080457</v>
      </c>
      <c r="BN66" s="12">
        <f>MthCashSum!BN16</f>
        <v>-243639.69493080457</v>
      </c>
      <c r="BO66" s="12">
        <f>MthCashSum!BO16</f>
        <v>-220608.32116382351</v>
      </c>
      <c r="BP66" s="12">
        <f>MthCashSum!BP16</f>
        <v>-243639.69493080457</v>
      </c>
      <c r="BQ66" s="12">
        <f>MthCashSum!BQ16</f>
        <v>-235962.5703418109</v>
      </c>
      <c r="BR66" s="12">
        <f>MthCashSum!BR16</f>
        <v>-243639.69493080457</v>
      </c>
      <c r="BS66" s="12">
        <f>MthCashSum!BS16</f>
        <v>-235962.5703418109</v>
      </c>
      <c r="BT66" s="12">
        <f>MthCashSum!BT16</f>
        <v>-243639.69493080457</v>
      </c>
      <c r="BU66" s="12">
        <f>MthCashSum!BU16</f>
        <v>-243639.69493080457</v>
      </c>
      <c r="BV66" s="12">
        <f>MthCashSum!BV16</f>
        <v>-235962.5703418109</v>
      </c>
      <c r="BW66" s="12">
        <f>MthCashSum!BW16</f>
        <v>-243639.69493080457</v>
      </c>
      <c r="BX66" s="12">
        <f>MthCashSum!BX16</f>
        <v>-235962.5703418109</v>
      </c>
      <c r="BY66" s="12">
        <f>MthCashSum!BY16</f>
        <v>-243639.69493080457</v>
      </c>
      <c r="BZ66" s="12">
        <f>MthCashSum!BZ16</f>
        <v>-243639.69493080457</v>
      </c>
      <c r="CA66" s="12">
        <f>MthCashSum!CA16</f>
        <v>-220608.32116382351</v>
      </c>
      <c r="CB66" s="12">
        <f>MthCashSum!CB16</f>
        <v>-243639.69493080457</v>
      </c>
      <c r="CC66" s="12">
        <f>MthCashSum!CC16</f>
        <v>-235962.5703418109</v>
      </c>
      <c r="CD66" s="12">
        <f>MthCashSum!CD16</f>
        <v>-243639.69493080457</v>
      </c>
      <c r="CE66" s="12">
        <f>MthCashSum!CE16</f>
        <v>-235962.5703418109</v>
      </c>
      <c r="CF66" s="12">
        <f>MthCashSum!CF16</f>
        <v>-243639.69493080457</v>
      </c>
      <c r="CG66" s="12">
        <f>MthCashSum!CG16</f>
        <v>-243639.69493080457</v>
      </c>
      <c r="CH66" s="12">
        <f>MthCashSum!CH16</f>
        <v>-235962.5703418109</v>
      </c>
      <c r="CI66" s="12">
        <f>MthCashSum!CI16</f>
        <v>-243639.69493080457</v>
      </c>
      <c r="CJ66" s="12">
        <f>MthCashSum!CJ16</f>
        <v>-235962.5703418109</v>
      </c>
      <c r="CK66" s="12">
        <f>MthCashSum!CK16</f>
        <v>-243639.69493080457</v>
      </c>
      <c r="CL66" s="12">
        <f>MthCashSum!CL16</f>
        <v>-243639.69493080457</v>
      </c>
      <c r="CM66" s="12">
        <f>MthCashSum!CM16</f>
        <v>-220608.32116382351</v>
      </c>
      <c r="CN66" s="12">
        <f>MthCashSum!CN16</f>
        <v>-243639.69493080457</v>
      </c>
      <c r="CO66" s="12">
        <f>MthCashSum!CO16</f>
        <v>-235962.5703418109</v>
      </c>
      <c r="CP66" s="12">
        <f>MthCashSum!CP16</f>
        <v>-243639.69493080457</v>
      </c>
      <c r="CQ66" s="12">
        <f>MthCashSum!CQ16</f>
        <v>-235962.5703418109</v>
      </c>
      <c r="CR66" s="12">
        <f>MthCashSum!CR16</f>
        <v>-243639.69493080457</v>
      </c>
      <c r="CS66" s="12">
        <f>MthCashSum!CS16</f>
        <v>-243639.69493080457</v>
      </c>
      <c r="CT66" s="12">
        <f>MthCashSum!CT16</f>
        <v>-235962.5703418109</v>
      </c>
      <c r="CU66" s="12">
        <f>MthCashSum!CU16</f>
        <v>-243639.69493080457</v>
      </c>
      <c r="CV66" s="12">
        <f>MthCashSum!CV16</f>
        <v>-235962.5703418109</v>
      </c>
      <c r="CW66" s="12">
        <f>MthCashSum!CW16</f>
        <v>-243639.69493080457</v>
      </c>
      <c r="CX66" s="12">
        <f>MthCashSum!CX16</f>
        <v>-243639.69493080457</v>
      </c>
      <c r="CY66" s="12">
        <f>MthCashSum!CY16</f>
        <v>-220608.32116382351</v>
      </c>
      <c r="CZ66" s="12">
        <f>MthCashSum!CZ16</f>
        <v>-243639.69493080457</v>
      </c>
      <c r="DA66" s="12">
        <f>MthCashSum!DA16</f>
        <v>-235962.5703418109</v>
      </c>
      <c r="DB66" s="12">
        <f>MthCashSum!DB16</f>
        <v>-243639.69493080457</v>
      </c>
      <c r="DC66" s="12">
        <f>MthCashSum!DC16</f>
        <v>-235962.5703418109</v>
      </c>
      <c r="DD66" s="12">
        <f>MthCashSum!DD16</f>
        <v>-243639.69493080457</v>
      </c>
      <c r="DE66" s="12">
        <f>MthCashSum!DE16</f>
        <v>-243639.69493080457</v>
      </c>
      <c r="DF66" s="12">
        <f>MthCashSum!DF16</f>
        <v>-235962.5703418109</v>
      </c>
      <c r="DG66" s="12">
        <f>MthCashSum!DG16</f>
        <v>-243639.69493080457</v>
      </c>
      <c r="DH66" s="12">
        <f>MthCashSum!DH16</f>
        <v>-235962.5703418109</v>
      </c>
      <c r="DI66" s="12">
        <f>MthCashSum!DI16</f>
        <v>-243639.69493080457</v>
      </c>
      <c r="DJ66" s="12">
        <f>MthCashSum!DJ16</f>
        <v>-243639.69493080457</v>
      </c>
      <c r="DK66" s="12">
        <f>MthCashSum!DK16</f>
        <v>-220608.32116382351</v>
      </c>
      <c r="DL66" s="12">
        <f>MthCashSum!DL16</f>
        <v>-243639.69493080457</v>
      </c>
      <c r="DM66" s="12">
        <f>MthCashSum!DM16</f>
        <v>-235962.5703418109</v>
      </c>
      <c r="DN66" s="12">
        <f>MthCashSum!DN16</f>
        <v>-243639.69493080457</v>
      </c>
      <c r="DO66" s="12">
        <f>MthCashSum!DO16</f>
        <v>-235962.5703418109</v>
      </c>
      <c r="DP66" s="12">
        <f>MthCashSum!DP16</f>
        <v>-243639.69493080457</v>
      </c>
      <c r="DQ66" s="12">
        <f>MthCashSum!DQ16</f>
        <v>-243639.69493080457</v>
      </c>
      <c r="DR66" s="12">
        <f>MthCashSum!DR16</f>
        <v>-235962.5703418109</v>
      </c>
      <c r="DS66" s="12">
        <f>MthCashSum!DS16</f>
        <v>-243639.69493080457</v>
      </c>
      <c r="DT66" s="12">
        <f>MthCashSum!DT16</f>
        <v>-235962.5703418109</v>
      </c>
      <c r="DU66" s="12">
        <f>MthCashSum!DU16</f>
        <v>-243639.69493080457</v>
      </c>
      <c r="DV66" s="12">
        <f>MthCashSum!DV16</f>
        <v>-243639.69493080457</v>
      </c>
      <c r="DW66" s="12">
        <f>MthCashSum!DW16</f>
        <v>-220608.32116382351</v>
      </c>
      <c r="DX66" s="12">
        <f>MthCashSum!DX16</f>
        <v>-243639.69493080457</v>
      </c>
      <c r="DY66" s="12">
        <f>MthCashSum!DY16</f>
        <v>-235962.5703418109</v>
      </c>
      <c r="DZ66" s="12">
        <f>MthCashSum!DZ16</f>
        <v>-243639.69493080457</v>
      </c>
      <c r="EA66" s="12">
        <f>MthCashSum!EA16</f>
        <v>-235962.5703418109</v>
      </c>
      <c r="EB66" s="12">
        <f>MthCashSum!EB16</f>
        <v>-243639.69493080457</v>
      </c>
      <c r="EC66" s="12">
        <f>MthCashSum!EC16</f>
        <v>-243639.69493080457</v>
      </c>
      <c r="ED66" s="12">
        <f>MthCashSum!ED16</f>
        <v>-235962.5703418109</v>
      </c>
      <c r="EE66" s="12">
        <f>MthCashSum!EE16</f>
        <v>-243639.69493080457</v>
      </c>
      <c r="EF66" s="12">
        <f>MthCashSum!EF16</f>
        <v>-235962.5703418109</v>
      </c>
      <c r="EG66" s="12">
        <f>MthCashSum!EG16</f>
        <v>-243639.69493080457</v>
      </c>
      <c r="EH66" s="12">
        <f>MthCashSum!EH16</f>
        <v>-243639.69493080457</v>
      </c>
      <c r="EI66" s="12">
        <f>MthCashSum!EI16</f>
        <v>-220608.32116382351</v>
      </c>
      <c r="EJ66" s="12">
        <f>MthCashSum!EJ16</f>
        <v>-243639.69493080457</v>
      </c>
      <c r="EK66" s="12">
        <f>MthCashSum!EK16</f>
        <v>-235962.5703418109</v>
      </c>
      <c r="EL66" s="12">
        <f>MthCashSum!EL16</f>
        <v>-243639.69493080457</v>
      </c>
      <c r="EM66" s="12">
        <f>MthCashSum!EM16</f>
        <v>-235962.5703418109</v>
      </c>
      <c r="EN66" s="12">
        <f>MthCashSum!EN16</f>
        <v>-243639.69493080457</v>
      </c>
      <c r="EO66" s="12">
        <f>MthCashSum!EO16</f>
        <v>-243639.69493080457</v>
      </c>
      <c r="EP66" s="12">
        <f>MthCashSum!EP16</f>
        <v>-235962.5703418109</v>
      </c>
      <c r="EQ66" s="12">
        <f>MthCashSum!EQ16</f>
        <v>-243639.69493080457</v>
      </c>
      <c r="ER66" s="12">
        <f>MthCashSum!ER16</f>
        <v>-235962.5703418109</v>
      </c>
      <c r="ES66" s="12">
        <f>MthCashSum!ES16</f>
        <v>-243639.69493080457</v>
      </c>
      <c r="ET66" s="12">
        <f>MthCashSum!ET16</f>
        <v>-243639.69493080457</v>
      </c>
      <c r="EU66" s="12">
        <f>MthCashSum!EU16</f>
        <v>-220608.32116382351</v>
      </c>
      <c r="EV66" s="12">
        <f>MthCashSum!EV16</f>
        <v>-243639.69493080457</v>
      </c>
      <c r="EW66" s="12">
        <f>MthCashSum!EW16</f>
        <v>-235962.5703418109</v>
      </c>
      <c r="EX66" s="12">
        <f>MthCashSum!EX16</f>
        <v>-243639.69493080457</v>
      </c>
      <c r="EY66" s="12">
        <f>MthCashSum!EY16</f>
        <v>-235962.5703418109</v>
      </c>
      <c r="EZ66" s="12">
        <f>MthCashSum!EZ16</f>
        <v>-243639.69493080457</v>
      </c>
      <c r="FA66" s="12">
        <f>MthCashSum!FA16</f>
        <v>-243639.69493080457</v>
      </c>
      <c r="FB66" s="12">
        <f>MthCashSum!FB16</f>
        <v>-235962.5703418109</v>
      </c>
      <c r="FC66" s="12">
        <f>MthCashSum!FC16</f>
        <v>-243639.69493080457</v>
      </c>
      <c r="FD66" s="12">
        <f>MthCashSum!FD16</f>
        <v>-235962.5703418109</v>
      </c>
      <c r="FE66" s="12">
        <f>MthCashSum!FE16</f>
        <v>-243639.69493080457</v>
      </c>
      <c r="FF66" s="12">
        <f>MthCashSum!FF16</f>
        <v>-243639.69493080457</v>
      </c>
      <c r="FG66" s="12">
        <f>MthCashSum!FG16</f>
        <v>-220608.32116382351</v>
      </c>
      <c r="FH66" s="12">
        <f>MthCashSum!FH16</f>
        <v>-243639.69493080457</v>
      </c>
      <c r="FI66" s="12">
        <f>MthCashSum!FI16</f>
        <v>-235962.5703418109</v>
      </c>
      <c r="FJ66" s="12">
        <f>MthCashSum!FJ16</f>
        <v>-243639.69493080457</v>
      </c>
      <c r="FK66" s="12">
        <f>MthCashSum!FK16</f>
        <v>-235962.5703418109</v>
      </c>
      <c r="FL66" s="12">
        <f>MthCashSum!FL16</f>
        <v>-243639.69493080457</v>
      </c>
      <c r="FM66" s="12">
        <f>MthCashSum!FM16</f>
        <v>-243639.69493080457</v>
      </c>
      <c r="FN66" s="12">
        <f>MthCashSum!FN16</f>
        <v>-235962.5703418109</v>
      </c>
      <c r="FO66" s="12">
        <f>MthCashSum!FO16</f>
        <v>-243639.69493080457</v>
      </c>
      <c r="FP66" s="12">
        <f>MthCashSum!FP16</f>
        <v>-235962.5703418109</v>
      </c>
      <c r="FQ66" s="12">
        <f>MthCashSum!FQ16</f>
        <v>-243639.69493080457</v>
      </c>
      <c r="FR66" s="12">
        <f>MthCashSum!FR16</f>
        <v>-243639.69493080457</v>
      </c>
      <c r="FS66" s="12">
        <f>MthCashSum!FS16</f>
        <v>-220608.32116382351</v>
      </c>
      <c r="FT66" s="12">
        <f>MthCashSum!FT16</f>
        <v>-243639.69493080457</v>
      </c>
      <c r="FU66" s="12">
        <f>MthCashSum!FU16</f>
        <v>-235962.5703418109</v>
      </c>
      <c r="FV66" s="12">
        <f>MthCashSum!FV16</f>
        <v>-243639.69493080457</v>
      </c>
      <c r="FW66" s="12">
        <f>MthCashSum!FW16</f>
        <v>-235962.5703418109</v>
      </c>
      <c r="FX66" s="12">
        <f>MthCashSum!FX16</f>
        <v>-243639.69493080457</v>
      </c>
      <c r="FY66" s="12">
        <f>MthCashSum!FY16</f>
        <v>-243639.69493080457</v>
      </c>
      <c r="FZ66" s="12">
        <f>MthCashSum!FZ16</f>
        <v>-235962.5703418109</v>
      </c>
      <c r="GA66" s="12">
        <f>MthCashSum!GA16</f>
        <v>-243639.69493080457</v>
      </c>
      <c r="GB66" s="12">
        <f>MthCashSum!GB16</f>
        <v>-235962.5703418109</v>
      </c>
      <c r="GC66" s="12">
        <f>MthCashSum!GC16</f>
        <v>-243639.69493080457</v>
      </c>
    </row>
    <row r="67" spans="2:185">
      <c r="B67" t="s">
        <v>504</v>
      </c>
      <c r="C67" s="18"/>
      <c r="D67" s="1">
        <f>Assumptions!D6</f>
        <v>0.15</v>
      </c>
      <c r="E67" s="42"/>
      <c r="F67" s="12">
        <f>MthCashSum!F17</f>
        <v>0</v>
      </c>
      <c r="G67" s="12">
        <f>MthCashSum!G17</f>
        <v>0</v>
      </c>
      <c r="H67" s="12">
        <f>MthCashSum!H17</f>
        <v>0</v>
      </c>
      <c r="I67" s="12">
        <f>MthCashSum!I17</f>
        <v>0</v>
      </c>
      <c r="J67" s="12">
        <f>MthCashSum!J17</f>
        <v>0</v>
      </c>
      <c r="K67" s="12">
        <f>MthCashSum!K17</f>
        <v>0</v>
      </c>
      <c r="L67" s="12">
        <f>MthCashSum!L17</f>
        <v>0</v>
      </c>
      <c r="M67" s="12">
        <f>MthCashSum!M17</f>
        <v>-264358.07999999996</v>
      </c>
      <c r="N67" s="12">
        <f>MthCashSum!N17</f>
        <v>1182.1145870298728</v>
      </c>
      <c r="O67" s="12">
        <f>MthCashSum!O17</f>
        <v>-11302.671378233155</v>
      </c>
      <c r="P67" s="12">
        <f>MthCashSum!P17</f>
        <v>8854.14957390977</v>
      </c>
      <c r="Q67" s="12">
        <f>MthCashSum!Q17</f>
        <v>-8854.14957390977</v>
      </c>
      <c r="R67" s="12">
        <f>MthCashSum!R17</f>
        <v>0</v>
      </c>
      <c r="S67" s="12">
        <f>MthCashSum!S17</f>
        <v>26562.44872172931</v>
      </c>
      <c r="T67" s="12">
        <f>MthCashSum!T17</f>
        <v>-26562.44872172931</v>
      </c>
      <c r="U67" s="12">
        <f>MthCashSum!U17</f>
        <v>8854.14957390977</v>
      </c>
      <c r="V67" s="12">
        <f>MthCashSum!V17</f>
        <v>-8854.14957390977</v>
      </c>
      <c r="W67" s="12">
        <f>MthCashSum!W17</f>
        <v>8854.14957390977</v>
      </c>
      <c r="X67" s="12">
        <f>MthCashSum!X17</f>
        <v>-8854.14957390977</v>
      </c>
      <c r="Y67" s="12">
        <f>MthCashSum!Y17</f>
        <v>0</v>
      </c>
      <c r="Z67" s="12">
        <f>MthCashSum!Z17</f>
        <v>8854.14957390977</v>
      </c>
      <c r="AA67" s="12">
        <f>MthCashSum!AA17</f>
        <v>-8854.14957390977</v>
      </c>
      <c r="AB67" s="12">
        <f>MthCashSum!AB17</f>
        <v>8854.14957390977</v>
      </c>
      <c r="AC67" s="12">
        <f>MthCashSum!AC17</f>
        <v>-8854.14957390977</v>
      </c>
      <c r="AD67" s="12">
        <f>MthCashSum!AD17</f>
        <v>0</v>
      </c>
      <c r="AE67" s="12">
        <f>MthCashSum!AE17</f>
        <v>26562.44872172931</v>
      </c>
      <c r="AF67" s="12">
        <f>MthCashSum!AF17</f>
        <v>-26562.44872172931</v>
      </c>
      <c r="AG67" s="12">
        <f>MthCashSum!AG17</f>
        <v>8854.14957390977</v>
      </c>
      <c r="AH67" s="12">
        <f>MthCashSum!AH17</f>
        <v>-8854.14957390977</v>
      </c>
      <c r="AI67" s="12">
        <f>MthCashSum!AI17</f>
        <v>8854.14957390977</v>
      </c>
      <c r="AJ67" s="12">
        <f>MthCashSum!AJ17</f>
        <v>-8854.14957390977</v>
      </c>
      <c r="AK67" s="12">
        <f>MthCashSum!AK17</f>
        <v>0</v>
      </c>
      <c r="AL67" s="12">
        <f>MthCashSum!AL17</f>
        <v>8854.14957390977</v>
      </c>
      <c r="AM67" s="12">
        <f>MthCashSum!AM17</f>
        <v>-8854.14957390977</v>
      </c>
      <c r="AN67" s="12">
        <f>MthCashSum!AN17</f>
        <v>8854.14957390977</v>
      </c>
      <c r="AO67" s="12">
        <f>MthCashSum!AO17</f>
        <v>-8854.14957390977</v>
      </c>
      <c r="AP67" s="12">
        <f>MthCashSum!AP17</f>
        <v>0</v>
      </c>
      <c r="AQ67" s="12">
        <f>MthCashSum!AQ17</f>
        <v>26562.44872172931</v>
      </c>
      <c r="AR67" s="12">
        <f>MthCashSum!AR17</f>
        <v>-26562.44872172931</v>
      </c>
      <c r="AS67" s="12">
        <f>MthCashSum!AS17</f>
        <v>8854.14957390977</v>
      </c>
      <c r="AT67" s="12">
        <f>MthCashSum!AT17</f>
        <v>-8854.14957390977</v>
      </c>
      <c r="AU67" s="12">
        <f>MthCashSum!AU17</f>
        <v>8854.14957390977</v>
      </c>
      <c r="AV67" s="12">
        <f>MthCashSum!AV17</f>
        <v>-8854.14957390977</v>
      </c>
      <c r="AW67" s="12">
        <f>MthCashSum!AW17</f>
        <v>0</v>
      </c>
      <c r="AX67" s="12">
        <f>MthCashSum!AX17</f>
        <v>8854.14957390977</v>
      </c>
      <c r="AY67" s="12">
        <f>MthCashSum!AY17</f>
        <v>-8854.14957390977</v>
      </c>
      <c r="AZ67" s="12">
        <f>MthCashSum!AZ17</f>
        <v>8854.14957390977</v>
      </c>
      <c r="BA67" s="12">
        <f>MthCashSum!BA17</f>
        <v>-8854.14957390977</v>
      </c>
      <c r="BB67" s="12">
        <f>MthCashSum!BB17</f>
        <v>0</v>
      </c>
      <c r="BC67" s="12">
        <f>MthCashSum!BC17</f>
        <v>26562.44872172931</v>
      </c>
      <c r="BD67" s="12">
        <f>MthCashSum!BD17</f>
        <v>-26562.44872172931</v>
      </c>
      <c r="BE67" s="12">
        <f>MthCashSum!BE17</f>
        <v>8854.14957390977</v>
      </c>
      <c r="BF67" s="12">
        <f>MthCashSum!BF17</f>
        <v>-8854.14957390977</v>
      </c>
      <c r="BG67" s="12">
        <f>MthCashSum!BG17</f>
        <v>8854.14957390977</v>
      </c>
      <c r="BH67" s="12">
        <f>MthCashSum!BH17</f>
        <v>-8854.14957390977</v>
      </c>
      <c r="BI67" s="12">
        <f>MthCashSum!BI17</f>
        <v>0</v>
      </c>
      <c r="BJ67" s="12">
        <f>MthCashSum!BJ17</f>
        <v>8854.14957390977</v>
      </c>
      <c r="BK67" s="12">
        <f>MthCashSum!BK17</f>
        <v>-8854.14957390977</v>
      </c>
      <c r="BL67" s="12">
        <f>MthCashSum!BL17</f>
        <v>8854.14957390977</v>
      </c>
      <c r="BM67" s="12">
        <f>MthCashSum!BM17</f>
        <v>-8854.14957390977</v>
      </c>
      <c r="BN67" s="12">
        <f>MthCashSum!BN17</f>
        <v>0</v>
      </c>
      <c r="BO67" s="12">
        <f>MthCashSum!BO17</f>
        <v>26562.44872172931</v>
      </c>
      <c r="BP67" s="12">
        <f>MthCashSum!BP17</f>
        <v>-26562.44872172931</v>
      </c>
      <c r="BQ67" s="12">
        <f>MthCashSum!BQ17</f>
        <v>8854.14957390977</v>
      </c>
      <c r="BR67" s="12">
        <f>MthCashSum!BR17</f>
        <v>-8854.14957390977</v>
      </c>
      <c r="BS67" s="12">
        <f>MthCashSum!BS17</f>
        <v>8854.14957390977</v>
      </c>
      <c r="BT67" s="12">
        <f>MthCashSum!BT17</f>
        <v>-8854.14957390977</v>
      </c>
      <c r="BU67" s="12">
        <f>MthCashSum!BU17</f>
        <v>0</v>
      </c>
      <c r="BV67" s="12">
        <f>MthCashSum!BV17</f>
        <v>8854.14957390977</v>
      </c>
      <c r="BW67" s="12">
        <f>MthCashSum!BW17</f>
        <v>-8854.14957390977</v>
      </c>
      <c r="BX67" s="12">
        <f>MthCashSum!BX17</f>
        <v>8854.14957390977</v>
      </c>
      <c r="BY67" s="12">
        <f>MthCashSum!BY17</f>
        <v>-8854.14957390977</v>
      </c>
      <c r="BZ67" s="12">
        <f>MthCashSum!BZ17</f>
        <v>0</v>
      </c>
      <c r="CA67" s="12">
        <f>MthCashSum!CA17</f>
        <v>26562.44872172931</v>
      </c>
      <c r="CB67" s="12">
        <f>MthCashSum!CB17</f>
        <v>-26562.44872172931</v>
      </c>
      <c r="CC67" s="12">
        <f>MthCashSum!CC17</f>
        <v>8854.14957390977</v>
      </c>
      <c r="CD67" s="12">
        <f>MthCashSum!CD17</f>
        <v>-8854.14957390977</v>
      </c>
      <c r="CE67" s="12">
        <f>MthCashSum!CE17</f>
        <v>8854.14957390977</v>
      </c>
      <c r="CF67" s="12">
        <f>MthCashSum!CF17</f>
        <v>-8854.14957390977</v>
      </c>
      <c r="CG67" s="12">
        <f>MthCashSum!CG17</f>
        <v>0</v>
      </c>
      <c r="CH67" s="12">
        <f>MthCashSum!CH17</f>
        <v>8854.14957390977</v>
      </c>
      <c r="CI67" s="12">
        <f>MthCashSum!CI17</f>
        <v>-8854.14957390977</v>
      </c>
      <c r="CJ67" s="12">
        <f>MthCashSum!CJ17</f>
        <v>8854.14957390977</v>
      </c>
      <c r="CK67" s="12">
        <f>MthCashSum!CK17</f>
        <v>-8854.14957390977</v>
      </c>
      <c r="CL67" s="12">
        <f>MthCashSum!CL17</f>
        <v>0</v>
      </c>
      <c r="CM67" s="12">
        <f>MthCashSum!CM17</f>
        <v>26562.44872172931</v>
      </c>
      <c r="CN67" s="12">
        <f>MthCashSum!CN17</f>
        <v>-26562.44872172931</v>
      </c>
      <c r="CO67" s="12">
        <f>MthCashSum!CO17</f>
        <v>8854.14957390977</v>
      </c>
      <c r="CP67" s="12">
        <f>MthCashSum!CP17</f>
        <v>-8854.14957390977</v>
      </c>
      <c r="CQ67" s="12">
        <f>MthCashSum!CQ17</f>
        <v>8854.14957390977</v>
      </c>
      <c r="CR67" s="12">
        <f>MthCashSum!CR17</f>
        <v>-8854.14957390977</v>
      </c>
      <c r="CS67" s="12">
        <f>MthCashSum!CS17</f>
        <v>0</v>
      </c>
      <c r="CT67" s="12">
        <f>MthCashSum!CT17</f>
        <v>8854.14957390977</v>
      </c>
      <c r="CU67" s="12">
        <f>MthCashSum!CU17</f>
        <v>-8854.14957390977</v>
      </c>
      <c r="CV67" s="12">
        <f>MthCashSum!CV17</f>
        <v>8854.14957390977</v>
      </c>
      <c r="CW67" s="12">
        <f>MthCashSum!CW17</f>
        <v>-8854.14957390977</v>
      </c>
      <c r="CX67" s="12">
        <f>MthCashSum!CX17</f>
        <v>0</v>
      </c>
      <c r="CY67" s="12">
        <f>MthCashSum!CY17</f>
        <v>26562.44872172931</v>
      </c>
      <c r="CZ67" s="12">
        <f>MthCashSum!CZ17</f>
        <v>-26562.44872172931</v>
      </c>
      <c r="DA67" s="12">
        <f>MthCashSum!DA17</f>
        <v>8854.14957390977</v>
      </c>
      <c r="DB67" s="12">
        <f>MthCashSum!DB17</f>
        <v>-8854.14957390977</v>
      </c>
      <c r="DC67" s="12">
        <f>MthCashSum!DC17</f>
        <v>8854.14957390977</v>
      </c>
      <c r="DD67" s="12">
        <f>MthCashSum!DD17</f>
        <v>-8854.14957390977</v>
      </c>
      <c r="DE67" s="12">
        <f>MthCashSum!DE17</f>
        <v>0</v>
      </c>
      <c r="DF67" s="12">
        <f>MthCashSum!DF17</f>
        <v>8854.14957390977</v>
      </c>
      <c r="DG67" s="12">
        <f>MthCashSum!DG17</f>
        <v>-8854.14957390977</v>
      </c>
      <c r="DH67" s="12">
        <f>MthCashSum!DH17</f>
        <v>8854.14957390977</v>
      </c>
      <c r="DI67" s="12">
        <f>MthCashSum!DI17</f>
        <v>-8854.14957390977</v>
      </c>
      <c r="DJ67" s="12">
        <f>MthCashSum!DJ17</f>
        <v>0</v>
      </c>
      <c r="DK67" s="12">
        <f>MthCashSum!DK17</f>
        <v>26562.44872172931</v>
      </c>
      <c r="DL67" s="12">
        <f>MthCashSum!DL17</f>
        <v>-26562.44872172931</v>
      </c>
      <c r="DM67" s="12">
        <f>MthCashSum!DM17</f>
        <v>8854.14957390977</v>
      </c>
      <c r="DN67" s="12">
        <f>MthCashSum!DN17</f>
        <v>-8854.14957390977</v>
      </c>
      <c r="DO67" s="12">
        <f>MthCashSum!DO17</f>
        <v>8854.14957390977</v>
      </c>
      <c r="DP67" s="12">
        <f>MthCashSum!DP17</f>
        <v>-8854.14957390977</v>
      </c>
      <c r="DQ67" s="12">
        <f>MthCashSum!DQ17</f>
        <v>0</v>
      </c>
      <c r="DR67" s="12">
        <f>MthCashSum!DR17</f>
        <v>8854.14957390977</v>
      </c>
      <c r="DS67" s="12">
        <f>MthCashSum!DS17</f>
        <v>-8854.14957390977</v>
      </c>
      <c r="DT67" s="12">
        <f>MthCashSum!DT17</f>
        <v>8854.14957390977</v>
      </c>
      <c r="DU67" s="12">
        <f>MthCashSum!DU17</f>
        <v>-8854.14957390977</v>
      </c>
      <c r="DV67" s="12">
        <f>MthCashSum!DV17</f>
        <v>0</v>
      </c>
      <c r="DW67" s="12">
        <f>MthCashSum!DW17</f>
        <v>26562.44872172931</v>
      </c>
      <c r="DX67" s="12">
        <f>MthCashSum!DX17</f>
        <v>-26562.44872172931</v>
      </c>
      <c r="DY67" s="12">
        <f>MthCashSum!DY17</f>
        <v>8854.14957390977</v>
      </c>
      <c r="DZ67" s="12">
        <f>MthCashSum!DZ17</f>
        <v>-8854.14957390977</v>
      </c>
      <c r="EA67" s="12">
        <f>MthCashSum!EA17</f>
        <v>8854.14957390977</v>
      </c>
      <c r="EB67" s="12">
        <f>MthCashSum!EB17</f>
        <v>-8854.14957390977</v>
      </c>
      <c r="EC67" s="12">
        <f>MthCashSum!EC17</f>
        <v>0</v>
      </c>
      <c r="ED67" s="12">
        <f>MthCashSum!ED17</f>
        <v>8854.14957390977</v>
      </c>
      <c r="EE67" s="12">
        <f>MthCashSum!EE17</f>
        <v>-8854.14957390977</v>
      </c>
      <c r="EF67" s="12">
        <f>MthCashSum!EF17</f>
        <v>8854.14957390977</v>
      </c>
      <c r="EG67" s="12">
        <f>MthCashSum!EG17</f>
        <v>-8854.14957390977</v>
      </c>
      <c r="EH67" s="12">
        <f>MthCashSum!EH17</f>
        <v>0</v>
      </c>
      <c r="EI67" s="12">
        <f>MthCashSum!EI17</f>
        <v>26562.44872172931</v>
      </c>
      <c r="EJ67" s="12">
        <f>MthCashSum!EJ17</f>
        <v>-26562.44872172931</v>
      </c>
      <c r="EK67" s="12">
        <f>MthCashSum!EK17</f>
        <v>8854.14957390977</v>
      </c>
      <c r="EL67" s="12">
        <f>MthCashSum!EL17</f>
        <v>-8854.14957390977</v>
      </c>
      <c r="EM67" s="12">
        <f>MthCashSum!EM17</f>
        <v>8854.14957390977</v>
      </c>
      <c r="EN67" s="12">
        <f>MthCashSum!EN17</f>
        <v>-8854.14957390977</v>
      </c>
      <c r="EO67" s="12">
        <f>MthCashSum!EO17</f>
        <v>0</v>
      </c>
      <c r="EP67" s="12">
        <f>MthCashSum!EP17</f>
        <v>8854.14957390977</v>
      </c>
      <c r="EQ67" s="12">
        <f>MthCashSum!EQ17</f>
        <v>-8854.14957390977</v>
      </c>
      <c r="ER67" s="12">
        <f>MthCashSum!ER17</f>
        <v>8854.14957390977</v>
      </c>
      <c r="ES67" s="12">
        <f>MthCashSum!ES17</f>
        <v>-8854.14957390977</v>
      </c>
      <c r="ET67" s="12">
        <f>MthCashSum!ET17</f>
        <v>0</v>
      </c>
      <c r="EU67" s="12">
        <f>MthCashSum!EU17</f>
        <v>26562.44872172931</v>
      </c>
      <c r="EV67" s="12">
        <f>MthCashSum!EV17</f>
        <v>-26562.44872172931</v>
      </c>
      <c r="EW67" s="12">
        <f>MthCashSum!EW17</f>
        <v>8854.14957390977</v>
      </c>
      <c r="EX67" s="12">
        <f>MthCashSum!EX17</f>
        <v>-8854.14957390977</v>
      </c>
      <c r="EY67" s="12">
        <f>MthCashSum!EY17</f>
        <v>8854.14957390977</v>
      </c>
      <c r="EZ67" s="12">
        <f>MthCashSum!EZ17</f>
        <v>-8854.14957390977</v>
      </c>
      <c r="FA67" s="12">
        <f>MthCashSum!FA17</f>
        <v>0</v>
      </c>
      <c r="FB67" s="12">
        <f>MthCashSum!FB17</f>
        <v>8854.14957390977</v>
      </c>
      <c r="FC67" s="12">
        <f>MthCashSum!FC17</f>
        <v>-8854.14957390977</v>
      </c>
      <c r="FD67" s="12">
        <f>MthCashSum!FD17</f>
        <v>8854.14957390977</v>
      </c>
      <c r="FE67" s="12">
        <f>MthCashSum!FE17</f>
        <v>-8854.14957390977</v>
      </c>
      <c r="FF67" s="12">
        <f>MthCashSum!FF17</f>
        <v>0</v>
      </c>
      <c r="FG67" s="12">
        <f>MthCashSum!FG17</f>
        <v>26562.44872172931</v>
      </c>
      <c r="FH67" s="12">
        <f>MthCashSum!FH17</f>
        <v>-26562.44872172931</v>
      </c>
      <c r="FI67" s="12">
        <f>MthCashSum!FI17</f>
        <v>8854.14957390977</v>
      </c>
      <c r="FJ67" s="12">
        <f>MthCashSum!FJ17</f>
        <v>-8854.14957390977</v>
      </c>
      <c r="FK67" s="12">
        <f>MthCashSum!FK17</f>
        <v>8854.14957390977</v>
      </c>
      <c r="FL67" s="12">
        <f>MthCashSum!FL17</f>
        <v>-8854.14957390977</v>
      </c>
      <c r="FM67" s="12">
        <f>MthCashSum!FM17</f>
        <v>0</v>
      </c>
      <c r="FN67" s="12">
        <f>MthCashSum!FN17</f>
        <v>8854.14957390977</v>
      </c>
      <c r="FO67" s="12">
        <f>MthCashSum!FO17</f>
        <v>-8854.14957390977</v>
      </c>
      <c r="FP67" s="12">
        <f>MthCashSum!FP17</f>
        <v>8854.14957390977</v>
      </c>
      <c r="FQ67" s="12">
        <f>MthCashSum!FQ17</f>
        <v>-8854.14957390977</v>
      </c>
      <c r="FR67" s="12">
        <f>MthCashSum!FR17</f>
        <v>0</v>
      </c>
      <c r="FS67" s="12">
        <f>MthCashSum!FS17</f>
        <v>26562.44872172931</v>
      </c>
      <c r="FT67" s="12">
        <f>MthCashSum!FT17</f>
        <v>-26562.44872172931</v>
      </c>
      <c r="FU67" s="12">
        <f>MthCashSum!FU17</f>
        <v>8854.14957390977</v>
      </c>
      <c r="FV67" s="12">
        <f>MthCashSum!FV17</f>
        <v>-8854.14957390977</v>
      </c>
      <c r="FW67" s="12">
        <f>MthCashSum!FW17</f>
        <v>8854.14957390977</v>
      </c>
      <c r="FX67" s="12">
        <f>MthCashSum!FX17</f>
        <v>-8854.14957390977</v>
      </c>
      <c r="FY67" s="12">
        <f>MthCashSum!FY17</f>
        <v>0</v>
      </c>
      <c r="FZ67" s="12">
        <f>MthCashSum!FZ17</f>
        <v>8854.14957390977</v>
      </c>
      <c r="GA67" s="12">
        <f>MthCashSum!GA17</f>
        <v>-8854.14957390977</v>
      </c>
      <c r="GB67" s="12">
        <f>MthCashSum!GB17</f>
        <v>8854.14957390977</v>
      </c>
      <c r="GC67" s="12">
        <f>MthCashSum!GC17</f>
        <v>-8854.14957390977</v>
      </c>
    </row>
    <row r="68" spans="2:185"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  <c r="AI68" s="211"/>
      <c r="AJ68" s="211"/>
      <c r="AK68" s="211"/>
      <c r="AL68" s="211"/>
      <c r="AM68" s="211"/>
      <c r="AN68" s="211"/>
      <c r="AO68" s="211"/>
      <c r="AP68" s="211"/>
      <c r="AQ68" s="211"/>
      <c r="AR68" s="211"/>
      <c r="AS68" s="211"/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  <c r="BD68" s="211"/>
      <c r="BE68" s="211"/>
      <c r="BF68" s="211"/>
      <c r="BG68" s="211"/>
      <c r="BH68" s="211"/>
      <c r="BI68" s="211"/>
      <c r="BJ68" s="211"/>
      <c r="BK68" s="211"/>
      <c r="BL68" s="211"/>
      <c r="BM68" s="211"/>
      <c r="BN68" s="211"/>
      <c r="BO68" s="211"/>
      <c r="BP68" s="211"/>
      <c r="BQ68" s="211"/>
      <c r="BR68" s="211"/>
      <c r="BS68" s="211"/>
      <c r="BT68" s="211"/>
      <c r="BU68" s="211"/>
      <c r="BV68" s="211"/>
      <c r="BW68" s="211"/>
      <c r="BX68" s="211"/>
      <c r="BY68" s="211"/>
      <c r="BZ68" s="211"/>
      <c r="CA68" s="211"/>
      <c r="CB68" s="211"/>
      <c r="CC68" s="211"/>
      <c r="CD68" s="211"/>
      <c r="CE68" s="211"/>
      <c r="CF68" s="211"/>
      <c r="CG68" s="211"/>
      <c r="CH68" s="211"/>
      <c r="CI68" s="211"/>
      <c r="CJ68" s="211"/>
      <c r="CK68" s="211"/>
      <c r="CL68" s="211"/>
      <c r="CM68" s="211"/>
      <c r="CN68" s="211"/>
      <c r="CO68" s="211"/>
      <c r="CP68" s="211"/>
      <c r="CQ68" s="211"/>
      <c r="CR68" s="211"/>
      <c r="CS68" s="211"/>
      <c r="CT68" s="211"/>
      <c r="CU68" s="211"/>
      <c r="CV68" s="211"/>
      <c r="CW68" s="211"/>
      <c r="CX68" s="211"/>
      <c r="CY68" s="211"/>
      <c r="CZ68" s="211"/>
      <c r="DA68" s="211"/>
      <c r="DB68" s="211"/>
      <c r="DC68" s="211"/>
      <c r="DD68" s="211"/>
      <c r="DE68" s="211"/>
      <c r="DF68" s="211"/>
      <c r="DG68" s="211"/>
      <c r="DH68" s="211"/>
      <c r="DI68" s="211"/>
      <c r="DJ68" s="211"/>
      <c r="DK68" s="211"/>
      <c r="DL68" s="211"/>
      <c r="DM68" s="211"/>
      <c r="DN68" s="211"/>
      <c r="DO68" s="211"/>
      <c r="DP68" s="211"/>
      <c r="DQ68" s="211"/>
      <c r="DR68" s="211"/>
      <c r="DS68" s="211"/>
      <c r="DT68" s="211"/>
      <c r="DU68" s="211"/>
      <c r="DV68" s="211"/>
      <c r="DW68" s="211"/>
      <c r="DX68" s="211"/>
      <c r="DY68" s="211"/>
      <c r="DZ68" s="211"/>
      <c r="EA68" s="211"/>
      <c r="EB68" s="211"/>
      <c r="EC68" s="211"/>
      <c r="ED68" s="211"/>
      <c r="EE68" s="211"/>
      <c r="EF68" s="211"/>
      <c r="EG68" s="211"/>
      <c r="EH68" s="211"/>
      <c r="EI68" s="211"/>
      <c r="EJ68" s="211"/>
      <c r="EK68" s="211"/>
      <c r="EL68" s="211"/>
      <c r="EM68" s="211"/>
      <c r="EN68" s="211"/>
      <c r="EO68" s="211"/>
      <c r="EP68" s="211"/>
      <c r="EQ68" s="211"/>
      <c r="ER68" s="211"/>
      <c r="ES68" s="211"/>
      <c r="ET68" s="211"/>
      <c r="EU68" s="211"/>
      <c r="EV68" s="211"/>
      <c r="EW68" s="211"/>
      <c r="EX68" s="211"/>
      <c r="EY68" s="211"/>
      <c r="EZ68" s="211"/>
      <c r="FA68" s="211"/>
      <c r="FB68" s="211"/>
      <c r="FC68" s="211"/>
      <c r="FD68" s="211"/>
      <c r="FE68" s="211"/>
      <c r="FF68" s="211"/>
      <c r="FG68" s="211"/>
      <c r="FH68" s="211"/>
      <c r="FI68" s="211"/>
      <c r="FJ68" s="211"/>
      <c r="FK68" s="211"/>
      <c r="FL68" s="211"/>
      <c r="FM68" s="211"/>
      <c r="FN68" s="211"/>
      <c r="FO68" s="211"/>
      <c r="FP68" s="211"/>
      <c r="FQ68" s="211"/>
      <c r="FR68" s="211"/>
      <c r="FS68" s="211"/>
      <c r="FT68" s="211"/>
      <c r="FU68" s="211"/>
      <c r="FV68" s="211"/>
      <c r="FW68" s="211"/>
      <c r="FX68" s="211"/>
      <c r="FY68" s="211"/>
      <c r="FZ68" s="211"/>
      <c r="GA68" s="211"/>
      <c r="GB68" s="211"/>
      <c r="GC68" s="211"/>
    </row>
    <row r="69" spans="2:185">
      <c r="B69" t="s">
        <v>18</v>
      </c>
      <c r="F69" s="16">
        <f>F59-F61-F62</f>
        <v>0</v>
      </c>
      <c r="G69" s="16">
        <f t="shared" ref="G69:AK69" si="129">G59-G61-G62</f>
        <v>0</v>
      </c>
      <c r="H69" s="16">
        <f t="shared" si="129"/>
        <v>0</v>
      </c>
      <c r="I69" s="16">
        <f t="shared" si="129"/>
        <v>0</v>
      </c>
      <c r="J69" s="16">
        <f t="shared" si="129"/>
        <v>0</v>
      </c>
      <c r="K69" s="16">
        <f t="shared" si="129"/>
        <v>0</v>
      </c>
      <c r="L69" s="16">
        <f t="shared" si="129"/>
        <v>0</v>
      </c>
      <c r="M69" s="16">
        <f t="shared" si="129"/>
        <v>1004699.441672</v>
      </c>
      <c r="N69" s="16">
        <f t="shared" si="129"/>
        <v>1019288.6054464675</v>
      </c>
      <c r="O69" s="16">
        <f t="shared" si="129"/>
        <v>1072169.820280022</v>
      </c>
      <c r="P69" s="16">
        <f t="shared" si="129"/>
        <v>1035612.0841419568</v>
      </c>
      <c r="Q69" s="16">
        <f t="shared" si="129"/>
        <v>1072169.820280022</v>
      </c>
      <c r="R69" s="16">
        <f t="shared" si="129"/>
        <v>1072169.820280022</v>
      </c>
      <c r="S69" s="16">
        <f t="shared" si="129"/>
        <v>962496.61186582642</v>
      </c>
      <c r="T69" s="16">
        <f t="shared" si="129"/>
        <v>1072169.820280022</v>
      </c>
      <c r="U69" s="16">
        <f t="shared" si="129"/>
        <v>1035612.0841419568</v>
      </c>
      <c r="V69" s="16">
        <f t="shared" si="129"/>
        <v>1072169.820280022</v>
      </c>
      <c r="W69" s="16">
        <f t="shared" si="129"/>
        <v>1035612.0841419568</v>
      </c>
      <c r="X69" s="16">
        <f t="shared" si="129"/>
        <v>1072169.820280022</v>
      </c>
      <c r="Y69" s="16">
        <f t="shared" si="129"/>
        <v>1072169.820280022</v>
      </c>
      <c r="Z69" s="16">
        <f t="shared" si="129"/>
        <v>1035612.0841419568</v>
      </c>
      <c r="AA69" s="16">
        <f t="shared" si="129"/>
        <v>1072169.820280022</v>
      </c>
      <c r="AB69" s="16">
        <f t="shared" si="129"/>
        <v>1035612.0841419568</v>
      </c>
      <c r="AC69" s="16">
        <f t="shared" si="129"/>
        <v>1072169.820280022</v>
      </c>
      <c r="AD69" s="16">
        <f t="shared" si="129"/>
        <v>1072169.820280022</v>
      </c>
      <c r="AE69" s="16">
        <f t="shared" si="129"/>
        <v>962496.61186582642</v>
      </c>
      <c r="AF69" s="16">
        <f t="shared" si="129"/>
        <v>1072169.820280022</v>
      </c>
      <c r="AG69" s="16">
        <f t="shared" si="129"/>
        <v>1035612.0841419568</v>
      </c>
      <c r="AH69" s="16">
        <f t="shared" si="129"/>
        <v>1072169.820280022</v>
      </c>
      <c r="AI69" s="16">
        <f t="shared" si="129"/>
        <v>1035612.0841419568</v>
      </c>
      <c r="AJ69" s="16">
        <f t="shared" si="129"/>
        <v>1072169.820280022</v>
      </c>
      <c r="AK69" s="16">
        <f t="shared" si="129"/>
        <v>1072169.820280022</v>
      </c>
      <c r="AL69" s="16">
        <f t="shared" ref="AL69:BM69" si="130">AL59-AL61-AL62</f>
        <v>1035612.0841419568</v>
      </c>
      <c r="AM69" s="16">
        <f t="shared" si="130"/>
        <v>1072169.820280022</v>
      </c>
      <c r="AN69" s="16">
        <f t="shared" si="130"/>
        <v>1035612.0841419568</v>
      </c>
      <c r="AO69" s="16">
        <f t="shared" si="130"/>
        <v>1072169.820280022</v>
      </c>
      <c r="AP69" s="16">
        <f t="shared" si="130"/>
        <v>1072169.820280022</v>
      </c>
      <c r="AQ69" s="16">
        <f t="shared" si="130"/>
        <v>962496.61186582642</v>
      </c>
      <c r="AR69" s="16">
        <f t="shared" si="130"/>
        <v>1072169.820280022</v>
      </c>
      <c r="AS69" s="16">
        <f t="shared" si="130"/>
        <v>1035612.0841419568</v>
      </c>
      <c r="AT69" s="16">
        <f t="shared" si="130"/>
        <v>1072169.820280022</v>
      </c>
      <c r="AU69" s="16">
        <f t="shared" si="130"/>
        <v>1035612.0841419568</v>
      </c>
      <c r="AV69" s="16">
        <f t="shared" si="130"/>
        <v>1072169.820280022</v>
      </c>
      <c r="AW69" s="16">
        <f t="shared" si="130"/>
        <v>1072169.820280022</v>
      </c>
      <c r="AX69" s="16">
        <f t="shared" si="130"/>
        <v>1035612.0841419568</v>
      </c>
      <c r="AY69" s="16">
        <f t="shared" si="130"/>
        <v>1072169.820280022</v>
      </c>
      <c r="AZ69" s="16">
        <f t="shared" si="130"/>
        <v>1035612.0841419568</v>
      </c>
      <c r="BA69" s="16">
        <f t="shared" si="130"/>
        <v>1072169.820280022</v>
      </c>
      <c r="BB69" s="16">
        <f t="shared" si="130"/>
        <v>1072169.820280022</v>
      </c>
      <c r="BC69" s="16">
        <f t="shared" si="130"/>
        <v>962496.61186582642</v>
      </c>
      <c r="BD69" s="16">
        <f t="shared" si="130"/>
        <v>1072169.820280022</v>
      </c>
      <c r="BE69" s="16">
        <f t="shared" si="130"/>
        <v>1035612.0841419568</v>
      </c>
      <c r="BF69" s="16">
        <f t="shared" si="130"/>
        <v>1072169.820280022</v>
      </c>
      <c r="BG69" s="16">
        <f t="shared" si="130"/>
        <v>1035612.0841419568</v>
      </c>
      <c r="BH69" s="16">
        <f t="shared" si="130"/>
        <v>1072169.820280022</v>
      </c>
      <c r="BI69" s="16">
        <f t="shared" si="130"/>
        <v>1072169.820280022</v>
      </c>
      <c r="BJ69" s="16">
        <f t="shared" si="130"/>
        <v>1035612.0841419568</v>
      </c>
      <c r="BK69" s="16">
        <f t="shared" si="130"/>
        <v>1072169.820280022</v>
      </c>
      <c r="BL69" s="16">
        <f t="shared" si="130"/>
        <v>1035612.0841419568</v>
      </c>
      <c r="BM69" s="16">
        <f t="shared" si="130"/>
        <v>1072169.820280022</v>
      </c>
      <c r="BN69" s="16">
        <f t="shared" ref="BN69:DY69" si="131">BN59-BN61-BN62</f>
        <v>1072169.820280022</v>
      </c>
      <c r="BO69" s="16">
        <f t="shared" si="131"/>
        <v>962496.61186582642</v>
      </c>
      <c r="BP69" s="16">
        <f t="shared" si="131"/>
        <v>1072169.820280022</v>
      </c>
      <c r="BQ69" s="16">
        <f t="shared" si="131"/>
        <v>1035612.0841419568</v>
      </c>
      <c r="BR69" s="16">
        <f t="shared" si="131"/>
        <v>1072169.820280022</v>
      </c>
      <c r="BS69" s="16">
        <f t="shared" si="131"/>
        <v>1035612.0841419568</v>
      </c>
      <c r="BT69" s="16">
        <f t="shared" si="131"/>
        <v>1072169.820280022</v>
      </c>
      <c r="BU69" s="16">
        <f t="shared" si="131"/>
        <v>1072169.820280022</v>
      </c>
      <c r="BV69" s="16">
        <f t="shared" si="131"/>
        <v>1035612.0841419568</v>
      </c>
      <c r="BW69" s="16">
        <f t="shared" si="131"/>
        <v>1072169.820280022</v>
      </c>
      <c r="BX69" s="16">
        <f t="shared" si="131"/>
        <v>1035612.0841419568</v>
      </c>
      <c r="BY69" s="16">
        <f t="shared" si="131"/>
        <v>1072169.820280022</v>
      </c>
      <c r="BZ69" s="16">
        <f t="shared" si="131"/>
        <v>1072169.820280022</v>
      </c>
      <c r="CA69" s="16">
        <f t="shared" si="131"/>
        <v>962496.61186582642</v>
      </c>
      <c r="CB69" s="16">
        <f t="shared" si="131"/>
        <v>1072169.820280022</v>
      </c>
      <c r="CC69" s="16">
        <f t="shared" si="131"/>
        <v>1035612.0841419568</v>
      </c>
      <c r="CD69" s="16">
        <f t="shared" si="131"/>
        <v>1072169.820280022</v>
      </c>
      <c r="CE69" s="16">
        <f t="shared" si="131"/>
        <v>1035612.0841419568</v>
      </c>
      <c r="CF69" s="16">
        <f t="shared" si="131"/>
        <v>1072169.820280022</v>
      </c>
      <c r="CG69" s="16">
        <f t="shared" si="131"/>
        <v>1072169.820280022</v>
      </c>
      <c r="CH69" s="16">
        <f t="shared" si="131"/>
        <v>1035612.0841419568</v>
      </c>
      <c r="CI69" s="16">
        <f t="shared" si="131"/>
        <v>1072169.820280022</v>
      </c>
      <c r="CJ69" s="16">
        <f t="shared" si="131"/>
        <v>1035612.0841419568</v>
      </c>
      <c r="CK69" s="16">
        <f t="shared" si="131"/>
        <v>1072169.820280022</v>
      </c>
      <c r="CL69" s="16">
        <f t="shared" si="131"/>
        <v>1072169.820280022</v>
      </c>
      <c r="CM69" s="16">
        <f t="shared" si="131"/>
        <v>962496.61186582642</v>
      </c>
      <c r="CN69" s="16">
        <f t="shared" si="131"/>
        <v>1072169.820280022</v>
      </c>
      <c r="CO69" s="16">
        <f t="shared" si="131"/>
        <v>1035612.0841419568</v>
      </c>
      <c r="CP69" s="16">
        <f t="shared" si="131"/>
        <v>1072169.820280022</v>
      </c>
      <c r="CQ69" s="16">
        <f t="shared" si="131"/>
        <v>1035612.0841419568</v>
      </c>
      <c r="CR69" s="16">
        <f t="shared" si="131"/>
        <v>1072169.820280022</v>
      </c>
      <c r="CS69" s="16">
        <f t="shared" si="131"/>
        <v>1072169.820280022</v>
      </c>
      <c r="CT69" s="16">
        <f t="shared" si="131"/>
        <v>1035612.0841419568</v>
      </c>
      <c r="CU69" s="16">
        <f t="shared" si="131"/>
        <v>1072169.820280022</v>
      </c>
      <c r="CV69" s="16">
        <f t="shared" si="131"/>
        <v>1035612.0841419568</v>
      </c>
      <c r="CW69" s="16">
        <f t="shared" si="131"/>
        <v>1072169.820280022</v>
      </c>
      <c r="CX69" s="16">
        <f t="shared" si="131"/>
        <v>1072169.820280022</v>
      </c>
      <c r="CY69" s="16">
        <f t="shared" si="131"/>
        <v>962496.61186582642</v>
      </c>
      <c r="CZ69" s="16">
        <f t="shared" si="131"/>
        <v>1072169.820280022</v>
      </c>
      <c r="DA69" s="16">
        <f t="shared" si="131"/>
        <v>1035612.0841419568</v>
      </c>
      <c r="DB69" s="16">
        <f t="shared" si="131"/>
        <v>1072169.820280022</v>
      </c>
      <c r="DC69" s="16">
        <f t="shared" si="131"/>
        <v>1035612.0841419568</v>
      </c>
      <c r="DD69" s="16">
        <f t="shared" si="131"/>
        <v>1072169.820280022</v>
      </c>
      <c r="DE69" s="16">
        <f t="shared" si="131"/>
        <v>1072169.820280022</v>
      </c>
      <c r="DF69" s="16">
        <f t="shared" si="131"/>
        <v>1035612.0841419568</v>
      </c>
      <c r="DG69" s="16">
        <f t="shared" si="131"/>
        <v>1072169.820280022</v>
      </c>
      <c r="DH69" s="16">
        <f t="shared" si="131"/>
        <v>1035612.0841419568</v>
      </c>
      <c r="DI69" s="16">
        <f t="shared" si="131"/>
        <v>1072169.820280022</v>
      </c>
      <c r="DJ69" s="16">
        <f t="shared" si="131"/>
        <v>1072169.820280022</v>
      </c>
      <c r="DK69" s="16">
        <f t="shared" si="131"/>
        <v>962496.61186582642</v>
      </c>
      <c r="DL69" s="16">
        <f t="shared" si="131"/>
        <v>1072169.820280022</v>
      </c>
      <c r="DM69" s="16">
        <f t="shared" si="131"/>
        <v>1035612.0841419568</v>
      </c>
      <c r="DN69" s="16">
        <f t="shared" si="131"/>
        <v>1072169.820280022</v>
      </c>
      <c r="DO69" s="16">
        <f t="shared" si="131"/>
        <v>1035612.0841419568</v>
      </c>
      <c r="DP69" s="16">
        <f t="shared" si="131"/>
        <v>1072169.820280022</v>
      </c>
      <c r="DQ69" s="16">
        <f t="shared" si="131"/>
        <v>1072169.820280022</v>
      </c>
      <c r="DR69" s="16">
        <f t="shared" si="131"/>
        <v>1035612.0841419568</v>
      </c>
      <c r="DS69" s="16">
        <f t="shared" si="131"/>
        <v>1072169.820280022</v>
      </c>
      <c r="DT69" s="16">
        <f t="shared" si="131"/>
        <v>1035612.0841419568</v>
      </c>
      <c r="DU69" s="16">
        <f t="shared" si="131"/>
        <v>1072169.820280022</v>
      </c>
      <c r="DV69" s="16">
        <f t="shared" si="131"/>
        <v>1072169.820280022</v>
      </c>
      <c r="DW69" s="16">
        <f t="shared" si="131"/>
        <v>962496.61186582642</v>
      </c>
      <c r="DX69" s="16">
        <f t="shared" si="131"/>
        <v>1072169.820280022</v>
      </c>
      <c r="DY69" s="16">
        <f t="shared" si="131"/>
        <v>1035612.0841419568</v>
      </c>
      <c r="DZ69" s="16">
        <f t="shared" ref="DZ69:GC69" si="132">DZ59-DZ61-DZ62</f>
        <v>1072169.820280022</v>
      </c>
      <c r="EA69" s="16">
        <f t="shared" si="132"/>
        <v>1035612.0841419568</v>
      </c>
      <c r="EB69" s="16">
        <f t="shared" si="132"/>
        <v>1072169.820280022</v>
      </c>
      <c r="EC69" s="16">
        <f t="shared" si="132"/>
        <v>1072169.820280022</v>
      </c>
      <c r="ED69" s="16">
        <f t="shared" si="132"/>
        <v>1035612.0841419568</v>
      </c>
      <c r="EE69" s="16">
        <f t="shared" si="132"/>
        <v>1072169.820280022</v>
      </c>
      <c r="EF69" s="16">
        <f t="shared" si="132"/>
        <v>1035612.0841419568</v>
      </c>
      <c r="EG69" s="16">
        <f t="shared" si="132"/>
        <v>1072169.820280022</v>
      </c>
      <c r="EH69" s="16">
        <f t="shared" si="132"/>
        <v>1072169.820280022</v>
      </c>
      <c r="EI69" s="16">
        <f t="shared" si="132"/>
        <v>962496.61186582642</v>
      </c>
      <c r="EJ69" s="16">
        <f t="shared" si="132"/>
        <v>1072169.820280022</v>
      </c>
      <c r="EK69" s="16">
        <f t="shared" si="132"/>
        <v>1035612.0841419568</v>
      </c>
      <c r="EL69" s="16">
        <f t="shared" si="132"/>
        <v>1072169.820280022</v>
      </c>
      <c r="EM69" s="16">
        <f t="shared" si="132"/>
        <v>1035612.0841419568</v>
      </c>
      <c r="EN69" s="16">
        <f t="shared" si="132"/>
        <v>1072169.820280022</v>
      </c>
      <c r="EO69" s="16">
        <f t="shared" si="132"/>
        <v>1072169.820280022</v>
      </c>
      <c r="EP69" s="16">
        <f t="shared" si="132"/>
        <v>1035612.0841419568</v>
      </c>
      <c r="EQ69" s="16">
        <f t="shared" si="132"/>
        <v>1072169.820280022</v>
      </c>
      <c r="ER69" s="16">
        <f t="shared" si="132"/>
        <v>1035612.0841419568</v>
      </c>
      <c r="ES69" s="16">
        <f t="shared" si="132"/>
        <v>1072169.820280022</v>
      </c>
      <c r="ET69" s="16">
        <f t="shared" si="132"/>
        <v>1072169.820280022</v>
      </c>
      <c r="EU69" s="16">
        <f t="shared" si="132"/>
        <v>962496.61186582642</v>
      </c>
      <c r="EV69" s="16">
        <f t="shared" si="132"/>
        <v>1072169.820280022</v>
      </c>
      <c r="EW69" s="16">
        <f t="shared" si="132"/>
        <v>1035612.0841419568</v>
      </c>
      <c r="EX69" s="16">
        <f t="shared" si="132"/>
        <v>1072169.820280022</v>
      </c>
      <c r="EY69" s="16">
        <f t="shared" si="132"/>
        <v>1035612.0841419568</v>
      </c>
      <c r="EZ69" s="16">
        <f t="shared" si="132"/>
        <v>1072169.820280022</v>
      </c>
      <c r="FA69" s="16">
        <f t="shared" si="132"/>
        <v>1072169.820280022</v>
      </c>
      <c r="FB69" s="16">
        <f t="shared" si="132"/>
        <v>1035612.0841419568</v>
      </c>
      <c r="FC69" s="16">
        <f t="shared" si="132"/>
        <v>1072169.820280022</v>
      </c>
      <c r="FD69" s="16">
        <f t="shared" si="132"/>
        <v>1035612.0841419568</v>
      </c>
      <c r="FE69" s="16">
        <f t="shared" si="132"/>
        <v>1072169.820280022</v>
      </c>
      <c r="FF69" s="16">
        <f t="shared" si="132"/>
        <v>1072169.820280022</v>
      </c>
      <c r="FG69" s="16">
        <f t="shared" si="132"/>
        <v>962496.61186582642</v>
      </c>
      <c r="FH69" s="16">
        <f t="shared" si="132"/>
        <v>1072169.820280022</v>
      </c>
      <c r="FI69" s="16">
        <f t="shared" si="132"/>
        <v>1035612.0841419568</v>
      </c>
      <c r="FJ69" s="16">
        <f t="shared" si="132"/>
        <v>1072169.820280022</v>
      </c>
      <c r="FK69" s="16">
        <f t="shared" si="132"/>
        <v>1035612.0841419568</v>
      </c>
      <c r="FL69" s="16">
        <f t="shared" si="132"/>
        <v>1072169.820280022</v>
      </c>
      <c r="FM69" s="16">
        <f t="shared" si="132"/>
        <v>1072169.820280022</v>
      </c>
      <c r="FN69" s="16">
        <f t="shared" si="132"/>
        <v>1035612.0841419568</v>
      </c>
      <c r="FO69" s="16">
        <f t="shared" si="132"/>
        <v>1072169.820280022</v>
      </c>
      <c r="FP69" s="16">
        <f t="shared" si="132"/>
        <v>1035612.0841419568</v>
      </c>
      <c r="FQ69" s="16">
        <f t="shared" si="132"/>
        <v>1072169.820280022</v>
      </c>
      <c r="FR69" s="16">
        <f t="shared" si="132"/>
        <v>1072169.820280022</v>
      </c>
      <c r="FS69" s="16">
        <f t="shared" si="132"/>
        <v>962496.61186582642</v>
      </c>
      <c r="FT69" s="16">
        <f t="shared" si="132"/>
        <v>1072169.820280022</v>
      </c>
      <c r="FU69" s="16">
        <f t="shared" si="132"/>
        <v>1035612.0841419568</v>
      </c>
      <c r="FV69" s="16">
        <f t="shared" si="132"/>
        <v>1072169.820280022</v>
      </c>
      <c r="FW69" s="16">
        <f t="shared" si="132"/>
        <v>1035612.0841419568</v>
      </c>
      <c r="FX69" s="16">
        <f t="shared" si="132"/>
        <v>1072169.820280022</v>
      </c>
      <c r="FY69" s="16">
        <f t="shared" si="132"/>
        <v>1072169.820280022</v>
      </c>
      <c r="FZ69" s="16">
        <f t="shared" si="132"/>
        <v>1035612.0841419568</v>
      </c>
      <c r="GA69" s="16">
        <f t="shared" si="132"/>
        <v>1072169.820280022</v>
      </c>
      <c r="GB69" s="16">
        <f t="shared" si="132"/>
        <v>1035612.0841419568</v>
      </c>
      <c r="GC69" s="16">
        <f t="shared" si="132"/>
        <v>1072169.820280022</v>
      </c>
    </row>
    <row r="70" spans="2:185">
      <c r="B70" t="s">
        <v>505</v>
      </c>
      <c r="F70" s="212">
        <f>F59-F61-F62-F63-F65+F66+F67</f>
        <v>-6697158.3253333326</v>
      </c>
      <c r="G70" s="212">
        <f>G59-G61-G62-G63-G65+G66+G67</f>
        <v>-3337788.9173333328</v>
      </c>
      <c r="H70" s="212">
        <f t="shared" ref="H70:BS70" si="133">H59-H61-H62-H63-H65+H66+H67</f>
        <v>-3077158.3253333331</v>
      </c>
      <c r="I70" s="212">
        <f t="shared" si="133"/>
        <v>-735585.85600000003</v>
      </c>
      <c r="J70" s="212">
        <f t="shared" si="133"/>
        <v>-398442.91200000001</v>
      </c>
      <c r="K70" s="212">
        <f t="shared" si="133"/>
        <v>-553103.08266666671</v>
      </c>
      <c r="L70" s="212">
        <f t="shared" si="133"/>
        <v>-510109.5786666667</v>
      </c>
      <c r="M70" s="212">
        <f t="shared" si="133"/>
        <v>19244.900254213368</v>
      </c>
      <c r="N70" s="212">
        <f t="shared" si="133"/>
        <v>794750.21035107272</v>
      </c>
      <c r="O70" s="212">
        <f t="shared" si="133"/>
        <v>824041.58410431759</v>
      </c>
      <c r="P70" s="212">
        <f t="shared" si="133"/>
        <v>815317.79350738903</v>
      </c>
      <c r="Q70" s="212">
        <f t="shared" si="133"/>
        <v>826490.10590864089</v>
      </c>
      <c r="R70" s="212">
        <f t="shared" si="133"/>
        <v>740510.92214921745</v>
      </c>
      <c r="S70" s="212">
        <f t="shared" si="133"/>
        <v>680431.53622373228</v>
      </c>
      <c r="T70" s="212">
        <f t="shared" si="133"/>
        <v>713948.47342748812</v>
      </c>
      <c r="U70" s="212">
        <f t="shared" si="133"/>
        <v>720484.46017405565</v>
      </c>
      <c r="V70" s="212">
        <f t="shared" si="133"/>
        <v>731656.77257530764</v>
      </c>
      <c r="W70" s="212">
        <f t="shared" si="133"/>
        <v>720484.46017405565</v>
      </c>
      <c r="X70" s="212">
        <f t="shared" si="133"/>
        <v>731656.77257530764</v>
      </c>
      <c r="Y70" s="212">
        <f t="shared" si="133"/>
        <v>740510.92214921745</v>
      </c>
      <c r="Z70" s="212">
        <f t="shared" si="133"/>
        <v>720484.46017405565</v>
      </c>
      <c r="AA70" s="212">
        <f t="shared" si="133"/>
        <v>731656.77257530764</v>
      </c>
      <c r="AB70" s="212">
        <f t="shared" si="133"/>
        <v>720484.46017405565</v>
      </c>
      <c r="AC70" s="212">
        <f t="shared" si="133"/>
        <v>731656.77257530764</v>
      </c>
      <c r="AD70" s="212">
        <f t="shared" si="133"/>
        <v>740510.92214921745</v>
      </c>
      <c r="AE70" s="212">
        <f t="shared" si="133"/>
        <v>680431.53622373228</v>
      </c>
      <c r="AF70" s="212">
        <f t="shared" si="133"/>
        <v>713948.47342748812</v>
      </c>
      <c r="AG70" s="212">
        <f t="shared" si="133"/>
        <v>720484.46017405565</v>
      </c>
      <c r="AH70" s="212">
        <f t="shared" si="133"/>
        <v>731656.77257530764</v>
      </c>
      <c r="AI70" s="212">
        <f t="shared" si="133"/>
        <v>720484.46017405565</v>
      </c>
      <c r="AJ70" s="212">
        <f t="shared" si="133"/>
        <v>731656.77257530764</v>
      </c>
      <c r="AK70" s="212">
        <f t="shared" si="133"/>
        <v>740510.92214921745</v>
      </c>
      <c r="AL70" s="212">
        <f t="shared" si="133"/>
        <v>720484.46017405565</v>
      </c>
      <c r="AM70" s="212">
        <f t="shared" si="133"/>
        <v>731656.77257530764</v>
      </c>
      <c r="AN70" s="212">
        <f t="shared" si="133"/>
        <v>720484.46017405565</v>
      </c>
      <c r="AO70" s="212">
        <f t="shared" si="133"/>
        <v>731656.77257530764</v>
      </c>
      <c r="AP70" s="212">
        <f t="shared" si="133"/>
        <v>740510.92214921745</v>
      </c>
      <c r="AQ70" s="212">
        <f t="shared" si="133"/>
        <v>680431.53622373228</v>
      </c>
      <c r="AR70" s="212">
        <f t="shared" si="133"/>
        <v>713948.47342748812</v>
      </c>
      <c r="AS70" s="212">
        <f t="shared" si="133"/>
        <v>720484.46017405565</v>
      </c>
      <c r="AT70" s="212">
        <f t="shared" si="133"/>
        <v>731656.77257530764</v>
      </c>
      <c r="AU70" s="212">
        <f t="shared" si="133"/>
        <v>720484.46017405565</v>
      </c>
      <c r="AV70" s="212">
        <f t="shared" si="133"/>
        <v>731656.77257530764</v>
      </c>
      <c r="AW70" s="212">
        <f t="shared" si="133"/>
        <v>740510.92214921745</v>
      </c>
      <c r="AX70" s="212">
        <f t="shared" si="133"/>
        <v>720484.46017405565</v>
      </c>
      <c r="AY70" s="212">
        <f t="shared" si="133"/>
        <v>731656.77257530764</v>
      </c>
      <c r="AZ70" s="212">
        <f t="shared" si="133"/>
        <v>720484.46017405565</v>
      </c>
      <c r="BA70" s="212">
        <f t="shared" si="133"/>
        <v>731656.77257530764</v>
      </c>
      <c r="BB70" s="212">
        <f t="shared" si="133"/>
        <v>740510.92214921745</v>
      </c>
      <c r="BC70" s="212">
        <f t="shared" si="133"/>
        <v>680431.53622373228</v>
      </c>
      <c r="BD70" s="212">
        <f t="shared" si="133"/>
        <v>713948.47342748812</v>
      </c>
      <c r="BE70" s="212">
        <f t="shared" si="133"/>
        <v>720484.46017405565</v>
      </c>
      <c r="BF70" s="212">
        <f t="shared" si="133"/>
        <v>731656.77257530764</v>
      </c>
      <c r="BG70" s="212">
        <f t="shared" si="133"/>
        <v>720484.46017405565</v>
      </c>
      <c r="BH70" s="212">
        <f t="shared" si="133"/>
        <v>731656.77257530764</v>
      </c>
      <c r="BI70" s="212">
        <f t="shared" si="133"/>
        <v>740510.92214921745</v>
      </c>
      <c r="BJ70" s="212">
        <f t="shared" si="133"/>
        <v>720484.46017405565</v>
      </c>
      <c r="BK70" s="212">
        <f t="shared" si="133"/>
        <v>731656.77257530764</v>
      </c>
      <c r="BL70" s="212">
        <f t="shared" si="133"/>
        <v>720484.46017405565</v>
      </c>
      <c r="BM70" s="212">
        <f t="shared" si="133"/>
        <v>731656.77257530764</v>
      </c>
      <c r="BN70" s="212">
        <f t="shared" si="133"/>
        <v>740510.92214921745</v>
      </c>
      <c r="BO70" s="212">
        <f t="shared" si="133"/>
        <v>680431.53622373228</v>
      </c>
      <c r="BP70" s="212">
        <f t="shared" si="133"/>
        <v>713948.47342748812</v>
      </c>
      <c r="BQ70" s="212">
        <f t="shared" si="133"/>
        <v>720484.46017405565</v>
      </c>
      <c r="BR70" s="212">
        <f t="shared" si="133"/>
        <v>731656.77257530764</v>
      </c>
      <c r="BS70" s="212">
        <f t="shared" si="133"/>
        <v>720484.46017405565</v>
      </c>
      <c r="BT70" s="212">
        <f t="shared" ref="BT70:EE70" si="134">BT59-BT61-BT62-BT63-BT65+BT66+BT67</f>
        <v>731656.77257530764</v>
      </c>
      <c r="BU70" s="212">
        <f t="shared" si="134"/>
        <v>740510.92214921745</v>
      </c>
      <c r="BV70" s="212">
        <f t="shared" si="134"/>
        <v>720484.46017405565</v>
      </c>
      <c r="BW70" s="212">
        <f t="shared" si="134"/>
        <v>731656.77257530764</v>
      </c>
      <c r="BX70" s="212">
        <f t="shared" si="134"/>
        <v>720484.46017405565</v>
      </c>
      <c r="BY70" s="212">
        <f t="shared" si="134"/>
        <v>731656.77257530764</v>
      </c>
      <c r="BZ70" s="212">
        <f t="shared" si="134"/>
        <v>740510.92214921745</v>
      </c>
      <c r="CA70" s="212">
        <f t="shared" si="134"/>
        <v>680431.53622373228</v>
      </c>
      <c r="CB70" s="212">
        <f t="shared" si="134"/>
        <v>713948.47342748812</v>
      </c>
      <c r="CC70" s="212">
        <f t="shared" si="134"/>
        <v>720484.46017405565</v>
      </c>
      <c r="CD70" s="212">
        <f t="shared" si="134"/>
        <v>731656.77257530764</v>
      </c>
      <c r="CE70" s="212">
        <f t="shared" si="134"/>
        <v>720484.46017405565</v>
      </c>
      <c r="CF70" s="212">
        <f t="shared" si="134"/>
        <v>731656.77257530764</v>
      </c>
      <c r="CG70" s="212">
        <f t="shared" si="134"/>
        <v>740510.92214921745</v>
      </c>
      <c r="CH70" s="212">
        <f t="shared" si="134"/>
        <v>720484.46017405565</v>
      </c>
      <c r="CI70" s="212">
        <f t="shared" si="134"/>
        <v>731656.77257530764</v>
      </c>
      <c r="CJ70" s="212">
        <f t="shared" si="134"/>
        <v>720484.46017405565</v>
      </c>
      <c r="CK70" s="212">
        <f t="shared" si="134"/>
        <v>731656.77257530764</v>
      </c>
      <c r="CL70" s="212">
        <f t="shared" si="134"/>
        <v>740510.92214921745</v>
      </c>
      <c r="CM70" s="212">
        <f t="shared" si="134"/>
        <v>680431.53622373228</v>
      </c>
      <c r="CN70" s="212">
        <f t="shared" si="134"/>
        <v>713948.47342748812</v>
      </c>
      <c r="CO70" s="212">
        <f t="shared" si="134"/>
        <v>720484.46017405565</v>
      </c>
      <c r="CP70" s="212">
        <f t="shared" si="134"/>
        <v>731656.77257530764</v>
      </c>
      <c r="CQ70" s="212">
        <f t="shared" si="134"/>
        <v>720484.46017405565</v>
      </c>
      <c r="CR70" s="212">
        <f t="shared" si="134"/>
        <v>731656.77257530764</v>
      </c>
      <c r="CS70" s="212">
        <f t="shared" si="134"/>
        <v>740510.92214921745</v>
      </c>
      <c r="CT70" s="212">
        <f t="shared" si="134"/>
        <v>720484.46017405565</v>
      </c>
      <c r="CU70" s="212">
        <f t="shared" si="134"/>
        <v>731656.77257530764</v>
      </c>
      <c r="CV70" s="212">
        <f t="shared" si="134"/>
        <v>720484.46017405565</v>
      </c>
      <c r="CW70" s="212">
        <f t="shared" si="134"/>
        <v>731656.77257530764</v>
      </c>
      <c r="CX70" s="212">
        <f t="shared" si="134"/>
        <v>740510.92214921745</v>
      </c>
      <c r="CY70" s="212">
        <f t="shared" si="134"/>
        <v>680431.53622373228</v>
      </c>
      <c r="CZ70" s="212">
        <f t="shared" si="134"/>
        <v>713948.47342748812</v>
      </c>
      <c r="DA70" s="212">
        <f t="shared" si="134"/>
        <v>720484.46017405565</v>
      </c>
      <c r="DB70" s="212">
        <f t="shared" si="134"/>
        <v>731656.77257530764</v>
      </c>
      <c r="DC70" s="212">
        <f t="shared" si="134"/>
        <v>720484.46017405565</v>
      </c>
      <c r="DD70" s="212">
        <f t="shared" si="134"/>
        <v>731656.77257530764</v>
      </c>
      <c r="DE70" s="212">
        <f t="shared" si="134"/>
        <v>740510.92214921745</v>
      </c>
      <c r="DF70" s="212">
        <f t="shared" si="134"/>
        <v>720484.46017405565</v>
      </c>
      <c r="DG70" s="212">
        <f t="shared" si="134"/>
        <v>731656.77257530764</v>
      </c>
      <c r="DH70" s="212">
        <f t="shared" si="134"/>
        <v>720484.46017405565</v>
      </c>
      <c r="DI70" s="212">
        <f t="shared" si="134"/>
        <v>731656.77257530764</v>
      </c>
      <c r="DJ70" s="212">
        <f t="shared" si="134"/>
        <v>740510.92214921745</v>
      </c>
      <c r="DK70" s="212">
        <f t="shared" si="134"/>
        <v>680431.53622373228</v>
      </c>
      <c r="DL70" s="212">
        <f t="shared" si="134"/>
        <v>713948.47342748812</v>
      </c>
      <c r="DM70" s="212">
        <f t="shared" si="134"/>
        <v>720484.46017405565</v>
      </c>
      <c r="DN70" s="212">
        <f t="shared" si="134"/>
        <v>731656.77257530764</v>
      </c>
      <c r="DO70" s="212">
        <f t="shared" si="134"/>
        <v>720484.46017405565</v>
      </c>
      <c r="DP70" s="212">
        <f t="shared" si="134"/>
        <v>731656.77257530764</v>
      </c>
      <c r="DQ70" s="212">
        <f t="shared" si="134"/>
        <v>740510.92214921745</v>
      </c>
      <c r="DR70" s="212">
        <f t="shared" si="134"/>
        <v>720484.46017405565</v>
      </c>
      <c r="DS70" s="212">
        <f t="shared" si="134"/>
        <v>731656.77257530764</v>
      </c>
      <c r="DT70" s="212">
        <f t="shared" si="134"/>
        <v>720484.46017405565</v>
      </c>
      <c r="DU70" s="212">
        <f t="shared" si="134"/>
        <v>731656.77257530764</v>
      </c>
      <c r="DV70" s="212">
        <f t="shared" si="134"/>
        <v>740510.92214921745</v>
      </c>
      <c r="DW70" s="212">
        <f t="shared" si="134"/>
        <v>680431.53622373228</v>
      </c>
      <c r="DX70" s="212">
        <f t="shared" si="134"/>
        <v>713948.47342748812</v>
      </c>
      <c r="DY70" s="212">
        <f t="shared" si="134"/>
        <v>720484.46017405565</v>
      </c>
      <c r="DZ70" s="212">
        <f t="shared" si="134"/>
        <v>731656.77257530764</v>
      </c>
      <c r="EA70" s="212">
        <f t="shared" si="134"/>
        <v>720484.46017405565</v>
      </c>
      <c r="EB70" s="212">
        <f t="shared" si="134"/>
        <v>731656.77257530764</v>
      </c>
      <c r="EC70" s="212">
        <f t="shared" si="134"/>
        <v>740510.92214921745</v>
      </c>
      <c r="ED70" s="212">
        <f t="shared" si="134"/>
        <v>720484.46017405565</v>
      </c>
      <c r="EE70" s="212">
        <f t="shared" si="134"/>
        <v>731656.77257530764</v>
      </c>
      <c r="EF70" s="212">
        <f t="shared" ref="EF70:GC70" si="135">EF59-EF61-EF62-EF63-EF65+EF66+EF67</f>
        <v>720484.46017405565</v>
      </c>
      <c r="EG70" s="212">
        <f t="shared" si="135"/>
        <v>731656.77257530764</v>
      </c>
      <c r="EH70" s="212">
        <f t="shared" si="135"/>
        <v>740510.92214921745</v>
      </c>
      <c r="EI70" s="212">
        <f t="shared" si="135"/>
        <v>680431.53622373228</v>
      </c>
      <c r="EJ70" s="212">
        <f t="shared" si="135"/>
        <v>713948.47342748812</v>
      </c>
      <c r="EK70" s="212">
        <f t="shared" si="135"/>
        <v>720484.46017405565</v>
      </c>
      <c r="EL70" s="212">
        <f t="shared" si="135"/>
        <v>731656.77257530764</v>
      </c>
      <c r="EM70" s="212">
        <f t="shared" si="135"/>
        <v>720484.46017405565</v>
      </c>
      <c r="EN70" s="212">
        <f t="shared" si="135"/>
        <v>731656.77257530764</v>
      </c>
      <c r="EO70" s="212">
        <f t="shared" si="135"/>
        <v>740510.92214921745</v>
      </c>
      <c r="EP70" s="212">
        <f t="shared" si="135"/>
        <v>720484.46017405565</v>
      </c>
      <c r="EQ70" s="212">
        <f t="shared" si="135"/>
        <v>731656.77257530764</v>
      </c>
      <c r="ER70" s="212">
        <f t="shared" si="135"/>
        <v>720484.46017405565</v>
      </c>
      <c r="ES70" s="212">
        <f t="shared" si="135"/>
        <v>731656.77257530764</v>
      </c>
      <c r="ET70" s="212">
        <f t="shared" si="135"/>
        <v>740510.92214921745</v>
      </c>
      <c r="EU70" s="212">
        <f t="shared" si="135"/>
        <v>680431.53622373228</v>
      </c>
      <c r="EV70" s="212">
        <f t="shared" si="135"/>
        <v>713948.47342748812</v>
      </c>
      <c r="EW70" s="212">
        <f t="shared" si="135"/>
        <v>720484.46017405565</v>
      </c>
      <c r="EX70" s="212">
        <f t="shared" si="135"/>
        <v>731656.77257530764</v>
      </c>
      <c r="EY70" s="212">
        <f t="shared" si="135"/>
        <v>720484.46017405565</v>
      </c>
      <c r="EZ70" s="212">
        <f t="shared" si="135"/>
        <v>731656.77257530764</v>
      </c>
      <c r="FA70" s="212">
        <f t="shared" si="135"/>
        <v>740510.92214921745</v>
      </c>
      <c r="FB70" s="212">
        <f t="shared" si="135"/>
        <v>720484.46017405565</v>
      </c>
      <c r="FC70" s="212">
        <f t="shared" si="135"/>
        <v>731656.77257530764</v>
      </c>
      <c r="FD70" s="212">
        <f t="shared" si="135"/>
        <v>720484.46017405565</v>
      </c>
      <c r="FE70" s="212">
        <f t="shared" si="135"/>
        <v>731656.77257530764</v>
      </c>
      <c r="FF70" s="212">
        <f t="shared" si="135"/>
        <v>740510.92214921745</v>
      </c>
      <c r="FG70" s="212">
        <f t="shared" si="135"/>
        <v>680431.53622373228</v>
      </c>
      <c r="FH70" s="212">
        <f t="shared" si="135"/>
        <v>713948.47342748812</v>
      </c>
      <c r="FI70" s="212">
        <f t="shared" si="135"/>
        <v>720484.46017405565</v>
      </c>
      <c r="FJ70" s="212">
        <f t="shared" si="135"/>
        <v>731656.77257530764</v>
      </c>
      <c r="FK70" s="212">
        <f t="shared" si="135"/>
        <v>720484.46017405565</v>
      </c>
      <c r="FL70" s="212">
        <f t="shared" si="135"/>
        <v>731656.77257530764</v>
      </c>
      <c r="FM70" s="212">
        <f t="shared" si="135"/>
        <v>740510.92214921745</v>
      </c>
      <c r="FN70" s="212">
        <f t="shared" si="135"/>
        <v>720484.46017405565</v>
      </c>
      <c r="FO70" s="212">
        <f t="shared" si="135"/>
        <v>731656.77257530764</v>
      </c>
      <c r="FP70" s="212">
        <f t="shared" si="135"/>
        <v>720484.46017405565</v>
      </c>
      <c r="FQ70" s="212">
        <f t="shared" si="135"/>
        <v>731656.77257530764</v>
      </c>
      <c r="FR70" s="212">
        <f t="shared" si="135"/>
        <v>740510.92214921745</v>
      </c>
      <c r="FS70" s="212">
        <f t="shared" si="135"/>
        <v>680431.53622373228</v>
      </c>
      <c r="FT70" s="212">
        <f t="shared" si="135"/>
        <v>713948.47342748812</v>
      </c>
      <c r="FU70" s="212">
        <f t="shared" si="135"/>
        <v>720484.46017405565</v>
      </c>
      <c r="FV70" s="212">
        <f t="shared" si="135"/>
        <v>731656.77257530764</v>
      </c>
      <c r="FW70" s="212">
        <f t="shared" si="135"/>
        <v>720484.46017405565</v>
      </c>
      <c r="FX70" s="212">
        <f t="shared" si="135"/>
        <v>731656.77257530764</v>
      </c>
      <c r="FY70" s="212">
        <f t="shared" si="135"/>
        <v>740510.92214921745</v>
      </c>
      <c r="FZ70" s="212">
        <f t="shared" si="135"/>
        <v>720484.46017405565</v>
      </c>
      <c r="GA70" s="212">
        <f t="shared" si="135"/>
        <v>731656.77257530764</v>
      </c>
      <c r="GB70" s="212">
        <f t="shared" si="135"/>
        <v>720484.46017405565</v>
      </c>
      <c r="GC70" s="212">
        <f t="shared" si="135"/>
        <v>731656.77257530764</v>
      </c>
    </row>
    <row r="71" spans="2:185">
      <c r="B71" s="5" t="s">
        <v>506</v>
      </c>
      <c r="C71" s="5"/>
      <c r="D71" s="5"/>
      <c r="E71" s="5"/>
      <c r="F71" s="213">
        <f>F70</f>
        <v>-6697158.3253333326</v>
      </c>
      <c r="G71" s="213">
        <f>F71+G70</f>
        <v>-10034947.242666665</v>
      </c>
      <c r="H71" s="213">
        <f t="shared" ref="H71:BS71" si="136">G71+H70</f>
        <v>-13112105.567999998</v>
      </c>
      <c r="I71" s="213">
        <f t="shared" si="136"/>
        <v>-13847691.423999999</v>
      </c>
      <c r="J71" s="213">
        <f t="shared" si="136"/>
        <v>-14246134.335999999</v>
      </c>
      <c r="K71" s="213">
        <f t="shared" si="136"/>
        <v>-14799237.418666666</v>
      </c>
      <c r="L71" s="213">
        <f t="shared" si="136"/>
        <v>-15309346.997333333</v>
      </c>
      <c r="M71" s="213">
        <f t="shared" si="136"/>
        <v>-15290102.097079119</v>
      </c>
      <c r="N71" s="213">
        <f t="shared" si="136"/>
        <v>-14495351.886728046</v>
      </c>
      <c r="O71" s="213">
        <f t="shared" si="136"/>
        <v>-13671310.302623728</v>
      </c>
      <c r="P71" s="213">
        <f t="shared" si="136"/>
        <v>-12855992.509116339</v>
      </c>
      <c r="Q71" s="213">
        <f t="shared" si="136"/>
        <v>-12029502.403207697</v>
      </c>
      <c r="R71" s="213">
        <f t="shared" si="136"/>
        <v>-11288991.48105848</v>
      </c>
      <c r="S71" s="213">
        <f t="shared" si="136"/>
        <v>-10608559.944834748</v>
      </c>
      <c r="T71" s="213">
        <f t="shared" si="136"/>
        <v>-9894611.4714072607</v>
      </c>
      <c r="U71" s="213">
        <f t="shared" si="136"/>
        <v>-9174127.011233205</v>
      </c>
      <c r="V71" s="213">
        <f t="shared" si="136"/>
        <v>-8442470.2386578973</v>
      </c>
      <c r="W71" s="213">
        <f t="shared" si="136"/>
        <v>-7721985.7784838416</v>
      </c>
      <c r="X71" s="213">
        <f t="shared" si="136"/>
        <v>-6990329.0059085339</v>
      </c>
      <c r="Y71" s="213">
        <f t="shared" si="136"/>
        <v>-6249818.0837593162</v>
      </c>
      <c r="Z71" s="213">
        <f t="shared" si="136"/>
        <v>-5529333.6235852605</v>
      </c>
      <c r="AA71" s="213">
        <f t="shared" si="136"/>
        <v>-4797676.8510099528</v>
      </c>
      <c r="AB71" s="213">
        <f t="shared" si="136"/>
        <v>-4077192.3908358971</v>
      </c>
      <c r="AC71" s="213">
        <f t="shared" si="136"/>
        <v>-3345535.6182605894</v>
      </c>
      <c r="AD71" s="213">
        <f t="shared" si="136"/>
        <v>-2605024.6961113717</v>
      </c>
      <c r="AE71" s="213">
        <f t="shared" si="136"/>
        <v>-1924593.1598876393</v>
      </c>
      <c r="AF71" s="213">
        <f t="shared" si="136"/>
        <v>-1210644.6864601513</v>
      </c>
      <c r="AG71" s="213">
        <f t="shared" si="136"/>
        <v>-490160.22628609568</v>
      </c>
      <c r="AH71" s="213">
        <f t="shared" si="136"/>
        <v>241496.54628921195</v>
      </c>
      <c r="AI71" s="213">
        <f t="shared" si="136"/>
        <v>961981.00646326761</v>
      </c>
      <c r="AJ71" s="213">
        <f t="shared" si="136"/>
        <v>1693637.7790385752</v>
      </c>
      <c r="AK71" s="213">
        <f t="shared" si="136"/>
        <v>2434148.7011877927</v>
      </c>
      <c r="AL71" s="213">
        <f t="shared" si="136"/>
        <v>3154633.1613618485</v>
      </c>
      <c r="AM71" s="213">
        <f t="shared" si="136"/>
        <v>3886289.9339371561</v>
      </c>
      <c r="AN71" s="213">
        <f t="shared" si="136"/>
        <v>4606774.3941112114</v>
      </c>
      <c r="AO71" s="213">
        <f t="shared" si="136"/>
        <v>5338431.166686519</v>
      </c>
      <c r="AP71" s="213">
        <f t="shared" si="136"/>
        <v>6078942.0888357367</v>
      </c>
      <c r="AQ71" s="213">
        <f t="shared" si="136"/>
        <v>6759373.6250594687</v>
      </c>
      <c r="AR71" s="213">
        <f t="shared" si="136"/>
        <v>7473322.0984869571</v>
      </c>
      <c r="AS71" s="213">
        <f t="shared" si="136"/>
        <v>8193806.5586610129</v>
      </c>
      <c r="AT71" s="213">
        <f t="shared" si="136"/>
        <v>8925463.3312363215</v>
      </c>
      <c r="AU71" s="213">
        <f t="shared" si="136"/>
        <v>9645947.7914103772</v>
      </c>
      <c r="AV71" s="213">
        <f t="shared" si="136"/>
        <v>10377604.563985685</v>
      </c>
      <c r="AW71" s="213">
        <f t="shared" si="136"/>
        <v>11118115.486134902</v>
      </c>
      <c r="AX71" s="213">
        <f t="shared" si="136"/>
        <v>11838599.946308957</v>
      </c>
      <c r="AY71" s="213">
        <f t="shared" si="136"/>
        <v>12570256.718884265</v>
      </c>
      <c r="AZ71" s="213">
        <f t="shared" si="136"/>
        <v>13290741.179058321</v>
      </c>
      <c r="BA71" s="213">
        <f t="shared" si="136"/>
        <v>14022397.951633628</v>
      </c>
      <c r="BB71" s="213">
        <f t="shared" si="136"/>
        <v>14762908.873782845</v>
      </c>
      <c r="BC71" s="213">
        <f t="shared" si="136"/>
        <v>15443340.410006577</v>
      </c>
      <c r="BD71" s="213">
        <f t="shared" si="136"/>
        <v>16157288.883434065</v>
      </c>
      <c r="BE71" s="213">
        <f t="shared" si="136"/>
        <v>16877773.343608119</v>
      </c>
      <c r="BF71" s="213">
        <f t="shared" si="136"/>
        <v>17609430.116183426</v>
      </c>
      <c r="BG71" s="213">
        <f t="shared" si="136"/>
        <v>18329914.57635748</v>
      </c>
      <c r="BH71" s="213">
        <f t="shared" si="136"/>
        <v>19061571.348932788</v>
      </c>
      <c r="BI71" s="213">
        <f t="shared" si="136"/>
        <v>19802082.271082006</v>
      </c>
      <c r="BJ71" s="213">
        <f t="shared" si="136"/>
        <v>20522566.73125606</v>
      </c>
      <c r="BK71" s="213">
        <f t="shared" si="136"/>
        <v>21254223.503831368</v>
      </c>
      <c r="BL71" s="213">
        <f t="shared" si="136"/>
        <v>21974707.964005422</v>
      </c>
      <c r="BM71" s="213">
        <f t="shared" si="136"/>
        <v>22706364.736580729</v>
      </c>
      <c r="BN71" s="213">
        <f t="shared" si="136"/>
        <v>23446875.658729948</v>
      </c>
      <c r="BO71" s="213">
        <f t="shared" si="136"/>
        <v>24127307.19495368</v>
      </c>
      <c r="BP71" s="213">
        <f t="shared" si="136"/>
        <v>24841255.668381169</v>
      </c>
      <c r="BQ71" s="213">
        <f t="shared" si="136"/>
        <v>25561740.128555223</v>
      </c>
      <c r="BR71" s="213">
        <f t="shared" si="136"/>
        <v>26293396.901130531</v>
      </c>
      <c r="BS71" s="213">
        <f t="shared" si="136"/>
        <v>27013881.361304585</v>
      </c>
      <c r="BT71" s="213">
        <f t="shared" ref="BT71:EE71" si="137">BS71+BT70</f>
        <v>27745538.133879893</v>
      </c>
      <c r="BU71" s="213">
        <f t="shared" si="137"/>
        <v>28486049.056029111</v>
      </c>
      <c r="BV71" s="213">
        <f t="shared" si="137"/>
        <v>29206533.516203165</v>
      </c>
      <c r="BW71" s="213">
        <f t="shared" si="137"/>
        <v>29938190.288778473</v>
      </c>
      <c r="BX71" s="213">
        <f t="shared" si="137"/>
        <v>30658674.748952527</v>
      </c>
      <c r="BY71" s="213">
        <f t="shared" si="137"/>
        <v>31390331.521527834</v>
      </c>
      <c r="BZ71" s="213">
        <f t="shared" si="137"/>
        <v>32130842.443677053</v>
      </c>
      <c r="CA71" s="213">
        <f t="shared" si="137"/>
        <v>32811273.979900785</v>
      </c>
      <c r="CB71" s="213">
        <f t="shared" si="137"/>
        <v>33525222.453328274</v>
      </c>
      <c r="CC71" s="213">
        <f t="shared" si="137"/>
        <v>34245706.913502328</v>
      </c>
      <c r="CD71" s="213">
        <f t="shared" si="137"/>
        <v>34977363.686077639</v>
      </c>
      <c r="CE71" s="213">
        <f t="shared" si="137"/>
        <v>35697848.146251693</v>
      </c>
      <c r="CF71" s="213">
        <f t="shared" si="137"/>
        <v>36429504.918826997</v>
      </c>
      <c r="CG71" s="213">
        <f t="shared" si="137"/>
        <v>37170015.840976216</v>
      </c>
      <c r="CH71" s="213">
        <f t="shared" si="137"/>
        <v>37890500.30115027</v>
      </c>
      <c r="CI71" s="213">
        <f t="shared" si="137"/>
        <v>38622157.073725581</v>
      </c>
      <c r="CJ71" s="213">
        <f t="shared" si="137"/>
        <v>39342641.533899635</v>
      </c>
      <c r="CK71" s="213">
        <f t="shared" si="137"/>
        <v>40074298.306474939</v>
      </c>
      <c r="CL71" s="213">
        <f t="shared" si="137"/>
        <v>40814809.228624158</v>
      </c>
      <c r="CM71" s="213">
        <f t="shared" si="137"/>
        <v>41495240.76484789</v>
      </c>
      <c r="CN71" s="213">
        <f t="shared" si="137"/>
        <v>42209189.238275379</v>
      </c>
      <c r="CO71" s="213">
        <f t="shared" si="137"/>
        <v>42929673.698449433</v>
      </c>
      <c r="CP71" s="213">
        <f t="shared" si="137"/>
        <v>43661330.471024737</v>
      </c>
      <c r="CQ71" s="213">
        <f t="shared" si="137"/>
        <v>44381814.931198791</v>
      </c>
      <c r="CR71" s="213">
        <f t="shared" si="137"/>
        <v>45113471.703774095</v>
      </c>
      <c r="CS71" s="213">
        <f t="shared" si="137"/>
        <v>45853982.625923313</v>
      </c>
      <c r="CT71" s="213">
        <f t="shared" si="137"/>
        <v>46574467.086097367</v>
      </c>
      <c r="CU71" s="213">
        <f t="shared" si="137"/>
        <v>47306123.858672678</v>
      </c>
      <c r="CV71" s="213">
        <f t="shared" si="137"/>
        <v>48026608.318846732</v>
      </c>
      <c r="CW71" s="213">
        <f t="shared" si="137"/>
        <v>48758265.091422036</v>
      </c>
      <c r="CX71" s="213">
        <f t="shared" si="137"/>
        <v>49498776.013571255</v>
      </c>
      <c r="CY71" s="213">
        <f t="shared" si="137"/>
        <v>50179207.549794987</v>
      </c>
      <c r="CZ71" s="213">
        <f t="shared" si="137"/>
        <v>50893156.023222476</v>
      </c>
      <c r="DA71" s="213">
        <f t="shared" si="137"/>
        <v>51613640.48339653</v>
      </c>
      <c r="DB71" s="213">
        <f t="shared" si="137"/>
        <v>52345297.255971834</v>
      </c>
      <c r="DC71" s="213">
        <f t="shared" si="137"/>
        <v>53065781.716145888</v>
      </c>
      <c r="DD71" s="213">
        <f t="shared" si="137"/>
        <v>53797438.488721192</v>
      </c>
      <c r="DE71" s="213">
        <f t="shared" si="137"/>
        <v>54537949.410870411</v>
      </c>
      <c r="DF71" s="213">
        <f t="shared" si="137"/>
        <v>55258433.871044464</v>
      </c>
      <c r="DG71" s="213">
        <f t="shared" si="137"/>
        <v>55990090.643619776</v>
      </c>
      <c r="DH71" s="213">
        <f t="shared" si="137"/>
        <v>56710575.10379383</v>
      </c>
      <c r="DI71" s="213">
        <f t="shared" si="137"/>
        <v>57442231.876369134</v>
      </c>
      <c r="DJ71" s="213">
        <f t="shared" si="137"/>
        <v>58182742.798518352</v>
      </c>
      <c r="DK71" s="213">
        <f t="shared" si="137"/>
        <v>58863174.334742084</v>
      </c>
      <c r="DL71" s="213">
        <f t="shared" si="137"/>
        <v>59577122.808169574</v>
      </c>
      <c r="DM71" s="213">
        <f t="shared" si="137"/>
        <v>60297607.268343627</v>
      </c>
      <c r="DN71" s="213">
        <f t="shared" si="137"/>
        <v>61029264.040918931</v>
      </c>
      <c r="DO71" s="213">
        <f t="shared" si="137"/>
        <v>61749748.501092985</v>
      </c>
      <c r="DP71" s="213">
        <f t="shared" si="137"/>
        <v>62481405.273668289</v>
      </c>
      <c r="DQ71" s="213">
        <f t="shared" si="137"/>
        <v>63221916.195817508</v>
      </c>
      <c r="DR71" s="213">
        <f t="shared" si="137"/>
        <v>63942400.655991562</v>
      </c>
      <c r="DS71" s="213">
        <f t="shared" si="137"/>
        <v>64674057.428566873</v>
      </c>
      <c r="DT71" s="213">
        <f t="shared" si="137"/>
        <v>65394541.888740927</v>
      </c>
      <c r="DU71" s="213">
        <f t="shared" si="137"/>
        <v>66126198.661316231</v>
      </c>
      <c r="DV71" s="213">
        <f t="shared" si="137"/>
        <v>66866709.58346545</v>
      </c>
      <c r="DW71" s="213">
        <f t="shared" si="137"/>
        <v>67547141.119689181</v>
      </c>
      <c r="DX71" s="213">
        <f t="shared" si="137"/>
        <v>68261089.593116671</v>
      </c>
      <c r="DY71" s="213">
        <f t="shared" si="137"/>
        <v>68981574.053290725</v>
      </c>
      <c r="DZ71" s="213">
        <f t="shared" si="137"/>
        <v>69713230.825866029</v>
      </c>
      <c r="EA71" s="213">
        <f t="shared" si="137"/>
        <v>70433715.286040083</v>
      </c>
      <c r="EB71" s="213">
        <f t="shared" si="137"/>
        <v>71165372.058615386</v>
      </c>
      <c r="EC71" s="213">
        <f t="shared" si="137"/>
        <v>71905882.980764598</v>
      </c>
      <c r="ED71" s="213">
        <f t="shared" si="137"/>
        <v>72626367.440938652</v>
      </c>
      <c r="EE71" s="213">
        <f t="shared" si="137"/>
        <v>73358024.213513955</v>
      </c>
      <c r="EF71" s="213">
        <f t="shared" ref="EF71:GC71" si="138">EE71+EF70</f>
        <v>74078508.673688009</v>
      </c>
      <c r="EG71" s="213">
        <f t="shared" si="138"/>
        <v>74810165.446263313</v>
      </c>
      <c r="EH71" s="213">
        <f t="shared" si="138"/>
        <v>75550676.368412524</v>
      </c>
      <c r="EI71" s="213">
        <f t="shared" si="138"/>
        <v>76231107.904636264</v>
      </c>
      <c r="EJ71" s="213">
        <f t="shared" si="138"/>
        <v>76945056.378063753</v>
      </c>
      <c r="EK71" s="213">
        <f t="shared" si="138"/>
        <v>77665540.838237807</v>
      </c>
      <c r="EL71" s="213">
        <f t="shared" si="138"/>
        <v>78397197.610813111</v>
      </c>
      <c r="EM71" s="213">
        <f t="shared" si="138"/>
        <v>79117682.070987165</v>
      </c>
      <c r="EN71" s="213">
        <f t="shared" si="138"/>
        <v>79849338.843562469</v>
      </c>
      <c r="EO71" s="213">
        <f t="shared" si="138"/>
        <v>80589849.76571168</v>
      </c>
      <c r="EP71" s="213">
        <f t="shared" si="138"/>
        <v>81310334.225885734</v>
      </c>
      <c r="EQ71" s="213">
        <f t="shared" si="138"/>
        <v>82041990.998461038</v>
      </c>
      <c r="ER71" s="213">
        <f t="shared" si="138"/>
        <v>82762475.458635092</v>
      </c>
      <c r="ES71" s="213">
        <f t="shared" si="138"/>
        <v>83494132.231210396</v>
      </c>
      <c r="ET71" s="213">
        <f t="shared" si="138"/>
        <v>84234643.153359607</v>
      </c>
      <c r="EU71" s="213">
        <f t="shared" si="138"/>
        <v>84915074.689583346</v>
      </c>
      <c r="EV71" s="213">
        <f t="shared" si="138"/>
        <v>85629023.163010836</v>
      </c>
      <c r="EW71" s="213">
        <f t="shared" si="138"/>
        <v>86349507.62318489</v>
      </c>
      <c r="EX71" s="213">
        <f t="shared" si="138"/>
        <v>87081164.395760193</v>
      </c>
      <c r="EY71" s="213">
        <f t="shared" si="138"/>
        <v>87801648.855934247</v>
      </c>
      <c r="EZ71" s="213">
        <f t="shared" si="138"/>
        <v>88533305.628509551</v>
      </c>
      <c r="FA71" s="213">
        <f t="shared" si="138"/>
        <v>89273816.550658762</v>
      </c>
      <c r="FB71" s="213">
        <f t="shared" si="138"/>
        <v>89994301.010832816</v>
      </c>
      <c r="FC71" s="213">
        <f t="shared" si="138"/>
        <v>90725957.78340812</v>
      </c>
      <c r="FD71" s="213">
        <f t="shared" si="138"/>
        <v>91446442.243582174</v>
      </c>
      <c r="FE71" s="213">
        <f t="shared" si="138"/>
        <v>92178099.016157478</v>
      </c>
      <c r="FF71" s="213">
        <f t="shared" si="138"/>
        <v>92918609.938306689</v>
      </c>
      <c r="FG71" s="213">
        <f t="shared" si="138"/>
        <v>93599041.474530429</v>
      </c>
      <c r="FH71" s="213">
        <f t="shared" si="138"/>
        <v>94312989.947957918</v>
      </c>
      <c r="FI71" s="213">
        <f t="shared" si="138"/>
        <v>95033474.408131972</v>
      </c>
      <c r="FJ71" s="213">
        <f t="shared" si="138"/>
        <v>95765131.180707276</v>
      </c>
      <c r="FK71" s="213">
        <f t="shared" si="138"/>
        <v>96485615.64088133</v>
      </c>
      <c r="FL71" s="213">
        <f t="shared" si="138"/>
        <v>97217272.413456634</v>
      </c>
      <c r="FM71" s="213">
        <f t="shared" si="138"/>
        <v>97957783.335605845</v>
      </c>
      <c r="FN71" s="213">
        <f t="shared" si="138"/>
        <v>98678267.795779899</v>
      </c>
      <c r="FO71" s="213">
        <f t="shared" si="138"/>
        <v>99409924.568355203</v>
      </c>
      <c r="FP71" s="213">
        <f t="shared" si="138"/>
        <v>100130409.02852926</v>
      </c>
      <c r="FQ71" s="213">
        <f t="shared" si="138"/>
        <v>100862065.80110456</v>
      </c>
      <c r="FR71" s="213">
        <f t="shared" si="138"/>
        <v>101602576.72325377</v>
      </c>
      <c r="FS71" s="213">
        <f t="shared" si="138"/>
        <v>102283008.25947751</v>
      </c>
      <c r="FT71" s="213">
        <f t="shared" si="138"/>
        <v>102996956.732905</v>
      </c>
      <c r="FU71" s="213">
        <f t="shared" si="138"/>
        <v>103717441.19307905</v>
      </c>
      <c r="FV71" s="213">
        <f t="shared" si="138"/>
        <v>104449097.96565436</v>
      </c>
      <c r="FW71" s="213">
        <f t="shared" si="138"/>
        <v>105169582.42582841</v>
      </c>
      <c r="FX71" s="213">
        <f t="shared" si="138"/>
        <v>105901239.19840372</v>
      </c>
      <c r="FY71" s="213">
        <f t="shared" si="138"/>
        <v>106641750.12055293</v>
      </c>
      <c r="FZ71" s="213">
        <f t="shared" si="138"/>
        <v>107362234.58072698</v>
      </c>
      <c r="GA71" s="213">
        <f t="shared" si="138"/>
        <v>108093891.35330229</v>
      </c>
      <c r="GB71" s="213">
        <f t="shared" si="138"/>
        <v>108814375.81347634</v>
      </c>
      <c r="GC71" s="213">
        <f t="shared" si="138"/>
        <v>109546032.58605164</v>
      </c>
    </row>
    <row r="76" spans="2:185">
      <c r="B76" s="4"/>
      <c r="C76" s="41"/>
      <c r="D76" s="2"/>
    </row>
    <row r="77" spans="2:185">
      <c r="B77" s="4"/>
      <c r="C77" s="41"/>
      <c r="D77" s="2"/>
    </row>
    <row r="78" spans="2:185">
      <c r="B78" s="4"/>
      <c r="C78" s="41"/>
      <c r="D78" s="2"/>
    </row>
    <row r="79" spans="2:185">
      <c r="B79" s="4"/>
      <c r="C79" s="41"/>
      <c r="D79" s="2"/>
    </row>
    <row r="80" spans="2:185">
      <c r="B80" s="4"/>
      <c r="C80" s="41"/>
      <c r="D80" s="2"/>
    </row>
    <row r="81" spans="2:4">
      <c r="B81" s="4"/>
      <c r="C81" s="41"/>
      <c r="D81" s="2"/>
    </row>
    <row r="82" spans="2:4">
      <c r="B82" s="4"/>
      <c r="C82" s="41"/>
      <c r="D82" s="2"/>
    </row>
    <row r="83" spans="2:4">
      <c r="B83" s="4"/>
      <c r="C83" s="41"/>
      <c r="D83" s="2"/>
    </row>
    <row r="84" spans="2:4">
      <c r="B84" s="4"/>
      <c r="C84" s="41"/>
      <c r="D84" s="2"/>
    </row>
    <row r="85" spans="2:4">
      <c r="B85" s="4"/>
      <c r="C85" s="41"/>
      <c r="D85" s="2"/>
    </row>
    <row r="86" spans="2:4">
      <c r="B86" s="4"/>
      <c r="C86" s="41"/>
      <c r="D86" s="2"/>
    </row>
    <row r="87" spans="2:4">
      <c r="B87" s="4"/>
      <c r="C87" s="41"/>
      <c r="D87" s="2"/>
    </row>
    <row r="88" spans="2:4">
      <c r="B88" s="4"/>
    </row>
    <row r="89" spans="2:4">
      <c r="B89" s="4"/>
    </row>
    <row r="90" spans="2:4">
      <c r="B90" s="4"/>
    </row>
    <row r="91" spans="2:4">
      <c r="B91" s="4"/>
    </row>
    <row r="92" spans="2:4">
      <c r="B92" s="4"/>
    </row>
    <row r="93" spans="2:4">
      <c r="B93" s="4"/>
    </row>
    <row r="94" spans="2:4">
      <c r="B94" s="4"/>
    </row>
    <row r="95" spans="2:4">
      <c r="B95" s="4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01086-9777-4b39-a7bd-3152c4d5db56">
      <Terms xmlns="http://schemas.microsoft.com/office/infopath/2007/PartnerControls"/>
    </lcf76f155ced4ddcb4097134ff3c332f>
    <TaxCatchAll xmlns="0df6aef2-fb99-4a6a-82f4-9b013168b2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AD615ACEAE8D4D80C31552BA958170" ma:contentTypeVersion="9" ma:contentTypeDescription="Create a new document." ma:contentTypeScope="" ma:versionID="a617811962194355fd7ddcf7f05a5929">
  <xsd:schema xmlns:xsd="http://www.w3.org/2001/XMLSchema" xmlns:xs="http://www.w3.org/2001/XMLSchema" xmlns:p="http://schemas.microsoft.com/office/2006/metadata/properties" xmlns:ns2="e2901086-9777-4b39-a7bd-3152c4d5db56" xmlns:ns3="0df6aef2-fb99-4a6a-82f4-9b013168b285" targetNamespace="http://schemas.microsoft.com/office/2006/metadata/properties" ma:root="true" ma:fieldsID="75d7b215d6ba73a4f19fcd5bf01952ee" ns2:_="" ns3:_="">
    <xsd:import namespace="e2901086-9777-4b39-a7bd-3152c4d5db56"/>
    <xsd:import namespace="0df6aef2-fb99-4a6a-82f4-9b013168b2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01086-9777-4b39-a7bd-3152c4d5d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ad7b7b0-e129-4351-9560-a64016d711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6aef2-fb99-4a6a-82f4-9b013168b28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e0cf17-aae5-4bfc-8b9d-2568cc5dd5e2}" ma:internalName="TaxCatchAll" ma:showField="CatchAllData" ma:web="0df6aef2-fb99-4a6a-82f4-9b013168b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352AAA-46AD-423A-B06A-55622C86DEBF}"/>
</file>

<file path=customXml/itemProps2.xml><?xml version="1.0" encoding="utf-8"?>
<ds:datastoreItem xmlns:ds="http://schemas.openxmlformats.org/officeDocument/2006/customXml" ds:itemID="{E6690AA3-A596-427B-A8F4-7AA42FC1CB49}"/>
</file>

<file path=customXml/itemProps3.xml><?xml version="1.0" encoding="utf-8"?>
<ds:datastoreItem xmlns:ds="http://schemas.openxmlformats.org/officeDocument/2006/customXml" ds:itemID="{449BBFF8-42E5-4BEE-9980-DC9016574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2026-02-24T15:08:30Z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0x010100B3AD615ACEAE8D4D80C31552BA958170</vt:lpwstr>
  </property>
  <property fmtid="{D5CDD505-2E9C-101B-9397-08002B2CF9AE}" pid="3" name="MediaServiceImageTags">
    <vt:lpwstr/>
  </property>
  <property fmtid="{D5CDD505-2E9C-101B-9397-08002B2CF9AE}" pid="4" name="Order">
    <vt:r8>766800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